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del_Info" sheetId="1" state="visible" r:id="rId3"/>
    <sheet name="Assumptions" sheetId="2" state="visible" r:id="rId4"/>
    <sheet name="DCF_Bear" sheetId="3" state="visible" r:id="rId5"/>
    <sheet name="DCF_Base" sheetId="4" state="visible" r:id="rId6"/>
    <sheet name="DCF_Bull" sheetId="5" state="visible" r:id="rId7"/>
    <sheet name="Valuation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<sst xmlns="http://schemas.openxmlformats.org/spreadsheetml/2006/main" count="226" uniqueCount="117">
  <si>
    <t xml:space="preserve">TOYOTA BOSHOKU (3116.T) - DCF MODEL</t>
  </si>
  <si>
    <t xml:space="preserve">Lineage</t>
  </si>
  <si>
    <t xml:space="preserve">v1.0 (Japan-adapted), built 14-Aug-2026 by Claude (Fable 5) with Stephen via claude.ai (openpyxl; recalculated in LibreOffice; key outputs hand-checked). First model for this name - no prior file.</t>
  </si>
  <si>
    <t xml:space="preserve">DATA VINTAGE</t>
  </si>
  <si>
    <t xml:space="preserve">FY0 anchors</t>
  </si>
  <si>
    <t xml:space="preserve">FY Mar-2026 results from user-supplied metrics CSV (14-Aug-26): revenue 2,037,063; OP 53,948 (2.6%); OCF 142,965; capex 64,989; equity 529,068. D&amp;A estimated ~95,000 (4.7% of rev) from OCF-NI gap; refresh from yuho.</t>
  </si>
  <si>
    <t xml:space="preserve">FY1 guidance</t>
  </si>
  <si>
    <t xml:space="preserve">Q1 FY Mar-27 (30-Jun-26): revenue +10.1% YoY, OP -15.1%, net -18.9% (Yahoo Japan tanshin summary). Company cut FY27 net guidance ~4% on 14-Aug-26 (kabutan headline); absolute guided figures NOT yet captured - refresh.</t>
  </si>
  <si>
    <t xml:space="preserve">Balance sheet / shares / price</t>
  </si>
  <si>
    <t xml:space="preserve">Net cash Y89.2bn and 178.66m shares at 31-Mar-26 (user CSV). Price Y2,199.5 from an undated early-Aug Google Finance snapshot - REPLACE with next TSE close, esp. post guidance cut.</t>
  </si>
  <si>
    <t xml:space="preserve">METHODOLOGY</t>
  </si>
  <si>
    <t xml:space="preserve">Owner-FCF basis</t>
  </si>
  <si>
    <t xml:space="preserve">SBC (incl. equity-award taxes) fully expensed, projected explicitly per scenario-year as % of revenue; INTEREST INCOME EXCLUDED from flows (cash pile added separately - including both double-counts); cash tax held flat at a normalized Japanese effective rate (Boshoku's rate also absorbs minority-interest leakage - see Model_Info driver notes); D&amp;A and capex as % of revenue; working capital = 0% of the YoY revenue increase (set for this business model); diluted shares held FLAT (SBC expensing substitutes for grant dilution; never do both). TV = Gordon capped at 20x terminal owner FCF. End-of-year discounting. WACC 9.0%. Street-convention values (SBC as non-cash) shown as memos - the house/street pair is the accounting-regime price band.</t>
  </si>
  <si>
    <t xml:space="preserve">Scenario drivers</t>
  </si>
  <si>
    <t xml:space="preserve">Scenario paths are Claude's judgment, set 14-Aug-2026 in-session with Stephen; not yet user-ratified. JAPAN ADAPTATIONS (differ from tech house defaults, all discussed in-chat): SBC = 0% (cash-comp market; explicit row kept per house rule). Tax driver = 45% flat: a COMBINED leakage rate covering Japanese cash tax (~31%) plus substantial minority interests in consolidated Asian subsidiaries - attributable NI has run ~40-45% of OP in FY23/25/26. This is the single most consequential simplification; flex via row 14. WACC 9.0% (JPY risk-free ~1.5-2%, ERP ~5.5%, beta ~1.1-1.2, small size bump) vs 10.5% USD tech default. WC capture 0 (auto supplier, roughly neutral). Capex 4.2% set slightly below D&amp;A 4.7% reflecting a mature asset base - a key lever. Takeover/buy-in premium deliberately EXCLUDED: this values the operating business + net cash only.</t>
  </si>
  <si>
    <t xml:space="preserve">UPDATE INSTRUCTIONS</t>
  </si>
  <si>
    <t xml:space="preserve">Each quarter</t>
  </si>
  <si>
    <t xml:space="preserve">Refresh price, net cash (+date), diluted shares, buyback pace, and the guidance-year driver columns; reassess blue rows 5/7/9/14 per scenario only where new evidence exists; add/extend the Reconciliation tab; increment the version above.</t>
  </si>
  <si>
    <t xml:space="preserve">Conventions</t>
  </si>
  <si>
    <t xml:space="preserve">Blue = hardcoded input. Yellow = key levers. Black = formula. Green = cross-sheet link. Prefilled values are working examples of the expected format.</t>
  </si>
  <si>
    <t xml:space="preserve">3116.T - Global Assumptions &amp; Scenario Parameters</t>
  </si>
  <si>
    <t xml:space="preserve">Blue = hardcoded input. Yellow = key levers. All ¥ in millions unless stated.</t>
  </si>
  <si>
    <t xml:space="preserve">Global inputs</t>
  </si>
  <si>
    <t xml:space="preserve">WACC / discount rate</t>
  </si>
  <si>
    <t xml:space="preserve">D&amp;A (% of revenue)</t>
  </si>
  <si>
    <t xml:space="preserve">Capex + capitalized software (% of revenue)</t>
  </si>
  <si>
    <t xml:space="preserve">Working-capital capture (% of YoY revenue incr.)</t>
  </si>
  <si>
    <t xml:space="preserve">Sign/size per business model</t>
  </si>
  <si>
    <t xml:space="preserve">Net cash (¥mm)</t>
  </si>
  <si>
    <t xml:space="preserve">cash 278,507 - debt 189,335, 31-Mar-26 (user CSV); incl. lease debt</t>
  </si>
  <si>
    <t xml:space="preserve">Fully diluted shares (mm)</t>
  </si>
  <si>
    <t xml:space="preserve">shares outstanding, Mar-26 (user CSV); no SBC dilution, held flat</t>
  </si>
  <si>
    <t xml:space="preserve">Current share price</t>
  </si>
  <si>
    <t xml:space="preserve">Google Finance snapshot early Aug-26, UNDATED - REFRESH; FY27 guidance cut ~4% announced 14-Aug 14:00 JST, price likely moved</t>
  </si>
  <si>
    <t xml:space="preserve">Terminal value cap (x terminal-year owner FCF)</t>
  </si>
  <si>
    <t xml:space="preserve">Scenario parameters</t>
  </si>
  <si>
    <t xml:space="preserve">Bear</t>
  </si>
  <si>
    <t xml:space="preserve">Base</t>
  </si>
  <si>
    <t xml:space="preserve">Bull</t>
  </si>
  <si>
    <t xml:space="preserve">Terminal growth rate</t>
  </si>
  <si>
    <t xml:space="preserve">Probability weight</t>
  </si>
  <si>
    <t xml:space="preserve">must sum to 100%</t>
  </si>
  <si>
    <t xml:space="preserve">Scenario narratives</t>
  </si>
  <si>
    <t xml:space="preserve">The bZ-shock is structural: Toyota adopts Chinese-made interiors/parts at scale, China JV volumes keep shrinking, and ICE-linked content declines outpace seat content gains. Revenue drifts -1 to -2%/yr; EBITDA settles ~6%. No margin fix. Value rests on the balance sheet.</t>
  </si>
  <si>
    <t xml:space="preserve">Toyota global volumes roughly flat; Boshoku passes through costs slowly and claws EBITDA back from 7.1% to 8% (still below FY17-18 economics). Low-single-digit revenue growth on content per vehicle. Capital returns continue at the recent modest pace.</t>
  </si>
  <si>
    <t xml:space="preserve">Name-and-shame regime plus parent-led group rationalisation force a genuine profitability program: EBITDA recovers to ~9.5% (OP ~5%, i.e. FY17-18 levels), buybacks accelerate against the net-cash pile. Interior content per vehicle rises with electrified platforms.</t>
  </si>
  <si>
    <t xml:space="preserve">3116.T DCF - Bear - China substitution bites; Toyota volumes fade</t>
  </si>
  <si>
    <t xml:space="preserve">Owner-FCF basis: SBC fully expensed, interest income excluded, share count flat. Blue rows = per-year drivers (edit).</t>
  </si>
  <si>
    <t xml:space="preserve">2026A</t>
  </si>
  <si>
    <t xml:space="preserve">2027E</t>
  </si>
  <si>
    <t xml:space="preserve">2028E</t>
  </si>
  <si>
    <t xml:space="preserve">2029E</t>
  </si>
  <si>
    <t xml:space="preserve">2030E</t>
  </si>
  <si>
    <t xml:space="preserve">2031E</t>
  </si>
  <si>
    <t xml:space="preserve">2032E</t>
  </si>
  <si>
    <t xml:space="preserve">2033E</t>
  </si>
  <si>
    <t xml:space="preserve">2034E</t>
  </si>
  <si>
    <t xml:space="preserve">2035E</t>
  </si>
  <si>
    <t xml:space="preserve">2036E</t>
  </si>
  <si>
    <t xml:space="preserve">Year index (for discounting)</t>
  </si>
  <si>
    <t xml:space="preserve">Revenue growth YoY</t>
  </si>
  <si>
    <t xml:space="preserve">Revenue</t>
  </si>
  <si>
    <t xml:space="preserve">Adj EBITDA margin</t>
  </si>
  <si>
    <t xml:space="preserve">Adjusted EBITDA</t>
  </si>
  <si>
    <t xml:space="preserve">SBC (% of revenue)</t>
  </si>
  <si>
    <t xml:space="preserve">SBC (incl. equity-award taxes)</t>
  </si>
  <si>
    <t xml:space="preserve">EBITDA less SBC ('owner EBITDA')</t>
  </si>
  <si>
    <t xml:space="preserve">D&amp;A</t>
  </si>
  <si>
    <t xml:space="preserve">EBIT (SBC expensed)</t>
  </si>
  <si>
    <t xml:space="preserve">Cash tax rate (neg = benefit)</t>
  </si>
  <si>
    <t xml:space="preserve">NOPAT</t>
  </si>
  <si>
    <t xml:space="preserve">add: D&amp;A</t>
  </si>
  <si>
    <t xml:space="preserve">less: capex + capitalized software</t>
  </si>
  <si>
    <t xml:space="preserve">add: working capital</t>
  </si>
  <si>
    <t xml:space="preserve">Unlevered owner FCF</t>
  </si>
  <si>
    <t xml:space="preserve">Discount factor</t>
  </si>
  <si>
    <t xml:space="preserve">PV of FCF</t>
  </si>
  <si>
    <t xml:space="preserve">Memo: FCF before SBC (company-style)</t>
  </si>
  <si>
    <t xml:space="preserve">Memo: implied owner FCF margin</t>
  </si>
  <si>
    <t xml:space="preserve">Valuation</t>
  </si>
  <si>
    <t xml:space="preserve">PV of FCF, explicit years</t>
  </si>
  <si>
    <t xml:space="preserve">Terminal-year owner FCF x (1+g)</t>
  </si>
  <si>
    <t xml:space="preserve">Terminal value - Gordon</t>
  </si>
  <si>
    <t xml:space="preserve">Terminal value - cap</t>
  </si>
  <si>
    <t xml:space="preserve">Terminal value used (lower of the two)</t>
  </si>
  <si>
    <t xml:space="preserve">Implied exit multiple</t>
  </si>
  <si>
    <t xml:space="preserve">PV of terminal value</t>
  </si>
  <si>
    <t xml:space="preserve">Enterprise value</t>
  </si>
  <si>
    <t xml:space="preserve">add: net cash</t>
  </si>
  <si>
    <t xml:space="preserve">Equity value</t>
  </si>
  <si>
    <t xml:space="preserve">Value per share</t>
  </si>
  <si>
    <t xml:space="preserve">Upside / (downside) vs current price</t>
  </si>
  <si>
    <t xml:space="preserve">Memo: value if SBC treated as non-cash</t>
  </si>
  <si>
    <t xml:space="preserve">  plus PV of terminal SBC</t>
  </si>
  <si>
    <t xml:space="preserve">  Value per share, SBC as non-cash</t>
  </si>
  <si>
    <t xml:space="preserve">3116.T DCF - Base - muddle-through with modest TSE-driven margin repair</t>
  </si>
  <si>
    <t xml:space="preserve">3116.T DCF - Bull - TSE/parent pressure forces a real ROE fix</t>
  </si>
  <si>
    <t xml:space="preserve">3116.T - Valuation Summary &amp; Sensitivity</t>
  </si>
  <si>
    <t xml:space="preserve">Owner-FCF basis (SBC expensed) unless marked street. Green = links.</t>
  </si>
  <si>
    <t xml:space="preserve">Upside / (downside) vs price</t>
  </si>
  <si>
    <t xml:space="preserve">Probability</t>
  </si>
  <si>
    <t xml:space="preserve">Value per share, SBC as non-cash (street)</t>
  </si>
  <si>
    <t xml:space="preserve">Probability-weighted value per share</t>
  </si>
  <si>
    <t xml:space="preserve">Current price</t>
  </si>
  <si>
    <t xml:space="preserve">Margin of safety vs weighted value</t>
  </si>
  <si>
    <t xml:space="preserve">Weighted value, SBC as non-cash (street)</t>
  </si>
  <si>
    <t xml:space="preserve">Band position (0%=house, 100%=street)</t>
  </si>
  <si>
    <t xml:space="preserve">n/a</t>
  </si>
  <si>
    <t xml:space="preserve">SBC = 0 so house = street; the accounting-regime band collapses to a single value</t>
  </si>
  <si>
    <t xml:space="preserve">Base case - value per share at different required returns</t>
  </si>
  <si>
    <t xml:space="preserve">Required return</t>
  </si>
  <si>
    <t xml:space="preserve">Value / share</t>
  </si>
  <si>
    <t xml:space="preserve">15%-hurdle entry per scenario + weighted</t>
  </si>
  <si>
    <t xml:space="preserve">model buy-below price at a 15% hurdle</t>
  </si>
  <si>
    <t xml:space="preserve">  same, street basis</t>
  </si>
  <si>
    <t xml:space="preserve">Base case - value per share: WACC x terminal growth</t>
  </si>
  <si>
    <t xml:space="preserve">WACC \ g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</si>
</sst>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0.0%"/>
    <numFmt numFmtId="166" formatCode="\¥#,##0.0;&quot;(¥&quot;#,##0.0\);\-"/>
    <numFmt numFmtId="167" formatCode="#,##0.0"/>
    <numFmt numFmtId="168" formatCode="\¥#,##0.00;&quot;(¥&quot;#,##0.00\);\-"/>
    <numFmt numFmtId="169" formatCode="0\x"/>
    <numFmt numFmtId="170" formatCode="\¥#,##0;&quot;(¥&quot;#,##0\);\-"/>
    <numFmt numFmtId="171" formatCode="0.000"/>
    <numFmt numFmtId="172" formatCode="0.0\x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color rgb="FF40404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i val="true"/>
      <sz val="8"/>
      <color rgb="FF80808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3864"/>
        <bgColor rgb="FF333399"/>
      </patternFill>
    </fill>
    <fill>
      <patternFill patternType="solid">
        <fgColor rgb="FFD9E1F2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8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8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8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8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12"/>
  </cols>
  <sheetData>
    <row r="1" customFormat="false" ht="15.75" hidden="false" customHeight="true" outlineLevel="0" collapsed="false">
      <c r="A1" s="2" t="s">
        <v>0</v>
      </c>
    </row>
    <row r="3" customFormat="false" ht="21.75" hidden="false" customHeight="true" outlineLevel="0" collapsed="false">
      <c r="A3" s="3" t="s">
        <v>1</v>
      </c>
      <c r="B3" s="4" t="s">
        <v>2</v>
      </c>
    </row>
    <row r="5" customFormat="false" ht="15" hidden="false" customHeight="true" outlineLevel="0" collapsed="false">
      <c r="A5" s="5" t="s">
        <v>3</v>
      </c>
    </row>
    <row r="6" customFormat="false" ht="21.75" hidden="false" customHeight="true" outlineLevel="0" collapsed="false">
      <c r="A6" s="3" t="s">
        <v>4</v>
      </c>
      <c r="B6" s="4" t="s">
        <v>5</v>
      </c>
    </row>
    <row r="7" customFormat="false" ht="21.75" hidden="false" customHeight="true" outlineLevel="0" collapsed="false">
      <c r="A7" s="3" t="s">
        <v>6</v>
      </c>
      <c r="B7" s="4" t="s">
        <v>7</v>
      </c>
    </row>
    <row r="8" customFormat="false" ht="21.75" hidden="false" customHeight="true" outlineLevel="0" collapsed="false">
      <c r="A8" s="3" t="s">
        <v>8</v>
      </c>
      <c r="B8" s="4" t="s">
        <v>9</v>
      </c>
    </row>
    <row r="10" customFormat="false" ht="15" hidden="false" customHeight="true" outlineLevel="0" collapsed="false">
      <c r="A10" s="5" t="s">
        <v>10</v>
      </c>
    </row>
    <row r="11" customFormat="false" ht="63.75" hidden="false" customHeight="true" outlineLevel="0" collapsed="false">
      <c r="A11" s="3" t="s">
        <v>11</v>
      </c>
      <c r="B11" s="4" t="s">
        <v>12</v>
      </c>
    </row>
    <row r="12" customFormat="false" ht="63.75" hidden="false" customHeight="true" outlineLevel="0" collapsed="false">
      <c r="A12" s="3" t="s">
        <v>13</v>
      </c>
      <c r="B12" s="4" t="s">
        <v>14</v>
      </c>
    </row>
    <row r="14" customFormat="false" ht="15" hidden="false" customHeight="true" outlineLevel="0" collapsed="false">
      <c r="A14" s="5" t="s">
        <v>15</v>
      </c>
    </row>
    <row r="15" customFormat="false" ht="21.75" hidden="false" customHeight="true" outlineLevel="0" collapsed="false">
      <c r="A15" s="3" t="s">
        <v>16</v>
      </c>
      <c r="B15" s="4" t="s">
        <v>17</v>
      </c>
    </row>
    <row r="16" customFormat="false" ht="15" hidden="false" customHeight="true" outlineLevel="0" collapsed="false">
      <c r="A16" s="3" t="s">
        <v>18</v>
      </c>
      <c r="B16" s="4" t="s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4"/>
    <col collapsed="false" customWidth="true" hidden="false" outlineLevel="0" max="7" min="2" style="1" width="13"/>
    <col collapsed="false" customWidth="true" hidden="false" outlineLevel="0" max="8" min="8" style="1" width="62"/>
  </cols>
  <sheetData>
    <row r="1" customFormat="false" ht="15.75" hidden="false" customHeight="true" outlineLevel="0" collapsed="false">
      <c r="A1" s="2" t="s">
        <v>20</v>
      </c>
    </row>
    <row r="2" customFormat="false" ht="15" hidden="false" customHeight="true" outlineLevel="0" collapsed="false">
      <c r="A2" s="6" t="s">
        <v>21</v>
      </c>
    </row>
    <row r="4" customFormat="false" ht="15" hidden="false" customHeight="true" outlineLevel="0" collapsed="false">
      <c r="A4" s="5" t="s">
        <v>22</v>
      </c>
    </row>
    <row r="5" customFormat="false" ht="15" hidden="false" customHeight="true" outlineLevel="0" collapsed="false">
      <c r="A5" s="3" t="s">
        <v>23</v>
      </c>
      <c r="B5" s="7" t="n">
        <v>0.09</v>
      </c>
      <c r="H5" s="6"/>
    </row>
    <row r="6" customFormat="false" ht="15" hidden="false" customHeight="true" outlineLevel="0" collapsed="false">
      <c r="A6" s="3" t="s">
        <v>24</v>
      </c>
      <c r="B6" s="7" t="n">
        <v>0.047</v>
      </c>
      <c r="H6" s="6"/>
    </row>
    <row r="7" customFormat="false" ht="15" hidden="false" customHeight="true" outlineLevel="0" collapsed="false">
      <c r="A7" s="3" t="s">
        <v>25</v>
      </c>
      <c r="B7" s="7" t="n">
        <v>0.042</v>
      </c>
      <c r="H7" s="6"/>
    </row>
    <row r="8" customFormat="false" ht="15" hidden="false" customHeight="true" outlineLevel="0" collapsed="false">
      <c r="A8" s="3" t="s">
        <v>26</v>
      </c>
      <c r="B8" s="7" t="n">
        <v>0</v>
      </c>
      <c r="H8" s="6" t="s">
        <v>27</v>
      </c>
    </row>
    <row r="9" customFormat="false" ht="15" hidden="false" customHeight="true" outlineLevel="0" collapsed="false">
      <c r="A9" s="3" t="s">
        <v>28</v>
      </c>
      <c r="B9" s="8" t="n">
        <v>89172</v>
      </c>
      <c r="H9" s="6" t="s">
        <v>29</v>
      </c>
    </row>
    <row r="10" customFormat="false" ht="15" hidden="false" customHeight="true" outlineLevel="0" collapsed="false">
      <c r="A10" s="3" t="s">
        <v>30</v>
      </c>
      <c r="B10" s="9" t="n">
        <v>178.66</v>
      </c>
      <c r="H10" s="6" t="s">
        <v>31</v>
      </c>
    </row>
    <row r="11" customFormat="false" ht="15" hidden="false" customHeight="true" outlineLevel="0" collapsed="false">
      <c r="A11" s="3" t="s">
        <v>32</v>
      </c>
      <c r="B11" s="10" t="n">
        <v>2199.5</v>
      </c>
      <c r="H11" s="6" t="s">
        <v>33</v>
      </c>
    </row>
    <row r="12" customFormat="false" ht="15" hidden="false" customHeight="true" outlineLevel="0" collapsed="false">
      <c r="A12" s="3" t="s">
        <v>34</v>
      </c>
      <c r="B12" s="11" t="n">
        <v>20</v>
      </c>
      <c r="H12" s="6"/>
    </row>
    <row r="14" customFormat="false" ht="15" hidden="false" customHeight="true" outlineLevel="0" collapsed="false">
      <c r="A14" s="5" t="s">
        <v>35</v>
      </c>
      <c r="C14" s="12" t="s">
        <v>36</v>
      </c>
      <c r="D14" s="12" t="s">
        <v>37</v>
      </c>
      <c r="E14" s="12" t="s">
        <v>38</v>
      </c>
    </row>
    <row r="15" customFormat="false" ht="15" hidden="false" customHeight="true" outlineLevel="0" collapsed="false">
      <c r="A15" s="3" t="s">
        <v>39</v>
      </c>
      <c r="C15" s="7" t="n">
        <v>0</v>
      </c>
      <c r="D15" s="7" t="n">
        <v>0.005</v>
      </c>
      <c r="E15" s="7" t="n">
        <v>0.01</v>
      </c>
    </row>
    <row r="16" customFormat="false" ht="15" hidden="false" customHeight="true" outlineLevel="0" collapsed="false">
      <c r="A16" s="3" t="s">
        <v>40</v>
      </c>
      <c r="C16" s="7" t="n">
        <v>0.15</v>
      </c>
      <c r="D16" s="7" t="n">
        <v>0.5</v>
      </c>
      <c r="E16" s="7" t="n">
        <v>0.35</v>
      </c>
      <c r="F16" s="13" t="n">
        <f aca="false">SUM(C16:E16)</f>
        <v>1</v>
      </c>
      <c r="G16" s="6" t="s">
        <v>41</v>
      </c>
    </row>
    <row r="18" customFormat="false" ht="15" hidden="false" customHeight="true" outlineLevel="0" collapsed="false">
      <c r="A18" s="5" t="s">
        <v>42</v>
      </c>
    </row>
    <row r="19" customFormat="false" ht="25.5" hidden="false" customHeight="true" outlineLevel="0" collapsed="false">
      <c r="A19" s="3" t="s">
        <v>36</v>
      </c>
      <c r="B19" s="14" t="s">
        <v>43</v>
      </c>
      <c r="C19" s="14"/>
      <c r="D19" s="14"/>
      <c r="E19" s="14"/>
      <c r="F19" s="14"/>
      <c r="G19" s="14"/>
      <c r="H19" s="14"/>
    </row>
    <row r="20" customFormat="false" ht="25.5" hidden="false" customHeight="true" outlineLevel="0" collapsed="false">
      <c r="A20" s="3" t="s">
        <v>37</v>
      </c>
      <c r="B20" s="14" t="s">
        <v>44</v>
      </c>
      <c r="C20" s="14"/>
      <c r="D20" s="14"/>
      <c r="E20" s="14"/>
      <c r="F20" s="14"/>
      <c r="G20" s="14"/>
      <c r="H20" s="14"/>
    </row>
    <row r="21" customFormat="false" ht="25.5" hidden="false" customHeight="true" outlineLevel="0" collapsed="false">
      <c r="A21" s="3" t="s">
        <v>38</v>
      </c>
      <c r="B21" s="14" t="s">
        <v>45</v>
      </c>
      <c r="C21" s="14"/>
      <c r="D21" s="14"/>
      <c r="E21" s="14"/>
      <c r="F21" s="14"/>
      <c r="G21" s="14"/>
      <c r="H21" s="14"/>
    </row>
  </sheetData>
  <mergeCells count="3">
    <mergeCell ref="B19:H19"/>
    <mergeCell ref="B20:H20"/>
    <mergeCell ref="B21:H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12" min="2" style="1" width="10.51"/>
  </cols>
  <sheetData>
    <row r="1" customFormat="false" ht="15.75" hidden="false" customHeight="true" outlineLevel="0" collapsed="false">
      <c r="A1" s="2" t="s">
        <v>46</v>
      </c>
    </row>
    <row r="2" customFormat="false" ht="15" hidden="false" customHeight="true" outlineLevel="0" collapsed="false">
      <c r="A2" s="6" t="s">
        <v>47</v>
      </c>
    </row>
    <row r="3" customFormat="false" ht="15" hidden="false" customHeight="true" outlineLevel="0" collapsed="false">
      <c r="B3" s="12" t="s">
        <v>48</v>
      </c>
      <c r="C3" s="12" t="s">
        <v>49</v>
      </c>
      <c r="D3" s="12" t="s">
        <v>50</v>
      </c>
      <c r="E3" s="12" t="s">
        <v>51</v>
      </c>
      <c r="F3" s="12" t="s">
        <v>52</v>
      </c>
      <c r="G3" s="12" t="s">
        <v>53</v>
      </c>
      <c r="H3" s="12" t="s">
        <v>54</v>
      </c>
      <c r="I3" s="12" t="s">
        <v>55</v>
      </c>
      <c r="J3" s="12" t="s">
        <v>56</v>
      </c>
      <c r="K3" s="12" t="s">
        <v>57</v>
      </c>
      <c r="L3" s="12" t="s">
        <v>58</v>
      </c>
    </row>
    <row r="4" customFormat="false" ht="15" hidden="false" customHeight="true" outlineLevel="0" collapsed="false">
      <c r="A4" s="15" t="s">
        <v>59</v>
      </c>
      <c r="B4" s="15" t="n">
        <v>0</v>
      </c>
      <c r="C4" s="15" t="n">
        <v>1</v>
      </c>
      <c r="D4" s="15" t="n">
        <v>2</v>
      </c>
      <c r="E4" s="15" t="n">
        <v>3</v>
      </c>
      <c r="F4" s="15" t="n">
        <v>4</v>
      </c>
      <c r="G4" s="15" t="n">
        <v>5</v>
      </c>
      <c r="H4" s="15" t="n">
        <v>6</v>
      </c>
      <c r="I4" s="15" t="n">
        <v>7</v>
      </c>
      <c r="J4" s="15" t="n">
        <v>8</v>
      </c>
      <c r="K4" s="15" t="n">
        <v>9</v>
      </c>
      <c r="L4" s="15" t="n">
        <v>10</v>
      </c>
    </row>
    <row r="5" customFormat="false" ht="15" hidden="false" customHeight="true" outlineLevel="0" collapsed="false">
      <c r="A5" s="3" t="s">
        <v>60</v>
      </c>
      <c r="C5" s="7" t="n">
        <v>0.02</v>
      </c>
      <c r="D5" s="7" t="n">
        <v>-0.01</v>
      </c>
      <c r="E5" s="7" t="n">
        <v>-0.01</v>
      </c>
      <c r="F5" s="7" t="n">
        <v>-0.02</v>
      </c>
      <c r="G5" s="7" t="n">
        <v>-0.02</v>
      </c>
      <c r="H5" s="7" t="n">
        <v>-0.02</v>
      </c>
      <c r="I5" s="7" t="n">
        <v>-0.02</v>
      </c>
      <c r="J5" s="7" t="n">
        <v>-0.02</v>
      </c>
      <c r="K5" s="7" t="n">
        <v>-0.02</v>
      </c>
      <c r="L5" s="7" t="n">
        <v>-0.02</v>
      </c>
    </row>
    <row r="6" customFormat="false" ht="15" hidden="false" customHeight="true" outlineLevel="0" collapsed="false">
      <c r="A6" s="3" t="s">
        <v>61</v>
      </c>
      <c r="B6" s="16" t="n">
        <v>2037063</v>
      </c>
      <c r="C6" s="17" t="n">
        <f aca="false">B6*(1+C5)</f>
        <v>2077804.26</v>
      </c>
      <c r="D6" s="17" t="n">
        <f aca="false">C6*(1+D5)</f>
        <v>2057026.2174</v>
      </c>
      <c r="E6" s="17" t="n">
        <f aca="false">D6*(1+E5)</f>
        <v>2036455.955226</v>
      </c>
      <c r="F6" s="17" t="n">
        <f aca="false">E6*(1+F5)</f>
        <v>1995726.83612148</v>
      </c>
      <c r="G6" s="17" t="n">
        <f aca="false">F6*(1+G5)</f>
        <v>1955812.29939905</v>
      </c>
      <c r="H6" s="17" t="n">
        <f aca="false">G6*(1+H5)</f>
        <v>1916696.05341107</v>
      </c>
      <c r="I6" s="17" t="n">
        <f aca="false">H6*(1+I5)</f>
        <v>1878362.13234285</v>
      </c>
      <c r="J6" s="17" t="n">
        <f aca="false">I6*(1+J5)</f>
        <v>1840794.88969599</v>
      </c>
      <c r="K6" s="17" t="n">
        <f aca="false">J6*(1+K5)</f>
        <v>1803978.99190207</v>
      </c>
      <c r="L6" s="17" t="n">
        <f aca="false">K6*(1+L5)</f>
        <v>1767899.41206403</v>
      </c>
    </row>
    <row r="7" customFormat="false" ht="15" hidden="false" customHeight="true" outlineLevel="0" collapsed="false">
      <c r="A7" s="3" t="s">
        <v>62</v>
      </c>
      <c r="B7" s="18" t="n">
        <v>0.0731</v>
      </c>
      <c r="C7" s="7" t="n">
        <v>0.07</v>
      </c>
      <c r="D7" s="7" t="n">
        <v>0.066</v>
      </c>
      <c r="E7" s="7" t="n">
        <v>0.063</v>
      </c>
      <c r="F7" s="7" t="n">
        <v>0.061</v>
      </c>
      <c r="G7" s="7" t="n">
        <v>0.06</v>
      </c>
      <c r="H7" s="7" t="n">
        <v>0.06</v>
      </c>
      <c r="I7" s="7" t="n">
        <v>0.06</v>
      </c>
      <c r="J7" s="7" t="n">
        <v>0.06</v>
      </c>
      <c r="K7" s="7" t="n">
        <v>0.06</v>
      </c>
      <c r="L7" s="7" t="n">
        <v>0.06</v>
      </c>
    </row>
    <row r="8" customFormat="false" ht="15" hidden="false" customHeight="true" outlineLevel="0" collapsed="false">
      <c r="A8" s="3" t="s">
        <v>63</v>
      </c>
      <c r="C8" s="17" t="n">
        <f aca="false">C6*C7</f>
        <v>145446.2982</v>
      </c>
      <c r="D8" s="17" t="n">
        <f aca="false">D6*D7</f>
        <v>135763.7303484</v>
      </c>
      <c r="E8" s="17" t="n">
        <f aca="false">E6*E7</f>
        <v>128296.725179238</v>
      </c>
      <c r="F8" s="17" t="n">
        <f aca="false">F6*F7</f>
        <v>121739.33700341</v>
      </c>
      <c r="G8" s="17" t="n">
        <f aca="false">G6*G7</f>
        <v>117348.737963943</v>
      </c>
      <c r="H8" s="17" t="n">
        <f aca="false">H6*H7</f>
        <v>115001.763204664</v>
      </c>
      <c r="I8" s="17" t="n">
        <f aca="false">I6*I7</f>
        <v>112701.727940571</v>
      </c>
      <c r="J8" s="17" t="n">
        <f aca="false">J6*J7</f>
        <v>110447.693381759</v>
      </c>
      <c r="K8" s="17" t="n">
        <f aca="false">K6*K7</f>
        <v>108238.739514124</v>
      </c>
      <c r="L8" s="17" t="n">
        <f aca="false">L6*L7</f>
        <v>106073.964723842</v>
      </c>
    </row>
    <row r="9" customFormat="false" ht="15" hidden="false" customHeight="true" outlineLevel="0" collapsed="false">
      <c r="A9" s="3" t="s">
        <v>64</v>
      </c>
      <c r="B9" s="18" t="n">
        <v>0</v>
      </c>
      <c r="C9" s="7" t="n">
        <v>0</v>
      </c>
      <c r="D9" s="7" t="n">
        <v>0</v>
      </c>
      <c r="E9" s="7" t="n">
        <v>0</v>
      </c>
      <c r="F9" s="7" t="n">
        <v>0</v>
      </c>
      <c r="G9" s="7" t="n">
        <v>0</v>
      </c>
      <c r="H9" s="7" t="n">
        <v>0</v>
      </c>
      <c r="I9" s="7" t="n">
        <v>0</v>
      </c>
      <c r="J9" s="7" t="n">
        <v>0</v>
      </c>
      <c r="K9" s="7" t="n">
        <v>0</v>
      </c>
      <c r="L9" s="7" t="n">
        <v>0</v>
      </c>
    </row>
    <row r="10" customFormat="false" ht="15" hidden="false" customHeight="true" outlineLevel="0" collapsed="false">
      <c r="A10" s="3" t="s">
        <v>65</v>
      </c>
      <c r="C10" s="17" t="n">
        <f aca="false">-C6*C9</f>
        <v>-0</v>
      </c>
      <c r="D10" s="17" t="n">
        <f aca="false">-D6*D9</f>
        <v>-0</v>
      </c>
      <c r="E10" s="17" t="n">
        <f aca="false">-E6*E9</f>
        <v>-0</v>
      </c>
      <c r="F10" s="17" t="n">
        <f aca="false">-F6*F9</f>
        <v>-0</v>
      </c>
      <c r="G10" s="17" t="n">
        <f aca="false">-G6*G9</f>
        <v>-0</v>
      </c>
      <c r="H10" s="17" t="n">
        <f aca="false">-H6*H9</f>
        <v>-0</v>
      </c>
      <c r="I10" s="17" t="n">
        <f aca="false">-I6*I9</f>
        <v>-0</v>
      </c>
      <c r="J10" s="17" t="n">
        <f aca="false">-J6*J9</f>
        <v>-0</v>
      </c>
      <c r="K10" s="17" t="n">
        <f aca="false">-K6*K9</f>
        <v>-0</v>
      </c>
      <c r="L10" s="17" t="n">
        <f aca="false">-L6*L9</f>
        <v>-0</v>
      </c>
    </row>
    <row r="11" customFormat="false" ht="15" hidden="false" customHeight="true" outlineLevel="0" collapsed="false">
      <c r="A11" s="3" t="s">
        <v>66</v>
      </c>
      <c r="C11" s="17" t="n">
        <f aca="false">C8+C10</f>
        <v>145446.2982</v>
      </c>
      <c r="D11" s="17" t="n">
        <f aca="false">D8+D10</f>
        <v>135763.7303484</v>
      </c>
      <c r="E11" s="17" t="n">
        <f aca="false">E8+E10</f>
        <v>128296.725179238</v>
      </c>
      <c r="F11" s="17" t="n">
        <f aca="false">F8+F10</f>
        <v>121739.33700341</v>
      </c>
      <c r="G11" s="17" t="n">
        <f aca="false">G8+G10</f>
        <v>117348.737963943</v>
      </c>
      <c r="H11" s="17" t="n">
        <f aca="false">H8+H10</f>
        <v>115001.763204664</v>
      </c>
      <c r="I11" s="17" t="n">
        <f aca="false">I8+I10</f>
        <v>112701.727940571</v>
      </c>
      <c r="J11" s="17" t="n">
        <f aca="false">J8+J10</f>
        <v>110447.693381759</v>
      </c>
      <c r="K11" s="17" t="n">
        <f aca="false">K8+K10</f>
        <v>108238.739514124</v>
      </c>
      <c r="L11" s="17" t="n">
        <f aca="false">L8+L10</f>
        <v>106073.964723842</v>
      </c>
    </row>
    <row r="12" customFormat="false" ht="15" hidden="false" customHeight="true" outlineLevel="0" collapsed="false">
      <c r="A12" s="3" t="s">
        <v>67</v>
      </c>
      <c r="C12" s="19" t="n">
        <f aca="false">-C6*Assumptions!$B$6</f>
        <v>-97656.80022</v>
      </c>
      <c r="D12" s="19" t="n">
        <f aca="false">-D6*Assumptions!$B$6</f>
        <v>-96680.2322178</v>
      </c>
      <c r="E12" s="19" t="n">
        <f aca="false">-E6*Assumptions!$B$6</f>
        <v>-95713.429895622</v>
      </c>
      <c r="F12" s="19" t="n">
        <f aca="false">-F6*Assumptions!$B$6</f>
        <v>-93799.1612977096</v>
      </c>
      <c r="G12" s="19" t="n">
        <f aca="false">-G6*Assumptions!$B$6</f>
        <v>-91923.1780717554</v>
      </c>
      <c r="H12" s="19" t="n">
        <f aca="false">-H6*Assumptions!$B$6</f>
        <v>-90084.7145103203</v>
      </c>
      <c r="I12" s="19" t="n">
        <f aca="false">-I6*Assumptions!$B$6</f>
        <v>-88283.0202201139</v>
      </c>
      <c r="J12" s="19" t="n">
        <f aca="false">-J6*Assumptions!$B$6</f>
        <v>-86517.3598157116</v>
      </c>
      <c r="K12" s="19" t="n">
        <f aca="false">-K6*Assumptions!$B$6</f>
        <v>-84787.0126193974</v>
      </c>
      <c r="L12" s="19" t="n">
        <f aca="false">-L6*Assumptions!$B$6</f>
        <v>-83091.2723670094</v>
      </c>
    </row>
    <row r="13" customFormat="false" ht="15" hidden="false" customHeight="true" outlineLevel="0" collapsed="false">
      <c r="A13" s="3" t="s">
        <v>68</v>
      </c>
      <c r="C13" s="17" t="n">
        <f aca="false">C11+C12</f>
        <v>47789.49798</v>
      </c>
      <c r="D13" s="17" t="n">
        <f aca="false">D11+D12</f>
        <v>39083.4981306</v>
      </c>
      <c r="E13" s="17" t="n">
        <f aca="false">E11+E12</f>
        <v>32583.295283616</v>
      </c>
      <c r="F13" s="17" t="n">
        <f aca="false">F11+F12</f>
        <v>27940.1757057007</v>
      </c>
      <c r="G13" s="17" t="n">
        <f aca="false">G11+G12</f>
        <v>25425.5598921877</v>
      </c>
      <c r="H13" s="17" t="n">
        <f aca="false">H11+H12</f>
        <v>24917.0486943439</v>
      </c>
      <c r="I13" s="17" t="n">
        <f aca="false">I11+I12</f>
        <v>24418.707720457</v>
      </c>
      <c r="J13" s="17" t="n">
        <f aca="false">J11+J12</f>
        <v>23930.3335660479</v>
      </c>
      <c r="K13" s="17" t="n">
        <f aca="false">K11+K12</f>
        <v>23451.7268947269</v>
      </c>
      <c r="L13" s="17" t="n">
        <f aca="false">L11+L12</f>
        <v>22982.6923568324</v>
      </c>
    </row>
    <row r="14" customFormat="false" ht="15" hidden="false" customHeight="true" outlineLevel="0" collapsed="false">
      <c r="A14" s="3" t="s">
        <v>69</v>
      </c>
      <c r="C14" s="7" t="n">
        <v>0.45</v>
      </c>
      <c r="D14" s="7" t="n">
        <v>0.45</v>
      </c>
      <c r="E14" s="7" t="n">
        <v>0.45</v>
      </c>
      <c r="F14" s="7" t="n">
        <v>0.45</v>
      </c>
      <c r="G14" s="7" t="n">
        <v>0.45</v>
      </c>
      <c r="H14" s="7" t="n">
        <v>0.45</v>
      </c>
      <c r="I14" s="7" t="n">
        <v>0.45</v>
      </c>
      <c r="J14" s="7" t="n">
        <v>0.45</v>
      </c>
      <c r="K14" s="7" t="n">
        <v>0.45</v>
      </c>
      <c r="L14" s="7" t="n">
        <v>0.45</v>
      </c>
    </row>
    <row r="15" customFormat="false" ht="15" hidden="false" customHeight="true" outlineLevel="0" collapsed="false">
      <c r="A15" s="3" t="s">
        <v>70</v>
      </c>
      <c r="C15" s="17" t="n">
        <f aca="false">C13*(1-C14)</f>
        <v>26284.223889</v>
      </c>
      <c r="D15" s="17" t="n">
        <f aca="false">D13*(1-D14)</f>
        <v>21495.92397183</v>
      </c>
      <c r="E15" s="17" t="n">
        <f aca="false">E13*(1-E14)</f>
        <v>17920.8124059888</v>
      </c>
      <c r="F15" s="17" t="n">
        <f aca="false">F13*(1-F14)</f>
        <v>15367.0966381354</v>
      </c>
      <c r="G15" s="17" t="n">
        <f aca="false">G13*(1-G14)</f>
        <v>13984.0579407032</v>
      </c>
      <c r="H15" s="17" t="n">
        <f aca="false">H13*(1-H14)</f>
        <v>13704.3767818891</v>
      </c>
      <c r="I15" s="17" t="n">
        <f aca="false">I13*(1-I14)</f>
        <v>13430.2892462514</v>
      </c>
      <c r="J15" s="17" t="n">
        <f aca="false">J13*(1-J14)</f>
        <v>13161.6834613263</v>
      </c>
      <c r="K15" s="17" t="n">
        <f aca="false">K13*(1-K14)</f>
        <v>12898.4497920998</v>
      </c>
      <c r="L15" s="17" t="n">
        <f aca="false">L13*(1-L14)</f>
        <v>12640.4807962578</v>
      </c>
    </row>
    <row r="16" customFormat="false" ht="15" hidden="false" customHeight="true" outlineLevel="0" collapsed="false">
      <c r="A16" s="3" t="s">
        <v>71</v>
      </c>
      <c r="C16" s="17" t="n">
        <f aca="false">-C12</f>
        <v>97656.80022</v>
      </c>
      <c r="D16" s="17" t="n">
        <f aca="false">-D12</f>
        <v>96680.2322178</v>
      </c>
      <c r="E16" s="17" t="n">
        <f aca="false">-E12</f>
        <v>95713.429895622</v>
      </c>
      <c r="F16" s="17" t="n">
        <f aca="false">-F12</f>
        <v>93799.1612977096</v>
      </c>
      <c r="G16" s="17" t="n">
        <f aca="false">-G12</f>
        <v>91923.1780717554</v>
      </c>
      <c r="H16" s="17" t="n">
        <f aca="false">-H12</f>
        <v>90084.7145103203</v>
      </c>
      <c r="I16" s="17" t="n">
        <f aca="false">-I12</f>
        <v>88283.0202201139</v>
      </c>
      <c r="J16" s="17" t="n">
        <f aca="false">-J12</f>
        <v>86517.3598157116</v>
      </c>
      <c r="K16" s="17" t="n">
        <f aca="false">-K12</f>
        <v>84787.0126193974</v>
      </c>
      <c r="L16" s="17" t="n">
        <f aca="false">-L12</f>
        <v>83091.2723670094</v>
      </c>
    </row>
    <row r="17" customFormat="false" ht="15" hidden="false" customHeight="true" outlineLevel="0" collapsed="false">
      <c r="A17" s="3" t="s">
        <v>72</v>
      </c>
      <c r="C17" s="19" t="n">
        <f aca="false">-C6*Assumptions!$B$7</f>
        <v>-87267.77892</v>
      </c>
      <c r="D17" s="19" t="n">
        <f aca="false">-D6*Assumptions!$B$7</f>
        <v>-86395.1011308</v>
      </c>
      <c r="E17" s="19" t="n">
        <f aca="false">-E6*Assumptions!$B$7</f>
        <v>-85531.150119492</v>
      </c>
      <c r="F17" s="19" t="n">
        <f aca="false">-F6*Assumptions!$B$7</f>
        <v>-83820.5271171022</v>
      </c>
      <c r="G17" s="19" t="n">
        <f aca="false">-G6*Assumptions!$B$7</f>
        <v>-82144.1165747601</v>
      </c>
      <c r="H17" s="19" t="n">
        <f aca="false">-H6*Assumptions!$B$7</f>
        <v>-80501.2342432649</v>
      </c>
      <c r="I17" s="19" t="n">
        <f aca="false">-I6*Assumptions!$B$7</f>
        <v>-78891.2095583996</v>
      </c>
      <c r="J17" s="19" t="n">
        <f aca="false">-J6*Assumptions!$B$7</f>
        <v>-77313.3853672316</v>
      </c>
      <c r="K17" s="19" t="n">
        <f aca="false">-K6*Assumptions!$B$7</f>
        <v>-75767.117659887</v>
      </c>
      <c r="L17" s="19" t="n">
        <f aca="false">-L6*Assumptions!$B$7</f>
        <v>-74251.7753066893</v>
      </c>
    </row>
    <row r="18" customFormat="false" ht="15" hidden="false" customHeight="true" outlineLevel="0" collapsed="false">
      <c r="A18" s="3" t="s">
        <v>73</v>
      </c>
      <c r="C18" s="19" t="n">
        <f aca="false">Assumptions!$B$8*(C6-B6)</f>
        <v>0</v>
      </c>
      <c r="D18" s="19" t="n">
        <f aca="false">Assumptions!$B$8*(D6-C6)</f>
        <v>-0</v>
      </c>
      <c r="E18" s="19" t="n">
        <f aca="false">Assumptions!$B$8*(E6-D6)</f>
        <v>-0</v>
      </c>
      <c r="F18" s="19" t="n">
        <f aca="false">Assumptions!$B$8*(F6-E6)</f>
        <v>-0</v>
      </c>
      <c r="G18" s="19" t="n">
        <f aca="false">Assumptions!$B$8*(G6-F6)</f>
        <v>-0</v>
      </c>
      <c r="H18" s="19" t="n">
        <f aca="false">Assumptions!$B$8*(H6-G6)</f>
        <v>-0</v>
      </c>
      <c r="I18" s="19" t="n">
        <f aca="false">Assumptions!$B$8*(I6-H6)</f>
        <v>-0</v>
      </c>
      <c r="J18" s="19" t="n">
        <f aca="false">Assumptions!$B$8*(J6-I6)</f>
        <v>-0</v>
      </c>
      <c r="K18" s="19" t="n">
        <f aca="false">Assumptions!$B$8*(K6-J6)</f>
        <v>-0</v>
      </c>
      <c r="L18" s="19" t="n">
        <f aca="false">Assumptions!$B$8*(L6-K6)</f>
        <v>-0</v>
      </c>
    </row>
    <row r="19" customFormat="false" ht="15" hidden="false" customHeight="true" outlineLevel="0" collapsed="false">
      <c r="A19" s="3" t="s">
        <v>74</v>
      </c>
      <c r="C19" s="20" t="n">
        <f aca="false">C15+C16+C17+C18</f>
        <v>36673.245189</v>
      </c>
      <c r="D19" s="20" t="n">
        <f aca="false">D15+D16+D17+D18</f>
        <v>31781.05505883</v>
      </c>
      <c r="E19" s="20" t="n">
        <f aca="false">E15+E16+E17+E18</f>
        <v>28103.0921821188</v>
      </c>
      <c r="F19" s="20" t="n">
        <f aca="false">F15+F16+F17+F18</f>
        <v>25345.7308187428</v>
      </c>
      <c r="G19" s="20" t="n">
        <f aca="false">G15+G16+G17+G18</f>
        <v>23763.1194376985</v>
      </c>
      <c r="H19" s="20" t="n">
        <f aca="false">H15+H16+H17+H18</f>
        <v>23287.8570489445</v>
      </c>
      <c r="I19" s="20" t="n">
        <f aca="false">I15+I16+I17+I18</f>
        <v>22822.0999079656</v>
      </c>
      <c r="J19" s="20" t="n">
        <f aca="false">J15+J16+J17+J18</f>
        <v>22365.6579098063</v>
      </c>
      <c r="K19" s="20" t="n">
        <f aca="false">K15+K16+K17+K18</f>
        <v>21918.3447516102</v>
      </c>
      <c r="L19" s="20" t="n">
        <f aca="false">L15+L16+L17+L18</f>
        <v>21479.977856578</v>
      </c>
    </row>
    <row r="20" customFormat="false" ht="15" hidden="false" customHeight="true" outlineLevel="0" collapsed="false">
      <c r="A20" s="3" t="s">
        <v>75</v>
      </c>
      <c r="C20" s="21" t="n">
        <f aca="false">1/(1+Assumptions!$B$5)^C4</f>
        <v>0.91743119266055</v>
      </c>
      <c r="D20" s="21" t="n">
        <f aca="false">1/(1+Assumptions!$B$5)^D4</f>
        <v>0.84167999326656</v>
      </c>
      <c r="E20" s="21" t="n">
        <f aca="false">1/(1+Assumptions!$B$5)^E4</f>
        <v>0.772183480061064</v>
      </c>
      <c r="F20" s="21" t="n">
        <f aca="false">1/(1+Assumptions!$B$5)^F4</f>
        <v>0.708425211065196</v>
      </c>
      <c r="G20" s="21" t="n">
        <f aca="false">1/(1+Assumptions!$B$5)^G4</f>
        <v>0.649931386298345</v>
      </c>
      <c r="H20" s="21" t="n">
        <f aca="false">1/(1+Assumptions!$B$5)^H4</f>
        <v>0.596267326879216</v>
      </c>
      <c r="I20" s="21" t="n">
        <f aca="false">1/(1+Assumptions!$B$5)^I4</f>
        <v>0.547034244843317</v>
      </c>
      <c r="J20" s="21" t="n">
        <f aca="false">1/(1+Assumptions!$B$5)^J4</f>
        <v>0.501866279672768</v>
      </c>
      <c r="K20" s="21" t="n">
        <f aca="false">1/(1+Assumptions!$B$5)^K4</f>
        <v>0.460427779516301</v>
      </c>
      <c r="L20" s="21" t="n">
        <f aca="false">1/(1+Assumptions!$B$5)^L4</f>
        <v>0.422410806895689</v>
      </c>
    </row>
    <row r="21" customFormat="false" ht="15" hidden="false" customHeight="true" outlineLevel="0" collapsed="false">
      <c r="A21" s="3" t="s">
        <v>76</v>
      </c>
      <c r="C21" s="17" t="n">
        <f aca="false">C19*C20</f>
        <v>33645.1790724771</v>
      </c>
      <c r="D21" s="17" t="n">
        <f aca="false">D19*D20</f>
        <v>26749.4782079202</v>
      </c>
      <c r="E21" s="17" t="n">
        <f aca="false">E19*E20</f>
        <v>21700.7435216654</v>
      </c>
      <c r="F21" s="17" t="n">
        <f aca="false">F19*F20</f>
        <v>17955.5547048695</v>
      </c>
      <c r="G21" s="17" t="n">
        <f aca="false">G19*G20</f>
        <v>15444.3971589165</v>
      </c>
      <c r="H21" s="17" t="n">
        <f aca="false">H19*H20</f>
        <v>13885.7882713194</v>
      </c>
      <c r="I21" s="17" t="n">
        <f aca="false">I19*I20</f>
        <v>12484.4701888927</v>
      </c>
      <c r="J21" s="17" t="n">
        <f aca="false">J19*J20</f>
        <v>11224.5695276283</v>
      </c>
      <c r="K21" s="17" t="n">
        <f aca="false">K19*K20</f>
        <v>10091.8148046566</v>
      </c>
      <c r="L21" s="17" t="n">
        <f aca="false">L19*L20</f>
        <v>9073.37477849862</v>
      </c>
    </row>
    <row r="23" customFormat="false" ht="15" hidden="false" customHeight="true" outlineLevel="0" collapsed="false">
      <c r="A23" s="3" t="s">
        <v>77</v>
      </c>
      <c r="C23" s="17" t="n">
        <f aca="false">C19-C10</f>
        <v>36673.245189</v>
      </c>
      <c r="D23" s="17" t="n">
        <f aca="false">D19-D10</f>
        <v>31781.05505883</v>
      </c>
      <c r="E23" s="17" t="n">
        <f aca="false">E19-E10</f>
        <v>28103.0921821188</v>
      </c>
      <c r="F23" s="17" t="n">
        <f aca="false">F19-F10</f>
        <v>25345.7308187428</v>
      </c>
      <c r="G23" s="17" t="n">
        <f aca="false">G19-G10</f>
        <v>23763.1194376985</v>
      </c>
      <c r="H23" s="17" t="n">
        <f aca="false">H19-H10</f>
        <v>23287.8570489445</v>
      </c>
      <c r="I23" s="17" t="n">
        <f aca="false">I19-I10</f>
        <v>22822.0999079656</v>
      </c>
      <c r="J23" s="17" t="n">
        <f aca="false">J19-J10</f>
        <v>22365.6579098063</v>
      </c>
      <c r="K23" s="17" t="n">
        <f aca="false">K19-K10</f>
        <v>21918.3447516102</v>
      </c>
      <c r="L23" s="17" t="n">
        <f aca="false">L19-L10</f>
        <v>21479.977856578</v>
      </c>
    </row>
    <row r="24" customFormat="false" ht="15" hidden="false" customHeight="true" outlineLevel="0" collapsed="false">
      <c r="A24" s="3" t="s">
        <v>78</v>
      </c>
      <c r="C24" s="13" t="n">
        <f aca="false">C19/C6</f>
        <v>0.01765</v>
      </c>
      <c r="D24" s="13" t="n">
        <f aca="false">D19/D6</f>
        <v>0.01545</v>
      </c>
      <c r="E24" s="13" t="n">
        <f aca="false">E19/E6</f>
        <v>0.0138</v>
      </c>
      <c r="F24" s="13" t="n">
        <f aca="false">F19/F6</f>
        <v>0.0127</v>
      </c>
      <c r="G24" s="13" t="n">
        <f aca="false">G19/G6</f>
        <v>0.01215</v>
      </c>
      <c r="H24" s="13" t="n">
        <f aca="false">H19/H6</f>
        <v>0.01215</v>
      </c>
      <c r="I24" s="13" t="n">
        <f aca="false">I19/I6</f>
        <v>0.01215</v>
      </c>
      <c r="J24" s="13" t="n">
        <f aca="false">J19/J6</f>
        <v>0.01215</v>
      </c>
      <c r="K24" s="13" t="n">
        <f aca="false">K19/K6</f>
        <v>0.01215</v>
      </c>
      <c r="L24" s="13" t="n">
        <f aca="false">L19/L6</f>
        <v>0.01215</v>
      </c>
    </row>
    <row r="25" customFormat="false" ht="15" hidden="false" customHeight="true" outlineLevel="0" collapsed="false">
      <c r="A25" s="5" t="s">
        <v>79</v>
      </c>
    </row>
    <row r="26" customFormat="false" ht="15" hidden="false" customHeight="true" outlineLevel="0" collapsed="false">
      <c r="A26" s="3" t="s">
        <v>80</v>
      </c>
      <c r="B26" s="17" t="n">
        <f aca="false">SUM(C21:L21)</f>
        <v>172255.370236844</v>
      </c>
    </row>
    <row r="27" customFormat="false" ht="15" hidden="false" customHeight="true" outlineLevel="0" collapsed="false">
      <c r="A27" s="3" t="s">
        <v>39</v>
      </c>
      <c r="B27" s="22" t="n">
        <f aca="false">Assumptions!$C$15</f>
        <v>0</v>
      </c>
    </row>
    <row r="28" customFormat="false" ht="15" hidden="false" customHeight="true" outlineLevel="0" collapsed="false">
      <c r="A28" s="3" t="s">
        <v>81</v>
      </c>
      <c r="B28" s="17" t="n">
        <f aca="false">L19*(1+B27)</f>
        <v>21479.977856578</v>
      </c>
    </row>
    <row r="29" customFormat="false" ht="15" hidden="false" customHeight="true" outlineLevel="0" collapsed="false">
      <c r="A29" s="3" t="s">
        <v>82</v>
      </c>
      <c r="B29" s="17" t="n">
        <f aca="false">B28/(Assumptions!$B$5-B27)</f>
        <v>238666.420628644</v>
      </c>
    </row>
    <row r="30" customFormat="false" ht="15" hidden="false" customHeight="true" outlineLevel="0" collapsed="false">
      <c r="A30" s="3" t="s">
        <v>83</v>
      </c>
      <c r="B30" s="19" t="n">
        <f aca="false">Assumptions!$B$12*L19</f>
        <v>429599.557131559</v>
      </c>
    </row>
    <row r="31" customFormat="false" ht="15" hidden="false" customHeight="true" outlineLevel="0" collapsed="false">
      <c r="A31" s="3" t="s">
        <v>84</v>
      </c>
      <c r="B31" s="17" t="n">
        <f aca="false">MIN(B29,B30)</f>
        <v>238666.420628644</v>
      </c>
    </row>
    <row r="32" customFormat="false" ht="15" hidden="false" customHeight="true" outlineLevel="0" collapsed="false">
      <c r="A32" s="3" t="s">
        <v>85</v>
      </c>
      <c r="B32" s="23" t="n">
        <f aca="false">B31/L19</f>
        <v>11.1111111111111</v>
      </c>
    </row>
    <row r="33" customFormat="false" ht="15" hidden="false" customHeight="true" outlineLevel="0" collapsed="false">
      <c r="A33" s="3" t="s">
        <v>86</v>
      </c>
      <c r="B33" s="17" t="n">
        <f aca="false">B31*L20</f>
        <v>100815.275316651</v>
      </c>
    </row>
    <row r="34" customFormat="false" ht="15" hidden="false" customHeight="true" outlineLevel="0" collapsed="false">
      <c r="A34" s="3" t="s">
        <v>87</v>
      </c>
      <c r="B34" s="17" t="n">
        <f aca="false">B26+B33</f>
        <v>273070.645553496</v>
      </c>
    </row>
    <row r="35" customFormat="false" ht="15" hidden="false" customHeight="true" outlineLevel="0" collapsed="false">
      <c r="A35" s="3" t="s">
        <v>88</v>
      </c>
      <c r="B35" s="19" t="n">
        <f aca="false">Assumptions!$B$9</f>
        <v>89172</v>
      </c>
    </row>
    <row r="36" customFormat="false" ht="15" hidden="false" customHeight="true" outlineLevel="0" collapsed="false">
      <c r="A36" s="3" t="s">
        <v>89</v>
      </c>
      <c r="B36" s="17" t="n">
        <f aca="false">B34+B35</f>
        <v>362242.645553496</v>
      </c>
    </row>
    <row r="37" customFormat="false" ht="15" hidden="false" customHeight="true" outlineLevel="0" collapsed="false">
      <c r="A37" s="3" t="s">
        <v>30</v>
      </c>
      <c r="B37" s="24" t="n">
        <f aca="false">Assumptions!$B$10</f>
        <v>178.66</v>
      </c>
    </row>
    <row r="38" customFormat="false" ht="15" hidden="false" customHeight="true" outlineLevel="0" collapsed="false">
      <c r="A38" s="3" t="s">
        <v>90</v>
      </c>
      <c r="B38" s="25" t="n">
        <f aca="false">B36/B37</f>
        <v>2027.5531487378</v>
      </c>
    </row>
    <row r="39" customFormat="false" ht="15" hidden="false" customHeight="true" outlineLevel="0" collapsed="false">
      <c r="A39" s="3" t="s">
        <v>91</v>
      </c>
      <c r="B39" s="13" t="n">
        <f aca="false">B38/Assumptions!$B$11-1</f>
        <v>-0.0781754268070914</v>
      </c>
    </row>
    <row r="41" customFormat="false" ht="15" hidden="false" customHeight="true" outlineLevel="0" collapsed="false">
      <c r="A41" s="3" t="s">
        <v>92</v>
      </c>
      <c r="B41" s="17" t="n">
        <f aca="false">SUMPRODUCT(-C10:L10/(1+Assumptions!$B$5)^C4:L4)</f>
        <v>0</v>
      </c>
    </row>
    <row r="42" customFormat="false" ht="15" hidden="false" customHeight="true" outlineLevel="0" collapsed="false">
      <c r="A42" s="3" t="s">
        <v>93</v>
      </c>
      <c r="B42" s="17" t="n">
        <f aca="false">(-L10*(1+B27)/(Assumptions!$B$5-B27))*L20</f>
        <v>0</v>
      </c>
    </row>
    <row r="43" customFormat="false" ht="15" hidden="false" customHeight="true" outlineLevel="0" collapsed="false">
      <c r="A43" s="3" t="s">
        <v>94</v>
      </c>
      <c r="B43" s="26" t="n">
        <f aca="false">(B36+B41+B42)/B37</f>
        <v>2027.5531487378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12" min="2" style="1" width="10.51"/>
  </cols>
  <sheetData>
    <row r="1" customFormat="false" ht="15.75" hidden="false" customHeight="true" outlineLevel="0" collapsed="false">
      <c r="A1" s="2" t="s">
        <v>95</v>
      </c>
    </row>
    <row r="2" customFormat="false" ht="15" hidden="false" customHeight="true" outlineLevel="0" collapsed="false">
      <c r="A2" s="6" t="s">
        <v>47</v>
      </c>
    </row>
    <row r="3" customFormat="false" ht="15" hidden="false" customHeight="true" outlineLevel="0" collapsed="false">
      <c r="B3" s="12" t="s">
        <v>48</v>
      </c>
      <c r="C3" s="12" t="s">
        <v>49</v>
      </c>
      <c r="D3" s="12" t="s">
        <v>50</v>
      </c>
      <c r="E3" s="12" t="s">
        <v>51</v>
      </c>
      <c r="F3" s="12" t="s">
        <v>52</v>
      </c>
      <c r="G3" s="12" t="s">
        <v>53</v>
      </c>
      <c r="H3" s="12" t="s">
        <v>54</v>
      </c>
      <c r="I3" s="12" t="s">
        <v>55</v>
      </c>
      <c r="J3" s="12" t="s">
        <v>56</v>
      </c>
      <c r="K3" s="12" t="s">
        <v>57</v>
      </c>
      <c r="L3" s="12" t="s">
        <v>58</v>
      </c>
    </row>
    <row r="4" customFormat="false" ht="15" hidden="false" customHeight="true" outlineLevel="0" collapsed="false">
      <c r="A4" s="15" t="s">
        <v>59</v>
      </c>
      <c r="B4" s="15" t="n">
        <v>0</v>
      </c>
      <c r="C4" s="15" t="n">
        <v>1</v>
      </c>
      <c r="D4" s="15" t="n">
        <v>2</v>
      </c>
      <c r="E4" s="15" t="n">
        <v>3</v>
      </c>
      <c r="F4" s="15" t="n">
        <v>4</v>
      </c>
      <c r="G4" s="15" t="n">
        <v>5</v>
      </c>
      <c r="H4" s="15" t="n">
        <v>6</v>
      </c>
      <c r="I4" s="15" t="n">
        <v>7</v>
      </c>
      <c r="J4" s="15" t="n">
        <v>8</v>
      </c>
      <c r="K4" s="15" t="n">
        <v>9</v>
      </c>
      <c r="L4" s="15" t="n">
        <v>10</v>
      </c>
    </row>
    <row r="5" customFormat="false" ht="15" hidden="false" customHeight="true" outlineLevel="0" collapsed="false">
      <c r="A5" s="3" t="s">
        <v>60</v>
      </c>
      <c r="C5" s="7" t="n">
        <v>0.04</v>
      </c>
      <c r="D5" s="7" t="n">
        <v>0.02</v>
      </c>
      <c r="E5" s="7" t="n">
        <v>0.02</v>
      </c>
      <c r="F5" s="7" t="n">
        <v>0.02</v>
      </c>
      <c r="G5" s="7" t="n">
        <v>0.015</v>
      </c>
      <c r="H5" s="7" t="n">
        <v>0.015</v>
      </c>
      <c r="I5" s="7" t="n">
        <v>0.01</v>
      </c>
      <c r="J5" s="7" t="n">
        <v>0.01</v>
      </c>
      <c r="K5" s="7" t="n">
        <v>0.01</v>
      </c>
      <c r="L5" s="7" t="n">
        <v>0.01</v>
      </c>
    </row>
    <row r="6" customFormat="false" ht="15" hidden="false" customHeight="true" outlineLevel="0" collapsed="false">
      <c r="A6" s="3" t="s">
        <v>61</v>
      </c>
      <c r="B6" s="16" t="n">
        <v>2037063</v>
      </c>
      <c r="C6" s="17" t="n">
        <f aca="false">B6*(1+C5)</f>
        <v>2118545.52</v>
      </c>
      <c r="D6" s="17" t="n">
        <f aca="false">C6*(1+D5)</f>
        <v>2160916.4304</v>
      </c>
      <c r="E6" s="17" t="n">
        <f aca="false">D6*(1+E5)</f>
        <v>2204134.759008</v>
      </c>
      <c r="F6" s="17" t="n">
        <f aca="false">E6*(1+F5)</f>
        <v>2248217.45418816</v>
      </c>
      <c r="G6" s="17" t="n">
        <f aca="false">F6*(1+G5)</f>
        <v>2281940.71600098</v>
      </c>
      <c r="H6" s="17" t="n">
        <f aca="false">G6*(1+H5)</f>
        <v>2316169.826741</v>
      </c>
      <c r="I6" s="17" t="n">
        <f aca="false">H6*(1+I5)</f>
        <v>2339331.52500841</v>
      </c>
      <c r="J6" s="17" t="n">
        <f aca="false">I6*(1+J5)</f>
        <v>2362724.84025849</v>
      </c>
      <c r="K6" s="17" t="n">
        <f aca="false">J6*(1+K5)</f>
        <v>2386352.08866108</v>
      </c>
      <c r="L6" s="17" t="n">
        <f aca="false">K6*(1+L5)</f>
        <v>2410215.60954769</v>
      </c>
    </row>
    <row r="7" customFormat="false" ht="15" hidden="false" customHeight="true" outlineLevel="0" collapsed="false">
      <c r="A7" s="3" t="s">
        <v>62</v>
      </c>
      <c r="B7" s="18" t="n">
        <v>0.0731</v>
      </c>
      <c r="C7" s="7" t="n">
        <v>0.071</v>
      </c>
      <c r="D7" s="7" t="n">
        <v>0.074</v>
      </c>
      <c r="E7" s="7" t="n">
        <v>0.077</v>
      </c>
      <c r="F7" s="7" t="n">
        <v>0.079</v>
      </c>
      <c r="G7" s="7" t="n">
        <v>0.08</v>
      </c>
      <c r="H7" s="7" t="n">
        <v>0.08</v>
      </c>
      <c r="I7" s="7" t="n">
        <v>0.08</v>
      </c>
      <c r="J7" s="7" t="n">
        <v>0.08</v>
      </c>
      <c r="K7" s="7" t="n">
        <v>0.08</v>
      </c>
      <c r="L7" s="7" t="n">
        <v>0.08</v>
      </c>
    </row>
    <row r="8" customFormat="false" ht="15" hidden="false" customHeight="true" outlineLevel="0" collapsed="false">
      <c r="A8" s="3" t="s">
        <v>63</v>
      </c>
      <c r="C8" s="17" t="n">
        <f aca="false">C6*C7</f>
        <v>150416.73192</v>
      </c>
      <c r="D8" s="17" t="n">
        <f aca="false">D6*D7</f>
        <v>159907.8158496</v>
      </c>
      <c r="E8" s="17" t="n">
        <f aca="false">E6*E7</f>
        <v>169718.376443616</v>
      </c>
      <c r="F8" s="17" t="n">
        <f aca="false">F6*F7</f>
        <v>177609.178880865</v>
      </c>
      <c r="G8" s="17" t="n">
        <f aca="false">G6*G7</f>
        <v>182555.257280079</v>
      </c>
      <c r="H8" s="17" t="n">
        <f aca="false">H6*H7</f>
        <v>185293.58613928</v>
      </c>
      <c r="I8" s="17" t="n">
        <f aca="false">I6*I7</f>
        <v>187146.522000673</v>
      </c>
      <c r="J8" s="17" t="n">
        <f aca="false">J6*J7</f>
        <v>189017.987220679</v>
      </c>
      <c r="K8" s="17" t="n">
        <f aca="false">K6*K7</f>
        <v>190908.167092886</v>
      </c>
      <c r="L8" s="17" t="n">
        <f aca="false">L6*L7</f>
        <v>192817.248763815</v>
      </c>
    </row>
    <row r="9" customFormat="false" ht="15" hidden="false" customHeight="true" outlineLevel="0" collapsed="false">
      <c r="A9" s="3" t="s">
        <v>64</v>
      </c>
      <c r="B9" s="18" t="n">
        <v>0</v>
      </c>
      <c r="C9" s="7" t="n">
        <v>0</v>
      </c>
      <c r="D9" s="7" t="n">
        <v>0</v>
      </c>
      <c r="E9" s="7" t="n">
        <v>0</v>
      </c>
      <c r="F9" s="7" t="n">
        <v>0</v>
      </c>
      <c r="G9" s="7" t="n">
        <v>0</v>
      </c>
      <c r="H9" s="7" t="n">
        <v>0</v>
      </c>
      <c r="I9" s="7" t="n">
        <v>0</v>
      </c>
      <c r="J9" s="7" t="n">
        <v>0</v>
      </c>
      <c r="K9" s="7" t="n">
        <v>0</v>
      </c>
      <c r="L9" s="7" t="n">
        <v>0</v>
      </c>
    </row>
    <row r="10" customFormat="false" ht="15" hidden="false" customHeight="true" outlineLevel="0" collapsed="false">
      <c r="A10" s="3" t="s">
        <v>65</v>
      </c>
      <c r="C10" s="17" t="n">
        <f aca="false">-C6*C9</f>
        <v>-0</v>
      </c>
      <c r="D10" s="17" t="n">
        <f aca="false">-D6*D9</f>
        <v>-0</v>
      </c>
      <c r="E10" s="17" t="n">
        <f aca="false">-E6*E9</f>
        <v>-0</v>
      </c>
      <c r="F10" s="17" t="n">
        <f aca="false">-F6*F9</f>
        <v>-0</v>
      </c>
      <c r="G10" s="17" t="n">
        <f aca="false">-G6*G9</f>
        <v>-0</v>
      </c>
      <c r="H10" s="17" t="n">
        <f aca="false">-H6*H9</f>
        <v>-0</v>
      </c>
      <c r="I10" s="17" t="n">
        <f aca="false">-I6*I9</f>
        <v>-0</v>
      </c>
      <c r="J10" s="17" t="n">
        <f aca="false">-J6*J9</f>
        <v>-0</v>
      </c>
      <c r="K10" s="17" t="n">
        <f aca="false">-K6*K9</f>
        <v>-0</v>
      </c>
      <c r="L10" s="17" t="n">
        <f aca="false">-L6*L9</f>
        <v>-0</v>
      </c>
    </row>
    <row r="11" customFormat="false" ht="15" hidden="false" customHeight="true" outlineLevel="0" collapsed="false">
      <c r="A11" s="3" t="s">
        <v>66</v>
      </c>
      <c r="C11" s="17" t="n">
        <f aca="false">C8+C10</f>
        <v>150416.73192</v>
      </c>
      <c r="D11" s="17" t="n">
        <f aca="false">D8+D10</f>
        <v>159907.8158496</v>
      </c>
      <c r="E11" s="17" t="n">
        <f aca="false">E8+E10</f>
        <v>169718.376443616</v>
      </c>
      <c r="F11" s="17" t="n">
        <f aca="false">F8+F10</f>
        <v>177609.178880865</v>
      </c>
      <c r="G11" s="17" t="n">
        <f aca="false">G8+G10</f>
        <v>182555.257280079</v>
      </c>
      <c r="H11" s="17" t="n">
        <f aca="false">H8+H10</f>
        <v>185293.58613928</v>
      </c>
      <c r="I11" s="17" t="n">
        <f aca="false">I8+I10</f>
        <v>187146.522000673</v>
      </c>
      <c r="J11" s="17" t="n">
        <f aca="false">J8+J10</f>
        <v>189017.987220679</v>
      </c>
      <c r="K11" s="17" t="n">
        <f aca="false">K8+K10</f>
        <v>190908.167092886</v>
      </c>
      <c r="L11" s="17" t="n">
        <f aca="false">L8+L10</f>
        <v>192817.248763815</v>
      </c>
    </row>
    <row r="12" customFormat="false" ht="15" hidden="false" customHeight="true" outlineLevel="0" collapsed="false">
      <c r="A12" s="3" t="s">
        <v>67</v>
      </c>
      <c r="C12" s="19" t="n">
        <f aca="false">-C6*Assumptions!$B$6</f>
        <v>-99571.63944</v>
      </c>
      <c r="D12" s="19" t="n">
        <f aca="false">-D6*Assumptions!$B$6</f>
        <v>-101563.0722288</v>
      </c>
      <c r="E12" s="19" t="n">
        <f aca="false">-E6*Assumptions!$B$6</f>
        <v>-103594.333673376</v>
      </c>
      <c r="F12" s="19" t="n">
        <f aca="false">-F6*Assumptions!$B$6</f>
        <v>-105666.220346844</v>
      </c>
      <c r="G12" s="19" t="n">
        <f aca="false">-G6*Assumptions!$B$6</f>
        <v>-107251.213652046</v>
      </c>
      <c r="H12" s="19" t="n">
        <f aca="false">-H6*Assumptions!$B$6</f>
        <v>-108859.981856827</v>
      </c>
      <c r="I12" s="19" t="n">
        <f aca="false">-I6*Assumptions!$B$6</f>
        <v>-109948.581675395</v>
      </c>
      <c r="J12" s="19" t="n">
        <f aca="false">-J6*Assumptions!$B$6</f>
        <v>-111048.067492149</v>
      </c>
      <c r="K12" s="19" t="n">
        <f aca="false">-K6*Assumptions!$B$6</f>
        <v>-112158.548167071</v>
      </c>
      <c r="L12" s="19" t="n">
        <f aca="false">-L6*Assumptions!$B$6</f>
        <v>-113280.133648741</v>
      </c>
    </row>
    <row r="13" customFormat="false" ht="15" hidden="false" customHeight="true" outlineLevel="0" collapsed="false">
      <c r="A13" s="3" t="s">
        <v>68</v>
      </c>
      <c r="C13" s="17" t="n">
        <f aca="false">C11+C12</f>
        <v>50845.09248</v>
      </c>
      <c r="D13" s="17" t="n">
        <f aca="false">D11+D12</f>
        <v>58344.7436208</v>
      </c>
      <c r="E13" s="17" t="n">
        <f aca="false">E11+E12</f>
        <v>66124.04277024</v>
      </c>
      <c r="F13" s="17" t="n">
        <f aca="false">F11+F12</f>
        <v>71942.9585340211</v>
      </c>
      <c r="G13" s="17" t="n">
        <f aca="false">G11+G12</f>
        <v>75304.0436280324</v>
      </c>
      <c r="H13" s="17" t="n">
        <f aca="false">H11+H12</f>
        <v>76433.6042824529</v>
      </c>
      <c r="I13" s="17" t="n">
        <f aca="false">I11+I12</f>
        <v>77197.9403252774</v>
      </c>
      <c r="J13" s="17" t="n">
        <f aca="false">J11+J12</f>
        <v>77969.9197285302</v>
      </c>
      <c r="K13" s="17" t="n">
        <f aca="false">K11+K12</f>
        <v>78749.6189258155</v>
      </c>
      <c r="L13" s="17" t="n">
        <f aca="false">L11+L12</f>
        <v>79537.1151150737</v>
      </c>
    </row>
    <row r="14" customFormat="false" ht="15" hidden="false" customHeight="true" outlineLevel="0" collapsed="false">
      <c r="A14" s="3" t="s">
        <v>69</v>
      </c>
      <c r="C14" s="7" t="n">
        <v>0.45</v>
      </c>
      <c r="D14" s="7" t="n">
        <v>0.45</v>
      </c>
      <c r="E14" s="7" t="n">
        <v>0.45</v>
      </c>
      <c r="F14" s="7" t="n">
        <v>0.45</v>
      </c>
      <c r="G14" s="7" t="n">
        <v>0.45</v>
      </c>
      <c r="H14" s="7" t="n">
        <v>0.45</v>
      </c>
      <c r="I14" s="7" t="n">
        <v>0.45</v>
      </c>
      <c r="J14" s="7" t="n">
        <v>0.45</v>
      </c>
      <c r="K14" s="7" t="n">
        <v>0.45</v>
      </c>
      <c r="L14" s="7" t="n">
        <v>0.45</v>
      </c>
    </row>
    <row r="15" customFormat="false" ht="15" hidden="false" customHeight="true" outlineLevel="0" collapsed="false">
      <c r="A15" s="3" t="s">
        <v>70</v>
      </c>
      <c r="C15" s="17" t="n">
        <f aca="false">C13*(1-C14)</f>
        <v>27964.800864</v>
      </c>
      <c r="D15" s="17" t="n">
        <f aca="false">D13*(1-D14)</f>
        <v>32089.60899144</v>
      </c>
      <c r="E15" s="17" t="n">
        <f aca="false">E13*(1-E14)</f>
        <v>36368.223523632</v>
      </c>
      <c r="F15" s="17" t="n">
        <f aca="false">F13*(1-F14)</f>
        <v>39568.6271937116</v>
      </c>
      <c r="G15" s="17" t="n">
        <f aca="false">G13*(1-G14)</f>
        <v>41417.2239954178</v>
      </c>
      <c r="H15" s="17" t="n">
        <f aca="false">H13*(1-H14)</f>
        <v>42038.4823553491</v>
      </c>
      <c r="I15" s="17" t="n">
        <f aca="false">I13*(1-I14)</f>
        <v>42458.8671789026</v>
      </c>
      <c r="J15" s="17" t="n">
        <f aca="false">J13*(1-J14)</f>
        <v>42883.4558506916</v>
      </c>
      <c r="K15" s="17" t="n">
        <f aca="false">K13*(1-K14)</f>
        <v>43312.2904091985</v>
      </c>
      <c r="L15" s="17" t="n">
        <f aca="false">L13*(1-L14)</f>
        <v>43745.4133132905</v>
      </c>
    </row>
    <row r="16" customFormat="false" ht="15" hidden="false" customHeight="true" outlineLevel="0" collapsed="false">
      <c r="A16" s="3" t="s">
        <v>71</v>
      </c>
      <c r="C16" s="17" t="n">
        <f aca="false">-C12</f>
        <v>99571.63944</v>
      </c>
      <c r="D16" s="17" t="n">
        <f aca="false">-D12</f>
        <v>101563.0722288</v>
      </c>
      <c r="E16" s="17" t="n">
        <f aca="false">-E12</f>
        <v>103594.333673376</v>
      </c>
      <c r="F16" s="17" t="n">
        <f aca="false">-F12</f>
        <v>105666.220346844</v>
      </c>
      <c r="G16" s="17" t="n">
        <f aca="false">-G12</f>
        <v>107251.213652046</v>
      </c>
      <c r="H16" s="17" t="n">
        <f aca="false">-H12</f>
        <v>108859.981856827</v>
      </c>
      <c r="I16" s="17" t="n">
        <f aca="false">-I12</f>
        <v>109948.581675395</v>
      </c>
      <c r="J16" s="17" t="n">
        <f aca="false">-J12</f>
        <v>111048.067492149</v>
      </c>
      <c r="K16" s="17" t="n">
        <f aca="false">-K12</f>
        <v>112158.548167071</v>
      </c>
      <c r="L16" s="17" t="n">
        <f aca="false">-L12</f>
        <v>113280.133648741</v>
      </c>
    </row>
    <row r="17" customFormat="false" ht="15" hidden="false" customHeight="true" outlineLevel="0" collapsed="false">
      <c r="A17" s="3" t="s">
        <v>72</v>
      </c>
      <c r="C17" s="19" t="n">
        <f aca="false">-C6*Assumptions!$B$7</f>
        <v>-88978.91184</v>
      </c>
      <c r="D17" s="19" t="n">
        <f aca="false">-D6*Assumptions!$B$7</f>
        <v>-90758.4900768</v>
      </c>
      <c r="E17" s="19" t="n">
        <f aca="false">-E6*Assumptions!$B$7</f>
        <v>-92573.659878336</v>
      </c>
      <c r="F17" s="19" t="n">
        <f aca="false">-F6*Assumptions!$B$7</f>
        <v>-94425.1330759027</v>
      </c>
      <c r="G17" s="19" t="n">
        <f aca="false">-G6*Assumptions!$B$7</f>
        <v>-95841.5100720413</v>
      </c>
      <c r="H17" s="19" t="n">
        <f aca="false">-H6*Assumptions!$B$7</f>
        <v>-97279.1327231219</v>
      </c>
      <c r="I17" s="19" t="n">
        <f aca="false">-I6*Assumptions!$B$7</f>
        <v>-98251.9240503531</v>
      </c>
      <c r="J17" s="19" t="n">
        <f aca="false">-J6*Assumptions!$B$7</f>
        <v>-99234.4432908566</v>
      </c>
      <c r="K17" s="19" t="n">
        <f aca="false">-K6*Assumptions!$B$7</f>
        <v>-100226.787723765</v>
      </c>
      <c r="L17" s="19" t="n">
        <f aca="false">-L6*Assumptions!$B$7</f>
        <v>-101229.055601003</v>
      </c>
    </row>
    <row r="18" customFormat="false" ht="15" hidden="false" customHeight="true" outlineLevel="0" collapsed="false">
      <c r="A18" s="3" t="s">
        <v>73</v>
      </c>
      <c r="C18" s="19" t="n">
        <f aca="false">Assumptions!$B$8*(C6-B6)</f>
        <v>0</v>
      </c>
      <c r="D18" s="19" t="n">
        <f aca="false">Assumptions!$B$8*(D6-C6)</f>
        <v>0</v>
      </c>
      <c r="E18" s="19" t="n">
        <f aca="false">Assumptions!$B$8*(E6-D6)</f>
        <v>0</v>
      </c>
      <c r="F18" s="19" t="n">
        <f aca="false">Assumptions!$B$8*(F6-E6)</f>
        <v>0</v>
      </c>
      <c r="G18" s="19" t="n">
        <f aca="false">Assumptions!$B$8*(G6-F6)</f>
        <v>0</v>
      </c>
      <c r="H18" s="19" t="n">
        <f aca="false">Assumptions!$B$8*(H6-G6)</f>
        <v>0</v>
      </c>
      <c r="I18" s="19" t="n">
        <f aca="false">Assumptions!$B$8*(I6-H6)</f>
        <v>0</v>
      </c>
      <c r="J18" s="19" t="n">
        <f aca="false">Assumptions!$B$8*(J6-I6)</f>
        <v>0</v>
      </c>
      <c r="K18" s="19" t="n">
        <f aca="false">Assumptions!$B$8*(K6-J6)</f>
        <v>0</v>
      </c>
      <c r="L18" s="19" t="n">
        <f aca="false">Assumptions!$B$8*(L6-K6)</f>
        <v>0</v>
      </c>
    </row>
    <row r="19" customFormat="false" ht="15" hidden="false" customHeight="true" outlineLevel="0" collapsed="false">
      <c r="A19" s="3" t="s">
        <v>74</v>
      </c>
      <c r="C19" s="20" t="n">
        <f aca="false">C15+C16+C17+C18</f>
        <v>38557.528464</v>
      </c>
      <c r="D19" s="20" t="n">
        <f aca="false">D15+D16+D17+D18</f>
        <v>42894.19114344</v>
      </c>
      <c r="E19" s="20" t="n">
        <f aca="false">E15+E16+E17+E18</f>
        <v>47388.897318672</v>
      </c>
      <c r="F19" s="20" t="n">
        <f aca="false">F15+F16+F17+F18</f>
        <v>50809.7144646524</v>
      </c>
      <c r="G19" s="20" t="n">
        <f aca="false">G15+G16+G17+G18</f>
        <v>52826.9275754227</v>
      </c>
      <c r="H19" s="20" t="n">
        <f aca="false">H15+H16+H17+H18</f>
        <v>53619.3314890541</v>
      </c>
      <c r="I19" s="20" t="n">
        <f aca="false">I15+I16+I17+I18</f>
        <v>54155.5248039446</v>
      </c>
      <c r="J19" s="20" t="n">
        <f aca="false">J15+J16+J17+J18</f>
        <v>54697.080051984</v>
      </c>
      <c r="K19" s="20" t="n">
        <f aca="false">K15+K16+K17+K18</f>
        <v>55244.0508525039</v>
      </c>
      <c r="L19" s="20" t="n">
        <f aca="false">L15+L16+L17+L18</f>
        <v>55796.4913610289</v>
      </c>
    </row>
    <row r="20" customFormat="false" ht="15" hidden="false" customHeight="true" outlineLevel="0" collapsed="false">
      <c r="A20" s="3" t="s">
        <v>75</v>
      </c>
      <c r="C20" s="21" t="n">
        <f aca="false">1/(1+Assumptions!$B$5)^C4</f>
        <v>0.91743119266055</v>
      </c>
      <c r="D20" s="21" t="n">
        <f aca="false">1/(1+Assumptions!$B$5)^D4</f>
        <v>0.84167999326656</v>
      </c>
      <c r="E20" s="21" t="n">
        <f aca="false">1/(1+Assumptions!$B$5)^E4</f>
        <v>0.772183480061064</v>
      </c>
      <c r="F20" s="21" t="n">
        <f aca="false">1/(1+Assumptions!$B$5)^F4</f>
        <v>0.708425211065196</v>
      </c>
      <c r="G20" s="21" t="n">
        <f aca="false">1/(1+Assumptions!$B$5)^G4</f>
        <v>0.649931386298345</v>
      </c>
      <c r="H20" s="21" t="n">
        <f aca="false">1/(1+Assumptions!$B$5)^H4</f>
        <v>0.596267326879216</v>
      </c>
      <c r="I20" s="21" t="n">
        <f aca="false">1/(1+Assumptions!$B$5)^I4</f>
        <v>0.547034244843317</v>
      </c>
      <c r="J20" s="21" t="n">
        <f aca="false">1/(1+Assumptions!$B$5)^J4</f>
        <v>0.501866279672768</v>
      </c>
      <c r="K20" s="21" t="n">
        <f aca="false">1/(1+Assumptions!$B$5)^K4</f>
        <v>0.460427779516301</v>
      </c>
      <c r="L20" s="21" t="n">
        <f aca="false">1/(1+Assumptions!$B$5)^L4</f>
        <v>0.422410806895689</v>
      </c>
    </row>
    <row r="21" customFormat="false" ht="15" hidden="false" customHeight="true" outlineLevel="0" collapsed="false">
      <c r="A21" s="3" t="s">
        <v>76</v>
      </c>
      <c r="C21" s="17" t="n">
        <f aca="false">C19*C20</f>
        <v>35373.8793247706</v>
      </c>
      <c r="D21" s="17" t="n">
        <f aca="false">D19*D20</f>
        <v>36103.1825127851</v>
      </c>
      <c r="E21" s="17" t="n">
        <f aca="false">E19*E20</f>
        <v>36592.9236477886</v>
      </c>
      <c r="F21" s="17" t="n">
        <f aca="false">F19*F20</f>
        <v>35994.8826937837</v>
      </c>
      <c r="G21" s="17" t="n">
        <f aca="false">G19*G20</f>
        <v>34333.8782729768</v>
      </c>
      <c r="H21" s="17" t="n">
        <f aca="false">H19*H20</f>
        <v>31971.4554560288</v>
      </c>
      <c r="I21" s="17" t="n">
        <f aca="false">I19*I20</f>
        <v>29624.9266152194</v>
      </c>
      <c r="J21" s="17" t="n">
        <f aca="false">J19*J20</f>
        <v>27450.6200746528</v>
      </c>
      <c r="K21" s="17" t="n">
        <f aca="false">K19*K20</f>
        <v>25435.895665504</v>
      </c>
      <c r="L21" s="17" t="n">
        <f aca="false">L19*L20</f>
        <v>23569.0409377606</v>
      </c>
    </row>
    <row r="23" customFormat="false" ht="15" hidden="false" customHeight="true" outlineLevel="0" collapsed="false">
      <c r="A23" s="3" t="s">
        <v>77</v>
      </c>
      <c r="C23" s="17" t="n">
        <f aca="false">C19-C10</f>
        <v>38557.528464</v>
      </c>
      <c r="D23" s="17" t="n">
        <f aca="false">D19-D10</f>
        <v>42894.19114344</v>
      </c>
      <c r="E23" s="17" t="n">
        <f aca="false">E19-E10</f>
        <v>47388.897318672</v>
      </c>
      <c r="F23" s="17" t="n">
        <f aca="false">F19-F10</f>
        <v>50809.7144646524</v>
      </c>
      <c r="G23" s="17" t="n">
        <f aca="false">G19-G10</f>
        <v>52826.9275754227</v>
      </c>
      <c r="H23" s="17" t="n">
        <f aca="false">H19-H10</f>
        <v>53619.3314890541</v>
      </c>
      <c r="I23" s="17" t="n">
        <f aca="false">I19-I10</f>
        <v>54155.5248039446</v>
      </c>
      <c r="J23" s="17" t="n">
        <f aca="false">J19-J10</f>
        <v>54697.080051984</v>
      </c>
      <c r="K23" s="17" t="n">
        <f aca="false">K19-K10</f>
        <v>55244.0508525039</v>
      </c>
      <c r="L23" s="17" t="n">
        <f aca="false">L19-L10</f>
        <v>55796.4913610289</v>
      </c>
    </row>
    <row r="24" customFormat="false" ht="15" hidden="false" customHeight="true" outlineLevel="0" collapsed="false">
      <c r="A24" s="3" t="s">
        <v>78</v>
      </c>
      <c r="C24" s="13" t="n">
        <f aca="false">C19/C6</f>
        <v>0.0182</v>
      </c>
      <c r="D24" s="13" t="n">
        <f aca="false">D19/D6</f>
        <v>0.01985</v>
      </c>
      <c r="E24" s="13" t="n">
        <f aca="false">E19/E6</f>
        <v>0.0215</v>
      </c>
      <c r="F24" s="13" t="n">
        <f aca="false">F19/F6</f>
        <v>0.0226</v>
      </c>
      <c r="G24" s="13" t="n">
        <f aca="false">G19/G6</f>
        <v>0.02315</v>
      </c>
      <c r="H24" s="13" t="n">
        <f aca="false">H19/H6</f>
        <v>0.02315</v>
      </c>
      <c r="I24" s="13" t="n">
        <f aca="false">I19/I6</f>
        <v>0.02315</v>
      </c>
      <c r="J24" s="13" t="n">
        <f aca="false">J19/J6</f>
        <v>0.02315</v>
      </c>
      <c r="K24" s="13" t="n">
        <f aca="false">K19/K6</f>
        <v>0.02315</v>
      </c>
      <c r="L24" s="13" t="n">
        <f aca="false">L19/L6</f>
        <v>0.02315</v>
      </c>
    </row>
    <row r="25" customFormat="false" ht="15" hidden="false" customHeight="true" outlineLevel="0" collapsed="false">
      <c r="A25" s="5" t="s">
        <v>79</v>
      </c>
    </row>
    <row r="26" customFormat="false" ht="15" hidden="false" customHeight="true" outlineLevel="0" collapsed="false">
      <c r="A26" s="3" t="s">
        <v>80</v>
      </c>
      <c r="B26" s="17" t="n">
        <f aca="false">SUM(C21:L21)</f>
        <v>316450.68520127</v>
      </c>
    </row>
    <row r="27" customFormat="false" ht="15" hidden="false" customHeight="true" outlineLevel="0" collapsed="false">
      <c r="A27" s="3" t="s">
        <v>39</v>
      </c>
      <c r="B27" s="22" t="n">
        <f aca="false">Assumptions!$D$15</f>
        <v>0.005</v>
      </c>
    </row>
    <row r="28" customFormat="false" ht="15" hidden="false" customHeight="true" outlineLevel="0" collapsed="false">
      <c r="A28" s="3" t="s">
        <v>81</v>
      </c>
      <c r="B28" s="17" t="n">
        <f aca="false">L19*(1+B27)</f>
        <v>56075.4738178341</v>
      </c>
    </row>
    <row r="29" customFormat="false" ht="15" hidden="false" customHeight="true" outlineLevel="0" collapsed="false">
      <c r="A29" s="3" t="s">
        <v>82</v>
      </c>
      <c r="B29" s="17" t="n">
        <f aca="false">B28/(Assumptions!$B$5-B27)</f>
        <v>659711.456680401</v>
      </c>
    </row>
    <row r="30" customFormat="false" ht="15" hidden="false" customHeight="true" outlineLevel="0" collapsed="false">
      <c r="A30" s="3" t="s">
        <v>83</v>
      </c>
      <c r="B30" s="19" t="n">
        <f aca="false">Assumptions!$B$12*L19</f>
        <v>1115929.82722058</v>
      </c>
    </row>
    <row r="31" customFormat="false" ht="15" hidden="false" customHeight="true" outlineLevel="0" collapsed="false">
      <c r="A31" s="3" t="s">
        <v>84</v>
      </c>
      <c r="B31" s="17" t="n">
        <f aca="false">MIN(B29,B30)</f>
        <v>659711.456680401</v>
      </c>
    </row>
    <row r="32" customFormat="false" ht="15" hidden="false" customHeight="true" outlineLevel="0" collapsed="false">
      <c r="A32" s="3" t="s">
        <v>85</v>
      </c>
      <c r="B32" s="23" t="n">
        <f aca="false">B31/L19</f>
        <v>11.8235294117647</v>
      </c>
    </row>
    <row r="33" customFormat="false" ht="15" hidden="false" customHeight="true" outlineLevel="0" collapsed="false">
      <c r="A33" s="3" t="s">
        <v>86</v>
      </c>
      <c r="B33" s="17" t="n">
        <f aca="false">B31*L20</f>
        <v>278669.248734698</v>
      </c>
    </row>
    <row r="34" customFormat="false" ht="15" hidden="false" customHeight="true" outlineLevel="0" collapsed="false">
      <c r="A34" s="3" t="s">
        <v>87</v>
      </c>
      <c r="B34" s="17" t="n">
        <f aca="false">B26+B33</f>
        <v>595119.933935969</v>
      </c>
    </row>
    <row r="35" customFormat="false" ht="15" hidden="false" customHeight="true" outlineLevel="0" collapsed="false">
      <c r="A35" s="3" t="s">
        <v>88</v>
      </c>
      <c r="B35" s="19" t="n">
        <f aca="false">Assumptions!$B$9</f>
        <v>89172</v>
      </c>
    </row>
    <row r="36" customFormat="false" ht="15" hidden="false" customHeight="true" outlineLevel="0" collapsed="false">
      <c r="A36" s="3" t="s">
        <v>89</v>
      </c>
      <c r="B36" s="17" t="n">
        <f aca="false">B34+B35</f>
        <v>684291.933935969</v>
      </c>
    </row>
    <row r="37" customFormat="false" ht="15" hidden="false" customHeight="true" outlineLevel="0" collapsed="false">
      <c r="A37" s="3" t="s">
        <v>30</v>
      </c>
      <c r="B37" s="24" t="n">
        <f aca="false">Assumptions!$B$10</f>
        <v>178.66</v>
      </c>
    </row>
    <row r="38" customFormat="false" ht="15" hidden="false" customHeight="true" outlineLevel="0" collapsed="false">
      <c r="A38" s="3" t="s">
        <v>90</v>
      </c>
      <c r="B38" s="25" t="n">
        <f aca="false">B36/B37</f>
        <v>3830.13508304024</v>
      </c>
    </row>
    <row r="39" customFormat="false" ht="15" hidden="false" customHeight="true" outlineLevel="0" collapsed="false">
      <c r="A39" s="3" t="s">
        <v>91</v>
      </c>
      <c r="B39" s="13" t="n">
        <f aca="false">B38/Assumptions!$B$11-1</f>
        <v>0.741366257349506</v>
      </c>
    </row>
    <row r="41" customFormat="false" ht="15" hidden="false" customHeight="true" outlineLevel="0" collapsed="false">
      <c r="A41" s="3" t="s">
        <v>92</v>
      </c>
      <c r="B41" s="17" t="n">
        <f aca="false">SUMPRODUCT(-C10:L10/(1+Assumptions!$B$5)^C4:L4)</f>
        <v>0</v>
      </c>
    </row>
    <row r="42" customFormat="false" ht="15" hidden="false" customHeight="true" outlineLevel="0" collapsed="false">
      <c r="A42" s="3" t="s">
        <v>93</v>
      </c>
      <c r="B42" s="17" t="n">
        <f aca="false">(-L10*(1+B27)/(Assumptions!$B$5-B27))*L20</f>
        <v>0</v>
      </c>
    </row>
    <row r="43" customFormat="false" ht="15" hidden="false" customHeight="true" outlineLevel="0" collapsed="false">
      <c r="A43" s="3" t="s">
        <v>94</v>
      </c>
      <c r="B43" s="26" t="n">
        <f aca="false">(B36+B41+B42)/B37</f>
        <v>3830.13508304024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12" min="2" style="1" width="10.51"/>
  </cols>
  <sheetData>
    <row r="1" customFormat="false" ht="15.75" hidden="false" customHeight="true" outlineLevel="0" collapsed="false">
      <c r="A1" s="2" t="s">
        <v>96</v>
      </c>
    </row>
    <row r="2" customFormat="false" ht="15" hidden="false" customHeight="true" outlineLevel="0" collapsed="false">
      <c r="A2" s="6" t="s">
        <v>47</v>
      </c>
    </row>
    <row r="3" customFormat="false" ht="15" hidden="false" customHeight="true" outlineLevel="0" collapsed="false">
      <c r="B3" s="12" t="s">
        <v>48</v>
      </c>
      <c r="C3" s="12" t="s">
        <v>49</v>
      </c>
      <c r="D3" s="12" t="s">
        <v>50</v>
      </c>
      <c r="E3" s="12" t="s">
        <v>51</v>
      </c>
      <c r="F3" s="12" t="s">
        <v>52</v>
      </c>
      <c r="G3" s="12" t="s">
        <v>53</v>
      </c>
      <c r="H3" s="12" t="s">
        <v>54</v>
      </c>
      <c r="I3" s="12" t="s">
        <v>55</v>
      </c>
      <c r="J3" s="12" t="s">
        <v>56</v>
      </c>
      <c r="K3" s="12" t="s">
        <v>57</v>
      </c>
      <c r="L3" s="12" t="s">
        <v>58</v>
      </c>
    </row>
    <row r="4" customFormat="false" ht="15" hidden="false" customHeight="true" outlineLevel="0" collapsed="false">
      <c r="A4" s="15" t="s">
        <v>59</v>
      </c>
      <c r="B4" s="15" t="n">
        <v>0</v>
      </c>
      <c r="C4" s="15" t="n">
        <v>1</v>
      </c>
      <c r="D4" s="15" t="n">
        <v>2</v>
      </c>
      <c r="E4" s="15" t="n">
        <v>3</v>
      </c>
      <c r="F4" s="15" t="n">
        <v>4</v>
      </c>
      <c r="G4" s="15" t="n">
        <v>5</v>
      </c>
      <c r="H4" s="15" t="n">
        <v>6</v>
      </c>
      <c r="I4" s="15" t="n">
        <v>7</v>
      </c>
      <c r="J4" s="15" t="n">
        <v>8</v>
      </c>
      <c r="K4" s="15" t="n">
        <v>9</v>
      </c>
      <c r="L4" s="15" t="n">
        <v>10</v>
      </c>
    </row>
    <row r="5" customFormat="false" ht="15" hidden="false" customHeight="true" outlineLevel="0" collapsed="false">
      <c r="A5" s="3" t="s">
        <v>60</v>
      </c>
      <c r="C5" s="7" t="n">
        <v>0.05</v>
      </c>
      <c r="D5" s="7" t="n">
        <v>0.04</v>
      </c>
      <c r="E5" s="7" t="n">
        <v>0.03</v>
      </c>
      <c r="F5" s="7" t="n">
        <v>0.03</v>
      </c>
      <c r="G5" s="7" t="n">
        <v>0.025</v>
      </c>
      <c r="H5" s="7" t="n">
        <v>0.02</v>
      </c>
      <c r="I5" s="7" t="n">
        <v>0.02</v>
      </c>
      <c r="J5" s="7" t="n">
        <v>0.015</v>
      </c>
      <c r="K5" s="7" t="n">
        <v>0.015</v>
      </c>
      <c r="L5" s="7" t="n">
        <v>0.015</v>
      </c>
    </row>
    <row r="6" customFormat="false" ht="15" hidden="false" customHeight="true" outlineLevel="0" collapsed="false">
      <c r="A6" s="3" t="s">
        <v>61</v>
      </c>
      <c r="B6" s="16" t="n">
        <v>2037063</v>
      </c>
      <c r="C6" s="17" t="n">
        <f aca="false">B6*(1+C5)</f>
        <v>2138916.15</v>
      </c>
      <c r="D6" s="17" t="n">
        <f aca="false">C6*(1+D5)</f>
        <v>2224472.796</v>
      </c>
      <c r="E6" s="17" t="n">
        <f aca="false">D6*(1+E5)</f>
        <v>2291206.97988</v>
      </c>
      <c r="F6" s="17" t="n">
        <f aca="false">E6*(1+F5)</f>
        <v>2359943.1892764</v>
      </c>
      <c r="G6" s="17" t="n">
        <f aca="false">F6*(1+G5)</f>
        <v>2418941.76900831</v>
      </c>
      <c r="H6" s="17" t="n">
        <f aca="false">G6*(1+H5)</f>
        <v>2467320.60438848</v>
      </c>
      <c r="I6" s="17" t="n">
        <f aca="false">H6*(1+I5)</f>
        <v>2516667.01647625</v>
      </c>
      <c r="J6" s="17" t="n">
        <f aca="false">I6*(1+J5)</f>
        <v>2554417.02172339</v>
      </c>
      <c r="K6" s="17" t="n">
        <f aca="false">J6*(1+K5)</f>
        <v>2592733.27704924</v>
      </c>
      <c r="L6" s="17" t="n">
        <f aca="false">K6*(1+L5)</f>
        <v>2631624.27620498</v>
      </c>
    </row>
    <row r="7" customFormat="false" ht="15" hidden="false" customHeight="true" outlineLevel="0" collapsed="false">
      <c r="A7" s="3" t="s">
        <v>62</v>
      </c>
      <c r="B7" s="18" t="n">
        <v>0.0731</v>
      </c>
      <c r="C7" s="7" t="n">
        <v>0.073</v>
      </c>
      <c r="D7" s="7" t="n">
        <v>0.079</v>
      </c>
      <c r="E7" s="7" t="n">
        <v>0.084</v>
      </c>
      <c r="F7" s="7" t="n">
        <v>0.088</v>
      </c>
      <c r="G7" s="7" t="n">
        <v>0.091</v>
      </c>
      <c r="H7" s="7" t="n">
        <v>0.093</v>
      </c>
      <c r="I7" s="7" t="n">
        <v>0.094</v>
      </c>
      <c r="J7" s="7" t="n">
        <v>0.095</v>
      </c>
      <c r="K7" s="7" t="n">
        <v>0.095</v>
      </c>
      <c r="L7" s="7" t="n">
        <v>0.095</v>
      </c>
    </row>
    <row r="8" customFormat="false" ht="15" hidden="false" customHeight="true" outlineLevel="0" collapsed="false">
      <c r="A8" s="3" t="s">
        <v>63</v>
      </c>
      <c r="C8" s="17" t="n">
        <f aca="false">C6*C7</f>
        <v>156140.87895</v>
      </c>
      <c r="D8" s="17" t="n">
        <f aca="false">D6*D7</f>
        <v>175733.350884</v>
      </c>
      <c r="E8" s="17" t="n">
        <f aca="false">E6*E7</f>
        <v>192461.38630992</v>
      </c>
      <c r="F8" s="17" t="n">
        <f aca="false">F6*F7</f>
        <v>207675.000656323</v>
      </c>
      <c r="G8" s="17" t="n">
        <f aca="false">G6*G7</f>
        <v>220123.700979756</v>
      </c>
      <c r="H8" s="17" t="n">
        <f aca="false">H6*H7</f>
        <v>229460.816208128</v>
      </c>
      <c r="I8" s="17" t="n">
        <f aca="false">I6*I7</f>
        <v>236566.699548767</v>
      </c>
      <c r="J8" s="17" t="n">
        <f aca="false">J6*J7</f>
        <v>242669.617063722</v>
      </c>
      <c r="K8" s="17" t="n">
        <f aca="false">K6*K7</f>
        <v>246309.661319678</v>
      </c>
      <c r="L8" s="17" t="n">
        <f aca="false">L6*L7</f>
        <v>250004.306239473</v>
      </c>
    </row>
    <row r="9" customFormat="false" ht="15" hidden="false" customHeight="true" outlineLevel="0" collapsed="false">
      <c r="A9" s="3" t="s">
        <v>64</v>
      </c>
      <c r="B9" s="18" t="n">
        <v>0</v>
      </c>
      <c r="C9" s="7" t="n">
        <v>0</v>
      </c>
      <c r="D9" s="7" t="n">
        <v>0</v>
      </c>
      <c r="E9" s="7" t="n">
        <v>0</v>
      </c>
      <c r="F9" s="7" t="n">
        <v>0</v>
      </c>
      <c r="G9" s="7" t="n">
        <v>0</v>
      </c>
      <c r="H9" s="7" t="n">
        <v>0</v>
      </c>
      <c r="I9" s="7" t="n">
        <v>0</v>
      </c>
      <c r="J9" s="7" t="n">
        <v>0</v>
      </c>
      <c r="K9" s="7" t="n">
        <v>0</v>
      </c>
      <c r="L9" s="7" t="n">
        <v>0</v>
      </c>
    </row>
    <row r="10" customFormat="false" ht="15" hidden="false" customHeight="true" outlineLevel="0" collapsed="false">
      <c r="A10" s="3" t="s">
        <v>65</v>
      </c>
      <c r="C10" s="17" t="n">
        <f aca="false">-C6*C9</f>
        <v>-0</v>
      </c>
      <c r="D10" s="17" t="n">
        <f aca="false">-D6*D9</f>
        <v>-0</v>
      </c>
      <c r="E10" s="17" t="n">
        <f aca="false">-E6*E9</f>
        <v>-0</v>
      </c>
      <c r="F10" s="17" t="n">
        <f aca="false">-F6*F9</f>
        <v>-0</v>
      </c>
      <c r="G10" s="17" t="n">
        <f aca="false">-G6*G9</f>
        <v>-0</v>
      </c>
      <c r="H10" s="17" t="n">
        <f aca="false">-H6*H9</f>
        <v>-0</v>
      </c>
      <c r="I10" s="17" t="n">
        <f aca="false">-I6*I9</f>
        <v>-0</v>
      </c>
      <c r="J10" s="17" t="n">
        <f aca="false">-J6*J9</f>
        <v>-0</v>
      </c>
      <c r="K10" s="17" t="n">
        <f aca="false">-K6*K9</f>
        <v>-0</v>
      </c>
      <c r="L10" s="17" t="n">
        <f aca="false">-L6*L9</f>
        <v>-0</v>
      </c>
    </row>
    <row r="11" customFormat="false" ht="15" hidden="false" customHeight="true" outlineLevel="0" collapsed="false">
      <c r="A11" s="3" t="s">
        <v>66</v>
      </c>
      <c r="C11" s="17" t="n">
        <f aca="false">C8+C10</f>
        <v>156140.87895</v>
      </c>
      <c r="D11" s="17" t="n">
        <f aca="false">D8+D10</f>
        <v>175733.350884</v>
      </c>
      <c r="E11" s="17" t="n">
        <f aca="false">E8+E10</f>
        <v>192461.38630992</v>
      </c>
      <c r="F11" s="17" t="n">
        <f aca="false">F8+F10</f>
        <v>207675.000656323</v>
      </c>
      <c r="G11" s="17" t="n">
        <f aca="false">G8+G10</f>
        <v>220123.700979756</v>
      </c>
      <c r="H11" s="17" t="n">
        <f aca="false">H8+H10</f>
        <v>229460.816208128</v>
      </c>
      <c r="I11" s="17" t="n">
        <f aca="false">I8+I10</f>
        <v>236566.699548767</v>
      </c>
      <c r="J11" s="17" t="n">
        <f aca="false">J8+J10</f>
        <v>242669.617063722</v>
      </c>
      <c r="K11" s="17" t="n">
        <f aca="false">K8+K10</f>
        <v>246309.661319678</v>
      </c>
      <c r="L11" s="17" t="n">
        <f aca="false">L8+L10</f>
        <v>250004.306239473</v>
      </c>
    </row>
    <row r="12" customFormat="false" ht="15" hidden="false" customHeight="true" outlineLevel="0" collapsed="false">
      <c r="A12" s="3" t="s">
        <v>67</v>
      </c>
      <c r="C12" s="19" t="n">
        <f aca="false">-C6*Assumptions!$B$6</f>
        <v>-100529.05905</v>
      </c>
      <c r="D12" s="19" t="n">
        <f aca="false">-D6*Assumptions!$B$6</f>
        <v>-104550.221412</v>
      </c>
      <c r="E12" s="19" t="n">
        <f aca="false">-E6*Assumptions!$B$6</f>
        <v>-107686.72805436</v>
      </c>
      <c r="F12" s="19" t="n">
        <f aca="false">-F6*Assumptions!$B$6</f>
        <v>-110917.329895991</v>
      </c>
      <c r="G12" s="19" t="n">
        <f aca="false">-G6*Assumptions!$B$6</f>
        <v>-113690.263143391</v>
      </c>
      <c r="H12" s="19" t="n">
        <f aca="false">-H6*Assumptions!$B$6</f>
        <v>-115964.068406258</v>
      </c>
      <c r="I12" s="19" t="n">
        <f aca="false">-I6*Assumptions!$B$6</f>
        <v>-118283.349774384</v>
      </c>
      <c r="J12" s="19" t="n">
        <f aca="false">-J6*Assumptions!$B$6</f>
        <v>-120057.600020999</v>
      </c>
      <c r="K12" s="19" t="n">
        <f aca="false">-K6*Assumptions!$B$6</f>
        <v>-121858.464021314</v>
      </c>
      <c r="L12" s="19" t="n">
        <f aca="false">-L6*Assumptions!$B$6</f>
        <v>-123686.340981634</v>
      </c>
    </row>
    <row r="13" customFormat="false" ht="15" hidden="false" customHeight="true" outlineLevel="0" collapsed="false">
      <c r="A13" s="3" t="s">
        <v>68</v>
      </c>
      <c r="C13" s="17" t="n">
        <f aca="false">C11+C12</f>
        <v>55611.8199</v>
      </c>
      <c r="D13" s="17" t="n">
        <f aca="false">D11+D12</f>
        <v>71183.129472</v>
      </c>
      <c r="E13" s="17" t="n">
        <f aca="false">E11+E12</f>
        <v>84774.65825556</v>
      </c>
      <c r="F13" s="17" t="n">
        <f aca="false">F11+F12</f>
        <v>96757.6707603324</v>
      </c>
      <c r="G13" s="17" t="n">
        <f aca="false">G11+G12</f>
        <v>106433.437836366</v>
      </c>
      <c r="H13" s="17" t="n">
        <f aca="false">H11+H12</f>
        <v>113496.74780187</v>
      </c>
      <c r="I13" s="17" t="n">
        <f aca="false">I11+I12</f>
        <v>118283.349774384</v>
      </c>
      <c r="J13" s="17" t="n">
        <f aca="false">J11+J12</f>
        <v>122612.017042723</v>
      </c>
      <c r="K13" s="17" t="n">
        <f aca="false">K11+K12</f>
        <v>124451.197298364</v>
      </c>
      <c r="L13" s="17" t="n">
        <f aca="false">L11+L12</f>
        <v>126317.965257839</v>
      </c>
    </row>
    <row r="14" customFormat="false" ht="15" hidden="false" customHeight="true" outlineLevel="0" collapsed="false">
      <c r="A14" s="3" t="s">
        <v>69</v>
      </c>
      <c r="C14" s="7" t="n">
        <v>0.45</v>
      </c>
      <c r="D14" s="7" t="n">
        <v>0.45</v>
      </c>
      <c r="E14" s="7" t="n">
        <v>0.45</v>
      </c>
      <c r="F14" s="7" t="n">
        <v>0.45</v>
      </c>
      <c r="G14" s="7" t="n">
        <v>0.45</v>
      </c>
      <c r="H14" s="7" t="n">
        <v>0.45</v>
      </c>
      <c r="I14" s="7" t="n">
        <v>0.45</v>
      </c>
      <c r="J14" s="7" t="n">
        <v>0.45</v>
      </c>
      <c r="K14" s="7" t="n">
        <v>0.45</v>
      </c>
      <c r="L14" s="7" t="n">
        <v>0.45</v>
      </c>
    </row>
    <row r="15" customFormat="false" ht="15" hidden="false" customHeight="true" outlineLevel="0" collapsed="false">
      <c r="A15" s="3" t="s">
        <v>70</v>
      </c>
      <c r="C15" s="17" t="n">
        <f aca="false">C13*(1-C14)</f>
        <v>30586.500945</v>
      </c>
      <c r="D15" s="17" t="n">
        <f aca="false">D13*(1-D14)</f>
        <v>39150.7212096</v>
      </c>
      <c r="E15" s="17" t="n">
        <f aca="false">E13*(1-E14)</f>
        <v>46626.062040558</v>
      </c>
      <c r="F15" s="17" t="n">
        <f aca="false">F13*(1-F14)</f>
        <v>53216.7189181828</v>
      </c>
      <c r="G15" s="17" t="n">
        <f aca="false">G13*(1-G14)</f>
        <v>58538.3908100011</v>
      </c>
      <c r="H15" s="17" t="n">
        <f aca="false">H13*(1-H14)</f>
        <v>62423.2112910285</v>
      </c>
      <c r="I15" s="17" t="n">
        <f aca="false">I13*(1-I14)</f>
        <v>65055.842375911</v>
      </c>
      <c r="J15" s="17" t="n">
        <f aca="false">J13*(1-J14)</f>
        <v>67436.6093734975</v>
      </c>
      <c r="K15" s="17" t="n">
        <f aca="false">K13*(1-K14)</f>
        <v>68448.1585140999</v>
      </c>
      <c r="L15" s="17" t="n">
        <f aca="false">L13*(1-L14)</f>
        <v>69474.8808918114</v>
      </c>
    </row>
    <row r="16" customFormat="false" ht="15" hidden="false" customHeight="true" outlineLevel="0" collapsed="false">
      <c r="A16" s="3" t="s">
        <v>71</v>
      </c>
      <c r="C16" s="17" t="n">
        <f aca="false">-C12</f>
        <v>100529.05905</v>
      </c>
      <c r="D16" s="17" t="n">
        <f aca="false">-D12</f>
        <v>104550.221412</v>
      </c>
      <c r="E16" s="17" t="n">
        <f aca="false">-E12</f>
        <v>107686.72805436</v>
      </c>
      <c r="F16" s="17" t="n">
        <f aca="false">-F12</f>
        <v>110917.329895991</v>
      </c>
      <c r="G16" s="17" t="n">
        <f aca="false">-G12</f>
        <v>113690.263143391</v>
      </c>
      <c r="H16" s="17" t="n">
        <f aca="false">-H12</f>
        <v>115964.068406258</v>
      </c>
      <c r="I16" s="17" t="n">
        <f aca="false">-I12</f>
        <v>118283.349774384</v>
      </c>
      <c r="J16" s="17" t="n">
        <f aca="false">-J12</f>
        <v>120057.600020999</v>
      </c>
      <c r="K16" s="17" t="n">
        <f aca="false">-K12</f>
        <v>121858.464021314</v>
      </c>
      <c r="L16" s="17" t="n">
        <f aca="false">-L12</f>
        <v>123686.340981634</v>
      </c>
    </row>
    <row r="17" customFormat="false" ht="15" hidden="false" customHeight="true" outlineLevel="0" collapsed="false">
      <c r="A17" s="3" t="s">
        <v>72</v>
      </c>
      <c r="C17" s="19" t="n">
        <f aca="false">-C6*Assumptions!$B$7</f>
        <v>-89834.4783</v>
      </c>
      <c r="D17" s="19" t="n">
        <f aca="false">-D6*Assumptions!$B$7</f>
        <v>-93427.857432</v>
      </c>
      <c r="E17" s="19" t="n">
        <f aca="false">-E6*Assumptions!$B$7</f>
        <v>-96230.69315496</v>
      </c>
      <c r="F17" s="19" t="n">
        <f aca="false">-F6*Assumptions!$B$7</f>
        <v>-99117.6139496088</v>
      </c>
      <c r="G17" s="19" t="n">
        <f aca="false">-G6*Assumptions!$B$7</f>
        <v>-101595.554298349</v>
      </c>
      <c r="H17" s="19" t="n">
        <f aca="false">-H6*Assumptions!$B$7</f>
        <v>-103627.465384316</v>
      </c>
      <c r="I17" s="19" t="n">
        <f aca="false">-I6*Assumptions!$B$7</f>
        <v>-105700.014692002</v>
      </c>
      <c r="J17" s="19" t="n">
        <f aca="false">-J6*Assumptions!$B$7</f>
        <v>-107285.514912382</v>
      </c>
      <c r="K17" s="19" t="n">
        <f aca="false">-K6*Assumptions!$B$7</f>
        <v>-108894.797636068</v>
      </c>
      <c r="L17" s="19" t="n">
        <f aca="false">-L6*Assumptions!$B$7</f>
        <v>-110528.219600609</v>
      </c>
    </row>
    <row r="18" customFormat="false" ht="15" hidden="false" customHeight="true" outlineLevel="0" collapsed="false">
      <c r="A18" s="3" t="s">
        <v>73</v>
      </c>
      <c r="C18" s="19" t="n">
        <f aca="false">Assumptions!$B$8*(C6-B6)</f>
        <v>0</v>
      </c>
      <c r="D18" s="19" t="n">
        <f aca="false">Assumptions!$B$8*(D6-C6)</f>
        <v>0</v>
      </c>
      <c r="E18" s="19" t="n">
        <f aca="false">Assumptions!$B$8*(E6-D6)</f>
        <v>0</v>
      </c>
      <c r="F18" s="19" t="n">
        <f aca="false">Assumptions!$B$8*(F6-E6)</f>
        <v>0</v>
      </c>
      <c r="G18" s="19" t="n">
        <f aca="false">Assumptions!$B$8*(G6-F6)</f>
        <v>0</v>
      </c>
      <c r="H18" s="19" t="n">
        <f aca="false">Assumptions!$B$8*(H6-G6)</f>
        <v>0</v>
      </c>
      <c r="I18" s="19" t="n">
        <f aca="false">Assumptions!$B$8*(I6-H6)</f>
        <v>0</v>
      </c>
      <c r="J18" s="19" t="n">
        <f aca="false">Assumptions!$B$8*(J6-I6)</f>
        <v>0</v>
      </c>
      <c r="K18" s="19" t="n">
        <f aca="false">Assumptions!$B$8*(K6-J6)</f>
        <v>0</v>
      </c>
      <c r="L18" s="19" t="n">
        <f aca="false">Assumptions!$B$8*(L6-K6)</f>
        <v>0</v>
      </c>
    </row>
    <row r="19" customFormat="false" ht="15" hidden="false" customHeight="true" outlineLevel="0" collapsed="false">
      <c r="A19" s="3" t="s">
        <v>74</v>
      </c>
      <c r="C19" s="20" t="n">
        <f aca="false">C15+C16+C17+C18</f>
        <v>41281.081695</v>
      </c>
      <c r="D19" s="20" t="n">
        <f aca="false">D15+D16+D17+D18</f>
        <v>50273.0851896</v>
      </c>
      <c r="E19" s="20" t="n">
        <f aca="false">E15+E16+E17+E18</f>
        <v>58082.096939958</v>
      </c>
      <c r="F19" s="20" t="n">
        <f aca="false">F15+F16+F17+F18</f>
        <v>65016.4348645648</v>
      </c>
      <c r="G19" s="20" t="n">
        <f aca="false">G15+G16+G17+G18</f>
        <v>70633.0996550426</v>
      </c>
      <c r="H19" s="20" t="n">
        <f aca="false">H15+H16+H17+H18</f>
        <v>74759.8143129708</v>
      </c>
      <c r="I19" s="20" t="n">
        <f aca="false">I15+I16+I17+I18</f>
        <v>77639.1774582922</v>
      </c>
      <c r="J19" s="20" t="n">
        <f aca="false">J15+J16+J17+J18</f>
        <v>80208.6944821144</v>
      </c>
      <c r="K19" s="20" t="n">
        <f aca="false">K15+K16+K17+K18</f>
        <v>81411.8248993461</v>
      </c>
      <c r="L19" s="20" t="n">
        <f aca="false">L15+L16+L17+L18</f>
        <v>82633.0022728363</v>
      </c>
    </row>
    <row r="20" customFormat="false" ht="15" hidden="false" customHeight="true" outlineLevel="0" collapsed="false">
      <c r="A20" s="3" t="s">
        <v>75</v>
      </c>
      <c r="C20" s="21" t="n">
        <f aca="false">1/(1+Assumptions!$B$5)^C4</f>
        <v>0.91743119266055</v>
      </c>
      <c r="D20" s="21" t="n">
        <f aca="false">1/(1+Assumptions!$B$5)^D4</f>
        <v>0.84167999326656</v>
      </c>
      <c r="E20" s="21" t="n">
        <f aca="false">1/(1+Assumptions!$B$5)^E4</f>
        <v>0.772183480061064</v>
      </c>
      <c r="F20" s="21" t="n">
        <f aca="false">1/(1+Assumptions!$B$5)^F4</f>
        <v>0.708425211065196</v>
      </c>
      <c r="G20" s="21" t="n">
        <f aca="false">1/(1+Assumptions!$B$5)^G4</f>
        <v>0.649931386298345</v>
      </c>
      <c r="H20" s="21" t="n">
        <f aca="false">1/(1+Assumptions!$B$5)^H4</f>
        <v>0.596267326879216</v>
      </c>
      <c r="I20" s="21" t="n">
        <f aca="false">1/(1+Assumptions!$B$5)^I4</f>
        <v>0.547034244843317</v>
      </c>
      <c r="J20" s="21" t="n">
        <f aca="false">1/(1+Assumptions!$B$5)^J4</f>
        <v>0.501866279672768</v>
      </c>
      <c r="K20" s="21" t="n">
        <f aca="false">1/(1+Assumptions!$B$5)^K4</f>
        <v>0.460427779516301</v>
      </c>
      <c r="L20" s="21" t="n">
        <f aca="false">1/(1+Assumptions!$B$5)^L4</f>
        <v>0.422410806895689</v>
      </c>
    </row>
    <row r="21" customFormat="false" ht="15" hidden="false" customHeight="true" outlineLevel="0" collapsed="false">
      <c r="A21" s="3" t="s">
        <v>76</v>
      </c>
      <c r="C21" s="17" t="n">
        <f aca="false">C19*C20</f>
        <v>37872.5520137615</v>
      </c>
      <c r="D21" s="17" t="n">
        <f aca="false">D19*D20</f>
        <v>42313.8500038717</v>
      </c>
      <c r="E21" s="17" t="n">
        <f aca="false">E19*E20</f>
        <v>44850.0357443409</v>
      </c>
      <c r="F21" s="17" t="n">
        <f aca="false">F19*F20</f>
        <v>46059.2815916359</v>
      </c>
      <c r="G21" s="17" t="n">
        <f aca="false">G19*G20</f>
        <v>45906.668377351</v>
      </c>
      <c r="H21" s="17" t="n">
        <f aca="false">H19*H20</f>
        <v>44576.8346383816</v>
      </c>
      <c r="I21" s="17" t="n">
        <f aca="false">I19*I20</f>
        <v>42471.2888111532</v>
      </c>
      <c r="J21" s="17" t="n">
        <f aca="false">J19*J20</f>
        <v>40254.0390971484</v>
      </c>
      <c r="K21" s="17" t="n">
        <f aca="false">K19*K20</f>
        <v>37484.2657647758</v>
      </c>
      <c r="L21" s="17" t="n">
        <f aca="false">L19*L20</f>
        <v>34905.0731662821</v>
      </c>
    </row>
    <row r="23" customFormat="false" ht="15" hidden="false" customHeight="true" outlineLevel="0" collapsed="false">
      <c r="A23" s="3" t="s">
        <v>77</v>
      </c>
      <c r="C23" s="17" t="n">
        <f aca="false">C19-C10</f>
        <v>41281.081695</v>
      </c>
      <c r="D23" s="17" t="n">
        <f aca="false">D19-D10</f>
        <v>50273.0851896</v>
      </c>
      <c r="E23" s="17" t="n">
        <f aca="false">E19-E10</f>
        <v>58082.096939958</v>
      </c>
      <c r="F23" s="17" t="n">
        <f aca="false">F19-F10</f>
        <v>65016.4348645648</v>
      </c>
      <c r="G23" s="17" t="n">
        <f aca="false">G19-G10</f>
        <v>70633.0996550426</v>
      </c>
      <c r="H23" s="17" t="n">
        <f aca="false">H19-H10</f>
        <v>74759.8143129708</v>
      </c>
      <c r="I23" s="17" t="n">
        <f aca="false">I19-I10</f>
        <v>77639.1774582922</v>
      </c>
      <c r="J23" s="17" t="n">
        <f aca="false">J19-J10</f>
        <v>80208.6944821144</v>
      </c>
      <c r="K23" s="17" t="n">
        <f aca="false">K19-K10</f>
        <v>81411.8248993461</v>
      </c>
      <c r="L23" s="17" t="n">
        <f aca="false">L19-L10</f>
        <v>82633.0022728363</v>
      </c>
    </row>
    <row r="24" customFormat="false" ht="15" hidden="false" customHeight="true" outlineLevel="0" collapsed="false">
      <c r="A24" s="3" t="s">
        <v>78</v>
      </c>
      <c r="C24" s="13" t="n">
        <f aca="false">C19/C6</f>
        <v>0.0193</v>
      </c>
      <c r="D24" s="13" t="n">
        <f aca="false">D19/D6</f>
        <v>0.0226</v>
      </c>
      <c r="E24" s="13" t="n">
        <f aca="false">E19/E6</f>
        <v>0.02535</v>
      </c>
      <c r="F24" s="13" t="n">
        <f aca="false">F19/F6</f>
        <v>0.02755</v>
      </c>
      <c r="G24" s="13" t="n">
        <f aca="false">G19/G6</f>
        <v>0.0292</v>
      </c>
      <c r="H24" s="13" t="n">
        <f aca="false">H19/H6</f>
        <v>0.0303</v>
      </c>
      <c r="I24" s="13" t="n">
        <f aca="false">I19/I6</f>
        <v>0.03085</v>
      </c>
      <c r="J24" s="13" t="n">
        <f aca="false">J19/J6</f>
        <v>0.0314</v>
      </c>
      <c r="K24" s="13" t="n">
        <f aca="false">K19/K6</f>
        <v>0.0314</v>
      </c>
      <c r="L24" s="13" t="n">
        <f aca="false">L19/L6</f>
        <v>0.0314</v>
      </c>
    </row>
    <row r="25" customFormat="false" ht="15" hidden="false" customHeight="true" outlineLevel="0" collapsed="false">
      <c r="A25" s="5" t="s">
        <v>79</v>
      </c>
    </row>
    <row r="26" customFormat="false" ht="15" hidden="false" customHeight="true" outlineLevel="0" collapsed="false">
      <c r="A26" s="3" t="s">
        <v>80</v>
      </c>
      <c r="B26" s="17" t="n">
        <f aca="false">SUM(C21:L21)</f>
        <v>416693.889208702</v>
      </c>
    </row>
    <row r="27" customFormat="false" ht="15" hidden="false" customHeight="true" outlineLevel="0" collapsed="false">
      <c r="A27" s="3" t="s">
        <v>39</v>
      </c>
      <c r="B27" s="22" t="n">
        <f aca="false">Assumptions!$E$15</f>
        <v>0.01</v>
      </c>
    </row>
    <row r="28" customFormat="false" ht="15" hidden="false" customHeight="true" outlineLevel="0" collapsed="false">
      <c r="A28" s="3" t="s">
        <v>81</v>
      </c>
      <c r="B28" s="17" t="n">
        <f aca="false">L19*(1+B27)</f>
        <v>83459.3322955647</v>
      </c>
    </row>
    <row r="29" customFormat="false" ht="15" hidden="false" customHeight="true" outlineLevel="0" collapsed="false">
      <c r="A29" s="3" t="s">
        <v>82</v>
      </c>
      <c r="B29" s="17" t="n">
        <f aca="false">B28/(Assumptions!$B$5-B27)</f>
        <v>1043241.65369456</v>
      </c>
    </row>
    <row r="30" customFormat="false" ht="15" hidden="false" customHeight="true" outlineLevel="0" collapsed="false">
      <c r="A30" s="3" t="s">
        <v>83</v>
      </c>
      <c r="B30" s="19" t="n">
        <f aca="false">Assumptions!$B$12*L19</f>
        <v>1652660.04545673</v>
      </c>
    </row>
    <row r="31" customFormat="false" ht="15" hidden="false" customHeight="true" outlineLevel="0" collapsed="false">
      <c r="A31" s="3" t="s">
        <v>84</v>
      </c>
      <c r="B31" s="17" t="n">
        <f aca="false">MIN(B29,B30)</f>
        <v>1043241.65369456</v>
      </c>
    </row>
    <row r="32" customFormat="false" ht="15" hidden="false" customHeight="true" outlineLevel="0" collapsed="false">
      <c r="A32" s="3" t="s">
        <v>85</v>
      </c>
      <c r="B32" s="23" t="n">
        <f aca="false">B31/L19</f>
        <v>12.625</v>
      </c>
    </row>
    <row r="33" customFormat="false" ht="15" hidden="false" customHeight="true" outlineLevel="0" collapsed="false">
      <c r="A33" s="3" t="s">
        <v>86</v>
      </c>
      <c r="B33" s="17" t="n">
        <f aca="false">B31*L20</f>
        <v>440676.548724311</v>
      </c>
    </row>
    <row r="34" customFormat="false" ht="15" hidden="false" customHeight="true" outlineLevel="0" collapsed="false">
      <c r="A34" s="3" t="s">
        <v>87</v>
      </c>
      <c r="B34" s="17" t="n">
        <f aca="false">B26+B33</f>
        <v>857370.437933013</v>
      </c>
    </row>
    <row r="35" customFormat="false" ht="15" hidden="false" customHeight="true" outlineLevel="0" collapsed="false">
      <c r="A35" s="3" t="s">
        <v>88</v>
      </c>
      <c r="B35" s="19" t="n">
        <f aca="false">Assumptions!$B$9</f>
        <v>89172</v>
      </c>
    </row>
    <row r="36" customFormat="false" ht="15" hidden="false" customHeight="true" outlineLevel="0" collapsed="false">
      <c r="A36" s="3" t="s">
        <v>89</v>
      </c>
      <c r="B36" s="17" t="n">
        <f aca="false">B34+B35</f>
        <v>946542.437933013</v>
      </c>
    </row>
    <row r="37" customFormat="false" ht="15" hidden="false" customHeight="true" outlineLevel="0" collapsed="false">
      <c r="A37" s="3" t="s">
        <v>30</v>
      </c>
      <c r="B37" s="24" t="n">
        <f aca="false">Assumptions!$B$10</f>
        <v>178.66</v>
      </c>
    </row>
    <row r="38" customFormat="false" ht="15" hidden="false" customHeight="true" outlineLevel="0" collapsed="false">
      <c r="A38" s="3" t="s">
        <v>90</v>
      </c>
      <c r="B38" s="25" t="n">
        <f aca="false">B36/B37</f>
        <v>5298.00983954446</v>
      </c>
    </row>
    <row r="39" customFormat="false" ht="15" hidden="false" customHeight="true" outlineLevel="0" collapsed="false">
      <c r="A39" s="3" t="s">
        <v>91</v>
      </c>
      <c r="B39" s="13" t="n">
        <f aca="false">B38/Assumptions!$B$11-1</f>
        <v>1.40873373018616</v>
      </c>
    </row>
    <row r="41" customFormat="false" ht="15" hidden="false" customHeight="true" outlineLevel="0" collapsed="false">
      <c r="A41" s="3" t="s">
        <v>92</v>
      </c>
      <c r="B41" s="17" t="n">
        <f aca="false">SUMPRODUCT(-C10:L10/(1+Assumptions!$B$5)^C4:L4)</f>
        <v>0</v>
      </c>
    </row>
    <row r="42" customFormat="false" ht="15" hidden="false" customHeight="true" outlineLevel="0" collapsed="false">
      <c r="A42" s="3" t="s">
        <v>93</v>
      </c>
      <c r="B42" s="17" t="n">
        <f aca="false">(-L10*(1+B27)/(Assumptions!$B$5-B27))*L20</f>
        <v>0</v>
      </c>
    </row>
    <row r="43" customFormat="false" ht="15" hidden="false" customHeight="true" outlineLevel="0" collapsed="false">
      <c r="A43" s="3" t="s">
        <v>94</v>
      </c>
      <c r="B43" s="26" t="n">
        <f aca="false">(B36+B41+B42)/B37</f>
        <v>5298.00983954446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6"/>
    <col collapsed="false" customWidth="true" hidden="false" outlineLevel="0" max="6" min="2" style="1" width="13"/>
    <col collapsed="false" customWidth="true" hidden="false" outlineLevel="0" max="7" min="7" style="1" width="40"/>
  </cols>
  <sheetData>
    <row r="1" customFormat="false" ht="15.75" hidden="false" customHeight="true" outlineLevel="0" collapsed="false">
      <c r="A1" s="2" t="s">
        <v>97</v>
      </c>
    </row>
    <row r="2" customFormat="false" ht="15" hidden="false" customHeight="true" outlineLevel="0" collapsed="false">
      <c r="A2" s="6" t="s">
        <v>98</v>
      </c>
    </row>
    <row r="4" customFormat="false" ht="15" hidden="false" customHeight="true" outlineLevel="0" collapsed="false">
      <c r="B4" s="12" t="s">
        <v>36</v>
      </c>
      <c r="C4" s="12" t="s">
        <v>37</v>
      </c>
      <c r="D4" s="12" t="s">
        <v>38</v>
      </c>
    </row>
    <row r="5" customFormat="false" ht="15" hidden="false" customHeight="true" outlineLevel="0" collapsed="false">
      <c r="A5" s="3" t="s">
        <v>90</v>
      </c>
      <c r="B5" s="27" t="n">
        <f aca="false">DCF_Bear!$B$38</f>
        <v>2027.5531487378</v>
      </c>
      <c r="C5" s="27" t="n">
        <f aca="false">DCF_Base!$B$38</f>
        <v>3830.13508304024</v>
      </c>
      <c r="D5" s="27" t="n">
        <f aca="false">DCF_Bull!$B$38</f>
        <v>5298.00983954446</v>
      </c>
    </row>
    <row r="6" customFormat="false" ht="15" hidden="false" customHeight="true" outlineLevel="0" collapsed="false">
      <c r="A6" s="3" t="s">
        <v>99</v>
      </c>
      <c r="B6" s="13" t="n">
        <f aca="false">B5/Assumptions!$B$11-1</f>
        <v>-0.0781754268070914</v>
      </c>
      <c r="C6" s="13" t="n">
        <f aca="false">C5/Assumptions!$B$11-1</f>
        <v>0.741366257349506</v>
      </c>
      <c r="D6" s="13" t="n">
        <f aca="false">D5/Assumptions!$B$11-1</f>
        <v>1.40873373018616</v>
      </c>
    </row>
    <row r="7" customFormat="false" ht="15" hidden="false" customHeight="true" outlineLevel="0" collapsed="false">
      <c r="A7" s="3" t="s">
        <v>100</v>
      </c>
      <c r="B7" s="22" t="n">
        <f aca="false">Assumptions!$C$16</f>
        <v>0.15</v>
      </c>
      <c r="C7" s="22" t="n">
        <f aca="false">Assumptions!$D$16</f>
        <v>0.5</v>
      </c>
      <c r="D7" s="22" t="n">
        <f aca="false">Assumptions!$E$16</f>
        <v>0.35</v>
      </c>
    </row>
    <row r="8" customFormat="false" ht="15" hidden="false" customHeight="true" outlineLevel="0" collapsed="false">
      <c r="A8" s="3" t="s">
        <v>101</v>
      </c>
      <c r="B8" s="27" t="n">
        <f aca="false">DCF_Bear!$B$43</f>
        <v>2027.5531487378</v>
      </c>
      <c r="C8" s="27" t="n">
        <f aca="false">DCF_Base!$B$43</f>
        <v>3830.13508304024</v>
      </c>
      <c r="D8" s="27" t="n">
        <f aca="false">DCF_Bull!$B$43</f>
        <v>5298.00983954446</v>
      </c>
    </row>
    <row r="10" customFormat="false" ht="15" hidden="false" customHeight="true" outlineLevel="0" collapsed="false">
      <c r="A10" s="3" t="s">
        <v>102</v>
      </c>
      <c r="B10" s="25" t="n">
        <f aca="false">SUMPRODUCT(B5:D5,B7:D7)</f>
        <v>4073.50395767135</v>
      </c>
    </row>
    <row r="11" customFormat="false" ht="15" hidden="false" customHeight="true" outlineLevel="0" collapsed="false">
      <c r="A11" s="3" t="s">
        <v>103</v>
      </c>
      <c r="B11" s="27" t="n">
        <f aca="false">Assumptions!$B$11</f>
        <v>2199.5</v>
      </c>
    </row>
    <row r="12" customFormat="false" ht="15" hidden="false" customHeight="true" outlineLevel="0" collapsed="false">
      <c r="A12" s="3" t="s">
        <v>104</v>
      </c>
      <c r="B12" s="13" t="n">
        <f aca="false">1-B11/B10</f>
        <v>0.460047167535499</v>
      </c>
    </row>
    <row r="13" customFormat="false" ht="15" hidden="false" customHeight="true" outlineLevel="0" collapsed="false">
      <c r="A13" s="3" t="s">
        <v>105</v>
      </c>
      <c r="B13" s="26" t="n">
        <f aca="false">SUMPRODUCT(B8:D8,B7:D7)</f>
        <v>4073.50395767135</v>
      </c>
    </row>
    <row r="14" customFormat="false" ht="15" hidden="false" customHeight="true" outlineLevel="0" collapsed="false">
      <c r="A14" s="3" t="s">
        <v>106</v>
      </c>
      <c r="B14" s="13" t="s">
        <v>107</v>
      </c>
      <c r="C14" s="6" t="s">
        <v>108</v>
      </c>
    </row>
    <row r="17" customFormat="false" ht="15" hidden="false" customHeight="true" outlineLevel="0" collapsed="false">
      <c r="A17" s="5" t="s">
        <v>109</v>
      </c>
    </row>
    <row r="18" customFormat="false" ht="15" hidden="false" customHeight="true" outlineLevel="0" collapsed="false">
      <c r="A18" s="12" t="s">
        <v>110</v>
      </c>
      <c r="B18" s="12" t="s">
        <v>111</v>
      </c>
    </row>
    <row r="19" customFormat="false" ht="15" hidden="false" customHeight="true" outlineLevel="0" collapsed="false">
      <c r="A19" s="18" t="n">
        <v>0.09</v>
      </c>
      <c r="B19" s="26" t="n">
        <f aca="false">(SUMPRODUCT(DCF_Base!$C$19:$L$19/(1+$A19)^DCF_Base!$C$4:$L$4)+MIN(DCF_Base!$L$19*(1+Assumptions!$D$15)/($A19-Assumptions!$D$15),Assumptions!$B$12*DCF_Base!$L$19)/(1+$A19)^10+Assumptions!$B$9)/Assumptions!$B$10</f>
        <v>3830.13508304024</v>
      </c>
    </row>
    <row r="20" customFormat="false" ht="15" hidden="false" customHeight="true" outlineLevel="0" collapsed="false">
      <c r="A20" s="18" t="n">
        <v>0.1</v>
      </c>
      <c r="B20" s="26" t="n">
        <f aca="false">(SUMPRODUCT(DCF_Base!$C$19:$L$19/(1+$A20)^DCF_Base!$C$4:$L$4)+MIN(DCF_Base!$L$19*(1+Assumptions!$D$15)/($A20-Assumptions!$D$15),Assumptions!$B$12*DCF_Base!$L$19)/(1+$A20)^10+Assumptions!$B$9)/Assumptions!$B$10</f>
        <v>3463.96236907703</v>
      </c>
    </row>
    <row r="21" customFormat="false" ht="15" hidden="false" customHeight="true" outlineLevel="0" collapsed="false">
      <c r="A21" s="18" t="n">
        <v>0.105</v>
      </c>
      <c r="B21" s="26" t="n">
        <f aca="false">(SUMPRODUCT(DCF_Base!$C$19:$L$19/(1+$A21)^DCF_Base!$C$4:$L$4)+MIN(DCF_Base!$L$19*(1+Assumptions!$D$15)/($A21-Assumptions!$D$15),Assumptions!$B$12*DCF_Base!$L$19)/(1+$A21)^10+Assumptions!$B$9)/Assumptions!$B$10</f>
        <v>3308.55838750538</v>
      </c>
    </row>
    <row r="22" customFormat="false" ht="15" hidden="false" customHeight="true" outlineLevel="0" collapsed="false">
      <c r="A22" s="18" t="n">
        <v>0.11</v>
      </c>
      <c r="B22" s="26" t="n">
        <f aca="false">(SUMPRODUCT(DCF_Base!$C$19:$L$19/(1+$A22)^DCF_Base!$C$4:$L$4)+MIN(DCF_Base!$L$19*(1+Assumptions!$D$15)/($A22-Assumptions!$D$15),Assumptions!$B$12*DCF_Base!$L$19)/(1+$A22)^10+Assumptions!$B$9)/Assumptions!$B$10</f>
        <v>3168.0888534919</v>
      </c>
    </row>
    <row r="23" customFormat="false" ht="15" hidden="false" customHeight="true" outlineLevel="0" collapsed="false">
      <c r="A23" s="18" t="n">
        <v>0.12</v>
      </c>
      <c r="B23" s="26" t="n">
        <f aca="false">(SUMPRODUCT(DCF_Base!$C$19:$L$19/(1+$A23)^DCF_Base!$C$4:$L$4)+MIN(DCF_Base!$L$19*(1+Assumptions!$D$15)/($A23-Assumptions!$D$15),Assumptions!$B$12*DCF_Base!$L$19)/(1+$A23)^10+Assumptions!$B$9)/Assumptions!$B$10</f>
        <v>2924.14764505003</v>
      </c>
    </row>
    <row r="24" customFormat="false" ht="15" hidden="false" customHeight="true" outlineLevel="0" collapsed="false">
      <c r="A24" s="18" t="n">
        <v>0.15</v>
      </c>
      <c r="B24" s="26" t="n">
        <f aca="false">(SUMPRODUCT(DCF_Base!$C$19:$L$19/(1+$A24)^DCF_Base!$C$4:$L$4)+MIN(DCF_Base!$L$19*(1+Assumptions!$D$15)/($A24-Assumptions!$D$15),Assumptions!$B$12*DCF_Base!$L$19)/(1+$A24)^10+Assumptions!$B$9)/Assumptions!$B$10</f>
        <v>2396.27262857591</v>
      </c>
    </row>
    <row r="25" customFormat="false" ht="15" hidden="false" customHeight="true" outlineLevel="0" collapsed="false">
      <c r="A25" s="3" t="s">
        <v>112</v>
      </c>
      <c r="B25" s="26" t="n">
        <f aca="false">(SUMPRODUCT(DCF_Bear!$C$19:$L$19/(1+0.15)^DCF_Bear!$C$4:$L$4)+MIN(DCF_Bear!$L$19*(1+Assumptions!$C$15)/(0.15-Assumptions!$C$15),Assumptions!$B$12*DCF_Bear!$L$19)/(1+0.15)^10+Assumptions!$B$9)/Assumptions!$B$10</f>
        <v>1470.79906754145</v>
      </c>
      <c r="C25" s="26" t="n">
        <f aca="false">(SUMPRODUCT(DCF_Base!$C$19:$L$19/(1+0.15)^DCF_Base!$C$4:$L$4)+MIN(DCF_Base!$L$19*(1+Assumptions!$D$15)/(0.15-Assumptions!$D$15),Assumptions!$B$12*DCF_Base!$L$19)/(1+0.15)^10+Assumptions!$B$9)/Assumptions!$B$10</f>
        <v>2396.27262857591</v>
      </c>
      <c r="D25" s="26" t="n">
        <f aca="false">(SUMPRODUCT(DCF_Bull!$C$19:$L$19/(1+0.15)^DCF_Bull!$C$4:$L$4)+MIN(DCF_Bull!$L$19*(1+Assumptions!$E$15)/(0.15-Assumptions!$E$15),Assumptions!$B$12*DCF_Bull!$L$19)/(1+0.15)^10+Assumptions!$B$9)/Assumptions!$B$10</f>
        <v>3090.8730150551</v>
      </c>
      <c r="E25" s="25" t="n">
        <f aca="false">SUMPRODUCT(B25:D25,$B$7:$D$7)</f>
        <v>2500.56172968846</v>
      </c>
      <c r="G25" s="6" t="s">
        <v>113</v>
      </c>
    </row>
    <row r="26" customFormat="false" ht="15" hidden="false" customHeight="true" outlineLevel="0" collapsed="false">
      <c r="A26" s="3" t="s">
        <v>114</v>
      </c>
      <c r="B26" s="26" t="n">
        <f aca="false">B25+(SUMPRODUCT(-DCF_Bear!$C$10:$L$10/(1+0.15)^DCF_Bear!$C$4:$L$4)+(-DCF_Bear!$L$10*(1+Assumptions!$C$15)/(0.15-Assumptions!$C$15))/(1+0.15)^10)/Assumptions!$B$10</f>
        <v>1470.79906754145</v>
      </c>
      <c r="C26" s="26" t="n">
        <f aca="false">C25+(SUMPRODUCT(-DCF_Base!$C$10:$L$10/(1+0.15)^DCF_Base!$C$4:$L$4)+(-DCF_Base!$L$10*(1+Assumptions!$D$15)/(0.15-Assumptions!$D$15))/(1+0.15)^10)/Assumptions!$B$10</f>
        <v>2396.27262857591</v>
      </c>
      <c r="D26" s="26" t="n">
        <f aca="false">D25+(SUMPRODUCT(-DCF_Bull!$C$10:$L$10/(1+0.15)^DCF_Bull!$C$4:$L$4)+(-DCF_Bull!$L$10*(1+Assumptions!$E$15)/(0.15-Assumptions!$E$15))/(1+0.15)^10)/Assumptions!$B$10</f>
        <v>3090.8730150551</v>
      </c>
      <c r="E26" s="26" t="n">
        <f aca="false">SUMPRODUCT(B26:D26,$B$7:$D$7)</f>
        <v>2500.56172968846</v>
      </c>
    </row>
    <row r="28" customFormat="false" ht="15" hidden="false" customHeight="true" outlineLevel="0" collapsed="false">
      <c r="A28" s="5" t="s">
        <v>115</v>
      </c>
    </row>
    <row r="29" customFormat="false" ht="15" hidden="false" customHeight="true" outlineLevel="0" collapsed="false">
      <c r="A29" s="12" t="s">
        <v>116</v>
      </c>
      <c r="B29" s="28" t="n">
        <v>0</v>
      </c>
      <c r="C29" s="28" t="n">
        <v>0.005</v>
      </c>
      <c r="D29" s="28" t="n">
        <v>0.01</v>
      </c>
      <c r="E29" s="28" t="n">
        <v>0.015</v>
      </c>
      <c r="F29" s="28" t="n">
        <v>0.02</v>
      </c>
    </row>
    <row r="30" customFormat="false" ht="15" hidden="false" customHeight="true" outlineLevel="0" collapsed="false">
      <c r="A30" s="28" t="n">
        <v>0.095</v>
      </c>
      <c r="B30" s="26" t="n">
        <f aca="false">IF($A30&gt;B$29,(SUMPRODUCT(DCF_Base!$C$19:$L$19/(1+$A30)^DCF_Base!$C$4:$L$4)+MIN(DCF_Base!$L$19*(1+B$29)/($A30-B$29),Assumptions!$B$12*DCF_Base!$L$19)/(1+$A30)^10+Assumptions!$B$9)/Assumptions!$B$10,"n/a")</f>
        <v>3556.09760893375</v>
      </c>
      <c r="C30" s="26" t="n">
        <f aca="false">IF($A30&gt;C$29,(SUMPRODUCT(DCF_Base!$C$19:$L$19/(1+$A30)^DCF_Base!$C$4:$L$4)+MIN(DCF_Base!$L$19*(1+C$29)/($A30-C$29),Assumptions!$B$12*DCF_Base!$L$19)/(1+$A30)^10+Assumptions!$B$9)/Assumptions!$B$10,"n/a")</f>
        <v>3636.79442086878</v>
      </c>
      <c r="D30" s="26" t="n">
        <f aca="false">IF($A30&gt;D$29,(SUMPRODUCT(DCF_Base!$C$19:$L$19/(1+$A30)^DCF_Base!$C$4:$L$4)+MIN(DCF_Base!$L$19*(1+D$29)/($A30-D$29),Assumptions!$B$12*DCF_Base!$L$19)/(1+$A30)^10+Assumptions!$B$9)/Assumptions!$B$10,"n/a")</f>
        <v>3726.9849753844</v>
      </c>
      <c r="E30" s="26" t="n">
        <f aca="false">IF($A30&gt;E$29,(SUMPRODUCT(DCF_Base!$C$19:$L$19/(1+$A30)^DCF_Base!$C$4:$L$4)+MIN(DCF_Base!$L$19*(1+E$29)/($A30-E$29),Assumptions!$B$12*DCF_Base!$L$19)/(1+$A30)^10+Assumptions!$B$9)/Assumptions!$B$10,"n/a")</f>
        <v>3828.44934921447</v>
      </c>
      <c r="F30" s="26" t="n">
        <f aca="false">IF($A30&gt;F$29,(SUMPRODUCT(DCF_Base!$C$19:$L$19/(1+$A30)^DCF_Base!$C$4:$L$4)+MIN(DCF_Base!$L$19*(1+F$29)/($A30-F$29),Assumptions!$B$12*DCF_Base!$L$19)/(1+$A30)^10+Assumptions!$B$9)/Assumptions!$B$10,"n/a")</f>
        <v>3943.44230622189</v>
      </c>
    </row>
    <row r="31" customFormat="false" ht="15" hidden="false" customHeight="true" outlineLevel="0" collapsed="false">
      <c r="A31" s="28" t="n">
        <v>0.1</v>
      </c>
      <c r="B31" s="26" t="n">
        <f aca="false">IF($A31&gt;B$29,(SUMPRODUCT(DCF_Base!$C$19:$L$19/(1+$A31)^DCF_Base!$C$4:$L$4)+MIN(DCF_Base!$L$19*(1+B$29)/($A31-B$29),Assumptions!$B$12*DCF_Base!$L$19)/(1+$A31)^10+Assumptions!$B$9)/Assumptions!$B$10,"n/a")</f>
        <v>3394.25289710217</v>
      </c>
      <c r="C31" s="26" t="n">
        <f aca="false">IF($A31&gt;C$29,(SUMPRODUCT(DCF_Base!$C$19:$L$19/(1+$A31)^DCF_Base!$C$4:$L$4)+MIN(DCF_Base!$L$19*(1+C$29)/($A31-C$29),Assumptions!$B$12*DCF_Base!$L$19)/(1+$A31)^10+Assumptions!$B$9)/Assumptions!$B$10,"n/a")</f>
        <v>3463.96236907703</v>
      </c>
      <c r="D31" s="26" t="n">
        <f aca="false">IF($A31&gt;D$29,(SUMPRODUCT(DCF_Base!$C$19:$L$19/(1+$A31)^DCF_Base!$C$4:$L$4)+MIN(DCF_Base!$L$19*(1+D$29)/($A31-D$29),Assumptions!$B$12*DCF_Base!$L$19)/(1+$A31)^10+Assumptions!$B$9)/Assumptions!$B$10,"n/a")</f>
        <v>3541.41733793798</v>
      </c>
      <c r="E31" s="26" t="n">
        <f aca="false">IF($A31&gt;E$29,(SUMPRODUCT(DCF_Base!$C$19:$L$19/(1+$A31)^DCF_Base!$C$4:$L$4)+MIN(DCF_Base!$L$19*(1+E$29)/($A31-E$29),Assumptions!$B$12*DCF_Base!$L$19)/(1+$A31)^10+Assumptions!$B$9)/Assumptions!$B$10,"n/a")</f>
        <v>3627.98465607669</v>
      </c>
      <c r="F31" s="26" t="n">
        <f aca="false">IF($A31&gt;F$29,(SUMPRODUCT(DCF_Base!$C$19:$L$19/(1+$A31)^DCF_Base!$C$4:$L$4)+MIN(DCF_Base!$L$19*(1+F$29)/($A31-F$29),Assumptions!$B$12*DCF_Base!$L$19)/(1+$A31)^10+Assumptions!$B$9)/Assumptions!$B$10,"n/a")</f>
        <v>3725.37288898274</v>
      </c>
    </row>
    <row r="32" customFormat="false" ht="15" hidden="false" customHeight="true" outlineLevel="0" collapsed="false">
      <c r="A32" s="28" t="n">
        <v>0.105</v>
      </c>
      <c r="B32" s="26" t="n">
        <f aca="false">IF($A32&gt;B$29,(SUMPRODUCT(DCF_Base!$C$19:$L$19/(1+$A32)^DCF_Base!$C$4:$L$4)+MIN(DCF_Base!$L$19*(1+B$29)/($A32-B$29),Assumptions!$B$12*DCF_Base!$L$19)/(1+$A32)^10+Assumptions!$B$9)/Assumptions!$B$10,"n/a")</f>
        <v>3248.01039289857</v>
      </c>
      <c r="C32" s="26" t="n">
        <f aca="false">IF($A32&gt;C$29,(SUMPRODUCT(DCF_Base!$C$19:$L$19/(1+$A32)^DCF_Base!$C$4:$L$4)+MIN(DCF_Base!$L$19*(1+C$29)/($A32-C$29),Assumptions!$B$12*DCF_Base!$L$19)/(1+$A32)^10+Assumptions!$B$9)/Assumptions!$B$10,"n/a")</f>
        <v>3308.55838750538</v>
      </c>
      <c r="D32" s="26" t="n">
        <f aca="false">IF($A32&gt;D$29,(SUMPRODUCT(DCF_Base!$C$19:$L$19/(1+$A32)^DCF_Base!$C$4:$L$4)+MIN(DCF_Base!$L$19*(1+D$29)/($A32-D$29),Assumptions!$B$12*DCF_Base!$L$19)/(1+$A32)^10+Assumptions!$B$9)/Assumptions!$B$10,"n/a")</f>
        <v>3375.47985522869</v>
      </c>
      <c r="E32" s="26" t="n">
        <f aca="false">IF($A32&gt;E$29,(SUMPRODUCT(DCF_Base!$C$19:$L$19/(1+$A32)^DCF_Base!$C$4:$L$4)+MIN(DCF_Base!$L$19*(1+E$29)/($A32-E$29),Assumptions!$B$12*DCF_Base!$L$19)/(1+$A32)^10+Assumptions!$B$9)/Assumptions!$B$10,"n/a")</f>
        <v>3449.83704158793</v>
      </c>
      <c r="F32" s="26" t="n">
        <f aca="false">IF($A32&gt;F$29,(SUMPRODUCT(DCF_Base!$C$19:$L$19/(1+$A32)^DCF_Base!$C$4:$L$4)+MIN(DCF_Base!$L$19*(1+F$29)/($A32-F$29),Assumptions!$B$12*DCF_Base!$L$19)/(1+$A32)^10+Assumptions!$B$9)/Assumptions!$B$10,"n/a")</f>
        <v>3532.94213222473</v>
      </c>
    </row>
    <row r="33" customFormat="false" ht="15" hidden="false" customHeight="true" outlineLevel="0" collapsed="false">
      <c r="A33" s="28" t="n">
        <v>0.11</v>
      </c>
      <c r="B33" s="26" t="n">
        <f aca="false">IF($A33&gt;B$29,(SUMPRODUCT(DCF_Base!$C$19:$L$19/(1+$A33)^DCF_Base!$C$4:$L$4)+MIN(DCF_Base!$L$19*(1+B$29)/($A33-B$29),Assumptions!$B$12*DCF_Base!$L$19)/(1+$A33)^10+Assumptions!$B$9)/Assumptions!$B$10,"n/a")</f>
        <v>3115.23693317784</v>
      </c>
      <c r="C33" s="26" t="n">
        <f aca="false">IF($A33&gt;C$29,(SUMPRODUCT(DCF_Base!$C$19:$L$19/(1+$A33)^DCF_Base!$C$4:$L$4)+MIN(DCF_Base!$L$19*(1+C$29)/($A33-C$29),Assumptions!$B$12*DCF_Base!$L$19)/(1+$A33)^10+Assumptions!$B$9)/Assumptions!$B$10,"n/a")</f>
        <v>3168.0888534919</v>
      </c>
      <c r="D33" s="26" t="n">
        <f aca="false">IF($A33&gt;D$29,(SUMPRODUCT(DCF_Base!$C$19:$L$19/(1+$A33)^DCF_Base!$C$4:$L$4)+MIN(DCF_Base!$L$19*(1+D$29)/($A33-D$29),Assumptions!$B$12*DCF_Base!$L$19)/(1+$A33)^10+Assumptions!$B$9)/Assumptions!$B$10,"n/a")</f>
        <v>3226.22596583736</v>
      </c>
      <c r="E33" s="26" t="n">
        <f aca="false">IF($A33&gt;E$29,(SUMPRODUCT(DCF_Base!$C$19:$L$19/(1+$A33)^DCF_Base!$C$4:$L$4)+MIN(DCF_Base!$L$19*(1+E$29)/($A33-E$29),Assumptions!$B$12*DCF_Base!$L$19)/(1+$A33)^10+Assumptions!$B$9)/Assumptions!$B$10,"n/a")</f>
        <v>3290.48277421919</v>
      </c>
      <c r="F33" s="26" t="n">
        <f aca="false">IF($A33&gt;F$29,(SUMPRODUCT(DCF_Base!$C$19:$L$19/(1+$A33)^DCF_Base!$C$4:$L$4)+MIN(DCF_Base!$L$19*(1+F$29)/($A33-F$29),Assumptions!$B$12*DCF_Base!$L$19)/(1+$A33)^10+Assumptions!$B$9)/Assumptions!$B$10,"n/a")</f>
        <v>3361.87922797677</v>
      </c>
    </row>
    <row r="34" customFormat="false" ht="15" hidden="false" customHeight="true" outlineLevel="0" collapsed="false">
      <c r="A34" s="28" t="n">
        <v>0.115</v>
      </c>
      <c r="B34" s="26" t="n">
        <f aca="false">IF($A34&gt;B$29,(SUMPRODUCT(DCF_Base!$C$19:$L$19/(1+$A34)^DCF_Base!$C$4:$L$4)+MIN(DCF_Base!$L$19*(1+B$29)/($A34-B$29),Assumptions!$B$12*DCF_Base!$L$19)/(1+$A34)^10+Assumptions!$B$9)/Assumptions!$B$10,"n/a")</f>
        <v>2994.17054915602</v>
      </c>
      <c r="C34" s="26" t="n">
        <f aca="false">IF($A34&gt;C$29,(SUMPRODUCT(DCF_Base!$C$19:$L$19/(1+$A34)^DCF_Base!$C$4:$L$4)+MIN(DCF_Base!$L$19*(1+C$29)/($A34-C$29),Assumptions!$B$12*DCF_Base!$L$19)/(1+$A34)^10+Assumptions!$B$9)/Assumptions!$B$10,"n/a")</f>
        <v>3040.51366531678</v>
      </c>
      <c r="D34" s="26" t="n">
        <f aca="false">IF($A34&gt;D$29,(SUMPRODUCT(DCF_Base!$C$19:$L$19/(1+$A34)^DCF_Base!$C$4:$L$4)+MIN(DCF_Base!$L$19*(1+D$29)/($A34-D$29),Assumptions!$B$12*DCF_Base!$L$19)/(1+$A34)^10+Assumptions!$B$9)/Assumptions!$B$10,"n/a")</f>
        <v>3091.27041158809</v>
      </c>
      <c r="E34" s="26" t="n">
        <f aca="false">IF($A34&gt;E$29,(SUMPRODUCT(DCF_Base!$C$19:$L$19/(1+$A34)^DCF_Base!$C$4:$L$4)+MIN(DCF_Base!$L$19*(1+E$29)/($A34-E$29),Assumptions!$B$12*DCF_Base!$L$19)/(1+$A34)^10+Assumptions!$B$9)/Assumptions!$B$10,"n/a")</f>
        <v>3147.10283248653</v>
      </c>
      <c r="F34" s="26" t="n">
        <f aca="false">IF($A34&gt;F$29,(SUMPRODUCT(DCF_Base!$C$19:$L$19/(1+$A34)^DCF_Base!$C$4:$L$4)+MIN(DCF_Base!$L$19*(1+F$29)/($A34-F$29),Assumptions!$B$12*DCF_Base!$L$19)/(1+$A34)^10+Assumptions!$B$9)/Assumptions!$B$10,"n/a")</f>
        <v>3208.81235032166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2026-08-14T04:43:10Z</dcterms:created>
  <dc:creator>openpyxl</dc:creator>
  <dc:description/>
  <dc:language>en-US</dc:language>
  <cp:lastModifiedBy/>
  <dcterms:modified xsi:type="dcterms:W3CDTF">2026-08-14T04:44:36Z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