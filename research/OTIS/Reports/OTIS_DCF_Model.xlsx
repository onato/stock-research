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<sst xmlns="http://schemas.openxmlformats.org/spreadsheetml/2006/main" count="357" uniqueCount="165">
  <si>
    <t xml:space="preserve">Ticker</t>
  </si>
  <si>
    <t xml:space="preserve">OTIS</t>
  </si>
  <si>
    <t xml:space="preserve">Company</t>
  </si>
  <si>
    <t xml:space="preserve">Otis Worldwide Corporation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</si>
  <si>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</si>
  <si>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</si>
  <si>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</si>
  <si>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</si>
  <si>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</si>
  <si>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</si>
  <si>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</si>
  <si>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</si>
  <si>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</si>
  <si>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</si>
  <si>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</si>
  <si>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</si>
  <si>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</si>
  <si>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</si>
  <si>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</si>
  <si>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</si>
  <si>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</si>
  <si>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2026-10-02T06:32:31Z</t>
  </si>
  <si>
    <t xml:space="preserve">Drivers file</t>
  </si>
  <si>
    <t xml:space="preserve">OTIS_Drivers.json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</si>
  <si>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</si>
  <si>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</si>
  <si>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</si>
  <si>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Otis is valued as a service annuity with a cyclical, low-margin new-equipment front end. Value is driven almost entirely by the maintenance/modernization/repair stream (~90% of segment profit) and its margin trajectory; new equipment matters as a feeder of future service units, not as a profit source. House basis expenses SBC fully and holds the share count flat, so the ~$1.6B/yr buyback is value-neutral rather than a source of per-share growth. NCI is deducted once in the bridge at an earnings multiple; leases are charged in the flows; pension is left in the flows via contributions. Risk is charged once, in the driver paths and the 25/50/25 weights, not in a scenario-varying WACC.
key_risks_to_valuation: China new equipment (roughly 10% of sales, formerly ~20%) continues to decline and the China service portfolio follows with a lag; 2026 service-quality/pricing/digital investments become a permanent cost base: adj OP margin stays at ~15% instead of recovering to 16.5-17%; Mechanic labour inflation outpaces maintenance pricing in the Americas and EMEA; CEO succession (Judy Marks retiring by 31-Jul-2027) brings a strategy or guidance reset; Net debt $7.6B (~2.9x FY2026E EBITDA) at rising refinancing coupons (new notes &gt;5% vs 3.2% average); interest expense already up ~$10M/qtr y/y; Terminal value is ~60% of EV and the 18x cap binds: value is sensitive to the exit multiple a buyer grants a 2.5%-growth annuity; Residual Separation tax exposures under the Tax Matters Agreement with RTX/Carrier</t>
  </si>
  <si>
    <t xml:space="preserve">Data sources</t>
  </si>
  <si>
    <t xml:space="preserve">price: Yahoo Finance chart API at inputs.price_as_of (regular close); 52-week range 63.59-94.57
financials: SEC XBRL companyfacts (CIK 1781335) via research/OTIS/Reports/OTIS_Metrics.csv; Q2-2026 10-Q (filed 2026-07-23) for the 2026-06-30 balance sheet, debt note and cash flow; Q2-2026 earnings release 8-K EX-99 (2026-07-22) for segment results, non-GAAP reconciliations and the revised FY2026 outlook; 8-K 2026-09-15 for the CEO succession announcement
qualitative: research/OTIS/Reports/OTIS_Analysis.json (bull/bear cases, growth drivers, risks, guidance history incl. the mid-2026 cut to flat adjusted operating profit and the Sep-2026 sell-side Sell initiation); Q2-26 release segment commentary, orders and backlog; 10-Q; CEO-succession 8-K</t>
  </si>
  <si>
    <t xml:space="preserve">Scenario narrative: bear</t>
  </si>
  <si>
    <t xml:space="preserve">China's new-equipment decline continues and feeds through to a shrinking China service book; maintenance price increases fail to cover mechanic wage inflation and material costs; the 2026 initiatives become permanent spend and margins settle 150-200bp below FY2025. Revenue grows 1-2% and the incoming CEO resets expectations. Net debt of $7.6B (about 2.9x FY2026E EBITDA) is serviceable but caps buybacks; the terminal multiple compresses to 14x. No solvency risk in this path.</t>
  </si>
  <si>
    <t xml:space="preserve">Scenario narrative: base</t>
  </si>
  <si>
    <t xml:space="preserve">Service-led model holds: Service organic growth mid-single digits on the 2.5M-unit portfolio with modernization (backlog +26% cc) and repair growing double digits; New Equipment flat as Americas/EMEA growth offsets structural decline in China (high-teens declines, ~10% of sales now vs ~20% pre-2022). The 2026 margin trough (adj OP 15.3% in H1-26, -160bp) recovers to the FY2025 level by 2032 as the service-quality and pricing investments mature. CEO succession by Jul-2027 is orderly. Base-case value is close to the current price: the 2026 de-rating (52w range 63.6-94.6) has already removed the premium, and Otis now trades near a fully-SBC-expensed owner-FCF value at an 8% WACC.</t>
  </si>
  <si>
    <t xml:space="preserve">Scenario narrative: bull</t>
  </si>
  <si>
    <t xml:space="preserve">China new-equipment orders bottom in 2027, the aging installed base in the Americas and EMEA drives a multi-year modernization cycle, and the 2026 investment in service quality and pricing capability returns Otis to its historical ~50bp/yr margin expansion, taking pre-SBC EBITDA margin to 19.5% by 2032 with revenue growing 5-5.5% near term. The stock re-rates back toward a 20x FCF compounder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</si>
  <si>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</si>
  <si>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</si>
  <si>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</si>
  <si>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</si>
  <si>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</si>
  <si>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</si>
  <si>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</si>
  <si>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</si>
  <si>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</si>
  <si>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</si>
  <si>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</si>
  <si>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</si>
  <si>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</si>
  <si>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</si>
  <si>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</si>
  <si>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</si>
  <si>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</si>
  <si>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</si>
  <si>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</si>
  <si>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</si>
  <si>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</si>
  <si>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</si>
  <si>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</si>
  <si>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</si>
  <si>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</si>
  <si>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</si>
  <si>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</si>
  <si>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</si>
  <si>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</si>
  <si>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</si>
  <si>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</si>
  <si>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</si>
  <si>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</si>
  <si>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</si>
  <si>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</si>
  <si>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</si>
  <si>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</si>
  <si>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</si>
  <si>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</si>
  <si>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</si>
  <si>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</si>
  <si>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</si>
  <si>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</si>
  <si>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</si>
  <si>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</si>
  <si>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</si>
  <si>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</si>
  <si>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</si>
  <si>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</si>
  <si>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</si>
  <si>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</si>
  <si>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</si>
  <si>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</si>
  <si>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</si>
  <si>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</si>
  <si>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</si>
  <si>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</si>
  <si>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</si>
  <si>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</si>
  <si>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</si>
  <si>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</si>
  <si>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</si>
  <si>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</si>
  <si>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</si>
  <si>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</si>
  <si>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</si>
  <si>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</si>
  <si>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</si>
  <si>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</si>
  <si>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</si>
  <si>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</si>
  <si>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</si>
  <si>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</si>
  <si>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</si>
  <si>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OTIS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</si>
  <si>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</si>
  <si>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</si>
  <si>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</si>
  <si>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</si>
  <si>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</si>
  <si>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</si>
  <si>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</si>
  <si>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</si>
  <si>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</si>
  <si>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</si>
  <si>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</si>
  <si>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</si>
  <si>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</si>
  <si>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</si>
  <si>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</si>
  <si>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</si>
  <si>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</si>
  <si>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</si>
  <si>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</si>
  <si>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</si>
  <si>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</si>
  <si>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</si>
  <si>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</si>
  <si>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</si>
  <si>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</si>
  <si>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</si>
  <si>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</si>
  <si>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</si>
  <si>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</si>
  <si>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</si>
  <si>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OTIS owner-FCF component DCF: base case (millions, USD)</t>
  </si>
  <si>
    <t xml:space="preserve">OTIS owner-FCF component DCF: bull case (millions, USD)</t>
  </si>
  <si>
    <t xml:space="preserve">OTIS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</si>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</sst>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64.48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2532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12915</v>
      </c>
      <c r="F3" s="0" t="n">
        <v>1835</v>
      </c>
      <c r="G3" s="0" t="n">
        <v>14.2082849399923</v>
      </c>
      <c r="I3" s="0" t="n">
        <v>1210</v>
      </c>
      <c r="J3" s="0" t="n">
        <v>9.36895083236547</v>
      </c>
      <c r="K3" s="0" t="n">
        <v>2.42</v>
      </c>
      <c r="L3" s="0" t="n">
        <v>1550</v>
      </c>
      <c r="M3" s="0" t="n">
        <v>172</v>
      </c>
      <c r="N3" s="0" t="n">
        <v>1378</v>
      </c>
      <c r="O3" s="0" t="n">
        <v>2012</v>
      </c>
      <c r="S3" s="0" t="n">
        <v>1329</v>
      </c>
      <c r="T3" s="0" t="n">
        <v>433.1</v>
      </c>
      <c r="U3" s="0" t="n">
        <v>38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13118</v>
      </c>
      <c r="F4" s="0" t="n">
        <v>1814</v>
      </c>
      <c r="G4" s="0" t="n">
        <v>13.8283274889465</v>
      </c>
      <c r="I4" s="0" t="n">
        <v>1267</v>
      </c>
      <c r="J4" s="0" t="n">
        <v>9.65848452508004</v>
      </c>
      <c r="K4" s="0" t="n">
        <v>2.55</v>
      </c>
      <c r="L4" s="0" t="n">
        <v>1469</v>
      </c>
      <c r="M4" s="0" t="n">
        <v>145</v>
      </c>
      <c r="N4" s="0" t="n">
        <v>1324</v>
      </c>
      <c r="O4" s="0" t="n">
        <v>2128</v>
      </c>
      <c r="P4" s="0" t="n">
        <v>9687</v>
      </c>
      <c r="Q4" s="0" t="n">
        <v>7361</v>
      </c>
      <c r="R4" s="0" t="n">
        <v>5</v>
      </c>
      <c r="S4" s="0" t="n">
        <v>1446</v>
      </c>
      <c r="T4" s="0" t="n">
        <v>433.1</v>
      </c>
      <c r="U4" s="0" t="n">
        <v>47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12756</v>
      </c>
      <c r="F5" s="0" t="n">
        <v>1639</v>
      </c>
      <c r="G5" s="0" t="n">
        <v>12.848855440577</v>
      </c>
      <c r="I5" s="0" t="n">
        <v>1056</v>
      </c>
      <c r="J5" s="0" t="n">
        <v>8.27845719661336</v>
      </c>
      <c r="K5" s="0" t="n">
        <v>2.09</v>
      </c>
      <c r="L5" s="0" t="n">
        <v>1480</v>
      </c>
      <c r="M5" s="0" t="n">
        <v>183</v>
      </c>
      <c r="N5" s="0" t="n">
        <v>1297</v>
      </c>
      <c r="O5" s="0" t="n">
        <v>-3395</v>
      </c>
      <c r="P5" s="0" t="n">
        <v>10710</v>
      </c>
      <c r="Q5" s="0" t="n">
        <v>13911</v>
      </c>
      <c r="R5" s="0" t="n">
        <v>5262</v>
      </c>
      <c r="S5" s="0" t="n">
        <v>1782</v>
      </c>
      <c r="T5" s="0" t="n">
        <v>434.6</v>
      </c>
      <c r="U5" s="0" t="n">
        <v>63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14298</v>
      </c>
      <c r="F6" s="0" t="n">
        <v>2108</v>
      </c>
      <c r="G6" s="0" t="n">
        <v>14.74332074416</v>
      </c>
      <c r="I6" s="0" t="n">
        <v>1420</v>
      </c>
      <c r="J6" s="0" t="n">
        <v>9.93145894530704</v>
      </c>
      <c r="K6" s="0" t="n">
        <v>2.91</v>
      </c>
      <c r="L6" s="0" t="n">
        <v>1750</v>
      </c>
      <c r="M6" s="0" t="n">
        <v>156</v>
      </c>
      <c r="N6" s="0" t="n">
        <v>1594</v>
      </c>
      <c r="O6" s="0" t="n">
        <v>-3144</v>
      </c>
      <c r="P6" s="0" t="n">
        <v>12279</v>
      </c>
      <c r="Q6" s="0" t="n">
        <v>15263</v>
      </c>
      <c r="R6" s="0" t="n">
        <v>7273</v>
      </c>
      <c r="S6" s="0" t="n">
        <v>1565</v>
      </c>
      <c r="T6" s="0" t="n">
        <v>434.7</v>
      </c>
      <c r="U6" s="0" t="n">
        <v>67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13685</v>
      </c>
      <c r="F7" s="0" t="n">
        <v>2033</v>
      </c>
      <c r="G7" s="0" t="n">
        <v>14.855681402996</v>
      </c>
      <c r="I7" s="0" t="n">
        <v>1369</v>
      </c>
      <c r="J7" s="0" t="n">
        <v>10.0036536353672</v>
      </c>
      <c r="K7" s="0" t="n">
        <v>2.98</v>
      </c>
      <c r="L7" s="0" t="n">
        <v>1560</v>
      </c>
      <c r="M7" s="0" t="n">
        <v>115</v>
      </c>
      <c r="N7" s="0" t="n">
        <v>1445</v>
      </c>
      <c r="O7" s="0" t="n">
        <v>-4799</v>
      </c>
      <c r="P7" s="0" t="n">
        <v>9819</v>
      </c>
      <c r="Q7" s="0" t="n">
        <v>14483</v>
      </c>
      <c r="R7" s="0" t="n">
        <v>7341</v>
      </c>
      <c r="S7" s="0" t="n">
        <v>1189</v>
      </c>
      <c r="T7" s="0" t="n">
        <v>435.6</v>
      </c>
      <c r="U7" s="0" t="n">
        <v>67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14209</v>
      </c>
      <c r="F8" s="0" t="n">
        <v>2186</v>
      </c>
      <c r="G8" s="0" t="n">
        <v>15.3846153846154</v>
      </c>
      <c r="I8" s="0" t="n">
        <v>1498</v>
      </c>
      <c r="J8" s="0" t="n">
        <v>10.5426138363009</v>
      </c>
      <c r="K8" s="0" t="n">
        <v>3.42</v>
      </c>
      <c r="L8" s="0" t="n">
        <v>1627</v>
      </c>
      <c r="M8" s="0" t="n">
        <v>138</v>
      </c>
      <c r="N8" s="0" t="n">
        <v>1489</v>
      </c>
      <c r="O8" s="0" t="n">
        <v>-4855</v>
      </c>
      <c r="P8" s="0" t="n">
        <v>10117</v>
      </c>
      <c r="Q8" s="0" t="n">
        <v>14837</v>
      </c>
      <c r="R8" s="0" t="n">
        <v>6942</v>
      </c>
      <c r="S8" s="0" t="n">
        <v>1274</v>
      </c>
      <c r="T8" s="0" t="n">
        <v>437</v>
      </c>
      <c r="U8" s="0" t="n">
        <v>64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14261</v>
      </c>
      <c r="F9" s="0" t="n">
        <v>2008</v>
      </c>
      <c r="G9" s="0" t="n">
        <v>14.0803590211065</v>
      </c>
      <c r="I9" s="0" t="n">
        <v>1734</v>
      </c>
      <c r="J9" s="0" t="n">
        <v>12.1590351307762</v>
      </c>
      <c r="K9" s="0" t="n">
        <v>4.1</v>
      </c>
      <c r="L9" s="0" t="n">
        <v>1563</v>
      </c>
      <c r="M9" s="0" t="n">
        <v>126</v>
      </c>
      <c r="N9" s="0" t="n">
        <v>1437</v>
      </c>
      <c r="O9" s="0" t="n">
        <v>-4848</v>
      </c>
      <c r="P9" s="0" t="n">
        <v>11316</v>
      </c>
      <c r="Q9" s="0" t="n">
        <v>16044</v>
      </c>
      <c r="R9" s="0" t="n">
        <v>9673</v>
      </c>
      <c r="S9" s="0" t="n">
        <v>2300</v>
      </c>
      <c r="T9" s="0" t="n">
        <v>438.6</v>
      </c>
      <c r="U9" s="0" t="n">
        <v>73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14431</v>
      </c>
      <c r="F10" s="0" t="n">
        <v>2133</v>
      </c>
      <c r="G10" s="0" t="n">
        <v>14.7806804795233</v>
      </c>
      <c r="I10" s="0" t="n">
        <v>1455</v>
      </c>
      <c r="J10" s="0" t="n">
        <v>10.0824613678886</v>
      </c>
      <c r="K10" s="0" t="n">
        <v>3.52</v>
      </c>
      <c r="L10" s="0" t="n">
        <v>1596</v>
      </c>
      <c r="M10" s="0" t="n">
        <v>152</v>
      </c>
      <c r="N10" s="0" t="n">
        <v>1444</v>
      </c>
      <c r="O10" s="0" t="n">
        <v>-5392</v>
      </c>
      <c r="P10" s="0" t="n">
        <v>10653</v>
      </c>
      <c r="Q10" s="0" t="n">
        <v>15924</v>
      </c>
      <c r="R10" s="0" t="n">
        <v>8841</v>
      </c>
      <c r="S10" s="0" t="n">
        <v>1096</v>
      </c>
      <c r="T10" s="0" t="n">
        <v>394.9</v>
      </c>
      <c r="U10" s="0" t="n">
        <v>80</v>
      </c>
      <c r="AA10" s="0" t="s">
        <v>17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64.48</v>
      </c>
    </row>
    <row r="3" customFormat="false" ht="15" hidden="false" customHeight="false" outlineLevel="0" collapsed="false">
      <c r="A3" s="0" t="s">
        <v>75</v>
      </c>
      <c r="B3" s="3" t="n">
        <v>381.6</v>
      </c>
    </row>
    <row r="4" customFormat="false" ht="15" hidden="false" customHeight="false" outlineLevel="0" collapsed="false">
      <c r="A4" s="0" t="s">
        <v>76</v>
      </c>
      <c r="B4" s="3" t="n">
        <v>7623</v>
      </c>
    </row>
    <row r="5" customFormat="false" ht="15" hidden="false" customHeight="false" outlineLevel="0" collapsed="false">
      <c r="A5" s="0" t="s">
        <v>77</v>
      </c>
      <c r="B5" s="3" t="n">
        <v>-800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15200</v>
      </c>
    </row>
    <row r="8" customFormat="false" ht="15" hidden="false" customHeight="false" outlineLevel="0" collapsed="false">
      <c r="A8" s="0" t="s">
        <v>80</v>
      </c>
      <c r="B8" s="3" t="s">
        <v>81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1</v>
      </c>
      <c r="D13" s="3" t="n">
        <v>1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97</v>
      </c>
      <c r="C14" s="3" t="n">
        <v>16.8</v>
      </c>
      <c r="D14" s="3" t="n">
        <v>16.3</v>
      </c>
      <c r="E14" s="3" t="n">
        <v>16</v>
      </c>
      <c r="F14" s="3" t="n">
        <v>16</v>
      </c>
      <c r="G14" s="3" t="n">
        <v>16</v>
      </c>
      <c r="H14" s="3" t="n">
        <v>16</v>
      </c>
      <c r="I14" s="3" t="n">
        <v>16</v>
      </c>
      <c r="J14" s="3" t="n">
        <v>16</v>
      </c>
      <c r="K14" s="3" t="n">
        <v>16</v>
      </c>
      <c r="L14" s="3" t="n">
        <v>16</v>
      </c>
    </row>
    <row r="15" customFormat="false" ht="15" hidden="false" customHeight="false" outlineLevel="0" collapsed="false">
      <c r="A15" s="0" t="s">
        <v>98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1.1</v>
      </c>
      <c r="D17" s="3" t="n">
        <v>1.1</v>
      </c>
      <c r="E17" s="3" t="n">
        <v>1.1</v>
      </c>
      <c r="F17" s="3" t="n">
        <v>1.1</v>
      </c>
      <c r="G17" s="3" t="n">
        <v>1.1</v>
      </c>
      <c r="H17" s="3" t="n">
        <v>1.1</v>
      </c>
      <c r="I17" s="3" t="n">
        <v>1.1</v>
      </c>
      <c r="J17" s="3" t="n">
        <v>1.1</v>
      </c>
      <c r="K17" s="3" t="n">
        <v>1.1</v>
      </c>
      <c r="L17" s="3" t="n">
        <v>1.1</v>
      </c>
    </row>
    <row r="18" customFormat="false" ht="15" hidden="false" customHeight="false" outlineLevel="0" collapsed="false">
      <c r="A18" s="0" t="s">
        <v>101</v>
      </c>
      <c r="C18" s="3" t="n">
        <v>1.6</v>
      </c>
      <c r="D18" s="3" t="n">
        <v>1.6</v>
      </c>
      <c r="E18" s="3" t="n">
        <v>1.6</v>
      </c>
      <c r="F18" s="3" t="n">
        <v>1.6</v>
      </c>
      <c r="G18" s="3" t="n">
        <v>1.6</v>
      </c>
      <c r="H18" s="3" t="n">
        <v>1.6</v>
      </c>
      <c r="I18" s="3" t="n">
        <v>1.6</v>
      </c>
      <c r="J18" s="3" t="n">
        <v>1.6</v>
      </c>
      <c r="K18" s="3" t="n">
        <v>1.6</v>
      </c>
      <c r="L18" s="3" t="n">
        <v>1.6</v>
      </c>
    </row>
    <row r="19" customFormat="false" ht="15" hidden="false" customHeight="false" outlineLevel="0" collapsed="false">
      <c r="A19" s="0" t="s">
        <v>102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103</v>
      </c>
      <c r="B20" s="3" t="n">
        <v>8</v>
      </c>
    </row>
    <row r="21" customFormat="false" ht="15" hidden="false" customHeight="false" outlineLevel="0" collapsed="false">
      <c r="A21" s="0" t="s">
        <v>104</v>
      </c>
      <c r="B21" s="3" t="n">
        <v>2</v>
      </c>
    </row>
    <row r="22" customFormat="false" ht="15" hidden="false" customHeight="false" outlineLevel="0" collapsed="false">
      <c r="A22" s="0" t="s">
        <v>105</v>
      </c>
      <c r="B22" s="3" t="n">
        <v>14</v>
      </c>
    </row>
    <row r="23" customFormat="false" ht="15" hidden="false" customHeight="false" outlineLevel="0" collapsed="false">
      <c r="A23" s="0" t="s">
        <v>106</v>
      </c>
      <c r="B23" s="3" t="n">
        <v>0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4</v>
      </c>
      <c r="D27" s="3" t="n">
        <v>4</v>
      </c>
      <c r="E27" s="3" t="n">
        <v>4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97</v>
      </c>
      <c r="C28" s="3" t="n">
        <v>17.2</v>
      </c>
      <c r="D28" s="3" t="n">
        <v>17.4</v>
      </c>
      <c r="E28" s="3" t="n">
        <v>17.7</v>
      </c>
      <c r="F28" s="3" t="n">
        <v>18</v>
      </c>
      <c r="G28" s="3" t="n">
        <v>18.2</v>
      </c>
      <c r="H28" s="3" t="n">
        <v>18.4</v>
      </c>
      <c r="I28" s="3" t="n">
        <v>18.5</v>
      </c>
      <c r="J28" s="3" t="n">
        <v>18.5</v>
      </c>
      <c r="K28" s="3" t="n">
        <v>18.5</v>
      </c>
      <c r="L28" s="3" t="n">
        <v>18.5</v>
      </c>
    </row>
    <row r="29" customFormat="false" ht="15" hidden="false" customHeight="false" outlineLevel="0" collapsed="false">
      <c r="A29" s="0" t="s">
        <v>98</v>
      </c>
      <c r="C29" s="3" t="n">
        <v>0.5</v>
      </c>
      <c r="D29" s="3" t="n">
        <v>0.5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1.1</v>
      </c>
      <c r="D31" s="3" t="n">
        <v>1.1</v>
      </c>
      <c r="E31" s="3" t="n">
        <v>1.1</v>
      </c>
      <c r="F31" s="3" t="n">
        <v>1.1</v>
      </c>
      <c r="G31" s="3" t="n">
        <v>1.1</v>
      </c>
      <c r="H31" s="3" t="n">
        <v>1.1</v>
      </c>
      <c r="I31" s="3" t="n">
        <v>1.1</v>
      </c>
      <c r="J31" s="3" t="n">
        <v>1.1</v>
      </c>
      <c r="K31" s="3" t="n">
        <v>1.1</v>
      </c>
      <c r="L31" s="3" t="n">
        <v>1.1</v>
      </c>
    </row>
    <row r="32" customFormat="false" ht="15" hidden="false" customHeight="false" outlineLevel="0" collapsed="false">
      <c r="A32" s="0" t="s">
        <v>101</v>
      </c>
      <c r="C32" s="3" t="n">
        <v>1.6</v>
      </c>
      <c r="D32" s="3" t="n">
        <v>1.6</v>
      </c>
      <c r="E32" s="3" t="n">
        <v>1.6</v>
      </c>
      <c r="F32" s="3" t="n">
        <v>1.6</v>
      </c>
      <c r="G32" s="3" t="n">
        <v>1.6</v>
      </c>
      <c r="H32" s="3" t="n">
        <v>1.6</v>
      </c>
      <c r="I32" s="3" t="n">
        <v>1.6</v>
      </c>
      <c r="J32" s="3" t="n">
        <v>1.6</v>
      </c>
      <c r="K32" s="3" t="n">
        <v>1.6</v>
      </c>
      <c r="L32" s="3" t="n">
        <v>1.6</v>
      </c>
    </row>
    <row r="33" customFormat="false" ht="15" hidden="false" customHeight="false" outlineLevel="0" collapsed="false">
      <c r="A33" s="0" t="s">
        <v>102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103</v>
      </c>
      <c r="B34" s="3" t="n">
        <v>8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18</v>
      </c>
    </row>
    <row r="37" customFormat="false" ht="15" hidden="false" customHeight="false" outlineLevel="0" collapsed="false">
      <c r="A37" s="0" t="s">
        <v>106</v>
      </c>
      <c r="B37" s="3" t="n">
        <v>0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5.5</v>
      </c>
      <c r="D41" s="3" t="n">
        <v>5.5</v>
      </c>
      <c r="E41" s="3" t="n">
        <v>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17.4</v>
      </c>
      <c r="D42" s="3" t="n">
        <v>17.9</v>
      </c>
      <c r="E42" s="3" t="n">
        <v>18.4</v>
      </c>
      <c r="F42" s="3" t="n">
        <v>18.8</v>
      </c>
      <c r="G42" s="3" t="n">
        <v>19.1</v>
      </c>
      <c r="H42" s="3" t="n">
        <v>19.3</v>
      </c>
      <c r="I42" s="3" t="n">
        <v>19.5</v>
      </c>
      <c r="J42" s="3" t="n">
        <v>19.5</v>
      </c>
      <c r="K42" s="3" t="n">
        <v>19.5</v>
      </c>
      <c r="L42" s="3" t="n">
        <v>19.5</v>
      </c>
    </row>
    <row r="43" customFormat="false" ht="15" hidden="false" customHeight="false" outlineLevel="0" collapsed="false">
      <c r="A43" s="0" t="s">
        <v>98</v>
      </c>
      <c r="C43" s="3" t="n">
        <v>0.5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1.1</v>
      </c>
      <c r="D45" s="3" t="n">
        <v>1.1</v>
      </c>
      <c r="E45" s="3" t="n">
        <v>1.1</v>
      </c>
      <c r="F45" s="3" t="n">
        <v>1.1</v>
      </c>
      <c r="G45" s="3" t="n">
        <v>1.1</v>
      </c>
      <c r="H45" s="3" t="n">
        <v>1.1</v>
      </c>
      <c r="I45" s="3" t="n">
        <v>1.1</v>
      </c>
      <c r="J45" s="3" t="n">
        <v>1.1</v>
      </c>
      <c r="K45" s="3" t="n">
        <v>1.1</v>
      </c>
      <c r="L45" s="3" t="n">
        <v>1.1</v>
      </c>
    </row>
    <row r="46" customFormat="false" ht="15" hidden="false" customHeight="false" outlineLevel="0" collapsed="false">
      <c r="A46" s="0" t="s">
        <v>101</v>
      </c>
      <c r="C46" s="3" t="n">
        <v>1.6</v>
      </c>
      <c r="D46" s="3" t="n">
        <v>1.6</v>
      </c>
      <c r="E46" s="3" t="n">
        <v>1.6</v>
      </c>
      <c r="F46" s="3" t="n">
        <v>1.6</v>
      </c>
      <c r="G46" s="3" t="n">
        <v>1.6</v>
      </c>
      <c r="H46" s="3" t="n">
        <v>1.6</v>
      </c>
      <c r="I46" s="3" t="n">
        <v>1.6</v>
      </c>
      <c r="J46" s="3" t="n">
        <v>1.6</v>
      </c>
      <c r="K46" s="3" t="n">
        <v>1.6</v>
      </c>
      <c r="L46" s="3" t="n">
        <v>1.6</v>
      </c>
    </row>
    <row r="47" customFormat="false" ht="15" hidden="false" customHeight="false" outlineLevel="0" collapsed="false">
      <c r="A47" s="0" t="s">
        <v>102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103</v>
      </c>
      <c r="B48" s="3" t="n">
        <v>8</v>
      </c>
    </row>
    <row r="49" customFormat="false" ht="15" hidden="false" customHeight="false" outlineLevel="0" collapsed="false">
      <c r="A49" s="0" t="s">
        <v>104</v>
      </c>
      <c r="B49" s="3" t="n">
        <v>3</v>
      </c>
    </row>
    <row r="50" customFormat="false" ht="15" hidden="false" customHeight="false" outlineLevel="0" collapsed="false">
      <c r="A50" s="0" t="s">
        <v>105</v>
      </c>
      <c r="B50" s="3" t="n">
        <v>20</v>
      </c>
    </row>
    <row r="51" customFormat="false" ht="15" hidden="false" customHeight="false" outlineLevel="0" collapsed="false">
      <c r="A51" s="0" t="s">
        <v>106</v>
      </c>
      <c r="B51" s="3" t="n">
        <v>0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81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1</v>
      </c>
      <c r="D5" s="4" t="n">
        <f aca="false">Assumptions!D13</f>
        <v>1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15200</v>
      </c>
      <c r="C6" s="0" t="n">
        <f aca="false">B6*(1+C5/100)</f>
        <v>15352</v>
      </c>
      <c r="D6" s="0" t="n">
        <f aca="false">C6*(1+D5/100)</f>
        <v>15505.52</v>
      </c>
      <c r="E6" s="0" t="n">
        <f aca="false">D6*(1+E5/100)</f>
        <v>15738.1028</v>
      </c>
      <c r="F6" s="0" t="n">
        <f aca="false">E6*(1+F5/100)</f>
        <v>16052.864856</v>
      </c>
      <c r="G6" s="0" t="n">
        <f aca="false">F6*(1+G5/100)</f>
        <v>16373.92215312</v>
      </c>
      <c r="H6" s="0" t="n">
        <f aca="false">G6*(1+H5/100)</f>
        <v>16701.4005961824</v>
      </c>
      <c r="I6" s="0" t="n">
        <f aca="false">H6*(1+I5/100)</f>
        <v>17035.428608106</v>
      </c>
      <c r="J6" s="0" t="n">
        <f aca="false">I6*(1+J5/100)</f>
        <v>17376.1371802682</v>
      </c>
      <c r="K6" s="0" t="n">
        <f aca="false">J6*(1+K5/100)</f>
        <v>17723.6599238735</v>
      </c>
      <c r="L6" s="0" t="n">
        <f aca="false">K6*(1+L5/100)</f>
        <v>18078.133122351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16.8</v>
      </c>
      <c r="D7" s="4" t="n">
        <f aca="false">Assumptions!D14</f>
        <v>16.3</v>
      </c>
      <c r="E7" s="4" t="n">
        <f aca="false">Assumptions!E14</f>
        <v>16</v>
      </c>
      <c r="F7" s="4" t="n">
        <f aca="false">Assumptions!F14</f>
        <v>16</v>
      </c>
      <c r="G7" s="4" t="n">
        <f aca="false">Assumptions!G14</f>
        <v>16</v>
      </c>
      <c r="H7" s="4" t="n">
        <f aca="false">Assumptions!H14</f>
        <v>16</v>
      </c>
      <c r="I7" s="4" t="n">
        <f aca="false">Assumptions!I14</f>
        <v>16</v>
      </c>
      <c r="J7" s="4" t="n">
        <f aca="false">Assumptions!J14</f>
        <v>16</v>
      </c>
      <c r="K7" s="4" t="n">
        <f aca="false">Assumptions!K14</f>
        <v>16</v>
      </c>
      <c r="L7" s="4" t="n">
        <f aca="false">Assumptions!L14</f>
        <v>16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2579.136</v>
      </c>
      <c r="D8" s="0" t="n">
        <f aca="false">D6*D7/100</f>
        <v>2527.39976</v>
      </c>
      <c r="E8" s="0" t="n">
        <f aca="false">E6*E7/100</f>
        <v>2518.096448</v>
      </c>
      <c r="F8" s="0" t="n">
        <f aca="false">F6*F7/100</f>
        <v>2568.45837696</v>
      </c>
      <c r="G8" s="0" t="n">
        <f aca="false">G6*G7/100</f>
        <v>2619.8275444992</v>
      </c>
      <c r="H8" s="0" t="n">
        <f aca="false">H6*H7/100</f>
        <v>2672.22409538918</v>
      </c>
      <c r="I8" s="0" t="n">
        <f aca="false">I6*I7/100</f>
        <v>2725.66857729697</v>
      </c>
      <c r="J8" s="0" t="n">
        <f aca="false">J6*J7/100</f>
        <v>2780.18194884291</v>
      </c>
      <c r="K8" s="0" t="n">
        <f aca="false">K6*K7/100</f>
        <v>2835.78558781977</v>
      </c>
      <c r="L8" s="0" t="n">
        <f aca="false">L6*L7/100</f>
        <v>2892.50129957616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-76.76</v>
      </c>
      <c r="D10" s="0" t="n">
        <f aca="false">-D6*D9/100</f>
        <v>-77.5276</v>
      </c>
      <c r="E10" s="0" t="n">
        <f aca="false">-E6*E9/100</f>
        <v>-78.690514</v>
      </c>
      <c r="F10" s="0" t="n">
        <f aca="false">-F6*F9/100</f>
        <v>-80.26432428</v>
      </c>
      <c r="G10" s="0" t="n">
        <f aca="false">-G6*G9/100</f>
        <v>-81.8696107656</v>
      </c>
      <c r="H10" s="0" t="n">
        <f aca="false">-H6*H9/100</f>
        <v>-83.507002980912</v>
      </c>
      <c r="I10" s="0" t="n">
        <f aca="false">-I6*I9/100</f>
        <v>-85.1771430405302</v>
      </c>
      <c r="J10" s="0" t="n">
        <f aca="false">-J6*J9/100</f>
        <v>-86.8806859013408</v>
      </c>
      <c r="K10" s="0" t="n">
        <f aca="false">-K6*K9/100</f>
        <v>-88.6182996193677</v>
      </c>
      <c r="L10" s="0" t="n">
        <f aca="false">-L6*L9/100</f>
        <v>-90.390665611755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2502.376</v>
      </c>
      <c r="D11" s="0" t="n">
        <f aca="false">D8+D10+D24</f>
        <v>2449.87216</v>
      </c>
      <c r="E11" s="0" t="n">
        <f aca="false">E8+E10+E24</f>
        <v>2439.405934</v>
      </c>
      <c r="F11" s="0" t="n">
        <f aca="false">F8+F10+F24</f>
        <v>2488.19405268</v>
      </c>
      <c r="G11" s="0" t="n">
        <f aca="false">G8+G10+G24</f>
        <v>2537.9579337336</v>
      </c>
      <c r="H11" s="0" t="n">
        <f aca="false">H8+H10+H24</f>
        <v>2588.71709240827</v>
      </c>
      <c r="I11" s="0" t="n">
        <f aca="false">I8+I10+I24</f>
        <v>2640.49143425644</v>
      </c>
      <c r="J11" s="0" t="n">
        <f aca="false">J8+J10+J24</f>
        <v>2693.30126294157</v>
      </c>
      <c r="K11" s="0" t="n">
        <f aca="false">K8+K10+K24</f>
        <v>2747.1672882004</v>
      </c>
      <c r="L11" s="0" t="n">
        <f aca="false">L8+L10+L24</f>
        <v>2802.11063396441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-168.872</v>
      </c>
      <c r="D12" s="4" t="n">
        <f aca="false">-D6*Assumptions!D17/100</f>
        <v>-170.56072</v>
      </c>
      <c r="E12" s="4" t="n">
        <f aca="false">-E6*Assumptions!E17/100</f>
        <v>-173.1191308</v>
      </c>
      <c r="F12" s="4" t="n">
        <f aca="false">-F6*Assumptions!F17/100</f>
        <v>-176.581513416</v>
      </c>
      <c r="G12" s="4" t="n">
        <f aca="false">-G6*Assumptions!G17/100</f>
        <v>-180.11314368432</v>
      </c>
      <c r="H12" s="4" t="n">
        <f aca="false">-H6*Assumptions!H17/100</f>
        <v>-183.715406558006</v>
      </c>
      <c r="I12" s="4" t="n">
        <f aca="false">-I6*Assumptions!I17/100</f>
        <v>-187.389714689167</v>
      </c>
      <c r="J12" s="4" t="n">
        <f aca="false">-J6*Assumptions!J17/100</f>
        <v>-191.13750898295</v>
      </c>
      <c r="K12" s="4" t="n">
        <f aca="false">-K6*Assumptions!K17/100</f>
        <v>-194.960259162609</v>
      </c>
      <c r="L12" s="4" t="n">
        <f aca="false">-L6*Assumptions!L17/100</f>
        <v>-198.859464345861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2333.504</v>
      </c>
      <c r="D13" s="0" t="n">
        <f aca="false">D11+D12</f>
        <v>2279.31144</v>
      </c>
      <c r="E13" s="0" t="n">
        <f aca="false">E11+E12</f>
        <v>2266.2868032</v>
      </c>
      <c r="F13" s="0" t="n">
        <f aca="false">F11+F12</f>
        <v>2311.612539264</v>
      </c>
      <c r="G13" s="0" t="n">
        <f aca="false">G11+G12</f>
        <v>2357.84479004928</v>
      </c>
      <c r="H13" s="0" t="n">
        <f aca="false">H11+H12</f>
        <v>2405.00168585027</v>
      </c>
      <c r="I13" s="0" t="n">
        <f aca="false">I11+I12</f>
        <v>2453.10171956727</v>
      </c>
      <c r="J13" s="0" t="n">
        <f aca="false">J11+J12</f>
        <v>2502.16375395862</v>
      </c>
      <c r="K13" s="0" t="n">
        <f aca="false">K11+K12</f>
        <v>2552.20702903779</v>
      </c>
      <c r="L13" s="0" t="n">
        <f aca="false">L11+L12</f>
        <v>2603.25116961854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1750.128</v>
      </c>
      <c r="D15" s="0" t="n">
        <f aca="false">D13-MAX(0,D13)*D14/100</f>
        <v>1709.48358</v>
      </c>
      <c r="E15" s="0" t="n">
        <f aca="false">E13-MAX(0,E13)*E14/100</f>
        <v>1699.7151024</v>
      </c>
      <c r="F15" s="0" t="n">
        <f aca="false">F13-MAX(0,F13)*F14/100</f>
        <v>1733.709404448</v>
      </c>
      <c r="G15" s="0" t="n">
        <f aca="false">G13-MAX(0,G13)*G14/100</f>
        <v>1768.38359253696</v>
      </c>
      <c r="H15" s="0" t="n">
        <f aca="false">H13-MAX(0,H13)*H14/100</f>
        <v>1803.7512643877</v>
      </c>
      <c r="I15" s="0" t="n">
        <f aca="false">I13-MAX(0,I13)*I14/100</f>
        <v>1839.82628967545</v>
      </c>
      <c r="J15" s="0" t="n">
        <f aca="false">J13-MAX(0,J13)*J14/100</f>
        <v>1876.62281546896</v>
      </c>
      <c r="K15" s="0" t="n">
        <f aca="false">K13-MAX(0,K13)*K14/100</f>
        <v>1914.15527177834</v>
      </c>
      <c r="L15" s="0" t="n">
        <f aca="false">L13-MAX(0,L13)*L14/100</f>
        <v>1952.43837721391</v>
      </c>
    </row>
    <row r="16" customFormat="false" ht="15" hidden="false" customHeight="false" outlineLevel="0" collapsed="false">
      <c r="A16" s="0" t="s">
        <v>118</v>
      </c>
      <c r="C16" s="0" t="n">
        <f aca="false">-C12</f>
        <v>168.872</v>
      </c>
      <c r="D16" s="0" t="n">
        <f aca="false">-D12</f>
        <v>170.56072</v>
      </c>
      <c r="E16" s="0" t="n">
        <f aca="false">-E12</f>
        <v>173.1191308</v>
      </c>
      <c r="F16" s="0" t="n">
        <f aca="false">-F12</f>
        <v>176.581513416</v>
      </c>
      <c r="G16" s="0" t="n">
        <f aca="false">-G12</f>
        <v>180.11314368432</v>
      </c>
      <c r="H16" s="0" t="n">
        <f aca="false">-H12</f>
        <v>183.715406558006</v>
      </c>
      <c r="I16" s="0" t="n">
        <f aca="false">-I12</f>
        <v>187.389714689167</v>
      </c>
      <c r="J16" s="0" t="n">
        <f aca="false">-J12</f>
        <v>191.13750898295</v>
      </c>
      <c r="K16" s="0" t="n">
        <f aca="false">-K12</f>
        <v>194.960259162609</v>
      </c>
      <c r="L16" s="0" t="n">
        <f aca="false">-L12</f>
        <v>198.859464345861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-245.632</v>
      </c>
      <c r="D17" s="4" t="n">
        <f aca="false">-D6*Assumptions!D18/100</f>
        <v>-248.08832</v>
      </c>
      <c r="E17" s="4" t="n">
        <f aca="false">-E6*Assumptions!E18/100</f>
        <v>-251.8096448</v>
      </c>
      <c r="F17" s="4" t="n">
        <f aca="false">-F6*Assumptions!F18/100</f>
        <v>-256.845837696</v>
      </c>
      <c r="G17" s="4" t="n">
        <f aca="false">-G6*Assumptions!G18/100</f>
        <v>-261.98275444992</v>
      </c>
      <c r="H17" s="4" t="n">
        <f aca="false">-H6*Assumptions!H18/100</f>
        <v>-267.222409538918</v>
      </c>
      <c r="I17" s="4" t="n">
        <f aca="false">-I6*Assumptions!I18/100</f>
        <v>-272.566857729697</v>
      </c>
      <c r="J17" s="4" t="n">
        <f aca="false">-J6*Assumptions!J18/100</f>
        <v>-278.018194884291</v>
      </c>
      <c r="K17" s="4" t="n">
        <f aca="false">-K6*Assumptions!K18/100</f>
        <v>-283.578558781977</v>
      </c>
      <c r="L17" s="4" t="n">
        <f aca="false">-L6*Assumptions!L18/100</f>
        <v>-289.250129957616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1673.368</v>
      </c>
      <c r="D19" s="0" t="n">
        <f aca="false">D15+D16+D17+D18</f>
        <v>1631.95598</v>
      </c>
      <c r="E19" s="0" t="n">
        <f aca="false">E15+E16+E17+E18</f>
        <v>1621.0245884</v>
      </c>
      <c r="F19" s="0" t="n">
        <f aca="false">F15+F16+F17+F18</f>
        <v>1653.445080168</v>
      </c>
      <c r="G19" s="0" t="n">
        <f aca="false">G15+G16+G17+G18</f>
        <v>1686.51398177136</v>
      </c>
      <c r="H19" s="0" t="n">
        <f aca="false">H15+H16+H17+H18</f>
        <v>1720.24426140679</v>
      </c>
      <c r="I19" s="0" t="n">
        <f aca="false">I15+I16+I17+I18</f>
        <v>1754.64914663492</v>
      </c>
      <c r="J19" s="0" t="n">
        <f aca="false">J15+J16+J17+J18</f>
        <v>1789.74212956762</v>
      </c>
      <c r="K19" s="0" t="n">
        <f aca="false">K15+K16+K17+K18</f>
        <v>1825.53697215897</v>
      </c>
      <c r="L19" s="0" t="n">
        <f aca="false">L15+L16+L17+L18</f>
        <v>1862.04771160215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1549.41481481481</v>
      </c>
      <c r="D21" s="0" t="n">
        <f aca="false">D19*D20</f>
        <v>1399.13921467764</v>
      </c>
      <c r="E21" s="0" t="n">
        <f aca="false">E19*E20</f>
        <v>1286.82158175837</v>
      </c>
      <c r="F21" s="0" t="n">
        <f aca="false">F19*F20</f>
        <v>1215.3314938829</v>
      </c>
      <c r="G21" s="0" t="n">
        <f aca="false">G19*G20</f>
        <v>1147.81307755608</v>
      </c>
      <c r="H21" s="0" t="n">
        <f aca="false">H19*H20</f>
        <v>1084.04568435852</v>
      </c>
      <c r="I21" s="0" t="n">
        <f aca="false">I19*I20</f>
        <v>1023.82092411638</v>
      </c>
      <c r="J21" s="0" t="n">
        <f aca="false">J19*J20</f>
        <v>966.941983887689</v>
      </c>
      <c r="K21" s="0" t="n">
        <f aca="false">K19*K20</f>
        <v>913.222984782818</v>
      </c>
      <c r="L21" s="0" t="n">
        <f aca="false">L19*L20</f>
        <v>862.488374517105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11449.0401343523</v>
      </c>
    </row>
    <row r="31" customFormat="false" ht="15" hidden="false" customHeight="false" outlineLevel="0" collapsed="false">
      <c r="A31" s="0" t="s">
        <v>127</v>
      </c>
      <c r="B31" s="0" t="n">
        <f aca="false">L19</f>
        <v>1862.04771160215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31654.8110972366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26068.6679624301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26068.6679624301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12074.8372432395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23523.8773775918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15100.8773775918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39.5725298154921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-0.386282105839143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550.186451745498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711.762250815087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42.8795232708395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14609.9128141092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9.68230788436161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81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4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15200</v>
      </c>
      <c r="C6" s="0" t="n">
        <f aca="false">B6*(1+C5/100)</f>
        <v>15808</v>
      </c>
      <c r="D6" s="0" t="n">
        <f aca="false">C6*(1+D5/100)</f>
        <v>16440.32</v>
      </c>
      <c r="E6" s="0" t="n">
        <f aca="false">D6*(1+E5/100)</f>
        <v>17097.9328</v>
      </c>
      <c r="F6" s="0" t="n">
        <f aca="false">E6*(1+F5/100)</f>
        <v>17696.360448</v>
      </c>
      <c r="G6" s="0" t="n">
        <f aca="false">F6*(1+G5/100)</f>
        <v>18315.73306368</v>
      </c>
      <c r="H6" s="0" t="n">
        <f aca="false">G6*(1+H5/100)</f>
        <v>18865.2050555904</v>
      </c>
      <c r="I6" s="0" t="n">
        <f aca="false">H6*(1+I5/100)</f>
        <v>19431.1612072581</v>
      </c>
      <c r="J6" s="0" t="n">
        <f aca="false">I6*(1+J5/100)</f>
        <v>20014.0960434759</v>
      </c>
      <c r="K6" s="0" t="n">
        <f aca="false">J6*(1+K5/100)</f>
        <v>20514.4484445627</v>
      </c>
      <c r="L6" s="0" t="n">
        <f aca="false">K6*(1+L5/100)</f>
        <v>21027.3096556768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17.2</v>
      </c>
      <c r="D7" s="4" t="n">
        <f aca="false">Assumptions!D28</f>
        <v>17.4</v>
      </c>
      <c r="E7" s="4" t="n">
        <f aca="false">Assumptions!E28</f>
        <v>17.7</v>
      </c>
      <c r="F7" s="4" t="n">
        <f aca="false">Assumptions!F28</f>
        <v>18</v>
      </c>
      <c r="G7" s="4" t="n">
        <f aca="false">Assumptions!G28</f>
        <v>18.2</v>
      </c>
      <c r="H7" s="4" t="n">
        <f aca="false">Assumptions!H28</f>
        <v>18.4</v>
      </c>
      <c r="I7" s="4" t="n">
        <f aca="false">Assumptions!I28</f>
        <v>18.5</v>
      </c>
      <c r="J7" s="4" t="n">
        <f aca="false">Assumptions!J28</f>
        <v>18.5</v>
      </c>
      <c r="K7" s="4" t="n">
        <f aca="false">Assumptions!K28</f>
        <v>18.5</v>
      </c>
      <c r="L7" s="4" t="n">
        <f aca="false">Assumptions!L28</f>
        <v>18.5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2718.976</v>
      </c>
      <c r="D8" s="0" t="n">
        <f aca="false">D6*D7/100</f>
        <v>2860.61568</v>
      </c>
      <c r="E8" s="0" t="n">
        <f aca="false">E6*E7/100</f>
        <v>3026.3341056</v>
      </c>
      <c r="F8" s="0" t="n">
        <f aca="false">F6*F7/100</f>
        <v>3185.34488064</v>
      </c>
      <c r="G8" s="0" t="n">
        <f aca="false">G6*G7/100</f>
        <v>3333.46341758976</v>
      </c>
      <c r="H8" s="0" t="n">
        <f aca="false">H6*H7/100</f>
        <v>3471.19773022863</v>
      </c>
      <c r="I8" s="0" t="n">
        <f aca="false">I6*I7/100</f>
        <v>3594.76482334275</v>
      </c>
      <c r="J8" s="0" t="n">
        <f aca="false">J6*J7/100</f>
        <v>3702.60776804303</v>
      </c>
      <c r="K8" s="0" t="n">
        <f aca="false">K6*K7/100</f>
        <v>3795.17296224411</v>
      </c>
      <c r="L8" s="0" t="n">
        <f aca="false">L6*L7/100</f>
        <v>3890.05228630021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-79.04</v>
      </c>
      <c r="D10" s="0" t="n">
        <f aca="false">-D6*D9/100</f>
        <v>-82.2016</v>
      </c>
      <c r="E10" s="0" t="n">
        <f aca="false">-E6*E9/100</f>
        <v>-85.489664</v>
      </c>
      <c r="F10" s="0" t="n">
        <f aca="false">-F6*F9/100</f>
        <v>-88.48180224</v>
      </c>
      <c r="G10" s="0" t="n">
        <f aca="false">-G6*G9/100</f>
        <v>-91.5786653184</v>
      </c>
      <c r="H10" s="0" t="n">
        <f aca="false">-H6*H9/100</f>
        <v>-94.326025277952</v>
      </c>
      <c r="I10" s="0" t="n">
        <f aca="false">-I6*I9/100</f>
        <v>-97.1558060362905</v>
      </c>
      <c r="J10" s="0" t="n">
        <f aca="false">-J6*J9/100</f>
        <v>-100.070480217379</v>
      </c>
      <c r="K10" s="0" t="n">
        <f aca="false">-K6*K9/100</f>
        <v>-102.572242222814</v>
      </c>
      <c r="L10" s="0" t="n">
        <f aca="false">-L6*L9/100</f>
        <v>-105.136548278384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2639.936</v>
      </c>
      <c r="D11" s="0" t="n">
        <f aca="false">D8+D10+D24</f>
        <v>2778.41408</v>
      </c>
      <c r="E11" s="0" t="n">
        <f aca="false">E8+E10+E24</f>
        <v>2940.8444416</v>
      </c>
      <c r="F11" s="0" t="n">
        <f aca="false">F8+F10+F24</f>
        <v>3096.8630784</v>
      </c>
      <c r="G11" s="0" t="n">
        <f aca="false">G8+G10+G24</f>
        <v>3241.88475227136</v>
      </c>
      <c r="H11" s="0" t="n">
        <f aca="false">H8+H10+H24</f>
        <v>3376.87170495068</v>
      </c>
      <c r="I11" s="0" t="n">
        <f aca="false">I8+I10+I24</f>
        <v>3497.60901730646</v>
      </c>
      <c r="J11" s="0" t="n">
        <f aca="false">J8+J10+J24</f>
        <v>3602.53728782565</v>
      </c>
      <c r="K11" s="0" t="n">
        <f aca="false">K8+K10+K24</f>
        <v>3692.60072002129</v>
      </c>
      <c r="L11" s="0" t="n">
        <f aca="false">L8+L10+L24</f>
        <v>3784.91573802183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-173.888</v>
      </c>
      <c r="D12" s="4" t="n">
        <f aca="false">-D6*Assumptions!D31/100</f>
        <v>-180.84352</v>
      </c>
      <c r="E12" s="4" t="n">
        <f aca="false">-E6*Assumptions!E31/100</f>
        <v>-188.0772608</v>
      </c>
      <c r="F12" s="4" t="n">
        <f aca="false">-F6*Assumptions!F31/100</f>
        <v>-194.659964928</v>
      </c>
      <c r="G12" s="4" t="n">
        <f aca="false">-G6*Assumptions!G31/100</f>
        <v>-201.47306370048</v>
      </c>
      <c r="H12" s="4" t="n">
        <f aca="false">-H6*Assumptions!H31/100</f>
        <v>-207.517255611494</v>
      </c>
      <c r="I12" s="4" t="n">
        <f aca="false">-I6*Assumptions!I31/100</f>
        <v>-213.742773279839</v>
      </c>
      <c r="J12" s="4" t="n">
        <f aca="false">-J6*Assumptions!J31/100</f>
        <v>-220.155056478234</v>
      </c>
      <c r="K12" s="4" t="n">
        <f aca="false">-K6*Assumptions!K31/100</f>
        <v>-225.65893289019</v>
      </c>
      <c r="L12" s="4" t="n">
        <f aca="false">-L6*Assumptions!L31/100</f>
        <v>-231.300406212445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2466.048</v>
      </c>
      <c r="D13" s="0" t="n">
        <f aca="false">D11+D12</f>
        <v>2597.57056</v>
      </c>
      <c r="E13" s="0" t="n">
        <f aca="false">E11+E12</f>
        <v>2752.7671808</v>
      </c>
      <c r="F13" s="0" t="n">
        <f aca="false">F11+F12</f>
        <v>2902.203113472</v>
      </c>
      <c r="G13" s="0" t="n">
        <f aca="false">G11+G12</f>
        <v>3040.41168857088</v>
      </c>
      <c r="H13" s="0" t="n">
        <f aca="false">H11+H12</f>
        <v>3169.35444933919</v>
      </c>
      <c r="I13" s="0" t="n">
        <f aca="false">I11+I12</f>
        <v>3283.86624402662</v>
      </c>
      <c r="J13" s="0" t="n">
        <f aca="false">J11+J12</f>
        <v>3382.38223134742</v>
      </c>
      <c r="K13" s="0" t="n">
        <f aca="false">K11+K12</f>
        <v>3466.9417871311</v>
      </c>
      <c r="L13" s="0" t="n">
        <f aca="false">L11+L12</f>
        <v>3553.61533180938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1849.536</v>
      </c>
      <c r="D15" s="0" t="n">
        <f aca="false">D13-MAX(0,D13)*D14/100</f>
        <v>1948.17792</v>
      </c>
      <c r="E15" s="0" t="n">
        <f aca="false">E13-MAX(0,E13)*E14/100</f>
        <v>2064.5753856</v>
      </c>
      <c r="F15" s="0" t="n">
        <f aca="false">F13-MAX(0,F13)*F14/100</f>
        <v>2176.652335104</v>
      </c>
      <c r="G15" s="0" t="n">
        <f aca="false">G13-MAX(0,G13)*G14/100</f>
        <v>2280.30876642816</v>
      </c>
      <c r="H15" s="0" t="n">
        <f aca="false">H13-MAX(0,H13)*H14/100</f>
        <v>2377.01583700439</v>
      </c>
      <c r="I15" s="0" t="n">
        <f aca="false">I13-MAX(0,I13)*I14/100</f>
        <v>2462.89968301996</v>
      </c>
      <c r="J15" s="0" t="n">
        <f aca="false">J13-MAX(0,J13)*J14/100</f>
        <v>2536.78667351056</v>
      </c>
      <c r="K15" s="0" t="n">
        <f aca="false">K13-MAX(0,K13)*K14/100</f>
        <v>2600.20634034833</v>
      </c>
      <c r="L15" s="0" t="n">
        <f aca="false">L13-MAX(0,L13)*L14/100</f>
        <v>2665.21149885704</v>
      </c>
    </row>
    <row r="16" customFormat="false" ht="15" hidden="false" customHeight="false" outlineLevel="0" collapsed="false">
      <c r="A16" s="0" t="s">
        <v>118</v>
      </c>
      <c r="C16" s="0" t="n">
        <f aca="false">-C12</f>
        <v>173.888</v>
      </c>
      <c r="D16" s="0" t="n">
        <f aca="false">-D12</f>
        <v>180.84352</v>
      </c>
      <c r="E16" s="0" t="n">
        <f aca="false">-E12</f>
        <v>188.0772608</v>
      </c>
      <c r="F16" s="0" t="n">
        <f aca="false">-F12</f>
        <v>194.659964928</v>
      </c>
      <c r="G16" s="0" t="n">
        <f aca="false">-G12</f>
        <v>201.47306370048</v>
      </c>
      <c r="H16" s="0" t="n">
        <f aca="false">-H12</f>
        <v>207.517255611494</v>
      </c>
      <c r="I16" s="0" t="n">
        <f aca="false">-I12</f>
        <v>213.742773279839</v>
      </c>
      <c r="J16" s="0" t="n">
        <f aca="false">-J12</f>
        <v>220.155056478234</v>
      </c>
      <c r="K16" s="0" t="n">
        <f aca="false">-K12</f>
        <v>225.65893289019</v>
      </c>
      <c r="L16" s="0" t="n">
        <f aca="false">-L12</f>
        <v>231.300406212445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-252.928</v>
      </c>
      <c r="D17" s="4" t="n">
        <f aca="false">-D6*Assumptions!D32/100</f>
        <v>-263.04512</v>
      </c>
      <c r="E17" s="4" t="n">
        <f aca="false">-E6*Assumptions!E32/100</f>
        <v>-273.5669248</v>
      </c>
      <c r="F17" s="4" t="n">
        <f aca="false">-F6*Assumptions!F32/100</f>
        <v>-283.141767168</v>
      </c>
      <c r="G17" s="4" t="n">
        <f aca="false">-G6*Assumptions!G32/100</f>
        <v>-293.05172901888</v>
      </c>
      <c r="H17" s="4" t="n">
        <f aca="false">-H6*Assumptions!H32/100</f>
        <v>-301.843280889446</v>
      </c>
      <c r="I17" s="4" t="n">
        <f aca="false">-I6*Assumptions!I32/100</f>
        <v>-310.89857931613</v>
      </c>
      <c r="J17" s="4" t="n">
        <f aca="false">-J6*Assumptions!J32/100</f>
        <v>-320.225536695614</v>
      </c>
      <c r="K17" s="4" t="n">
        <f aca="false">-K6*Assumptions!K32/100</f>
        <v>-328.231175113004</v>
      </c>
      <c r="L17" s="4" t="n">
        <f aca="false">-L6*Assumptions!L32/100</f>
        <v>-336.436954490829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1770.496</v>
      </c>
      <c r="D19" s="0" t="n">
        <f aca="false">D15+D16+D17+D18</f>
        <v>1865.97632</v>
      </c>
      <c r="E19" s="0" t="n">
        <f aca="false">E15+E16+E17+E18</f>
        <v>1979.0857216</v>
      </c>
      <c r="F19" s="0" t="n">
        <f aca="false">F15+F16+F17+F18</f>
        <v>2088.170532864</v>
      </c>
      <c r="G19" s="0" t="n">
        <f aca="false">G15+G16+G17+G18</f>
        <v>2188.73010110976</v>
      </c>
      <c r="H19" s="0" t="n">
        <f aca="false">H15+H16+H17+H18</f>
        <v>2282.68981172644</v>
      </c>
      <c r="I19" s="0" t="n">
        <f aca="false">I15+I16+I17+I18</f>
        <v>2365.74387698367</v>
      </c>
      <c r="J19" s="0" t="n">
        <f aca="false">J15+J16+J17+J18</f>
        <v>2436.71619329318</v>
      </c>
      <c r="K19" s="0" t="n">
        <f aca="false">K15+K16+K17+K18</f>
        <v>2497.63409812551</v>
      </c>
      <c r="L19" s="0" t="n">
        <f aca="false">L15+L16+L17+L18</f>
        <v>2560.07495057865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1639.34814814815</v>
      </c>
      <c r="D21" s="0" t="n">
        <f aca="false">D19*D20</f>
        <v>1599.77393689986</v>
      </c>
      <c r="E21" s="0" t="n">
        <f aca="false">E19*E20</f>
        <v>1571.06205354875</v>
      </c>
      <c r="F21" s="0" t="n">
        <f aca="false">F19*F20</f>
        <v>1534.86767938492</v>
      </c>
      <c r="G21" s="0" t="n">
        <f aca="false">G19*G20</f>
        <v>1489.61292965729</v>
      </c>
      <c r="H21" s="0" t="n">
        <f aca="false">H19*H20</f>
        <v>1438.48178694551</v>
      </c>
      <c r="I21" s="0" t="n">
        <f aca="false">I19*I20</f>
        <v>1380.38882987018</v>
      </c>
      <c r="J21" s="0" t="n">
        <f aca="false">J19*J20</f>
        <v>1316.48193959841</v>
      </c>
      <c r="K21" s="0" t="n">
        <f aca="false">K19*K20</f>
        <v>1249.4388778596</v>
      </c>
      <c r="L21" s="0" t="n">
        <f aca="false">L19*L20</f>
        <v>1185.81004611675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14405.2662280294</v>
      </c>
    </row>
    <row r="31" customFormat="false" ht="15" hidden="false" customHeight="false" outlineLevel="0" collapsed="false">
      <c r="A31" s="0" t="s">
        <v>127</v>
      </c>
      <c r="B31" s="0" t="n">
        <f aca="false">L19</f>
        <v>2560.07495057865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47710.4877153294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46081.3491104157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46081.3491104157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21344.5808301015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35749.8470581309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27326.8470581309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71.6112344290643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0.110596067448268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609.093991701487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907.56415700554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75.585705468653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20992.6145947449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19.1707243221843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81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5.5</v>
      </c>
      <c r="D5" s="4" t="n">
        <f aca="false">Assumptions!D41</f>
        <v>5.5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15200</v>
      </c>
      <c r="C6" s="0" t="n">
        <f aca="false">B6*(1+C5/100)</f>
        <v>16036</v>
      </c>
      <c r="D6" s="0" t="n">
        <f aca="false">C6*(1+D5/100)</f>
        <v>16917.98</v>
      </c>
      <c r="E6" s="0" t="n">
        <f aca="false">D6*(1+E5/100)</f>
        <v>17763.879</v>
      </c>
      <c r="F6" s="0" t="n">
        <f aca="false">E6*(1+F5/100)</f>
        <v>18652.07295</v>
      </c>
      <c r="G6" s="0" t="n">
        <f aca="false">F6*(1+G5/100)</f>
        <v>19491.41623275</v>
      </c>
      <c r="H6" s="0" t="n">
        <f aca="false">G6*(1+H5/100)</f>
        <v>20271.07288206</v>
      </c>
      <c r="I6" s="0" t="n">
        <f aca="false">H6*(1+I5/100)</f>
        <v>20980.5604329321</v>
      </c>
      <c r="J6" s="0" t="n">
        <f aca="false">I6*(1+J5/100)</f>
        <v>21609.9772459201</v>
      </c>
      <c r="K6" s="0" t="n">
        <f aca="false">J6*(1+K5/100)</f>
        <v>22258.2765632977</v>
      </c>
      <c r="L6" s="0" t="n">
        <f aca="false">K6*(1+L5/100)</f>
        <v>22926.0248601966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17.4</v>
      </c>
      <c r="D7" s="4" t="n">
        <f aca="false">Assumptions!D42</f>
        <v>17.9</v>
      </c>
      <c r="E7" s="4" t="n">
        <f aca="false">Assumptions!E42</f>
        <v>18.4</v>
      </c>
      <c r="F7" s="4" t="n">
        <f aca="false">Assumptions!F42</f>
        <v>18.8</v>
      </c>
      <c r="G7" s="4" t="n">
        <f aca="false">Assumptions!G42</f>
        <v>19.1</v>
      </c>
      <c r="H7" s="4" t="n">
        <f aca="false">Assumptions!H42</f>
        <v>19.3</v>
      </c>
      <c r="I7" s="4" t="n">
        <f aca="false">Assumptions!I42</f>
        <v>19.5</v>
      </c>
      <c r="J7" s="4" t="n">
        <f aca="false">Assumptions!J42</f>
        <v>19.5</v>
      </c>
      <c r="K7" s="4" t="n">
        <f aca="false">Assumptions!K42</f>
        <v>19.5</v>
      </c>
      <c r="L7" s="4" t="n">
        <f aca="false">Assumptions!L42</f>
        <v>19.5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2790.264</v>
      </c>
      <c r="D8" s="0" t="n">
        <f aca="false">D6*D7/100</f>
        <v>3028.31842</v>
      </c>
      <c r="E8" s="0" t="n">
        <f aca="false">E6*E7/100</f>
        <v>3268.553736</v>
      </c>
      <c r="F8" s="0" t="n">
        <f aca="false">F6*F7/100</f>
        <v>3506.5897146</v>
      </c>
      <c r="G8" s="0" t="n">
        <f aca="false">G6*G7/100</f>
        <v>3722.86050045525</v>
      </c>
      <c r="H8" s="0" t="n">
        <f aca="false">H6*H7/100</f>
        <v>3912.31706623758</v>
      </c>
      <c r="I8" s="0" t="n">
        <f aca="false">I6*I7/100</f>
        <v>4091.20928442176</v>
      </c>
      <c r="J8" s="0" t="n">
        <f aca="false">J6*J7/100</f>
        <v>4213.94556295441</v>
      </c>
      <c r="K8" s="0" t="n">
        <f aca="false">K6*K7/100</f>
        <v>4340.36392984304</v>
      </c>
      <c r="L8" s="0" t="n">
        <f aca="false">L6*L7/100</f>
        <v>4470.57484773834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-80.18</v>
      </c>
      <c r="D10" s="0" t="n">
        <f aca="false">-D6*D9/100</f>
        <v>-84.5899</v>
      </c>
      <c r="E10" s="0" t="n">
        <f aca="false">-E6*E9/100</f>
        <v>-88.819395</v>
      </c>
      <c r="F10" s="0" t="n">
        <f aca="false">-F6*F9/100</f>
        <v>-93.26036475</v>
      </c>
      <c r="G10" s="0" t="n">
        <f aca="false">-G6*G9/100</f>
        <v>-97.45708116375</v>
      </c>
      <c r="H10" s="0" t="n">
        <f aca="false">-H6*H9/100</f>
        <v>-101.3553644103</v>
      </c>
      <c r="I10" s="0" t="n">
        <f aca="false">-I6*I9/100</f>
        <v>-104.90280216466</v>
      </c>
      <c r="J10" s="0" t="n">
        <f aca="false">-J6*J9/100</f>
        <v>-108.0498862296</v>
      </c>
      <c r="K10" s="0" t="n">
        <f aca="false">-K6*K9/100</f>
        <v>-111.291382816488</v>
      </c>
      <c r="L10" s="0" t="n">
        <f aca="false">-L6*L9/100</f>
        <v>-114.630124300983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2710.084</v>
      </c>
      <c r="D11" s="0" t="n">
        <f aca="false">D8+D10+D24</f>
        <v>2943.72852</v>
      </c>
      <c r="E11" s="0" t="n">
        <f aca="false">E8+E10+E24</f>
        <v>3179.734341</v>
      </c>
      <c r="F11" s="0" t="n">
        <f aca="false">F8+F10+F24</f>
        <v>3413.32934985</v>
      </c>
      <c r="G11" s="0" t="n">
        <f aca="false">G8+G10+G24</f>
        <v>3625.4034192915</v>
      </c>
      <c r="H11" s="0" t="n">
        <f aca="false">H8+H10+H24</f>
        <v>3810.96170182728</v>
      </c>
      <c r="I11" s="0" t="n">
        <f aca="false">I8+I10+I24</f>
        <v>3986.3064822571</v>
      </c>
      <c r="J11" s="0" t="n">
        <f aca="false">J8+J10+J24</f>
        <v>4105.89567672481</v>
      </c>
      <c r="K11" s="0" t="n">
        <f aca="false">K8+K10+K24</f>
        <v>4229.07254702656</v>
      </c>
      <c r="L11" s="0" t="n">
        <f aca="false">L8+L10+L24</f>
        <v>4355.94472343735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-176.396</v>
      </c>
      <c r="D12" s="4" t="n">
        <f aca="false">-D6*Assumptions!D45/100</f>
        <v>-186.09778</v>
      </c>
      <c r="E12" s="4" t="n">
        <f aca="false">-E6*Assumptions!E45/100</f>
        <v>-195.402669</v>
      </c>
      <c r="F12" s="4" t="n">
        <f aca="false">-F6*Assumptions!F45/100</f>
        <v>-205.17280245</v>
      </c>
      <c r="G12" s="4" t="n">
        <f aca="false">-G6*Assumptions!G45/100</f>
        <v>-214.40557856025</v>
      </c>
      <c r="H12" s="4" t="n">
        <f aca="false">-H6*Assumptions!H45/100</f>
        <v>-222.98180170266</v>
      </c>
      <c r="I12" s="4" t="n">
        <f aca="false">-I6*Assumptions!I45/100</f>
        <v>-230.786164762253</v>
      </c>
      <c r="J12" s="4" t="n">
        <f aca="false">-J6*Assumptions!J45/100</f>
        <v>-237.709749705121</v>
      </c>
      <c r="K12" s="4" t="n">
        <f aca="false">-K6*Assumptions!K45/100</f>
        <v>-244.841042196274</v>
      </c>
      <c r="L12" s="4" t="n">
        <f aca="false">-L6*Assumptions!L45/100</f>
        <v>-252.186273462163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2533.688</v>
      </c>
      <c r="D13" s="0" t="n">
        <f aca="false">D11+D12</f>
        <v>2757.63074</v>
      </c>
      <c r="E13" s="0" t="n">
        <f aca="false">E11+E12</f>
        <v>2984.331672</v>
      </c>
      <c r="F13" s="0" t="n">
        <f aca="false">F11+F12</f>
        <v>3208.1565474</v>
      </c>
      <c r="G13" s="0" t="n">
        <f aca="false">G11+G12</f>
        <v>3410.99784073125</v>
      </c>
      <c r="H13" s="0" t="n">
        <f aca="false">H11+H12</f>
        <v>3587.97990012462</v>
      </c>
      <c r="I13" s="0" t="n">
        <f aca="false">I11+I12</f>
        <v>3755.52031749485</v>
      </c>
      <c r="J13" s="0" t="n">
        <f aca="false">J11+J12</f>
        <v>3868.18592701969</v>
      </c>
      <c r="K13" s="0" t="n">
        <f aca="false">K11+K12</f>
        <v>3984.23150483028</v>
      </c>
      <c r="L13" s="0" t="n">
        <f aca="false">L11+L12</f>
        <v>4103.75844997519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1900.266</v>
      </c>
      <c r="D15" s="0" t="n">
        <f aca="false">D13-MAX(0,D13)*D14/100</f>
        <v>2068.223055</v>
      </c>
      <c r="E15" s="0" t="n">
        <f aca="false">E13-MAX(0,E13)*E14/100</f>
        <v>2238.248754</v>
      </c>
      <c r="F15" s="0" t="n">
        <f aca="false">F13-MAX(0,F13)*F14/100</f>
        <v>2406.11741055</v>
      </c>
      <c r="G15" s="0" t="n">
        <f aca="false">G13-MAX(0,G13)*G14/100</f>
        <v>2558.24838054844</v>
      </c>
      <c r="H15" s="0" t="n">
        <f aca="false">H13-MAX(0,H13)*H14/100</f>
        <v>2690.98492509347</v>
      </c>
      <c r="I15" s="0" t="n">
        <f aca="false">I13-MAX(0,I13)*I14/100</f>
        <v>2816.64023812113</v>
      </c>
      <c r="J15" s="0" t="n">
        <f aca="false">J13-MAX(0,J13)*J14/100</f>
        <v>2901.13944526477</v>
      </c>
      <c r="K15" s="0" t="n">
        <f aca="false">K13-MAX(0,K13)*K14/100</f>
        <v>2988.17362862271</v>
      </c>
      <c r="L15" s="0" t="n">
        <f aca="false">L13-MAX(0,L13)*L14/100</f>
        <v>3077.81883748139</v>
      </c>
    </row>
    <row r="16" customFormat="false" ht="15" hidden="false" customHeight="false" outlineLevel="0" collapsed="false">
      <c r="A16" s="0" t="s">
        <v>118</v>
      </c>
      <c r="C16" s="0" t="n">
        <f aca="false">-C12</f>
        <v>176.396</v>
      </c>
      <c r="D16" s="0" t="n">
        <f aca="false">-D12</f>
        <v>186.09778</v>
      </c>
      <c r="E16" s="0" t="n">
        <f aca="false">-E12</f>
        <v>195.402669</v>
      </c>
      <c r="F16" s="0" t="n">
        <f aca="false">-F12</f>
        <v>205.17280245</v>
      </c>
      <c r="G16" s="0" t="n">
        <f aca="false">-G12</f>
        <v>214.40557856025</v>
      </c>
      <c r="H16" s="0" t="n">
        <f aca="false">-H12</f>
        <v>222.98180170266</v>
      </c>
      <c r="I16" s="0" t="n">
        <f aca="false">-I12</f>
        <v>230.786164762253</v>
      </c>
      <c r="J16" s="0" t="n">
        <f aca="false">-J12</f>
        <v>237.709749705121</v>
      </c>
      <c r="K16" s="0" t="n">
        <f aca="false">-K12</f>
        <v>244.841042196274</v>
      </c>
      <c r="L16" s="0" t="n">
        <f aca="false">-L12</f>
        <v>252.186273462163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-256.576</v>
      </c>
      <c r="D17" s="4" t="n">
        <f aca="false">-D6*Assumptions!D46/100</f>
        <v>-270.68768</v>
      </c>
      <c r="E17" s="4" t="n">
        <f aca="false">-E6*Assumptions!E46/100</f>
        <v>-284.222064</v>
      </c>
      <c r="F17" s="4" t="n">
        <f aca="false">-F6*Assumptions!F46/100</f>
        <v>-298.4331672</v>
      </c>
      <c r="G17" s="4" t="n">
        <f aca="false">-G6*Assumptions!G46/100</f>
        <v>-311.862659724</v>
      </c>
      <c r="H17" s="4" t="n">
        <f aca="false">-H6*Assumptions!H46/100</f>
        <v>-324.33716611296</v>
      </c>
      <c r="I17" s="4" t="n">
        <f aca="false">-I6*Assumptions!I46/100</f>
        <v>-335.688966926914</v>
      </c>
      <c r="J17" s="4" t="n">
        <f aca="false">-J6*Assumptions!J46/100</f>
        <v>-345.759635934721</v>
      </c>
      <c r="K17" s="4" t="n">
        <f aca="false">-K6*Assumptions!K46/100</f>
        <v>-356.132425012763</v>
      </c>
      <c r="L17" s="4" t="n">
        <f aca="false">-L6*Assumptions!L46/100</f>
        <v>-366.816397763145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1820.086</v>
      </c>
      <c r="D19" s="0" t="n">
        <f aca="false">D15+D16+D17+D18</f>
        <v>1983.633155</v>
      </c>
      <c r="E19" s="0" t="n">
        <f aca="false">E15+E16+E17+E18</f>
        <v>2149.429359</v>
      </c>
      <c r="F19" s="0" t="n">
        <f aca="false">F15+F16+F17+F18</f>
        <v>2312.8570458</v>
      </c>
      <c r="G19" s="0" t="n">
        <f aca="false">G15+G16+G17+G18</f>
        <v>2460.79129938469</v>
      </c>
      <c r="H19" s="0" t="n">
        <f aca="false">H15+H16+H17+H18</f>
        <v>2589.62956068317</v>
      </c>
      <c r="I19" s="0" t="n">
        <f aca="false">I15+I16+I17+I18</f>
        <v>2711.73743595647</v>
      </c>
      <c r="J19" s="0" t="n">
        <f aca="false">J15+J16+J17+J18</f>
        <v>2793.08955903517</v>
      </c>
      <c r="K19" s="0" t="n">
        <f aca="false">K15+K16+K17+K18</f>
        <v>2876.88224580622</v>
      </c>
      <c r="L19" s="0" t="n">
        <f aca="false">L15+L16+L17+L18</f>
        <v>2963.18871318041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1685.26481481481</v>
      </c>
      <c r="D21" s="0" t="n">
        <f aca="false">D19*D20</f>
        <v>1700.6457090192</v>
      </c>
      <c r="E21" s="0" t="n">
        <f aca="false">E19*E20</f>
        <v>1706.28632496952</v>
      </c>
      <c r="F21" s="0" t="n">
        <f aca="false">F19*F20</f>
        <v>1700.01897391361</v>
      </c>
      <c r="G21" s="0" t="n">
        <f aca="false">G19*G20</f>
        <v>1674.77320976807</v>
      </c>
      <c r="H21" s="0" t="n">
        <f aca="false">H19*H20</f>
        <v>1631.90589402117</v>
      </c>
      <c r="I21" s="0" t="n">
        <f aca="false">I19*I20</f>
        <v>1582.27274835337</v>
      </c>
      <c r="J21" s="0" t="n">
        <f aca="false">J19*J20</f>
        <v>1509.01938037405</v>
      </c>
      <c r="K21" s="0" t="n">
        <f aca="false">K19*K20</f>
        <v>1439.15737202339</v>
      </c>
      <c r="L21" s="0" t="n">
        <f aca="false">L19*L20</f>
        <v>1372.5297159112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16001.8741431684</v>
      </c>
    </row>
    <row r="31" customFormat="false" ht="15" hidden="false" customHeight="false" outlineLevel="0" collapsed="false">
      <c r="A31" s="0" t="s">
        <v>127</v>
      </c>
      <c r="B31" s="0" t="n">
        <f aca="false">L19</f>
        <v>2963.18871318041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61041.6874915164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59263.7742636082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59263.7742636082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27450.594318224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43452.4684613924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35029.4684613924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91.796300999456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0.423639903837717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644.373616836199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1093.7760985598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96.3512006729256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25434.0364547985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24.9159789575343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39.5725298154921</v>
      </c>
      <c r="C4" s="0" t="n">
        <f aca="false">B4/Assumptions!$B$2-1</f>
        <v>-0.386282105839143</v>
      </c>
      <c r="D4" s="4" t="n">
        <f aca="false">Assumptions!$B$24</f>
        <v>0.25</v>
      </c>
      <c r="E4" s="4" t="n">
        <f aca="false">DCF_Bear!$B$43</f>
        <v>42.8795232708395</v>
      </c>
      <c r="F4" s="4" t="n">
        <f aca="false">DCF_Bear!$B$47</f>
        <v>9.68230788436161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71.6112344290643</v>
      </c>
      <c r="C5" s="0" t="n">
        <f aca="false">B5/Assumptions!$B$2-1</f>
        <v>0.110596067448268</v>
      </c>
      <c r="D5" s="4" t="n">
        <f aca="false">Assumptions!$B$38</f>
        <v>0.5</v>
      </c>
      <c r="E5" s="4" t="n">
        <f aca="false">DCF_Base!$B$43</f>
        <v>75.585705468653</v>
      </c>
      <c r="F5" s="4" t="n">
        <f aca="false">DCF_Base!$B$47</f>
        <v>19.1707243221843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91.796300999456</v>
      </c>
      <c r="C6" s="0" t="n">
        <f aca="false">B6/Assumptions!$B$2-1</f>
        <v>0.423639903837717</v>
      </c>
      <c r="D6" s="4" t="n">
        <f aca="false">Assumptions!$B$52</f>
        <v>0.25</v>
      </c>
      <c r="E6" s="4" t="n">
        <f aca="false">DCF_Bull!$B$43</f>
        <v>96.3512006729256</v>
      </c>
      <c r="F6" s="4" t="n">
        <f aca="false">DCF_Bull!$B$47</f>
        <v>24.9159789575343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68.6478249182692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72.6005337202678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0.0607131387371894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-105.442245483953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18.2349338715661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71.6112344290643</v>
      </c>
      <c r="C15" s="3" t="n">
        <v>8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58.6067650253129</v>
      </c>
      <c r="C16" s="3" t="n">
        <v>9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47.6301380550706</v>
      </c>
      <c r="C17" s="3" t="n">
        <v>10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39.2446773684924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32.6316925379036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19.1707243221843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87.0285456245257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87.0285456245257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87.0285456245257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87.0285456245257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87.0285456245257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78.953063904769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78.953063904769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78.953063904769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78.953063904769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78.953063904769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64.2011168210939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68.5037657547541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71.6112344290643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71.6112344290643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71.6112344290643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52.2705309507538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55.2123539139419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58.6067650253129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62.5669113219123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64.928466452912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43.1671064876949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45.2591525349023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47.6301380550706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50.3398357924057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53.4664101047156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2026-10-02T06:32:31Z</dcterms:created>
  <dc:creator>openpyxl</dc:creator>
  <dc:description/>
  <dc:language>en-NZ</dc:language>
  <cp:lastModifiedBy/>
  <dcterms:modified xsi:type="dcterms:W3CDTF">2026-10-02T06:32:31Z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