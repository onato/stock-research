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<sst xmlns="http://schemas.openxmlformats.org/spreadsheetml/2006/main" count="359" uniqueCount="169">
  <si>
    <t xml:space="preserve">Ticker</t>
  </si>
  <si>
    <t xml:space="preserve">2356.HK</t>
  </si>
  <si>
    <t xml:space="preserve">Company</t>
  </si>
  <si>
    <t xml:space="preserve">Dah Sing Banking Group Limited</t>
  </si>
  <si>
    <t xml:space="preserve">Valuation date</t>
  </si>
  <si>
    <t xml:space="preserve">2026-10-18</t>
  </si>
  <si>
    <t xml:space="preserve">Current price</t>
  </si>
  <si>
    <t xml:space="preserve">Price as of</t>
  </si>
  <si>
    <t xml:space="preserve">2026-10-16T08:08:14Z HKEX regular close (Friday); valuation dated Sunday 2026-10-18</t>
  </si>
  <si>
    <t xml:space="preserve">Balance sheet date</t>
  </si>
  <si>
    <t xml:space="preserve">2026-06-30</t>
  </si>
  <si>
    <t xml:space="preserve">Model</t>
  </si>
  <si>
    <t xml:space="preserve">Bank FCFE at cost of equity (engine route), net debt zero, CET1 retention on risk-weighted-asset growth, Bank of Chongqing associate excluded from the flow and added at market value in the equity bridge</t>
  </si>
  <si>
    <t xml:space="preserve">Currency (model)</t>
  </si>
  <si>
    <t xml:space="preserve">HKD</t>
  </si>
  <si>
    <t xml:space="preserve">Currency (quote)</t>
  </si>
  <si>
    <t xml:space="preserve">Units</t>
  </si>
  <si>
    <t xml:space="preserve">millions</t>
  </si>
  <si>
    <t xml:space="preserve">Engine</t>
  </si>
  <si>
    <t xml:space="preserve">dcf_engine v1</t>
  </si>
  <si>
    <t xml:space="preserve">Built at</t>
  </si>
  <si>
    <t xml:space="preserve">2026-10-18T02:39:50Z</t>
  </si>
  <si>
    <t xml:space="preserve">Drivers file</t>
  </si>
  <si>
    <t xml:space="preserve">2356.HK_Drivers.json</t>
  </si>
  <si>
    <t xml:space="preserve">Convention</t>
  </si>
  <si>
    <t xml:space="preserve">Percents stored as percents; formulas divide by 100. Blue = input, green = link, black = formula.</t>
  </si>
  <si>
    <t xml:space="preserve">Methodology</t>
  </si>
  <si>
    <t xml:space="preserve">summary: A bank is worth the equity cash flow it can distribute after funding its own capital requirement, discounted at the cost of equity. For Dah Sing Banking Group that flow is the CORE bank's profit (after tax and the outside AT1 coupon, excluding the equity-accounted Bank of Chongqing result) less the equity retained to hold Dah Sing Bank's CET1 ratio on growing risk-weighted assets; the Bank of Chongqing stake is valued separately at its listed H-share price less a block discount, because its accounting profit is mostly not paid out and the market capitalises it at ~0.35x book. The core bank now earns ~8-10% on equity against an 11% cost of equity, so it is worth somewhat under book; the shares at ~0.53x book and ~6x earnings price close to the bear case. The excess capital (~3pt of CET1, ~HK$3.6/share) is real but family-controlled: only the bull case counts it. Net debt is zero by construction; deposits and Tier-2 notes are operating funding.
key_risks_to_valuation: Credit: HK commercial real estate (HK$23.7bn) and Mainland/HK developer exposure; credit impairment HK$1.79bn FY2024, 1.78bn FY2025, 0.72bn H1 2026. A third year at that level with no revenue growth is the bear case.; Rates: NIM 2.41% (FY2025) is a peg/HIBOR outcome as much as franchise; a renewed HIBOR collapse or a wider HKD-USD funding-swap cost reverses the 2025-26 gain.; Capital allocation: the family (via DSFH) controls the register; CET1 of 19.1% may simply keep rising, in which case minorities never see the excess - the base case already assumes no release, but a value-destructive acquisition or premises spend (Wong Chuk Hang, ~HK$1bn in H1 2026) would cost more.; Bank of Chongqing: the ~HK$2.55/share bridge item moves with a volatile Chinese city-bank H share; further CB conversions dilute the stake (13.20% -&gt; 12.65% in H1 2026, HK$125m deemed-disposal loss) unless DSBG keeps buying back in, as it did in June 2026.; Subsidiaries: Banco Comercial de Macau (shrinking, goodwill written down HK$493m in FY2025, HK$220m goodwill left) and DSB China (credit cost above pre-provision profit) dilute group returns.; Liquidity and governance: thin free float, extensive connected transactions with DSFH/Dah Sing Insurance, auditor change PwC -&gt; KPMG for FY2026.</t>
  </si>
  <si>
    <t xml:space="preserve">Data sources</t>
  </si>
  <si>
    <t xml:space="preserve">price: Yahoo Finance chart API (2356.HK, HKD) at inputs.price_as_of; 52-week range 10.40-15.45. Bank of Chongqing H share (1963.HK) and A share (601963.SS) from the same API, 2026-10-16 close.
financials: 2356.HK_Metrics.csv / metrics_normalized (FY2018-FY2025, H1 FY2023-H1 FY2026, HK$ millions) and kpis (NII, fees, credit impairment, cost-to-income, deposits, advances, dividends). FY2025 annual report: financial highlights (lines 1225-1245), capital and liquidity table (lines 2157-2167), income statement incl. goodwill impairment and associate share (lines 6260-6275), associate note 24 (lines 13516-13660), dividends (lines 13052-13054). H1 2026 interim: income statement (lines 70-120), balance sheet (lines 185-260), note 9 associate / deemed disposal (lines 771-805), note 10 tax, note 11 EPS (lines 874-905), note 25 AT1 (lines 1825-1860), note 35-36 CAR and leverage (lines 4680-4720), ROA/ROSF (line ~4905).
qualitative: 2356.HK_Analysis.json (2026-10-18): business model, Macau goodwill impairment, Bank of Chongqing associate, CET1 18.8%, NIM 2.41%, qualitative FY2026 guidance (no numeric targets), bull/bear cases.</t>
  </si>
  <si>
    <t xml:space="preserve">Scenario narrative: bear</t>
  </si>
  <si>
    <t xml:space="preserve">HIBOR falls and the funding-swap cost stays wide, NIM back toward 2.1%; HK CRE and Mainland developer losses push credit cost to ~1.5% for two years; RWA inflates on downgrades with CET1 held at 19%, so FCFE collapses to ~HK$0.4bn in FY2027 and the bank earns ~6% on equity thereafter.</t>
  </si>
  <si>
    <t xml:space="preserve">Scenario narrative: base</t>
  </si>
  <si>
    <t xml:space="preserve">The 2025-26 recovery holds: NIM ~2.4%, cost-to-income ~42-43%, credit cost eases from ~1.2% to ~0.9% of loans, core pre-tax margin 38% -&gt; 40%, operating income +4% a year. CET1 stays at 19% (no capital release), so core FCFE grows from ~HK$1.4bn to ~2.6bn; the Bank of Chongqing stake is worth ~HK$2.55/share at market.</t>
  </si>
  <si>
    <t xml:space="preserve">Scenario narrative: bull</t>
  </si>
  <si>
    <t xml:space="preserve">HK property and loan demand recover, fees keep compounding, cost-to-income toward 40% and credit cost ~0.6%: margin 44%, growth 5-6%. The family lets CET1 drift to a peer-like 16.5%, releasing ~HK$5bn of excess capital over FY2027-30.</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</si>
  <si>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</si>
  <si>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</si>
  <si>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</si>
  <si>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</si>
  <si>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</si>
  <si>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</si>
  <si>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</si>
  <si>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</si>
  <si>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</si>
  <si>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</si>
  <si>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</si>
  <si>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</si>
  <si>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</si>
  <si>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</si>
  <si>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</si>
  <si>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</si>
  <si>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</si>
  <si>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</si>
  <si>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</si>
  <si>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</si>
  <si>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</si>
  <si>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</si>
  <si>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</si>
  <si>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</si>
  <si>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</si>
  <si>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</si>
  <si>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</si>
  <si>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CostToIncomeRatio</t>
  </si>
  <si>
    <t xml:space="preserve">CreditImpairmentCharge</t>
  </si>
  <si>
    <t xml:space="preserve">CustomerDeposits</t>
  </si>
  <si>
    <t xml:space="preserve">GrossInterestIncome</t>
  </si>
  <si>
    <t xml:space="preserve">NetFeeAndCommissionIncome</t>
  </si>
  <si>
    <t xml:space="preserve">NetInterestIncome</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</si>
  <si>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</si>
  <si>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</si>
  <si>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</si>
  <si>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</si>
  <si>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</si>
  <si>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</si>
  <si>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</si>
  <si>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</si>
  <si>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</si>
  <si>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</si>
  <si>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</si>
  <si>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</si>
  <si>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</si>
  <si>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</si>
  <si>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</si>
  <si>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</si>
  <si>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</si>
  <si>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FY2026E (year ending 2026-12-31, unreported: H1 2026 actual + H2 estimate)</t>
  </si>
  <si>
    <t xml:space="preserve">Currency / units</t>
  </si>
  <si>
    <t xml:space="preserve">HKD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</si>
  <si>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</si>
  <si>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</si>
  <si>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</si>
  <si>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</si>
  <si>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</si>
  <si>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</si>
  <si>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</si>
  <si>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</si>
  <si>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</si>
  <si>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</si>
  <si>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</si>
  <si>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</si>
  <si>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</si>
  <si>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</si>
  <si>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</si>
  <si>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</si>
  <si>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</si>
  <si>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</si>
  <si>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</si>
  <si>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</si>
  <si>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</si>
  <si>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</si>
  <si>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</si>
  <si>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</si>
  <si>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</si>
  <si>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</si>
  <si>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2356.HK owner-FCF component DCF: bear case (millions, HKD)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</si>
  <si>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</si>
  <si>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</si>
  <si>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</si>
  <si>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</si>
  <si>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</si>
  <si>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</si>
  <si>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</si>
  <si>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</si>
  <si>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</si>
  <si>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</si>
  <si>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</si>
  <si>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</si>
  <si>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</si>
  <si>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</si>
  <si>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</si>
  <si>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</si>
  <si>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</si>
  <si>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</si>
  <si>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</si>
  <si>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</si>
  <si>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</si>
  <si>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</si>
  <si>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</si>
  <si>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</si>
  <si>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</si>
  <si>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</si>
  <si>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</si>
  <si>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</si>
  <si>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</si>
  <si>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</si>
  <si>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2356.HK owner-FCF component DCF: base case (millions, HKD)</t>
  </si>
  <si>
    <t xml:space="preserve">2356.HK owner-FCF component DCF: bull case (millions, HKD)</t>
  </si>
  <si>
    <t xml:space="preserve">2356.HK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</si>
  <si>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</si>
  <si>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</si>
  <si>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</si>
  <si>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</si>
  <si>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</si>
  <si>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</si>
  <si>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</si>
  <si>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</si>
  <si>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</si>
  <si>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</si>
  <si>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</si>
  <si>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</si>
  <si>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</si>
  <si>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</si>
  <si>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</si>
  <si>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</si>
  <si>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11% (WACC)</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</si>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</sst>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13.8</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c r="AE1" s="2" t="s">
        <v>65</v>
      </c>
      <c r="AF1" s="2" t="s">
        <v>66</v>
      </c>
      <c r="AG1" s="2" t="s">
        <v>67</v>
      </c>
      <c r="AH1" s="2" t="s">
        <v>68</v>
      </c>
    </row>
    <row r="2" customFormat="false" ht="15" hidden="false" customHeight="false" outlineLevel="0" collapsed="false">
      <c r="A2" s="0" t="s">
        <v>69</v>
      </c>
      <c r="B2" s="0" t="n">
        <v>5729.926</v>
      </c>
      <c r="F2" s="0" t="n">
        <v>2796.19</v>
      </c>
      <c r="G2" s="0" t="n">
        <v>48.8</v>
      </c>
      <c r="I2" s="0" t="n">
        <v>2479.735</v>
      </c>
      <c r="J2" s="0" t="n">
        <v>43.3</v>
      </c>
      <c r="K2" s="0" t="n">
        <v>1.77</v>
      </c>
      <c r="L2" s="0" t="n">
        <v>-2884.151</v>
      </c>
      <c r="M2" s="0" t="n">
        <v>173.833</v>
      </c>
      <c r="N2" s="0" t="n">
        <v>-3057.984</v>
      </c>
      <c r="O2" s="0" t="n">
        <v>25566.272</v>
      </c>
      <c r="P2" s="0" t="n">
        <v>230275.918</v>
      </c>
      <c r="Q2" s="0" t="n">
        <v>203795.774</v>
      </c>
      <c r="R2" s="0" t="n">
        <v>11984.158</v>
      </c>
      <c r="S2" s="0" t="n">
        <v>15418.529</v>
      </c>
      <c r="U2" s="0" t="n">
        <v>1.421</v>
      </c>
      <c r="AA2" s="0" t="s">
        <v>17</v>
      </c>
      <c r="AB2" s="0" t="s">
        <v>14</v>
      </c>
      <c r="AC2" s="0" t="n">
        <v>47.1</v>
      </c>
      <c r="AD2" s="0" t="n">
        <v>233.441</v>
      </c>
      <c r="AE2" s="0" t="n">
        <v>172966.849</v>
      </c>
      <c r="AF2" s="0" t="n">
        <v>6712.063</v>
      </c>
      <c r="AG2" s="0" t="n">
        <v>1161.229</v>
      </c>
      <c r="AH2" s="0" t="n">
        <v>4164.091</v>
      </c>
    </row>
    <row r="3" customFormat="false" ht="15" hidden="false" customHeight="false" outlineLevel="0" collapsed="false">
      <c r="A3" s="0" t="s">
        <v>70</v>
      </c>
      <c r="B3" s="0" t="n">
        <v>5388.113</v>
      </c>
      <c r="F3" s="0" t="n">
        <v>2181.161</v>
      </c>
      <c r="G3" s="0" t="n">
        <v>40.5</v>
      </c>
      <c r="I3" s="0" t="n">
        <v>2240.033</v>
      </c>
      <c r="J3" s="0" t="n">
        <v>41.6</v>
      </c>
      <c r="K3" s="0" t="n">
        <v>1.59</v>
      </c>
      <c r="L3" s="0" t="n">
        <v>10332.26</v>
      </c>
      <c r="M3" s="0" t="n">
        <v>101.593</v>
      </c>
      <c r="N3" s="0" t="n">
        <v>10230.667</v>
      </c>
      <c r="O3" s="0" t="n">
        <v>27270.84</v>
      </c>
      <c r="P3" s="0" t="n">
        <v>243406.487</v>
      </c>
      <c r="Q3" s="0" t="n">
        <v>215221.674</v>
      </c>
      <c r="R3" s="0" t="n">
        <v>12261.006</v>
      </c>
      <c r="S3" s="0" t="n">
        <v>24423.01</v>
      </c>
      <c r="T3" s="0" t="n">
        <v>1405.752</v>
      </c>
      <c r="U3" s="0" t="n">
        <v>0</v>
      </c>
      <c r="AA3" s="0" t="s">
        <v>17</v>
      </c>
      <c r="AB3" s="0" t="s">
        <v>14</v>
      </c>
      <c r="AC3" s="0" t="n">
        <v>52.9</v>
      </c>
      <c r="AD3" s="0" t="n">
        <v>356.386</v>
      </c>
      <c r="AE3" s="0" t="n">
        <v>182628.806</v>
      </c>
      <c r="AF3" s="0" t="n">
        <v>7472.587</v>
      </c>
      <c r="AG3" s="0" t="n">
        <v>1146.964</v>
      </c>
      <c r="AH3" s="0" t="n">
        <v>4073.784</v>
      </c>
    </row>
    <row r="4" customFormat="false" ht="15" hidden="false" customHeight="false" outlineLevel="0" collapsed="false">
      <c r="A4" s="0" t="s">
        <v>71</v>
      </c>
      <c r="B4" s="0" t="n">
        <v>5248.81</v>
      </c>
      <c r="F4" s="0" t="n">
        <v>1768.906</v>
      </c>
      <c r="G4" s="0" t="n">
        <v>33.7</v>
      </c>
      <c r="I4" s="0" t="n">
        <v>1493.126</v>
      </c>
      <c r="J4" s="0" t="n">
        <v>28.4</v>
      </c>
      <c r="K4" s="0" t="n">
        <v>1.06</v>
      </c>
      <c r="L4" s="0" t="n">
        <v>-2975.37</v>
      </c>
      <c r="M4" s="0" t="n">
        <v>137.11</v>
      </c>
      <c r="N4" s="0" t="n">
        <v>-3112.48</v>
      </c>
      <c r="O4" s="0" t="n">
        <v>28441.304</v>
      </c>
      <c r="P4" s="0" t="n">
        <v>247306.223</v>
      </c>
      <c r="Q4" s="0" t="n">
        <v>217951.036</v>
      </c>
      <c r="R4" s="0" t="n">
        <v>11954.26</v>
      </c>
      <c r="S4" s="0" t="n">
        <v>18688.806</v>
      </c>
      <c r="T4" s="0" t="n">
        <v>1405.752</v>
      </c>
      <c r="U4" s="0" t="n">
        <v>0</v>
      </c>
      <c r="AA4" s="0" t="s">
        <v>17</v>
      </c>
      <c r="AB4" s="0" t="s">
        <v>14</v>
      </c>
      <c r="AC4" s="0" t="n">
        <v>54</v>
      </c>
      <c r="AD4" s="0" t="n">
        <v>646.968</v>
      </c>
      <c r="AE4" s="0" t="n">
        <v>190339.807</v>
      </c>
      <c r="AF4" s="0" t="n">
        <v>6210.429</v>
      </c>
      <c r="AG4" s="0" t="n">
        <v>1181.801</v>
      </c>
      <c r="AH4" s="0" t="n">
        <v>3695.802</v>
      </c>
    </row>
    <row r="5" customFormat="false" ht="15" hidden="false" customHeight="false" outlineLevel="0" collapsed="false">
      <c r="A5" s="0" t="s">
        <v>72</v>
      </c>
      <c r="B5" s="0" t="n">
        <v>5384.192</v>
      </c>
      <c r="F5" s="0" t="n">
        <v>1989.65</v>
      </c>
      <c r="G5" s="0" t="n">
        <v>37</v>
      </c>
      <c r="I5" s="0" t="n">
        <v>1657.556</v>
      </c>
      <c r="J5" s="0" t="n">
        <v>30.8</v>
      </c>
      <c r="K5" s="0" t="n">
        <v>1.18</v>
      </c>
      <c r="L5" s="0" t="n">
        <v>-2063.098</v>
      </c>
      <c r="M5" s="0" t="n">
        <v>301.708</v>
      </c>
      <c r="N5" s="0" t="n">
        <v>-2364.806</v>
      </c>
      <c r="O5" s="0" t="n">
        <v>29912.916</v>
      </c>
      <c r="P5" s="0" t="n">
        <v>248979.19</v>
      </c>
      <c r="Q5" s="0" t="n">
        <v>218167.687</v>
      </c>
      <c r="R5" s="0" t="n">
        <v>10718.163</v>
      </c>
      <c r="S5" s="0" t="n">
        <v>16042.821</v>
      </c>
      <c r="T5" s="0" t="n">
        <v>1405.752</v>
      </c>
      <c r="AA5" s="0" t="s">
        <v>17</v>
      </c>
      <c r="AB5" s="0" t="s">
        <v>14</v>
      </c>
      <c r="AC5" s="0" t="n">
        <v>56.1</v>
      </c>
      <c r="AD5" s="0" t="n">
        <v>373.343</v>
      </c>
      <c r="AE5" s="0" t="n">
        <v>196134.565</v>
      </c>
      <c r="AF5" s="0" t="n">
        <v>5170.26</v>
      </c>
      <c r="AG5" s="0" t="n">
        <v>1197.423</v>
      </c>
      <c r="AH5" s="0" t="n">
        <v>3944.276</v>
      </c>
    </row>
    <row r="6" customFormat="false" ht="15" hidden="false" customHeight="false" outlineLevel="0" collapsed="false">
      <c r="A6" s="0" t="s">
        <v>73</v>
      </c>
      <c r="B6" s="0" t="n">
        <v>6826.27</v>
      </c>
      <c r="F6" s="0" t="n">
        <v>3007.16</v>
      </c>
      <c r="G6" s="0" t="n">
        <v>44.1</v>
      </c>
      <c r="I6" s="0" t="n">
        <v>1608.8</v>
      </c>
      <c r="J6" s="0" t="n">
        <v>23.6</v>
      </c>
      <c r="K6" s="0" t="n">
        <v>1.14</v>
      </c>
      <c r="L6" s="0" t="n">
        <v>4960.686</v>
      </c>
      <c r="M6" s="0" t="n">
        <v>267.346</v>
      </c>
      <c r="N6" s="0" t="n">
        <v>4693.34</v>
      </c>
      <c r="O6" s="0" t="n">
        <v>29913.732</v>
      </c>
      <c r="P6" s="0" t="n">
        <v>252086.033</v>
      </c>
      <c r="Q6" s="0" t="n">
        <v>221860.885</v>
      </c>
      <c r="R6" s="0" t="n">
        <v>8030.478</v>
      </c>
      <c r="S6" s="0" t="n">
        <v>19260.423</v>
      </c>
      <c r="T6" s="0" t="n">
        <v>1405.752</v>
      </c>
      <c r="AA6" s="0" t="s">
        <v>17</v>
      </c>
      <c r="AB6" s="0" t="s">
        <v>14</v>
      </c>
      <c r="AC6" s="0" t="n">
        <v>44.2</v>
      </c>
      <c r="AD6" s="0" t="n">
        <v>803.1</v>
      </c>
      <c r="AE6" s="0" t="n">
        <v>199792.201</v>
      </c>
      <c r="AF6" s="0" t="n">
        <v>6964.602</v>
      </c>
      <c r="AG6" s="0" t="n">
        <v>2249.095</v>
      </c>
      <c r="AH6" s="0" t="n">
        <v>4383.06</v>
      </c>
    </row>
    <row r="7" customFormat="false" ht="15" hidden="false" customHeight="false" outlineLevel="0" collapsed="false">
      <c r="A7" s="0" t="s">
        <v>74</v>
      </c>
      <c r="B7" s="0" t="n">
        <v>5916.084</v>
      </c>
      <c r="F7" s="0" t="n">
        <v>2015.876</v>
      </c>
      <c r="G7" s="0" t="n">
        <v>34.1</v>
      </c>
      <c r="I7" s="0" t="n">
        <v>1860.306</v>
      </c>
      <c r="J7" s="0" t="n">
        <v>31.4</v>
      </c>
      <c r="K7" s="0" t="n">
        <v>1.32</v>
      </c>
      <c r="L7" s="0" t="n">
        <v>-1144.937</v>
      </c>
      <c r="M7" s="0" t="n">
        <v>275.081</v>
      </c>
      <c r="N7" s="0" t="n">
        <v>-1420.018</v>
      </c>
      <c r="O7" s="0" t="n">
        <v>32578.027</v>
      </c>
      <c r="P7" s="0" t="n">
        <v>260744.094</v>
      </c>
      <c r="Q7" s="0" t="n">
        <v>227854.651</v>
      </c>
      <c r="R7" s="0" t="n">
        <v>8344.673</v>
      </c>
      <c r="S7" s="0" t="n">
        <v>18964.804</v>
      </c>
      <c r="T7" s="0" t="n">
        <v>1405.752</v>
      </c>
      <c r="AA7" s="0" t="s">
        <v>17</v>
      </c>
      <c r="AB7" s="0" t="s">
        <v>14</v>
      </c>
      <c r="AC7" s="0" t="n">
        <v>53.6</v>
      </c>
      <c r="AD7" s="0" t="n">
        <v>731.311</v>
      </c>
      <c r="AE7" s="0" t="n">
        <v>207233.698</v>
      </c>
      <c r="AF7" s="0" t="n">
        <v>11485.605</v>
      </c>
      <c r="AG7" s="0" t="n">
        <v>866.802</v>
      </c>
      <c r="AH7" s="0" t="n">
        <v>4815.435</v>
      </c>
    </row>
    <row r="8" customFormat="false" ht="15" hidden="false" customHeight="false" outlineLevel="0" collapsed="false">
      <c r="A8" s="0" t="s">
        <v>75</v>
      </c>
      <c r="B8" s="0" t="n">
        <v>6934.923</v>
      </c>
      <c r="F8" s="0" t="n">
        <v>1803.512</v>
      </c>
      <c r="G8" s="0" t="n">
        <v>26</v>
      </c>
      <c r="I8" s="0" t="n">
        <v>2060.347</v>
      </c>
      <c r="J8" s="0" t="n">
        <v>29.7</v>
      </c>
      <c r="K8" s="0" t="n">
        <v>1.47</v>
      </c>
      <c r="L8" s="0" t="n">
        <v>-2234.274</v>
      </c>
      <c r="M8" s="0" t="n">
        <v>352.66</v>
      </c>
      <c r="N8" s="0" t="n">
        <v>-2586.934</v>
      </c>
      <c r="O8" s="0" t="n">
        <v>33511.956</v>
      </c>
      <c r="P8" s="0" t="n">
        <v>256339.081</v>
      </c>
      <c r="Q8" s="0" t="n">
        <v>222515.709</v>
      </c>
      <c r="R8" s="0" t="n">
        <v>8441.91</v>
      </c>
      <c r="S8" s="0" t="n">
        <v>12935.848</v>
      </c>
      <c r="T8" s="0" t="n">
        <v>1405.752</v>
      </c>
      <c r="U8" s="0" t="n">
        <v>0</v>
      </c>
      <c r="AA8" s="0" t="s">
        <v>17</v>
      </c>
      <c r="AB8" s="0" t="s">
        <v>14</v>
      </c>
      <c r="AC8" s="0" t="n">
        <v>48.2</v>
      </c>
      <c r="AD8" s="0" t="n">
        <v>1791.361</v>
      </c>
      <c r="AE8" s="0" t="n">
        <v>201568.051</v>
      </c>
      <c r="AF8" s="0" t="n">
        <v>12147.056</v>
      </c>
      <c r="AG8" s="0" t="n">
        <v>1328.609</v>
      </c>
      <c r="AH8" s="0" t="n">
        <v>5288.117</v>
      </c>
    </row>
    <row r="9" customFormat="false" ht="15" hidden="false" customHeight="false" outlineLevel="0" collapsed="false">
      <c r="A9" s="0" t="s">
        <v>76</v>
      </c>
      <c r="B9" s="0" t="n">
        <v>7915.181</v>
      </c>
      <c r="F9" s="0" t="n">
        <v>2686.081</v>
      </c>
      <c r="G9" s="0" t="n">
        <v>33.9</v>
      </c>
      <c r="I9" s="0" t="n">
        <v>2475.814</v>
      </c>
      <c r="J9" s="0" t="n">
        <v>31.3</v>
      </c>
      <c r="K9" s="0" t="n">
        <v>1.76</v>
      </c>
      <c r="L9" s="0" t="n">
        <v>2233.673</v>
      </c>
      <c r="M9" s="0" t="n">
        <v>404.922</v>
      </c>
      <c r="N9" s="0" t="n">
        <v>1828.751</v>
      </c>
      <c r="O9" s="0" t="n">
        <v>35227.779</v>
      </c>
      <c r="P9" s="0" t="n">
        <v>257911.465</v>
      </c>
      <c r="Q9" s="0" t="n">
        <v>222372.27</v>
      </c>
      <c r="R9" s="0" t="n">
        <v>5162.813</v>
      </c>
      <c r="S9" s="0" t="n">
        <v>13714.845</v>
      </c>
      <c r="T9" s="0" t="n">
        <v>1405.752</v>
      </c>
      <c r="U9" s="0" t="n">
        <v>0</v>
      </c>
      <c r="AA9" s="0" t="s">
        <v>17</v>
      </c>
      <c r="AB9" s="0" t="s">
        <v>14</v>
      </c>
      <c r="AC9" s="0" t="n">
        <v>43.5</v>
      </c>
      <c r="AD9" s="0" t="n">
        <v>1782.813</v>
      </c>
      <c r="AE9" s="0" t="n">
        <v>205304.1</v>
      </c>
      <c r="AF9" s="0" t="n">
        <v>10362.908</v>
      </c>
      <c r="AG9" s="0" t="n">
        <v>1702.385</v>
      </c>
      <c r="AH9" s="0" t="n">
        <v>5828.669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77</v>
      </c>
      <c r="B1" s="2" t="s">
        <v>78</v>
      </c>
    </row>
    <row r="2" customFormat="false" ht="15" hidden="false" customHeight="false" outlineLevel="0" collapsed="false">
      <c r="A2" s="0" t="s">
        <v>79</v>
      </c>
      <c r="B2" s="3" t="n">
        <v>13.8</v>
      </c>
    </row>
    <row r="3" customFormat="false" ht="15" hidden="false" customHeight="false" outlineLevel="0" collapsed="false">
      <c r="A3" s="0" t="s">
        <v>80</v>
      </c>
      <c r="B3" s="3" t="n">
        <v>1405.752</v>
      </c>
    </row>
    <row r="4" customFormat="false" ht="15" hidden="false" customHeight="false" outlineLevel="0" collapsed="false">
      <c r="A4" s="0" t="s">
        <v>81</v>
      </c>
      <c r="B4" s="3" t="n">
        <v>0</v>
      </c>
    </row>
    <row r="5" customFormat="false" ht="15" hidden="false" customHeight="false" outlineLevel="0" collapsed="false">
      <c r="A5" s="0" t="s">
        <v>82</v>
      </c>
      <c r="B5" s="3" t="n">
        <v>3581</v>
      </c>
    </row>
    <row r="6" customFormat="false" ht="15" hidden="false" customHeight="false" outlineLevel="0" collapsed="false">
      <c r="A6" s="0" t="s">
        <v>83</v>
      </c>
      <c r="B6" s="3" t="n">
        <v>15</v>
      </c>
    </row>
    <row r="7" customFormat="false" ht="15" hidden="false" customHeight="false" outlineLevel="0" collapsed="false">
      <c r="A7" s="0" t="s">
        <v>84</v>
      </c>
      <c r="B7" s="3" t="n">
        <v>8370</v>
      </c>
    </row>
    <row r="8" customFormat="false" ht="15" hidden="false" customHeight="false" outlineLevel="0" collapsed="false">
      <c r="A8" s="0" t="s">
        <v>85</v>
      </c>
      <c r="B8" s="3" t="s">
        <v>86</v>
      </c>
    </row>
    <row r="9" customFormat="false" ht="15" hidden="false" customHeight="false" outlineLevel="0" collapsed="false">
      <c r="A9" s="0" t="s">
        <v>87</v>
      </c>
      <c r="B9" s="3" t="s">
        <v>88</v>
      </c>
    </row>
    <row r="10" customFormat="false" ht="15" hidden="false" customHeight="false" outlineLevel="0" collapsed="false">
      <c r="A10" s="0" t="s">
        <v>89</v>
      </c>
      <c r="B10" s="3" t="n">
        <v>1</v>
      </c>
    </row>
    <row r="12" customFormat="false" ht="15" hidden="false" customHeight="false" outlineLevel="0" collapsed="false">
      <c r="A12" s="2" t="s">
        <v>90</v>
      </c>
      <c r="C12" s="2" t="s">
        <v>91</v>
      </c>
      <c r="D12" s="2" t="s">
        <v>92</v>
      </c>
      <c r="E12" s="2" t="s">
        <v>93</v>
      </c>
      <c r="F12" s="2" t="s">
        <v>94</v>
      </c>
      <c r="G12" s="2" t="s">
        <v>95</v>
      </c>
      <c r="H12" s="2" t="s">
        <v>96</v>
      </c>
      <c r="I12" s="2" t="s">
        <v>97</v>
      </c>
      <c r="J12" s="2" t="s">
        <v>98</v>
      </c>
      <c r="K12" s="2" t="s">
        <v>99</v>
      </c>
      <c r="L12" s="2" t="s">
        <v>100</v>
      </c>
    </row>
    <row r="13" customFormat="false" ht="15" hidden="false" customHeight="false" outlineLevel="0" collapsed="false">
      <c r="A13" s="0" t="s">
        <v>101</v>
      </c>
      <c r="C13" s="3" t="n">
        <v>-3</v>
      </c>
      <c r="D13" s="3" t="n">
        <v>-2</v>
      </c>
      <c r="E13" s="3" t="n">
        <v>2</v>
      </c>
      <c r="F13" s="3" t="n">
        <v>3</v>
      </c>
      <c r="G13" s="3" t="n">
        <v>3</v>
      </c>
      <c r="H13" s="3" t="n">
        <v>3</v>
      </c>
      <c r="I13" s="3" t="n">
        <v>3</v>
      </c>
      <c r="J13" s="3" t="n">
        <v>2.5</v>
      </c>
      <c r="K13" s="3" t="n">
        <v>2.5</v>
      </c>
      <c r="L13" s="3" t="n">
        <v>2.5</v>
      </c>
    </row>
    <row r="14" customFormat="false" ht="15" hidden="false" customHeight="false" outlineLevel="0" collapsed="false">
      <c r="A14" s="0" t="s">
        <v>102</v>
      </c>
      <c r="C14" s="3" t="n">
        <v>31</v>
      </c>
      <c r="D14" s="3" t="n">
        <v>28</v>
      </c>
      <c r="E14" s="3" t="n">
        <v>30</v>
      </c>
      <c r="F14" s="3" t="n">
        <v>32</v>
      </c>
      <c r="G14" s="3" t="n">
        <v>33</v>
      </c>
      <c r="H14" s="3" t="n">
        <v>34</v>
      </c>
      <c r="I14" s="3" t="n">
        <v>34</v>
      </c>
      <c r="J14" s="3" t="n">
        <v>34</v>
      </c>
      <c r="K14" s="3" t="n">
        <v>34</v>
      </c>
      <c r="L14" s="3" t="n">
        <v>34</v>
      </c>
    </row>
    <row r="15" customFormat="false" ht="15" hidden="false" customHeight="false" outlineLevel="0" collapsed="false">
      <c r="A15" s="0" t="s">
        <v>103</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104</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105</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106</v>
      </c>
      <c r="C18" s="3" t="n">
        <v>20.1</v>
      </c>
      <c r="D18" s="3" t="n">
        <v>8.6</v>
      </c>
      <c r="E18" s="3" t="n">
        <v>13</v>
      </c>
      <c r="F18" s="3" t="n">
        <v>12.9</v>
      </c>
      <c r="G18" s="3" t="n">
        <v>12.9</v>
      </c>
      <c r="H18" s="3" t="n">
        <v>12.9</v>
      </c>
      <c r="I18" s="3" t="n">
        <v>12.9</v>
      </c>
      <c r="J18" s="3" t="n">
        <v>10.8</v>
      </c>
      <c r="K18" s="3" t="n">
        <v>10.8</v>
      </c>
      <c r="L18" s="3" t="n">
        <v>10.8</v>
      </c>
    </row>
    <row r="19" customFormat="false" ht="15" hidden="false" customHeight="false" outlineLevel="0" collapsed="false">
      <c r="A19" s="0" t="s">
        <v>107</v>
      </c>
      <c r="C19" s="3" t="n">
        <v>18.5</v>
      </c>
      <c r="D19" s="3" t="n">
        <v>18.5</v>
      </c>
      <c r="E19" s="3" t="n">
        <v>18.5</v>
      </c>
      <c r="F19" s="3" t="n">
        <v>18.5</v>
      </c>
      <c r="G19" s="3" t="n">
        <v>18.5</v>
      </c>
      <c r="H19" s="3" t="n">
        <v>18.5</v>
      </c>
      <c r="I19" s="3" t="n">
        <v>18.5</v>
      </c>
      <c r="J19" s="3" t="n">
        <v>18.5</v>
      </c>
      <c r="K19" s="3" t="n">
        <v>18.5</v>
      </c>
      <c r="L19" s="3" t="n">
        <v>18.5</v>
      </c>
    </row>
    <row r="20" customFormat="false" ht="15" hidden="false" customHeight="false" outlineLevel="0" collapsed="false">
      <c r="A20" s="0" t="s">
        <v>108</v>
      </c>
      <c r="B20" s="3" t="n">
        <v>11</v>
      </c>
    </row>
    <row r="21" customFormat="false" ht="15" hidden="false" customHeight="false" outlineLevel="0" collapsed="false">
      <c r="A21" s="0" t="s">
        <v>109</v>
      </c>
      <c r="B21" s="3" t="n">
        <v>2.5</v>
      </c>
    </row>
    <row r="22" customFormat="false" ht="15" hidden="false" customHeight="false" outlineLevel="0" collapsed="false">
      <c r="A22" s="0" t="s">
        <v>110</v>
      </c>
      <c r="B22" s="3" t="n">
        <v>18</v>
      </c>
    </row>
    <row r="23" customFormat="false" ht="15" hidden="false" customHeight="false" outlineLevel="0" collapsed="false">
      <c r="A23" s="0" t="s">
        <v>111</v>
      </c>
      <c r="B23" s="3" t="n">
        <v>0</v>
      </c>
    </row>
    <row r="24" customFormat="false" ht="15" hidden="false" customHeight="false" outlineLevel="0" collapsed="false">
      <c r="A24" s="0" t="s">
        <v>112</v>
      </c>
      <c r="B24" s="3" t="n">
        <v>0.3</v>
      </c>
    </row>
    <row r="26" customFormat="false" ht="15" hidden="false" customHeight="false" outlineLevel="0" collapsed="false">
      <c r="A26" s="2" t="s">
        <v>113</v>
      </c>
      <c r="C26" s="2" t="s">
        <v>91</v>
      </c>
      <c r="D26" s="2" t="s">
        <v>92</v>
      </c>
      <c r="E26" s="2" t="s">
        <v>93</v>
      </c>
      <c r="F26" s="2" t="s">
        <v>94</v>
      </c>
      <c r="G26" s="2" t="s">
        <v>95</v>
      </c>
      <c r="H26" s="2" t="s">
        <v>96</v>
      </c>
      <c r="I26" s="2" t="s">
        <v>97</v>
      </c>
      <c r="J26" s="2" t="s">
        <v>98</v>
      </c>
      <c r="K26" s="2" t="s">
        <v>99</v>
      </c>
      <c r="L26" s="2" t="s">
        <v>100</v>
      </c>
    </row>
    <row r="27" customFormat="false" ht="15" hidden="false" customHeight="false" outlineLevel="0" collapsed="false">
      <c r="A27" s="0" t="s">
        <v>101</v>
      </c>
      <c r="C27" s="3" t="n">
        <v>4</v>
      </c>
      <c r="D27" s="3" t="n">
        <v>4</v>
      </c>
      <c r="E27" s="3" t="n">
        <v>4</v>
      </c>
      <c r="F27" s="3" t="n">
        <v>4</v>
      </c>
      <c r="G27" s="3" t="n">
        <v>4</v>
      </c>
      <c r="H27" s="3" t="n">
        <v>3.5</v>
      </c>
      <c r="I27" s="3" t="n">
        <v>3.5</v>
      </c>
      <c r="J27" s="3" t="n">
        <v>3</v>
      </c>
      <c r="K27" s="3" t="n">
        <v>3</v>
      </c>
      <c r="L27" s="3" t="n">
        <v>3</v>
      </c>
    </row>
    <row r="28" customFormat="false" ht="15" hidden="false" customHeight="false" outlineLevel="0" collapsed="false">
      <c r="A28" s="0" t="s">
        <v>102</v>
      </c>
      <c r="C28" s="3" t="n">
        <v>38</v>
      </c>
      <c r="D28" s="3" t="n">
        <v>39</v>
      </c>
      <c r="E28" s="3" t="n">
        <v>39.5</v>
      </c>
      <c r="F28" s="3" t="n">
        <v>40</v>
      </c>
      <c r="G28" s="3" t="n">
        <v>40</v>
      </c>
      <c r="H28" s="3" t="n">
        <v>40</v>
      </c>
      <c r="I28" s="3" t="n">
        <v>40</v>
      </c>
      <c r="J28" s="3" t="n">
        <v>40</v>
      </c>
      <c r="K28" s="3" t="n">
        <v>40</v>
      </c>
      <c r="L28" s="3" t="n">
        <v>40</v>
      </c>
    </row>
    <row r="29" customFormat="false" ht="15" hidden="false" customHeight="false" outlineLevel="0" collapsed="false">
      <c r="A29" s="0" t="s">
        <v>103</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104</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105</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106</v>
      </c>
      <c r="C32" s="3" t="n">
        <v>15</v>
      </c>
      <c r="D32" s="3" t="n">
        <v>15</v>
      </c>
      <c r="E32" s="3" t="n">
        <v>15</v>
      </c>
      <c r="F32" s="3" t="n">
        <v>15</v>
      </c>
      <c r="G32" s="3" t="n">
        <v>15</v>
      </c>
      <c r="H32" s="3" t="n">
        <v>13.2</v>
      </c>
      <c r="I32" s="3" t="n">
        <v>13.2</v>
      </c>
      <c r="J32" s="3" t="n">
        <v>11.4</v>
      </c>
      <c r="K32" s="3" t="n">
        <v>11.4</v>
      </c>
      <c r="L32" s="3" t="n">
        <v>11.4</v>
      </c>
    </row>
    <row r="33" customFormat="false" ht="15" hidden="false" customHeight="false" outlineLevel="0" collapsed="false">
      <c r="A33" s="0" t="s">
        <v>107</v>
      </c>
      <c r="C33" s="3" t="n">
        <v>18</v>
      </c>
      <c r="D33" s="3" t="n">
        <v>18</v>
      </c>
      <c r="E33" s="3" t="n">
        <v>18</v>
      </c>
      <c r="F33" s="3" t="n">
        <v>18</v>
      </c>
      <c r="G33" s="3" t="n">
        <v>18</v>
      </c>
      <c r="H33" s="3" t="n">
        <v>18</v>
      </c>
      <c r="I33" s="3" t="n">
        <v>18</v>
      </c>
      <c r="J33" s="3" t="n">
        <v>18</v>
      </c>
      <c r="K33" s="3" t="n">
        <v>18</v>
      </c>
      <c r="L33" s="3" t="n">
        <v>18</v>
      </c>
    </row>
    <row r="34" customFormat="false" ht="15" hidden="false" customHeight="false" outlineLevel="0" collapsed="false">
      <c r="A34" s="0" t="s">
        <v>108</v>
      </c>
      <c r="B34" s="3" t="n">
        <v>11</v>
      </c>
    </row>
    <row r="35" customFormat="false" ht="15" hidden="false" customHeight="false" outlineLevel="0" collapsed="false">
      <c r="A35" s="0" t="s">
        <v>109</v>
      </c>
      <c r="B35" s="3" t="n">
        <v>3</v>
      </c>
    </row>
    <row r="36" customFormat="false" ht="15" hidden="false" customHeight="false" outlineLevel="0" collapsed="false">
      <c r="A36" s="0" t="s">
        <v>110</v>
      </c>
      <c r="B36" s="3" t="n">
        <v>18</v>
      </c>
    </row>
    <row r="37" customFormat="false" ht="15" hidden="false" customHeight="false" outlineLevel="0" collapsed="false">
      <c r="A37" s="0" t="s">
        <v>111</v>
      </c>
      <c r="B37" s="3" t="n">
        <v>0</v>
      </c>
    </row>
    <row r="38" customFormat="false" ht="15" hidden="false" customHeight="false" outlineLevel="0" collapsed="false">
      <c r="A38" s="0" t="s">
        <v>112</v>
      </c>
      <c r="B38" s="3" t="n">
        <v>0.5</v>
      </c>
    </row>
    <row r="40" customFormat="false" ht="15" hidden="false" customHeight="false" outlineLevel="0" collapsed="false">
      <c r="A40" s="2" t="s">
        <v>114</v>
      </c>
      <c r="C40" s="2" t="s">
        <v>91</v>
      </c>
      <c r="D40" s="2" t="s">
        <v>92</v>
      </c>
      <c r="E40" s="2" t="s">
        <v>93</v>
      </c>
      <c r="F40" s="2" t="s">
        <v>94</v>
      </c>
      <c r="G40" s="2" t="s">
        <v>95</v>
      </c>
      <c r="H40" s="2" t="s">
        <v>96</v>
      </c>
      <c r="I40" s="2" t="s">
        <v>97</v>
      </c>
      <c r="J40" s="2" t="s">
        <v>98</v>
      </c>
      <c r="K40" s="2" t="s">
        <v>99</v>
      </c>
      <c r="L40" s="2" t="s">
        <v>100</v>
      </c>
    </row>
    <row r="41" customFormat="false" ht="15" hidden="false" customHeight="false" outlineLevel="0" collapsed="false">
      <c r="A41" s="0" t="s">
        <v>101</v>
      </c>
      <c r="C41" s="3" t="n">
        <v>6</v>
      </c>
      <c r="D41" s="3" t="n">
        <v>6</v>
      </c>
      <c r="E41" s="3" t="n">
        <v>5.5</v>
      </c>
      <c r="F41" s="3" t="n">
        <v>5</v>
      </c>
      <c r="G41" s="3" t="n">
        <v>5</v>
      </c>
      <c r="H41" s="3" t="n">
        <v>4.5</v>
      </c>
      <c r="I41" s="3" t="n">
        <v>4</v>
      </c>
      <c r="J41" s="3" t="n">
        <v>4</v>
      </c>
      <c r="K41" s="3" t="n">
        <v>3.5</v>
      </c>
      <c r="L41" s="3" t="n">
        <v>3.5</v>
      </c>
    </row>
    <row r="42" customFormat="false" ht="15" hidden="false" customHeight="false" outlineLevel="0" collapsed="false">
      <c r="A42" s="0" t="s">
        <v>102</v>
      </c>
      <c r="C42" s="3" t="n">
        <v>39.5</v>
      </c>
      <c r="D42" s="3" t="n">
        <v>41</v>
      </c>
      <c r="E42" s="3" t="n">
        <v>42.5</v>
      </c>
      <c r="F42" s="3" t="n">
        <v>43.5</v>
      </c>
      <c r="G42" s="3" t="n">
        <v>44</v>
      </c>
      <c r="H42" s="3" t="n">
        <v>44</v>
      </c>
      <c r="I42" s="3" t="n">
        <v>44</v>
      </c>
      <c r="J42" s="3" t="n">
        <v>44</v>
      </c>
      <c r="K42" s="3" t="n">
        <v>44</v>
      </c>
      <c r="L42" s="3" t="n">
        <v>44</v>
      </c>
    </row>
    <row r="43" customFormat="false" ht="15" hidden="false" customHeight="false" outlineLevel="0" collapsed="false">
      <c r="A43" s="0" t="s">
        <v>103</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104</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105</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106</v>
      </c>
      <c r="C46" s="3" t="n">
        <v>6.2</v>
      </c>
      <c r="D46" s="3" t="n">
        <v>5.5</v>
      </c>
      <c r="E46" s="3" t="n">
        <v>5</v>
      </c>
      <c r="F46" s="3" t="n">
        <v>4.4</v>
      </c>
      <c r="G46" s="3" t="n">
        <v>13.8</v>
      </c>
      <c r="H46" s="3" t="n">
        <v>14.3</v>
      </c>
      <c r="I46" s="3" t="n">
        <v>12.8</v>
      </c>
      <c r="J46" s="3" t="n">
        <v>12.7</v>
      </c>
      <c r="K46" s="3" t="n">
        <v>11.2</v>
      </c>
      <c r="L46" s="3" t="n">
        <v>11.2</v>
      </c>
    </row>
    <row r="47" customFormat="false" ht="15" hidden="false" customHeight="false" outlineLevel="0" collapsed="false">
      <c r="A47" s="0" t="s">
        <v>107</v>
      </c>
      <c r="C47" s="3" t="n">
        <v>17.5</v>
      </c>
      <c r="D47" s="3" t="n">
        <v>17.5</v>
      </c>
      <c r="E47" s="3" t="n">
        <v>17.5</v>
      </c>
      <c r="F47" s="3" t="n">
        <v>17.5</v>
      </c>
      <c r="G47" s="3" t="n">
        <v>17.5</v>
      </c>
      <c r="H47" s="3" t="n">
        <v>17.5</v>
      </c>
      <c r="I47" s="3" t="n">
        <v>17.5</v>
      </c>
      <c r="J47" s="3" t="n">
        <v>17.5</v>
      </c>
      <c r="K47" s="3" t="n">
        <v>17.5</v>
      </c>
      <c r="L47" s="3" t="n">
        <v>17.5</v>
      </c>
    </row>
    <row r="48" customFormat="false" ht="15" hidden="false" customHeight="false" outlineLevel="0" collapsed="false">
      <c r="A48" s="0" t="s">
        <v>108</v>
      </c>
      <c r="B48" s="3" t="n">
        <v>11</v>
      </c>
    </row>
    <row r="49" customFormat="false" ht="15" hidden="false" customHeight="false" outlineLevel="0" collapsed="false">
      <c r="A49" s="0" t="s">
        <v>109</v>
      </c>
      <c r="B49" s="3" t="n">
        <v>3.5</v>
      </c>
    </row>
    <row r="50" customFormat="false" ht="15" hidden="false" customHeight="false" outlineLevel="0" collapsed="false">
      <c r="A50" s="0" t="s">
        <v>110</v>
      </c>
      <c r="B50" s="3" t="n">
        <v>18</v>
      </c>
    </row>
    <row r="51" customFormat="false" ht="15" hidden="false" customHeight="false" outlineLevel="0" collapsed="false">
      <c r="A51" s="0" t="s">
        <v>111</v>
      </c>
      <c r="B51" s="3" t="n">
        <v>0</v>
      </c>
    </row>
    <row r="52" customFormat="false" ht="15" hidden="false" customHeight="false" outlineLevel="0" collapsed="false">
      <c r="A52" s="0" t="s">
        <v>112</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115</v>
      </c>
    </row>
    <row r="3" customFormat="false" ht="15" hidden="false" customHeight="false" outlineLevel="0" collapsed="false">
      <c r="A3" s="0" t="s">
        <v>116</v>
      </c>
      <c r="B3" s="0" t="s">
        <v>86</v>
      </c>
      <c r="C3" s="2" t="s">
        <v>91</v>
      </c>
      <c r="D3" s="2" t="s">
        <v>92</v>
      </c>
      <c r="E3" s="2" t="s">
        <v>93</v>
      </c>
      <c r="F3" s="2" t="s">
        <v>94</v>
      </c>
      <c r="G3" s="2" t="s">
        <v>95</v>
      </c>
      <c r="H3" s="2" t="s">
        <v>96</v>
      </c>
      <c r="I3" s="2" t="s">
        <v>97</v>
      </c>
      <c r="J3" s="2" t="s">
        <v>98</v>
      </c>
      <c r="K3" s="2" t="s">
        <v>99</v>
      </c>
      <c r="L3" s="2" t="s">
        <v>100</v>
      </c>
    </row>
    <row r="4" customFormat="false" ht="15" hidden="false" customHeight="false" outlineLevel="0" collapsed="false">
      <c r="A4" s="0" t="s">
        <v>117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101</v>
      </c>
      <c r="C5" s="4" t="n">
        <f aca="false">Assumptions!C13</f>
        <v>-3</v>
      </c>
      <c r="D5" s="4" t="n">
        <f aca="false">Assumptions!D13</f>
        <v>-2</v>
      </c>
      <c r="E5" s="4" t="n">
        <f aca="false">Assumptions!E13</f>
        <v>2</v>
      </c>
      <c r="F5" s="4" t="n">
        <f aca="false">Assumptions!F13</f>
        <v>3</v>
      </c>
      <c r="G5" s="4" t="n">
        <f aca="false">Assumptions!G13</f>
        <v>3</v>
      </c>
      <c r="H5" s="4" t="n">
        <f aca="false">Assumptions!H13</f>
        <v>3</v>
      </c>
      <c r="I5" s="4" t="n">
        <f aca="false">Assumptions!I13</f>
        <v>3</v>
      </c>
      <c r="J5" s="4" t="n">
        <f aca="false">Assumptions!J13</f>
        <v>2.5</v>
      </c>
      <c r="K5" s="4" t="n">
        <f aca="false">Assumptions!K13</f>
        <v>2.5</v>
      </c>
      <c r="L5" s="4" t="n">
        <f aca="false">Assumptions!L13</f>
        <v>2.5</v>
      </c>
    </row>
    <row r="6" customFormat="false" ht="15" hidden="false" customHeight="false" outlineLevel="0" collapsed="false">
      <c r="A6" s="0" t="s">
        <v>37</v>
      </c>
      <c r="B6" s="3" t="n">
        <v>8370</v>
      </c>
      <c r="C6" s="0" t="n">
        <f aca="false">B6*(1+C5/100)</f>
        <v>8118.9</v>
      </c>
      <c r="D6" s="0" t="n">
        <f aca="false">C6*(1+D5/100)</f>
        <v>7956.522</v>
      </c>
      <c r="E6" s="0" t="n">
        <f aca="false">D6*(1+E5/100)</f>
        <v>8115.65244</v>
      </c>
      <c r="F6" s="0" t="n">
        <f aca="false">E6*(1+F5/100)</f>
        <v>8359.1220132</v>
      </c>
      <c r="G6" s="0" t="n">
        <f aca="false">F6*(1+G5/100)</f>
        <v>8609.895673596</v>
      </c>
      <c r="H6" s="0" t="n">
        <f aca="false">G6*(1+H5/100)</f>
        <v>8868.19254380388</v>
      </c>
      <c r="I6" s="0" t="n">
        <f aca="false">H6*(1+I5/100)</f>
        <v>9134.238320118</v>
      </c>
      <c r="J6" s="0" t="n">
        <f aca="false">I6*(1+J5/100)</f>
        <v>9362.59427812095</v>
      </c>
      <c r="K6" s="0" t="n">
        <f aca="false">J6*(1+K5/100)</f>
        <v>9596.65913507397</v>
      </c>
      <c r="L6" s="0" t="n">
        <f aca="false">K6*(1+L5/100)</f>
        <v>9836.57561345082</v>
      </c>
    </row>
    <row r="7" customFormat="false" ht="15" hidden="false" customHeight="false" outlineLevel="0" collapsed="false">
      <c r="A7" s="0" t="s">
        <v>102</v>
      </c>
      <c r="C7" s="4" t="n">
        <f aca="false">Assumptions!C14</f>
        <v>31</v>
      </c>
      <c r="D7" s="4" t="n">
        <f aca="false">Assumptions!D14</f>
        <v>28</v>
      </c>
      <c r="E7" s="4" t="n">
        <f aca="false">Assumptions!E14</f>
        <v>30</v>
      </c>
      <c r="F7" s="4" t="n">
        <f aca="false">Assumptions!F14</f>
        <v>32</v>
      </c>
      <c r="G7" s="4" t="n">
        <f aca="false">Assumptions!G14</f>
        <v>33</v>
      </c>
      <c r="H7" s="4" t="n">
        <f aca="false">Assumptions!H14</f>
        <v>34</v>
      </c>
      <c r="I7" s="4" t="n">
        <f aca="false">Assumptions!I14</f>
        <v>34</v>
      </c>
      <c r="J7" s="4" t="n">
        <f aca="false">Assumptions!J14</f>
        <v>34</v>
      </c>
      <c r="K7" s="4" t="n">
        <f aca="false">Assumptions!K14</f>
        <v>34</v>
      </c>
      <c r="L7" s="4" t="n">
        <f aca="false">Assumptions!L14</f>
        <v>34</v>
      </c>
    </row>
    <row r="8" customFormat="false" ht="15" hidden="false" customHeight="false" outlineLevel="0" collapsed="false">
      <c r="A8" s="0" t="s">
        <v>43</v>
      </c>
      <c r="C8" s="0" t="n">
        <f aca="false">C6*C7/100</f>
        <v>2516.859</v>
      </c>
      <c r="D8" s="0" t="n">
        <f aca="false">D6*D7/100</f>
        <v>2227.82616</v>
      </c>
      <c r="E8" s="0" t="n">
        <f aca="false">E6*E7/100</f>
        <v>2434.695732</v>
      </c>
      <c r="F8" s="0" t="n">
        <f aca="false">F6*F7/100</f>
        <v>2674.919044224</v>
      </c>
      <c r="G8" s="0" t="n">
        <f aca="false">G6*G7/100</f>
        <v>2841.26557228668</v>
      </c>
      <c r="H8" s="0" t="n">
        <f aca="false">H6*H7/100</f>
        <v>3015.18546489332</v>
      </c>
      <c r="I8" s="0" t="n">
        <f aca="false">I6*I7/100</f>
        <v>3105.64102884012</v>
      </c>
      <c r="J8" s="0" t="n">
        <f aca="false">J6*J7/100</f>
        <v>3183.28205456112</v>
      </c>
      <c r="K8" s="0" t="n">
        <f aca="false">K6*K7/100</f>
        <v>3262.86410592515</v>
      </c>
      <c r="L8" s="0" t="n">
        <f aca="false">L6*L7/100</f>
        <v>3344.43570857328</v>
      </c>
    </row>
    <row r="9" customFormat="false" ht="15" hidden="false" customHeight="false" outlineLevel="0" collapsed="false">
      <c r="A9" s="0" t="s">
        <v>103</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118</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119</v>
      </c>
      <c r="C11" s="0" t="n">
        <f aca="false">C8+C10+C24</f>
        <v>2516.859</v>
      </c>
      <c r="D11" s="0" t="n">
        <f aca="false">D8+D10+D24</f>
        <v>2227.82616</v>
      </c>
      <c r="E11" s="0" t="n">
        <f aca="false">E8+E10+E24</f>
        <v>2434.695732</v>
      </c>
      <c r="F11" s="0" t="n">
        <f aca="false">F8+F10+F24</f>
        <v>2674.919044224</v>
      </c>
      <c r="G11" s="0" t="n">
        <f aca="false">G8+G10+G24</f>
        <v>2841.26557228668</v>
      </c>
      <c r="H11" s="0" t="n">
        <f aca="false">H8+H10+H24</f>
        <v>3015.18546489332</v>
      </c>
      <c r="I11" s="0" t="n">
        <f aca="false">I8+I10+I24</f>
        <v>3105.64102884012</v>
      </c>
      <c r="J11" s="0" t="n">
        <f aca="false">J8+J10+J24</f>
        <v>3183.28205456112</v>
      </c>
      <c r="K11" s="0" t="n">
        <f aca="false">K8+K10+K24</f>
        <v>3262.86410592515</v>
      </c>
      <c r="L11" s="0" t="n">
        <f aca="false">L8+L10+L24</f>
        <v>3344.43570857328</v>
      </c>
    </row>
    <row r="12" customFormat="false" ht="15" hidden="false" customHeight="false" outlineLevel="0" collapsed="false">
      <c r="A12" s="0" t="s">
        <v>120</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121</v>
      </c>
      <c r="C13" s="0" t="n">
        <f aca="false">C11+C12</f>
        <v>2516.859</v>
      </c>
      <c r="D13" s="0" t="n">
        <f aca="false">D11+D12</f>
        <v>2227.82616</v>
      </c>
      <c r="E13" s="0" t="n">
        <f aca="false">E11+E12</f>
        <v>2434.695732</v>
      </c>
      <c r="F13" s="0" t="n">
        <f aca="false">F11+F12</f>
        <v>2674.919044224</v>
      </c>
      <c r="G13" s="0" t="n">
        <f aca="false">G11+G12</f>
        <v>2841.26557228668</v>
      </c>
      <c r="H13" s="0" t="n">
        <f aca="false">H11+H12</f>
        <v>3015.18546489332</v>
      </c>
      <c r="I13" s="0" t="n">
        <f aca="false">I11+I12</f>
        <v>3105.64102884012</v>
      </c>
      <c r="J13" s="0" t="n">
        <f aca="false">J11+J12</f>
        <v>3183.28205456112</v>
      </c>
      <c r="K13" s="0" t="n">
        <f aca="false">K11+K12</f>
        <v>3262.86410592515</v>
      </c>
      <c r="L13" s="0" t="n">
        <f aca="false">L11+L12</f>
        <v>3344.43570857328</v>
      </c>
    </row>
    <row r="14" customFormat="false" ht="15" hidden="false" customHeight="false" outlineLevel="0" collapsed="false">
      <c r="A14" s="0" t="s">
        <v>107</v>
      </c>
      <c r="C14" s="4" t="n">
        <f aca="false">Assumptions!C19</f>
        <v>18.5</v>
      </c>
      <c r="D14" s="4" t="n">
        <f aca="false">Assumptions!D19</f>
        <v>18.5</v>
      </c>
      <c r="E14" s="4" t="n">
        <f aca="false">Assumptions!E19</f>
        <v>18.5</v>
      </c>
      <c r="F14" s="4" t="n">
        <f aca="false">Assumptions!F19</f>
        <v>18.5</v>
      </c>
      <c r="G14" s="4" t="n">
        <f aca="false">Assumptions!G19</f>
        <v>18.5</v>
      </c>
      <c r="H14" s="4" t="n">
        <f aca="false">Assumptions!H19</f>
        <v>18.5</v>
      </c>
      <c r="I14" s="4" t="n">
        <f aca="false">Assumptions!I19</f>
        <v>18.5</v>
      </c>
      <c r="J14" s="4" t="n">
        <f aca="false">Assumptions!J19</f>
        <v>18.5</v>
      </c>
      <c r="K14" s="4" t="n">
        <f aca="false">Assumptions!K19</f>
        <v>18.5</v>
      </c>
      <c r="L14" s="4" t="n">
        <f aca="false">Assumptions!L19</f>
        <v>18.5</v>
      </c>
    </row>
    <row r="15" customFormat="false" ht="15" hidden="false" customHeight="false" outlineLevel="0" collapsed="false">
      <c r="A15" s="0" t="s">
        <v>122</v>
      </c>
      <c r="C15" s="0" t="n">
        <f aca="false">C13-MAX(0,C13)*C14/100</f>
        <v>2051.240085</v>
      </c>
      <c r="D15" s="0" t="n">
        <f aca="false">D13-MAX(0,D13)*D14/100</f>
        <v>1815.6783204</v>
      </c>
      <c r="E15" s="0" t="n">
        <f aca="false">E13-MAX(0,E13)*E14/100</f>
        <v>1984.27702158</v>
      </c>
      <c r="F15" s="0" t="n">
        <f aca="false">F13-MAX(0,F13)*F14/100</f>
        <v>2180.05902104256</v>
      </c>
      <c r="G15" s="0" t="n">
        <f aca="false">G13-MAX(0,G13)*G14/100</f>
        <v>2315.63144141364</v>
      </c>
      <c r="H15" s="0" t="n">
        <f aca="false">H13-MAX(0,H13)*H14/100</f>
        <v>2457.37615388806</v>
      </c>
      <c r="I15" s="0" t="n">
        <f aca="false">I13-MAX(0,I13)*I14/100</f>
        <v>2531.0974385047</v>
      </c>
      <c r="J15" s="0" t="n">
        <f aca="false">J13-MAX(0,J13)*J14/100</f>
        <v>2594.37487446731</v>
      </c>
      <c r="K15" s="0" t="n">
        <f aca="false">K13-MAX(0,K13)*K14/100</f>
        <v>2659.234246329</v>
      </c>
      <c r="L15" s="0" t="n">
        <f aca="false">L13-MAX(0,L13)*L14/100</f>
        <v>2725.71510248722</v>
      </c>
    </row>
    <row r="16" customFormat="false" ht="15" hidden="false" customHeight="false" outlineLevel="0" collapsed="false">
      <c r="A16" s="0" t="s">
        <v>123</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124</v>
      </c>
      <c r="C17" s="4" t="n">
        <f aca="false">-C6*Assumptions!C18/100</f>
        <v>-1631.8989</v>
      </c>
      <c r="D17" s="4" t="n">
        <f aca="false">-D6*Assumptions!D18/100</f>
        <v>-684.260892</v>
      </c>
      <c r="E17" s="4" t="n">
        <f aca="false">-E6*Assumptions!E18/100</f>
        <v>-1055.0348172</v>
      </c>
      <c r="F17" s="4" t="n">
        <f aca="false">-F6*Assumptions!F18/100</f>
        <v>-1078.3267397028</v>
      </c>
      <c r="G17" s="4" t="n">
        <f aca="false">-G6*Assumptions!G18/100</f>
        <v>-1110.67654189388</v>
      </c>
      <c r="H17" s="4" t="n">
        <f aca="false">-H6*Assumptions!H18/100</f>
        <v>-1143.9968381507</v>
      </c>
      <c r="I17" s="4" t="n">
        <f aca="false">-I6*Assumptions!I18/100</f>
        <v>-1178.31674329522</v>
      </c>
      <c r="J17" s="4" t="n">
        <f aca="false">-J6*Assumptions!J18/100</f>
        <v>-1011.16018203706</v>
      </c>
      <c r="K17" s="4" t="n">
        <f aca="false">-K6*Assumptions!K18/100</f>
        <v>-1036.43918658799</v>
      </c>
      <c r="L17" s="4" t="n">
        <f aca="false">-L6*Assumptions!L18/100</f>
        <v>-1062.35016625269</v>
      </c>
    </row>
    <row r="18" customFormat="false" ht="15" hidden="false" customHeight="false" outlineLevel="0" collapsed="false">
      <c r="A18" s="0" t="s">
        <v>125</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126</v>
      </c>
      <c r="C19" s="0" t="n">
        <f aca="false">C15+C16+C17+C18</f>
        <v>419.341185</v>
      </c>
      <c r="D19" s="0" t="n">
        <f aca="false">D15+D16+D17+D18</f>
        <v>1131.4174284</v>
      </c>
      <c r="E19" s="0" t="n">
        <f aca="false">E15+E16+E17+E18</f>
        <v>929.24220438</v>
      </c>
      <c r="F19" s="0" t="n">
        <f aca="false">F15+F16+F17+F18</f>
        <v>1101.73228133976</v>
      </c>
      <c r="G19" s="0" t="n">
        <f aca="false">G15+G16+G17+G18</f>
        <v>1204.95489951976</v>
      </c>
      <c r="H19" s="0" t="n">
        <f aca="false">H15+H16+H17+H18</f>
        <v>1313.37931573735</v>
      </c>
      <c r="I19" s="0" t="n">
        <f aca="false">I15+I16+I17+I18</f>
        <v>1352.78069520948</v>
      </c>
      <c r="J19" s="0" t="n">
        <f aca="false">J15+J16+J17+J18</f>
        <v>1583.21469243025</v>
      </c>
      <c r="K19" s="0" t="n">
        <f aca="false">K15+K16+K17+K18</f>
        <v>1622.79505974101</v>
      </c>
      <c r="L19" s="0" t="n">
        <f aca="false">L15+L16+L17+L18</f>
        <v>1663.36493623453</v>
      </c>
    </row>
    <row r="20" customFormat="false" ht="15" hidden="false" customHeight="false" outlineLevel="0" collapsed="false">
      <c r="A20" s="0" t="s">
        <v>127</v>
      </c>
      <c r="C20" s="0" t="n">
        <f aca="false">1/(1+$B$27/100)^C4</f>
        <v>0.900900900900901</v>
      </c>
      <c r="D20" s="0" t="n">
        <f aca="false">1/(1+$B$27/100)^D4</f>
        <v>0.811622433244055</v>
      </c>
      <c r="E20" s="0" t="n">
        <f aca="false">1/(1+$B$27/100)^E4</f>
        <v>0.73119138130095</v>
      </c>
      <c r="F20" s="0" t="n">
        <f aca="false">1/(1+$B$27/100)^F4</f>
        <v>0.658730974145</v>
      </c>
      <c r="G20" s="0" t="n">
        <f aca="false">1/(1+$B$27/100)^G4</f>
        <v>0.593451328058559</v>
      </c>
      <c r="H20" s="0" t="n">
        <f aca="false">1/(1+$B$27/100)^H4</f>
        <v>0.534640836088791</v>
      </c>
      <c r="I20" s="0" t="n">
        <f aca="false">1/(1+$B$27/100)^I4</f>
        <v>0.481658410890803</v>
      </c>
      <c r="J20" s="0" t="n">
        <f aca="false">1/(1+$B$27/100)^J4</f>
        <v>0.433926496298021</v>
      </c>
      <c r="K20" s="0" t="n">
        <f aca="false">1/(1+$B$27/100)^K4</f>
        <v>0.390924771439658</v>
      </c>
      <c r="L20" s="0" t="n">
        <f aca="false">1/(1+$B$27/100)^L4</f>
        <v>0.352184478774467</v>
      </c>
    </row>
    <row r="21" customFormat="false" ht="15" hidden="false" customHeight="false" outlineLevel="0" collapsed="false">
      <c r="A21" s="0" t="s">
        <v>128</v>
      </c>
      <c r="C21" s="0" t="n">
        <f aca="false">C19*C20</f>
        <v>377.784851351351</v>
      </c>
      <c r="D21" s="0" t="n">
        <f aca="false">D19*D20</f>
        <v>918.283766252739</v>
      </c>
      <c r="E21" s="0" t="n">
        <f aca="false">E19*E20</f>
        <v>679.453890983752</v>
      </c>
      <c r="F21" s="0" t="n">
        <f aca="false">F19*F20</f>
        <v>725.745178933933</v>
      </c>
      <c r="G21" s="0" t="n">
        <f aca="false">G19*G20</f>
        <v>715.082085370669</v>
      </c>
      <c r="H21" s="0" t="n">
        <f aca="false">H19*H20</f>
        <v>702.186215467544</v>
      </c>
      <c r="I21" s="0" t="n">
        <f aca="false">I19*I20</f>
        <v>651.578199938352</v>
      </c>
      <c r="J21" s="0" t="n">
        <f aca="false">J19*J20</f>
        <v>686.998804373808</v>
      </c>
      <c r="K21" s="0" t="n">
        <f aca="false">K19*K20</f>
        <v>634.39078782266</v>
      </c>
      <c r="L21" s="0" t="n">
        <f aca="false">L19*L20</f>
        <v>585.811313079483</v>
      </c>
    </row>
    <row r="23" customFormat="false" ht="15" hidden="false" customHeight="false" outlineLevel="0" collapsed="false">
      <c r="A23" s="0" t="s">
        <v>104</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129</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130</v>
      </c>
    </row>
    <row r="27" customFormat="false" ht="15" hidden="false" customHeight="false" outlineLevel="0" collapsed="false">
      <c r="A27" s="0" t="s">
        <v>108</v>
      </c>
      <c r="B27" s="4" t="n">
        <f aca="false">Assumptions!$B$20</f>
        <v>11</v>
      </c>
    </row>
    <row r="28" customFormat="false" ht="15" hidden="false" customHeight="false" outlineLevel="0" collapsed="false">
      <c r="A28" s="0" t="s">
        <v>109</v>
      </c>
      <c r="B28" s="4" t="n">
        <f aca="false">Assumptions!$B$21</f>
        <v>2.5</v>
      </c>
    </row>
    <row r="29" customFormat="false" ht="15" hidden="false" customHeight="false" outlineLevel="0" collapsed="false">
      <c r="A29" s="0" t="s">
        <v>110</v>
      </c>
      <c r="B29" s="4" t="n">
        <f aca="false">Assumptions!$B$22</f>
        <v>18</v>
      </c>
    </row>
    <row r="30" customFormat="false" ht="15" hidden="false" customHeight="false" outlineLevel="0" collapsed="false">
      <c r="A30" s="0" t="s">
        <v>131</v>
      </c>
      <c r="B30" s="0" t="n">
        <f aca="false">SUM(C21:L21)</f>
        <v>6677.31509357429</v>
      </c>
    </row>
    <row r="31" customFormat="false" ht="15" hidden="false" customHeight="false" outlineLevel="0" collapsed="false">
      <c r="A31" s="0" t="s">
        <v>132</v>
      </c>
      <c r="B31" s="0" t="n">
        <f aca="false">L19</f>
        <v>1663.36493623453</v>
      </c>
    </row>
    <row r="32" customFormat="false" ht="15" hidden="false" customHeight="false" outlineLevel="0" collapsed="false">
      <c r="A32" s="0" t="s">
        <v>133</v>
      </c>
      <c r="B32" s="0" t="n">
        <f aca="false">IF(B27&gt;B28,B31*(1+B28/100)/((B27-B28)/100),B31*B29)</f>
        <v>20058.2242310635</v>
      </c>
    </row>
    <row r="33" customFormat="false" ht="15" hidden="false" customHeight="false" outlineLevel="0" collapsed="false">
      <c r="A33" s="0" t="s">
        <v>134</v>
      </c>
      <c r="B33" s="0" t="n">
        <f aca="false">B31*B29</f>
        <v>29940.5688522216</v>
      </c>
    </row>
    <row r="34" customFormat="false" ht="15" hidden="false" customHeight="false" outlineLevel="0" collapsed="false">
      <c r="A34" s="0" t="s">
        <v>135</v>
      </c>
      <c r="B34" s="0" t="n">
        <f aca="false">MAX(0,MIN(B32,B33))</f>
        <v>20058.2242310635</v>
      </c>
    </row>
    <row r="35" customFormat="false" ht="15" hidden="false" customHeight="false" outlineLevel="0" collapsed="false">
      <c r="A35" s="0" t="s">
        <v>136</v>
      </c>
      <c r="B35" s="0" t="n">
        <f aca="false">B34/(1+B27/100)^L4</f>
        <v>7064.19524595847</v>
      </c>
    </row>
    <row r="36" customFormat="false" ht="15" hidden="false" customHeight="false" outlineLevel="0" collapsed="false">
      <c r="A36" s="0" t="s">
        <v>137</v>
      </c>
      <c r="B36" s="0" t="n">
        <f aca="false">B30+B35</f>
        <v>13741.5103395328</v>
      </c>
    </row>
    <row r="37" customFormat="false" ht="15" hidden="false" customHeight="false" outlineLevel="0" collapsed="false">
      <c r="A37" s="0" t="s">
        <v>138</v>
      </c>
      <c r="B37" s="0" t="n">
        <f aca="false">B36+Assumptions!$B$5-Assumptions!$B$4</f>
        <v>17322.5103395328</v>
      </c>
    </row>
    <row r="38" customFormat="false" ht="15" hidden="false" customHeight="false" outlineLevel="0" collapsed="false">
      <c r="A38" s="0" t="s">
        <v>139</v>
      </c>
      <c r="B38" s="0" t="n">
        <f aca="false">B37/Assumptions!$B$3*Assumptions!$B$10</f>
        <v>12.3225934158605</v>
      </c>
    </row>
    <row r="39" customFormat="false" ht="15" hidden="false" customHeight="false" outlineLevel="0" collapsed="false">
      <c r="A39" s="0" t="s">
        <v>140</v>
      </c>
      <c r="B39" s="4" t="n">
        <f aca="false">B38/Assumptions!$B$2-1</f>
        <v>-0.107058448126049</v>
      </c>
    </row>
    <row r="41" customFormat="false" ht="15" hidden="false" customHeight="false" outlineLevel="0" collapsed="false">
      <c r="A41" s="0" t="s">
        <v>141</v>
      </c>
      <c r="B41" s="0" t="n">
        <f aca="false">SUMPRODUCT(-C10:L10/(1+$B$27/100)^C4:L4)</f>
        <v>0</v>
      </c>
    </row>
    <row r="42" customFormat="false" ht="15" hidden="false" customHeight="false" outlineLevel="0" collapsed="false">
      <c r="A42" s="0" t="s">
        <v>142</v>
      </c>
      <c r="B42" s="0" t="n">
        <f aca="false">IF(B27&gt;B28,-L10*(1+B28/100)/((B27-B28)/100),-L10*20)/(1+B27/100)^L4</f>
        <v>0</v>
      </c>
    </row>
    <row r="43" customFormat="false" ht="15" hidden="false" customHeight="false" outlineLevel="0" collapsed="false">
      <c r="A43" s="0" t="s">
        <v>143</v>
      </c>
      <c r="B43" s="0" t="n">
        <f aca="false">(B37+B41+B42)/Assumptions!$B$3*Assumptions!$B$10</f>
        <v>12.3225934158605</v>
      </c>
    </row>
    <row r="45" customFormat="false" ht="15" hidden="false" customHeight="false" outlineLevel="0" collapsed="false">
      <c r="A45" s="0" t="s">
        <v>83</v>
      </c>
      <c r="B45" s="4" t="n">
        <f aca="false">Assumptions!$B$6</f>
        <v>15</v>
      </c>
    </row>
    <row r="46" customFormat="false" ht="15" hidden="false" customHeight="false" outlineLevel="0" collapsed="false">
      <c r="A46" s="0" t="s">
        <v>144</v>
      </c>
      <c r="B46" s="0" t="n">
        <f aca="false">MAX(0,MIN(IF(B45&gt;B28,B31*(1+B28/100)/((B45-B28)/100),B31*B29),B31*B29))</f>
        <v>13639.5924771232</v>
      </c>
    </row>
    <row r="47" customFormat="false" ht="15" hidden="false" customHeight="false" outlineLevel="0" collapsed="false">
      <c r="A47" s="0" t="s">
        <v>145</v>
      </c>
      <c r="B47" s="0" t="n">
        <f aca="false">(SUMPRODUCT(C19:L19/(1+B45/100)^C4:L4)+B46/(1+B45/100)^L4+Assumptions!$B$5-Assumptions!$B$4)/Assumptions!$B$3*Assumptions!$B$10</f>
        <v>8.87711905715978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146</v>
      </c>
    </row>
    <row r="3" customFormat="false" ht="15" hidden="false" customHeight="false" outlineLevel="0" collapsed="false">
      <c r="A3" s="0" t="s">
        <v>116</v>
      </c>
      <c r="B3" s="0" t="s">
        <v>86</v>
      </c>
      <c r="C3" s="2" t="s">
        <v>91</v>
      </c>
      <c r="D3" s="2" t="s">
        <v>92</v>
      </c>
      <c r="E3" s="2" t="s">
        <v>93</v>
      </c>
      <c r="F3" s="2" t="s">
        <v>94</v>
      </c>
      <c r="G3" s="2" t="s">
        <v>95</v>
      </c>
      <c r="H3" s="2" t="s">
        <v>96</v>
      </c>
      <c r="I3" s="2" t="s">
        <v>97</v>
      </c>
      <c r="J3" s="2" t="s">
        <v>98</v>
      </c>
      <c r="K3" s="2" t="s">
        <v>99</v>
      </c>
      <c r="L3" s="2" t="s">
        <v>100</v>
      </c>
    </row>
    <row r="4" customFormat="false" ht="15" hidden="false" customHeight="false" outlineLevel="0" collapsed="false">
      <c r="A4" s="0" t="s">
        <v>117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101</v>
      </c>
      <c r="C5" s="4" t="n">
        <f aca="false">Assumptions!C27</f>
        <v>4</v>
      </c>
      <c r="D5" s="4" t="n">
        <f aca="false">Assumptions!D27</f>
        <v>4</v>
      </c>
      <c r="E5" s="4" t="n">
        <f aca="false">Assumptions!E27</f>
        <v>4</v>
      </c>
      <c r="F5" s="4" t="n">
        <f aca="false">Assumptions!F27</f>
        <v>4</v>
      </c>
      <c r="G5" s="4" t="n">
        <f aca="false">Assumptions!G27</f>
        <v>4</v>
      </c>
      <c r="H5" s="4" t="n">
        <f aca="false">Assumptions!H27</f>
        <v>3.5</v>
      </c>
      <c r="I5" s="4" t="n">
        <f aca="false">Assumptions!I27</f>
        <v>3.5</v>
      </c>
      <c r="J5" s="4" t="n">
        <f aca="false">Assumptions!J27</f>
        <v>3</v>
      </c>
      <c r="K5" s="4" t="n">
        <f aca="false">Assumptions!K27</f>
        <v>3</v>
      </c>
      <c r="L5" s="4" t="n">
        <f aca="false">Assumptions!L27</f>
        <v>3</v>
      </c>
    </row>
    <row r="6" customFormat="false" ht="15" hidden="false" customHeight="false" outlineLevel="0" collapsed="false">
      <c r="A6" s="0" t="s">
        <v>37</v>
      </c>
      <c r="B6" s="3" t="n">
        <v>8370</v>
      </c>
      <c r="C6" s="0" t="n">
        <f aca="false">B6*(1+C5/100)</f>
        <v>8704.8</v>
      </c>
      <c r="D6" s="0" t="n">
        <f aca="false">C6*(1+D5/100)</f>
        <v>9052.992</v>
      </c>
      <c r="E6" s="0" t="n">
        <f aca="false">D6*(1+E5/100)</f>
        <v>9415.11168</v>
      </c>
      <c r="F6" s="0" t="n">
        <f aca="false">E6*(1+F5/100)</f>
        <v>9791.7161472</v>
      </c>
      <c r="G6" s="0" t="n">
        <f aca="false">F6*(1+G5/100)</f>
        <v>10183.384793088</v>
      </c>
      <c r="H6" s="0" t="n">
        <f aca="false">G6*(1+H5/100)</f>
        <v>10539.8032608461</v>
      </c>
      <c r="I6" s="0" t="n">
        <f aca="false">H6*(1+I5/100)</f>
        <v>10908.6963749757</v>
      </c>
      <c r="J6" s="0" t="n">
        <f aca="false">I6*(1+J5/100)</f>
        <v>11235.957266225</v>
      </c>
      <c r="K6" s="0" t="n">
        <f aca="false">J6*(1+K5/100)</f>
        <v>11573.0359842117</v>
      </c>
      <c r="L6" s="0" t="n">
        <f aca="false">K6*(1+L5/100)</f>
        <v>11920.2270637381</v>
      </c>
    </row>
    <row r="7" customFormat="false" ht="15" hidden="false" customHeight="false" outlineLevel="0" collapsed="false">
      <c r="A7" s="0" t="s">
        <v>102</v>
      </c>
      <c r="C7" s="4" t="n">
        <f aca="false">Assumptions!C28</f>
        <v>38</v>
      </c>
      <c r="D7" s="4" t="n">
        <f aca="false">Assumptions!D28</f>
        <v>39</v>
      </c>
      <c r="E7" s="4" t="n">
        <f aca="false">Assumptions!E28</f>
        <v>39.5</v>
      </c>
      <c r="F7" s="4" t="n">
        <f aca="false">Assumptions!F28</f>
        <v>40</v>
      </c>
      <c r="G7" s="4" t="n">
        <f aca="false">Assumptions!G28</f>
        <v>40</v>
      </c>
      <c r="H7" s="4" t="n">
        <f aca="false">Assumptions!H28</f>
        <v>40</v>
      </c>
      <c r="I7" s="4" t="n">
        <f aca="false">Assumptions!I28</f>
        <v>40</v>
      </c>
      <c r="J7" s="4" t="n">
        <f aca="false">Assumptions!J28</f>
        <v>40</v>
      </c>
      <c r="K7" s="4" t="n">
        <f aca="false">Assumptions!K28</f>
        <v>40</v>
      </c>
      <c r="L7" s="4" t="n">
        <f aca="false">Assumptions!L28</f>
        <v>40</v>
      </c>
    </row>
    <row r="8" customFormat="false" ht="15" hidden="false" customHeight="false" outlineLevel="0" collapsed="false">
      <c r="A8" s="0" t="s">
        <v>43</v>
      </c>
      <c r="C8" s="0" t="n">
        <f aca="false">C6*C7/100</f>
        <v>3307.824</v>
      </c>
      <c r="D8" s="0" t="n">
        <f aca="false">D6*D7/100</f>
        <v>3530.66688</v>
      </c>
      <c r="E8" s="0" t="n">
        <f aca="false">E6*E7/100</f>
        <v>3718.9691136</v>
      </c>
      <c r="F8" s="0" t="n">
        <f aca="false">F6*F7/100</f>
        <v>3916.68645888</v>
      </c>
      <c r="G8" s="0" t="n">
        <f aca="false">G6*G7/100</f>
        <v>4073.3539172352</v>
      </c>
      <c r="H8" s="0" t="n">
        <f aca="false">H6*H7/100</f>
        <v>4215.92130433843</v>
      </c>
      <c r="I8" s="0" t="n">
        <f aca="false">I6*I7/100</f>
        <v>4363.47854999028</v>
      </c>
      <c r="J8" s="0" t="n">
        <f aca="false">J6*J7/100</f>
        <v>4494.38290648999</v>
      </c>
      <c r="K8" s="0" t="n">
        <f aca="false">K6*K7/100</f>
        <v>4629.21439368469</v>
      </c>
      <c r="L8" s="0" t="n">
        <f aca="false">L6*L7/100</f>
        <v>4768.09082549523</v>
      </c>
    </row>
    <row r="9" customFormat="false" ht="15" hidden="false" customHeight="false" outlineLevel="0" collapsed="false">
      <c r="A9" s="0" t="s">
        <v>103</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118</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119</v>
      </c>
      <c r="C11" s="0" t="n">
        <f aca="false">C8+C10+C24</f>
        <v>3307.824</v>
      </c>
      <c r="D11" s="0" t="n">
        <f aca="false">D8+D10+D24</f>
        <v>3530.66688</v>
      </c>
      <c r="E11" s="0" t="n">
        <f aca="false">E8+E10+E24</f>
        <v>3718.9691136</v>
      </c>
      <c r="F11" s="0" t="n">
        <f aca="false">F8+F10+F24</f>
        <v>3916.68645888</v>
      </c>
      <c r="G11" s="0" t="n">
        <f aca="false">G8+G10+G24</f>
        <v>4073.3539172352</v>
      </c>
      <c r="H11" s="0" t="n">
        <f aca="false">H8+H10+H24</f>
        <v>4215.92130433843</v>
      </c>
      <c r="I11" s="0" t="n">
        <f aca="false">I8+I10+I24</f>
        <v>4363.47854999028</v>
      </c>
      <c r="J11" s="0" t="n">
        <f aca="false">J8+J10+J24</f>
        <v>4494.38290648999</v>
      </c>
      <c r="K11" s="0" t="n">
        <f aca="false">K8+K10+K24</f>
        <v>4629.21439368469</v>
      </c>
      <c r="L11" s="0" t="n">
        <f aca="false">L8+L10+L24</f>
        <v>4768.09082549523</v>
      </c>
    </row>
    <row r="12" customFormat="false" ht="15" hidden="false" customHeight="false" outlineLevel="0" collapsed="false">
      <c r="A12" s="0" t="s">
        <v>120</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121</v>
      </c>
      <c r="C13" s="0" t="n">
        <f aca="false">C11+C12</f>
        <v>3307.824</v>
      </c>
      <c r="D13" s="0" t="n">
        <f aca="false">D11+D12</f>
        <v>3530.66688</v>
      </c>
      <c r="E13" s="0" t="n">
        <f aca="false">E11+E12</f>
        <v>3718.9691136</v>
      </c>
      <c r="F13" s="0" t="n">
        <f aca="false">F11+F12</f>
        <v>3916.68645888</v>
      </c>
      <c r="G13" s="0" t="n">
        <f aca="false">G11+G12</f>
        <v>4073.3539172352</v>
      </c>
      <c r="H13" s="0" t="n">
        <f aca="false">H11+H12</f>
        <v>4215.92130433843</v>
      </c>
      <c r="I13" s="0" t="n">
        <f aca="false">I11+I12</f>
        <v>4363.47854999028</v>
      </c>
      <c r="J13" s="0" t="n">
        <f aca="false">J11+J12</f>
        <v>4494.38290648999</v>
      </c>
      <c r="K13" s="0" t="n">
        <f aca="false">K11+K12</f>
        <v>4629.21439368469</v>
      </c>
      <c r="L13" s="0" t="n">
        <f aca="false">L11+L12</f>
        <v>4768.09082549523</v>
      </c>
    </row>
    <row r="14" customFormat="false" ht="15" hidden="false" customHeight="false" outlineLevel="0" collapsed="false">
      <c r="A14" s="0" t="s">
        <v>107</v>
      </c>
      <c r="C14" s="4" t="n">
        <f aca="false">Assumptions!C33</f>
        <v>18</v>
      </c>
      <c r="D14" s="4" t="n">
        <f aca="false">Assumptions!D33</f>
        <v>18</v>
      </c>
      <c r="E14" s="4" t="n">
        <f aca="false">Assumptions!E33</f>
        <v>18</v>
      </c>
      <c r="F14" s="4" t="n">
        <f aca="false">Assumptions!F33</f>
        <v>18</v>
      </c>
      <c r="G14" s="4" t="n">
        <f aca="false">Assumptions!G33</f>
        <v>18</v>
      </c>
      <c r="H14" s="4" t="n">
        <f aca="false">Assumptions!H33</f>
        <v>18</v>
      </c>
      <c r="I14" s="4" t="n">
        <f aca="false">Assumptions!I33</f>
        <v>18</v>
      </c>
      <c r="J14" s="4" t="n">
        <f aca="false">Assumptions!J33</f>
        <v>18</v>
      </c>
      <c r="K14" s="4" t="n">
        <f aca="false">Assumptions!K33</f>
        <v>18</v>
      </c>
      <c r="L14" s="4" t="n">
        <f aca="false">Assumptions!L33</f>
        <v>18</v>
      </c>
    </row>
    <row r="15" customFormat="false" ht="15" hidden="false" customHeight="false" outlineLevel="0" collapsed="false">
      <c r="A15" s="0" t="s">
        <v>122</v>
      </c>
      <c r="C15" s="0" t="n">
        <f aca="false">C13-MAX(0,C13)*C14/100</f>
        <v>2712.41568</v>
      </c>
      <c r="D15" s="0" t="n">
        <f aca="false">D13-MAX(0,D13)*D14/100</f>
        <v>2895.1468416</v>
      </c>
      <c r="E15" s="0" t="n">
        <f aca="false">E13-MAX(0,E13)*E14/100</f>
        <v>3049.554673152</v>
      </c>
      <c r="F15" s="0" t="n">
        <f aca="false">F13-MAX(0,F13)*F14/100</f>
        <v>3211.6828962816</v>
      </c>
      <c r="G15" s="0" t="n">
        <f aca="false">G13-MAX(0,G13)*G14/100</f>
        <v>3340.15021213287</v>
      </c>
      <c r="H15" s="0" t="n">
        <f aca="false">H13-MAX(0,H13)*H14/100</f>
        <v>3457.05546955752</v>
      </c>
      <c r="I15" s="0" t="n">
        <f aca="false">I13-MAX(0,I13)*I14/100</f>
        <v>3578.05241099203</v>
      </c>
      <c r="J15" s="0" t="n">
        <f aca="false">J13-MAX(0,J13)*J14/100</f>
        <v>3685.39398332179</v>
      </c>
      <c r="K15" s="0" t="n">
        <f aca="false">K13-MAX(0,K13)*K14/100</f>
        <v>3795.95580282144</v>
      </c>
      <c r="L15" s="0" t="n">
        <f aca="false">L13-MAX(0,L13)*L14/100</f>
        <v>3909.83447690609</v>
      </c>
    </row>
    <row r="16" customFormat="false" ht="15" hidden="false" customHeight="false" outlineLevel="0" collapsed="false">
      <c r="A16" s="0" t="s">
        <v>123</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124</v>
      </c>
      <c r="C17" s="4" t="n">
        <f aca="false">-C6*Assumptions!C32/100</f>
        <v>-1305.72</v>
      </c>
      <c r="D17" s="4" t="n">
        <f aca="false">-D6*Assumptions!D32/100</f>
        <v>-1357.9488</v>
      </c>
      <c r="E17" s="4" t="n">
        <f aca="false">-E6*Assumptions!E32/100</f>
        <v>-1412.266752</v>
      </c>
      <c r="F17" s="4" t="n">
        <f aca="false">-F6*Assumptions!F32/100</f>
        <v>-1468.75742208</v>
      </c>
      <c r="G17" s="4" t="n">
        <f aca="false">-G6*Assumptions!G32/100</f>
        <v>-1527.5077189632</v>
      </c>
      <c r="H17" s="4" t="n">
        <f aca="false">-H6*Assumptions!H32/100</f>
        <v>-1391.25403043168</v>
      </c>
      <c r="I17" s="4" t="n">
        <f aca="false">-I6*Assumptions!I32/100</f>
        <v>-1439.94792149679</v>
      </c>
      <c r="J17" s="4" t="n">
        <f aca="false">-J6*Assumptions!J32/100</f>
        <v>-1280.89912834965</v>
      </c>
      <c r="K17" s="4" t="n">
        <f aca="false">-K6*Assumptions!K32/100</f>
        <v>-1319.32610220014</v>
      </c>
      <c r="L17" s="4" t="n">
        <f aca="false">-L6*Assumptions!L32/100</f>
        <v>-1358.90588526614</v>
      </c>
    </row>
    <row r="18" customFormat="false" ht="15" hidden="false" customHeight="false" outlineLevel="0" collapsed="false">
      <c r="A18" s="0" t="s">
        <v>125</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126</v>
      </c>
      <c r="C19" s="0" t="n">
        <f aca="false">C15+C16+C17+C18</f>
        <v>1406.69568</v>
      </c>
      <c r="D19" s="0" t="n">
        <f aca="false">D15+D16+D17+D18</f>
        <v>1537.1980416</v>
      </c>
      <c r="E19" s="0" t="n">
        <f aca="false">E15+E16+E17+E18</f>
        <v>1637.287921152</v>
      </c>
      <c r="F19" s="0" t="n">
        <f aca="false">F15+F16+F17+F18</f>
        <v>1742.9254742016</v>
      </c>
      <c r="G19" s="0" t="n">
        <f aca="false">G15+G16+G17+G18</f>
        <v>1812.64249316966</v>
      </c>
      <c r="H19" s="0" t="n">
        <f aca="false">H15+H16+H17+H18</f>
        <v>2065.80143912583</v>
      </c>
      <c r="I19" s="0" t="n">
        <f aca="false">I15+I16+I17+I18</f>
        <v>2138.10448949524</v>
      </c>
      <c r="J19" s="0" t="n">
        <f aca="false">J15+J16+J17+J18</f>
        <v>2404.49485497214</v>
      </c>
      <c r="K19" s="0" t="n">
        <f aca="false">K15+K16+K17+K18</f>
        <v>2476.62970062131</v>
      </c>
      <c r="L19" s="0" t="n">
        <f aca="false">L15+L16+L17+L18</f>
        <v>2550.92859163995</v>
      </c>
    </row>
    <row r="20" customFormat="false" ht="15" hidden="false" customHeight="false" outlineLevel="0" collapsed="false">
      <c r="A20" s="0" t="s">
        <v>127</v>
      </c>
      <c r="C20" s="0" t="n">
        <f aca="false">1/(1+$B$27/100)^C4</f>
        <v>0.900900900900901</v>
      </c>
      <c r="D20" s="0" t="n">
        <f aca="false">1/(1+$B$27/100)^D4</f>
        <v>0.811622433244055</v>
      </c>
      <c r="E20" s="0" t="n">
        <f aca="false">1/(1+$B$27/100)^E4</f>
        <v>0.73119138130095</v>
      </c>
      <c r="F20" s="0" t="n">
        <f aca="false">1/(1+$B$27/100)^F4</f>
        <v>0.658730974145</v>
      </c>
      <c r="G20" s="0" t="n">
        <f aca="false">1/(1+$B$27/100)^G4</f>
        <v>0.593451328058559</v>
      </c>
      <c r="H20" s="0" t="n">
        <f aca="false">1/(1+$B$27/100)^H4</f>
        <v>0.534640836088791</v>
      </c>
      <c r="I20" s="0" t="n">
        <f aca="false">1/(1+$B$27/100)^I4</f>
        <v>0.481658410890803</v>
      </c>
      <c r="J20" s="0" t="n">
        <f aca="false">1/(1+$B$27/100)^J4</f>
        <v>0.433926496298021</v>
      </c>
      <c r="K20" s="0" t="n">
        <f aca="false">1/(1+$B$27/100)^K4</f>
        <v>0.390924771439658</v>
      </c>
      <c r="L20" s="0" t="n">
        <f aca="false">1/(1+$B$27/100)^L4</f>
        <v>0.352184478774467</v>
      </c>
    </row>
    <row r="21" customFormat="false" ht="15" hidden="false" customHeight="false" outlineLevel="0" collapsed="false">
      <c r="A21" s="0" t="s">
        <v>128</v>
      </c>
      <c r="C21" s="0" t="n">
        <f aca="false">C19*C20</f>
        <v>1267.29340540541</v>
      </c>
      <c r="D21" s="0" t="n">
        <f aca="false">D19*D20</f>
        <v>1247.62441490139</v>
      </c>
      <c r="E21" s="0" t="n">
        <f aca="false">E19*E20</f>
        <v>1197.17081665449</v>
      </c>
      <c r="F21" s="0" t="n">
        <f aca="false">F19*F20</f>
        <v>1148.11899548296</v>
      </c>
      <c r="G21" s="0" t="n">
        <f aca="false">G19*G20</f>
        <v>1075.71509486691</v>
      </c>
      <c r="H21" s="0" t="n">
        <f aca="false">H19*H20</f>
        <v>1104.46180860766</v>
      </c>
      <c r="I21" s="0" t="n">
        <f aca="false">I19*I20</f>
        <v>1029.83601072877</v>
      </c>
      <c r="J21" s="0" t="n">
        <f aca="false">J19*J20</f>
        <v>1043.37402778468</v>
      </c>
      <c r="K21" s="0" t="n">
        <f aca="false">K19*K20</f>
        <v>968.175899656054</v>
      </c>
      <c r="L21" s="0" t="n">
        <f aca="false">L19*L20</f>
        <v>898.3974564376</v>
      </c>
    </row>
    <row r="23" customFormat="false" ht="15" hidden="false" customHeight="false" outlineLevel="0" collapsed="false">
      <c r="A23" s="0" t="s">
        <v>104</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129</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130</v>
      </c>
    </row>
    <row r="27" customFormat="false" ht="15" hidden="false" customHeight="false" outlineLevel="0" collapsed="false">
      <c r="A27" s="0" t="s">
        <v>108</v>
      </c>
      <c r="B27" s="4" t="n">
        <f aca="false">Assumptions!$B$34</f>
        <v>11</v>
      </c>
    </row>
    <row r="28" customFormat="false" ht="15" hidden="false" customHeight="false" outlineLevel="0" collapsed="false">
      <c r="A28" s="0" t="s">
        <v>109</v>
      </c>
      <c r="B28" s="4" t="n">
        <f aca="false">Assumptions!$B$35</f>
        <v>3</v>
      </c>
    </row>
    <row r="29" customFormat="false" ht="15" hidden="false" customHeight="false" outlineLevel="0" collapsed="false">
      <c r="A29" s="0" t="s">
        <v>110</v>
      </c>
      <c r="B29" s="4" t="n">
        <f aca="false">Assumptions!$B$36</f>
        <v>18</v>
      </c>
    </row>
    <row r="30" customFormat="false" ht="15" hidden="false" customHeight="false" outlineLevel="0" collapsed="false">
      <c r="A30" s="0" t="s">
        <v>131</v>
      </c>
      <c r="B30" s="0" t="n">
        <f aca="false">SUM(C21:L21)</f>
        <v>10980.1679305259</v>
      </c>
    </row>
    <row r="31" customFormat="false" ht="15" hidden="false" customHeight="false" outlineLevel="0" collapsed="false">
      <c r="A31" s="0" t="s">
        <v>132</v>
      </c>
      <c r="B31" s="0" t="n">
        <f aca="false">L19</f>
        <v>2550.92859163995</v>
      </c>
    </row>
    <row r="32" customFormat="false" ht="15" hidden="false" customHeight="false" outlineLevel="0" collapsed="false">
      <c r="A32" s="0" t="s">
        <v>133</v>
      </c>
      <c r="B32" s="0" t="n">
        <f aca="false">IF(B27&gt;B28,B31*(1+B28/100)/((B27-B28)/100),B31*B29)</f>
        <v>32843.2056173643</v>
      </c>
    </row>
    <row r="33" customFormat="false" ht="15" hidden="false" customHeight="false" outlineLevel="0" collapsed="false">
      <c r="A33" s="0" t="s">
        <v>134</v>
      </c>
      <c r="B33" s="0" t="n">
        <f aca="false">B31*B29</f>
        <v>45916.714649519</v>
      </c>
    </row>
    <row r="34" customFormat="false" ht="15" hidden="false" customHeight="false" outlineLevel="0" collapsed="false">
      <c r="A34" s="0" t="s">
        <v>135</v>
      </c>
      <c r="B34" s="0" t="n">
        <f aca="false">MAX(0,MIN(B32,B33))</f>
        <v>32843.2056173643</v>
      </c>
    </row>
    <row r="35" customFormat="false" ht="15" hidden="false" customHeight="false" outlineLevel="0" collapsed="false">
      <c r="A35" s="0" t="s">
        <v>136</v>
      </c>
      <c r="B35" s="0" t="n">
        <f aca="false">B34/(1+B27/100)^L4</f>
        <v>11566.8672516341</v>
      </c>
    </row>
    <row r="36" customFormat="false" ht="15" hidden="false" customHeight="false" outlineLevel="0" collapsed="false">
      <c r="A36" s="0" t="s">
        <v>137</v>
      </c>
      <c r="B36" s="0" t="n">
        <f aca="false">B30+B35</f>
        <v>22547.03518216</v>
      </c>
    </row>
    <row r="37" customFormat="false" ht="15" hidden="false" customHeight="false" outlineLevel="0" collapsed="false">
      <c r="A37" s="0" t="s">
        <v>138</v>
      </c>
      <c r="B37" s="0" t="n">
        <f aca="false">B36+Assumptions!$B$5-Assumptions!$B$4</f>
        <v>26128.03518216</v>
      </c>
    </row>
    <row r="38" customFormat="false" ht="15" hidden="false" customHeight="false" outlineLevel="0" collapsed="false">
      <c r="A38" s="0" t="s">
        <v>139</v>
      </c>
      <c r="B38" s="0" t="n">
        <f aca="false">B37/Assumptions!$B$3*Assumptions!$B$10</f>
        <v>18.5865182351937</v>
      </c>
    </row>
    <row r="39" customFormat="false" ht="15" hidden="false" customHeight="false" outlineLevel="0" collapsed="false">
      <c r="A39" s="0" t="s">
        <v>140</v>
      </c>
      <c r="B39" s="4" t="n">
        <f aca="false">B38/Assumptions!$B$2-1</f>
        <v>0.346849147477804</v>
      </c>
    </row>
    <row r="41" customFormat="false" ht="15" hidden="false" customHeight="false" outlineLevel="0" collapsed="false">
      <c r="A41" s="0" t="s">
        <v>141</v>
      </c>
      <c r="B41" s="0" t="n">
        <f aca="false">SUMPRODUCT(-C10:L10/(1+$B$27/100)^C4:L4)</f>
        <v>0</v>
      </c>
    </row>
    <row r="42" customFormat="false" ht="15" hidden="false" customHeight="false" outlineLevel="0" collapsed="false">
      <c r="A42" s="0" t="s">
        <v>142</v>
      </c>
      <c r="B42" s="0" t="n">
        <f aca="false">IF(B27&gt;B28,-L10*(1+B28/100)/((B27-B28)/100),-L10*20)/(1+B27/100)^L4</f>
        <v>0</v>
      </c>
    </row>
    <row r="43" customFormat="false" ht="15" hidden="false" customHeight="false" outlineLevel="0" collapsed="false">
      <c r="A43" s="0" t="s">
        <v>143</v>
      </c>
      <c r="B43" s="0" t="n">
        <f aca="false">(B37+B41+B42)/Assumptions!$B$3*Assumptions!$B$10</f>
        <v>18.5865182351937</v>
      </c>
    </row>
    <row r="45" customFormat="false" ht="15" hidden="false" customHeight="false" outlineLevel="0" collapsed="false">
      <c r="A45" s="0" t="s">
        <v>83</v>
      </c>
      <c r="B45" s="4" t="n">
        <f aca="false">Assumptions!$B$6</f>
        <v>15</v>
      </c>
    </row>
    <row r="46" customFormat="false" ht="15" hidden="false" customHeight="false" outlineLevel="0" collapsed="false">
      <c r="A46" s="0" t="s">
        <v>144</v>
      </c>
      <c r="B46" s="0" t="n">
        <f aca="false">MAX(0,MIN(IF(B45&gt;B28,B31*(1+B28/100)/((B45-B28)/100),B31*B29),B31*B29))</f>
        <v>21895.4704115762</v>
      </c>
    </row>
    <row r="47" customFormat="false" ht="15" hidden="false" customHeight="false" outlineLevel="0" collapsed="false">
      <c r="A47" s="0" t="s">
        <v>145</v>
      </c>
      <c r="B47" s="0" t="n">
        <f aca="false">(SUMPRODUCT(C19:L19/(1+B45/100)^C4:L4)+B46/(1+B45/100)^L4+Assumptions!$B$5-Assumptions!$B$4)/Assumptions!$B$3*Assumptions!$B$10</f>
        <v>12.9258535787724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147</v>
      </c>
    </row>
    <row r="3" customFormat="false" ht="15" hidden="false" customHeight="false" outlineLevel="0" collapsed="false">
      <c r="A3" s="0" t="s">
        <v>116</v>
      </c>
      <c r="B3" s="0" t="s">
        <v>86</v>
      </c>
      <c r="C3" s="2" t="s">
        <v>91</v>
      </c>
      <c r="D3" s="2" t="s">
        <v>92</v>
      </c>
      <c r="E3" s="2" t="s">
        <v>93</v>
      </c>
      <c r="F3" s="2" t="s">
        <v>94</v>
      </c>
      <c r="G3" s="2" t="s">
        <v>95</v>
      </c>
      <c r="H3" s="2" t="s">
        <v>96</v>
      </c>
      <c r="I3" s="2" t="s">
        <v>97</v>
      </c>
      <c r="J3" s="2" t="s">
        <v>98</v>
      </c>
      <c r="K3" s="2" t="s">
        <v>99</v>
      </c>
      <c r="L3" s="2" t="s">
        <v>100</v>
      </c>
    </row>
    <row r="4" customFormat="false" ht="15" hidden="false" customHeight="false" outlineLevel="0" collapsed="false">
      <c r="A4" s="0" t="s">
        <v>117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101</v>
      </c>
      <c r="C5" s="4" t="n">
        <f aca="false">Assumptions!C41</f>
        <v>6</v>
      </c>
      <c r="D5" s="4" t="n">
        <f aca="false">Assumptions!D41</f>
        <v>6</v>
      </c>
      <c r="E5" s="4" t="n">
        <f aca="false">Assumptions!E41</f>
        <v>5.5</v>
      </c>
      <c r="F5" s="4" t="n">
        <f aca="false">Assumptions!F41</f>
        <v>5</v>
      </c>
      <c r="G5" s="4" t="n">
        <f aca="false">Assumptions!G41</f>
        <v>5</v>
      </c>
      <c r="H5" s="4" t="n">
        <f aca="false">Assumptions!H41</f>
        <v>4.5</v>
      </c>
      <c r="I5" s="4" t="n">
        <f aca="false">Assumptions!I41</f>
        <v>4</v>
      </c>
      <c r="J5" s="4" t="n">
        <f aca="false">Assumptions!J41</f>
        <v>4</v>
      </c>
      <c r="K5" s="4" t="n">
        <f aca="false">Assumptions!K41</f>
        <v>3.5</v>
      </c>
      <c r="L5" s="4" t="n">
        <f aca="false">Assumptions!L41</f>
        <v>3.5</v>
      </c>
    </row>
    <row r="6" customFormat="false" ht="15" hidden="false" customHeight="false" outlineLevel="0" collapsed="false">
      <c r="A6" s="0" t="s">
        <v>37</v>
      </c>
      <c r="B6" s="3" t="n">
        <v>8370</v>
      </c>
      <c r="C6" s="0" t="n">
        <f aca="false">B6*(1+C5/100)</f>
        <v>8872.2</v>
      </c>
      <c r="D6" s="0" t="n">
        <f aca="false">C6*(1+D5/100)</f>
        <v>9404.532</v>
      </c>
      <c r="E6" s="0" t="n">
        <f aca="false">D6*(1+E5/100)</f>
        <v>9921.78126</v>
      </c>
      <c r="F6" s="0" t="n">
        <f aca="false">E6*(1+F5/100)</f>
        <v>10417.870323</v>
      </c>
      <c r="G6" s="0" t="n">
        <f aca="false">F6*(1+G5/100)</f>
        <v>10938.76383915</v>
      </c>
      <c r="H6" s="0" t="n">
        <f aca="false">G6*(1+H5/100)</f>
        <v>11431.0082119118</v>
      </c>
      <c r="I6" s="0" t="n">
        <f aca="false">H6*(1+I5/100)</f>
        <v>11888.2485403882</v>
      </c>
      <c r="J6" s="0" t="n">
        <f aca="false">I6*(1+J5/100)</f>
        <v>12363.7784820038</v>
      </c>
      <c r="K6" s="0" t="n">
        <f aca="false">J6*(1+K5/100)</f>
        <v>12796.5107288739</v>
      </c>
      <c r="L6" s="0" t="n">
        <f aca="false">K6*(1+L5/100)</f>
        <v>13244.3886043845</v>
      </c>
    </row>
    <row r="7" customFormat="false" ht="15" hidden="false" customHeight="false" outlineLevel="0" collapsed="false">
      <c r="A7" s="0" t="s">
        <v>102</v>
      </c>
      <c r="C7" s="4" t="n">
        <f aca="false">Assumptions!C42</f>
        <v>39.5</v>
      </c>
      <c r="D7" s="4" t="n">
        <f aca="false">Assumptions!D42</f>
        <v>41</v>
      </c>
      <c r="E7" s="4" t="n">
        <f aca="false">Assumptions!E42</f>
        <v>42.5</v>
      </c>
      <c r="F7" s="4" t="n">
        <f aca="false">Assumptions!F42</f>
        <v>43.5</v>
      </c>
      <c r="G7" s="4" t="n">
        <f aca="false">Assumptions!G42</f>
        <v>44</v>
      </c>
      <c r="H7" s="4" t="n">
        <f aca="false">Assumptions!H42</f>
        <v>44</v>
      </c>
      <c r="I7" s="4" t="n">
        <f aca="false">Assumptions!I42</f>
        <v>44</v>
      </c>
      <c r="J7" s="4" t="n">
        <f aca="false">Assumptions!J42</f>
        <v>44</v>
      </c>
      <c r="K7" s="4" t="n">
        <f aca="false">Assumptions!K42</f>
        <v>44</v>
      </c>
      <c r="L7" s="4" t="n">
        <f aca="false">Assumptions!L42</f>
        <v>44</v>
      </c>
    </row>
    <row r="8" customFormat="false" ht="15" hidden="false" customHeight="false" outlineLevel="0" collapsed="false">
      <c r="A8" s="0" t="s">
        <v>43</v>
      </c>
      <c r="C8" s="0" t="n">
        <f aca="false">C6*C7/100</f>
        <v>3504.519</v>
      </c>
      <c r="D8" s="0" t="n">
        <f aca="false">D6*D7/100</f>
        <v>3855.85812</v>
      </c>
      <c r="E8" s="0" t="n">
        <f aca="false">E6*E7/100</f>
        <v>4216.7570355</v>
      </c>
      <c r="F8" s="0" t="n">
        <f aca="false">F6*F7/100</f>
        <v>4531.773590505</v>
      </c>
      <c r="G8" s="0" t="n">
        <f aca="false">G6*G7/100</f>
        <v>4813.056089226</v>
      </c>
      <c r="H8" s="0" t="n">
        <f aca="false">H6*H7/100</f>
        <v>5029.64361324117</v>
      </c>
      <c r="I8" s="0" t="n">
        <f aca="false">I6*I7/100</f>
        <v>5230.82935777082</v>
      </c>
      <c r="J8" s="0" t="n">
        <f aca="false">J6*J7/100</f>
        <v>5440.06253208165</v>
      </c>
      <c r="K8" s="0" t="n">
        <f aca="false">K6*K7/100</f>
        <v>5630.46472070451</v>
      </c>
      <c r="L8" s="0" t="n">
        <f aca="false">L6*L7/100</f>
        <v>5827.53098592917</v>
      </c>
    </row>
    <row r="9" customFormat="false" ht="15" hidden="false" customHeight="false" outlineLevel="0" collapsed="false">
      <c r="A9" s="0" t="s">
        <v>103</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118</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119</v>
      </c>
      <c r="C11" s="0" t="n">
        <f aca="false">C8+C10+C24</f>
        <v>3504.519</v>
      </c>
      <c r="D11" s="0" t="n">
        <f aca="false">D8+D10+D24</f>
        <v>3855.85812</v>
      </c>
      <c r="E11" s="0" t="n">
        <f aca="false">E8+E10+E24</f>
        <v>4216.7570355</v>
      </c>
      <c r="F11" s="0" t="n">
        <f aca="false">F8+F10+F24</f>
        <v>4531.773590505</v>
      </c>
      <c r="G11" s="0" t="n">
        <f aca="false">G8+G10+G24</f>
        <v>4813.056089226</v>
      </c>
      <c r="H11" s="0" t="n">
        <f aca="false">H8+H10+H24</f>
        <v>5029.64361324117</v>
      </c>
      <c r="I11" s="0" t="n">
        <f aca="false">I8+I10+I24</f>
        <v>5230.82935777082</v>
      </c>
      <c r="J11" s="0" t="n">
        <f aca="false">J8+J10+J24</f>
        <v>5440.06253208165</v>
      </c>
      <c r="K11" s="0" t="n">
        <f aca="false">K8+K10+K24</f>
        <v>5630.46472070451</v>
      </c>
      <c r="L11" s="0" t="n">
        <f aca="false">L8+L10+L24</f>
        <v>5827.53098592917</v>
      </c>
    </row>
    <row r="12" customFormat="false" ht="15" hidden="false" customHeight="false" outlineLevel="0" collapsed="false">
      <c r="A12" s="0" t="s">
        <v>120</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121</v>
      </c>
      <c r="C13" s="0" t="n">
        <f aca="false">C11+C12</f>
        <v>3504.519</v>
      </c>
      <c r="D13" s="0" t="n">
        <f aca="false">D11+D12</f>
        <v>3855.85812</v>
      </c>
      <c r="E13" s="0" t="n">
        <f aca="false">E11+E12</f>
        <v>4216.7570355</v>
      </c>
      <c r="F13" s="0" t="n">
        <f aca="false">F11+F12</f>
        <v>4531.773590505</v>
      </c>
      <c r="G13" s="0" t="n">
        <f aca="false">G11+G12</f>
        <v>4813.056089226</v>
      </c>
      <c r="H13" s="0" t="n">
        <f aca="false">H11+H12</f>
        <v>5029.64361324117</v>
      </c>
      <c r="I13" s="0" t="n">
        <f aca="false">I11+I12</f>
        <v>5230.82935777082</v>
      </c>
      <c r="J13" s="0" t="n">
        <f aca="false">J11+J12</f>
        <v>5440.06253208165</v>
      </c>
      <c r="K13" s="0" t="n">
        <f aca="false">K11+K12</f>
        <v>5630.46472070451</v>
      </c>
      <c r="L13" s="0" t="n">
        <f aca="false">L11+L12</f>
        <v>5827.53098592917</v>
      </c>
    </row>
    <row r="14" customFormat="false" ht="15" hidden="false" customHeight="false" outlineLevel="0" collapsed="false">
      <c r="A14" s="0" t="s">
        <v>107</v>
      </c>
      <c r="C14" s="4" t="n">
        <f aca="false">Assumptions!C47</f>
        <v>17.5</v>
      </c>
      <c r="D14" s="4" t="n">
        <f aca="false">Assumptions!D47</f>
        <v>17.5</v>
      </c>
      <c r="E14" s="4" t="n">
        <f aca="false">Assumptions!E47</f>
        <v>17.5</v>
      </c>
      <c r="F14" s="4" t="n">
        <f aca="false">Assumptions!F47</f>
        <v>17.5</v>
      </c>
      <c r="G14" s="4" t="n">
        <f aca="false">Assumptions!G47</f>
        <v>17.5</v>
      </c>
      <c r="H14" s="4" t="n">
        <f aca="false">Assumptions!H47</f>
        <v>17.5</v>
      </c>
      <c r="I14" s="4" t="n">
        <f aca="false">Assumptions!I47</f>
        <v>17.5</v>
      </c>
      <c r="J14" s="4" t="n">
        <f aca="false">Assumptions!J47</f>
        <v>17.5</v>
      </c>
      <c r="K14" s="4" t="n">
        <f aca="false">Assumptions!K47</f>
        <v>17.5</v>
      </c>
      <c r="L14" s="4" t="n">
        <f aca="false">Assumptions!L47</f>
        <v>17.5</v>
      </c>
    </row>
    <row r="15" customFormat="false" ht="15" hidden="false" customHeight="false" outlineLevel="0" collapsed="false">
      <c r="A15" s="0" t="s">
        <v>122</v>
      </c>
      <c r="C15" s="0" t="n">
        <f aca="false">C13-MAX(0,C13)*C14/100</f>
        <v>2891.228175</v>
      </c>
      <c r="D15" s="0" t="n">
        <f aca="false">D13-MAX(0,D13)*D14/100</f>
        <v>3181.082949</v>
      </c>
      <c r="E15" s="0" t="n">
        <f aca="false">E13-MAX(0,E13)*E14/100</f>
        <v>3478.8245542875</v>
      </c>
      <c r="F15" s="0" t="n">
        <f aca="false">F13-MAX(0,F13)*F14/100</f>
        <v>3738.71321216663</v>
      </c>
      <c r="G15" s="0" t="n">
        <f aca="false">G13-MAX(0,G13)*G14/100</f>
        <v>3970.77127361145</v>
      </c>
      <c r="H15" s="0" t="n">
        <f aca="false">H13-MAX(0,H13)*H14/100</f>
        <v>4149.45598092397</v>
      </c>
      <c r="I15" s="0" t="n">
        <f aca="false">I13-MAX(0,I13)*I14/100</f>
        <v>4315.43422016093</v>
      </c>
      <c r="J15" s="0" t="n">
        <f aca="false">J13-MAX(0,J13)*J14/100</f>
        <v>4488.05158896736</v>
      </c>
      <c r="K15" s="0" t="n">
        <f aca="false">K13-MAX(0,K13)*K14/100</f>
        <v>4645.13339458122</v>
      </c>
      <c r="L15" s="0" t="n">
        <f aca="false">L13-MAX(0,L13)*L14/100</f>
        <v>4807.71306339156</v>
      </c>
    </row>
    <row r="16" customFormat="false" ht="15" hidden="false" customHeight="false" outlineLevel="0" collapsed="false">
      <c r="A16" s="0" t="s">
        <v>123</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124</v>
      </c>
      <c r="C17" s="4" t="n">
        <f aca="false">-C6*Assumptions!C46/100</f>
        <v>-550.0764</v>
      </c>
      <c r="D17" s="4" t="n">
        <f aca="false">-D6*Assumptions!D46/100</f>
        <v>-517.24926</v>
      </c>
      <c r="E17" s="4" t="n">
        <f aca="false">-E6*Assumptions!E46/100</f>
        <v>-496.089063</v>
      </c>
      <c r="F17" s="4" t="n">
        <f aca="false">-F6*Assumptions!F46/100</f>
        <v>-458.386294212</v>
      </c>
      <c r="G17" s="4" t="n">
        <f aca="false">-G6*Assumptions!G46/100</f>
        <v>-1509.5494098027</v>
      </c>
      <c r="H17" s="4" t="n">
        <f aca="false">-H6*Assumptions!H46/100</f>
        <v>-1634.63417430338</v>
      </c>
      <c r="I17" s="4" t="n">
        <f aca="false">-I6*Assumptions!I46/100</f>
        <v>-1521.69581316969</v>
      </c>
      <c r="J17" s="4" t="n">
        <f aca="false">-J6*Assumptions!J46/100</f>
        <v>-1570.19986721448</v>
      </c>
      <c r="K17" s="4" t="n">
        <f aca="false">-K6*Assumptions!K46/100</f>
        <v>-1433.20920163387</v>
      </c>
      <c r="L17" s="4" t="n">
        <f aca="false">-L6*Assumptions!L46/100</f>
        <v>-1483.37152369106</v>
      </c>
    </row>
    <row r="18" customFormat="false" ht="15" hidden="false" customHeight="false" outlineLevel="0" collapsed="false">
      <c r="A18" s="0" t="s">
        <v>125</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126</v>
      </c>
      <c r="C19" s="0" t="n">
        <f aca="false">C15+C16+C17+C18</f>
        <v>2341.151775</v>
      </c>
      <c r="D19" s="0" t="n">
        <f aca="false">D15+D16+D17+D18</f>
        <v>2663.833689</v>
      </c>
      <c r="E19" s="0" t="n">
        <f aca="false">E15+E16+E17+E18</f>
        <v>2982.7354912875</v>
      </c>
      <c r="F19" s="0" t="n">
        <f aca="false">F15+F16+F17+F18</f>
        <v>3280.32691795463</v>
      </c>
      <c r="G19" s="0" t="n">
        <f aca="false">G15+G16+G17+G18</f>
        <v>2461.22186380875</v>
      </c>
      <c r="H19" s="0" t="n">
        <f aca="false">H15+H16+H17+H18</f>
        <v>2514.82180662059</v>
      </c>
      <c r="I19" s="0" t="n">
        <f aca="false">I15+I16+I17+I18</f>
        <v>2793.73840699123</v>
      </c>
      <c r="J19" s="0" t="n">
        <f aca="false">J15+J16+J17+J18</f>
        <v>2917.85172175289</v>
      </c>
      <c r="K19" s="0" t="n">
        <f aca="false">K15+K16+K17+K18</f>
        <v>3211.92419294734</v>
      </c>
      <c r="L19" s="0" t="n">
        <f aca="false">L15+L16+L17+L18</f>
        <v>3324.3415397005</v>
      </c>
    </row>
    <row r="20" customFormat="false" ht="15" hidden="false" customHeight="false" outlineLevel="0" collapsed="false">
      <c r="A20" s="0" t="s">
        <v>127</v>
      </c>
      <c r="C20" s="0" t="n">
        <f aca="false">1/(1+$B$27/100)^C4</f>
        <v>0.900900900900901</v>
      </c>
      <c r="D20" s="0" t="n">
        <f aca="false">1/(1+$B$27/100)^D4</f>
        <v>0.811622433244055</v>
      </c>
      <c r="E20" s="0" t="n">
        <f aca="false">1/(1+$B$27/100)^E4</f>
        <v>0.73119138130095</v>
      </c>
      <c r="F20" s="0" t="n">
        <f aca="false">1/(1+$B$27/100)^F4</f>
        <v>0.658730974145</v>
      </c>
      <c r="G20" s="0" t="n">
        <f aca="false">1/(1+$B$27/100)^G4</f>
        <v>0.593451328058559</v>
      </c>
      <c r="H20" s="0" t="n">
        <f aca="false">1/(1+$B$27/100)^H4</f>
        <v>0.534640836088791</v>
      </c>
      <c r="I20" s="0" t="n">
        <f aca="false">1/(1+$B$27/100)^I4</f>
        <v>0.481658410890803</v>
      </c>
      <c r="J20" s="0" t="n">
        <f aca="false">1/(1+$B$27/100)^J4</f>
        <v>0.433926496298021</v>
      </c>
      <c r="K20" s="0" t="n">
        <f aca="false">1/(1+$B$27/100)^K4</f>
        <v>0.390924771439658</v>
      </c>
      <c r="L20" s="0" t="n">
        <f aca="false">1/(1+$B$27/100)^L4</f>
        <v>0.352184478774467</v>
      </c>
    </row>
    <row r="21" customFormat="false" ht="15" hidden="false" customHeight="false" outlineLevel="0" collapsed="false">
      <c r="A21" s="0" t="s">
        <v>128</v>
      </c>
      <c r="C21" s="0" t="n">
        <f aca="false">C19*C20</f>
        <v>2109.14574324324</v>
      </c>
      <c r="D21" s="0" t="n">
        <f aca="false">D19*D20</f>
        <v>2162.02718042367</v>
      </c>
      <c r="E21" s="0" t="n">
        <f aca="false">E19*E20</f>
        <v>2180.95048392988</v>
      </c>
      <c r="F21" s="0" t="n">
        <f aca="false">F19*F20</f>
        <v>2160.85294617832</v>
      </c>
      <c r="G21" s="0" t="n">
        <f aca="false">G19*G20</f>
        <v>1460.61538372406</v>
      </c>
      <c r="H21" s="0" t="n">
        <f aca="false">H19*H20</f>
        <v>1344.52643330595</v>
      </c>
      <c r="I21" s="0" t="n">
        <f aca="false">I19*I20</f>
        <v>1345.627601556</v>
      </c>
      <c r="J21" s="0" t="n">
        <f aca="false">J19*J20</f>
        <v>1266.13317433738</v>
      </c>
      <c r="K21" s="0" t="n">
        <f aca="false">K19*K20</f>
        <v>1255.62073100945</v>
      </c>
      <c r="L21" s="0" t="n">
        <f aca="false">L19*L20</f>
        <v>1170.78149242773</v>
      </c>
    </row>
    <row r="23" customFormat="false" ht="15" hidden="false" customHeight="false" outlineLevel="0" collapsed="false">
      <c r="A23" s="0" t="s">
        <v>104</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129</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130</v>
      </c>
    </row>
    <row r="27" customFormat="false" ht="15" hidden="false" customHeight="false" outlineLevel="0" collapsed="false">
      <c r="A27" s="0" t="s">
        <v>108</v>
      </c>
      <c r="B27" s="4" t="n">
        <f aca="false">Assumptions!$B$48</f>
        <v>11</v>
      </c>
    </row>
    <row r="28" customFormat="false" ht="15" hidden="false" customHeight="false" outlineLevel="0" collapsed="false">
      <c r="A28" s="0" t="s">
        <v>109</v>
      </c>
      <c r="B28" s="4" t="n">
        <f aca="false">Assumptions!$B$49</f>
        <v>3.5</v>
      </c>
    </row>
    <row r="29" customFormat="false" ht="15" hidden="false" customHeight="false" outlineLevel="0" collapsed="false">
      <c r="A29" s="0" t="s">
        <v>110</v>
      </c>
      <c r="B29" s="4" t="n">
        <f aca="false">Assumptions!$B$50</f>
        <v>18</v>
      </c>
    </row>
    <row r="30" customFormat="false" ht="15" hidden="false" customHeight="false" outlineLevel="0" collapsed="false">
      <c r="A30" s="0" t="s">
        <v>131</v>
      </c>
      <c r="B30" s="0" t="n">
        <f aca="false">SUM(C21:L21)</f>
        <v>16456.2811701357</v>
      </c>
    </row>
    <row r="31" customFormat="false" ht="15" hidden="false" customHeight="false" outlineLevel="0" collapsed="false">
      <c r="A31" s="0" t="s">
        <v>132</v>
      </c>
      <c r="B31" s="0" t="n">
        <f aca="false">L19</f>
        <v>3324.3415397005</v>
      </c>
    </row>
    <row r="32" customFormat="false" ht="15" hidden="false" customHeight="false" outlineLevel="0" collapsed="false">
      <c r="A32" s="0" t="s">
        <v>133</v>
      </c>
      <c r="B32" s="0" t="n">
        <f aca="false">IF(B27&gt;B28,B31*(1+B28/100)/((B27-B28)/100),B31*B29)</f>
        <v>45875.9132478669</v>
      </c>
    </row>
    <row r="33" customFormat="false" ht="15" hidden="false" customHeight="false" outlineLevel="0" collapsed="false">
      <c r="A33" s="0" t="s">
        <v>134</v>
      </c>
      <c r="B33" s="0" t="n">
        <f aca="false">B31*B29</f>
        <v>59838.147714609</v>
      </c>
    </row>
    <row r="34" customFormat="false" ht="15" hidden="false" customHeight="false" outlineLevel="0" collapsed="false">
      <c r="A34" s="0" t="s">
        <v>135</v>
      </c>
      <c r="B34" s="0" t="n">
        <f aca="false">MAX(0,MIN(B32,B33))</f>
        <v>45875.9132478669</v>
      </c>
    </row>
    <row r="35" customFormat="false" ht="15" hidden="false" customHeight="false" outlineLevel="0" collapsed="false">
      <c r="A35" s="0" t="s">
        <v>136</v>
      </c>
      <c r="B35" s="0" t="n">
        <f aca="false">B34/(1+B27/100)^L4</f>
        <v>16156.7845955027</v>
      </c>
    </row>
    <row r="36" customFormat="false" ht="15" hidden="false" customHeight="false" outlineLevel="0" collapsed="false">
      <c r="A36" s="0" t="s">
        <v>137</v>
      </c>
      <c r="B36" s="0" t="n">
        <f aca="false">B30+B35</f>
        <v>32613.0657656383</v>
      </c>
    </row>
    <row r="37" customFormat="false" ht="15" hidden="false" customHeight="false" outlineLevel="0" collapsed="false">
      <c r="A37" s="0" t="s">
        <v>138</v>
      </c>
      <c r="B37" s="0" t="n">
        <f aca="false">B36+Assumptions!$B$5-Assumptions!$B$4</f>
        <v>36194.0657656383</v>
      </c>
    </row>
    <row r="38" customFormat="false" ht="15" hidden="false" customHeight="false" outlineLevel="0" collapsed="false">
      <c r="A38" s="0" t="s">
        <v>139</v>
      </c>
      <c r="B38" s="0" t="n">
        <f aca="false">B37/Assumptions!$B$3*Assumptions!$B$10</f>
        <v>25.7471202357445</v>
      </c>
    </row>
    <row r="39" customFormat="false" ht="15" hidden="false" customHeight="false" outlineLevel="0" collapsed="false">
      <c r="A39" s="0" t="s">
        <v>140</v>
      </c>
      <c r="B39" s="4" t="n">
        <f aca="false">B38/Assumptions!$B$2-1</f>
        <v>0.86573335041627</v>
      </c>
    </row>
    <row r="41" customFormat="false" ht="15" hidden="false" customHeight="false" outlineLevel="0" collapsed="false">
      <c r="A41" s="0" t="s">
        <v>141</v>
      </c>
      <c r="B41" s="0" t="n">
        <f aca="false">SUMPRODUCT(-C10:L10/(1+$B$27/100)^C4:L4)</f>
        <v>0</v>
      </c>
    </row>
    <row r="42" customFormat="false" ht="15" hidden="false" customHeight="false" outlineLevel="0" collapsed="false">
      <c r="A42" s="0" t="s">
        <v>142</v>
      </c>
      <c r="B42" s="0" t="n">
        <f aca="false">IF(B27&gt;B28,-L10*(1+B28/100)/((B27-B28)/100),-L10*20)/(1+B27/100)^L4</f>
        <v>0</v>
      </c>
    </row>
    <row r="43" customFormat="false" ht="15" hidden="false" customHeight="false" outlineLevel="0" collapsed="false">
      <c r="A43" s="0" t="s">
        <v>143</v>
      </c>
      <c r="B43" s="0" t="n">
        <f aca="false">(B37+B41+B42)/Assumptions!$B$3*Assumptions!$B$10</f>
        <v>25.7471202357445</v>
      </c>
    </row>
    <row r="45" customFormat="false" ht="15" hidden="false" customHeight="false" outlineLevel="0" collapsed="false">
      <c r="A45" s="0" t="s">
        <v>83</v>
      </c>
      <c r="B45" s="4" t="n">
        <f aca="false">Assumptions!$B$6</f>
        <v>15</v>
      </c>
    </row>
    <row r="46" customFormat="false" ht="15" hidden="false" customHeight="false" outlineLevel="0" collapsed="false">
      <c r="A46" s="0" t="s">
        <v>144</v>
      </c>
      <c r="B46" s="0" t="n">
        <f aca="false">MAX(0,MIN(IF(B45&gt;B28,B31*(1+B28/100)/((B45-B28)/100),B31*B29),B31*B29))</f>
        <v>29919.0738573045</v>
      </c>
    </row>
    <row r="47" customFormat="false" ht="15" hidden="false" customHeight="false" outlineLevel="0" collapsed="false">
      <c r="A47" s="0" t="s">
        <v>145</v>
      </c>
      <c r="B47" s="0" t="n">
        <f aca="false">(SUMPRODUCT(C19:L19/(1+B45/100)^C4:L4)+B46/(1+B45/100)^L4+Assumptions!$B$5-Assumptions!$B$4)/Assumptions!$B$3*Assumptions!$B$10</f>
        <v>17.7222316900391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148</v>
      </c>
    </row>
    <row r="3" customFormat="false" ht="15" hidden="false" customHeight="false" outlineLevel="0" collapsed="false">
      <c r="A3" s="2" t="s">
        <v>149</v>
      </c>
      <c r="B3" s="2" t="s">
        <v>150</v>
      </c>
      <c r="C3" s="2" t="s">
        <v>140</v>
      </c>
      <c r="D3" s="2" t="s">
        <v>151</v>
      </c>
      <c r="E3" s="2" t="s">
        <v>143</v>
      </c>
      <c r="F3" s="2" t="s">
        <v>152</v>
      </c>
    </row>
    <row r="4" customFormat="false" ht="15" hidden="false" customHeight="false" outlineLevel="0" collapsed="false">
      <c r="A4" s="0" t="s">
        <v>153</v>
      </c>
      <c r="B4" s="4" t="n">
        <f aca="false">DCF_Bear!$B$38</f>
        <v>12.3225934158605</v>
      </c>
      <c r="C4" s="0" t="n">
        <f aca="false">B4/Assumptions!$B$2-1</f>
        <v>-0.107058448126049</v>
      </c>
      <c r="D4" s="4" t="n">
        <f aca="false">Assumptions!$B$24</f>
        <v>0.3</v>
      </c>
      <c r="E4" s="4" t="n">
        <f aca="false">DCF_Bear!$B$43</f>
        <v>12.3225934158605</v>
      </c>
      <c r="F4" s="4" t="n">
        <f aca="false">DCF_Bear!$B$47</f>
        <v>8.87711905715978</v>
      </c>
    </row>
    <row r="5" customFormat="false" ht="15" hidden="false" customHeight="false" outlineLevel="0" collapsed="false">
      <c r="A5" s="0" t="s">
        <v>154</v>
      </c>
      <c r="B5" s="4" t="n">
        <f aca="false">DCF_Base!$B$38</f>
        <v>18.5865182351937</v>
      </c>
      <c r="C5" s="0" t="n">
        <f aca="false">B5/Assumptions!$B$2-1</f>
        <v>0.346849147477804</v>
      </c>
      <c r="D5" s="4" t="n">
        <f aca="false">Assumptions!$B$38</f>
        <v>0.5</v>
      </c>
      <c r="E5" s="4" t="n">
        <f aca="false">DCF_Base!$B$43</f>
        <v>18.5865182351937</v>
      </c>
      <c r="F5" s="4" t="n">
        <f aca="false">DCF_Base!$B$47</f>
        <v>12.9258535787724</v>
      </c>
    </row>
    <row r="6" customFormat="false" ht="15" hidden="false" customHeight="false" outlineLevel="0" collapsed="false">
      <c r="A6" s="0" t="s">
        <v>155</v>
      </c>
      <c r="B6" s="4" t="n">
        <f aca="false">DCF_Bull!$B$38</f>
        <v>25.7471202357445</v>
      </c>
      <c r="C6" s="0" t="n">
        <f aca="false">B6/Assumptions!$B$2-1</f>
        <v>0.86573335041627</v>
      </c>
      <c r="D6" s="4" t="n">
        <f aca="false">Assumptions!$B$52</f>
        <v>0.2</v>
      </c>
      <c r="E6" s="4" t="n">
        <f aca="false">DCF_Bull!$B$43</f>
        <v>25.7471202357445</v>
      </c>
      <c r="F6" s="4" t="n">
        <f aca="false">DCF_Bull!$B$47</f>
        <v>17.7222316900391</v>
      </c>
    </row>
    <row r="8" customFormat="false" ht="15" hidden="false" customHeight="false" outlineLevel="0" collapsed="false">
      <c r="A8" s="0" t="s">
        <v>156</v>
      </c>
      <c r="B8" s="0" t="n">
        <f aca="false">SUMPRODUCT(B4:B6,D4:D6)</f>
        <v>18.1394611895039</v>
      </c>
    </row>
    <row r="9" customFormat="false" ht="15" hidden="false" customHeight="false" outlineLevel="0" collapsed="false">
      <c r="A9" s="0" t="s">
        <v>157</v>
      </c>
      <c r="B9" s="0" t="n">
        <f aca="false">SUMPRODUCT(E4:E6,D4:D6)</f>
        <v>18.1394611895039</v>
      </c>
    </row>
    <row r="10" customFormat="false" ht="15" hidden="false" customHeight="false" outlineLevel="0" collapsed="false">
      <c r="A10" s="0" t="s">
        <v>158</v>
      </c>
      <c r="B10" s="0" t="n">
        <f aca="false">1-Assumptions!$B$2/B8</f>
        <v>0.239227678494379</v>
      </c>
    </row>
    <row r="11" customFormat="false" ht="15" hidden="false" customHeight="false" outlineLevel="0" collapsed="false">
      <c r="A11" s="0" t="s">
        <v>159</v>
      </c>
      <c r="B11" s="0" t="str">
        <f aca="false">IF(ABS(B9-B8)&gt;0.01*ABS(B8),(Assumptions!$B$2-B8)/(B9-B8)*100,"n/a")</f>
        <v>n/a</v>
      </c>
    </row>
    <row r="12" customFormat="false" ht="15" hidden="false" customHeight="false" outlineLevel="0" collapsed="false">
      <c r="A12" s="0" t="s">
        <v>160</v>
      </c>
      <c r="B12" s="0" t="n">
        <f aca="false">SUMPRODUCT(F4:F6,D4:D6)</f>
        <v>12.6705088445419</v>
      </c>
    </row>
    <row r="14" customFormat="false" ht="15" hidden="false" customHeight="false" outlineLevel="0" collapsed="false">
      <c r="A14" s="2" t="s">
        <v>161</v>
      </c>
      <c r="C14" s="0" t="s">
        <v>162</v>
      </c>
    </row>
    <row r="15" customFormat="false" ht="15" hidden="false" customHeight="false" outlineLevel="0" collapsed="false">
      <c r="A15" s="0" t="s">
        <v>163</v>
      </c>
      <c r="B15" s="0" t="n">
        <f aca="false">(SUMPRODUCT(DCF_Base!$C$19:$L$19/(1+$C$15/100)^DCF_Base!$C$4:$L$4)+MAX(0,MIN(IF($C$15&gt;DCF_Base!$B$28,DCF_Base!$L$19*(1+DCF_Base!$B$28/100)/(($C$15-DCF_Base!$B$28)/100),DCF_Base!$L$19*DCF_Base!$B$29),DCF_Base!$L$19*DCF_Base!$B$29))/(1+$C$15/100)^DCF_Base!$L$4+Assumptions!$B$5-Assumptions!$B$4)/Assumptions!$B$3*Assumptions!$B$10</f>
        <v>24.3045888203238</v>
      </c>
      <c r="C15" s="3" t="n">
        <v>9</v>
      </c>
    </row>
    <row r="16" customFormat="false" ht="15" hidden="false" customHeight="false" outlineLevel="0" collapsed="false">
      <c r="A16" s="0" t="s">
        <v>164</v>
      </c>
      <c r="B16" s="0" t="n">
        <f aca="false">(SUMPRODUCT(DCF_Base!$C$19:$L$19/(1+$C$16/100)^DCF_Base!$C$4:$L$4)+MAX(0,MIN(IF($C$16&gt;DCF_Base!$B$28,DCF_Base!$L$19*(1+DCF_Base!$B$28/100)/(($C$16-DCF_Base!$B$28)/100),DCF_Base!$L$19*DCF_Base!$B$29),DCF_Base!$L$19*DCF_Base!$B$29))/(1+$C$16/100)^DCF_Base!$L$4+Assumptions!$B$5-Assumptions!$B$4)/Assumptions!$B$3*Assumptions!$B$10</f>
        <v>21.0325255170939</v>
      </c>
      <c r="C16" s="3" t="n">
        <v>10</v>
      </c>
    </row>
    <row r="17" customFormat="false" ht="15" hidden="false" customHeight="false" outlineLevel="0" collapsed="false">
      <c r="A17" s="0" t="s">
        <v>165</v>
      </c>
      <c r="B17" s="0" t="n">
        <f aca="false">(SUMPRODUCT(DCF_Base!$C$19:$L$19/(1+$C$17/100)^DCF_Base!$C$4:$L$4)+MAX(0,MIN(IF($C$17&gt;DCF_Base!$B$28,DCF_Base!$L$19*(1+DCF_Base!$B$28/100)/(($C$17-DCF_Base!$B$28)/100),DCF_Base!$L$19*DCF_Base!$B$29),DCF_Base!$L$19*DCF_Base!$B$29))/(1+$C$17/100)^DCF_Base!$L$4+Assumptions!$B$5-Assumptions!$B$4)/Assumptions!$B$3*Assumptions!$B$10</f>
        <v>18.5865182351937</v>
      </c>
      <c r="C17" s="3" t="n">
        <v>11</v>
      </c>
    </row>
    <row r="18" customFormat="false" ht="15" hidden="false" customHeight="false" outlineLevel="0" collapsed="false">
      <c r="A18" s="0" t="s">
        <v>166</v>
      </c>
      <c r="B18" s="0" t="n">
        <f aca="false">(SUMPRODUCT(DCF_Base!$C$19:$L$19/(1+$C$18/100)^DCF_Base!$C$4:$L$4)+MAX(0,MIN(IF($C$18&gt;DCF_Base!$B$28,DCF_Base!$L$19*(1+DCF_Base!$B$28/100)/(($C$18-DCF_Base!$B$28)/100),DCF_Base!$L$19*DCF_Base!$B$29),DCF_Base!$L$19*DCF_Base!$B$29))/(1+$C$18/100)^DCF_Base!$L$4+Assumptions!$B$5-Assumptions!$B$4)/Assumptions!$B$3*Assumptions!$B$10</f>
        <v>16.6907260775315</v>
      </c>
      <c r="C18" s="3" t="n">
        <v>12</v>
      </c>
    </row>
    <row r="19" customFormat="false" ht="15" hidden="false" customHeight="false" outlineLevel="0" collapsed="false">
      <c r="A19" s="0" t="s">
        <v>167</v>
      </c>
      <c r="B19" s="0" t="n">
        <f aca="false">(SUMPRODUCT(DCF_Base!$C$19:$L$19/(1+$C$19/100)^DCF_Base!$C$4:$L$4)+MAX(0,MIN(IF($C$19&gt;DCF_Base!$B$28,DCF_Base!$L$19*(1+DCF_Base!$B$28/100)/(($C$19-DCF_Base!$B$28)/100),DCF_Base!$L$19*DCF_Base!$B$29),DCF_Base!$L$19*DCF_Base!$B$29))/(1+$C$19/100)^DCF_Base!$L$4+Assumptions!$B$5-Assumptions!$B$4)/Assumptions!$B$3*Assumptions!$B$10</f>
        <v>12.9258535787724</v>
      </c>
      <c r="C19" s="3" t="n">
        <v>15</v>
      </c>
    </row>
    <row r="21" customFormat="false" ht="15" hidden="false" customHeight="false" outlineLevel="0" collapsed="false">
      <c r="A21" s="2" t="s">
        <v>168</v>
      </c>
    </row>
    <row r="22" customFormat="false" ht="15" hidden="false" customHeight="false" outlineLevel="0" collapsed="false">
      <c r="B22" s="3" t="n">
        <v>2</v>
      </c>
      <c r="C22" s="3" t="n">
        <v>2.5</v>
      </c>
      <c r="D22" s="3" t="n">
        <v>3</v>
      </c>
      <c r="E22" s="3" t="n">
        <v>3.5</v>
      </c>
      <c r="F22" s="3" t="n">
        <v>4</v>
      </c>
    </row>
    <row r="23" customFormat="false" ht="15" hidden="false" customHeight="false" outlineLevel="0" collapsed="false">
      <c r="A23" s="3" t="n">
        <v>9</v>
      </c>
      <c r="B23" s="0" t="n">
        <f aca="false">(SUMPRODUCT(DCF_Base!$C$19:$L$19/(1+$A$23/100)^DCF_Base!$C$4:$L$4)+MAX(0,MIN(IF($A$23&gt;$B$22,DCF_Base!$L$19*(1+$B$22/100)/(($A$23-$B$22)/100),DCF_Base!$L$19*DCF_Base!$B$29),DCF_Base!$L$19*DCF_Base!$B$29))/(1+$A$23/100)^DCF_Base!$L$4+Assumptions!$B$5-Assumptions!$B$4)/Assumptions!$B$3*Assumptions!$B$10</f>
        <v>22.3152817801309</v>
      </c>
      <c r="C23" s="0" t="n">
        <f aca="false">(SUMPRODUCT(DCF_Base!$C$19:$L$19/(1+$A$23/100)^DCF_Base!$C$4:$L$4)+MAX(0,MIN(IF($A$23&gt;$C$22,DCF_Base!$L$19*(1+$C$22/100)/(($A$23-$C$22)/100),DCF_Base!$L$19*DCF_Base!$B$29),DCF_Base!$L$19*DCF_Base!$B$29))/(1+$A$23/100)^DCF_Base!$L$4+Assumptions!$B$5-Assumptions!$B$4)/Assumptions!$B$3*Assumptions!$B$10</f>
        <v>23.2334234909891</v>
      </c>
      <c r="D23" s="0" t="n">
        <f aca="false">(SUMPRODUCT(DCF_Base!$C$19:$L$19/(1+$A$23/100)^DCF_Base!$C$4:$L$4)+MAX(0,MIN(IF($A$23&gt;$D$22,DCF_Base!$L$19*(1+$D$22/100)/(($A$23-$D$22)/100),DCF_Base!$L$19*DCF_Base!$B$29),DCF_Base!$L$19*DCF_Base!$B$29))/(1+$A$23/100)^DCF_Base!$L$4+Assumptions!$B$5-Assumptions!$B$4)/Assumptions!$B$3*Assumptions!$B$10</f>
        <v>24.3045888203238</v>
      </c>
      <c r="E23" s="0" t="n">
        <f aca="false">(SUMPRODUCT(DCF_Base!$C$19:$L$19/(1+$A$23/100)^DCF_Base!$C$4:$L$4)+MAX(0,MIN(IF($A$23&gt;$E$22,DCF_Base!$L$19*(1+$E$22/100)/(($A$23-$E$22)/100),DCF_Base!$L$19*DCF_Base!$B$29),DCF_Base!$L$19*DCF_Base!$B$29))/(1+$A$23/100)^DCF_Base!$L$4+Assumptions!$B$5-Assumptions!$B$4)/Assumptions!$B$3*Assumptions!$B$10</f>
        <v>24.9433571359821</v>
      </c>
      <c r="F23" s="0" t="n">
        <f aca="false">(SUMPRODUCT(DCF_Base!$C$19:$L$19/(1+$A$23/100)^DCF_Base!$C$4:$L$4)+MAX(0,MIN(IF($A$23&gt;$F$22,DCF_Base!$L$19*(1+$F$22/100)/(($A$23-$F$22)/100),DCF_Base!$L$19*DCF_Base!$B$29),DCF_Base!$L$19*DCF_Base!$B$29))/(1+$A$23/100)^DCF_Base!$L$4+Assumptions!$B$5-Assumptions!$B$4)/Assumptions!$B$3*Assumptions!$B$10</f>
        <v>24.9433571359821</v>
      </c>
    </row>
    <row r="24" customFormat="false" ht="15" hidden="false" customHeight="false" outlineLevel="0" collapsed="false">
      <c r="A24" s="3" t="n">
        <v>10</v>
      </c>
      <c r="B24" s="0" t="n">
        <f aca="false">(SUMPRODUCT(DCF_Base!$C$19:$L$19/(1+$A$24/100)^DCF_Base!$C$4:$L$4)+MAX(0,MIN(IF($A$24&gt;$B$22,DCF_Base!$L$19*(1+$B$22/100)/(($A$24-$B$22)/100),DCF_Base!$L$19*DCF_Base!$B$29),DCF_Base!$L$19*DCF_Base!$B$29))/(1+$A$24/100)^DCF_Base!$L$4+Assumptions!$B$5-Assumptions!$B$4)/Assumptions!$B$3*Assumptions!$B$10</f>
        <v>19.6582702883308</v>
      </c>
      <c r="C24" s="0" t="n">
        <f aca="false">(SUMPRODUCT(DCF_Base!$C$19:$L$19/(1+$A$24/100)^DCF_Base!$C$4:$L$4)+MAX(0,MIN(IF($A$24&gt;$C$22,DCF_Base!$L$19*(1+$C$22/100)/(($A$24-$C$22)/100),DCF_Base!$L$19*DCF_Base!$B$29),DCF_Base!$L$19*DCF_Base!$B$29))/(1+$A$24/100)^DCF_Base!$L$4+Assumptions!$B$5-Assumptions!$B$4)/Assumptions!$B$3*Assumptions!$B$10</f>
        <v>20.2995893950869</v>
      </c>
      <c r="D24" s="0" t="n">
        <f aca="false">(SUMPRODUCT(DCF_Base!$C$19:$L$19/(1+$A$24/100)^DCF_Base!$C$4:$L$4)+MAX(0,MIN(IF($A$24&gt;$D$22,DCF_Base!$L$19*(1+$D$22/100)/(($A$24-$D$22)/100),DCF_Base!$L$19*DCF_Base!$B$29),DCF_Base!$L$19*DCF_Base!$B$29))/(1+$A$24/100)^DCF_Base!$L$4+Assumptions!$B$5-Assumptions!$B$4)/Assumptions!$B$3*Assumptions!$B$10</f>
        <v>21.0325255170939</v>
      </c>
      <c r="E24" s="0" t="n">
        <f aca="false">(SUMPRODUCT(DCF_Base!$C$19:$L$19/(1+$A$24/100)^DCF_Base!$C$4:$L$4)+MAX(0,MIN(IF($A$24&gt;$E$22,DCF_Base!$L$19*(1+$E$22/100)/(($A$24-$E$22)/100),DCF_Base!$L$19*DCF_Base!$B$29),DCF_Base!$L$19*DCF_Base!$B$29))/(1+$A$24/100)^DCF_Base!$L$4+Assumptions!$B$5-Assumptions!$B$4)/Assumptions!$B$3*Assumptions!$B$10</f>
        <v>21.8782210424866</v>
      </c>
      <c r="F24" s="0" t="n">
        <f aca="false">(SUMPRODUCT(DCF_Base!$C$19:$L$19/(1+$A$24/100)^DCF_Base!$C$4:$L$4)+MAX(0,MIN(IF($A$24&gt;$F$22,DCF_Base!$L$19*(1+$F$22/100)/(($A$24-$F$22)/100),DCF_Base!$L$19*DCF_Base!$B$29),DCF_Base!$L$19*DCF_Base!$B$29))/(1+$A$24/100)^DCF_Base!$L$4+Assumptions!$B$5-Assumptions!$B$4)/Assumptions!$B$3*Assumptions!$B$10</f>
        <v>22.8648658221114</v>
      </c>
    </row>
    <row r="25" customFormat="false" ht="15" hidden="false" customHeight="false" outlineLevel="0" collapsed="false">
      <c r="A25" s="3" t="n">
        <v>11</v>
      </c>
      <c r="B25" s="0" t="n">
        <f aca="false">(SUMPRODUCT(DCF_Base!$C$19:$L$19/(1+$A$25/100)^DCF_Base!$C$4:$L$4)+MAX(0,MIN(IF($A$25&gt;$B$22,DCF_Base!$L$19*(1+$B$22/100)/(($A$25-$B$22)/100),DCF_Base!$L$19*DCF_Base!$B$29),DCF_Base!$L$19*DCF_Base!$B$29))/(1+$A$25/100)^DCF_Base!$L$4+Assumptions!$B$5-Assumptions!$B$4)/Assumptions!$B$3*Assumptions!$B$10</f>
        <v>17.6012595181455</v>
      </c>
      <c r="C25" s="0" t="n">
        <f aca="false">(SUMPRODUCT(DCF_Base!$C$19:$L$19/(1+$A$25/100)^DCF_Base!$C$4:$L$4)+MAX(0,MIN(IF($A$25&gt;$C$22,DCF_Base!$L$19*(1+$C$22/100)/(($A$25-$C$22)/100),DCF_Base!$L$19*DCF_Base!$B$29),DCF_Base!$L$19*DCF_Base!$B$29))/(1+$A$25/100)^DCF_Base!$L$4+Assumptions!$B$5-Assumptions!$B$4)/Assumptions!$B$3*Assumptions!$B$10</f>
        <v>18.0649106791094</v>
      </c>
      <c r="D25" s="0" t="n">
        <f aca="false">(SUMPRODUCT(DCF_Base!$C$19:$L$19/(1+$A$25/100)^DCF_Base!$C$4:$L$4)+MAX(0,MIN(IF($A$25&gt;$D$22,DCF_Base!$L$19*(1+$D$22/100)/(($A$25-$D$22)/100),DCF_Base!$L$19*DCF_Base!$B$29),DCF_Base!$L$19*DCF_Base!$B$29))/(1+$A$25/100)^DCF_Base!$L$4+Assumptions!$B$5-Assumptions!$B$4)/Assumptions!$B$3*Assumptions!$B$10</f>
        <v>18.5865182351937</v>
      </c>
      <c r="E25" s="0" t="n">
        <f aca="false">(SUMPRODUCT(DCF_Base!$C$19:$L$19/(1+$A$25/100)^DCF_Base!$C$4:$L$4)+MAX(0,MIN(IF($A$25&gt;$E$22,DCF_Base!$L$19*(1+$E$22/100)/(($A$25-$E$22)/100),DCF_Base!$L$19*DCF_Base!$B$29),DCF_Base!$L$19*DCF_Base!$B$29))/(1+$A$25/100)^DCF_Base!$L$4+Assumptions!$B$5-Assumptions!$B$4)/Assumptions!$B$3*Assumptions!$B$10</f>
        <v>19.1776734654226</v>
      </c>
      <c r="F25" s="0" t="n">
        <f aca="false">(SUMPRODUCT(DCF_Base!$C$19:$L$19/(1+$A$25/100)^DCF_Base!$C$4:$L$4)+MAX(0,MIN(IF($A$25&gt;$F$22,DCF_Base!$L$19*(1+$F$22/100)/(($A$25-$F$22)/100),DCF_Base!$L$19*DCF_Base!$B$29),DCF_Base!$L$19*DCF_Base!$B$29))/(1+$A$25/100)^DCF_Base!$L$4+Assumptions!$B$5-Assumptions!$B$4)/Assumptions!$B$3*Assumptions!$B$10</f>
        <v>19.8532794428271</v>
      </c>
    </row>
    <row r="26" customFormat="false" ht="15" hidden="false" customHeight="false" outlineLevel="0" collapsed="false">
      <c r="A26" s="3" t="n">
        <v>12</v>
      </c>
      <c r="B26" s="0" t="n">
        <f aca="false">(SUMPRODUCT(DCF_Base!$C$19:$L$19/(1+$A$26/100)^DCF_Base!$C$4:$L$4)+MAX(0,MIN(IF($A$26&gt;$B$22,DCF_Base!$L$19*(1+$B$22/100)/(($A$26-$B$22)/100),DCF_Base!$L$19*DCF_Base!$B$29),DCF_Base!$L$19*DCF_Base!$B$29))/(1+$A$26/100)^DCF_Base!$L$4+Assumptions!$B$5-Assumptions!$B$4)/Assumptions!$B$3*Assumptions!$B$10</f>
        <v>15.9636415916655</v>
      </c>
      <c r="C26" s="0" t="n">
        <f aca="false">(SUMPRODUCT(DCF_Base!$C$19:$L$19/(1+$A$26/100)^DCF_Base!$C$4:$L$4)+MAX(0,MIN(IF($A$26&gt;$C$22,DCF_Base!$L$19*(1+$C$22/100)/(($A$26-$C$22)/100),DCF_Base!$L$19*DCF_Base!$B$29),DCF_Base!$L$19*DCF_Base!$B$29))/(1+$A$26/100)^DCF_Base!$L$4+Assumptions!$B$5-Assumptions!$B$4)/Assumptions!$B$3*Assumptions!$B$10</f>
        <v>16.3080500323389</v>
      </c>
      <c r="D26" s="0" t="n">
        <f aca="false">(SUMPRODUCT(DCF_Base!$C$19:$L$19/(1+$A$26/100)^DCF_Base!$C$4:$L$4)+MAX(0,MIN(IF($A$26&gt;$D$22,DCF_Base!$L$19*(1+$D$22/100)/(($A$26-$D$22)/100),DCF_Base!$L$19*DCF_Base!$B$29),DCF_Base!$L$19*DCF_Base!$B$29))/(1+$A$26/100)^DCF_Base!$L$4+Assumptions!$B$5-Assumptions!$B$4)/Assumptions!$B$3*Assumptions!$B$10</f>
        <v>16.6907260775315</v>
      </c>
      <c r="E26" s="0" t="n">
        <f aca="false">(SUMPRODUCT(DCF_Base!$C$19:$L$19/(1+$A$26/100)^DCF_Base!$C$4:$L$4)+MAX(0,MIN(IF($A$26&gt;$E$22,DCF_Base!$L$19*(1+$E$22/100)/(($A$26-$E$22)/100),DCF_Base!$L$19*DCF_Base!$B$29),DCF_Base!$L$19*DCF_Base!$B$29))/(1+$A$26/100)^DCF_Base!$L$4+Assumptions!$B$5-Assumptions!$B$4)/Assumptions!$B$3*Assumptions!$B$10</f>
        <v>17.1184228339232</v>
      </c>
      <c r="F26" s="0" t="n">
        <f aca="false">(SUMPRODUCT(DCF_Base!$C$19:$L$19/(1+$A$26/100)^DCF_Base!$C$4:$L$4)+MAX(0,MIN(IF($A$26&gt;$F$22,DCF_Base!$L$19*(1+$F$22/100)/(($A$26-$F$22)/100),DCF_Base!$L$19*DCF_Base!$B$29),DCF_Base!$L$19*DCF_Base!$B$29))/(1+$A$26/100)^DCF_Base!$L$4+Assumptions!$B$5-Assumptions!$B$4)/Assumptions!$B$3*Assumptions!$B$10</f>
        <v>17.5995816848639</v>
      </c>
    </row>
    <row r="27" customFormat="false" ht="15" hidden="false" customHeight="false" outlineLevel="0" collapsed="false">
      <c r="A27" s="3" t="n">
        <v>13</v>
      </c>
      <c r="B27" s="0" t="n">
        <f aca="false">(SUMPRODUCT(DCF_Base!$C$19:$L$19/(1+$A$27/100)^DCF_Base!$C$4:$L$4)+MAX(0,MIN(IF($A$27&gt;$B$22,DCF_Base!$L$19*(1+$B$22/100)/(($A$27-$B$22)/100),DCF_Base!$L$19*DCF_Base!$B$29),DCF_Base!$L$19*DCF_Base!$B$29))/(1+$A$27/100)^DCF_Base!$L$4+Assumptions!$B$5-Assumptions!$B$4)/Assumptions!$B$3*Assumptions!$B$10</f>
        <v>14.6305292136272</v>
      </c>
      <c r="C27" s="0" t="n">
        <f aca="false">(SUMPRODUCT(DCF_Base!$C$19:$L$19/(1+$A$27/100)^DCF_Base!$C$4:$L$4)+MAX(0,MIN(IF($A$27&gt;$C$22,DCF_Base!$L$19*(1+$C$22/100)/(($A$27-$C$22)/100),DCF_Base!$L$19*DCF_Base!$B$29),DCF_Base!$L$19*DCF_Base!$B$29))/(1+$A$27/100)^DCF_Base!$L$4+Assumptions!$B$5-Assumptions!$B$4)/Assumptions!$B$3*Assumptions!$B$10</f>
        <v>14.8920291696886</v>
      </c>
      <c r="D27" s="0" t="n">
        <f aca="false">(SUMPRODUCT(DCF_Base!$C$19:$L$19/(1+$A$27/100)^DCF_Base!$C$4:$L$4)+MAX(0,MIN(IF($A$27&gt;$D$22,DCF_Base!$L$19*(1+$D$22/100)/(($A$27-$D$22)/100),DCF_Base!$L$19*DCF_Base!$B$29),DCF_Base!$L$19*DCF_Base!$B$29))/(1+$A$27/100)^DCF_Base!$L$4+Assumptions!$B$5-Assumptions!$B$4)/Assumptions!$B$3*Assumptions!$B$10</f>
        <v>15.1796791213562</v>
      </c>
      <c r="E27" s="0" t="n">
        <f aca="false">(SUMPRODUCT(DCF_Base!$C$19:$L$19/(1+$A$27/100)^DCF_Base!$C$4:$L$4)+MAX(0,MIN(IF($A$27&gt;$E$22,DCF_Base!$L$19*(1+$E$22/100)/(($A$27-$E$22)/100),DCF_Base!$L$19*DCF_Base!$B$29),DCF_Base!$L$19*DCF_Base!$B$29))/(1+$A$27/100)^DCF_Base!$L$4+Assumptions!$B$5-Assumptions!$B$4)/Assumptions!$B$3*Assumptions!$B$10</f>
        <v>15.4976080153045</v>
      </c>
      <c r="F27" s="0" t="n">
        <f aca="false">(SUMPRODUCT(DCF_Base!$C$19:$L$19/(1+$A$27/100)^DCF_Base!$C$4:$L$4)+MAX(0,MIN(IF($A$27&gt;$F$22,DCF_Base!$L$19*(1+$F$22/100)/(($A$27-$F$22)/100),DCF_Base!$L$19*DCF_Base!$B$29),DCF_Base!$L$19*DCF_Base!$B$29))/(1+$A$27/100)^DCF_Base!$L$4+Assumptions!$B$5-Assumptions!$B$4)/Assumptions!$B$3*Assumptions!$B$10</f>
        <v>15.8508623419138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2026-10-18T02:39:50Z</dcterms:created>
  <dc:creator>openpyxl</dc:creator>
  <dc:description/>
  <dc:language>en-NZ</dc:language>
  <cp:lastModifiedBy/>
  <dcterms:modified xsi:type="dcterms:W3CDTF">2026-10-18T02:39:50Z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