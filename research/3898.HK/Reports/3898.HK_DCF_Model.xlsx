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<sst xmlns="http://schemas.openxmlformats.org/spreadsheetml/2006/main" count="360" uniqueCount="166">
  <si>
    <t xml:space="preserve">Ticker</t>
  </si>
  <si>
    <t xml:space="preserve">3898.HK</t>
  </si>
  <si>
    <t xml:space="preserve">Company</t>
  </si>
  <si>
    <t xml:space="preserve">Zhuzhou CRRC Times Electric Co., Ltd.</t>
  </si>
  <si>
    <t xml:space="preserve">Valuation date</t>
  </si>
  <si>
    <t xml:space="preserve">2026-10-23</t>
  </si>
  <si>
    <t xml:space="preserve">Current price</t>
  </si>
  <si>
    <t xml:space="preserve">Price as of</t>
  </si>
  <si>
    <t xml:space="preserve">2026-10-22T08:08:34Z regular HKEX close (not after-hours); 52-week range 26.44-46.50, so the price sits on the 52-week low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</si>
  <si>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</si>
  <si>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</si>
  <si>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</si>
  <si>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</si>
  <si>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</si>
  <si>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</si>
  <si>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</si>
  <si>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</si>
  <si>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</si>
  <si>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</si>
  <si>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</si>
  <si>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</si>
  <si>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</si>
  <si>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2026-10-22T14:41:37Z</t>
  </si>
  <si>
    <t xml:space="preserve">Drivers file</t>
  </si>
  <si>
    <t xml:space="preserve">3898.HK_Drivers.json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</si>
  <si>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</si>
  <si>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</si>
  <si>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</si>
  <si>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in CNY with the three adaptations this filer needs: interest and deposit income stripped from the flows and the ~CNY 14.5bn of cash, CDs, time deposits and structured deposits added back once in the bridge; leases charged as operating cost (not debt); NCI deducted once at book. The valuation is not about the current FCF, which is negative, but about whether the capex and working-capital drags that have consumed all of FY2023-25's CNY 11bn of profit normalise. The base case says they do over five years; the bear says only partly. The H share trades at a 52% discount to its own A share and on the 52-week low, so the finding is less 'cheap vs intrinsic value' than 'the H-share discount is the market's price for SOE governance and receivables risk, and even the bear case does not justify the current quote'.
key_risks_to_valuation: Receivables quality: AR 14.6bn + receivables financing 2.4bn + bills 2.7bn + contract assets 1.2bn (June 2026) against annual revenue of 28.7bn; a 10% impairment is ~CNY 2.1bn (CNY 1.6/share, HK$1.9) and is not in any scenario explicitly, only via the working-capital drag; Capex normalisation is the base case's single largest lever: holding capex at 14% of revenue in perpetuity rather than 7% removes roughly CNY 2bn/yr of terminal FCF, about 40% of base-case terminal value; Working-capital capture is estimated (-30% of revenue change) from three noisy years; the true structural rate could be -50% (FY2024) or improve with slower growth; Owner-EBITDA anchor of 21.3% strips interest and ~60M of investment income by estimate; the company does not publish an EBITDA ex-finance-income figure; fx_rate 1.1747 HKD/CNY is dated 2026-10-22; refresh_price.py moves the price but not the rate; Interim dividend CNY 0.46/share (CNY ~612M) may already have been paid by 2026-10-22, in which case the bridge is HK$0.54/share too generous; Export-control or sanctions escalation against a Chinese state-linked semiconductor and rail exporter is a tail risk not captured by the growth paths; The A-share price (CNY 47.42) is itself not a valuation anchor; STAR-Market A/H premiums of 100%+ are common and the H share has traded at this kind of discount for years</t>
  </si>
  <si>
    <t xml:space="preserve">Data sources</t>
  </si>
  <si>
    <t xml:space="preserve">price: Yahoo Finance chart API for 3898.HK at inputs.price_as_of (regular HKEX close); 52-week range 26.44-46.50. FX from Yahoo HKDCNY=X same date; A-share parity from Yahoo 688187.SS same date.
financials: research/3898.HK/Reports/3898.HK_Metrics.csv (metrics_normalized, CNY millions, FY2016-H1 2026); 3898.HK_Annual_FY2025.txt (D&amp;A lines 20825-20828, cash-flow statement from line 12116, EBITDA line 710, tax note 58 lines 20552-20595, CIP note 15 lines 17716-17812, other non-current assets note 21 line 18603, current-portion note 30, segment revenue table lines 2770-2790); 3898.HK_HalfYear_H1-2026.txt (balance sheet lines 5408-5513, note 21 deposits, note 30 line 11930, share-capital table lines 5027-5048, repurchases line 3195).
qualitative: research/3898.HK/Reports/3898.HK_Analysis.json (2026-10-23): segment mix, market shares, CRRC Group connected-transaction caps 2026-28, bull/bear axes.</t>
  </si>
  <si>
    <t xml:space="preserve">Scenario narrative: bear</t>
  </si>
  <si>
    <t xml:space="preserve">Policy-directed rail capex rolls over, semis/new-energy pricing compresses margins to 18%, the fabs need perpetual reinvestment, and receivables from China State Railway Group and CRRC Group keep absorbing cash so owner FCF stays a fraction of profit. The business remains solvent and profitable on a ~CNY 14bn liquid pile, which is why the bear case still sits near today's price rather than far below it.</t>
  </si>
  <si>
    <t xml:space="preserve">Scenario narrative: base</t>
  </si>
  <si>
    <t xml:space="preserve">Rail transit (55% of revenue) grows mid-single digits on urban rail expansion and the EMU overhaul cycle while new high-speed-line construction stays well below its peak; emerging equipment (45%) grows low-double digits on power semiconductors, NEV electric drive and new-energy converters but at lower gross margin, holding the blended owner EBITDA margin at 21%. The investment thesis is a cash-conversion transition: three years of negative owner FCF end as the SiC/IGBT fab build-out completes (capex 14% -&gt; 7% of revenue) and slower growth shrinks the receivables drag. Base IV lands near the A-share price; the H-share's 50%+ discount to it is the SOE/connected-party/receivables discount.</t>
  </si>
  <si>
    <t xml:space="preserve">Scenario narrative: bull</t>
  </si>
  <si>
    <t xml:space="preserve">Import substitution in power semiconductors and NEV share gains against BYD make emerging equipment a 25%+ grower for several more years while rail aftermarket peaks; fab utilisation lifts margins to 23%, capex falls to 6.5% and the working-capital cycle improves as state customers pay faster. Export orders (CRRC Group +38% in 2025) add a leg China-only models miss.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</si>
  <si>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</si>
  <si>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</si>
  <si>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</si>
  <si>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</si>
  <si>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</si>
  <si>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</si>
  <si>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</si>
  <si>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</si>
  <si>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</si>
  <si>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</si>
  <si>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</si>
  <si>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</si>
  <si>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</si>
  <si>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</si>
  <si>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</si>
  <si>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</si>
  <si>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</si>
  <si>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</si>
  <si>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</si>
  <si>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</si>
  <si>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</si>
  <si>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</si>
  <si>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</si>
  <si>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</si>
  <si>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</si>
  <si>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</si>
  <si>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</si>
  <si>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</si>
  <si>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</si>
  <si>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</si>
  <si>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</si>
  <si>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</si>
  <si>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</si>
  <si>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</si>
  <si>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</si>
  <si>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</si>
  <si>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</si>
  <si>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</si>
  <si>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</si>
  <si>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</si>
  <si>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</si>
  <si>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</si>
  <si>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</si>
  <si>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</si>
  <si>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</si>
  <si>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</si>
  <si>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</si>
  <si>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</si>
  <si>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</si>
  <si>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</si>
  <si>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</si>
  <si>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</si>
  <si>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</si>
  <si>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</si>
  <si>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</si>
  <si>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</si>
  <si>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</si>
  <si>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</si>
  <si>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</si>
  <si>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</si>
  <si>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</si>
  <si>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</si>
  <si>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</si>
  <si>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</si>
  <si>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</si>
  <si>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</si>
  <si>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</si>
  <si>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</si>
  <si>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</si>
  <si>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</si>
  <si>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</si>
  <si>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</si>
  <si>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</si>
  <si>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</si>
  <si>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3898.HK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</si>
  <si>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</si>
  <si>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</si>
  <si>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</si>
  <si>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</si>
  <si>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</si>
  <si>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</si>
  <si>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</si>
  <si>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</si>
  <si>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</si>
  <si>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</si>
  <si>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</si>
  <si>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</si>
  <si>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</si>
  <si>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</si>
  <si>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</si>
  <si>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</si>
  <si>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</si>
  <si>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</si>
  <si>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</si>
  <si>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</si>
  <si>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</si>
  <si>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</si>
  <si>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</si>
  <si>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</si>
  <si>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</si>
  <si>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</si>
  <si>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</si>
  <si>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</si>
  <si>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</si>
  <si>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</si>
  <si>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3898.HK owner-FCF component DCF: base case (millions, CNY)</t>
  </si>
  <si>
    <t xml:space="preserve">3898.HK owner-FCF component DCF: bull case (millions, CNY)</t>
  </si>
  <si>
    <t xml:space="preserve">3898.HK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</si>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</sst>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26.66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14657.82</v>
      </c>
      <c r="C2" s="0" t="n">
        <v>9062.285</v>
      </c>
      <c r="D2" s="0" t="n">
        <v>5595.535</v>
      </c>
      <c r="E2" s="0" t="n">
        <v>38.2</v>
      </c>
      <c r="F2" s="0" t="n">
        <v>2971.62</v>
      </c>
      <c r="G2" s="0" t="n">
        <v>20.3</v>
      </c>
      <c r="I2" s="0" t="n">
        <v>2893.142</v>
      </c>
      <c r="J2" s="0" t="n">
        <v>19.7</v>
      </c>
      <c r="K2" s="0" t="n">
        <v>2.46</v>
      </c>
      <c r="L2" s="0" t="n">
        <v>1448.091</v>
      </c>
      <c r="M2" s="0" t="n">
        <v>1428.752</v>
      </c>
      <c r="N2" s="0" t="n">
        <v>19.339</v>
      </c>
      <c r="O2" s="0" t="n">
        <v>15807.234</v>
      </c>
      <c r="P2" s="0" t="n">
        <v>23735.276</v>
      </c>
      <c r="Q2" s="0" t="n">
        <v>7664.369</v>
      </c>
      <c r="R2" s="0" t="n">
        <v>260.483</v>
      </c>
      <c r="S2" s="0" t="n">
        <v>3203.179</v>
      </c>
      <c r="T2" s="0" t="n">
        <v>1175.477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15143.709</v>
      </c>
      <c r="C3" s="0" t="n">
        <v>9529.04</v>
      </c>
      <c r="D3" s="0" t="n">
        <v>5614.669</v>
      </c>
      <c r="E3" s="0" t="n">
        <v>37.1</v>
      </c>
      <c r="F3" s="0" t="n">
        <v>2816.361</v>
      </c>
      <c r="G3" s="0" t="n">
        <v>18.6</v>
      </c>
      <c r="I3" s="0" t="n">
        <v>2523.471</v>
      </c>
      <c r="J3" s="0" t="n">
        <v>16.7</v>
      </c>
      <c r="K3" s="0" t="n">
        <v>2.15</v>
      </c>
      <c r="L3" s="0" t="n">
        <v>1469.188</v>
      </c>
      <c r="M3" s="0" t="n">
        <v>433.764</v>
      </c>
      <c r="N3" s="0" t="n">
        <v>1035.424</v>
      </c>
      <c r="O3" s="0" t="n">
        <v>17764.354</v>
      </c>
      <c r="P3" s="0" t="n">
        <v>26649.648</v>
      </c>
      <c r="Q3" s="0" t="n">
        <v>8593.083</v>
      </c>
      <c r="R3" s="0" t="n">
        <v>301.854</v>
      </c>
      <c r="S3" s="0" t="n">
        <v>3807.871</v>
      </c>
      <c r="T3" s="0" t="n">
        <v>1175.477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15657.901</v>
      </c>
      <c r="C4" s="0" t="n">
        <v>9790.247</v>
      </c>
      <c r="D4" s="0" t="n">
        <v>5867.654</v>
      </c>
      <c r="E4" s="0" t="n">
        <v>37.5</v>
      </c>
      <c r="F4" s="0" t="n">
        <v>2942.893</v>
      </c>
      <c r="G4" s="0" t="n">
        <v>18.8</v>
      </c>
      <c r="I4" s="0" t="n">
        <v>2612.488</v>
      </c>
      <c r="J4" s="0" t="n">
        <v>16.7</v>
      </c>
      <c r="K4" s="0" t="n">
        <v>2.22</v>
      </c>
      <c r="L4" s="0" t="n">
        <v>3758.563</v>
      </c>
      <c r="M4" s="0" t="n">
        <v>671.42</v>
      </c>
      <c r="N4" s="0" t="n">
        <v>3087.143</v>
      </c>
      <c r="O4" s="0" t="n">
        <v>19824.764</v>
      </c>
      <c r="P4" s="0" t="n">
        <v>29034.523</v>
      </c>
      <c r="Q4" s="0" t="n">
        <v>8911.008</v>
      </c>
      <c r="R4" s="0" t="n">
        <v>400.576</v>
      </c>
      <c r="S4" s="0" t="n">
        <v>4394.379</v>
      </c>
      <c r="T4" s="0" t="n">
        <v>1175.477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16304.207</v>
      </c>
      <c r="C5" s="0" t="n">
        <v>9965.727</v>
      </c>
      <c r="D5" s="0" t="n">
        <v>6338.48</v>
      </c>
      <c r="E5" s="0" t="n">
        <v>38.9</v>
      </c>
      <c r="F5" s="0" t="n">
        <v>2901.285</v>
      </c>
      <c r="G5" s="0" t="n">
        <v>17.8</v>
      </c>
      <c r="I5" s="0" t="n">
        <v>2659.164</v>
      </c>
      <c r="J5" s="0" t="n">
        <v>16.3</v>
      </c>
      <c r="K5" s="0" t="n">
        <v>2.26</v>
      </c>
      <c r="L5" s="0" t="n">
        <v>1837.95</v>
      </c>
      <c r="M5" s="0" t="n">
        <v>750.506</v>
      </c>
      <c r="N5" s="0" t="n">
        <v>1087.444</v>
      </c>
      <c r="O5" s="0" t="n">
        <v>21910.263</v>
      </c>
      <c r="P5" s="0" t="n">
        <v>32985.615</v>
      </c>
      <c r="Q5" s="0" t="n">
        <v>10789.336</v>
      </c>
      <c r="R5" s="0" t="n">
        <v>377.132</v>
      </c>
      <c r="S5" s="0" t="n">
        <v>4302.487</v>
      </c>
      <c r="T5" s="0" t="n">
        <v>1175.477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16033.899</v>
      </c>
      <c r="C6" s="0" t="n">
        <v>10066.659</v>
      </c>
      <c r="D6" s="0" t="n">
        <v>5967.24</v>
      </c>
      <c r="E6" s="0" t="n">
        <v>37.2</v>
      </c>
      <c r="F6" s="0" t="n">
        <v>2777.57</v>
      </c>
      <c r="G6" s="0" t="n">
        <v>17.3</v>
      </c>
      <c r="I6" s="0" t="n">
        <v>2475.455</v>
      </c>
      <c r="J6" s="0" t="n">
        <v>15.4</v>
      </c>
      <c r="K6" s="0" t="n">
        <v>2.11</v>
      </c>
      <c r="L6" s="0" t="n">
        <v>1747.348</v>
      </c>
      <c r="M6" s="0" t="n">
        <v>1855.161</v>
      </c>
      <c r="N6" s="0" t="n">
        <v>-107.813</v>
      </c>
      <c r="O6" s="0" t="n">
        <v>23852.468</v>
      </c>
      <c r="P6" s="0" t="n">
        <v>33865.721</v>
      </c>
      <c r="Q6" s="0" t="n">
        <v>9606.131</v>
      </c>
      <c r="R6" s="0" t="n">
        <v>360.935</v>
      </c>
      <c r="S6" s="0" t="n">
        <v>5128.886</v>
      </c>
      <c r="T6" s="0" t="n">
        <v>1175.477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15121.167</v>
      </c>
      <c r="C7" s="0" t="n">
        <v>10019.419</v>
      </c>
      <c r="D7" s="0" t="n">
        <v>5101.748</v>
      </c>
      <c r="E7" s="0" t="n">
        <v>33.7</v>
      </c>
      <c r="F7" s="0" t="n">
        <v>2101.465</v>
      </c>
      <c r="G7" s="0" t="n">
        <v>13.9</v>
      </c>
      <c r="I7" s="0" t="n">
        <v>2017.695</v>
      </c>
      <c r="J7" s="0" t="n">
        <v>13.3</v>
      </c>
      <c r="K7" s="0" t="n">
        <v>1.63</v>
      </c>
      <c r="L7" s="0" t="n">
        <v>2150.255</v>
      </c>
      <c r="M7" s="0" t="n">
        <v>974.003</v>
      </c>
      <c r="N7" s="0" t="n">
        <v>1176.252</v>
      </c>
      <c r="O7" s="0" t="n">
        <v>32620.994</v>
      </c>
      <c r="P7" s="0" t="n">
        <v>44150.745</v>
      </c>
      <c r="Q7" s="0" t="n">
        <v>10858.101</v>
      </c>
      <c r="R7" s="0" t="n">
        <v>467.238</v>
      </c>
      <c r="S7" s="0" t="n">
        <v>8219.321</v>
      </c>
      <c r="T7" s="0" t="n">
        <v>1416.237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18126.119</v>
      </c>
      <c r="C8" s="0" t="n">
        <v>12228.762</v>
      </c>
      <c r="D8" s="0" t="n">
        <v>5897.357</v>
      </c>
      <c r="E8" s="0" t="n">
        <v>32.5</v>
      </c>
      <c r="F8" s="0" t="n">
        <v>2920.926</v>
      </c>
      <c r="G8" s="0" t="n">
        <v>16.1</v>
      </c>
      <c r="I8" s="0" t="n">
        <v>2545.453</v>
      </c>
      <c r="J8" s="0" t="n">
        <v>14</v>
      </c>
      <c r="K8" s="0" t="n">
        <v>1.8</v>
      </c>
      <c r="P8" s="0" t="n">
        <v>48841.57</v>
      </c>
      <c r="Q8" s="0" t="n">
        <v>13349.531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21962.106</v>
      </c>
      <c r="C9" s="0" t="n">
        <v>15679.772</v>
      </c>
      <c r="D9" s="0" t="n">
        <v>6282.334</v>
      </c>
      <c r="E9" s="0" t="n">
        <v>28.6</v>
      </c>
      <c r="F9" s="0" t="n">
        <v>3252.451</v>
      </c>
      <c r="G9" s="0" t="n">
        <v>14.8</v>
      </c>
      <c r="I9" s="0" t="n">
        <v>3040.76</v>
      </c>
      <c r="J9" s="0" t="n">
        <v>13.8</v>
      </c>
      <c r="K9" s="0" t="n">
        <v>2.15</v>
      </c>
      <c r="L9" s="0" t="n">
        <v>2767.58</v>
      </c>
      <c r="M9" s="0" t="n">
        <v>2982.648</v>
      </c>
      <c r="N9" s="0" t="n">
        <v>-215.068</v>
      </c>
      <c r="O9" s="0" t="n">
        <v>36998.131</v>
      </c>
      <c r="P9" s="0" t="n">
        <v>53778.787</v>
      </c>
      <c r="Q9" s="0" t="n">
        <v>15930.082</v>
      </c>
      <c r="R9" s="0" t="n">
        <v>1046.866</v>
      </c>
      <c r="S9" s="0" t="n">
        <v>7907.281</v>
      </c>
      <c r="T9" s="0" t="n">
        <v>1416.237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24908.938</v>
      </c>
      <c r="C10" s="0" t="n">
        <v>16818.295</v>
      </c>
      <c r="D10" s="0" t="n">
        <v>8090.643</v>
      </c>
      <c r="E10" s="0" t="n">
        <v>32.5</v>
      </c>
      <c r="F10" s="0" t="n">
        <v>4286.006</v>
      </c>
      <c r="G10" s="0" t="n">
        <v>17.2</v>
      </c>
      <c r="I10" s="0" t="n">
        <v>3702.586</v>
      </c>
      <c r="J10" s="0" t="n">
        <v>14.9</v>
      </c>
      <c r="K10" s="0" t="n">
        <v>2.62</v>
      </c>
      <c r="L10" s="0" t="n">
        <v>3361.121</v>
      </c>
      <c r="M10" s="0" t="n">
        <v>3450.534</v>
      </c>
      <c r="N10" s="0" t="n">
        <v>-89.413</v>
      </c>
      <c r="O10" s="0" t="n">
        <v>41527.76</v>
      </c>
      <c r="P10" s="0" t="n">
        <v>64802.246</v>
      </c>
      <c r="Q10" s="0" t="n">
        <v>20039.829</v>
      </c>
      <c r="R10" s="0" t="n">
        <v>101.015</v>
      </c>
      <c r="S10" s="0" t="n">
        <v>10652.179</v>
      </c>
      <c r="T10" s="0" t="n">
        <v>1411.932</v>
      </c>
      <c r="AA10" s="0" t="s">
        <v>18</v>
      </c>
      <c r="AB10" s="0" t="s">
        <v>14</v>
      </c>
    </row>
    <row r="11" customFormat="false" ht="15" hidden="false" customHeight="false" outlineLevel="0" collapsed="false">
      <c r="A11" s="0" t="s">
        <v>73</v>
      </c>
      <c r="B11" s="0" t="n">
        <v>28702.7</v>
      </c>
      <c r="C11" s="0" t="n">
        <v>19106.802</v>
      </c>
      <c r="D11" s="0" t="n">
        <v>9595.898</v>
      </c>
      <c r="E11" s="0" t="n">
        <v>33.4</v>
      </c>
      <c r="F11" s="0" t="n">
        <v>4846.141</v>
      </c>
      <c r="G11" s="0" t="n">
        <v>16.9</v>
      </c>
      <c r="I11" s="0" t="n">
        <v>4096.54</v>
      </c>
      <c r="J11" s="0" t="n">
        <v>14.3</v>
      </c>
      <c r="K11" s="0" t="n">
        <v>2.99</v>
      </c>
      <c r="L11" s="0" t="n">
        <v>3964.724</v>
      </c>
      <c r="M11" s="0" t="n">
        <v>4009.771</v>
      </c>
      <c r="N11" s="0" t="n">
        <v>-45.047</v>
      </c>
      <c r="O11" s="0" t="n">
        <v>42486.863</v>
      </c>
      <c r="P11" s="0" t="n">
        <v>72084.237</v>
      </c>
      <c r="Q11" s="0" t="n">
        <v>26159.455</v>
      </c>
      <c r="R11" s="0" t="n">
        <v>89.661</v>
      </c>
      <c r="S11" s="0" t="n">
        <v>6713.863</v>
      </c>
      <c r="T11" s="0" t="n">
        <v>1369.963</v>
      </c>
      <c r="AA11" s="0" t="s">
        <v>18</v>
      </c>
      <c r="AB1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26.66</v>
      </c>
    </row>
    <row r="3" customFormat="false" ht="15" hidden="false" customHeight="false" outlineLevel="0" collapsed="false">
      <c r="A3" s="0" t="s">
        <v>77</v>
      </c>
      <c r="B3" s="3" t="n">
        <v>1330.7</v>
      </c>
    </row>
    <row r="4" customFormat="false" ht="15" hidden="false" customHeight="false" outlineLevel="0" collapsed="false">
      <c r="A4" s="0" t="s">
        <v>78</v>
      </c>
      <c r="B4" s="3" t="n">
        <v>-4851.3</v>
      </c>
    </row>
    <row r="5" customFormat="false" ht="15" hidden="false" customHeight="false" outlineLevel="0" collapsed="false">
      <c r="A5" s="0" t="s">
        <v>79</v>
      </c>
      <c r="B5" s="3" t="n">
        <v>5363.6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28702.7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1.1747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3</v>
      </c>
      <c r="D13" s="3" t="n">
        <v>2</v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98</v>
      </c>
      <c r="C14" s="3" t="n">
        <v>19.5</v>
      </c>
      <c r="D14" s="3" t="n">
        <v>19</v>
      </c>
      <c r="E14" s="3" t="n">
        <v>18.5</v>
      </c>
      <c r="F14" s="3" t="n">
        <v>18</v>
      </c>
      <c r="G14" s="3" t="n">
        <v>18</v>
      </c>
      <c r="H14" s="3" t="n">
        <v>18</v>
      </c>
      <c r="I14" s="3" t="n">
        <v>18</v>
      </c>
      <c r="J14" s="3" t="n">
        <v>18</v>
      </c>
      <c r="K14" s="3" t="n">
        <v>18</v>
      </c>
      <c r="L14" s="3" t="n">
        <v>18</v>
      </c>
    </row>
    <row r="15" customFormat="false" ht="15" hidden="false" customHeight="false" outlineLevel="0" collapsed="false">
      <c r="A15" s="0" t="s">
        <v>99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100</v>
      </c>
      <c r="C16" s="3" t="n">
        <v>0.6</v>
      </c>
      <c r="D16" s="3" t="n">
        <v>0.6</v>
      </c>
      <c r="E16" s="3" t="n">
        <v>0.6</v>
      </c>
      <c r="F16" s="3" t="n">
        <v>0.6</v>
      </c>
      <c r="G16" s="3" t="n">
        <v>0.6</v>
      </c>
      <c r="H16" s="3" t="n">
        <v>0.6</v>
      </c>
      <c r="I16" s="3" t="n">
        <v>0.6</v>
      </c>
      <c r="J16" s="3" t="n">
        <v>0.6</v>
      </c>
      <c r="K16" s="3" t="n">
        <v>0.6</v>
      </c>
      <c r="L16" s="3" t="n">
        <v>0.6</v>
      </c>
    </row>
    <row r="17" customFormat="false" ht="15" hidden="false" customHeight="false" outlineLevel="0" collapsed="false">
      <c r="A17" s="0" t="s">
        <v>101</v>
      </c>
      <c r="C17" s="3" t="n">
        <v>5.3</v>
      </c>
      <c r="D17" s="3" t="n">
        <v>5.6</v>
      </c>
      <c r="E17" s="3" t="n">
        <v>5.8</v>
      </c>
      <c r="F17" s="3" t="n">
        <v>5.8</v>
      </c>
      <c r="G17" s="3" t="n">
        <v>5.8</v>
      </c>
      <c r="H17" s="3" t="n">
        <v>5.8</v>
      </c>
      <c r="I17" s="3" t="n">
        <v>5.8</v>
      </c>
      <c r="J17" s="3" t="n">
        <v>5.8</v>
      </c>
      <c r="K17" s="3" t="n">
        <v>5.8</v>
      </c>
      <c r="L17" s="3" t="n">
        <v>5.8</v>
      </c>
    </row>
    <row r="18" customFormat="false" ht="15" hidden="false" customHeight="false" outlineLevel="0" collapsed="false">
      <c r="A18" s="0" t="s">
        <v>102</v>
      </c>
      <c r="C18" s="3" t="n">
        <v>12</v>
      </c>
      <c r="D18" s="3" t="n">
        <v>11</v>
      </c>
      <c r="E18" s="3" t="n">
        <v>10.5</v>
      </c>
      <c r="F18" s="3" t="n">
        <v>10</v>
      </c>
      <c r="G18" s="3" t="n">
        <v>10</v>
      </c>
      <c r="H18" s="3" t="n">
        <v>10</v>
      </c>
      <c r="I18" s="3" t="n">
        <v>10</v>
      </c>
      <c r="J18" s="3" t="n">
        <v>10</v>
      </c>
      <c r="K18" s="3" t="n">
        <v>10</v>
      </c>
      <c r="L18" s="3" t="n">
        <v>10</v>
      </c>
    </row>
    <row r="19" customFormat="false" ht="15" hidden="false" customHeight="false" outlineLevel="0" collapsed="false">
      <c r="A19" s="0" t="s">
        <v>103</v>
      </c>
      <c r="C19" s="3" t="n">
        <v>13</v>
      </c>
      <c r="D19" s="3" t="n">
        <v>14</v>
      </c>
      <c r="E19" s="3" t="n">
        <v>15</v>
      </c>
      <c r="F19" s="3" t="n">
        <v>16</v>
      </c>
      <c r="G19" s="3" t="n">
        <v>16</v>
      </c>
      <c r="H19" s="3" t="n">
        <v>16</v>
      </c>
      <c r="I19" s="3" t="n">
        <v>16</v>
      </c>
      <c r="J19" s="3" t="n">
        <v>16</v>
      </c>
      <c r="K19" s="3" t="n">
        <v>16</v>
      </c>
      <c r="L19" s="3" t="n">
        <v>16</v>
      </c>
    </row>
    <row r="20" customFormat="false" ht="15" hidden="false" customHeight="false" outlineLevel="0" collapsed="false">
      <c r="A20" s="0" t="s">
        <v>104</v>
      </c>
      <c r="B20" s="3" t="n">
        <v>9.5</v>
      </c>
    </row>
    <row r="21" customFormat="false" ht="15" hidden="false" customHeight="false" outlineLevel="0" collapsed="false">
      <c r="A21" s="0" t="s">
        <v>105</v>
      </c>
      <c r="B21" s="3" t="n">
        <v>1.5</v>
      </c>
    </row>
    <row r="22" customFormat="false" ht="15" hidden="false" customHeight="false" outlineLevel="0" collapsed="false">
      <c r="A22" s="0" t="s">
        <v>106</v>
      </c>
      <c r="B22" s="3" t="n">
        <v>12</v>
      </c>
    </row>
    <row r="23" customFormat="false" ht="15" hidden="false" customHeight="false" outlineLevel="0" collapsed="false">
      <c r="A23" s="0" t="s">
        <v>107</v>
      </c>
      <c r="B23" s="3" t="n">
        <v>-40</v>
      </c>
    </row>
    <row r="24" customFormat="false" ht="15" hidden="false" customHeight="false" outlineLevel="0" collapsed="false">
      <c r="A24" s="0" t="s">
        <v>108</v>
      </c>
      <c r="B24" s="3" t="n">
        <v>0.3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8</v>
      </c>
      <c r="D27" s="3" t="n">
        <v>8</v>
      </c>
      <c r="E27" s="3" t="n">
        <v>7</v>
      </c>
      <c r="F27" s="3" t="n">
        <v>6</v>
      </c>
      <c r="G27" s="3" t="n">
        <v>6</v>
      </c>
      <c r="H27" s="3" t="n">
        <v>5</v>
      </c>
      <c r="I27" s="3" t="n">
        <v>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98</v>
      </c>
      <c r="C28" s="3" t="n">
        <v>21</v>
      </c>
      <c r="D28" s="3" t="n">
        <v>21</v>
      </c>
      <c r="E28" s="3" t="n">
        <v>21</v>
      </c>
      <c r="F28" s="3" t="n">
        <v>21</v>
      </c>
      <c r="G28" s="3" t="n">
        <v>21</v>
      </c>
      <c r="H28" s="3" t="n">
        <v>21</v>
      </c>
      <c r="I28" s="3" t="n">
        <v>21</v>
      </c>
      <c r="J28" s="3" t="n">
        <v>21</v>
      </c>
      <c r="K28" s="3" t="n">
        <v>21</v>
      </c>
      <c r="L28" s="3" t="n">
        <v>21</v>
      </c>
    </row>
    <row r="29" customFormat="false" ht="15" hidden="false" customHeight="false" outlineLevel="0" collapsed="false">
      <c r="A29" s="0" t="s">
        <v>99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100</v>
      </c>
      <c r="C30" s="3" t="n">
        <v>0.6</v>
      </c>
      <c r="D30" s="3" t="n">
        <v>0.6</v>
      </c>
      <c r="E30" s="3" t="n">
        <v>0.6</v>
      </c>
      <c r="F30" s="3" t="n">
        <v>0.6</v>
      </c>
      <c r="G30" s="3" t="n">
        <v>0.6</v>
      </c>
      <c r="H30" s="3" t="n">
        <v>0.6</v>
      </c>
      <c r="I30" s="3" t="n">
        <v>0.6</v>
      </c>
      <c r="J30" s="3" t="n">
        <v>0.6</v>
      </c>
      <c r="K30" s="3" t="n">
        <v>0.6</v>
      </c>
      <c r="L30" s="3" t="n">
        <v>0.6</v>
      </c>
    </row>
    <row r="31" customFormat="false" ht="15" hidden="false" customHeight="false" outlineLevel="0" collapsed="false">
      <c r="A31" s="0" t="s">
        <v>101</v>
      </c>
      <c r="C31" s="3" t="n">
        <v>5.3</v>
      </c>
      <c r="D31" s="3" t="n">
        <v>5.5</v>
      </c>
      <c r="E31" s="3" t="n">
        <v>5.6</v>
      </c>
      <c r="F31" s="3" t="n">
        <v>5.6</v>
      </c>
      <c r="G31" s="3" t="n">
        <v>5.6</v>
      </c>
      <c r="H31" s="3" t="n">
        <v>5.6</v>
      </c>
      <c r="I31" s="3" t="n">
        <v>5.6</v>
      </c>
      <c r="J31" s="3" t="n">
        <v>5.6</v>
      </c>
      <c r="K31" s="3" t="n">
        <v>5.6</v>
      </c>
      <c r="L31" s="3" t="n">
        <v>5.6</v>
      </c>
    </row>
    <row r="32" customFormat="false" ht="15" hidden="false" customHeight="false" outlineLevel="0" collapsed="false">
      <c r="A32" s="0" t="s">
        <v>102</v>
      </c>
      <c r="C32" s="3" t="n">
        <v>11</v>
      </c>
      <c r="D32" s="3" t="n">
        <v>9.5</v>
      </c>
      <c r="E32" s="3" t="n">
        <v>8.5</v>
      </c>
      <c r="F32" s="3" t="n">
        <v>8</v>
      </c>
      <c r="G32" s="3" t="n">
        <v>7.5</v>
      </c>
      <c r="H32" s="3" t="n">
        <v>7.5</v>
      </c>
      <c r="I32" s="3" t="n">
        <v>7</v>
      </c>
      <c r="J32" s="3" t="n">
        <v>7</v>
      </c>
      <c r="K32" s="3" t="n">
        <v>7</v>
      </c>
      <c r="L32" s="3" t="n">
        <v>7</v>
      </c>
    </row>
    <row r="33" customFormat="false" ht="15" hidden="false" customHeight="false" outlineLevel="0" collapsed="false">
      <c r="A33" s="0" t="s">
        <v>103</v>
      </c>
      <c r="C33" s="3" t="n">
        <v>13</v>
      </c>
      <c r="D33" s="3" t="n">
        <v>13.5</v>
      </c>
      <c r="E33" s="3" t="n">
        <v>14</v>
      </c>
      <c r="F33" s="3" t="n">
        <v>14.5</v>
      </c>
      <c r="G33" s="3" t="n">
        <v>15</v>
      </c>
      <c r="H33" s="3" t="n">
        <v>15</v>
      </c>
      <c r="I33" s="3" t="n">
        <v>15</v>
      </c>
      <c r="J33" s="3" t="n">
        <v>15</v>
      </c>
      <c r="K33" s="3" t="n">
        <v>15</v>
      </c>
      <c r="L33" s="3" t="n">
        <v>15</v>
      </c>
    </row>
    <row r="34" customFormat="false" ht="15" hidden="false" customHeight="false" outlineLevel="0" collapsed="false">
      <c r="A34" s="0" t="s">
        <v>104</v>
      </c>
      <c r="B34" s="3" t="n">
        <v>9.5</v>
      </c>
    </row>
    <row r="35" customFormat="false" ht="15" hidden="false" customHeight="false" outlineLevel="0" collapsed="false">
      <c r="A35" s="0" t="s">
        <v>105</v>
      </c>
      <c r="B35" s="3" t="n">
        <v>2.5</v>
      </c>
    </row>
    <row r="36" customFormat="false" ht="15" hidden="false" customHeight="false" outlineLevel="0" collapsed="false">
      <c r="A36" s="0" t="s">
        <v>106</v>
      </c>
      <c r="B36" s="3" t="n">
        <v>15</v>
      </c>
    </row>
    <row r="37" customFormat="false" ht="15" hidden="false" customHeight="false" outlineLevel="0" collapsed="false">
      <c r="A37" s="0" t="s">
        <v>107</v>
      </c>
      <c r="B37" s="3" t="n">
        <v>-30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10</v>
      </c>
      <c r="D41" s="3" t="n">
        <v>10</v>
      </c>
      <c r="E41" s="3" t="n">
        <v>9</v>
      </c>
      <c r="F41" s="3" t="n">
        <v>8</v>
      </c>
      <c r="G41" s="3" t="n">
        <v>8</v>
      </c>
      <c r="H41" s="3" t="n">
        <v>7</v>
      </c>
      <c r="I41" s="3" t="n">
        <v>6</v>
      </c>
      <c r="J41" s="3" t="n">
        <v>5</v>
      </c>
      <c r="K41" s="3" t="n">
        <v>4</v>
      </c>
      <c r="L41" s="3" t="n">
        <v>3</v>
      </c>
    </row>
    <row r="42" customFormat="false" ht="15" hidden="false" customHeight="false" outlineLevel="0" collapsed="false">
      <c r="A42" s="0" t="s">
        <v>98</v>
      </c>
      <c r="C42" s="3" t="n">
        <v>21.5</v>
      </c>
      <c r="D42" s="3" t="n">
        <v>21.8</v>
      </c>
      <c r="E42" s="3" t="n">
        <v>22</v>
      </c>
      <c r="F42" s="3" t="n">
        <v>22.3</v>
      </c>
      <c r="G42" s="3" t="n">
        <v>22.5</v>
      </c>
      <c r="H42" s="3" t="n">
        <v>22.7</v>
      </c>
      <c r="I42" s="3" t="n">
        <v>23</v>
      </c>
      <c r="J42" s="3" t="n">
        <v>23</v>
      </c>
      <c r="K42" s="3" t="n">
        <v>23</v>
      </c>
      <c r="L42" s="3" t="n">
        <v>23</v>
      </c>
    </row>
    <row r="43" customFormat="false" ht="15" hidden="false" customHeight="false" outlineLevel="0" collapsed="false">
      <c r="A43" s="0" t="s">
        <v>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100</v>
      </c>
      <c r="C44" s="3" t="n">
        <v>0.6</v>
      </c>
      <c r="D44" s="3" t="n">
        <v>0.6</v>
      </c>
      <c r="E44" s="3" t="n">
        <v>0.6</v>
      </c>
      <c r="F44" s="3" t="n">
        <v>0.6</v>
      </c>
      <c r="G44" s="3" t="n">
        <v>0.6</v>
      </c>
      <c r="H44" s="3" t="n">
        <v>0.6</v>
      </c>
      <c r="I44" s="3" t="n">
        <v>0.6</v>
      </c>
      <c r="J44" s="3" t="n">
        <v>0.6</v>
      </c>
      <c r="K44" s="3" t="n">
        <v>0.6</v>
      </c>
      <c r="L44" s="3" t="n">
        <v>0.6</v>
      </c>
    </row>
    <row r="45" customFormat="false" ht="15" hidden="false" customHeight="false" outlineLevel="0" collapsed="false">
      <c r="A45" s="0" t="s">
        <v>101</v>
      </c>
      <c r="C45" s="3" t="n">
        <v>5.3</v>
      </c>
      <c r="D45" s="3" t="n">
        <v>5.5</v>
      </c>
      <c r="E45" s="3" t="n">
        <v>5.6</v>
      </c>
      <c r="F45" s="3" t="n">
        <v>5.6</v>
      </c>
      <c r="G45" s="3" t="n">
        <v>5.6</v>
      </c>
      <c r="H45" s="3" t="n">
        <v>5.6</v>
      </c>
      <c r="I45" s="3" t="n">
        <v>5.6</v>
      </c>
      <c r="J45" s="3" t="n">
        <v>5.6</v>
      </c>
      <c r="K45" s="3" t="n">
        <v>5.6</v>
      </c>
      <c r="L45" s="3" t="n">
        <v>5.6</v>
      </c>
    </row>
    <row r="46" customFormat="false" ht="15" hidden="false" customHeight="false" outlineLevel="0" collapsed="false">
      <c r="A46" s="0" t="s">
        <v>102</v>
      </c>
      <c r="C46" s="3" t="n">
        <v>11</v>
      </c>
      <c r="D46" s="3" t="n">
        <v>9</v>
      </c>
      <c r="E46" s="3" t="n">
        <v>8</v>
      </c>
      <c r="F46" s="3" t="n">
        <v>7.5</v>
      </c>
      <c r="G46" s="3" t="n">
        <v>7</v>
      </c>
      <c r="H46" s="3" t="n">
        <v>7</v>
      </c>
      <c r="I46" s="3" t="n">
        <v>6.5</v>
      </c>
      <c r="J46" s="3" t="n">
        <v>6.5</v>
      </c>
      <c r="K46" s="3" t="n">
        <v>6.5</v>
      </c>
      <c r="L46" s="3" t="n">
        <v>6.5</v>
      </c>
    </row>
    <row r="47" customFormat="false" ht="15" hidden="false" customHeight="false" outlineLevel="0" collapsed="false">
      <c r="A47" s="0" t="s">
        <v>103</v>
      </c>
      <c r="C47" s="3" t="n">
        <v>13</v>
      </c>
      <c r="D47" s="3" t="n">
        <v>13</v>
      </c>
      <c r="E47" s="3" t="n">
        <v>13.5</v>
      </c>
      <c r="F47" s="3" t="n">
        <v>13.5</v>
      </c>
      <c r="G47" s="3" t="n">
        <v>14</v>
      </c>
      <c r="H47" s="3" t="n">
        <v>14</v>
      </c>
      <c r="I47" s="3" t="n">
        <v>14</v>
      </c>
      <c r="J47" s="3" t="n">
        <v>14</v>
      </c>
      <c r="K47" s="3" t="n">
        <v>14</v>
      </c>
      <c r="L47" s="3" t="n">
        <v>14</v>
      </c>
    </row>
    <row r="48" customFormat="false" ht="15" hidden="false" customHeight="false" outlineLevel="0" collapsed="false">
      <c r="A48" s="0" t="s">
        <v>104</v>
      </c>
      <c r="B48" s="3" t="n">
        <v>9.5</v>
      </c>
    </row>
    <row r="49" customFormat="false" ht="15" hidden="false" customHeight="false" outlineLevel="0" collapsed="false">
      <c r="A49" s="0" t="s">
        <v>105</v>
      </c>
      <c r="B49" s="3" t="n">
        <v>3</v>
      </c>
    </row>
    <row r="50" customFormat="false" ht="15" hidden="false" customHeight="false" outlineLevel="0" collapsed="false">
      <c r="A50" s="0" t="s">
        <v>106</v>
      </c>
      <c r="B50" s="3" t="n">
        <v>18</v>
      </c>
    </row>
    <row r="51" customFormat="false" ht="15" hidden="false" customHeight="false" outlineLevel="0" collapsed="false">
      <c r="A51" s="0" t="s">
        <v>107</v>
      </c>
      <c r="B51" s="3" t="n">
        <v>-25</v>
      </c>
    </row>
    <row r="52" customFormat="false" ht="15" hidden="false" customHeight="false" outlineLevel="0" collapsed="false">
      <c r="A52" s="0" t="s">
        <v>108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3</v>
      </c>
      <c r="D5" s="4" t="n">
        <f aca="false">Assumptions!D13</f>
        <v>2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28702.7</v>
      </c>
      <c r="C6" s="0" t="n">
        <f aca="false">B6*(1+C5/100)</f>
        <v>29563.781</v>
      </c>
      <c r="D6" s="0" t="n">
        <f aca="false">C6*(1+D5/100)</f>
        <v>30155.05662</v>
      </c>
      <c r="E6" s="0" t="n">
        <f aca="false">D6*(1+E5/100)</f>
        <v>30758.1577524</v>
      </c>
      <c r="F6" s="0" t="n">
        <f aca="false">E6*(1+F5/100)</f>
        <v>31373.320907448</v>
      </c>
      <c r="G6" s="0" t="n">
        <f aca="false">F6*(1+G5/100)</f>
        <v>32000.787325597</v>
      </c>
      <c r="H6" s="0" t="n">
        <f aca="false">G6*(1+H5/100)</f>
        <v>32640.8030721089</v>
      </c>
      <c r="I6" s="0" t="n">
        <f aca="false">H6*(1+I5/100)</f>
        <v>33293.6191335511</v>
      </c>
      <c r="J6" s="0" t="n">
        <f aca="false">I6*(1+J5/100)</f>
        <v>33959.4915162221</v>
      </c>
      <c r="K6" s="0" t="n">
        <f aca="false">J6*(1+K5/100)</f>
        <v>34638.6813465465</v>
      </c>
      <c r="L6" s="0" t="n">
        <f aca="false">K6*(1+L5/100)</f>
        <v>35331.4549734775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19.5</v>
      </c>
      <c r="D7" s="4" t="n">
        <f aca="false">Assumptions!D14</f>
        <v>19</v>
      </c>
      <c r="E7" s="4" t="n">
        <f aca="false">Assumptions!E14</f>
        <v>18.5</v>
      </c>
      <c r="F7" s="4" t="n">
        <f aca="false">Assumptions!F14</f>
        <v>18</v>
      </c>
      <c r="G7" s="4" t="n">
        <f aca="false">Assumptions!G14</f>
        <v>18</v>
      </c>
      <c r="H7" s="4" t="n">
        <f aca="false">Assumptions!H14</f>
        <v>18</v>
      </c>
      <c r="I7" s="4" t="n">
        <f aca="false">Assumptions!I14</f>
        <v>18</v>
      </c>
      <c r="J7" s="4" t="n">
        <f aca="false">Assumptions!J14</f>
        <v>18</v>
      </c>
      <c r="K7" s="4" t="n">
        <f aca="false">Assumptions!K14</f>
        <v>18</v>
      </c>
      <c r="L7" s="4" t="n">
        <f aca="false">Assumptions!L14</f>
        <v>18</v>
      </c>
    </row>
    <row r="8" customFormat="false" ht="15" hidden="false" customHeight="false" outlineLevel="0" collapsed="false">
      <c r="A8" s="0" t="s">
        <v>44</v>
      </c>
      <c r="C8" s="0" t="n">
        <f aca="false">C6*C7/100</f>
        <v>5764.937295</v>
      </c>
      <c r="D8" s="0" t="n">
        <f aca="false">D6*D7/100</f>
        <v>5729.4607578</v>
      </c>
      <c r="E8" s="0" t="n">
        <f aca="false">E6*E7/100</f>
        <v>5690.259184194</v>
      </c>
      <c r="F8" s="0" t="n">
        <f aca="false">F6*F7/100</f>
        <v>5647.19776334064</v>
      </c>
      <c r="G8" s="0" t="n">
        <f aca="false">G6*G7/100</f>
        <v>5760.14171860745</v>
      </c>
      <c r="H8" s="0" t="n">
        <f aca="false">H6*H7/100</f>
        <v>5875.3445529796</v>
      </c>
      <c r="I8" s="0" t="n">
        <f aca="false">I6*I7/100</f>
        <v>5992.8514440392</v>
      </c>
      <c r="J8" s="0" t="n">
        <f aca="false">J6*J7/100</f>
        <v>6112.70847291998</v>
      </c>
      <c r="K8" s="0" t="n">
        <f aca="false">K6*K7/100</f>
        <v>6234.96264237838</v>
      </c>
      <c r="L8" s="0" t="n">
        <f aca="false">L6*L7/100</f>
        <v>6359.66189522595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5587.554609</v>
      </c>
      <c r="D11" s="0" t="n">
        <f aca="false">D8+D10+D24</f>
        <v>5548.53041808</v>
      </c>
      <c r="E11" s="0" t="n">
        <f aca="false">E8+E10+E24</f>
        <v>5505.7102376796</v>
      </c>
      <c r="F11" s="0" t="n">
        <f aca="false">F8+F10+F24</f>
        <v>5458.95783789595</v>
      </c>
      <c r="G11" s="0" t="n">
        <f aca="false">G8+G10+G24</f>
        <v>5568.13699465387</v>
      </c>
      <c r="H11" s="0" t="n">
        <f aca="false">H8+H10+H24</f>
        <v>5679.49973454695</v>
      </c>
      <c r="I11" s="0" t="n">
        <f aca="false">I8+I10+I24</f>
        <v>5793.08972923789</v>
      </c>
      <c r="J11" s="0" t="n">
        <f aca="false">J8+J10+J24</f>
        <v>5908.95152382265</v>
      </c>
      <c r="K11" s="0" t="n">
        <f aca="false">K8+K10+K24</f>
        <v>6027.1305542991</v>
      </c>
      <c r="L11" s="0" t="n">
        <f aca="false">L8+L10+L24</f>
        <v>6147.67316538508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-1566.880393</v>
      </c>
      <c r="D12" s="4" t="n">
        <f aca="false">-D6*Assumptions!D17/100</f>
        <v>-1688.68317072</v>
      </c>
      <c r="E12" s="4" t="n">
        <f aca="false">-E6*Assumptions!E17/100</f>
        <v>-1783.9731496392</v>
      </c>
      <c r="F12" s="4" t="n">
        <f aca="false">-F6*Assumptions!F17/100</f>
        <v>-1819.65261263198</v>
      </c>
      <c r="G12" s="4" t="n">
        <f aca="false">-G6*Assumptions!G17/100</f>
        <v>-1856.04566488462</v>
      </c>
      <c r="H12" s="4" t="n">
        <f aca="false">-H6*Assumptions!H17/100</f>
        <v>-1893.16657818232</v>
      </c>
      <c r="I12" s="4" t="n">
        <f aca="false">-I6*Assumptions!I17/100</f>
        <v>-1931.02990974596</v>
      </c>
      <c r="J12" s="4" t="n">
        <f aca="false">-J6*Assumptions!J17/100</f>
        <v>-1969.65050794088</v>
      </c>
      <c r="K12" s="4" t="n">
        <f aca="false">-K6*Assumptions!K17/100</f>
        <v>-2009.0435180997</v>
      </c>
      <c r="L12" s="4" t="n">
        <f aca="false">-L6*Assumptions!L17/100</f>
        <v>-2049.22438846169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4020.674216</v>
      </c>
      <c r="D13" s="0" t="n">
        <f aca="false">D11+D12</f>
        <v>3859.84724736</v>
      </c>
      <c r="E13" s="0" t="n">
        <f aca="false">E11+E12</f>
        <v>3721.7370880404</v>
      </c>
      <c r="F13" s="0" t="n">
        <f aca="false">F11+F12</f>
        <v>3639.30522526397</v>
      </c>
      <c r="G13" s="0" t="n">
        <f aca="false">G11+G12</f>
        <v>3712.09132976925</v>
      </c>
      <c r="H13" s="0" t="n">
        <f aca="false">H11+H12</f>
        <v>3786.33315636463</v>
      </c>
      <c r="I13" s="0" t="n">
        <f aca="false">I11+I12</f>
        <v>3862.05981949193</v>
      </c>
      <c r="J13" s="0" t="n">
        <f aca="false">J11+J12</f>
        <v>3939.30101588176</v>
      </c>
      <c r="K13" s="0" t="n">
        <f aca="false">K11+K12</f>
        <v>4018.0870361994</v>
      </c>
      <c r="L13" s="0" t="n">
        <f aca="false">L11+L12</f>
        <v>4098.44877692339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13</v>
      </c>
      <c r="D14" s="4" t="n">
        <f aca="false">Assumptions!D19</f>
        <v>14</v>
      </c>
      <c r="E14" s="4" t="n">
        <f aca="false">Assumptions!E19</f>
        <v>15</v>
      </c>
      <c r="F14" s="4" t="n">
        <f aca="false">Assumptions!F19</f>
        <v>16</v>
      </c>
      <c r="G14" s="4" t="n">
        <f aca="false">Assumptions!G19</f>
        <v>16</v>
      </c>
      <c r="H14" s="4" t="n">
        <f aca="false">Assumptions!H19</f>
        <v>16</v>
      </c>
      <c r="I14" s="4" t="n">
        <f aca="false">Assumptions!I19</f>
        <v>16</v>
      </c>
      <c r="J14" s="4" t="n">
        <f aca="false">Assumptions!J19</f>
        <v>16</v>
      </c>
      <c r="K14" s="4" t="n">
        <f aca="false">Assumptions!K19</f>
        <v>16</v>
      </c>
      <c r="L14" s="4" t="n">
        <f aca="false">Assumptions!L19</f>
        <v>16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3497.98656792</v>
      </c>
      <c r="D15" s="0" t="n">
        <f aca="false">D13-MAX(0,D13)*D14/100</f>
        <v>3319.4686327296</v>
      </c>
      <c r="E15" s="0" t="n">
        <f aca="false">E13-MAX(0,E13)*E14/100</f>
        <v>3163.47652483434</v>
      </c>
      <c r="F15" s="0" t="n">
        <f aca="false">F13-MAX(0,F13)*F14/100</f>
        <v>3057.01638922173</v>
      </c>
      <c r="G15" s="0" t="n">
        <f aca="false">G13-MAX(0,G13)*G14/100</f>
        <v>3118.15671700617</v>
      </c>
      <c r="H15" s="0" t="n">
        <f aca="false">H13-MAX(0,H13)*H14/100</f>
        <v>3180.51985134629</v>
      </c>
      <c r="I15" s="0" t="n">
        <f aca="false">I13-MAX(0,I13)*I14/100</f>
        <v>3244.13024837322</v>
      </c>
      <c r="J15" s="0" t="n">
        <f aca="false">J13-MAX(0,J13)*J14/100</f>
        <v>3309.01285334068</v>
      </c>
      <c r="K15" s="0" t="n">
        <f aca="false">K13-MAX(0,K13)*K14/100</f>
        <v>3375.1931104075</v>
      </c>
      <c r="L15" s="0" t="n">
        <f aca="false">L13-MAX(0,L13)*L14/100</f>
        <v>3442.69697261565</v>
      </c>
    </row>
    <row r="16" customFormat="false" ht="15" hidden="false" customHeight="false" outlineLevel="0" collapsed="false">
      <c r="A16" s="0" t="s">
        <v>119</v>
      </c>
      <c r="C16" s="0" t="n">
        <f aca="false">-C12</f>
        <v>1566.880393</v>
      </c>
      <c r="D16" s="0" t="n">
        <f aca="false">-D12</f>
        <v>1688.68317072</v>
      </c>
      <c r="E16" s="0" t="n">
        <f aca="false">-E12</f>
        <v>1783.9731496392</v>
      </c>
      <c r="F16" s="0" t="n">
        <f aca="false">-F12</f>
        <v>1819.65261263198</v>
      </c>
      <c r="G16" s="0" t="n">
        <f aca="false">-G12</f>
        <v>1856.04566488462</v>
      </c>
      <c r="H16" s="0" t="n">
        <f aca="false">-H12</f>
        <v>1893.16657818232</v>
      </c>
      <c r="I16" s="0" t="n">
        <f aca="false">-I12</f>
        <v>1931.02990974596</v>
      </c>
      <c r="J16" s="0" t="n">
        <f aca="false">-J12</f>
        <v>1969.65050794088</v>
      </c>
      <c r="K16" s="0" t="n">
        <f aca="false">-K12</f>
        <v>2009.0435180997</v>
      </c>
      <c r="L16" s="0" t="n">
        <f aca="false">-L12</f>
        <v>2049.22438846169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-3547.65372</v>
      </c>
      <c r="D17" s="4" t="n">
        <f aca="false">-D6*Assumptions!D18/100</f>
        <v>-3317.0562282</v>
      </c>
      <c r="E17" s="4" t="n">
        <f aca="false">-E6*Assumptions!E18/100</f>
        <v>-3229.606564002</v>
      </c>
      <c r="F17" s="4" t="n">
        <f aca="false">-F6*Assumptions!F18/100</f>
        <v>-3137.3320907448</v>
      </c>
      <c r="G17" s="4" t="n">
        <f aca="false">-G6*Assumptions!G18/100</f>
        <v>-3200.0787325597</v>
      </c>
      <c r="H17" s="4" t="n">
        <f aca="false">-H6*Assumptions!H18/100</f>
        <v>-3264.08030721089</v>
      </c>
      <c r="I17" s="4" t="n">
        <f aca="false">-I6*Assumptions!I18/100</f>
        <v>-3329.36191335511</v>
      </c>
      <c r="J17" s="4" t="n">
        <f aca="false">-J6*Assumptions!J18/100</f>
        <v>-3395.94915162221</v>
      </c>
      <c r="K17" s="4" t="n">
        <f aca="false">-K6*Assumptions!K18/100</f>
        <v>-3463.86813465465</v>
      </c>
      <c r="L17" s="4" t="n">
        <f aca="false">-L6*Assumptions!L18/100</f>
        <v>-3533.14549734775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-344.432400000001</v>
      </c>
      <c r="D18" s="4" t="n">
        <f aca="false">(D6-C6)*Assumptions!$B$23/100</f>
        <v>-236.510248</v>
      </c>
      <c r="E18" s="4" t="n">
        <f aca="false">(E6-D6)*Assumptions!$B$23/100</f>
        <v>-241.24045296</v>
      </c>
      <c r="F18" s="4" t="n">
        <f aca="false">(F6-E6)*Assumptions!$B$23/100</f>
        <v>-246.065262019201</v>
      </c>
      <c r="G18" s="4" t="n">
        <f aca="false">(G6-F6)*Assumptions!$B$23/100</f>
        <v>-250.986567259584</v>
      </c>
      <c r="H18" s="4" t="n">
        <f aca="false">(H6-G6)*Assumptions!$B$23/100</f>
        <v>-256.006298604776</v>
      </c>
      <c r="I18" s="4" t="n">
        <f aca="false">(I6-H6)*Assumptions!$B$23/100</f>
        <v>-261.12642457687</v>
      </c>
      <c r="J18" s="4" t="n">
        <f aca="false">(J6-I6)*Assumptions!$B$23/100</f>
        <v>-266.348953068408</v>
      </c>
      <c r="K18" s="4" t="n">
        <f aca="false">(K6-J6)*Assumptions!$B$23/100</f>
        <v>-271.675932129778</v>
      </c>
      <c r="L18" s="4" t="n">
        <f aca="false">(L6-K6)*Assumptions!$B$23/100</f>
        <v>-277.109450772373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1172.78084092</v>
      </c>
      <c r="D19" s="0" t="n">
        <f aca="false">D15+D16+D17+D18</f>
        <v>1454.5853272496</v>
      </c>
      <c r="E19" s="0" t="n">
        <f aca="false">E15+E16+E17+E18</f>
        <v>1476.60265751154</v>
      </c>
      <c r="F19" s="0" t="n">
        <f aca="false">F15+F16+F17+F18</f>
        <v>1493.27164908972</v>
      </c>
      <c r="G19" s="0" t="n">
        <f aca="false">G15+G16+G17+G18</f>
        <v>1523.13708207151</v>
      </c>
      <c r="H19" s="0" t="n">
        <f aca="false">H15+H16+H17+H18</f>
        <v>1553.59982371294</v>
      </c>
      <c r="I19" s="0" t="n">
        <f aca="false">I15+I16+I17+I18</f>
        <v>1584.6718201872</v>
      </c>
      <c r="J19" s="0" t="n">
        <f aca="false">J15+J16+J17+J18</f>
        <v>1616.36525659095</v>
      </c>
      <c r="K19" s="0" t="n">
        <f aca="false">K15+K16+K17+K18</f>
        <v>1648.69256172276</v>
      </c>
      <c r="L19" s="0" t="n">
        <f aca="false">L15+L16+L17+L18</f>
        <v>1681.66641295722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1071.03273143379</v>
      </c>
      <c r="D21" s="0" t="n">
        <f aca="false">D19*D20</f>
        <v>1213.14011571869</v>
      </c>
      <c r="E21" s="0" t="n">
        <f aca="false">E19*E20</f>
        <v>1124.66010102884</v>
      </c>
      <c r="F21" s="0" t="n">
        <f aca="false">F19*F20</f>
        <v>1038.68137229473</v>
      </c>
      <c r="G21" s="0" t="n">
        <f aca="false">G19*G20</f>
        <v>967.538812548514</v>
      </c>
      <c r="H21" s="0" t="n">
        <f aca="false">H19*H20</f>
        <v>901.269030867108</v>
      </c>
      <c r="I21" s="0" t="n">
        <f aca="false">I19*I20</f>
        <v>839.538275328266</v>
      </c>
      <c r="J21" s="0" t="n">
        <f aca="false">J19*J20</f>
        <v>782.03565373044</v>
      </c>
      <c r="K21" s="0" t="n">
        <f aca="false">K19*K20</f>
        <v>728.47156785849</v>
      </c>
      <c r="L21" s="0" t="n">
        <f aca="false">L19*L20</f>
        <v>678.576254991471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0.6</v>
      </c>
      <c r="D23" s="4" t="n">
        <f aca="false">Assumptions!D16</f>
        <v>0.6</v>
      </c>
      <c r="E23" s="4" t="n">
        <f aca="false">Assumptions!E16</f>
        <v>0.6</v>
      </c>
      <c r="F23" s="4" t="n">
        <f aca="false">Assumptions!F16</f>
        <v>0.6</v>
      </c>
      <c r="G23" s="4" t="n">
        <f aca="false">Assumptions!G16</f>
        <v>0.6</v>
      </c>
      <c r="H23" s="4" t="n">
        <f aca="false">Assumptions!H16</f>
        <v>0.6</v>
      </c>
      <c r="I23" s="4" t="n">
        <f aca="false">Assumptions!I16</f>
        <v>0.6</v>
      </c>
      <c r="J23" s="4" t="n">
        <f aca="false">Assumptions!J16</f>
        <v>0.6</v>
      </c>
      <c r="K23" s="4" t="n">
        <f aca="false">Assumptions!K16</f>
        <v>0.6</v>
      </c>
      <c r="L23" s="4" t="n">
        <f aca="false">Assumptions!L16</f>
        <v>0.6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-177.382686</v>
      </c>
      <c r="D24" s="0" t="n">
        <f aca="false">-D6*D23/100</f>
        <v>-180.93033972</v>
      </c>
      <c r="E24" s="0" t="n">
        <f aca="false">-E6*E23/100</f>
        <v>-184.5489465144</v>
      </c>
      <c r="F24" s="0" t="n">
        <f aca="false">-F6*F23/100</f>
        <v>-188.239925444688</v>
      </c>
      <c r="G24" s="0" t="n">
        <f aca="false">-G6*G23/100</f>
        <v>-192.004723953582</v>
      </c>
      <c r="H24" s="0" t="n">
        <f aca="false">-H6*H23/100</f>
        <v>-195.844818432653</v>
      </c>
      <c r="I24" s="0" t="n">
        <f aca="false">-I6*I23/100</f>
        <v>-199.761714801306</v>
      </c>
      <c r="J24" s="0" t="n">
        <f aca="false">-J6*J23/100</f>
        <v>-203.756949097333</v>
      </c>
      <c r="K24" s="0" t="n">
        <f aca="false">-K6*K23/100</f>
        <v>-207.832088079279</v>
      </c>
      <c r="L24" s="0" t="n">
        <f aca="false">-L6*L23/100</f>
        <v>-211.988729840865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9344.94391580034</v>
      </c>
    </row>
    <row r="31" customFormat="false" ht="15" hidden="false" customHeight="false" outlineLevel="0" collapsed="false">
      <c r="A31" s="0" t="s">
        <v>128</v>
      </c>
      <c r="B31" s="0" t="n">
        <f aca="false">L19</f>
        <v>1681.66641295722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21336.1426143947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20179.9969554866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20179.9969554866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8142.91505989765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17487.858975698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27702.758975698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24.4551220926974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-0.0827035974232036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24.4551220926974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12643.6400677895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18.2927087117708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8</v>
      </c>
      <c r="D5" s="4" t="n">
        <f aca="false">Assumptions!D27</f>
        <v>8</v>
      </c>
      <c r="E5" s="4" t="n">
        <f aca="false">Assumptions!E27</f>
        <v>7</v>
      </c>
      <c r="F5" s="4" t="n">
        <f aca="false">Assumptions!F27</f>
        <v>6</v>
      </c>
      <c r="G5" s="4" t="n">
        <f aca="false">Assumptions!G27</f>
        <v>6</v>
      </c>
      <c r="H5" s="4" t="n">
        <f aca="false">Assumptions!H27</f>
        <v>5</v>
      </c>
      <c r="I5" s="4" t="n">
        <f aca="false">Assumptions!I27</f>
        <v>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28702.7</v>
      </c>
      <c r="C6" s="0" t="n">
        <f aca="false">B6*(1+C5/100)</f>
        <v>30998.916</v>
      </c>
      <c r="D6" s="0" t="n">
        <f aca="false">C6*(1+D5/100)</f>
        <v>33478.82928</v>
      </c>
      <c r="E6" s="0" t="n">
        <f aca="false">D6*(1+E5/100)</f>
        <v>35822.3473296</v>
      </c>
      <c r="F6" s="0" t="n">
        <f aca="false">E6*(1+F5/100)</f>
        <v>37971.688169376</v>
      </c>
      <c r="G6" s="0" t="n">
        <f aca="false">F6*(1+G5/100)</f>
        <v>40249.9894595386</v>
      </c>
      <c r="H6" s="0" t="n">
        <f aca="false">G6*(1+H5/100)</f>
        <v>42262.4889325155</v>
      </c>
      <c r="I6" s="0" t="n">
        <f aca="false">H6*(1+I5/100)</f>
        <v>44375.6133791413</v>
      </c>
      <c r="J6" s="0" t="n">
        <f aca="false">I6*(1+J5/100)</f>
        <v>46150.6379143069</v>
      </c>
      <c r="K6" s="0" t="n">
        <f aca="false">J6*(1+K5/100)</f>
        <v>47765.9102413077</v>
      </c>
      <c r="L6" s="0" t="n">
        <f aca="false">K6*(1+L5/100)</f>
        <v>49198.8875485469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21</v>
      </c>
      <c r="D7" s="4" t="n">
        <f aca="false">Assumptions!D28</f>
        <v>21</v>
      </c>
      <c r="E7" s="4" t="n">
        <f aca="false">Assumptions!E28</f>
        <v>21</v>
      </c>
      <c r="F7" s="4" t="n">
        <f aca="false">Assumptions!F28</f>
        <v>21</v>
      </c>
      <c r="G7" s="4" t="n">
        <f aca="false">Assumptions!G28</f>
        <v>21</v>
      </c>
      <c r="H7" s="4" t="n">
        <f aca="false">Assumptions!H28</f>
        <v>21</v>
      </c>
      <c r="I7" s="4" t="n">
        <f aca="false">Assumptions!I28</f>
        <v>21</v>
      </c>
      <c r="J7" s="4" t="n">
        <f aca="false">Assumptions!J28</f>
        <v>21</v>
      </c>
      <c r="K7" s="4" t="n">
        <f aca="false">Assumptions!K28</f>
        <v>21</v>
      </c>
      <c r="L7" s="4" t="n">
        <f aca="false">Assumptions!L28</f>
        <v>21</v>
      </c>
    </row>
    <row r="8" customFormat="false" ht="15" hidden="false" customHeight="false" outlineLevel="0" collapsed="false">
      <c r="A8" s="0" t="s">
        <v>44</v>
      </c>
      <c r="C8" s="0" t="n">
        <f aca="false">C6*C7/100</f>
        <v>6509.77236</v>
      </c>
      <c r="D8" s="0" t="n">
        <f aca="false">D6*D7/100</f>
        <v>7030.5541488</v>
      </c>
      <c r="E8" s="0" t="n">
        <f aca="false">E6*E7/100</f>
        <v>7522.692939216</v>
      </c>
      <c r="F8" s="0" t="n">
        <f aca="false">F6*F7/100</f>
        <v>7974.05451556896</v>
      </c>
      <c r="G8" s="0" t="n">
        <f aca="false">G6*G7/100</f>
        <v>8452.4977865031</v>
      </c>
      <c r="H8" s="0" t="n">
        <f aca="false">H6*H7/100</f>
        <v>8875.12267582826</v>
      </c>
      <c r="I8" s="0" t="n">
        <f aca="false">I6*I7/100</f>
        <v>9318.87880961967</v>
      </c>
      <c r="J8" s="0" t="n">
        <f aca="false">J6*J7/100</f>
        <v>9691.63396200446</v>
      </c>
      <c r="K8" s="0" t="n">
        <f aca="false">K6*K7/100</f>
        <v>10030.8411506746</v>
      </c>
      <c r="L8" s="0" t="n">
        <f aca="false">L6*L7/100</f>
        <v>10331.7663851949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6323.778864</v>
      </c>
      <c r="D11" s="0" t="n">
        <f aca="false">D8+D10+D24</f>
        <v>6829.68117312</v>
      </c>
      <c r="E11" s="0" t="n">
        <f aca="false">E8+E10+E24</f>
        <v>7307.7588552384</v>
      </c>
      <c r="F11" s="0" t="n">
        <f aca="false">F8+F10+F24</f>
        <v>7746.22438655271</v>
      </c>
      <c r="G11" s="0" t="n">
        <f aca="false">G8+G10+G24</f>
        <v>8210.99784974587</v>
      </c>
      <c r="H11" s="0" t="n">
        <f aca="false">H8+H10+H24</f>
        <v>8621.54774223316</v>
      </c>
      <c r="I11" s="0" t="n">
        <f aca="false">I8+I10+I24</f>
        <v>9052.62512934482</v>
      </c>
      <c r="J11" s="0" t="n">
        <f aca="false">J8+J10+J24</f>
        <v>9414.73013451862</v>
      </c>
      <c r="K11" s="0" t="n">
        <f aca="false">K8+K10+K24</f>
        <v>9744.24568922677</v>
      </c>
      <c r="L11" s="0" t="n">
        <f aca="false">L8+L10+L24</f>
        <v>10036.5730599036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-1642.942548</v>
      </c>
      <c r="D12" s="4" t="n">
        <f aca="false">-D6*Assumptions!D31/100</f>
        <v>-1841.3356104</v>
      </c>
      <c r="E12" s="4" t="n">
        <f aca="false">-E6*Assumptions!E31/100</f>
        <v>-2006.0514504576</v>
      </c>
      <c r="F12" s="4" t="n">
        <f aca="false">-F6*Assumptions!F31/100</f>
        <v>-2126.41453748506</v>
      </c>
      <c r="G12" s="4" t="n">
        <f aca="false">-G6*Assumptions!G31/100</f>
        <v>-2253.99940973416</v>
      </c>
      <c r="H12" s="4" t="n">
        <f aca="false">-H6*Assumptions!H31/100</f>
        <v>-2366.69938022087</v>
      </c>
      <c r="I12" s="4" t="n">
        <f aca="false">-I6*Assumptions!I31/100</f>
        <v>-2485.03434923191</v>
      </c>
      <c r="J12" s="4" t="n">
        <f aca="false">-J6*Assumptions!J31/100</f>
        <v>-2584.43572320119</v>
      </c>
      <c r="K12" s="4" t="n">
        <f aca="false">-K6*Assumptions!K31/100</f>
        <v>-2674.89097351323</v>
      </c>
      <c r="L12" s="4" t="n">
        <f aca="false">-L6*Assumptions!L31/100</f>
        <v>-2755.13770271863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4680.836316</v>
      </c>
      <c r="D13" s="0" t="n">
        <f aca="false">D11+D12</f>
        <v>4988.34556272</v>
      </c>
      <c r="E13" s="0" t="n">
        <f aca="false">E11+E12</f>
        <v>5301.7074047808</v>
      </c>
      <c r="F13" s="0" t="n">
        <f aca="false">F11+F12</f>
        <v>5619.80984906765</v>
      </c>
      <c r="G13" s="0" t="n">
        <f aca="false">G11+G12</f>
        <v>5956.99844001171</v>
      </c>
      <c r="H13" s="0" t="n">
        <f aca="false">H11+H12</f>
        <v>6254.84836201229</v>
      </c>
      <c r="I13" s="0" t="n">
        <f aca="false">I11+I12</f>
        <v>6567.59078011291</v>
      </c>
      <c r="J13" s="0" t="n">
        <f aca="false">J11+J12</f>
        <v>6830.29441131743</v>
      </c>
      <c r="K13" s="0" t="n">
        <f aca="false">K11+K12</f>
        <v>7069.35471571354</v>
      </c>
      <c r="L13" s="0" t="n">
        <f aca="false">L11+L12</f>
        <v>7281.43535718494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13</v>
      </c>
      <c r="D14" s="4" t="n">
        <f aca="false">Assumptions!D33</f>
        <v>13.5</v>
      </c>
      <c r="E14" s="4" t="n">
        <f aca="false">Assumptions!E33</f>
        <v>14</v>
      </c>
      <c r="F14" s="4" t="n">
        <f aca="false">Assumptions!F33</f>
        <v>14.5</v>
      </c>
      <c r="G14" s="4" t="n">
        <f aca="false">Assumptions!G33</f>
        <v>15</v>
      </c>
      <c r="H14" s="4" t="n">
        <f aca="false">Assumptions!H33</f>
        <v>15</v>
      </c>
      <c r="I14" s="4" t="n">
        <f aca="false">Assumptions!I33</f>
        <v>15</v>
      </c>
      <c r="J14" s="4" t="n">
        <f aca="false">Assumptions!J33</f>
        <v>15</v>
      </c>
      <c r="K14" s="4" t="n">
        <f aca="false">Assumptions!K33</f>
        <v>15</v>
      </c>
      <c r="L14" s="4" t="n">
        <f aca="false">Assumptions!L33</f>
        <v>15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4072.32759492</v>
      </c>
      <c r="D15" s="0" t="n">
        <f aca="false">D13-MAX(0,D13)*D14/100</f>
        <v>4314.9189117528</v>
      </c>
      <c r="E15" s="0" t="n">
        <f aca="false">E13-MAX(0,E13)*E14/100</f>
        <v>4559.46836811149</v>
      </c>
      <c r="F15" s="0" t="n">
        <f aca="false">F13-MAX(0,F13)*F14/100</f>
        <v>4804.93742095284</v>
      </c>
      <c r="G15" s="0" t="n">
        <f aca="false">G13-MAX(0,G13)*G14/100</f>
        <v>5063.44867400995</v>
      </c>
      <c r="H15" s="0" t="n">
        <f aca="false">H13-MAX(0,H13)*H14/100</f>
        <v>5316.62110771045</v>
      </c>
      <c r="I15" s="0" t="n">
        <f aca="false">I13-MAX(0,I13)*I14/100</f>
        <v>5582.45216309597</v>
      </c>
      <c r="J15" s="0" t="n">
        <f aca="false">J13-MAX(0,J13)*J14/100</f>
        <v>5805.75024961981</v>
      </c>
      <c r="K15" s="0" t="n">
        <f aca="false">K13-MAX(0,K13)*K14/100</f>
        <v>6008.95150835651</v>
      </c>
      <c r="L15" s="0" t="n">
        <f aca="false">L13-MAX(0,L13)*L14/100</f>
        <v>6189.2200536072</v>
      </c>
    </row>
    <row r="16" customFormat="false" ht="15" hidden="false" customHeight="false" outlineLevel="0" collapsed="false">
      <c r="A16" s="0" t="s">
        <v>119</v>
      </c>
      <c r="C16" s="0" t="n">
        <f aca="false">-C12</f>
        <v>1642.942548</v>
      </c>
      <c r="D16" s="0" t="n">
        <f aca="false">-D12</f>
        <v>1841.3356104</v>
      </c>
      <c r="E16" s="0" t="n">
        <f aca="false">-E12</f>
        <v>2006.0514504576</v>
      </c>
      <c r="F16" s="0" t="n">
        <f aca="false">-F12</f>
        <v>2126.41453748506</v>
      </c>
      <c r="G16" s="0" t="n">
        <f aca="false">-G12</f>
        <v>2253.99940973416</v>
      </c>
      <c r="H16" s="0" t="n">
        <f aca="false">-H12</f>
        <v>2366.69938022087</v>
      </c>
      <c r="I16" s="0" t="n">
        <f aca="false">-I12</f>
        <v>2485.03434923191</v>
      </c>
      <c r="J16" s="0" t="n">
        <f aca="false">-J12</f>
        <v>2584.43572320119</v>
      </c>
      <c r="K16" s="0" t="n">
        <f aca="false">-K12</f>
        <v>2674.89097351323</v>
      </c>
      <c r="L16" s="0" t="n">
        <f aca="false">-L12</f>
        <v>2755.13770271863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-3409.88076</v>
      </c>
      <c r="D17" s="4" t="n">
        <f aca="false">-D6*Assumptions!D32/100</f>
        <v>-3180.4887816</v>
      </c>
      <c r="E17" s="4" t="n">
        <f aca="false">-E6*Assumptions!E32/100</f>
        <v>-3044.899523016</v>
      </c>
      <c r="F17" s="4" t="n">
        <f aca="false">-F6*Assumptions!F32/100</f>
        <v>-3037.73505355008</v>
      </c>
      <c r="G17" s="4" t="n">
        <f aca="false">-G6*Assumptions!G32/100</f>
        <v>-3018.74920946539</v>
      </c>
      <c r="H17" s="4" t="n">
        <f aca="false">-H6*Assumptions!H32/100</f>
        <v>-3169.68666993866</v>
      </c>
      <c r="I17" s="4" t="n">
        <f aca="false">-I6*Assumptions!I32/100</f>
        <v>-3106.29293653989</v>
      </c>
      <c r="J17" s="4" t="n">
        <f aca="false">-J6*Assumptions!J32/100</f>
        <v>-3230.54465400149</v>
      </c>
      <c r="K17" s="4" t="n">
        <f aca="false">-K6*Assumptions!K32/100</f>
        <v>-3343.61371689154</v>
      </c>
      <c r="L17" s="4" t="n">
        <f aca="false">-L6*Assumptions!L32/100</f>
        <v>-3443.92212839828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-688.8648</v>
      </c>
      <c r="D18" s="4" t="n">
        <f aca="false">(D6-C6)*Assumptions!$B$37/100</f>
        <v>-743.973984000001</v>
      </c>
      <c r="E18" s="4" t="n">
        <f aca="false">(E6-D6)*Assumptions!$B$37/100</f>
        <v>-703.055414880001</v>
      </c>
      <c r="F18" s="4" t="n">
        <f aca="false">(F6-E6)*Assumptions!$B$37/100</f>
        <v>-644.8022519328</v>
      </c>
      <c r="G18" s="4" t="n">
        <f aca="false">(G6-F6)*Assumptions!$B$37/100</f>
        <v>-683.490387048769</v>
      </c>
      <c r="H18" s="4" t="n">
        <f aca="false">(H6-G6)*Assumptions!$B$37/100</f>
        <v>-603.749841893079</v>
      </c>
      <c r="I18" s="4" t="n">
        <f aca="false">(I6-H6)*Assumptions!$B$37/100</f>
        <v>-633.937333987733</v>
      </c>
      <c r="J18" s="4" t="n">
        <f aca="false">(J6-I6)*Assumptions!$B$37/100</f>
        <v>-532.507360549697</v>
      </c>
      <c r="K18" s="4" t="n">
        <f aca="false">(K6-J6)*Assumptions!$B$37/100</f>
        <v>-484.581698100222</v>
      </c>
      <c r="L18" s="4" t="n">
        <f aca="false">(L6-K6)*Assumptions!$B$37/100</f>
        <v>-429.89319217177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1616.52458292</v>
      </c>
      <c r="D19" s="0" t="n">
        <f aca="false">D15+D16+D17+D18</f>
        <v>2231.7917565528</v>
      </c>
      <c r="E19" s="0" t="n">
        <f aca="false">E15+E16+E17+E18</f>
        <v>2817.56488067309</v>
      </c>
      <c r="F19" s="0" t="n">
        <f aca="false">F15+F16+F17+F18</f>
        <v>3248.81465295502</v>
      </c>
      <c r="G19" s="0" t="n">
        <f aca="false">G15+G16+G17+G18</f>
        <v>3615.20848722995</v>
      </c>
      <c r="H19" s="0" t="n">
        <f aca="false">H15+H16+H17+H18</f>
        <v>3909.88397609958</v>
      </c>
      <c r="I19" s="0" t="n">
        <f aca="false">I15+I16+I17+I18</f>
        <v>4327.25624180026</v>
      </c>
      <c r="J19" s="0" t="n">
        <f aca="false">J15+J16+J17+J18</f>
        <v>4627.13395826982</v>
      </c>
      <c r="K19" s="0" t="n">
        <f aca="false">K15+K16+K17+K18</f>
        <v>4855.64706687798</v>
      </c>
      <c r="L19" s="0" t="n">
        <f aca="false">L15+L16+L17+L18</f>
        <v>5070.54243575577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1476.27815791781</v>
      </c>
      <c r="D21" s="0" t="n">
        <f aca="false">D19*D20</f>
        <v>1861.33880157027</v>
      </c>
      <c r="E21" s="0" t="n">
        <f aca="false">E19*E20</f>
        <v>2146.00914283425</v>
      </c>
      <c r="F21" s="0" t="n">
        <f aca="false">F19*F20</f>
        <v>2259.79195688848</v>
      </c>
      <c r="G21" s="0" t="n">
        <f aca="false">G19*G20</f>
        <v>2296.48044685025</v>
      </c>
      <c r="H21" s="0" t="n">
        <f aca="false">H19*H20</f>
        <v>2268.18855676776</v>
      </c>
      <c r="I21" s="0" t="n">
        <f aca="false">I19*I20</f>
        <v>2292.52340823181</v>
      </c>
      <c r="J21" s="0" t="n">
        <f aca="false">J19*J20</f>
        <v>2238.71659898565</v>
      </c>
      <c r="K21" s="0" t="n">
        <f aca="false">K19*K20</f>
        <v>2145.45811262711</v>
      </c>
      <c r="L21" s="0" t="n">
        <f aca="false">L19*L20</f>
        <v>2046.03580729183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0.6</v>
      </c>
      <c r="D23" s="4" t="n">
        <f aca="false">Assumptions!D30</f>
        <v>0.6</v>
      </c>
      <c r="E23" s="4" t="n">
        <f aca="false">Assumptions!E30</f>
        <v>0.6</v>
      </c>
      <c r="F23" s="4" t="n">
        <f aca="false">Assumptions!F30</f>
        <v>0.6</v>
      </c>
      <c r="G23" s="4" t="n">
        <f aca="false">Assumptions!G30</f>
        <v>0.6</v>
      </c>
      <c r="H23" s="4" t="n">
        <f aca="false">Assumptions!H30</f>
        <v>0.6</v>
      </c>
      <c r="I23" s="4" t="n">
        <f aca="false">Assumptions!I30</f>
        <v>0.6</v>
      </c>
      <c r="J23" s="4" t="n">
        <f aca="false">Assumptions!J30</f>
        <v>0.6</v>
      </c>
      <c r="K23" s="4" t="n">
        <f aca="false">Assumptions!K30</f>
        <v>0.6</v>
      </c>
      <c r="L23" s="4" t="n">
        <f aca="false">Assumptions!L30</f>
        <v>0.6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-185.993496</v>
      </c>
      <c r="D24" s="0" t="n">
        <f aca="false">-D6*D23/100</f>
        <v>-200.87297568</v>
      </c>
      <c r="E24" s="0" t="n">
        <f aca="false">-E6*E23/100</f>
        <v>-214.9340839776</v>
      </c>
      <c r="F24" s="0" t="n">
        <f aca="false">-F6*F23/100</f>
        <v>-227.830129016256</v>
      </c>
      <c r="G24" s="0" t="n">
        <f aca="false">-G6*G23/100</f>
        <v>-241.499936757231</v>
      </c>
      <c r="H24" s="0" t="n">
        <f aca="false">-H6*H23/100</f>
        <v>-253.574933595093</v>
      </c>
      <c r="I24" s="0" t="n">
        <f aca="false">-I6*I23/100</f>
        <v>-266.253680274848</v>
      </c>
      <c r="J24" s="0" t="n">
        <f aca="false">-J6*J23/100</f>
        <v>-276.903827485842</v>
      </c>
      <c r="K24" s="0" t="n">
        <f aca="false">-K6*K23/100</f>
        <v>-286.595461447846</v>
      </c>
      <c r="L24" s="0" t="n">
        <f aca="false">-L6*L23/100</f>
        <v>-295.193325291281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21030.8209899652</v>
      </c>
    </row>
    <row r="31" customFormat="false" ht="15" hidden="false" customHeight="false" outlineLevel="0" collapsed="false">
      <c r="A31" s="0" t="s">
        <v>128</v>
      </c>
      <c r="B31" s="0" t="n">
        <f aca="false">L19</f>
        <v>5070.54243575577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74247.2285235667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76058.1365363366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74247.2285235667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29959.8100353447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50990.6310253099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61205.5310253099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54.0303128394316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1.02664339232676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54.0303128394316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41578.4479731973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32.2709971247097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10</v>
      </c>
      <c r="D5" s="4" t="n">
        <f aca="false">Assumptions!D41</f>
        <v>10</v>
      </c>
      <c r="E5" s="4" t="n">
        <f aca="false">Assumptions!E41</f>
        <v>9</v>
      </c>
      <c r="F5" s="4" t="n">
        <f aca="false">Assumptions!F41</f>
        <v>8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28702.7</v>
      </c>
      <c r="C6" s="0" t="n">
        <f aca="false">B6*(1+C5/100)</f>
        <v>31572.97</v>
      </c>
      <c r="D6" s="0" t="n">
        <f aca="false">C6*(1+D5/100)</f>
        <v>34730.267</v>
      </c>
      <c r="E6" s="0" t="n">
        <f aca="false">D6*(1+E5/100)</f>
        <v>37855.99103</v>
      </c>
      <c r="F6" s="0" t="n">
        <f aca="false">E6*(1+F5/100)</f>
        <v>40884.4703124</v>
      </c>
      <c r="G6" s="0" t="n">
        <f aca="false">F6*(1+G5/100)</f>
        <v>44155.227937392</v>
      </c>
      <c r="H6" s="0" t="n">
        <f aca="false">G6*(1+H5/100)</f>
        <v>47246.0938930095</v>
      </c>
      <c r="I6" s="0" t="n">
        <f aca="false">H6*(1+I5/100)</f>
        <v>50080.85952659</v>
      </c>
      <c r="J6" s="0" t="n">
        <f aca="false">I6*(1+J5/100)</f>
        <v>52584.9025029195</v>
      </c>
      <c r="K6" s="0" t="n">
        <f aca="false">J6*(1+K5/100)</f>
        <v>54688.2986030363</v>
      </c>
      <c r="L6" s="0" t="n">
        <f aca="false">K6*(1+L5/100)</f>
        <v>56328.9475611274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21.5</v>
      </c>
      <c r="D7" s="4" t="n">
        <f aca="false">Assumptions!D42</f>
        <v>21.8</v>
      </c>
      <c r="E7" s="4" t="n">
        <f aca="false">Assumptions!E42</f>
        <v>22</v>
      </c>
      <c r="F7" s="4" t="n">
        <f aca="false">Assumptions!F42</f>
        <v>22.3</v>
      </c>
      <c r="G7" s="4" t="n">
        <f aca="false">Assumptions!G42</f>
        <v>22.5</v>
      </c>
      <c r="H7" s="4" t="n">
        <f aca="false">Assumptions!H42</f>
        <v>22.7</v>
      </c>
      <c r="I7" s="4" t="n">
        <f aca="false">Assumptions!I42</f>
        <v>23</v>
      </c>
      <c r="J7" s="4" t="n">
        <f aca="false">Assumptions!J42</f>
        <v>23</v>
      </c>
      <c r="K7" s="4" t="n">
        <f aca="false">Assumptions!K42</f>
        <v>23</v>
      </c>
      <c r="L7" s="4" t="n">
        <f aca="false">Assumptions!L42</f>
        <v>23</v>
      </c>
    </row>
    <row r="8" customFormat="false" ht="15" hidden="false" customHeight="false" outlineLevel="0" collapsed="false">
      <c r="A8" s="0" t="s">
        <v>44</v>
      </c>
      <c r="C8" s="0" t="n">
        <f aca="false">C6*C7/100</f>
        <v>6788.18855</v>
      </c>
      <c r="D8" s="0" t="n">
        <f aca="false">D6*D7/100</f>
        <v>7571.198206</v>
      </c>
      <c r="E8" s="0" t="n">
        <f aca="false">E6*E7/100</f>
        <v>8328.3180266</v>
      </c>
      <c r="F8" s="0" t="n">
        <f aca="false">F6*F7/100</f>
        <v>9117.2368796652</v>
      </c>
      <c r="G8" s="0" t="n">
        <f aca="false">G6*G7/100</f>
        <v>9934.9262859132</v>
      </c>
      <c r="H8" s="0" t="n">
        <f aca="false">H6*H7/100</f>
        <v>10724.8633137131</v>
      </c>
      <c r="I8" s="0" t="n">
        <f aca="false">I6*I7/100</f>
        <v>11518.5976911157</v>
      </c>
      <c r="J8" s="0" t="n">
        <f aca="false">J6*J7/100</f>
        <v>12094.5275756715</v>
      </c>
      <c r="K8" s="0" t="n">
        <f aca="false">K6*K7/100</f>
        <v>12578.3086786984</v>
      </c>
      <c r="L8" s="0" t="n">
        <f aca="false">L6*L7/100</f>
        <v>12955.6579390593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6598.75073</v>
      </c>
      <c r="D11" s="0" t="n">
        <f aca="false">D8+D10+D24</f>
        <v>7362.816604</v>
      </c>
      <c r="E11" s="0" t="n">
        <f aca="false">E8+E10+E24</f>
        <v>8101.18208042</v>
      </c>
      <c r="F11" s="0" t="n">
        <f aca="false">F8+F10+F24</f>
        <v>8871.9300577908</v>
      </c>
      <c r="G11" s="0" t="n">
        <f aca="false">G8+G10+G24</f>
        <v>9669.99491828885</v>
      </c>
      <c r="H11" s="0" t="n">
        <f aca="false">H8+H10+H24</f>
        <v>10441.3867503551</v>
      </c>
      <c r="I11" s="0" t="n">
        <f aca="false">I8+I10+I24</f>
        <v>11218.1125339562</v>
      </c>
      <c r="J11" s="0" t="n">
        <f aca="false">J8+J10+J24</f>
        <v>11779.018160654</v>
      </c>
      <c r="K11" s="0" t="n">
        <f aca="false">K8+K10+K24</f>
        <v>12250.1788870801</v>
      </c>
      <c r="L11" s="0" t="n">
        <f aca="false">L8+L10+L24</f>
        <v>12617.6842536925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-1673.36741</v>
      </c>
      <c r="D12" s="4" t="n">
        <f aca="false">-D6*Assumptions!D45/100</f>
        <v>-1910.164685</v>
      </c>
      <c r="E12" s="4" t="n">
        <f aca="false">-E6*Assumptions!E45/100</f>
        <v>-2119.93549768</v>
      </c>
      <c r="F12" s="4" t="n">
        <f aca="false">-F6*Assumptions!F45/100</f>
        <v>-2289.5303374944</v>
      </c>
      <c r="G12" s="4" t="n">
        <f aca="false">-G6*Assumptions!G45/100</f>
        <v>-2472.69276449395</v>
      </c>
      <c r="H12" s="4" t="n">
        <f aca="false">-H6*Assumptions!H45/100</f>
        <v>-2645.78125800853</v>
      </c>
      <c r="I12" s="4" t="n">
        <f aca="false">-I6*Assumptions!I45/100</f>
        <v>-2804.52813348904</v>
      </c>
      <c r="J12" s="4" t="n">
        <f aca="false">-J6*Assumptions!J45/100</f>
        <v>-2944.75454016349</v>
      </c>
      <c r="K12" s="4" t="n">
        <f aca="false">-K6*Assumptions!K45/100</f>
        <v>-3062.54472177003</v>
      </c>
      <c r="L12" s="4" t="n">
        <f aca="false">-L6*Assumptions!L45/100</f>
        <v>-3154.42106342314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4925.38332</v>
      </c>
      <c r="D13" s="0" t="n">
        <f aca="false">D11+D12</f>
        <v>5452.651919</v>
      </c>
      <c r="E13" s="0" t="n">
        <f aca="false">E11+E12</f>
        <v>5981.24658274</v>
      </c>
      <c r="F13" s="0" t="n">
        <f aca="false">F11+F12</f>
        <v>6582.3997202964</v>
      </c>
      <c r="G13" s="0" t="n">
        <f aca="false">G11+G12</f>
        <v>7197.3021537949</v>
      </c>
      <c r="H13" s="0" t="n">
        <f aca="false">H11+H12</f>
        <v>7795.60549234656</v>
      </c>
      <c r="I13" s="0" t="n">
        <f aca="false">I11+I12</f>
        <v>8413.58440046713</v>
      </c>
      <c r="J13" s="0" t="n">
        <f aca="false">J11+J12</f>
        <v>8834.26362049048</v>
      </c>
      <c r="K13" s="0" t="n">
        <f aca="false">K11+K12</f>
        <v>9187.6341653101</v>
      </c>
      <c r="L13" s="0" t="n">
        <f aca="false">L11+L12</f>
        <v>9463.26319026941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13</v>
      </c>
      <c r="D14" s="4" t="n">
        <f aca="false">Assumptions!D47</f>
        <v>13</v>
      </c>
      <c r="E14" s="4" t="n">
        <f aca="false">Assumptions!E47</f>
        <v>13.5</v>
      </c>
      <c r="F14" s="4" t="n">
        <f aca="false">Assumptions!F47</f>
        <v>13.5</v>
      </c>
      <c r="G14" s="4" t="n">
        <f aca="false">Assumptions!G47</f>
        <v>14</v>
      </c>
      <c r="H14" s="4" t="n">
        <f aca="false">Assumptions!H47</f>
        <v>14</v>
      </c>
      <c r="I14" s="4" t="n">
        <f aca="false">Assumptions!I47</f>
        <v>14</v>
      </c>
      <c r="J14" s="4" t="n">
        <f aca="false">Assumptions!J47</f>
        <v>14</v>
      </c>
      <c r="K14" s="4" t="n">
        <f aca="false">Assumptions!K47</f>
        <v>14</v>
      </c>
      <c r="L14" s="4" t="n">
        <f aca="false">Assumptions!L47</f>
        <v>14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4285.0834884</v>
      </c>
      <c r="D15" s="0" t="n">
        <f aca="false">D13-MAX(0,D13)*D14/100</f>
        <v>4743.80716953</v>
      </c>
      <c r="E15" s="0" t="n">
        <f aca="false">E13-MAX(0,E13)*E14/100</f>
        <v>5173.7782940701</v>
      </c>
      <c r="F15" s="0" t="n">
        <f aca="false">F13-MAX(0,F13)*F14/100</f>
        <v>5693.77575805639</v>
      </c>
      <c r="G15" s="0" t="n">
        <f aca="false">G13-MAX(0,G13)*G14/100</f>
        <v>6189.67985226361</v>
      </c>
      <c r="H15" s="0" t="n">
        <f aca="false">H13-MAX(0,H13)*H14/100</f>
        <v>6704.22072341804</v>
      </c>
      <c r="I15" s="0" t="n">
        <f aca="false">I13-MAX(0,I13)*I14/100</f>
        <v>7235.68258440173</v>
      </c>
      <c r="J15" s="0" t="n">
        <f aca="false">J13-MAX(0,J13)*J14/100</f>
        <v>7597.46671362181</v>
      </c>
      <c r="K15" s="0" t="n">
        <f aca="false">K13-MAX(0,K13)*K14/100</f>
        <v>7901.36538216669</v>
      </c>
      <c r="L15" s="0" t="n">
        <f aca="false">L13-MAX(0,L13)*L14/100</f>
        <v>8138.40634363169</v>
      </c>
    </row>
    <row r="16" customFormat="false" ht="15" hidden="false" customHeight="false" outlineLevel="0" collapsed="false">
      <c r="A16" s="0" t="s">
        <v>119</v>
      </c>
      <c r="C16" s="0" t="n">
        <f aca="false">-C12</f>
        <v>1673.36741</v>
      </c>
      <c r="D16" s="0" t="n">
        <f aca="false">-D12</f>
        <v>1910.164685</v>
      </c>
      <c r="E16" s="0" t="n">
        <f aca="false">-E12</f>
        <v>2119.93549768</v>
      </c>
      <c r="F16" s="0" t="n">
        <f aca="false">-F12</f>
        <v>2289.5303374944</v>
      </c>
      <c r="G16" s="0" t="n">
        <f aca="false">-G12</f>
        <v>2472.69276449395</v>
      </c>
      <c r="H16" s="0" t="n">
        <f aca="false">-H12</f>
        <v>2645.78125800853</v>
      </c>
      <c r="I16" s="0" t="n">
        <f aca="false">-I12</f>
        <v>2804.52813348904</v>
      </c>
      <c r="J16" s="0" t="n">
        <f aca="false">-J12</f>
        <v>2944.75454016349</v>
      </c>
      <c r="K16" s="0" t="n">
        <f aca="false">-K12</f>
        <v>3062.54472177003</v>
      </c>
      <c r="L16" s="0" t="n">
        <f aca="false">-L12</f>
        <v>3154.42106342314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-3473.0267</v>
      </c>
      <c r="D17" s="4" t="n">
        <f aca="false">-D6*Assumptions!D46/100</f>
        <v>-3125.72403</v>
      </c>
      <c r="E17" s="4" t="n">
        <f aca="false">-E6*Assumptions!E46/100</f>
        <v>-3028.4792824</v>
      </c>
      <c r="F17" s="4" t="n">
        <f aca="false">-F6*Assumptions!F46/100</f>
        <v>-3066.33527343</v>
      </c>
      <c r="G17" s="4" t="n">
        <f aca="false">-G6*Assumptions!G46/100</f>
        <v>-3090.86595561744</v>
      </c>
      <c r="H17" s="4" t="n">
        <f aca="false">-H6*Assumptions!H46/100</f>
        <v>-3307.22657251066</v>
      </c>
      <c r="I17" s="4" t="n">
        <f aca="false">-I6*Assumptions!I46/100</f>
        <v>-3255.25586922835</v>
      </c>
      <c r="J17" s="4" t="n">
        <f aca="false">-J6*Assumptions!J46/100</f>
        <v>-3418.01866268977</v>
      </c>
      <c r="K17" s="4" t="n">
        <f aca="false">-K6*Assumptions!K46/100</f>
        <v>-3554.73940919736</v>
      </c>
      <c r="L17" s="4" t="n">
        <f aca="false">-L6*Assumptions!L46/100</f>
        <v>-3661.38159147328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-717.567500000001</v>
      </c>
      <c r="D18" s="4" t="n">
        <f aca="false">(D6-C6)*Assumptions!$B$51/100</f>
        <v>-789.324250000001</v>
      </c>
      <c r="E18" s="4" t="n">
        <f aca="false">(E6-D6)*Assumptions!$B$51/100</f>
        <v>-781.431007500001</v>
      </c>
      <c r="F18" s="4" t="n">
        <f aca="false">(F6-E6)*Assumptions!$B$51/100</f>
        <v>-757.119820600001</v>
      </c>
      <c r="G18" s="4" t="n">
        <f aca="false">(G6-F6)*Assumptions!$B$51/100</f>
        <v>-817.689406248</v>
      </c>
      <c r="H18" s="4" t="n">
        <f aca="false">(H6-G6)*Assumptions!$B$51/100</f>
        <v>-772.716488904362</v>
      </c>
      <c r="I18" s="4" t="n">
        <f aca="false">(I6-H6)*Assumptions!$B$51/100</f>
        <v>-708.691408395143</v>
      </c>
      <c r="J18" s="4" t="n">
        <f aca="false">(J6-I6)*Assumptions!$B$51/100</f>
        <v>-626.010744082376</v>
      </c>
      <c r="K18" s="4" t="n">
        <f aca="false">(K6-J6)*Assumptions!$B$51/100</f>
        <v>-525.849025029196</v>
      </c>
      <c r="L18" s="4" t="n">
        <f aca="false">(L6-K6)*Assumptions!$B$51/100</f>
        <v>-410.162239522773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1767.8566984</v>
      </c>
      <c r="D19" s="0" t="n">
        <f aca="false">D15+D16+D17+D18</f>
        <v>2738.92357453</v>
      </c>
      <c r="E19" s="0" t="n">
        <f aca="false">E15+E16+E17+E18</f>
        <v>3483.8035018501</v>
      </c>
      <c r="F19" s="0" t="n">
        <f aca="false">F15+F16+F17+F18</f>
        <v>4159.85100152079</v>
      </c>
      <c r="G19" s="0" t="n">
        <f aca="false">G15+G16+G17+G18</f>
        <v>4753.81725489212</v>
      </c>
      <c r="H19" s="0" t="n">
        <f aca="false">H15+H16+H17+H18</f>
        <v>5270.05892001155</v>
      </c>
      <c r="I19" s="0" t="n">
        <f aca="false">I15+I16+I17+I18</f>
        <v>6076.26344026728</v>
      </c>
      <c r="J19" s="0" t="n">
        <f aca="false">J15+J16+J17+J18</f>
        <v>6498.19184701316</v>
      </c>
      <c r="K19" s="0" t="n">
        <f aca="false">K15+K16+K17+K18</f>
        <v>6883.32166971016</v>
      </c>
      <c r="L19" s="0" t="n">
        <f aca="false">L15+L16+L17+L18</f>
        <v>7221.28357605877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1614.48100310502</v>
      </c>
      <c r="D21" s="0" t="n">
        <f aca="false">D19*D20</f>
        <v>2284.29229960176</v>
      </c>
      <c r="E21" s="0" t="n">
        <f aca="false">E19*E20</f>
        <v>2653.45235458155</v>
      </c>
      <c r="F21" s="0" t="n">
        <f aca="false">F19*F20</f>
        <v>2893.48542138003</v>
      </c>
      <c r="G21" s="0" t="n">
        <f aca="false">G19*G20</f>
        <v>3019.75623600175</v>
      </c>
      <c r="H21" s="0" t="n">
        <f aca="false">H19*H20</f>
        <v>3057.24860607925</v>
      </c>
      <c r="I21" s="0" t="n">
        <f aca="false">I19*I20</f>
        <v>3219.12440424388</v>
      </c>
      <c r="J21" s="0" t="n">
        <f aca="false">J19*J20</f>
        <v>3143.97855832582</v>
      </c>
      <c r="K21" s="0" t="n">
        <f aca="false">K19*K20</f>
        <v>3041.38215045291</v>
      </c>
      <c r="L21" s="0" t="n">
        <f aca="false">L19*L20</f>
        <v>2913.89036940826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0.6</v>
      </c>
      <c r="D23" s="4" t="n">
        <f aca="false">Assumptions!D44</f>
        <v>0.6</v>
      </c>
      <c r="E23" s="4" t="n">
        <f aca="false">Assumptions!E44</f>
        <v>0.6</v>
      </c>
      <c r="F23" s="4" t="n">
        <f aca="false">Assumptions!F44</f>
        <v>0.6</v>
      </c>
      <c r="G23" s="4" t="n">
        <f aca="false">Assumptions!G44</f>
        <v>0.6</v>
      </c>
      <c r="H23" s="4" t="n">
        <f aca="false">Assumptions!H44</f>
        <v>0.6</v>
      </c>
      <c r="I23" s="4" t="n">
        <f aca="false">Assumptions!I44</f>
        <v>0.6</v>
      </c>
      <c r="J23" s="4" t="n">
        <f aca="false">Assumptions!J44</f>
        <v>0.6</v>
      </c>
      <c r="K23" s="4" t="n">
        <f aca="false">Assumptions!K44</f>
        <v>0.6</v>
      </c>
      <c r="L23" s="4" t="n">
        <f aca="false">Assumptions!L44</f>
        <v>0.6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-189.43782</v>
      </c>
      <c r="D24" s="0" t="n">
        <f aca="false">-D6*D23/100</f>
        <v>-208.381602</v>
      </c>
      <c r="E24" s="0" t="n">
        <f aca="false">-E6*E23/100</f>
        <v>-227.13594618</v>
      </c>
      <c r="F24" s="0" t="n">
        <f aca="false">-F6*F23/100</f>
        <v>-245.3068218744</v>
      </c>
      <c r="G24" s="0" t="n">
        <f aca="false">-G6*G23/100</f>
        <v>-264.931367624352</v>
      </c>
      <c r="H24" s="0" t="n">
        <f aca="false">-H6*H23/100</f>
        <v>-283.476563358057</v>
      </c>
      <c r="I24" s="0" t="n">
        <f aca="false">-I6*I23/100</f>
        <v>-300.48515715954</v>
      </c>
      <c r="J24" s="0" t="n">
        <f aca="false">-J6*J23/100</f>
        <v>-315.509415017517</v>
      </c>
      <c r="K24" s="0" t="n">
        <f aca="false">-K6*K23/100</f>
        <v>-328.129791618218</v>
      </c>
      <c r="L24" s="0" t="n">
        <f aca="false">-L6*L23/100</f>
        <v>-337.973685366764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27841.0914031802</v>
      </c>
    </row>
    <row r="31" customFormat="false" ht="15" hidden="false" customHeight="false" outlineLevel="0" collapsed="false">
      <c r="A31" s="0" t="s">
        <v>128</v>
      </c>
      <c r="B31" s="0" t="n">
        <f aca="false">L19</f>
        <v>7221.28357605877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114429.570512931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129983.104369058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114429.570512931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46173.9550844694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74015.0464876496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84229.9464876496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74.3555407973563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1.78903003741021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74.3555407973563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61982.6840278378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41.141889012246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24.4551220926974</v>
      </c>
      <c r="C4" s="0" t="n">
        <f aca="false">B4/Assumptions!$B$2-1</f>
        <v>-0.0827035974232036</v>
      </c>
      <c r="D4" s="4" t="n">
        <f aca="false">Assumptions!$B$24</f>
        <v>0.3</v>
      </c>
      <c r="E4" s="4" t="n">
        <f aca="false">DCF_Bear!$B$43</f>
        <v>24.4551220926974</v>
      </c>
      <c r="F4" s="4" t="n">
        <f aca="false">DCF_Bear!$B$47</f>
        <v>18.2927087117708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54.0303128394316</v>
      </c>
      <c r="C5" s="0" t="n">
        <f aca="false">B5/Assumptions!$B$2-1</f>
        <v>1.02664339232676</v>
      </c>
      <c r="D5" s="4" t="n">
        <f aca="false">Assumptions!$B$38</f>
        <v>0.5</v>
      </c>
      <c r="E5" s="4" t="n">
        <f aca="false">DCF_Base!$B$43</f>
        <v>54.0303128394316</v>
      </c>
      <c r="F5" s="4" t="n">
        <f aca="false">DCF_Base!$B$47</f>
        <v>32.2709971247097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74.3555407973563</v>
      </c>
      <c r="C6" s="0" t="n">
        <f aca="false">B6/Assumptions!$B$2-1</f>
        <v>1.78903003741021</v>
      </c>
      <c r="D6" s="4" t="n">
        <f aca="false">Assumptions!$B$52</f>
        <v>0.2</v>
      </c>
      <c r="E6" s="4" t="n">
        <f aca="false">DCF_Bull!$B$43</f>
        <v>74.3555407973563</v>
      </c>
      <c r="F6" s="4" t="n">
        <f aca="false">DCF_Bull!$B$47</f>
        <v>41.141889012246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49.2228012069963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49.2228012069963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0.458381088717667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29.8516889783353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56.4347373101539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54.0303128394316</v>
      </c>
      <c r="C16" s="3" t="n">
        <v>9.5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50.6948040967723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45.2233496256931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40.928936294276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32.2709971247097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62.2358609005152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62.2358609005152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62.2358609005152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62.2358609005152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62.2358609005152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57.288320710622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58.2781808956981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58.2781808956981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58.2781808956981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58.2781808956981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50.4985939028432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52.1467294065844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54.0303128394316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54.6753756588997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54.6753756588997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45.2531372545863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46.4442402054505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47.7842310251728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49.3028872875247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51.0384944444983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41.0864720983033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41.9709231978281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42.9536466417446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44.0519846084747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45.2876148210461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2026-10-22T14:41:37Z</dcterms:created>
  <dc:creator>openpyxl</dc:creator>
  <dc:description/>
  <dc:language>en-NZ</dc:language>
  <cp:lastModifiedBy/>
  <dcterms:modified xsi:type="dcterms:W3CDTF">2026-10-22T14:41:37Z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