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Actuals" sheetId="2" state="visible" r:id="rId2"/>
    <sheet name="Assumptions" sheetId="3" state="visible" r:id="rId3"/>
    <sheet name="DCF_Bear" sheetId="4" state="visible" r:id="rId4"/>
    <sheet name="DCF_Base" sheetId="5" state="visible" r:id="rId5"/>
    <sheet name="DCF_Bull" sheetId="6" state="visible" r:id="rId6"/>
    <sheet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Ticker</t>
        </is>
      </c>
      <c r="B1" t="inlineStr">
        <is>
          <t>BXB.AX</t>
        </is>
      </c>
    </row>
    <row r="2">
      <c r="A2" t="inlineStr">
        <is>
          <t>Company</t>
        </is>
      </c>
      <c r="B2" t="inlineStr">
        <is>
          <t>Brambles Limited</t>
        </is>
      </c>
    </row>
    <row r="3">
      <c r="A3" t="inlineStr">
        <is>
          <t>Valuation date</t>
        </is>
      </c>
      <c r="B3" t="inlineStr">
        <is>
          <t>2026-09-22</t>
        </is>
      </c>
    </row>
    <row r="4">
      <c r="A4" t="inlineStr">
        <is>
          <t>Current price</t>
        </is>
      </c>
      <c r="B4" t="n">
        <v>18.44</v>
      </c>
    </row>
    <row r="5">
      <c r="A5" t="inlineStr">
        <is>
          <t>Price as of</t>
        </is>
      </c>
      <c r="B5" t="inlineStr">
        <is>
          <t>2026-09-22T05:12:58Z regular ASX session (15:12 AEST), not after-hours</t>
        </is>
      </c>
    </row>
    <row r="6">
      <c r="A6" t="inlineStr">
        <is>
          <t>Balance sheet date</t>
        </is>
      </c>
      <c r="B6" t="inlineStr">
        <is>
          <t>2025-12-31</t>
        </is>
      </c>
    </row>
    <row r="7">
      <c r="A7" t="inlineStr">
        <is>
          <t>Model</t>
        </is>
      </c>
      <c r="B7" t="inlineStr">
        <is>
          <t>owner_fcf_dcf_component</t>
        </is>
      </c>
    </row>
    <row r="8">
      <c r="A8" t="inlineStr">
        <is>
          <t>Currency (model)</t>
        </is>
      </c>
      <c r="B8" t="inlineStr">
        <is>
          <t>USD</t>
        </is>
      </c>
    </row>
    <row r="9">
      <c r="A9" t="inlineStr">
        <is>
          <t>Currency (quote)</t>
        </is>
      </c>
      <c r="B9" t="inlineStr">
        <is>
          <t>AUD</t>
        </is>
      </c>
    </row>
    <row r="10">
      <c r="A10" t="inlineStr">
        <is>
          <t>Units</t>
        </is>
      </c>
      <c r="B10" t="inlineStr">
        <is>
          <t>millions</t>
        </is>
      </c>
    </row>
    <row r="11">
      <c r="A11" t="inlineStr">
        <is>
          <t>Engine</t>
        </is>
      </c>
      <c r="B11" t="inlineStr">
        <is>
          <t>dcf_engine v1</t>
        </is>
      </c>
    </row>
    <row r="12">
      <c r="A12" t="inlineStr">
        <is>
          <t>Built at</t>
        </is>
      </c>
      <c r="B12" t="inlineStr">
        <is>
          <t>2026-09-22T05:37:04Z</t>
        </is>
      </c>
    </row>
    <row r="13">
      <c r="A13" t="inlineStr">
        <is>
          <t>Drivers file</t>
        </is>
      </c>
      <c r="B13" t="inlineStr">
        <is>
          <t>BXB.AX_Drivers.json</t>
        </is>
      </c>
    </row>
    <row r="14">
      <c r="A14" t="inlineStr">
        <is>
          <t>Convention</t>
        </is>
      </c>
      <c r="B14" t="inlineStr">
        <is>
          <t>Percents stored as percents; formulas divide by 100. Blue = input, green = link, black =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CostOfRevenue</t>
        </is>
      </c>
      <c r="D1" s="1" t="inlineStr">
        <is>
          <t>GrossProfit</t>
        </is>
      </c>
      <c r="E1" s="1" t="inlineStr">
        <is>
          <t>GrossMargin</t>
        </is>
      </c>
      <c r="F1" s="1" t="inlineStr">
        <is>
          <t>OperatingIncome</t>
        </is>
      </c>
      <c r="G1" s="1" t="inlineStr">
        <is>
          <t>OperatingMargin</t>
        </is>
      </c>
      <c r="H1" s="1" t="inlineStr">
        <is>
          <t>EBITDA</t>
        </is>
      </c>
      <c r="I1" s="1" t="inlineStr">
        <is>
          <t>NetIncome</t>
        </is>
      </c>
      <c r="J1" s="1" t="inlineStr">
        <is>
          <t>NetMargin</t>
        </is>
      </c>
      <c r="K1" s="1" t="inlineStr">
        <is>
          <t>EPS</t>
        </is>
      </c>
      <c r="L1" s="1" t="inlineStr">
        <is>
          <t>OperatingCashFlow</t>
        </is>
      </c>
      <c r="M1" s="1" t="inlineStr">
        <is>
          <t>CapEx</t>
        </is>
      </c>
      <c r="N1" s="1" t="inlineStr">
        <is>
          <t>FreeCashFlow</t>
        </is>
      </c>
      <c r="O1" s="1" t="inlineStr">
        <is>
          <t>ShareholdersEquity</t>
        </is>
      </c>
      <c r="P1" s="1" t="inlineStr">
        <is>
          <t>TotalAssets</t>
        </is>
      </c>
      <c r="Q1" s="1" t="inlineStr">
        <is>
          <t>TotalLiabilities</t>
        </is>
      </c>
      <c r="R1" s="1" t="inlineStr">
        <is>
          <t>TotalDebt</t>
        </is>
      </c>
      <c r="S1" s="1" t="inlineStr">
        <is>
          <t>CashAndEquivalents</t>
        </is>
      </c>
      <c r="T1" s="1" t="inlineStr">
        <is>
          <t>SharesOutstanding</t>
        </is>
      </c>
      <c r="U1" s="1" t="inlineStr">
        <is>
          <t>StockBasedComp</t>
        </is>
      </c>
      <c r="V1" s="1" t="inlineStr">
        <is>
          <t>DividendPerShare</t>
        </is>
      </c>
      <c r="W1" s="1" t="inlineStr">
        <is>
          <t>EBITDABeforeSignificant</t>
        </is>
      </c>
      <c r="X1" s="1" t="inlineStr">
        <is>
          <t>RevenueContinuing</t>
        </is>
      </c>
      <c r="Y1" s="1" t="inlineStr">
        <is>
          <t>EBITDAContinuingBeforeSignificant</t>
        </is>
      </c>
      <c r="Z1" s="1" t="inlineStr">
        <is>
          <t>EBITContinuingBeforeSignificant</t>
        </is>
      </c>
      <c r="AA1" s="1" t="inlineStr">
        <is>
          <t>Units</t>
        </is>
      </c>
      <c r="AB1" s="1" t="inlineStr">
        <is>
          <t>Currency</t>
        </is>
      </c>
      <c r="AC1" s="1" t="inlineStr">
        <is>
          <t>UnderlyingProfit</t>
        </is>
      </c>
    </row>
    <row r="2">
      <c r="A2" t="inlineStr">
        <is>
          <t>FY2018</t>
        </is>
      </c>
      <c r="B2" t="n">
        <v>4470.3</v>
      </c>
      <c r="F2" t="n">
        <v>778.7</v>
      </c>
      <c r="G2" t="n">
        <v>17.4</v>
      </c>
      <c r="H2" t="n">
        <v>1243</v>
      </c>
      <c r="I2" t="n">
        <v>692.7</v>
      </c>
      <c r="J2" t="n">
        <v>15.5</v>
      </c>
      <c r="K2" t="n">
        <v>43.5</v>
      </c>
      <c r="L2" t="n">
        <v>1423</v>
      </c>
      <c r="M2" t="n">
        <v>1157.9</v>
      </c>
      <c r="N2" t="n">
        <v>265.1</v>
      </c>
      <c r="O2" t="n">
        <v>2778.4</v>
      </c>
      <c r="P2" t="n">
        <v>7827.6</v>
      </c>
      <c r="Q2" t="n">
        <v>5049.2</v>
      </c>
      <c r="R2" t="n">
        <v>2488.3</v>
      </c>
      <c r="S2" t="n">
        <v>180.2</v>
      </c>
      <c r="T2" t="n">
        <v>1591.2</v>
      </c>
      <c r="U2" t="n">
        <v>15.9</v>
      </c>
      <c r="AA2" t="inlineStr">
        <is>
          <t>millions</t>
        </is>
      </c>
      <c r="AB2" t="inlineStr">
        <is>
          <t>USD</t>
        </is>
      </c>
      <c r="AC2" t="n">
        <v>826.1</v>
      </c>
    </row>
    <row r="3">
      <c r="A3" t="inlineStr">
        <is>
          <t>FY2019</t>
        </is>
      </c>
      <c r="B3" t="n">
        <v>4595.3</v>
      </c>
      <c r="F3" t="n">
        <v>740.9</v>
      </c>
      <c r="G3" t="n">
        <v>16.1</v>
      </c>
      <c r="H3" t="n">
        <v>1225.2</v>
      </c>
      <c r="I3" t="n">
        <v>1467.7</v>
      </c>
      <c r="J3" t="n">
        <v>31.9</v>
      </c>
      <c r="K3" t="n">
        <v>92.09999999999999</v>
      </c>
      <c r="L3" t="n">
        <v>1338.4</v>
      </c>
      <c r="M3" t="n">
        <v>1230</v>
      </c>
      <c r="N3" t="n">
        <v>108.4</v>
      </c>
      <c r="O3" t="n">
        <v>3808.2</v>
      </c>
      <c r="P3" t="n">
        <v>7730.3</v>
      </c>
      <c r="Q3" t="n">
        <v>3922.1</v>
      </c>
      <c r="R3" t="n">
        <v>2200.2</v>
      </c>
      <c r="S3" t="n">
        <v>1691.3</v>
      </c>
      <c r="T3" t="n">
        <v>1593.4</v>
      </c>
      <c r="U3" t="n">
        <v>17.1</v>
      </c>
      <c r="AA3" t="inlineStr">
        <is>
          <t>millions</t>
        </is>
      </c>
      <c r="AB3" t="inlineStr">
        <is>
          <t>USD</t>
        </is>
      </c>
      <c r="AC3" t="n">
        <v>803.7</v>
      </c>
    </row>
    <row r="4">
      <c r="A4" t="inlineStr">
        <is>
          <t>FY2022</t>
        </is>
      </c>
      <c r="B4" t="n">
        <v>5519.8</v>
      </c>
      <c r="F4" t="n">
        <v>930</v>
      </c>
      <c r="G4" t="n">
        <v>16.8</v>
      </c>
      <c r="H4" t="n">
        <v>1841.5</v>
      </c>
      <c r="I4" t="n">
        <v>593.3</v>
      </c>
      <c r="J4" t="n">
        <v>10.7</v>
      </c>
      <c r="K4" t="n">
        <v>41.9</v>
      </c>
      <c r="L4" t="n">
        <v>1585.8</v>
      </c>
      <c r="M4" t="n">
        <v>1672.1</v>
      </c>
      <c r="N4" t="n">
        <v>-86.3</v>
      </c>
      <c r="O4" t="n">
        <v>2451.1</v>
      </c>
      <c r="P4" t="n">
        <v>7931.7</v>
      </c>
      <c r="Q4" t="n">
        <v>5480.6</v>
      </c>
      <c r="R4" t="n">
        <v>2162.1</v>
      </c>
      <c r="S4" t="n">
        <v>158.2</v>
      </c>
      <c r="T4" t="n">
        <v>1415.7</v>
      </c>
      <c r="U4" t="n">
        <v>28.3</v>
      </c>
      <c r="AA4" t="inlineStr">
        <is>
          <t>millions</t>
        </is>
      </c>
      <c r="AB4" t="inlineStr">
        <is>
          <t>USD</t>
        </is>
      </c>
      <c r="AC4" t="n">
        <v>930</v>
      </c>
    </row>
    <row r="5">
      <c r="A5" t="inlineStr">
        <is>
          <t>FY2023</t>
        </is>
      </c>
      <c r="B5" t="n">
        <v>6076.8</v>
      </c>
      <c r="F5" t="n">
        <v>1067</v>
      </c>
      <c r="G5" t="n">
        <v>17.6</v>
      </c>
      <c r="H5" t="n">
        <v>2082.2</v>
      </c>
      <c r="I5" t="n">
        <v>703.3</v>
      </c>
      <c r="J5" t="n">
        <v>11.6</v>
      </c>
      <c r="K5" t="n">
        <v>50.7</v>
      </c>
      <c r="L5" t="n">
        <v>1991.1</v>
      </c>
      <c r="M5" t="n">
        <v>1684.5</v>
      </c>
      <c r="N5" t="n">
        <v>306.6</v>
      </c>
      <c r="O5" t="n">
        <v>2870</v>
      </c>
      <c r="P5" t="n">
        <v>8718.5</v>
      </c>
      <c r="Q5" t="n">
        <v>5848.5</v>
      </c>
      <c r="R5" t="n">
        <v>2154.9</v>
      </c>
      <c r="S5" t="n">
        <v>160.7</v>
      </c>
      <c r="T5" t="n">
        <v>1388</v>
      </c>
      <c r="U5" t="n">
        <v>27.5</v>
      </c>
      <c r="AA5" t="inlineStr">
        <is>
          <t>millions</t>
        </is>
      </c>
      <c r="AB5" t="inlineStr">
        <is>
          <t>USD</t>
        </is>
      </c>
      <c r="AC5" t="n">
        <v>1067</v>
      </c>
    </row>
    <row r="6">
      <c r="A6" t="inlineStr">
        <is>
          <t>FY2024</t>
        </is>
      </c>
      <c r="B6" t="n">
        <v>6545.4</v>
      </c>
      <c r="F6" t="n">
        <v>1262.2</v>
      </c>
      <c r="G6" t="n">
        <v>19.3</v>
      </c>
      <c r="H6" t="n">
        <v>2249.7</v>
      </c>
      <c r="I6" t="n">
        <v>779.9</v>
      </c>
      <c r="J6" t="n">
        <v>11.9</v>
      </c>
      <c r="K6" t="n">
        <v>56.1</v>
      </c>
      <c r="L6" t="n">
        <v>1804.4</v>
      </c>
      <c r="M6" t="n">
        <v>1149.1</v>
      </c>
      <c r="N6" t="n">
        <v>655.3</v>
      </c>
      <c r="O6" t="n">
        <v>3227.1</v>
      </c>
      <c r="P6" t="n">
        <v>8731.1</v>
      </c>
      <c r="Q6" t="n">
        <v>5504</v>
      </c>
      <c r="R6" t="n">
        <v>1771.5</v>
      </c>
      <c r="S6" t="n">
        <v>112.9</v>
      </c>
      <c r="T6" t="n">
        <v>1391.4</v>
      </c>
      <c r="U6" t="n">
        <v>31.2</v>
      </c>
      <c r="AA6" t="inlineStr">
        <is>
          <t>millions</t>
        </is>
      </c>
      <c r="AB6" t="inlineStr">
        <is>
          <t>USD</t>
        </is>
      </c>
      <c r="AC6" t="n">
        <v>1262.2</v>
      </c>
    </row>
    <row r="7">
      <c r="A7" t="inlineStr">
        <is>
          <t>FY2025</t>
        </is>
      </c>
      <c r="B7" t="n">
        <v>6669.7</v>
      </c>
      <c r="F7" t="n">
        <v>1371.8</v>
      </c>
      <c r="G7" t="n">
        <v>20.6</v>
      </c>
      <c r="H7" t="n">
        <v>2288.4</v>
      </c>
      <c r="I7" t="n">
        <v>896</v>
      </c>
      <c r="J7" t="n">
        <v>13.4</v>
      </c>
      <c r="K7" t="n">
        <v>64.8</v>
      </c>
      <c r="L7" t="n">
        <v>1833</v>
      </c>
      <c r="M7" t="n">
        <v>957.2</v>
      </c>
      <c r="N7" t="n">
        <v>875.8</v>
      </c>
      <c r="O7" t="n">
        <v>3350.2</v>
      </c>
      <c r="P7" t="n">
        <v>9569</v>
      </c>
      <c r="Q7" t="n">
        <v>6218.8</v>
      </c>
      <c r="R7" t="n">
        <v>2292.4</v>
      </c>
      <c r="S7" t="n">
        <v>608.9</v>
      </c>
      <c r="T7" t="n">
        <v>1383.1</v>
      </c>
      <c r="U7" t="n">
        <v>31.3</v>
      </c>
      <c r="AA7" t="inlineStr">
        <is>
          <t>millions</t>
        </is>
      </c>
      <c r="AB7" t="inlineStr">
        <is>
          <t>USD</t>
        </is>
      </c>
      <c r="AC7" t="n">
        <v>1371.8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Current price (quote currency)</t>
        </is>
      </c>
      <c r="B2" s="2" t="n">
        <v>18.44</v>
      </c>
    </row>
    <row r="3">
      <c r="A3" t="inlineStr">
        <is>
          <t>Shares, final projected (m)</t>
        </is>
      </c>
      <c r="B3" s="2" t="n">
        <v>1364.1</v>
      </c>
    </row>
    <row r="4">
      <c r="A4" t="inlineStr">
        <is>
          <t>Net debt (m, model currency)</t>
        </is>
      </c>
      <c r="B4" s="2" t="n">
        <v>1805.9</v>
      </c>
    </row>
    <row r="5">
      <c r="A5" t="inlineStr">
        <is>
          <t>Equity bridge total (m, + adds)</t>
        </is>
      </c>
      <c r="B5" s="2" t="n">
        <v>0</v>
      </c>
    </row>
    <row r="6">
      <c r="A6" t="inlineStr">
        <is>
          <t>Hurdle rate (%)</t>
        </is>
      </c>
      <c r="B6" s="2" t="n">
        <v>15</v>
      </c>
    </row>
    <row r="7">
      <c r="A7" t="inlineStr">
        <is>
          <t>Base revenue FY0 (m)</t>
        </is>
      </c>
      <c r="B7" s="2" t="n">
        <v>7043</v>
      </c>
    </row>
    <row r="8">
      <c r="A8" t="inlineStr">
        <is>
          <t>FY0</t>
        </is>
      </c>
      <c r="B8" s="2" t="inlineStr">
        <is>
          <t>FY2026</t>
        </is>
      </c>
    </row>
    <row r="9">
      <c r="A9" t="inlineStr">
        <is>
          <t>Currency / units</t>
        </is>
      </c>
      <c r="B9" s="2" t="inlineStr">
        <is>
          <t>USD millions</t>
        </is>
      </c>
    </row>
    <row r="10">
      <c r="A10" t="inlineStr">
        <is>
          <t>FX rate (model -&gt; quote)</t>
        </is>
      </c>
      <c r="B10" s="2" t="n">
        <v>1.4037</v>
      </c>
    </row>
    <row r="12">
      <c r="A12" s="1" t="inlineStr">
        <is>
          <t>BEAR</t>
        </is>
      </c>
      <c r="C12" s="1" t="inlineStr">
        <is>
          <t>FY2027</t>
        </is>
      </c>
      <c r="D12" s="1" t="inlineStr">
        <is>
          <t>FY2028</t>
        </is>
      </c>
      <c r="E12" s="1" t="inlineStr">
        <is>
          <t>FY2029</t>
        </is>
      </c>
      <c r="F12" s="1" t="inlineStr">
        <is>
          <t>FY2030</t>
        </is>
      </c>
      <c r="G12" s="1" t="inlineStr">
        <is>
          <t>FY2031</t>
        </is>
      </c>
      <c r="H12" s="1" t="inlineStr">
        <is>
          <t>FY2032</t>
        </is>
      </c>
      <c r="I12" s="1" t="inlineStr">
        <is>
          <t>FY2033</t>
        </is>
      </c>
      <c r="J12" s="1" t="inlineStr">
        <is>
          <t>FY2034</t>
        </is>
      </c>
      <c r="K12" s="1" t="inlineStr">
        <is>
          <t>FY2035</t>
        </is>
      </c>
      <c r="L12" s="1" t="inlineStr">
        <is>
          <t>FY2036</t>
        </is>
      </c>
    </row>
    <row r="13">
      <c r="A13" t="inlineStr">
        <is>
          <t>Revenue growth (%)</t>
        </is>
      </c>
      <c r="C13" s="2" t="n">
        <v>1.5</v>
      </c>
      <c r="D13" s="2" t="n">
        <v>2</v>
      </c>
      <c r="E13" s="2" t="n">
        <v>2</v>
      </c>
      <c r="F13" s="2" t="n">
        <v>2</v>
      </c>
      <c r="G13" s="2" t="n">
        <v>2</v>
      </c>
      <c r="H13" s="2" t="n">
        <v>2</v>
      </c>
      <c r="I13" s="2" t="n">
        <v>2</v>
      </c>
      <c r="J13" s="2" t="n">
        <v>2</v>
      </c>
      <c r="K13" s="2" t="n">
        <v>2</v>
      </c>
      <c r="L13" s="2" t="n">
        <v>2</v>
      </c>
    </row>
    <row r="14">
      <c r="A14" t="inlineStr">
        <is>
          <t>EBITDA margin (%)</t>
        </is>
      </c>
      <c r="C14" s="2" t="n">
        <v>33</v>
      </c>
      <c r="D14" s="2" t="n">
        <v>33</v>
      </c>
      <c r="E14" s="2" t="n">
        <v>33</v>
      </c>
      <c r="F14" s="2" t="n">
        <v>32.8</v>
      </c>
      <c r="G14" s="2" t="n">
        <v>32.5</v>
      </c>
      <c r="H14" s="2" t="n">
        <v>32.5</v>
      </c>
      <c r="I14" s="2" t="n">
        <v>32.5</v>
      </c>
      <c r="J14" s="2" t="n">
        <v>32.5</v>
      </c>
      <c r="K14" s="2" t="n">
        <v>32.5</v>
      </c>
      <c r="L14" s="2" t="n">
        <v>32.5</v>
      </c>
    </row>
    <row r="15">
      <c r="A15" t="inlineStr">
        <is>
          <t>SBC (% of revenue)</t>
        </is>
      </c>
      <c r="C15" s="2" t="n">
        <v>0.5</v>
      </c>
      <c r="D15" s="2" t="n">
        <v>0.5</v>
      </c>
      <c r="E15" s="2" t="n">
        <v>0.5</v>
      </c>
      <c r="F15" s="2" t="n">
        <v>0.5</v>
      </c>
      <c r="G15" s="2" t="n">
        <v>0.5</v>
      </c>
      <c r="H15" s="2" t="n">
        <v>0.5</v>
      </c>
      <c r="I15" s="2" t="n">
        <v>0.5</v>
      </c>
      <c r="J15" s="2" t="n">
        <v>0.5</v>
      </c>
      <c r="K15" s="2" t="n">
        <v>0.5</v>
      </c>
      <c r="L15" s="2" t="n">
        <v>0.5</v>
      </c>
    </row>
    <row r="16">
      <c r="A16" t="inlineStr">
        <is>
          <t>Lease cost (% of revenue)</t>
        </is>
      </c>
      <c r="C16" s="2" t="n">
        <v>2.8</v>
      </c>
      <c r="D16" s="2" t="n">
        <v>2.8</v>
      </c>
      <c r="E16" s="2" t="n">
        <v>2.8</v>
      </c>
      <c r="F16" s="2" t="n">
        <v>2.8</v>
      </c>
      <c r="G16" s="2" t="n">
        <v>2.8</v>
      </c>
      <c r="H16" s="2" t="n">
        <v>2.8</v>
      </c>
      <c r="I16" s="2" t="n">
        <v>2.8</v>
      </c>
      <c r="J16" s="2" t="n">
        <v>2.8</v>
      </c>
      <c r="K16" s="2" t="n">
        <v>2.8</v>
      </c>
      <c r="L16" s="2" t="n">
        <v>2.8</v>
      </c>
    </row>
    <row r="17">
      <c r="A17" t="inlineStr">
        <is>
          <t>D&amp;A (% of revenue)</t>
        </is>
      </c>
      <c r="C17" s="2" t="n">
        <v>10.2</v>
      </c>
      <c r="D17" s="2" t="n">
        <v>10.3</v>
      </c>
      <c r="E17" s="2" t="n">
        <v>10.3</v>
      </c>
      <c r="F17" s="2" t="n">
        <v>10.3</v>
      </c>
      <c r="G17" s="2" t="n">
        <v>10.3</v>
      </c>
      <c r="H17" s="2" t="n">
        <v>10.3</v>
      </c>
      <c r="I17" s="2" t="n">
        <v>10.3</v>
      </c>
      <c r="J17" s="2" t="n">
        <v>10.3</v>
      </c>
      <c r="K17" s="2" t="n">
        <v>10.3</v>
      </c>
      <c r="L17" s="2" t="n">
        <v>10.3</v>
      </c>
    </row>
    <row r="18">
      <c r="A18" t="inlineStr">
        <is>
          <t>Capex (% of revenue)</t>
        </is>
      </c>
      <c r="C18" s="2" t="n">
        <v>15</v>
      </c>
      <c r="D18" s="2" t="n">
        <v>14.5</v>
      </c>
      <c r="E18" s="2" t="n">
        <v>14</v>
      </c>
      <c r="F18" s="2" t="n">
        <v>13.5</v>
      </c>
      <c r="G18" s="2" t="n">
        <v>13.5</v>
      </c>
      <c r="H18" s="2" t="n">
        <v>13.5</v>
      </c>
      <c r="I18" s="2" t="n">
        <v>13.5</v>
      </c>
      <c r="J18" s="2" t="n">
        <v>13.5</v>
      </c>
      <c r="K18" s="2" t="n">
        <v>13.5</v>
      </c>
      <c r="L18" s="2" t="n">
        <v>13.5</v>
      </c>
    </row>
    <row r="19">
      <c r="A19" t="inlineStr">
        <is>
          <t>Cash tax rate (%)</t>
        </is>
      </c>
      <c r="C19" s="2" t="n">
        <v>26</v>
      </c>
      <c r="D19" s="2" t="n">
        <v>26</v>
      </c>
      <c r="E19" s="2" t="n">
        <v>26</v>
      </c>
      <c r="F19" s="2" t="n">
        <v>26</v>
      </c>
      <c r="G19" s="2" t="n">
        <v>26</v>
      </c>
      <c r="H19" s="2" t="n">
        <v>26</v>
      </c>
      <c r="I19" s="2" t="n">
        <v>26</v>
      </c>
      <c r="J19" s="2" t="n">
        <v>26</v>
      </c>
      <c r="K19" s="2" t="n">
        <v>26</v>
      </c>
      <c r="L19" s="2" t="n">
        <v>26</v>
      </c>
    </row>
    <row r="20">
      <c r="A20" t="inlineStr">
        <is>
          <t>WACC (%)</t>
        </is>
      </c>
      <c r="B20" s="2" t="n">
        <v>8</v>
      </c>
    </row>
    <row r="21">
      <c r="A21" t="inlineStr">
        <is>
          <t>Terminal growth (%)</t>
        </is>
      </c>
      <c r="B21" s="2" t="n">
        <v>2.5</v>
      </c>
    </row>
    <row r="22">
      <c r="A22" t="inlineStr">
        <is>
          <t>Terminal cap multiple (x FCF)</t>
        </is>
      </c>
      <c r="B22" s="2" t="n">
        <v>18</v>
      </c>
    </row>
    <row r="23">
      <c r="A23" t="inlineStr">
        <is>
          <t>Working-capital capture (% of revenue change)</t>
        </is>
      </c>
      <c r="B23" s="2" t="n">
        <v>-5</v>
      </c>
    </row>
    <row r="24">
      <c r="A24" t="inlineStr">
        <is>
          <t>Scenario weight</t>
        </is>
      </c>
      <c r="B24" s="2" t="n">
        <v>0.25</v>
      </c>
    </row>
    <row r="26">
      <c r="A26" s="1" t="inlineStr">
        <is>
          <t>BASE</t>
        </is>
      </c>
      <c r="C26" s="1" t="inlineStr">
        <is>
          <t>FY2027</t>
        </is>
      </c>
      <c r="D26" s="1" t="inlineStr">
        <is>
          <t>FY2028</t>
        </is>
      </c>
      <c r="E26" s="1" t="inlineStr">
        <is>
          <t>FY2029</t>
        </is>
      </c>
      <c r="F26" s="1" t="inlineStr">
        <is>
          <t>FY2030</t>
        </is>
      </c>
      <c r="G26" s="1" t="inlineStr">
        <is>
          <t>FY2031</t>
        </is>
      </c>
      <c r="H26" s="1" t="inlineStr">
        <is>
          <t>FY2032</t>
        </is>
      </c>
      <c r="I26" s="1" t="inlineStr">
        <is>
          <t>FY2033</t>
        </is>
      </c>
      <c r="J26" s="1" t="inlineStr">
        <is>
          <t>FY2034</t>
        </is>
      </c>
      <c r="K26" s="1" t="inlineStr">
        <is>
          <t>FY2035</t>
        </is>
      </c>
      <c r="L26" s="1" t="inlineStr">
        <is>
          <t>FY2036</t>
        </is>
      </c>
    </row>
    <row r="27">
      <c r="A27" t="inlineStr">
        <is>
          <t>Revenue growth (%)</t>
        </is>
      </c>
      <c r="C27" s="2" t="n">
        <v>3</v>
      </c>
      <c r="D27" s="2" t="n">
        <v>3.5</v>
      </c>
      <c r="E27" s="2" t="n">
        <v>3.5</v>
      </c>
      <c r="F27" s="2" t="n">
        <v>3.5</v>
      </c>
      <c r="G27" s="2" t="n">
        <v>3.5</v>
      </c>
      <c r="H27" s="2" t="n">
        <v>3</v>
      </c>
      <c r="I27" s="2" t="n">
        <v>3</v>
      </c>
      <c r="J27" s="2" t="n">
        <v>3</v>
      </c>
      <c r="K27" s="2" t="n">
        <v>2.5</v>
      </c>
      <c r="L27" s="2" t="n">
        <v>2.5</v>
      </c>
    </row>
    <row r="28">
      <c r="A28" t="inlineStr">
        <is>
          <t>EBITDA margin (%)</t>
        </is>
      </c>
      <c r="C28" s="2" t="n">
        <v>33.9</v>
      </c>
      <c r="D28" s="2" t="n">
        <v>34.5</v>
      </c>
      <c r="E28" s="2" t="n">
        <v>34.8</v>
      </c>
      <c r="F28" s="2" t="n">
        <v>35</v>
      </c>
      <c r="G28" s="2" t="n">
        <v>35</v>
      </c>
      <c r="H28" s="2" t="n">
        <v>35</v>
      </c>
      <c r="I28" s="2" t="n">
        <v>35</v>
      </c>
      <c r="J28" s="2" t="n">
        <v>35</v>
      </c>
      <c r="K28" s="2" t="n">
        <v>35</v>
      </c>
      <c r="L28" s="2" t="n">
        <v>35</v>
      </c>
    </row>
    <row r="29">
      <c r="A29" t="inlineStr">
        <is>
          <t>SBC (% of revenue)</t>
        </is>
      </c>
      <c r="C29" s="2" t="n">
        <v>0.5</v>
      </c>
      <c r="D29" s="2" t="n">
        <v>0.5</v>
      </c>
      <c r="E29" s="2" t="n">
        <v>0.5</v>
      </c>
      <c r="F29" s="2" t="n">
        <v>0.5</v>
      </c>
      <c r="G29" s="2" t="n">
        <v>0.5</v>
      </c>
      <c r="H29" s="2" t="n">
        <v>0.5</v>
      </c>
      <c r="I29" s="2" t="n">
        <v>0.5</v>
      </c>
      <c r="J29" s="2" t="n">
        <v>0.5</v>
      </c>
      <c r="K29" s="2" t="n">
        <v>0.5</v>
      </c>
      <c r="L29" s="2" t="n">
        <v>0.5</v>
      </c>
    </row>
    <row r="30">
      <c r="A30" t="inlineStr">
        <is>
          <t>Lease cost (% of revenue)</t>
        </is>
      </c>
      <c r="C30" s="2" t="n">
        <v>2.8</v>
      </c>
      <c r="D30" s="2" t="n">
        <v>2.8</v>
      </c>
      <c r="E30" s="2" t="n">
        <v>2.8</v>
      </c>
      <c r="F30" s="2" t="n">
        <v>2.8</v>
      </c>
      <c r="G30" s="2" t="n">
        <v>2.8</v>
      </c>
      <c r="H30" s="2" t="n">
        <v>2.8</v>
      </c>
      <c r="I30" s="2" t="n">
        <v>2.8</v>
      </c>
      <c r="J30" s="2" t="n">
        <v>2.8</v>
      </c>
      <c r="K30" s="2" t="n">
        <v>2.8</v>
      </c>
      <c r="L30" s="2" t="n">
        <v>2.8</v>
      </c>
    </row>
    <row r="31">
      <c r="A31" t="inlineStr">
        <is>
          <t>D&amp;A (% of revenue)</t>
        </is>
      </c>
      <c r="C31" s="2" t="n">
        <v>10.2</v>
      </c>
      <c r="D31" s="2" t="n">
        <v>10.2</v>
      </c>
      <c r="E31" s="2" t="n">
        <v>10.1</v>
      </c>
      <c r="F31" s="2" t="n">
        <v>10</v>
      </c>
      <c r="G31" s="2" t="n">
        <v>10</v>
      </c>
      <c r="H31" s="2" t="n">
        <v>10</v>
      </c>
      <c r="I31" s="2" t="n">
        <v>10</v>
      </c>
      <c r="J31" s="2" t="n">
        <v>10</v>
      </c>
      <c r="K31" s="2" t="n">
        <v>10</v>
      </c>
      <c r="L31" s="2" t="n">
        <v>10</v>
      </c>
    </row>
    <row r="32">
      <c r="A32" t="inlineStr">
        <is>
          <t>Capex (% of revenue)</t>
        </is>
      </c>
      <c r="C32" s="2" t="n">
        <v>14</v>
      </c>
      <c r="D32" s="2" t="n">
        <v>13</v>
      </c>
      <c r="E32" s="2" t="n">
        <v>12.5</v>
      </c>
      <c r="F32" s="2" t="n">
        <v>12</v>
      </c>
      <c r="G32" s="2" t="n">
        <v>12</v>
      </c>
      <c r="H32" s="2" t="n">
        <v>12</v>
      </c>
      <c r="I32" s="2" t="n">
        <v>12</v>
      </c>
      <c r="J32" s="2" t="n">
        <v>12</v>
      </c>
      <c r="K32" s="2" t="n">
        <v>12</v>
      </c>
      <c r="L32" s="2" t="n">
        <v>12</v>
      </c>
    </row>
    <row r="33">
      <c r="A33" t="inlineStr">
        <is>
          <t>Cash tax rate (%)</t>
        </is>
      </c>
      <c r="C33" s="2" t="n">
        <v>26</v>
      </c>
      <c r="D33" s="2" t="n">
        <v>26</v>
      </c>
      <c r="E33" s="2" t="n">
        <v>26</v>
      </c>
      <c r="F33" s="2" t="n">
        <v>26</v>
      </c>
      <c r="G33" s="2" t="n">
        <v>26</v>
      </c>
      <c r="H33" s="2" t="n">
        <v>26</v>
      </c>
      <c r="I33" s="2" t="n">
        <v>26</v>
      </c>
      <c r="J33" s="2" t="n">
        <v>26</v>
      </c>
      <c r="K33" s="2" t="n">
        <v>26</v>
      </c>
      <c r="L33" s="2" t="n">
        <v>26</v>
      </c>
    </row>
    <row r="34">
      <c r="A34" t="inlineStr">
        <is>
          <t>WACC (%)</t>
        </is>
      </c>
      <c r="B34" s="2" t="n">
        <v>8</v>
      </c>
    </row>
    <row r="35">
      <c r="A35" t="inlineStr">
        <is>
          <t>Terminal growth (%)</t>
        </is>
      </c>
      <c r="B35" s="2" t="n">
        <v>2.5</v>
      </c>
    </row>
    <row r="36">
      <c r="A36" t="inlineStr">
        <is>
          <t>Terminal cap multiple (x FCF)</t>
        </is>
      </c>
      <c r="B36" s="2" t="n">
        <v>18</v>
      </c>
    </row>
    <row r="37">
      <c r="A37" t="inlineStr">
        <is>
          <t>Working-capital capture (% of revenue change)</t>
        </is>
      </c>
      <c r="B37" s="2" t="n">
        <v>-5</v>
      </c>
    </row>
    <row r="38">
      <c r="A38" t="inlineStr">
        <is>
          <t>Scenario weight</t>
        </is>
      </c>
      <c r="B38" s="2" t="n">
        <v>0.5</v>
      </c>
    </row>
    <row r="40">
      <c r="A40" s="1" t="inlineStr">
        <is>
          <t>BULL</t>
        </is>
      </c>
      <c r="C40" s="1" t="inlineStr">
        <is>
          <t>FY2027</t>
        </is>
      </c>
      <c r="D40" s="1" t="inlineStr">
        <is>
          <t>FY2028</t>
        </is>
      </c>
      <c r="E40" s="1" t="inlineStr">
        <is>
          <t>FY2029</t>
        </is>
      </c>
      <c r="F40" s="1" t="inlineStr">
        <is>
          <t>FY2030</t>
        </is>
      </c>
      <c r="G40" s="1" t="inlineStr">
        <is>
          <t>FY2031</t>
        </is>
      </c>
      <c r="H40" s="1" t="inlineStr">
        <is>
          <t>FY2032</t>
        </is>
      </c>
      <c r="I40" s="1" t="inlineStr">
        <is>
          <t>FY2033</t>
        </is>
      </c>
      <c r="J40" s="1" t="inlineStr">
        <is>
          <t>FY2034</t>
        </is>
      </c>
      <c r="K40" s="1" t="inlineStr">
        <is>
          <t>FY2035</t>
        </is>
      </c>
      <c r="L40" s="1" t="inlineStr">
        <is>
          <t>FY2036</t>
        </is>
      </c>
    </row>
    <row r="41">
      <c r="A41" t="inlineStr">
        <is>
          <t>Revenue growth (%)</t>
        </is>
      </c>
      <c r="C41" s="2" t="n">
        <v>4</v>
      </c>
      <c r="D41" s="2" t="n">
        <v>5</v>
      </c>
      <c r="E41" s="2" t="n">
        <v>5</v>
      </c>
      <c r="F41" s="2" t="n">
        <v>5</v>
      </c>
      <c r="G41" s="2" t="n">
        <v>4.5</v>
      </c>
      <c r="H41" s="2" t="n">
        <v>4</v>
      </c>
      <c r="I41" s="2" t="n">
        <v>4</v>
      </c>
      <c r="J41" s="2" t="n">
        <v>3.5</v>
      </c>
      <c r="K41" s="2" t="n">
        <v>3</v>
      </c>
      <c r="L41" s="2" t="n">
        <v>3</v>
      </c>
    </row>
    <row r="42">
      <c r="A42" t="inlineStr">
        <is>
          <t>EBITDA margin (%)</t>
        </is>
      </c>
      <c r="C42" s="2" t="n">
        <v>34.2</v>
      </c>
      <c r="D42" s="2" t="n">
        <v>35.2</v>
      </c>
      <c r="E42" s="2" t="n">
        <v>35.8</v>
      </c>
      <c r="F42" s="2" t="n">
        <v>36.2</v>
      </c>
      <c r="G42" s="2" t="n">
        <v>36.5</v>
      </c>
      <c r="H42" s="2" t="n">
        <v>36.5</v>
      </c>
      <c r="I42" s="2" t="n">
        <v>36.5</v>
      </c>
      <c r="J42" s="2" t="n">
        <v>36.5</v>
      </c>
      <c r="K42" s="2" t="n">
        <v>36.5</v>
      </c>
      <c r="L42" s="2" t="n">
        <v>36.5</v>
      </c>
    </row>
    <row r="43">
      <c r="A43" t="inlineStr">
        <is>
          <t>SBC (% of revenue)</t>
        </is>
      </c>
      <c r="C43" s="2" t="n">
        <v>0.5</v>
      </c>
      <c r="D43" s="2" t="n">
        <v>0.5</v>
      </c>
      <c r="E43" s="2" t="n">
        <v>0.5</v>
      </c>
      <c r="F43" s="2" t="n">
        <v>0.5</v>
      </c>
      <c r="G43" s="2" t="n">
        <v>0.5</v>
      </c>
      <c r="H43" s="2" t="n">
        <v>0.5</v>
      </c>
      <c r="I43" s="2" t="n">
        <v>0.5</v>
      </c>
      <c r="J43" s="2" t="n">
        <v>0.5</v>
      </c>
      <c r="K43" s="2" t="n">
        <v>0.5</v>
      </c>
      <c r="L43" s="2" t="n">
        <v>0.5</v>
      </c>
    </row>
    <row r="44">
      <c r="A44" t="inlineStr">
        <is>
          <t>Lease cost (% of revenue)</t>
        </is>
      </c>
      <c r="C44" s="2" t="n">
        <v>2.8</v>
      </c>
      <c r="D44" s="2" t="n">
        <v>2.8</v>
      </c>
      <c r="E44" s="2" t="n">
        <v>2.8</v>
      </c>
      <c r="F44" s="2" t="n">
        <v>2.8</v>
      </c>
      <c r="G44" s="2" t="n">
        <v>2.8</v>
      </c>
      <c r="H44" s="2" t="n">
        <v>2.8</v>
      </c>
      <c r="I44" s="2" t="n">
        <v>2.8</v>
      </c>
      <c r="J44" s="2" t="n">
        <v>2.8</v>
      </c>
      <c r="K44" s="2" t="n">
        <v>2.8</v>
      </c>
      <c r="L44" s="2" t="n">
        <v>2.8</v>
      </c>
    </row>
    <row r="45">
      <c r="A45" t="inlineStr">
        <is>
          <t>D&amp;A (% of revenue)</t>
        </is>
      </c>
      <c r="C45" s="2" t="n">
        <v>10.2</v>
      </c>
      <c r="D45" s="2" t="n">
        <v>10.1</v>
      </c>
      <c r="E45" s="2" t="n">
        <v>10</v>
      </c>
      <c r="F45" s="2" t="n">
        <v>10</v>
      </c>
      <c r="G45" s="2" t="n">
        <v>10</v>
      </c>
      <c r="H45" s="2" t="n">
        <v>10</v>
      </c>
      <c r="I45" s="2" t="n">
        <v>10</v>
      </c>
      <c r="J45" s="2" t="n">
        <v>10</v>
      </c>
      <c r="K45" s="2" t="n">
        <v>10</v>
      </c>
      <c r="L45" s="2" t="n">
        <v>10</v>
      </c>
    </row>
    <row r="46">
      <c r="A46" t="inlineStr">
        <is>
          <t>Capex (% of revenue)</t>
        </is>
      </c>
      <c r="C46" s="2" t="n">
        <v>13.5</v>
      </c>
      <c r="D46" s="2" t="n">
        <v>12</v>
      </c>
      <c r="E46" s="2" t="n">
        <v>11.5</v>
      </c>
      <c r="F46" s="2" t="n">
        <v>11</v>
      </c>
      <c r="G46" s="2" t="n">
        <v>11</v>
      </c>
      <c r="H46" s="2" t="n">
        <v>11</v>
      </c>
      <c r="I46" s="2" t="n">
        <v>11</v>
      </c>
      <c r="J46" s="2" t="n">
        <v>11</v>
      </c>
      <c r="K46" s="2" t="n">
        <v>11</v>
      </c>
      <c r="L46" s="2" t="n">
        <v>11</v>
      </c>
    </row>
    <row r="47">
      <c r="A47" t="inlineStr">
        <is>
          <t>Cash tax rate (%)</t>
        </is>
      </c>
      <c r="C47" s="2" t="n">
        <v>26</v>
      </c>
      <c r="D47" s="2" t="n">
        <v>26</v>
      </c>
      <c r="E47" s="2" t="n">
        <v>26</v>
      </c>
      <c r="F47" s="2" t="n">
        <v>26</v>
      </c>
      <c r="G47" s="2" t="n">
        <v>26</v>
      </c>
      <c r="H47" s="2" t="n">
        <v>26</v>
      </c>
      <c r="I47" s="2" t="n">
        <v>26</v>
      </c>
      <c r="J47" s="2" t="n">
        <v>26</v>
      </c>
      <c r="K47" s="2" t="n">
        <v>26</v>
      </c>
      <c r="L47" s="2" t="n">
        <v>26</v>
      </c>
    </row>
    <row r="48">
      <c r="A48" t="inlineStr">
        <is>
          <t>WACC (%)</t>
        </is>
      </c>
      <c r="B48" s="2" t="n">
        <v>8</v>
      </c>
    </row>
    <row r="49">
      <c r="A49" t="inlineStr">
        <is>
          <t>Terminal growth (%)</t>
        </is>
      </c>
      <c r="B49" s="2" t="n">
        <v>2.5</v>
      </c>
    </row>
    <row r="50">
      <c r="A50" t="inlineStr">
        <is>
          <t>Terminal cap multiple (x FCF)</t>
        </is>
      </c>
      <c r="B50" s="2" t="n">
        <v>18</v>
      </c>
    </row>
    <row r="51">
      <c r="A51" t="inlineStr">
        <is>
          <t>Working-capital capture (% of revenue change)</t>
        </is>
      </c>
      <c r="B51" s="2" t="n">
        <v>-5</v>
      </c>
    </row>
    <row r="52">
      <c r="A52" t="inlineStr">
        <is>
          <t>Scenario weight</t>
        </is>
      </c>
      <c r="B52" s="2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BXB.AX owner-FCF component DCF: bear case (millions, USD)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Assumptions!C13</f>
        <v/>
      </c>
      <c r="D5" s="3">
        <f>Assumptions!D13</f>
        <v/>
      </c>
      <c r="E5" s="3">
        <f>Assumptions!E13</f>
        <v/>
      </c>
      <c r="F5" s="3">
        <f>Assumptions!F13</f>
        <v/>
      </c>
      <c r="G5" s="3">
        <f>Assumptions!G13</f>
        <v/>
      </c>
      <c r="H5" s="3">
        <f>Assumptions!H13</f>
        <v/>
      </c>
      <c r="I5" s="3">
        <f>Assumptions!I13</f>
        <v/>
      </c>
      <c r="J5" s="3">
        <f>Assumptions!J13</f>
        <v/>
      </c>
      <c r="K5" s="3">
        <f>Assumptions!K13</f>
        <v/>
      </c>
      <c r="L5" s="3">
        <f>Assumptions!L13</f>
        <v/>
      </c>
    </row>
    <row r="6">
      <c r="A6" t="inlineStr">
        <is>
          <t>Revenue</t>
        </is>
      </c>
      <c r="B6" s="2" t="n">
        <v>7043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Assumptions!C14</f>
        <v/>
      </c>
      <c r="D7" s="3">
        <f>Assumptions!D14</f>
        <v/>
      </c>
      <c r="E7" s="3">
        <f>Assumptions!E14</f>
        <v/>
      </c>
      <c r="F7" s="3">
        <f>Assumptions!F14</f>
        <v/>
      </c>
      <c r="G7" s="3">
        <f>Assumptions!G14</f>
        <v/>
      </c>
      <c r="H7" s="3">
        <f>Assumptions!H14</f>
        <v/>
      </c>
      <c r="I7" s="3">
        <f>Assumptions!I14</f>
        <v/>
      </c>
      <c r="J7" s="3">
        <f>Assumptions!J14</f>
        <v/>
      </c>
      <c r="K7" s="3">
        <f>Assumptions!K14</f>
        <v/>
      </c>
      <c r="L7" s="3">
        <f>Assumptions!L14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Assumptions!C15</f>
        <v/>
      </c>
      <c r="D9" s="3">
        <f>Assumptions!D15</f>
        <v/>
      </c>
      <c r="E9" s="3">
        <f>Assumptions!E15</f>
        <v/>
      </c>
      <c r="F9" s="3">
        <f>Assumptions!F15</f>
        <v/>
      </c>
      <c r="G9" s="3">
        <f>Assumptions!G15</f>
        <v/>
      </c>
      <c r="H9" s="3">
        <f>Assumptions!H15</f>
        <v/>
      </c>
      <c r="I9" s="3">
        <f>Assumptions!I15</f>
        <v/>
      </c>
      <c r="J9" s="3">
        <f>Assumptions!J15</f>
        <v/>
      </c>
      <c r="K9" s="3">
        <f>Assumptions!K15</f>
        <v/>
      </c>
      <c r="L9" s="3">
        <f>Assumptions!L15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-C6*Assumptions!C17/100</f>
        <v/>
      </c>
      <c r="D12" s="3">
        <f>-D6*Assumptions!D17/100</f>
        <v/>
      </c>
      <c r="E12" s="3">
        <f>-E6*Assumptions!E17/100</f>
        <v/>
      </c>
      <c r="F12" s="3">
        <f>-F6*Assumptions!F17/100</f>
        <v/>
      </c>
      <c r="G12" s="3">
        <f>-G6*Assumptions!G17/100</f>
        <v/>
      </c>
      <c r="H12" s="3">
        <f>-H6*Assumptions!H17/100</f>
        <v/>
      </c>
      <c r="I12" s="3">
        <f>-I6*Assumptions!I17/100</f>
        <v/>
      </c>
      <c r="J12" s="3">
        <f>-J6*Assumptions!J17/100</f>
        <v/>
      </c>
      <c r="K12" s="3">
        <f>-K6*Assumptions!K17/100</f>
        <v/>
      </c>
      <c r="L12" s="3">
        <f>-L6*Assumptions!L17/100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Assumptions!C19</f>
        <v/>
      </c>
      <c r="D14" s="3">
        <f>Assumptions!D19</f>
        <v/>
      </c>
      <c r="E14" s="3">
        <f>Assumptions!E19</f>
        <v/>
      </c>
      <c r="F14" s="3">
        <f>Assumptions!F19</f>
        <v/>
      </c>
      <c r="G14" s="3">
        <f>Assumptions!G19</f>
        <v/>
      </c>
      <c r="H14" s="3">
        <f>Assumptions!H19</f>
        <v/>
      </c>
      <c r="I14" s="3">
        <f>Assumptions!I19</f>
        <v/>
      </c>
      <c r="J14" s="3">
        <f>Assumptions!J19</f>
        <v/>
      </c>
      <c r="K14" s="3">
        <f>Assumptions!K19</f>
        <v/>
      </c>
      <c r="L14" s="3">
        <f>Assumptions!L19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-C6*Assumptions!C18/100</f>
        <v/>
      </c>
      <c r="D17" s="3">
        <f>-D6*Assumptions!D18/100</f>
        <v/>
      </c>
      <c r="E17" s="3">
        <f>-E6*Assumptions!E18/100</f>
        <v/>
      </c>
      <c r="F17" s="3">
        <f>-F6*Assumptions!F18/100</f>
        <v/>
      </c>
      <c r="G17" s="3">
        <f>-G6*Assumptions!G18/100</f>
        <v/>
      </c>
      <c r="H17" s="3">
        <f>-H6*Assumptions!H18/100</f>
        <v/>
      </c>
      <c r="I17" s="3">
        <f>-I6*Assumptions!I18/100</f>
        <v/>
      </c>
      <c r="J17" s="3">
        <f>-J6*Assumptions!J18/100</f>
        <v/>
      </c>
      <c r="K17" s="3">
        <f>-K6*Assumptions!K18/100</f>
        <v/>
      </c>
      <c r="L17" s="3">
        <f>-L6*Assumptions!L18/100</f>
        <v/>
      </c>
    </row>
    <row r="18">
      <c r="A18" t="inlineStr">
        <is>
          <t>Working capital</t>
        </is>
      </c>
      <c r="C18" s="3">
        <f>(C6-B6)*Assumptions!$B$23/100</f>
        <v/>
      </c>
      <c r="D18" s="3">
        <f>(D6-C6)*Assumptions!$B$23/100</f>
        <v/>
      </c>
      <c r="E18" s="3">
        <f>(E6-D6)*Assumptions!$B$23/100</f>
        <v/>
      </c>
      <c r="F18" s="3">
        <f>(F6-E6)*Assumptions!$B$23/100</f>
        <v/>
      </c>
      <c r="G18" s="3">
        <f>(G6-F6)*Assumptions!$B$23/100</f>
        <v/>
      </c>
      <c r="H18" s="3">
        <f>(H6-G6)*Assumptions!$B$23/100</f>
        <v/>
      </c>
      <c r="I18" s="3">
        <f>(I6-H6)*Assumptions!$B$23/100</f>
        <v/>
      </c>
      <c r="J18" s="3">
        <f>(J6-I6)*Assumptions!$B$23/100</f>
        <v/>
      </c>
      <c r="K18" s="3">
        <f>(K6-J6)*Assumptions!$B$23/100</f>
        <v/>
      </c>
      <c r="L18" s="3">
        <f>(L6-K6)*Assumptions!$B$23/100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Assumptions!C16</f>
        <v/>
      </c>
      <c r="D23" s="3">
        <f>Assumptions!D16</f>
        <v/>
      </c>
      <c r="E23" s="3">
        <f>Assumptions!E16</f>
        <v/>
      </c>
      <c r="F23" s="3">
        <f>Assumptions!F16</f>
        <v/>
      </c>
      <c r="G23" s="3">
        <f>Assumptions!G16</f>
        <v/>
      </c>
      <c r="H23" s="3">
        <f>Assumptions!H16</f>
        <v/>
      </c>
      <c r="I23" s="3">
        <f>Assumptions!I16</f>
        <v/>
      </c>
      <c r="J23" s="3">
        <f>Assumptions!J16</f>
        <v/>
      </c>
      <c r="K23" s="3">
        <f>Assumptions!K16</f>
        <v/>
      </c>
      <c r="L23" s="3">
        <f>Assumptions!L16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Assumptions!$B$20</f>
        <v/>
      </c>
    </row>
    <row r="28">
      <c r="A28" t="inlineStr">
        <is>
          <t>Terminal growth (%)</t>
        </is>
      </c>
      <c r="B28" s="3">
        <f>Assumptions!$B$21</f>
        <v/>
      </c>
    </row>
    <row r="29">
      <c r="A29" t="inlineStr">
        <is>
          <t>Terminal cap multiple (x FCF)</t>
        </is>
      </c>
      <c r="B29" s="3">
        <f>Assumptions!$B$22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BXB.AX owner-FCF component DCF: base case (millions, USD)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Assumptions!C27</f>
        <v/>
      </c>
      <c r="D5" s="3">
        <f>Assumptions!D27</f>
        <v/>
      </c>
      <c r="E5" s="3">
        <f>Assumptions!E27</f>
        <v/>
      </c>
      <c r="F5" s="3">
        <f>Assumptions!F27</f>
        <v/>
      </c>
      <c r="G5" s="3">
        <f>Assumptions!G27</f>
        <v/>
      </c>
      <c r="H5" s="3">
        <f>Assumptions!H27</f>
        <v/>
      </c>
      <c r="I5" s="3">
        <f>Assumptions!I27</f>
        <v/>
      </c>
      <c r="J5" s="3">
        <f>Assumptions!J27</f>
        <v/>
      </c>
      <c r="K5" s="3">
        <f>Assumptions!K27</f>
        <v/>
      </c>
      <c r="L5" s="3">
        <f>Assumptions!L27</f>
        <v/>
      </c>
    </row>
    <row r="6">
      <c r="A6" t="inlineStr">
        <is>
          <t>Revenue</t>
        </is>
      </c>
      <c r="B6" s="2" t="n">
        <v>7043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Assumptions!C28</f>
        <v/>
      </c>
      <c r="D7" s="3">
        <f>Assumptions!D28</f>
        <v/>
      </c>
      <c r="E7" s="3">
        <f>Assumptions!E28</f>
        <v/>
      </c>
      <c r="F7" s="3">
        <f>Assumptions!F28</f>
        <v/>
      </c>
      <c r="G7" s="3">
        <f>Assumptions!G28</f>
        <v/>
      </c>
      <c r="H7" s="3">
        <f>Assumptions!H28</f>
        <v/>
      </c>
      <c r="I7" s="3">
        <f>Assumptions!I28</f>
        <v/>
      </c>
      <c r="J7" s="3">
        <f>Assumptions!J28</f>
        <v/>
      </c>
      <c r="K7" s="3">
        <f>Assumptions!K28</f>
        <v/>
      </c>
      <c r="L7" s="3">
        <f>Assumptions!L28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Assumptions!C29</f>
        <v/>
      </c>
      <c r="D9" s="3">
        <f>Assumptions!D29</f>
        <v/>
      </c>
      <c r="E9" s="3">
        <f>Assumptions!E29</f>
        <v/>
      </c>
      <c r="F9" s="3">
        <f>Assumptions!F29</f>
        <v/>
      </c>
      <c r="G9" s="3">
        <f>Assumptions!G29</f>
        <v/>
      </c>
      <c r="H9" s="3">
        <f>Assumptions!H29</f>
        <v/>
      </c>
      <c r="I9" s="3">
        <f>Assumptions!I29</f>
        <v/>
      </c>
      <c r="J9" s="3">
        <f>Assumptions!J29</f>
        <v/>
      </c>
      <c r="K9" s="3">
        <f>Assumptions!K29</f>
        <v/>
      </c>
      <c r="L9" s="3">
        <f>Assumptions!L29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-C6*Assumptions!C31/100</f>
        <v/>
      </c>
      <c r="D12" s="3">
        <f>-D6*Assumptions!D31/100</f>
        <v/>
      </c>
      <c r="E12" s="3">
        <f>-E6*Assumptions!E31/100</f>
        <v/>
      </c>
      <c r="F12" s="3">
        <f>-F6*Assumptions!F31/100</f>
        <v/>
      </c>
      <c r="G12" s="3">
        <f>-G6*Assumptions!G31/100</f>
        <v/>
      </c>
      <c r="H12" s="3">
        <f>-H6*Assumptions!H31/100</f>
        <v/>
      </c>
      <c r="I12" s="3">
        <f>-I6*Assumptions!I31/100</f>
        <v/>
      </c>
      <c r="J12" s="3">
        <f>-J6*Assumptions!J31/100</f>
        <v/>
      </c>
      <c r="K12" s="3">
        <f>-K6*Assumptions!K31/100</f>
        <v/>
      </c>
      <c r="L12" s="3">
        <f>-L6*Assumptions!L31/100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Assumptions!C33</f>
        <v/>
      </c>
      <c r="D14" s="3">
        <f>Assumptions!D33</f>
        <v/>
      </c>
      <c r="E14" s="3">
        <f>Assumptions!E33</f>
        <v/>
      </c>
      <c r="F14" s="3">
        <f>Assumptions!F33</f>
        <v/>
      </c>
      <c r="G14" s="3">
        <f>Assumptions!G33</f>
        <v/>
      </c>
      <c r="H14" s="3">
        <f>Assumptions!H33</f>
        <v/>
      </c>
      <c r="I14" s="3">
        <f>Assumptions!I33</f>
        <v/>
      </c>
      <c r="J14" s="3">
        <f>Assumptions!J33</f>
        <v/>
      </c>
      <c r="K14" s="3">
        <f>Assumptions!K33</f>
        <v/>
      </c>
      <c r="L14" s="3">
        <f>Assumptions!L33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-C6*Assumptions!C32/100</f>
        <v/>
      </c>
      <c r="D17" s="3">
        <f>-D6*Assumptions!D32/100</f>
        <v/>
      </c>
      <c r="E17" s="3">
        <f>-E6*Assumptions!E32/100</f>
        <v/>
      </c>
      <c r="F17" s="3">
        <f>-F6*Assumptions!F32/100</f>
        <v/>
      </c>
      <c r="G17" s="3">
        <f>-G6*Assumptions!G32/100</f>
        <v/>
      </c>
      <c r="H17" s="3">
        <f>-H6*Assumptions!H32/100</f>
        <v/>
      </c>
      <c r="I17" s="3">
        <f>-I6*Assumptions!I32/100</f>
        <v/>
      </c>
      <c r="J17" s="3">
        <f>-J6*Assumptions!J32/100</f>
        <v/>
      </c>
      <c r="K17" s="3">
        <f>-K6*Assumptions!K32/100</f>
        <v/>
      </c>
      <c r="L17" s="3">
        <f>-L6*Assumptions!L32/100</f>
        <v/>
      </c>
    </row>
    <row r="18">
      <c r="A18" t="inlineStr">
        <is>
          <t>Working capital</t>
        </is>
      </c>
      <c r="C18" s="3">
        <f>(C6-B6)*Assumptions!$B$37/100</f>
        <v/>
      </c>
      <c r="D18" s="3">
        <f>(D6-C6)*Assumptions!$B$37/100</f>
        <v/>
      </c>
      <c r="E18" s="3">
        <f>(E6-D6)*Assumptions!$B$37/100</f>
        <v/>
      </c>
      <c r="F18" s="3">
        <f>(F6-E6)*Assumptions!$B$37/100</f>
        <v/>
      </c>
      <c r="G18" s="3">
        <f>(G6-F6)*Assumptions!$B$37/100</f>
        <v/>
      </c>
      <c r="H18" s="3">
        <f>(H6-G6)*Assumptions!$B$37/100</f>
        <v/>
      </c>
      <c r="I18" s="3">
        <f>(I6-H6)*Assumptions!$B$37/100</f>
        <v/>
      </c>
      <c r="J18" s="3">
        <f>(J6-I6)*Assumptions!$B$37/100</f>
        <v/>
      </c>
      <c r="K18" s="3">
        <f>(K6-J6)*Assumptions!$B$37/100</f>
        <v/>
      </c>
      <c r="L18" s="3">
        <f>(L6-K6)*Assumptions!$B$37/100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Assumptions!C30</f>
        <v/>
      </c>
      <c r="D23" s="3">
        <f>Assumptions!D30</f>
        <v/>
      </c>
      <c r="E23" s="3">
        <f>Assumptions!E30</f>
        <v/>
      </c>
      <c r="F23" s="3">
        <f>Assumptions!F30</f>
        <v/>
      </c>
      <c r="G23" s="3">
        <f>Assumptions!G30</f>
        <v/>
      </c>
      <c r="H23" s="3">
        <f>Assumptions!H30</f>
        <v/>
      </c>
      <c r="I23" s="3">
        <f>Assumptions!I30</f>
        <v/>
      </c>
      <c r="J23" s="3">
        <f>Assumptions!J30</f>
        <v/>
      </c>
      <c r="K23" s="3">
        <f>Assumptions!K30</f>
        <v/>
      </c>
      <c r="L23" s="3">
        <f>Assumptions!L30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Assumptions!$B$34</f>
        <v/>
      </c>
    </row>
    <row r="28">
      <c r="A28" t="inlineStr">
        <is>
          <t>Terminal growth (%)</t>
        </is>
      </c>
      <c r="B28" s="3">
        <f>Assumptions!$B$35</f>
        <v/>
      </c>
    </row>
    <row r="29">
      <c r="A29" t="inlineStr">
        <is>
          <t>Terminal cap multiple (x FCF)</t>
        </is>
      </c>
      <c r="B29" s="3">
        <f>Assumptions!$B$36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BXB.AX owner-FCF component DCF: bull case (millions, USD)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Assumptions!C41</f>
        <v/>
      </c>
      <c r="D5" s="3">
        <f>Assumptions!D41</f>
        <v/>
      </c>
      <c r="E5" s="3">
        <f>Assumptions!E41</f>
        <v/>
      </c>
      <c r="F5" s="3">
        <f>Assumptions!F41</f>
        <v/>
      </c>
      <c r="G5" s="3">
        <f>Assumptions!G41</f>
        <v/>
      </c>
      <c r="H5" s="3">
        <f>Assumptions!H41</f>
        <v/>
      </c>
      <c r="I5" s="3">
        <f>Assumptions!I41</f>
        <v/>
      </c>
      <c r="J5" s="3">
        <f>Assumptions!J41</f>
        <v/>
      </c>
      <c r="K5" s="3">
        <f>Assumptions!K41</f>
        <v/>
      </c>
      <c r="L5" s="3">
        <f>Assumptions!L41</f>
        <v/>
      </c>
    </row>
    <row r="6">
      <c r="A6" t="inlineStr">
        <is>
          <t>Revenue</t>
        </is>
      </c>
      <c r="B6" s="2" t="n">
        <v>7043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Assumptions!C42</f>
        <v/>
      </c>
      <c r="D7" s="3">
        <f>Assumptions!D42</f>
        <v/>
      </c>
      <c r="E7" s="3">
        <f>Assumptions!E42</f>
        <v/>
      </c>
      <c r="F7" s="3">
        <f>Assumptions!F42</f>
        <v/>
      </c>
      <c r="G7" s="3">
        <f>Assumptions!G42</f>
        <v/>
      </c>
      <c r="H7" s="3">
        <f>Assumptions!H42</f>
        <v/>
      </c>
      <c r="I7" s="3">
        <f>Assumptions!I42</f>
        <v/>
      </c>
      <c r="J7" s="3">
        <f>Assumptions!J42</f>
        <v/>
      </c>
      <c r="K7" s="3">
        <f>Assumptions!K42</f>
        <v/>
      </c>
      <c r="L7" s="3">
        <f>Assumptions!L42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Assumptions!C43</f>
        <v/>
      </c>
      <c r="D9" s="3">
        <f>Assumptions!D43</f>
        <v/>
      </c>
      <c r="E9" s="3">
        <f>Assumptions!E43</f>
        <v/>
      </c>
      <c r="F9" s="3">
        <f>Assumptions!F43</f>
        <v/>
      </c>
      <c r="G9" s="3">
        <f>Assumptions!G43</f>
        <v/>
      </c>
      <c r="H9" s="3">
        <f>Assumptions!H43</f>
        <v/>
      </c>
      <c r="I9" s="3">
        <f>Assumptions!I43</f>
        <v/>
      </c>
      <c r="J9" s="3">
        <f>Assumptions!J43</f>
        <v/>
      </c>
      <c r="K9" s="3">
        <f>Assumptions!K43</f>
        <v/>
      </c>
      <c r="L9" s="3">
        <f>Assumptions!L43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-C6*Assumptions!C45/100</f>
        <v/>
      </c>
      <c r="D12" s="3">
        <f>-D6*Assumptions!D45/100</f>
        <v/>
      </c>
      <c r="E12" s="3">
        <f>-E6*Assumptions!E45/100</f>
        <v/>
      </c>
      <c r="F12" s="3">
        <f>-F6*Assumptions!F45/100</f>
        <v/>
      </c>
      <c r="G12" s="3">
        <f>-G6*Assumptions!G45/100</f>
        <v/>
      </c>
      <c r="H12" s="3">
        <f>-H6*Assumptions!H45/100</f>
        <v/>
      </c>
      <c r="I12" s="3">
        <f>-I6*Assumptions!I45/100</f>
        <v/>
      </c>
      <c r="J12" s="3">
        <f>-J6*Assumptions!J45/100</f>
        <v/>
      </c>
      <c r="K12" s="3">
        <f>-K6*Assumptions!K45/100</f>
        <v/>
      </c>
      <c r="L12" s="3">
        <f>-L6*Assumptions!L45/100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Assumptions!C47</f>
        <v/>
      </c>
      <c r="D14" s="3">
        <f>Assumptions!D47</f>
        <v/>
      </c>
      <c r="E14" s="3">
        <f>Assumptions!E47</f>
        <v/>
      </c>
      <c r="F14" s="3">
        <f>Assumptions!F47</f>
        <v/>
      </c>
      <c r="G14" s="3">
        <f>Assumptions!G47</f>
        <v/>
      </c>
      <c r="H14" s="3">
        <f>Assumptions!H47</f>
        <v/>
      </c>
      <c r="I14" s="3">
        <f>Assumptions!I47</f>
        <v/>
      </c>
      <c r="J14" s="3">
        <f>Assumptions!J47</f>
        <v/>
      </c>
      <c r="K14" s="3">
        <f>Assumptions!K47</f>
        <v/>
      </c>
      <c r="L14" s="3">
        <f>Assumptions!L47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-C6*Assumptions!C46/100</f>
        <v/>
      </c>
      <c r="D17" s="3">
        <f>-D6*Assumptions!D46/100</f>
        <v/>
      </c>
      <c r="E17" s="3">
        <f>-E6*Assumptions!E46/100</f>
        <v/>
      </c>
      <c r="F17" s="3">
        <f>-F6*Assumptions!F46/100</f>
        <v/>
      </c>
      <c r="G17" s="3">
        <f>-G6*Assumptions!G46/100</f>
        <v/>
      </c>
      <c r="H17" s="3">
        <f>-H6*Assumptions!H46/100</f>
        <v/>
      </c>
      <c r="I17" s="3">
        <f>-I6*Assumptions!I46/100</f>
        <v/>
      </c>
      <c r="J17" s="3">
        <f>-J6*Assumptions!J46/100</f>
        <v/>
      </c>
      <c r="K17" s="3">
        <f>-K6*Assumptions!K46/100</f>
        <v/>
      </c>
      <c r="L17" s="3">
        <f>-L6*Assumptions!L46/100</f>
        <v/>
      </c>
    </row>
    <row r="18">
      <c r="A18" t="inlineStr">
        <is>
          <t>Working capital</t>
        </is>
      </c>
      <c r="C18" s="3">
        <f>(C6-B6)*Assumptions!$B$51/100</f>
        <v/>
      </c>
      <c r="D18" s="3">
        <f>(D6-C6)*Assumptions!$B$51/100</f>
        <v/>
      </c>
      <c r="E18" s="3">
        <f>(E6-D6)*Assumptions!$B$51/100</f>
        <v/>
      </c>
      <c r="F18" s="3">
        <f>(F6-E6)*Assumptions!$B$51/100</f>
        <v/>
      </c>
      <c r="G18" s="3">
        <f>(G6-F6)*Assumptions!$B$51/100</f>
        <v/>
      </c>
      <c r="H18" s="3">
        <f>(H6-G6)*Assumptions!$B$51/100</f>
        <v/>
      </c>
      <c r="I18" s="3">
        <f>(I6-H6)*Assumptions!$B$51/100</f>
        <v/>
      </c>
      <c r="J18" s="3">
        <f>(J6-I6)*Assumptions!$B$51/100</f>
        <v/>
      </c>
      <c r="K18" s="3">
        <f>(K6-J6)*Assumptions!$B$51/100</f>
        <v/>
      </c>
      <c r="L18" s="3">
        <f>(L6-K6)*Assumptions!$B$51/100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Assumptions!C44</f>
        <v/>
      </c>
      <c r="D23" s="3">
        <f>Assumptions!D44</f>
        <v/>
      </c>
      <c r="E23" s="3">
        <f>Assumptions!E44</f>
        <v/>
      </c>
      <c r="F23" s="3">
        <f>Assumptions!F44</f>
        <v/>
      </c>
      <c r="G23" s="3">
        <f>Assumptions!G44</f>
        <v/>
      </c>
      <c r="H23" s="3">
        <f>Assumptions!H44</f>
        <v/>
      </c>
      <c r="I23" s="3">
        <f>Assumptions!I44</f>
        <v/>
      </c>
      <c r="J23" s="3">
        <f>Assumptions!J44</f>
        <v/>
      </c>
      <c r="K23" s="3">
        <f>Assumptions!K44</f>
        <v/>
      </c>
      <c r="L23" s="3">
        <f>Assumptions!L44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Assumptions!$B$48</f>
        <v/>
      </c>
    </row>
    <row r="28">
      <c r="A28" t="inlineStr">
        <is>
          <t>Terminal growth (%)</t>
        </is>
      </c>
      <c r="B28" s="3">
        <f>Assumptions!$B$49</f>
        <v/>
      </c>
    </row>
    <row r="29">
      <c r="A29" t="inlineStr">
        <is>
          <t>Terminal cap multiple (x FCF)</t>
        </is>
      </c>
      <c r="B29" s="3">
        <f>Assumptions!$B$50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BXB.AX valuation summary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 per share</t>
        </is>
      </c>
      <c r="F3" s="1" t="inlineStr">
        <is>
          <t>Hurdle entry price</t>
        </is>
      </c>
    </row>
    <row r="4">
      <c r="A4" t="inlineStr">
        <is>
          <t>Bear</t>
        </is>
      </c>
      <c r="B4" s="3">
        <f>DCF_Bear!$B$38</f>
        <v/>
      </c>
      <c r="C4">
        <f>B4/Assumptions!$B$2-1</f>
        <v/>
      </c>
      <c r="D4" s="3">
        <f>Assumptions!$B$24</f>
        <v/>
      </c>
      <c r="E4" s="3">
        <f>DCF_Bear!$B$43</f>
        <v/>
      </c>
      <c r="F4" s="3">
        <f>DCF_Bear!$B$47</f>
        <v/>
      </c>
    </row>
    <row r="5">
      <c r="A5" t="inlineStr">
        <is>
          <t>Base</t>
        </is>
      </c>
      <c r="B5" s="3">
        <f>DCF_Base!$B$38</f>
        <v/>
      </c>
      <c r="C5">
        <f>B5/Assumptions!$B$2-1</f>
        <v/>
      </c>
      <c r="D5" s="3">
        <f>Assumptions!$B$38</f>
        <v/>
      </c>
      <c r="E5" s="3">
        <f>DCF_Base!$B$43</f>
        <v/>
      </c>
      <c r="F5" s="3">
        <f>DCF_Base!$B$47</f>
        <v/>
      </c>
    </row>
    <row r="6">
      <c r="A6" t="inlineStr">
        <is>
          <t>Bull</t>
        </is>
      </c>
      <c r="B6" s="3">
        <f>DCF_Bull!$B$38</f>
        <v/>
      </c>
      <c r="C6">
        <f>B6/Assumptions!$B$2-1</f>
        <v/>
      </c>
      <c r="D6" s="3">
        <f>Assumptions!$B$52</f>
        <v/>
      </c>
      <c r="E6" s="3">
        <f>DCF_Bull!$B$43</f>
        <v/>
      </c>
      <c r="F6" s="3">
        <f>DCF_Bull!$B$47</f>
        <v/>
      </c>
    </row>
    <row r="8">
      <c r="A8" t="inlineStr">
        <is>
          <t>Probability-weighted value per share</t>
        </is>
      </c>
      <c r="B8">
        <f>SUMPRODUCT(B4:B6,D4:D6)</f>
        <v/>
      </c>
    </row>
    <row r="9">
      <c r="A9" t="inlineStr">
        <is>
          <t>Street weighted value per share</t>
        </is>
      </c>
      <c r="B9">
        <f>SUMPRODUCT(E4:E6,D4:D6)</f>
        <v/>
      </c>
    </row>
    <row r="10">
      <c r="A10" t="inlineStr">
        <is>
          <t>Margin of safety (1 - price/weighted)</t>
        </is>
      </c>
      <c r="B10">
        <f>1-Assumptions!$B$2/B8</f>
        <v/>
      </c>
    </row>
    <row r="11">
      <c r="A11" t="inlineStr">
        <is>
          <t>Band position (%; 0 = house, 100 = street)</t>
        </is>
      </c>
      <c r="B11">
        <f>IF(ABS(B9-B8)&gt;0.01*ABS(B8),(Assumptions!$B$2-B8)/(B9-B8)*100,"n/a")</f>
        <v/>
      </c>
    </row>
    <row r="12">
      <c r="A12" t="inlineStr">
        <is>
          <t>Weighted 15% hurdle entry price</t>
        </is>
      </c>
      <c r="B12">
        <f>SUMPRODUCT(F4:F6,D4:D6)</f>
        <v/>
      </c>
    </row>
    <row r="14">
      <c r="A14" s="1" t="inlineStr">
        <is>
          <t>Required-return table (base case; each row rebuilds its own terminal value)</t>
        </is>
      </c>
      <c r="C14" t="inlineStr">
        <is>
          <t>Rate (%)</t>
        </is>
      </c>
    </row>
    <row r="15">
      <c r="A15" t="inlineStr">
        <is>
          <t>Value per share at 8% (WACC)</t>
        </is>
      </c>
      <c r="B15">
        <f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/>
      </c>
      <c r="C15" s="2" t="n">
        <v>8</v>
      </c>
    </row>
    <row r="16">
      <c r="A16" t="inlineStr">
        <is>
          <t>Value per share at 9%</t>
        </is>
      </c>
      <c r="B16">
        <f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/>
      </c>
      <c r="C16" s="2" t="n">
        <v>9</v>
      </c>
    </row>
    <row r="17">
      <c r="A17" t="inlineStr">
        <is>
          <t>Value per share at 10%</t>
        </is>
      </c>
      <c r="B17">
        <f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/>
      </c>
      <c r="C17" s="2" t="n">
        <v>10</v>
      </c>
    </row>
    <row r="18">
      <c r="A18" t="inlineStr">
        <is>
          <t>Value per share at 11%</t>
        </is>
      </c>
      <c r="B18">
        <f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/>
      </c>
      <c r="C18" s="2" t="n">
        <v>11</v>
      </c>
    </row>
    <row r="19">
      <c r="A19" t="inlineStr">
        <is>
          <t>Value per share at 12%</t>
        </is>
      </c>
      <c r="B19">
        <f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/>
      </c>
      <c r="C19" s="2" t="n">
        <v>12</v>
      </c>
    </row>
    <row r="20">
      <c r="A20" t="inlineStr">
        <is>
          <t>Value per share at 15%</t>
        </is>
      </c>
      <c r="B20">
        <f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/>
      </c>
      <c r="C20" s="2" t="n">
        <v>15</v>
      </c>
    </row>
    <row r="22">
      <c r="A22" s="1" t="inlineStr">
        <is>
          <t>Sensitivity: value per share, rows WACC (%) x columns terminal growth (%)</t>
        </is>
      </c>
    </row>
    <row r="23">
      <c r="B23" s="2" t="n">
        <v>1.5</v>
      </c>
      <c r="C23" s="2" t="n">
        <v>2</v>
      </c>
      <c r="D23" s="2" t="n">
        <v>2.5</v>
      </c>
      <c r="E23" s="2" t="n">
        <v>3</v>
      </c>
      <c r="F23" s="2" t="n">
        <v>3.5</v>
      </c>
    </row>
    <row r="24">
      <c r="A24" s="2" t="n">
        <v>6</v>
      </c>
      <c r="B24">
        <f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/>
      </c>
      <c r="C24">
        <f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/>
      </c>
      <c r="D24">
        <f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/>
      </c>
      <c r="E24">
        <f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/>
      </c>
      <c r="F24">
        <f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/>
      </c>
    </row>
    <row r="25">
      <c r="A25" s="2" t="n">
        <v>7</v>
      </c>
      <c r="B25">
        <f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/>
      </c>
      <c r="C25">
        <f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/>
      </c>
      <c r="D25">
        <f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/>
      </c>
      <c r="E25">
        <f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/>
      </c>
      <c r="F25">
        <f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/>
      </c>
    </row>
    <row r="26">
      <c r="A26" s="2" t="n">
        <v>8</v>
      </c>
      <c r="B26">
        <f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/>
      </c>
      <c r="C26">
        <f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/>
      </c>
      <c r="D26">
        <f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/>
      </c>
      <c r="E26">
        <f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/>
      </c>
      <c r="F26">
        <f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/>
      </c>
    </row>
    <row r="27">
      <c r="A27" s="2" t="n">
        <v>9</v>
      </c>
      <c r="B27">
        <f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/>
      </c>
      <c r="C27">
        <f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/>
      </c>
      <c r="D27">
        <f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/>
      </c>
      <c r="E27">
        <f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/>
      </c>
      <c r="F27">
        <f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/>
      </c>
    </row>
    <row r="28">
      <c r="A28" s="2" t="n">
        <v>10</v>
      </c>
      <c r="B28">
        <f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/>
      </c>
      <c r="C28">
        <f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/>
      </c>
      <c r="D28">
        <f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/>
      </c>
      <c r="E28">
        <f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/>
      </c>
      <c r="F28">
        <f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2026-09-22T05:37:04Z</dcterms:created>
  <dcterms:modified xsi:type="dcterms:W3CDTF">2026-09-22T05:37:04Z</dcterms:modified>
</cp:coreProperties>
</file>