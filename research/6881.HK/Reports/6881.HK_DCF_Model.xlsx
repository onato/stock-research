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<sst xmlns="http://schemas.openxmlformats.org/spreadsheetml/2006/main" count="354" uniqueCount="165">
  <si>
    <t xml:space="preserve">Ticker</t>
  </si>
  <si>
    <t xml:space="preserve">6881.HK</t>
  </si>
  <si>
    <t xml:space="preserve">Company</t>
  </si>
  <si>
    <t xml:space="preserve">China Galaxy Securities Co., Ltd.</t>
  </si>
  <si>
    <t xml:space="preserve">Valuation date</t>
  </si>
  <si>
    <t xml:space="preserve">2026-10-24</t>
  </si>
  <si>
    <t xml:space="preserve">Current price</t>
  </si>
  <si>
    <t xml:space="preserve">Price as of</t>
  </si>
  <si>
    <t xml:space="preserve">2026-10-23T08:08:08Z (regular HKEX close, 16:08 HKT; 52-week range 6.60-12.30)</t>
  </si>
  <si>
    <t xml:space="preserve">Balance sheet date</t>
  </si>
  <si>
    <t xml:space="preserve">2026-06-30</t>
  </si>
  <si>
    <t xml:space="preserve">Model</t>
  </si>
  <si>
    <t xml:space="preserve">Broker FCFE capitalisation at cost of equity (bank-style, net debt held at zero, engine route), earnings retention for net-capital growth as the reinvestment charge, perpetual-bond distributions charged in the flow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</si>
  <si>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</si>
  <si>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</si>
  <si>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</si>
  <si>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</si>
  <si>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</si>
  <si>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</si>
  <si>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</si>
  <si>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</si>
  <si>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</si>
  <si>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2026-10-23T17:08:02Z</t>
  </si>
  <si>
    <t xml:space="preserve">Drivers file</t>
  </si>
  <si>
    <t xml:space="preserve">6881.HK_Drivers.json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</si>
  <si>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</si>
  <si>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</si>
  <si>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</si>
  <si>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China Galaxy is a state-controlled (Huijin/CIC) full-service Chinese securities firm whose value is the stream of distributable earnings to ORDINARY shareholders, capitalised at an 11% CNY cost of equity. Reported operating cash flow is noise (client money, margin loans, repo and trading positions), so the model discounts FCFE = after-tax profit less perpetual-bond distributions less earnings retained to grow net capital. Ordinary ROE has averaged ~9.6% over FY2021-25 against an 11% cost of equity, so fair value sits below ordinary book (CNY 11.04/share) in the base and bear cases; the bull case needs ROE to clear the cost of equity AND the 30% payout to rise materially. FY2026E is struck near a cyclical high and the base case resets revenue and margin in FY2027 rather than extrapolating. Perpetual bonds (RMB34.9bn) are charged via their coupon, not deducted at face; the alternative is quantified in inputs.perpetual_treatment. The H share's ~49% discount to the A share is reported but not modelled as a cash-flow item.
key_risks_to_valuation: A-share turnover and index levels: fee income (+48% YoY in H1 2026) and investment gains (34% of FY2025 revenue) are directly cyclical; a reversal takes revenue back to the FY2023-24 band (bear case).; Payout policy: the 30% payout is the single biggest lever on FCFE; the base case assumes it roughly doubles over ten years under CSRC guidance. If Galaxy keeps retaining ~70% at sub-CoE ROE, value is materially lower than the base case.; Perpetual subordinated bonds (RMB34.9bn, ~RMB1.0bn/yr coupon) rank ahead of ordinary holders; further issuance to replenish net capital would dilute ordinary FCFE.; Credit and market risk on the margin-financing, stock-pledge and proprietary books (total assets RMB1.06tn on RMB156bn equity, +24% in six months).; Industry consolidation (Guotai Haitong, CICC) and fee compression eroding share in investment banking and institutional business.; Currency: value is built in CNY and translated at 1.1748 CNY/HKD; the HKD IV moves one-for-one with the RMB.; A/H discount (~49%) may persist indefinitely; the model does not assume it closes.</t>
  </si>
  <si>
    <t xml:space="preserve">Data sources</t>
  </si>
  <si>
    <t xml:space="preserve">price: Yahoo Finance chart API for 6881.HK at inputs.price_as_of (regular HKEX close); 52-week range 6.60-12.30. A-share parity from 601881.SS on the same date; CNY/HKD from CNYHKD=X.
financials: research/6881.HK/Reports/6881.HK_Metrics.csv (core_metrics, FY2018-H1 FY2026, RMB m) and the filings in research/6881.HK/Extracted/: 2026 interim report (income statement line 4505-4545, equity line 4673-4678, EPS/perpetual note line 5550-5590, Note 37 line 6421-6470, market trends line 655-690, outlook line 1246-1280), FY2025 annual report (revenue mix line 2138-2178, dividend/payout line 3960-3980, other equity instruments line 2816), FY2020-FY2024 annual reports for perpetual balances and revenue history.
qualitative: 6881.HK_Analysis.json was not yet present when this valuation was built (written concurrently); scenario axes are drawn from the interim report's MD&amp;A (market trends, industry landscape, H2 2026 outlook) and the FY2025 annual report.</t>
  </si>
  <si>
    <t xml:space="preserve">Scenario narrative: bear</t>
  </si>
  <si>
    <t xml:space="preserve">Rally reverses and consolidation bites. Turnover halves, investment gains fall to FY2022-23 levels with mark-to-market losses on an enlarged trading book, impairments rise on the margin/stock-pledge books; FY2027 revenue -25%, margin 26-30%, ordinary ROE ~6-7%; enlarged rivals (Guotai Haitong, CICC) take institutional share. Solvency is not the bear case (risk-coverage and net-capital ratios are strong, Huijin/CIC control), earnings power is.</t>
  </si>
  <si>
    <t xml:space="preserve">Scenario narrative: base</t>
  </si>
  <si>
    <t xml:space="preserve">Cycle normalises, franchise intact. FY2027 revenue resets ~8% below the FY2026E peak as A-share turnover and investment gains revert while the margin book keeps growing; pre-tax margin 33-34% (FY2021-25 average 32.7%); retention glides from 60% to 35% of ordinary profit as the payout rises from today's 30% toward two-thirds; terminal ordinary ROE ~8-9% versus an 11% cost of equity. The axes are (1) A-share turnover and the mark-to-market on a RMB400bn+ financial-asset book, (2) whether Huijin-controlled Galaxy lifts its payout as CSRC guidance intends, and (3) the ~RMB1bn/yr perpetual coupon that sits ahead of ordinary holders.</t>
  </si>
  <si>
    <t xml:space="preserve">Scenario narrative: bull</t>
  </si>
  <si>
    <t xml:space="preserve">Upcycle holds. Household savings keep rotating into A shares and long-term-capital reforms sustain turnover; FY2027 grows on the FY2026 base, margin settles at 37%, ordinary ROE ~11-12% clears the cost of equity and the H share re-rates toward ordinary book (CNY 11.04 = HKD 13.0). Requires the market to hold its gains AND the payout to roughly double -- two independent things going right.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</si>
  <si>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</si>
  <si>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</si>
  <si>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</si>
  <si>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</si>
  <si>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</si>
  <si>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</si>
  <si>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</si>
  <si>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</si>
  <si>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</si>
  <si>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</si>
  <si>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</si>
  <si>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</si>
  <si>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</si>
  <si>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</si>
  <si>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</si>
  <si>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</si>
  <si>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</si>
  <si>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</si>
  <si>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</si>
  <si>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</si>
  <si>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</si>
  <si>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</si>
  <si>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</si>
  <si>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</si>
  <si>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</si>
  <si>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</si>
  <si>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</si>
  <si>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EffectiveCashTaxRate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</si>
  <si>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</si>
  <si>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</si>
  <si>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</si>
  <si>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</si>
  <si>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</si>
  <si>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</si>
  <si>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</si>
  <si>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</si>
  <si>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</si>
  <si>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</si>
  <si>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</si>
  <si>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</si>
  <si>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</si>
  <si>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</si>
  <si>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</si>
  <si>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</si>
  <si>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</si>
  <si>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FY2026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</si>
  <si>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</si>
  <si>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</si>
  <si>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</si>
  <si>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</si>
  <si>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</si>
  <si>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</si>
  <si>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</si>
  <si>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</si>
  <si>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</si>
  <si>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</si>
  <si>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</si>
  <si>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</si>
  <si>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</si>
  <si>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</si>
  <si>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</si>
  <si>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</si>
  <si>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</si>
  <si>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</si>
  <si>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</si>
  <si>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</si>
  <si>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</si>
  <si>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</si>
  <si>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</si>
  <si>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</si>
  <si>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</si>
  <si>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</si>
  <si>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</si>
  <si>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</si>
  <si>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6881.HK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</si>
  <si>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</si>
  <si>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</si>
  <si>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</si>
  <si>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</si>
  <si>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</si>
  <si>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</si>
  <si>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</si>
  <si>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</si>
  <si>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</si>
  <si>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</si>
  <si>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</si>
  <si>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</si>
  <si>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</si>
  <si>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</si>
  <si>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</si>
  <si>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</si>
  <si>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</si>
  <si>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</si>
  <si>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</si>
  <si>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</si>
  <si>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</si>
  <si>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</si>
  <si>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</si>
  <si>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</si>
  <si>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</si>
  <si>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</si>
  <si>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</si>
  <si>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</si>
  <si>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</si>
  <si>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</si>
  <si>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6881.HK owner-FCF component DCF: base case (millions, CNY)</t>
  </si>
  <si>
    <t xml:space="preserve">6881.HK owner-FCF component DCF: bull case (millions, CNY)</t>
  </si>
  <si>
    <t xml:space="preserve">6881.HK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</si>
  <si>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</si>
  <si>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</si>
  <si>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</si>
  <si>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</si>
  <si>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</si>
  <si>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</si>
  <si>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</si>
  <si>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</si>
  <si>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</si>
  <si>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</si>
  <si>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</si>
  <si>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</si>
  <si>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</si>
  <si>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</si>
  <si>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</si>
  <si>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</si>
  <si>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11% (WACC)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</si>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</sst>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6.93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</row>
    <row r="2" customFormat="false" ht="15" hidden="false" customHeight="false" outlineLevel="0" collapsed="false">
      <c r="A2" s="0" t="s">
        <v>65</v>
      </c>
      <c r="B2" s="0" t="n">
        <v>16234.97</v>
      </c>
      <c r="F2" s="0" t="n">
        <v>3684.671</v>
      </c>
      <c r="G2" s="0" t="n">
        <v>22.7</v>
      </c>
      <c r="I2" s="0" t="n">
        <v>2887.127</v>
      </c>
      <c r="J2" s="0" t="n">
        <v>17.8</v>
      </c>
      <c r="K2" s="0" t="n">
        <v>0.28</v>
      </c>
      <c r="L2" s="0" t="n">
        <v>10801.886</v>
      </c>
      <c r="M2" s="0" t="n">
        <v>1342.827</v>
      </c>
      <c r="N2" s="0" t="n">
        <v>9459.059</v>
      </c>
      <c r="O2" s="0" t="n">
        <v>65982.088</v>
      </c>
      <c r="P2" s="0" t="n">
        <v>251363.291</v>
      </c>
      <c r="Q2" s="0" t="n">
        <v>185025.43</v>
      </c>
      <c r="R2" s="0" t="n">
        <v>91274.539</v>
      </c>
      <c r="S2" s="0" t="n">
        <v>8645.592</v>
      </c>
      <c r="T2" s="0" t="n">
        <v>10137.259</v>
      </c>
      <c r="AA2" s="0" t="s">
        <v>18</v>
      </c>
      <c r="AB2" s="0" t="s">
        <v>14</v>
      </c>
      <c r="AC2" s="0" t="n">
        <v>17</v>
      </c>
    </row>
    <row r="3" customFormat="false" ht="15" hidden="false" customHeight="false" outlineLevel="0" collapsed="false">
      <c r="A3" s="0" t="s">
        <v>66</v>
      </c>
      <c r="B3" s="0" t="n">
        <v>23493.492</v>
      </c>
      <c r="F3" s="0" t="n">
        <v>6819.243</v>
      </c>
      <c r="G3" s="0" t="n">
        <v>29</v>
      </c>
      <c r="I3" s="0" t="n">
        <v>5228.429</v>
      </c>
      <c r="J3" s="0" t="n">
        <v>22.3</v>
      </c>
      <c r="K3" s="0" t="n">
        <v>0.52</v>
      </c>
      <c r="L3" s="0" t="n">
        <v>25779.76</v>
      </c>
      <c r="M3" s="0" t="n">
        <v>528.395</v>
      </c>
      <c r="N3" s="0" t="n">
        <v>25251.365</v>
      </c>
      <c r="O3" s="0" t="n">
        <v>70895.595</v>
      </c>
      <c r="P3" s="0" t="n">
        <v>315665.878</v>
      </c>
      <c r="Q3" s="0" t="n">
        <v>243744.179</v>
      </c>
      <c r="R3" s="0" t="n">
        <v>95635.603</v>
      </c>
      <c r="S3" s="0" t="n">
        <v>10499.839</v>
      </c>
      <c r="T3" s="0" t="n">
        <v>10137.259</v>
      </c>
      <c r="AA3" s="0" t="s">
        <v>18</v>
      </c>
      <c r="AB3" s="0" t="s">
        <v>14</v>
      </c>
      <c r="AC3" s="0" t="n">
        <v>18.2</v>
      </c>
    </row>
    <row r="4" customFormat="false" ht="15" hidden="false" customHeight="false" outlineLevel="0" collapsed="false">
      <c r="A4" s="0" t="s">
        <v>67</v>
      </c>
      <c r="B4" s="0" t="n">
        <v>25202.071</v>
      </c>
      <c r="F4" s="0" t="n">
        <v>9096.094</v>
      </c>
      <c r="G4" s="0" t="n">
        <v>36.1</v>
      </c>
      <c r="I4" s="0" t="n">
        <v>7243.654</v>
      </c>
      <c r="J4" s="0" t="n">
        <v>28.7</v>
      </c>
      <c r="K4" s="0" t="n">
        <v>0.71</v>
      </c>
      <c r="L4" s="0" t="n">
        <v>18319.686</v>
      </c>
      <c r="M4" s="0" t="n">
        <v>423.29</v>
      </c>
      <c r="N4" s="0" t="n">
        <v>17896.396</v>
      </c>
      <c r="O4" s="0" t="n">
        <v>81254.531</v>
      </c>
      <c r="P4" s="0" t="n">
        <v>445730.215</v>
      </c>
      <c r="Q4" s="0" t="n">
        <v>363722.157</v>
      </c>
      <c r="R4" s="0" t="n">
        <v>137566.553</v>
      </c>
      <c r="S4" s="0" t="n">
        <v>19408.579</v>
      </c>
      <c r="T4" s="0" t="n">
        <v>10137.259</v>
      </c>
      <c r="AA4" s="0" t="s">
        <v>18</v>
      </c>
      <c r="AB4" s="0" t="s">
        <v>14</v>
      </c>
      <c r="AC4" s="0" t="n">
        <v>16.1</v>
      </c>
    </row>
    <row r="5" customFormat="false" ht="15" hidden="false" customHeight="false" outlineLevel="0" collapsed="false">
      <c r="A5" s="0" t="s">
        <v>68</v>
      </c>
      <c r="B5" s="0" t="n">
        <v>31622.384</v>
      </c>
      <c r="F5" s="0" t="n">
        <v>12744.417</v>
      </c>
      <c r="G5" s="0" t="n">
        <v>40.3</v>
      </c>
      <c r="I5" s="0" t="n">
        <v>10430.238</v>
      </c>
      <c r="J5" s="0" t="n">
        <v>33</v>
      </c>
      <c r="K5" s="0" t="n">
        <v>0.97</v>
      </c>
      <c r="L5" s="0" t="n">
        <v>21135.87</v>
      </c>
      <c r="M5" s="0" t="n">
        <v>599.067</v>
      </c>
      <c r="N5" s="0" t="n">
        <v>20536.803</v>
      </c>
      <c r="O5" s="0" t="n">
        <v>98955.798</v>
      </c>
      <c r="P5" s="0" t="n">
        <v>560135.033</v>
      </c>
      <c r="Q5" s="0" t="n">
        <v>461156.982</v>
      </c>
      <c r="R5" s="0" t="n">
        <v>139436.125</v>
      </c>
      <c r="S5" s="0" t="n">
        <v>19641.442</v>
      </c>
      <c r="T5" s="0" t="n">
        <v>10137.259</v>
      </c>
      <c r="AA5" s="0" t="s">
        <v>18</v>
      </c>
      <c r="AB5" s="0" t="s">
        <v>14</v>
      </c>
      <c r="AC5" s="0" t="n">
        <v>17.6</v>
      </c>
    </row>
    <row r="6" customFormat="false" ht="15" hidden="false" customHeight="false" outlineLevel="0" collapsed="false">
      <c r="A6" s="0" t="s">
        <v>69</v>
      </c>
      <c r="B6" s="0" t="n">
        <v>28726.93</v>
      </c>
      <c r="F6" s="0" t="n">
        <v>7969.995</v>
      </c>
      <c r="G6" s="0" t="n">
        <v>27.7</v>
      </c>
      <c r="I6" s="0" t="n">
        <v>7760.544</v>
      </c>
      <c r="J6" s="0" t="n">
        <v>27</v>
      </c>
      <c r="K6" s="0" t="n">
        <v>0.7</v>
      </c>
      <c r="L6" s="0" t="n">
        <v>28825.542</v>
      </c>
      <c r="M6" s="0" t="n">
        <v>1153.832</v>
      </c>
      <c r="N6" s="0" t="n">
        <v>27671.71</v>
      </c>
      <c r="O6" s="0" t="n">
        <v>102598.726</v>
      </c>
      <c r="P6" s="0" t="n">
        <v>625222.928</v>
      </c>
      <c r="Q6" s="0" t="n">
        <v>522601.017</v>
      </c>
      <c r="R6" s="0" t="n">
        <v>152449.3</v>
      </c>
      <c r="S6" s="0" t="n">
        <v>26779.084</v>
      </c>
      <c r="T6" s="0" t="n">
        <v>10137.28</v>
      </c>
      <c r="AA6" s="0" t="s">
        <v>18</v>
      </c>
      <c r="AB6" s="0" t="s">
        <v>14</v>
      </c>
      <c r="AC6" s="0" t="n">
        <v>12.9</v>
      </c>
    </row>
    <row r="7" customFormat="false" ht="15" hidden="false" customHeight="false" outlineLevel="0" collapsed="false">
      <c r="A7" s="0" t="s">
        <v>70</v>
      </c>
      <c r="B7" s="0" t="n">
        <v>30070.404</v>
      </c>
      <c r="F7" s="0" t="n">
        <v>8135.965</v>
      </c>
      <c r="G7" s="0" t="n">
        <v>27.1</v>
      </c>
      <c r="I7" s="0" t="n">
        <v>7878.769</v>
      </c>
      <c r="J7" s="0" t="n">
        <v>26.2</v>
      </c>
      <c r="K7" s="0" t="n">
        <v>0.67</v>
      </c>
      <c r="L7" s="0" t="n">
        <v>-30193.137</v>
      </c>
      <c r="M7" s="0" t="n">
        <v>695.16</v>
      </c>
      <c r="N7" s="0" t="n">
        <v>-30888.297</v>
      </c>
      <c r="O7" s="0" t="n">
        <v>130466.361</v>
      </c>
      <c r="P7" s="0" t="n">
        <v>663205.297</v>
      </c>
      <c r="Q7" s="0" t="n">
        <v>532710.511</v>
      </c>
      <c r="R7" s="0" t="n">
        <v>143912.79</v>
      </c>
      <c r="S7" s="0" t="n">
        <v>26334.956</v>
      </c>
      <c r="T7" s="0" t="n">
        <v>10934.402</v>
      </c>
      <c r="AA7" s="0" t="s">
        <v>18</v>
      </c>
      <c r="AB7" s="0" t="s">
        <v>14</v>
      </c>
      <c r="AC7" s="0" t="n">
        <v>2.7</v>
      </c>
    </row>
    <row r="8" customFormat="false" ht="15" hidden="false" customHeight="false" outlineLevel="0" collapsed="false">
      <c r="A8" s="0" t="s">
        <v>71</v>
      </c>
      <c r="B8" s="0" t="n">
        <v>34047.951</v>
      </c>
      <c r="F8" s="0" t="n">
        <v>10522.39</v>
      </c>
      <c r="G8" s="0" t="n">
        <v>30.9</v>
      </c>
      <c r="I8" s="0" t="n">
        <v>10030.838</v>
      </c>
      <c r="J8" s="0" t="n">
        <v>29.5</v>
      </c>
      <c r="K8" s="0" t="n">
        <v>0.81</v>
      </c>
      <c r="L8" s="0" t="n">
        <v>-6467.817</v>
      </c>
      <c r="M8" s="0" t="n">
        <v>770.64</v>
      </c>
      <c r="N8" s="0" t="n">
        <v>-7238.457</v>
      </c>
      <c r="O8" s="0" t="n">
        <v>140480.735</v>
      </c>
      <c r="P8" s="0" t="n">
        <v>737470.691</v>
      </c>
      <c r="Q8" s="0" t="n">
        <v>596971.247</v>
      </c>
      <c r="R8" s="0" t="n">
        <v>158549.662</v>
      </c>
      <c r="S8" s="0" t="n">
        <v>24270.604</v>
      </c>
      <c r="T8" s="0" t="n">
        <v>10934.402</v>
      </c>
      <c r="AA8" s="0" t="s">
        <v>18</v>
      </c>
      <c r="AB8" s="0" t="s">
        <v>14</v>
      </c>
      <c r="AC8" s="0" t="n">
        <v>4.9</v>
      </c>
    </row>
    <row r="9" customFormat="false" ht="15" hidden="false" customHeight="false" outlineLevel="0" collapsed="false">
      <c r="A9" s="0" t="s">
        <v>72</v>
      </c>
      <c r="B9" s="0" t="n">
        <v>38337.862</v>
      </c>
      <c r="F9" s="0" t="n">
        <v>14393.268</v>
      </c>
      <c r="G9" s="0" t="n">
        <v>37.5</v>
      </c>
      <c r="I9" s="0" t="n">
        <v>12519.719</v>
      </c>
      <c r="J9" s="0" t="n">
        <v>32.7</v>
      </c>
      <c r="K9" s="0" t="n">
        <v>1.03</v>
      </c>
      <c r="L9" s="0" t="n">
        <v>-25514.48</v>
      </c>
      <c r="M9" s="0" t="n">
        <v>843.534</v>
      </c>
      <c r="N9" s="0" t="n">
        <v>-26358.014</v>
      </c>
      <c r="O9" s="0" t="n">
        <v>147780.143</v>
      </c>
      <c r="P9" s="0" t="n">
        <v>855744.927</v>
      </c>
      <c r="Q9" s="0" t="n">
        <v>707948.51</v>
      </c>
      <c r="R9" s="0" t="n">
        <v>195925.908</v>
      </c>
      <c r="S9" s="0" t="n">
        <v>30881.864</v>
      </c>
      <c r="T9" s="0" t="n">
        <v>10934.402</v>
      </c>
      <c r="AA9" s="0" t="s">
        <v>18</v>
      </c>
      <c r="AB9" s="0" t="s">
        <v>14</v>
      </c>
      <c r="AC9" s="0" t="n">
        <v>9.5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73</v>
      </c>
      <c r="B1" s="2" t="s">
        <v>74</v>
      </c>
    </row>
    <row r="2" customFormat="false" ht="15" hidden="false" customHeight="false" outlineLevel="0" collapsed="false">
      <c r="A2" s="0" t="s">
        <v>75</v>
      </c>
      <c r="B2" s="3" t="n">
        <v>6.93</v>
      </c>
    </row>
    <row r="3" customFormat="false" ht="15" hidden="false" customHeight="false" outlineLevel="0" collapsed="false">
      <c r="A3" s="0" t="s">
        <v>76</v>
      </c>
      <c r="B3" s="3" t="n">
        <v>10934.402</v>
      </c>
    </row>
    <row r="4" customFormat="false" ht="15" hidden="false" customHeight="false" outlineLevel="0" collapsed="false">
      <c r="A4" s="0" t="s">
        <v>77</v>
      </c>
      <c r="B4" s="3" t="n">
        <v>0</v>
      </c>
    </row>
    <row r="5" customFormat="false" ht="15" hidden="false" customHeight="false" outlineLevel="0" collapsed="false">
      <c r="A5" s="0" t="s">
        <v>78</v>
      </c>
      <c r="B5" s="3" t="n">
        <v>0</v>
      </c>
    </row>
    <row r="6" customFormat="false" ht="15" hidden="false" customHeight="false" outlineLevel="0" collapsed="false">
      <c r="A6" s="0" t="s">
        <v>79</v>
      </c>
      <c r="B6" s="3" t="n">
        <v>15</v>
      </c>
    </row>
    <row r="7" customFormat="false" ht="15" hidden="false" customHeight="false" outlineLevel="0" collapsed="false">
      <c r="A7" s="0" t="s">
        <v>80</v>
      </c>
      <c r="B7" s="3" t="n">
        <v>43300</v>
      </c>
    </row>
    <row r="8" customFormat="false" ht="15" hidden="false" customHeight="false" outlineLevel="0" collapsed="false">
      <c r="A8" s="0" t="s">
        <v>81</v>
      </c>
      <c r="B8" s="3" t="s">
        <v>82</v>
      </c>
    </row>
    <row r="9" customFormat="false" ht="15" hidden="false" customHeight="false" outlineLevel="0" collapsed="false">
      <c r="A9" s="0" t="s">
        <v>83</v>
      </c>
      <c r="B9" s="3" t="s">
        <v>84</v>
      </c>
    </row>
    <row r="10" customFormat="false" ht="15" hidden="false" customHeight="false" outlineLevel="0" collapsed="false">
      <c r="A10" s="0" t="s">
        <v>85</v>
      </c>
      <c r="B10" s="3" t="n">
        <v>1.1748</v>
      </c>
    </row>
    <row r="12" customFormat="false" ht="15" hidden="false" customHeight="false" outlineLevel="0" collapsed="false">
      <c r="A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91</v>
      </c>
      <c r="H12" s="2" t="s">
        <v>92</v>
      </c>
      <c r="I12" s="2" t="s">
        <v>93</v>
      </c>
      <c r="J12" s="2" t="s">
        <v>94</v>
      </c>
      <c r="K12" s="2" t="s">
        <v>95</v>
      </c>
      <c r="L12" s="2" t="s">
        <v>96</v>
      </c>
    </row>
    <row r="13" customFormat="false" ht="15" hidden="false" customHeight="false" outlineLevel="0" collapsed="false">
      <c r="A13" s="0" t="s">
        <v>97</v>
      </c>
      <c r="C13" s="3" t="n">
        <v>-25</v>
      </c>
      <c r="D13" s="3" t="n">
        <v>-3</v>
      </c>
      <c r="E13" s="3" t="n">
        <v>2</v>
      </c>
      <c r="F13" s="3" t="n">
        <v>2.5</v>
      </c>
      <c r="G13" s="3" t="n">
        <v>2.5</v>
      </c>
      <c r="H13" s="3" t="n">
        <v>2.5</v>
      </c>
      <c r="I13" s="3" t="n">
        <v>2.5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98</v>
      </c>
      <c r="C14" s="3" t="n">
        <v>27</v>
      </c>
      <c r="D14" s="3" t="n">
        <v>26</v>
      </c>
      <c r="E14" s="3" t="n">
        <v>27</v>
      </c>
      <c r="F14" s="3" t="n">
        <v>28</v>
      </c>
      <c r="G14" s="3" t="n">
        <v>29</v>
      </c>
      <c r="H14" s="3" t="n">
        <v>30</v>
      </c>
      <c r="I14" s="3" t="n">
        <v>30</v>
      </c>
      <c r="J14" s="3" t="n">
        <v>30</v>
      </c>
      <c r="K14" s="3" t="n">
        <v>30</v>
      </c>
      <c r="L14" s="3" t="n">
        <v>30</v>
      </c>
    </row>
    <row r="15" customFormat="false" ht="15" hidden="false" customHeight="false" outlineLevel="0" collapsed="false">
      <c r="A15" s="0" t="s">
        <v>99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101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102</v>
      </c>
      <c r="C18" s="3" t="n">
        <v>13</v>
      </c>
      <c r="D18" s="3" t="n">
        <v>12.4</v>
      </c>
      <c r="E18" s="3" t="n">
        <v>12</v>
      </c>
      <c r="F18" s="3" t="n">
        <v>11.6</v>
      </c>
      <c r="G18" s="3" t="n">
        <v>11.2</v>
      </c>
      <c r="H18" s="3" t="n">
        <v>10.7</v>
      </c>
      <c r="I18" s="3" t="n">
        <v>10.2</v>
      </c>
      <c r="J18" s="3" t="n">
        <v>9.8</v>
      </c>
      <c r="K18" s="3" t="n">
        <v>9.4</v>
      </c>
      <c r="L18" s="3" t="n">
        <v>9.1</v>
      </c>
    </row>
    <row r="19" customFormat="false" ht="15" hidden="false" customHeight="false" outlineLevel="0" collapsed="false">
      <c r="A19" s="0" t="s">
        <v>103</v>
      </c>
      <c r="C19" s="3" t="n">
        <v>26</v>
      </c>
      <c r="D19" s="3" t="n">
        <v>26</v>
      </c>
      <c r="E19" s="3" t="n">
        <v>25.5</v>
      </c>
      <c r="F19" s="3" t="n">
        <v>25</v>
      </c>
      <c r="G19" s="3" t="n">
        <v>25</v>
      </c>
      <c r="H19" s="3" t="n">
        <v>24.5</v>
      </c>
      <c r="I19" s="3" t="n">
        <v>24.5</v>
      </c>
      <c r="J19" s="3" t="n">
        <v>24</v>
      </c>
      <c r="K19" s="3" t="n">
        <v>24</v>
      </c>
      <c r="L19" s="3" t="n">
        <v>24</v>
      </c>
    </row>
    <row r="20" customFormat="false" ht="15" hidden="false" customHeight="false" outlineLevel="0" collapsed="false">
      <c r="A20" s="0" t="s">
        <v>104</v>
      </c>
      <c r="B20" s="3" t="n">
        <v>11</v>
      </c>
    </row>
    <row r="21" customFormat="false" ht="15" hidden="false" customHeight="false" outlineLevel="0" collapsed="false">
      <c r="A21" s="0" t="s">
        <v>105</v>
      </c>
      <c r="B21" s="3" t="n">
        <v>2.5</v>
      </c>
    </row>
    <row r="22" customFormat="false" ht="15" hidden="false" customHeight="false" outlineLevel="0" collapsed="false">
      <c r="A22" s="0" t="s">
        <v>106</v>
      </c>
      <c r="B22" s="3" t="n">
        <v>15</v>
      </c>
    </row>
    <row r="23" customFormat="false" ht="15" hidden="false" customHeight="false" outlineLevel="0" collapsed="false">
      <c r="A23" s="0" t="s">
        <v>107</v>
      </c>
      <c r="B23" s="3" t="n">
        <v>0</v>
      </c>
    </row>
    <row r="24" customFormat="false" ht="15" hidden="false" customHeight="false" outlineLevel="0" collapsed="false">
      <c r="A24" s="0" t="s">
        <v>108</v>
      </c>
      <c r="B24" s="3" t="n">
        <v>0.25</v>
      </c>
    </row>
    <row r="26" customFormat="false" ht="15" hidden="false" customHeight="false" outlineLevel="0" collapsed="false">
      <c r="A26" s="2" t="s">
        <v>109</v>
      </c>
      <c r="C26" s="2" t="s">
        <v>87</v>
      </c>
      <c r="D26" s="2" t="s">
        <v>88</v>
      </c>
      <c r="E26" s="2" t="s">
        <v>89</v>
      </c>
      <c r="F26" s="2" t="s">
        <v>90</v>
      </c>
      <c r="G26" s="2" t="s">
        <v>91</v>
      </c>
      <c r="H26" s="2" t="s">
        <v>92</v>
      </c>
      <c r="I26" s="2" t="s">
        <v>93</v>
      </c>
      <c r="J26" s="2" t="s">
        <v>94</v>
      </c>
      <c r="K26" s="2" t="s">
        <v>95</v>
      </c>
      <c r="L26" s="2" t="s">
        <v>96</v>
      </c>
    </row>
    <row r="27" customFormat="false" ht="15" hidden="false" customHeight="false" outlineLevel="0" collapsed="false">
      <c r="A27" s="0" t="s">
        <v>97</v>
      </c>
      <c r="C27" s="3" t="n">
        <v>-8</v>
      </c>
      <c r="D27" s="3" t="n">
        <v>3</v>
      </c>
      <c r="E27" s="3" t="n">
        <v>4</v>
      </c>
      <c r="F27" s="3" t="n">
        <v>4</v>
      </c>
      <c r="G27" s="3" t="n">
        <v>3.5</v>
      </c>
      <c r="H27" s="3" t="n">
        <v>3</v>
      </c>
      <c r="I27" s="3" t="n">
        <v>3</v>
      </c>
      <c r="J27" s="3" t="n">
        <v>3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98</v>
      </c>
      <c r="C28" s="3" t="n">
        <v>34</v>
      </c>
      <c r="D28" s="3" t="n">
        <v>33</v>
      </c>
      <c r="E28" s="3" t="n">
        <v>33.5</v>
      </c>
      <c r="F28" s="3" t="n">
        <v>34</v>
      </c>
      <c r="G28" s="3" t="n">
        <v>34</v>
      </c>
      <c r="H28" s="3" t="n">
        <v>34</v>
      </c>
      <c r="I28" s="3" t="n">
        <v>34</v>
      </c>
      <c r="J28" s="3" t="n">
        <v>34</v>
      </c>
      <c r="K28" s="3" t="n">
        <v>34</v>
      </c>
      <c r="L28" s="3" t="n">
        <v>34</v>
      </c>
    </row>
    <row r="29" customFormat="false" ht="15" hidden="false" customHeight="false" outlineLevel="0" collapsed="false">
      <c r="A29" s="0" t="s">
        <v>99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101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102</v>
      </c>
      <c r="C32" s="3" t="n">
        <v>15.8</v>
      </c>
      <c r="D32" s="3" t="n">
        <v>14.8</v>
      </c>
      <c r="E32" s="3" t="n">
        <v>13.8</v>
      </c>
      <c r="F32" s="3" t="n">
        <v>12.9</v>
      </c>
      <c r="G32" s="3" t="n">
        <v>12</v>
      </c>
      <c r="H32" s="3" t="n">
        <v>11.2</v>
      </c>
      <c r="I32" s="3" t="n">
        <v>10.6</v>
      </c>
      <c r="J32" s="3" t="n">
        <v>10</v>
      </c>
      <c r="K32" s="3" t="n">
        <v>9.6</v>
      </c>
      <c r="L32" s="3" t="n">
        <v>9.3</v>
      </c>
    </row>
    <row r="33" customFormat="false" ht="15" hidden="false" customHeight="false" outlineLevel="0" collapsed="false">
      <c r="A33" s="0" t="s">
        <v>103</v>
      </c>
      <c r="C33" s="3" t="n">
        <v>22.5</v>
      </c>
      <c r="D33" s="3" t="n">
        <v>22.5</v>
      </c>
      <c r="E33" s="3" t="n">
        <v>22</v>
      </c>
      <c r="F33" s="3" t="n">
        <v>22</v>
      </c>
      <c r="G33" s="3" t="n">
        <v>21.5</v>
      </c>
      <c r="H33" s="3" t="n">
        <v>21.5</v>
      </c>
      <c r="I33" s="3" t="n">
        <v>21</v>
      </c>
      <c r="J33" s="3" t="n">
        <v>21</v>
      </c>
      <c r="K33" s="3" t="n">
        <v>21</v>
      </c>
      <c r="L33" s="3" t="n">
        <v>21</v>
      </c>
    </row>
    <row r="34" customFormat="false" ht="15" hidden="false" customHeight="false" outlineLevel="0" collapsed="false">
      <c r="A34" s="0" t="s">
        <v>104</v>
      </c>
      <c r="B34" s="3" t="n">
        <v>11</v>
      </c>
    </row>
    <row r="35" customFormat="false" ht="15" hidden="false" customHeight="false" outlineLevel="0" collapsed="false">
      <c r="A35" s="0" t="s">
        <v>105</v>
      </c>
      <c r="B35" s="3" t="n">
        <v>3</v>
      </c>
    </row>
    <row r="36" customFormat="false" ht="15" hidden="false" customHeight="false" outlineLevel="0" collapsed="false">
      <c r="A36" s="0" t="s">
        <v>106</v>
      </c>
      <c r="B36" s="3" t="n">
        <v>15</v>
      </c>
    </row>
    <row r="37" customFormat="false" ht="15" hidden="false" customHeight="false" outlineLevel="0" collapsed="false">
      <c r="A37" s="0" t="s">
        <v>107</v>
      </c>
      <c r="B37" s="3" t="n">
        <v>0</v>
      </c>
    </row>
    <row r="38" customFormat="false" ht="15" hidden="false" customHeight="false" outlineLevel="0" collapsed="false">
      <c r="A38" s="0" t="s">
        <v>108</v>
      </c>
      <c r="B38" s="3" t="n">
        <v>0.5</v>
      </c>
    </row>
    <row r="40" customFormat="false" ht="15" hidden="false" customHeight="false" outlineLevel="0" collapsed="false">
      <c r="A40" s="2" t="s">
        <v>110</v>
      </c>
      <c r="C40" s="2" t="s">
        <v>87</v>
      </c>
      <c r="D40" s="2" t="s">
        <v>88</v>
      </c>
      <c r="E40" s="2" t="s">
        <v>89</v>
      </c>
      <c r="F40" s="2" t="s">
        <v>90</v>
      </c>
      <c r="G40" s="2" t="s">
        <v>91</v>
      </c>
      <c r="H40" s="2" t="s">
        <v>92</v>
      </c>
      <c r="I40" s="2" t="s">
        <v>93</v>
      </c>
      <c r="J40" s="2" t="s">
        <v>94</v>
      </c>
      <c r="K40" s="2" t="s">
        <v>95</v>
      </c>
      <c r="L40" s="2" t="s">
        <v>96</v>
      </c>
    </row>
    <row r="41" customFormat="false" ht="15" hidden="false" customHeight="false" outlineLevel="0" collapsed="false">
      <c r="A41" s="0" t="s">
        <v>97</v>
      </c>
      <c r="C41" s="3" t="n">
        <v>3</v>
      </c>
      <c r="D41" s="3" t="n">
        <v>5</v>
      </c>
      <c r="E41" s="3" t="n">
        <v>5</v>
      </c>
      <c r="F41" s="3" t="n">
        <v>4.5</v>
      </c>
      <c r="G41" s="3" t="n">
        <v>4</v>
      </c>
      <c r="H41" s="3" t="n">
        <v>4</v>
      </c>
      <c r="I41" s="3" t="n">
        <v>3.5</v>
      </c>
      <c r="J41" s="3" t="n">
        <v>3.5</v>
      </c>
      <c r="K41" s="3" t="n">
        <v>3.5</v>
      </c>
      <c r="L41" s="3" t="n">
        <v>3.5</v>
      </c>
    </row>
    <row r="42" customFormat="false" ht="15" hidden="false" customHeight="false" outlineLevel="0" collapsed="false">
      <c r="A42" s="0" t="s">
        <v>98</v>
      </c>
      <c r="C42" s="3" t="n">
        <v>39</v>
      </c>
      <c r="D42" s="3" t="n">
        <v>38</v>
      </c>
      <c r="E42" s="3" t="n">
        <v>37.5</v>
      </c>
      <c r="F42" s="3" t="n">
        <v>37</v>
      </c>
      <c r="G42" s="3" t="n">
        <v>37</v>
      </c>
      <c r="H42" s="3" t="n">
        <v>37</v>
      </c>
      <c r="I42" s="3" t="n">
        <v>37</v>
      </c>
      <c r="J42" s="3" t="n">
        <v>37</v>
      </c>
      <c r="K42" s="3" t="n">
        <v>37</v>
      </c>
      <c r="L42" s="3" t="n">
        <v>37</v>
      </c>
    </row>
    <row r="43" customFormat="false" ht="15" hidden="false" customHeight="false" outlineLevel="0" collapsed="false">
      <c r="A43" s="0" t="s">
        <v>99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101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102</v>
      </c>
      <c r="C46" s="3" t="n">
        <v>16</v>
      </c>
      <c r="D46" s="3" t="n">
        <v>14.8</v>
      </c>
      <c r="E46" s="3" t="n">
        <v>13.6</v>
      </c>
      <c r="F46" s="3" t="n">
        <v>12.5</v>
      </c>
      <c r="G46" s="3" t="n">
        <v>11.5</v>
      </c>
      <c r="H46" s="3" t="n">
        <v>10.7</v>
      </c>
      <c r="I46" s="3" t="n">
        <v>10</v>
      </c>
      <c r="J46" s="3" t="n">
        <v>9.4</v>
      </c>
      <c r="K46" s="3" t="n">
        <v>9</v>
      </c>
      <c r="L46" s="3" t="n">
        <v>8.8</v>
      </c>
    </row>
    <row r="47" customFormat="false" ht="15" hidden="false" customHeight="false" outlineLevel="0" collapsed="false">
      <c r="A47" s="0" t="s">
        <v>103</v>
      </c>
      <c r="C47" s="3" t="n">
        <v>21</v>
      </c>
      <c r="D47" s="3" t="n">
        <v>21</v>
      </c>
      <c r="E47" s="3" t="n">
        <v>21</v>
      </c>
      <c r="F47" s="3" t="n">
        <v>20.5</v>
      </c>
      <c r="G47" s="3" t="n">
        <v>20.5</v>
      </c>
      <c r="H47" s="3" t="n">
        <v>20.5</v>
      </c>
      <c r="I47" s="3" t="n">
        <v>20</v>
      </c>
      <c r="J47" s="3" t="n">
        <v>20</v>
      </c>
      <c r="K47" s="3" t="n">
        <v>20</v>
      </c>
      <c r="L47" s="3" t="n">
        <v>20</v>
      </c>
    </row>
    <row r="48" customFormat="false" ht="15" hidden="false" customHeight="false" outlineLevel="0" collapsed="false">
      <c r="A48" s="0" t="s">
        <v>104</v>
      </c>
      <c r="B48" s="3" t="n">
        <v>11</v>
      </c>
    </row>
    <row r="49" customFormat="false" ht="15" hidden="false" customHeight="false" outlineLevel="0" collapsed="false">
      <c r="A49" s="0" t="s">
        <v>105</v>
      </c>
      <c r="B49" s="3" t="n">
        <v>3.5</v>
      </c>
    </row>
    <row r="50" customFormat="false" ht="15" hidden="false" customHeight="false" outlineLevel="0" collapsed="false">
      <c r="A50" s="0" t="s">
        <v>106</v>
      </c>
      <c r="B50" s="3" t="n">
        <v>15</v>
      </c>
    </row>
    <row r="51" customFormat="false" ht="15" hidden="false" customHeight="false" outlineLevel="0" collapsed="false">
      <c r="A51" s="0" t="s">
        <v>107</v>
      </c>
      <c r="B51" s="3" t="n">
        <v>0</v>
      </c>
    </row>
    <row r="52" customFormat="false" ht="15" hidden="false" customHeight="false" outlineLevel="0" collapsed="false">
      <c r="A52" s="0" t="s">
        <v>108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111</v>
      </c>
    </row>
    <row r="3" customFormat="false" ht="15" hidden="false" customHeight="false" outlineLevel="0" collapsed="false">
      <c r="A3" s="0" t="s">
        <v>112</v>
      </c>
      <c r="B3" s="0" t="s">
        <v>82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Assumptions!C13</f>
        <v>-25</v>
      </c>
      <c r="D5" s="4" t="n">
        <f aca="false">Assumptions!D13</f>
        <v>-3</v>
      </c>
      <c r="E5" s="4" t="n">
        <f aca="false">Assumptions!E13</f>
        <v>2</v>
      </c>
      <c r="F5" s="4" t="n">
        <f aca="false">Assumptions!F13</f>
        <v>2.5</v>
      </c>
      <c r="G5" s="4" t="n">
        <f aca="false">Assumptions!G13</f>
        <v>2.5</v>
      </c>
      <c r="H5" s="4" t="n">
        <f aca="false">Assumptions!H13</f>
        <v>2.5</v>
      </c>
      <c r="I5" s="4" t="n">
        <f aca="false">Assumptions!I13</f>
        <v>2.5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38</v>
      </c>
      <c r="B6" s="3" t="n">
        <v>43300</v>
      </c>
      <c r="C6" s="0" t="n">
        <f aca="false">B6*(1+C5/100)</f>
        <v>32475</v>
      </c>
      <c r="D6" s="0" t="n">
        <f aca="false">C6*(1+D5/100)</f>
        <v>31500.75</v>
      </c>
      <c r="E6" s="0" t="n">
        <f aca="false">D6*(1+E5/100)</f>
        <v>32130.765</v>
      </c>
      <c r="F6" s="0" t="n">
        <f aca="false">E6*(1+F5/100)</f>
        <v>32934.034125</v>
      </c>
      <c r="G6" s="0" t="n">
        <f aca="false">F6*(1+G5/100)</f>
        <v>33757.384978125</v>
      </c>
      <c r="H6" s="0" t="n">
        <f aca="false">G6*(1+H5/100)</f>
        <v>34601.3196025781</v>
      </c>
      <c r="I6" s="0" t="n">
        <f aca="false">H6*(1+I5/100)</f>
        <v>35466.3525926426</v>
      </c>
      <c r="J6" s="0" t="n">
        <f aca="false">I6*(1+J5/100)</f>
        <v>36353.0114074586</v>
      </c>
      <c r="K6" s="0" t="n">
        <f aca="false">J6*(1+K5/100)</f>
        <v>37261.8366926451</v>
      </c>
      <c r="L6" s="0" t="n">
        <f aca="false">K6*(1+L5/100)</f>
        <v>38193.3826099612</v>
      </c>
    </row>
    <row r="7" customFormat="false" ht="15" hidden="false" customHeight="false" outlineLevel="0" collapsed="false">
      <c r="A7" s="0" t="s">
        <v>98</v>
      </c>
      <c r="C7" s="4" t="n">
        <f aca="false">Assumptions!C14</f>
        <v>27</v>
      </c>
      <c r="D7" s="4" t="n">
        <f aca="false">Assumptions!D14</f>
        <v>26</v>
      </c>
      <c r="E7" s="4" t="n">
        <f aca="false">Assumptions!E14</f>
        <v>27</v>
      </c>
      <c r="F7" s="4" t="n">
        <f aca="false">Assumptions!F14</f>
        <v>28</v>
      </c>
      <c r="G7" s="4" t="n">
        <f aca="false">Assumptions!G14</f>
        <v>29</v>
      </c>
      <c r="H7" s="4" t="n">
        <f aca="false">Assumptions!H14</f>
        <v>30</v>
      </c>
      <c r="I7" s="4" t="n">
        <f aca="false">Assumptions!I14</f>
        <v>30</v>
      </c>
      <c r="J7" s="4" t="n">
        <f aca="false">Assumptions!J14</f>
        <v>30</v>
      </c>
      <c r="K7" s="4" t="n">
        <f aca="false">Assumptions!K14</f>
        <v>30</v>
      </c>
      <c r="L7" s="4" t="n">
        <f aca="false">Assumptions!L14</f>
        <v>30</v>
      </c>
    </row>
    <row r="8" customFormat="false" ht="15" hidden="false" customHeight="false" outlineLevel="0" collapsed="false">
      <c r="A8" s="0" t="s">
        <v>44</v>
      </c>
      <c r="C8" s="0" t="n">
        <f aca="false">C6*C7/100</f>
        <v>8768.25</v>
      </c>
      <c r="D8" s="0" t="n">
        <f aca="false">D6*D7/100</f>
        <v>8190.195</v>
      </c>
      <c r="E8" s="0" t="n">
        <f aca="false">E6*E7/100</f>
        <v>8675.30655</v>
      </c>
      <c r="F8" s="0" t="n">
        <f aca="false">F6*F7/100</f>
        <v>9221.529555</v>
      </c>
      <c r="G8" s="0" t="n">
        <f aca="false">G6*G7/100</f>
        <v>9789.64164365625</v>
      </c>
      <c r="H8" s="0" t="n">
        <f aca="false">H6*H7/100</f>
        <v>10380.3958807734</v>
      </c>
      <c r="I8" s="0" t="n">
        <f aca="false">I6*I7/100</f>
        <v>10639.9057777928</v>
      </c>
      <c r="J8" s="0" t="n">
        <f aca="false">J6*J7/100</f>
        <v>10905.9034222376</v>
      </c>
      <c r="K8" s="0" t="n">
        <f aca="false">K6*K7/100</f>
        <v>11178.5510077935</v>
      </c>
      <c r="L8" s="0" t="n">
        <f aca="false">L6*L7/100</f>
        <v>11458.0147829884</v>
      </c>
    </row>
    <row r="9" customFormat="false" ht="15" hidden="false" customHeight="false" outlineLevel="0" collapsed="false">
      <c r="A9" s="0" t="s">
        <v>99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8768.25</v>
      </c>
      <c r="D11" s="0" t="n">
        <f aca="false">D8+D10+D24</f>
        <v>8190.195</v>
      </c>
      <c r="E11" s="0" t="n">
        <f aca="false">E8+E10+E24</f>
        <v>8675.30655</v>
      </c>
      <c r="F11" s="0" t="n">
        <f aca="false">F8+F10+F24</f>
        <v>9221.529555</v>
      </c>
      <c r="G11" s="0" t="n">
        <f aca="false">G8+G10+G24</f>
        <v>9789.64164365625</v>
      </c>
      <c r="H11" s="0" t="n">
        <f aca="false">H8+H10+H24</f>
        <v>10380.3958807734</v>
      </c>
      <c r="I11" s="0" t="n">
        <f aca="false">I8+I10+I24</f>
        <v>10639.9057777928</v>
      </c>
      <c r="J11" s="0" t="n">
        <f aca="false">J8+J10+J24</f>
        <v>10905.9034222376</v>
      </c>
      <c r="K11" s="0" t="n">
        <f aca="false">K8+K10+K24</f>
        <v>11178.5510077935</v>
      </c>
      <c r="L11" s="0" t="n">
        <f aca="false">L8+L10+L24</f>
        <v>11458.0147829884</v>
      </c>
    </row>
    <row r="12" customFormat="false" ht="15" hidden="false" customHeight="false" outlineLevel="0" collapsed="false">
      <c r="A12" s="0" t="s">
        <v>116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8768.25</v>
      </c>
      <c r="D13" s="0" t="n">
        <f aca="false">D11+D12</f>
        <v>8190.195</v>
      </c>
      <c r="E13" s="0" t="n">
        <f aca="false">E11+E12</f>
        <v>8675.30655</v>
      </c>
      <c r="F13" s="0" t="n">
        <f aca="false">F11+F12</f>
        <v>9221.529555</v>
      </c>
      <c r="G13" s="0" t="n">
        <f aca="false">G11+G12</f>
        <v>9789.64164365625</v>
      </c>
      <c r="H13" s="0" t="n">
        <f aca="false">H11+H12</f>
        <v>10380.3958807734</v>
      </c>
      <c r="I13" s="0" t="n">
        <f aca="false">I11+I12</f>
        <v>10639.9057777928</v>
      </c>
      <c r="J13" s="0" t="n">
        <f aca="false">J11+J12</f>
        <v>10905.9034222376</v>
      </c>
      <c r="K13" s="0" t="n">
        <f aca="false">K11+K12</f>
        <v>11178.5510077935</v>
      </c>
      <c r="L13" s="0" t="n">
        <f aca="false">L11+L12</f>
        <v>11458.0147829884</v>
      </c>
    </row>
    <row r="14" customFormat="false" ht="15" hidden="false" customHeight="false" outlineLevel="0" collapsed="false">
      <c r="A14" s="0" t="s">
        <v>103</v>
      </c>
      <c r="C14" s="4" t="n">
        <f aca="false">Assumptions!C19</f>
        <v>26</v>
      </c>
      <c r="D14" s="4" t="n">
        <f aca="false">Assumptions!D19</f>
        <v>26</v>
      </c>
      <c r="E14" s="4" t="n">
        <f aca="false">Assumptions!E19</f>
        <v>25.5</v>
      </c>
      <c r="F14" s="4" t="n">
        <f aca="false">Assumptions!F19</f>
        <v>25</v>
      </c>
      <c r="G14" s="4" t="n">
        <f aca="false">Assumptions!G19</f>
        <v>25</v>
      </c>
      <c r="H14" s="4" t="n">
        <f aca="false">Assumptions!H19</f>
        <v>24.5</v>
      </c>
      <c r="I14" s="4" t="n">
        <f aca="false">Assumptions!I19</f>
        <v>24.5</v>
      </c>
      <c r="J14" s="4" t="n">
        <f aca="false">Assumptions!J19</f>
        <v>24</v>
      </c>
      <c r="K14" s="4" t="n">
        <f aca="false">Assumptions!K19</f>
        <v>24</v>
      </c>
      <c r="L14" s="4" t="n">
        <f aca="false">Assumptions!L19</f>
        <v>24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6488.505</v>
      </c>
      <c r="D15" s="0" t="n">
        <f aca="false">D13-MAX(0,D13)*D14/100</f>
        <v>6060.7443</v>
      </c>
      <c r="E15" s="0" t="n">
        <f aca="false">E13-MAX(0,E13)*E14/100</f>
        <v>6463.10337975</v>
      </c>
      <c r="F15" s="0" t="n">
        <f aca="false">F13-MAX(0,F13)*F14/100</f>
        <v>6916.14716625</v>
      </c>
      <c r="G15" s="0" t="n">
        <f aca="false">G13-MAX(0,G13)*G14/100</f>
        <v>7342.23123274219</v>
      </c>
      <c r="H15" s="0" t="n">
        <f aca="false">H13-MAX(0,H13)*H14/100</f>
        <v>7837.19888998394</v>
      </c>
      <c r="I15" s="0" t="n">
        <f aca="false">I13-MAX(0,I13)*I14/100</f>
        <v>8033.12886223354</v>
      </c>
      <c r="J15" s="0" t="n">
        <f aca="false">J13-MAX(0,J13)*J14/100</f>
        <v>8288.48660090057</v>
      </c>
      <c r="K15" s="0" t="n">
        <f aca="false">K13-MAX(0,K13)*K14/100</f>
        <v>8495.69876592308</v>
      </c>
      <c r="L15" s="0" t="n">
        <f aca="false">L13-MAX(0,L13)*L14/100</f>
        <v>8708.09123507116</v>
      </c>
    </row>
    <row r="16" customFormat="false" ht="15" hidden="false" customHeight="false" outlineLevel="0" collapsed="false">
      <c r="A16" s="0" t="s">
        <v>119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120</v>
      </c>
      <c r="C17" s="4" t="n">
        <f aca="false">-C6*Assumptions!C18/100</f>
        <v>-4221.75</v>
      </c>
      <c r="D17" s="4" t="n">
        <f aca="false">-D6*Assumptions!D18/100</f>
        <v>-3906.093</v>
      </c>
      <c r="E17" s="4" t="n">
        <f aca="false">-E6*Assumptions!E18/100</f>
        <v>-3855.6918</v>
      </c>
      <c r="F17" s="4" t="n">
        <f aca="false">-F6*Assumptions!F18/100</f>
        <v>-3820.3479585</v>
      </c>
      <c r="G17" s="4" t="n">
        <f aca="false">-G6*Assumptions!G18/100</f>
        <v>-3780.82711755</v>
      </c>
      <c r="H17" s="4" t="n">
        <f aca="false">-H6*Assumptions!H18/100</f>
        <v>-3702.34119747586</v>
      </c>
      <c r="I17" s="4" t="n">
        <f aca="false">-I6*Assumptions!I18/100</f>
        <v>-3617.56796444954</v>
      </c>
      <c r="J17" s="4" t="n">
        <f aca="false">-J6*Assumptions!J18/100</f>
        <v>-3562.59511793095</v>
      </c>
      <c r="K17" s="4" t="n">
        <f aca="false">-K6*Assumptions!K18/100</f>
        <v>-3502.61264910864</v>
      </c>
      <c r="L17" s="4" t="n">
        <f aca="false">-L6*Assumptions!L18/100</f>
        <v>-3475.59781750647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(C6-B6)*Assumptions!$B$23/100</f>
        <v>-0</v>
      </c>
      <c r="D18" s="4" t="n">
        <f aca="false">(D6-C6)*Assumptions!$B$23/100</f>
        <v>-0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2266.755</v>
      </c>
      <c r="D19" s="0" t="n">
        <f aca="false">D15+D16+D17+D18</f>
        <v>2154.6513</v>
      </c>
      <c r="E19" s="0" t="n">
        <f aca="false">E15+E16+E17+E18</f>
        <v>2607.41157975</v>
      </c>
      <c r="F19" s="0" t="n">
        <f aca="false">F15+F16+F17+F18</f>
        <v>3095.79920775</v>
      </c>
      <c r="G19" s="0" t="n">
        <f aca="false">G15+G16+G17+G18</f>
        <v>3561.40411519219</v>
      </c>
      <c r="H19" s="0" t="n">
        <f aca="false">H15+H16+H17+H18</f>
        <v>4134.85769250809</v>
      </c>
      <c r="I19" s="0" t="n">
        <f aca="false">I15+I16+I17+I18</f>
        <v>4415.560897784</v>
      </c>
      <c r="J19" s="0" t="n">
        <f aca="false">J15+J16+J17+J18</f>
        <v>4725.89148296962</v>
      </c>
      <c r="K19" s="0" t="n">
        <f aca="false">K15+K16+K17+K18</f>
        <v>4993.08611681444</v>
      </c>
      <c r="L19" s="0" t="n">
        <f aca="false">L15+L16+L17+L18</f>
        <v>5232.49341756469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0.900900900900901</v>
      </c>
      <c r="D20" s="0" t="n">
        <f aca="false">1/(1+$B$27/100)^D4</f>
        <v>0.811622433244055</v>
      </c>
      <c r="E20" s="0" t="n">
        <f aca="false">1/(1+$B$27/100)^E4</f>
        <v>0.73119138130095</v>
      </c>
      <c r="F20" s="0" t="n">
        <f aca="false">1/(1+$B$27/100)^F4</f>
        <v>0.658730974145</v>
      </c>
      <c r="G20" s="0" t="n">
        <f aca="false">1/(1+$B$27/100)^G4</f>
        <v>0.593451328058559</v>
      </c>
      <c r="H20" s="0" t="n">
        <f aca="false">1/(1+$B$27/100)^H4</f>
        <v>0.534640836088791</v>
      </c>
      <c r="I20" s="0" t="n">
        <f aca="false">1/(1+$B$27/100)^I4</f>
        <v>0.481658410890803</v>
      </c>
      <c r="J20" s="0" t="n">
        <f aca="false">1/(1+$B$27/100)^J4</f>
        <v>0.433926496298021</v>
      </c>
      <c r="K20" s="0" t="n">
        <f aca="false">1/(1+$B$27/100)^K4</f>
        <v>0.390924771439658</v>
      </c>
      <c r="L20" s="0" t="n">
        <f aca="false">1/(1+$B$27/100)^L4</f>
        <v>0.352184478774467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2042.12162162162</v>
      </c>
      <c r="D21" s="0" t="n">
        <f aca="false">D19*D20</f>
        <v>1748.76333089847</v>
      </c>
      <c r="E21" s="0" t="n">
        <f aca="false">E19*E20</f>
        <v>1906.5168746175</v>
      </c>
      <c r="F21" s="0" t="n">
        <f aca="false">F19*F20</f>
        <v>2039.29882787848</v>
      </c>
      <c r="G21" s="0" t="n">
        <f aca="false">G19*G20</f>
        <v>2113.52000191402</v>
      </c>
      <c r="H21" s="0" t="n">
        <f aca="false">H19*H20</f>
        <v>2210.66377383069</v>
      </c>
      <c r="I21" s="0" t="n">
        <f aca="false">I19*I20</f>
        <v>2126.79204521821</v>
      </c>
      <c r="J21" s="0" t="n">
        <f aca="false">J19*J20</f>
        <v>2050.68953308967</v>
      </c>
      <c r="K21" s="0" t="n">
        <f aca="false">K19*K20</f>
        <v>1951.92104899422</v>
      </c>
      <c r="L21" s="0" t="n">
        <f aca="false">L19*L20</f>
        <v>1842.80296695585</v>
      </c>
    </row>
    <row r="23" customFormat="false" ht="15" hidden="false" customHeight="false" outlineLevel="0" collapsed="false">
      <c r="A23" s="0" t="s">
        <v>100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Assumptions!$B$20</f>
        <v>11</v>
      </c>
    </row>
    <row r="28" customFormat="false" ht="15" hidden="false" customHeight="false" outlineLevel="0" collapsed="false">
      <c r="A28" s="0" t="s">
        <v>105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106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20033.0900250187</v>
      </c>
    </row>
    <row r="31" customFormat="false" ht="15" hidden="false" customHeight="false" outlineLevel="0" collapsed="false">
      <c r="A31" s="0" t="s">
        <v>128</v>
      </c>
      <c r="B31" s="0" t="n">
        <f aca="false">L19</f>
        <v>5232.49341756469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63097.7147412212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78487.4012634703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63097.7147412212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22222.035777997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42255.1258030157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42255.1258030157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4.53992104857521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-0.344888737579335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4.53992104857521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42906.4460240304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2.91878372541797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112</v>
      </c>
      <c r="B3" s="0" t="s">
        <v>82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Assumptions!C27</f>
        <v>-8</v>
      </c>
      <c r="D5" s="4" t="n">
        <f aca="false">Assumptions!D27</f>
        <v>3</v>
      </c>
      <c r="E5" s="4" t="n">
        <f aca="false">Assumptions!E27</f>
        <v>4</v>
      </c>
      <c r="F5" s="4" t="n">
        <f aca="false">Assumptions!F27</f>
        <v>4</v>
      </c>
      <c r="G5" s="4" t="n">
        <f aca="false">Assumptions!G27</f>
        <v>3.5</v>
      </c>
      <c r="H5" s="4" t="n">
        <f aca="false">Assumptions!H27</f>
        <v>3</v>
      </c>
      <c r="I5" s="4" t="n">
        <f aca="false">Assumptions!I27</f>
        <v>3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38</v>
      </c>
      <c r="B6" s="3" t="n">
        <v>43300</v>
      </c>
      <c r="C6" s="0" t="n">
        <f aca="false">B6*(1+C5/100)</f>
        <v>39836</v>
      </c>
      <c r="D6" s="0" t="n">
        <f aca="false">C6*(1+D5/100)</f>
        <v>41031.08</v>
      </c>
      <c r="E6" s="0" t="n">
        <f aca="false">D6*(1+E5/100)</f>
        <v>42672.3232</v>
      </c>
      <c r="F6" s="0" t="n">
        <f aca="false">E6*(1+F5/100)</f>
        <v>44379.216128</v>
      </c>
      <c r="G6" s="0" t="n">
        <f aca="false">F6*(1+G5/100)</f>
        <v>45932.48869248</v>
      </c>
      <c r="H6" s="0" t="n">
        <f aca="false">G6*(1+H5/100)</f>
        <v>47310.4633532544</v>
      </c>
      <c r="I6" s="0" t="n">
        <f aca="false">H6*(1+I5/100)</f>
        <v>48729.777253852</v>
      </c>
      <c r="J6" s="0" t="n">
        <f aca="false">I6*(1+J5/100)</f>
        <v>50191.6705714676</v>
      </c>
      <c r="K6" s="0" t="n">
        <f aca="false">J6*(1+K5/100)</f>
        <v>51697.4206886116</v>
      </c>
      <c r="L6" s="0" t="n">
        <f aca="false">K6*(1+L5/100)</f>
        <v>53248.34330927</v>
      </c>
    </row>
    <row r="7" customFormat="false" ht="15" hidden="false" customHeight="false" outlineLevel="0" collapsed="false">
      <c r="A7" s="0" t="s">
        <v>98</v>
      </c>
      <c r="C7" s="4" t="n">
        <f aca="false">Assumptions!C28</f>
        <v>34</v>
      </c>
      <c r="D7" s="4" t="n">
        <f aca="false">Assumptions!D28</f>
        <v>33</v>
      </c>
      <c r="E7" s="4" t="n">
        <f aca="false">Assumptions!E28</f>
        <v>33.5</v>
      </c>
      <c r="F7" s="4" t="n">
        <f aca="false">Assumptions!F28</f>
        <v>34</v>
      </c>
      <c r="G7" s="4" t="n">
        <f aca="false">Assumptions!G28</f>
        <v>34</v>
      </c>
      <c r="H7" s="4" t="n">
        <f aca="false">Assumptions!H28</f>
        <v>34</v>
      </c>
      <c r="I7" s="4" t="n">
        <f aca="false">Assumptions!I28</f>
        <v>34</v>
      </c>
      <c r="J7" s="4" t="n">
        <f aca="false">Assumptions!J28</f>
        <v>34</v>
      </c>
      <c r="K7" s="4" t="n">
        <f aca="false">Assumptions!K28</f>
        <v>34</v>
      </c>
      <c r="L7" s="4" t="n">
        <f aca="false">Assumptions!L28</f>
        <v>34</v>
      </c>
    </row>
    <row r="8" customFormat="false" ht="15" hidden="false" customHeight="false" outlineLevel="0" collapsed="false">
      <c r="A8" s="0" t="s">
        <v>44</v>
      </c>
      <c r="C8" s="0" t="n">
        <f aca="false">C6*C7/100</f>
        <v>13544.24</v>
      </c>
      <c r="D8" s="0" t="n">
        <f aca="false">D6*D7/100</f>
        <v>13540.2564</v>
      </c>
      <c r="E8" s="0" t="n">
        <f aca="false">E6*E7/100</f>
        <v>14295.228272</v>
      </c>
      <c r="F8" s="0" t="n">
        <f aca="false">F6*F7/100</f>
        <v>15088.93348352</v>
      </c>
      <c r="G8" s="0" t="n">
        <f aca="false">G6*G7/100</f>
        <v>15617.0461554432</v>
      </c>
      <c r="H8" s="0" t="n">
        <f aca="false">H6*H7/100</f>
        <v>16085.5575401065</v>
      </c>
      <c r="I8" s="0" t="n">
        <f aca="false">I6*I7/100</f>
        <v>16568.1242663097</v>
      </c>
      <c r="J8" s="0" t="n">
        <f aca="false">J6*J7/100</f>
        <v>17065.167994299</v>
      </c>
      <c r="K8" s="0" t="n">
        <f aca="false">K6*K7/100</f>
        <v>17577.123034128</v>
      </c>
      <c r="L8" s="0" t="n">
        <f aca="false">L6*L7/100</f>
        <v>18104.4367251518</v>
      </c>
    </row>
    <row r="9" customFormat="false" ht="15" hidden="false" customHeight="false" outlineLevel="0" collapsed="false">
      <c r="A9" s="0" t="s">
        <v>99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13544.24</v>
      </c>
      <c r="D11" s="0" t="n">
        <f aca="false">D8+D10+D24</f>
        <v>13540.2564</v>
      </c>
      <c r="E11" s="0" t="n">
        <f aca="false">E8+E10+E24</f>
        <v>14295.228272</v>
      </c>
      <c r="F11" s="0" t="n">
        <f aca="false">F8+F10+F24</f>
        <v>15088.93348352</v>
      </c>
      <c r="G11" s="0" t="n">
        <f aca="false">G8+G10+G24</f>
        <v>15617.0461554432</v>
      </c>
      <c r="H11" s="0" t="n">
        <f aca="false">H8+H10+H24</f>
        <v>16085.5575401065</v>
      </c>
      <c r="I11" s="0" t="n">
        <f aca="false">I8+I10+I24</f>
        <v>16568.1242663097</v>
      </c>
      <c r="J11" s="0" t="n">
        <f aca="false">J8+J10+J24</f>
        <v>17065.167994299</v>
      </c>
      <c r="K11" s="0" t="n">
        <f aca="false">K8+K10+K24</f>
        <v>17577.123034128</v>
      </c>
      <c r="L11" s="0" t="n">
        <f aca="false">L8+L10+L24</f>
        <v>18104.4367251518</v>
      </c>
    </row>
    <row r="12" customFormat="false" ht="15" hidden="false" customHeight="false" outlineLevel="0" collapsed="false">
      <c r="A12" s="0" t="s">
        <v>116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13544.24</v>
      </c>
      <c r="D13" s="0" t="n">
        <f aca="false">D11+D12</f>
        <v>13540.2564</v>
      </c>
      <c r="E13" s="0" t="n">
        <f aca="false">E11+E12</f>
        <v>14295.228272</v>
      </c>
      <c r="F13" s="0" t="n">
        <f aca="false">F11+F12</f>
        <v>15088.93348352</v>
      </c>
      <c r="G13" s="0" t="n">
        <f aca="false">G11+G12</f>
        <v>15617.0461554432</v>
      </c>
      <c r="H13" s="0" t="n">
        <f aca="false">H11+H12</f>
        <v>16085.5575401065</v>
      </c>
      <c r="I13" s="0" t="n">
        <f aca="false">I11+I12</f>
        <v>16568.1242663097</v>
      </c>
      <c r="J13" s="0" t="n">
        <f aca="false">J11+J12</f>
        <v>17065.167994299</v>
      </c>
      <c r="K13" s="0" t="n">
        <f aca="false">K11+K12</f>
        <v>17577.123034128</v>
      </c>
      <c r="L13" s="0" t="n">
        <f aca="false">L11+L12</f>
        <v>18104.4367251518</v>
      </c>
    </row>
    <row r="14" customFormat="false" ht="15" hidden="false" customHeight="false" outlineLevel="0" collapsed="false">
      <c r="A14" s="0" t="s">
        <v>103</v>
      </c>
      <c r="C14" s="4" t="n">
        <f aca="false">Assumptions!C33</f>
        <v>22.5</v>
      </c>
      <c r="D14" s="4" t="n">
        <f aca="false">Assumptions!D33</f>
        <v>22.5</v>
      </c>
      <c r="E14" s="4" t="n">
        <f aca="false">Assumptions!E33</f>
        <v>22</v>
      </c>
      <c r="F14" s="4" t="n">
        <f aca="false">Assumptions!F33</f>
        <v>22</v>
      </c>
      <c r="G14" s="4" t="n">
        <f aca="false">Assumptions!G33</f>
        <v>21.5</v>
      </c>
      <c r="H14" s="4" t="n">
        <f aca="false">Assumptions!H33</f>
        <v>21.5</v>
      </c>
      <c r="I14" s="4" t="n">
        <f aca="false">Assumptions!I33</f>
        <v>21</v>
      </c>
      <c r="J14" s="4" t="n">
        <f aca="false">Assumptions!J33</f>
        <v>21</v>
      </c>
      <c r="K14" s="4" t="n">
        <f aca="false">Assumptions!K33</f>
        <v>21</v>
      </c>
      <c r="L14" s="4" t="n">
        <f aca="false">Assumptions!L33</f>
        <v>21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10496.786</v>
      </c>
      <c r="D15" s="0" t="n">
        <f aca="false">D13-MAX(0,D13)*D14/100</f>
        <v>10493.69871</v>
      </c>
      <c r="E15" s="0" t="n">
        <f aca="false">E13-MAX(0,E13)*E14/100</f>
        <v>11150.27805216</v>
      </c>
      <c r="F15" s="0" t="n">
        <f aca="false">F13-MAX(0,F13)*F14/100</f>
        <v>11769.3681171456</v>
      </c>
      <c r="G15" s="0" t="n">
        <f aca="false">G13-MAX(0,G13)*G14/100</f>
        <v>12259.3812320229</v>
      </c>
      <c r="H15" s="0" t="n">
        <f aca="false">H13-MAX(0,H13)*H14/100</f>
        <v>12627.1626689836</v>
      </c>
      <c r="I15" s="0" t="n">
        <f aca="false">I13-MAX(0,I13)*I14/100</f>
        <v>13088.8181703847</v>
      </c>
      <c r="J15" s="0" t="n">
        <f aca="false">J13-MAX(0,J13)*J14/100</f>
        <v>13481.4827154962</v>
      </c>
      <c r="K15" s="0" t="n">
        <f aca="false">K13-MAX(0,K13)*K14/100</f>
        <v>13885.9271969611</v>
      </c>
      <c r="L15" s="0" t="n">
        <f aca="false">L13-MAX(0,L13)*L14/100</f>
        <v>14302.5050128699</v>
      </c>
    </row>
    <row r="16" customFormat="false" ht="15" hidden="false" customHeight="false" outlineLevel="0" collapsed="false">
      <c r="A16" s="0" t="s">
        <v>119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120</v>
      </c>
      <c r="C17" s="4" t="n">
        <f aca="false">-C6*Assumptions!C32/100</f>
        <v>-6294.088</v>
      </c>
      <c r="D17" s="4" t="n">
        <f aca="false">-D6*Assumptions!D32/100</f>
        <v>-6072.59984</v>
      </c>
      <c r="E17" s="4" t="n">
        <f aca="false">-E6*Assumptions!E32/100</f>
        <v>-5888.7806016</v>
      </c>
      <c r="F17" s="4" t="n">
        <f aca="false">-F6*Assumptions!F32/100</f>
        <v>-5724.918880512</v>
      </c>
      <c r="G17" s="4" t="n">
        <f aca="false">-G6*Assumptions!G32/100</f>
        <v>-5511.8986430976</v>
      </c>
      <c r="H17" s="4" t="n">
        <f aca="false">-H6*Assumptions!H32/100</f>
        <v>-5298.77189556449</v>
      </c>
      <c r="I17" s="4" t="n">
        <f aca="false">-I6*Assumptions!I32/100</f>
        <v>-5165.35638890832</v>
      </c>
      <c r="J17" s="4" t="n">
        <f aca="false">-J6*Assumptions!J32/100</f>
        <v>-5019.16705714676</v>
      </c>
      <c r="K17" s="4" t="n">
        <f aca="false">-K6*Assumptions!K32/100</f>
        <v>-4962.95238610672</v>
      </c>
      <c r="L17" s="4" t="n">
        <f aca="false">-L6*Assumptions!L32/100</f>
        <v>-4952.09592776211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(C6-B6)*Assumptions!$B$37/100</f>
        <v>-0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4202.698</v>
      </c>
      <c r="D19" s="0" t="n">
        <f aca="false">D15+D16+D17+D18</f>
        <v>4421.09887</v>
      </c>
      <c r="E19" s="0" t="n">
        <f aca="false">E15+E16+E17+E18</f>
        <v>5261.49745056</v>
      </c>
      <c r="F19" s="0" t="n">
        <f aca="false">F15+F16+F17+F18</f>
        <v>6044.4492366336</v>
      </c>
      <c r="G19" s="0" t="n">
        <f aca="false">G15+G16+G17+G18</f>
        <v>6747.48258892531</v>
      </c>
      <c r="H19" s="0" t="n">
        <f aca="false">H15+H16+H17+H18</f>
        <v>7328.39077341911</v>
      </c>
      <c r="I19" s="0" t="n">
        <f aca="false">I15+I16+I17+I18</f>
        <v>7923.46178147634</v>
      </c>
      <c r="J19" s="0" t="n">
        <f aca="false">J15+J16+J17+J18</f>
        <v>8462.31565834944</v>
      </c>
      <c r="K19" s="0" t="n">
        <f aca="false">K15+K16+K17+K18</f>
        <v>8922.97481085437</v>
      </c>
      <c r="L19" s="0" t="n">
        <f aca="false">L15+L16+L17+L18</f>
        <v>9350.40908510781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0.900900900900901</v>
      </c>
      <c r="D20" s="0" t="n">
        <f aca="false">1/(1+$B$27/100)^D4</f>
        <v>0.811622433244055</v>
      </c>
      <c r="E20" s="0" t="n">
        <f aca="false">1/(1+$B$27/100)^E4</f>
        <v>0.73119138130095</v>
      </c>
      <c r="F20" s="0" t="n">
        <f aca="false">1/(1+$B$27/100)^F4</f>
        <v>0.658730974145</v>
      </c>
      <c r="G20" s="0" t="n">
        <f aca="false">1/(1+$B$27/100)^G4</f>
        <v>0.593451328058559</v>
      </c>
      <c r="H20" s="0" t="n">
        <f aca="false">1/(1+$B$27/100)^H4</f>
        <v>0.534640836088791</v>
      </c>
      <c r="I20" s="0" t="n">
        <f aca="false">1/(1+$B$27/100)^I4</f>
        <v>0.481658410890803</v>
      </c>
      <c r="J20" s="0" t="n">
        <f aca="false">1/(1+$B$27/100)^J4</f>
        <v>0.433926496298021</v>
      </c>
      <c r="K20" s="0" t="n">
        <f aca="false">1/(1+$B$27/100)^K4</f>
        <v>0.390924771439658</v>
      </c>
      <c r="L20" s="0" t="n">
        <f aca="false">1/(1+$B$27/100)^L4</f>
        <v>0.352184478774467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3786.21441441441</v>
      </c>
      <c r="D21" s="0" t="n">
        <f aca="false">D19*D20</f>
        <v>3588.26302248194</v>
      </c>
      <c r="E21" s="0" t="n">
        <f aca="false">E19*E20</f>
        <v>3847.16158858639</v>
      </c>
      <c r="F21" s="0" t="n">
        <f aca="false">F19*F20</f>
        <v>3981.66593381766</v>
      </c>
      <c r="G21" s="0" t="n">
        <f aca="false">G19*G20</f>
        <v>4004.30250344973</v>
      </c>
      <c r="H21" s="0" t="n">
        <f aca="false">H19*H20</f>
        <v>3918.05697028618</v>
      </c>
      <c r="I21" s="0" t="n">
        <f aca="false">I19*I20</f>
        <v>3816.40201041991</v>
      </c>
      <c r="J21" s="0" t="n">
        <f aca="false">J19*J20</f>
        <v>3672.02298419545</v>
      </c>
      <c r="K21" s="0" t="n">
        <f aca="false">K19*K20</f>
        <v>3488.21188849507</v>
      </c>
      <c r="L21" s="0" t="n">
        <f aca="false">L19*L20</f>
        <v>3293.06894996673</v>
      </c>
    </row>
    <row r="23" customFormat="false" ht="15" hidden="false" customHeight="false" outlineLevel="0" collapsed="false">
      <c r="A23" s="0" t="s">
        <v>100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Assumptions!$B$34</f>
        <v>11</v>
      </c>
    </row>
    <row r="28" customFormat="false" ht="15" hidden="false" customHeight="false" outlineLevel="0" collapsed="false">
      <c r="A28" s="0" t="s">
        <v>105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106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37395.3702661135</v>
      </c>
    </row>
    <row r="31" customFormat="false" ht="15" hidden="false" customHeight="false" outlineLevel="0" collapsed="false">
      <c r="A31" s="0" t="s">
        <v>128</v>
      </c>
      <c r="B31" s="0" t="n">
        <f aca="false">L19</f>
        <v>9350.40908510781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120386.516970763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140256.136276617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120386.516970763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42398.2627308217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79793.6329969352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79793.6329969352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8.57308520802504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0.237097432615446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8.57308520802504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80257.6779805087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5.46520848988332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112</v>
      </c>
      <c r="B3" s="0" t="s">
        <v>82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Assumptions!C41</f>
        <v>3</v>
      </c>
      <c r="D5" s="4" t="n">
        <f aca="false">Assumptions!D41</f>
        <v>5</v>
      </c>
      <c r="E5" s="4" t="n">
        <f aca="false">Assumptions!E41</f>
        <v>5</v>
      </c>
      <c r="F5" s="4" t="n">
        <f aca="false">Assumptions!F41</f>
        <v>4.5</v>
      </c>
      <c r="G5" s="4" t="n">
        <f aca="false">Assumptions!G41</f>
        <v>4</v>
      </c>
      <c r="H5" s="4" t="n">
        <f aca="false">Assumptions!H41</f>
        <v>4</v>
      </c>
      <c r="I5" s="4" t="n">
        <f aca="false">Assumptions!I41</f>
        <v>3.5</v>
      </c>
      <c r="J5" s="4" t="n">
        <f aca="false">Assumptions!J41</f>
        <v>3.5</v>
      </c>
      <c r="K5" s="4" t="n">
        <f aca="false">Assumptions!K41</f>
        <v>3.5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38</v>
      </c>
      <c r="B6" s="3" t="n">
        <v>43300</v>
      </c>
      <c r="C6" s="0" t="n">
        <f aca="false">B6*(1+C5/100)</f>
        <v>44599</v>
      </c>
      <c r="D6" s="0" t="n">
        <f aca="false">C6*(1+D5/100)</f>
        <v>46828.95</v>
      </c>
      <c r="E6" s="0" t="n">
        <f aca="false">D6*(1+E5/100)</f>
        <v>49170.3975</v>
      </c>
      <c r="F6" s="0" t="n">
        <f aca="false">E6*(1+F5/100)</f>
        <v>51383.0653875</v>
      </c>
      <c r="G6" s="0" t="n">
        <f aca="false">F6*(1+G5/100)</f>
        <v>53438.388003</v>
      </c>
      <c r="H6" s="0" t="n">
        <f aca="false">G6*(1+H5/100)</f>
        <v>55575.92352312</v>
      </c>
      <c r="I6" s="0" t="n">
        <f aca="false">H6*(1+I5/100)</f>
        <v>57521.0808464292</v>
      </c>
      <c r="J6" s="0" t="n">
        <f aca="false">I6*(1+J5/100)</f>
        <v>59534.3186760542</v>
      </c>
      <c r="K6" s="0" t="n">
        <f aca="false">J6*(1+K5/100)</f>
        <v>61618.0198297161</v>
      </c>
      <c r="L6" s="0" t="n">
        <f aca="false">K6*(1+L5/100)</f>
        <v>63774.6505237562</v>
      </c>
    </row>
    <row r="7" customFormat="false" ht="15" hidden="false" customHeight="false" outlineLevel="0" collapsed="false">
      <c r="A7" s="0" t="s">
        <v>98</v>
      </c>
      <c r="C7" s="4" t="n">
        <f aca="false">Assumptions!C42</f>
        <v>39</v>
      </c>
      <c r="D7" s="4" t="n">
        <f aca="false">Assumptions!D42</f>
        <v>38</v>
      </c>
      <c r="E7" s="4" t="n">
        <f aca="false">Assumptions!E42</f>
        <v>37.5</v>
      </c>
      <c r="F7" s="4" t="n">
        <f aca="false">Assumptions!F42</f>
        <v>37</v>
      </c>
      <c r="G7" s="4" t="n">
        <f aca="false">Assumptions!G42</f>
        <v>37</v>
      </c>
      <c r="H7" s="4" t="n">
        <f aca="false">Assumptions!H42</f>
        <v>37</v>
      </c>
      <c r="I7" s="4" t="n">
        <f aca="false">Assumptions!I42</f>
        <v>37</v>
      </c>
      <c r="J7" s="4" t="n">
        <f aca="false">Assumptions!J42</f>
        <v>37</v>
      </c>
      <c r="K7" s="4" t="n">
        <f aca="false">Assumptions!K42</f>
        <v>37</v>
      </c>
      <c r="L7" s="4" t="n">
        <f aca="false">Assumptions!L42</f>
        <v>37</v>
      </c>
    </row>
    <row r="8" customFormat="false" ht="15" hidden="false" customHeight="false" outlineLevel="0" collapsed="false">
      <c r="A8" s="0" t="s">
        <v>44</v>
      </c>
      <c r="C8" s="0" t="n">
        <f aca="false">C6*C7/100</f>
        <v>17393.61</v>
      </c>
      <c r="D8" s="0" t="n">
        <f aca="false">D6*D7/100</f>
        <v>17795.001</v>
      </c>
      <c r="E8" s="0" t="n">
        <f aca="false">E6*E7/100</f>
        <v>18438.8990625</v>
      </c>
      <c r="F8" s="0" t="n">
        <f aca="false">F6*F7/100</f>
        <v>19011.734193375</v>
      </c>
      <c r="G8" s="0" t="n">
        <f aca="false">G6*G7/100</f>
        <v>19772.20356111</v>
      </c>
      <c r="H8" s="0" t="n">
        <f aca="false">H6*H7/100</f>
        <v>20563.0917035544</v>
      </c>
      <c r="I8" s="0" t="n">
        <f aca="false">I6*I7/100</f>
        <v>21282.7999131788</v>
      </c>
      <c r="J8" s="0" t="n">
        <f aca="false">J6*J7/100</f>
        <v>22027.6979101401</v>
      </c>
      <c r="K8" s="0" t="n">
        <f aca="false">K6*K7/100</f>
        <v>22798.667336995</v>
      </c>
      <c r="L8" s="0" t="n">
        <f aca="false">L6*L7/100</f>
        <v>23596.6206937898</v>
      </c>
    </row>
    <row r="9" customFormat="false" ht="15" hidden="false" customHeight="false" outlineLevel="0" collapsed="false">
      <c r="A9" s="0" t="s">
        <v>99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17393.61</v>
      </c>
      <c r="D11" s="0" t="n">
        <f aca="false">D8+D10+D24</f>
        <v>17795.001</v>
      </c>
      <c r="E11" s="0" t="n">
        <f aca="false">E8+E10+E24</f>
        <v>18438.8990625</v>
      </c>
      <c r="F11" s="0" t="n">
        <f aca="false">F8+F10+F24</f>
        <v>19011.734193375</v>
      </c>
      <c r="G11" s="0" t="n">
        <f aca="false">G8+G10+G24</f>
        <v>19772.20356111</v>
      </c>
      <c r="H11" s="0" t="n">
        <f aca="false">H8+H10+H24</f>
        <v>20563.0917035544</v>
      </c>
      <c r="I11" s="0" t="n">
        <f aca="false">I8+I10+I24</f>
        <v>21282.7999131788</v>
      </c>
      <c r="J11" s="0" t="n">
        <f aca="false">J8+J10+J24</f>
        <v>22027.6979101401</v>
      </c>
      <c r="K11" s="0" t="n">
        <f aca="false">K8+K10+K24</f>
        <v>22798.667336995</v>
      </c>
      <c r="L11" s="0" t="n">
        <f aca="false">L8+L10+L24</f>
        <v>23596.6206937898</v>
      </c>
    </row>
    <row r="12" customFormat="false" ht="15" hidden="false" customHeight="false" outlineLevel="0" collapsed="false">
      <c r="A12" s="0" t="s">
        <v>116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17393.61</v>
      </c>
      <c r="D13" s="0" t="n">
        <f aca="false">D11+D12</f>
        <v>17795.001</v>
      </c>
      <c r="E13" s="0" t="n">
        <f aca="false">E11+E12</f>
        <v>18438.8990625</v>
      </c>
      <c r="F13" s="0" t="n">
        <f aca="false">F11+F12</f>
        <v>19011.734193375</v>
      </c>
      <c r="G13" s="0" t="n">
        <f aca="false">G11+G12</f>
        <v>19772.20356111</v>
      </c>
      <c r="H13" s="0" t="n">
        <f aca="false">H11+H12</f>
        <v>20563.0917035544</v>
      </c>
      <c r="I13" s="0" t="n">
        <f aca="false">I11+I12</f>
        <v>21282.7999131788</v>
      </c>
      <c r="J13" s="0" t="n">
        <f aca="false">J11+J12</f>
        <v>22027.6979101401</v>
      </c>
      <c r="K13" s="0" t="n">
        <f aca="false">K11+K12</f>
        <v>22798.667336995</v>
      </c>
      <c r="L13" s="0" t="n">
        <f aca="false">L11+L12</f>
        <v>23596.6206937898</v>
      </c>
    </row>
    <row r="14" customFormat="false" ht="15" hidden="false" customHeight="false" outlineLevel="0" collapsed="false">
      <c r="A14" s="0" t="s">
        <v>103</v>
      </c>
      <c r="C14" s="4" t="n">
        <f aca="false">Assumptions!C47</f>
        <v>21</v>
      </c>
      <c r="D14" s="4" t="n">
        <f aca="false">Assumptions!D47</f>
        <v>21</v>
      </c>
      <c r="E14" s="4" t="n">
        <f aca="false">Assumptions!E47</f>
        <v>21</v>
      </c>
      <c r="F14" s="4" t="n">
        <f aca="false">Assumptions!F47</f>
        <v>20.5</v>
      </c>
      <c r="G14" s="4" t="n">
        <f aca="false">Assumptions!G47</f>
        <v>20.5</v>
      </c>
      <c r="H14" s="4" t="n">
        <f aca="false">Assumptions!H47</f>
        <v>20.5</v>
      </c>
      <c r="I14" s="4" t="n">
        <f aca="false">Assumptions!I47</f>
        <v>20</v>
      </c>
      <c r="J14" s="4" t="n">
        <f aca="false">Assumptions!J47</f>
        <v>20</v>
      </c>
      <c r="K14" s="4" t="n">
        <f aca="false">Assumptions!K47</f>
        <v>20</v>
      </c>
      <c r="L14" s="4" t="n">
        <f aca="false">Assumptions!L47</f>
        <v>20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13740.9519</v>
      </c>
      <c r="D15" s="0" t="n">
        <f aca="false">D13-MAX(0,D13)*D14/100</f>
        <v>14058.05079</v>
      </c>
      <c r="E15" s="0" t="n">
        <f aca="false">E13-MAX(0,E13)*E14/100</f>
        <v>14566.730259375</v>
      </c>
      <c r="F15" s="0" t="n">
        <f aca="false">F13-MAX(0,F13)*F14/100</f>
        <v>15114.3286837331</v>
      </c>
      <c r="G15" s="0" t="n">
        <f aca="false">G13-MAX(0,G13)*G14/100</f>
        <v>15718.9018310825</v>
      </c>
      <c r="H15" s="0" t="n">
        <f aca="false">H13-MAX(0,H13)*H14/100</f>
        <v>16347.6579043258</v>
      </c>
      <c r="I15" s="0" t="n">
        <f aca="false">I13-MAX(0,I13)*I14/100</f>
        <v>17026.239930543</v>
      </c>
      <c r="J15" s="0" t="n">
        <f aca="false">J13-MAX(0,J13)*J14/100</f>
        <v>17622.1583281121</v>
      </c>
      <c r="K15" s="0" t="n">
        <f aca="false">K13-MAX(0,K13)*K14/100</f>
        <v>18238.933869596</v>
      </c>
      <c r="L15" s="0" t="n">
        <f aca="false">L13-MAX(0,L13)*L14/100</f>
        <v>18877.2965550318</v>
      </c>
    </row>
    <row r="16" customFormat="false" ht="15" hidden="false" customHeight="false" outlineLevel="0" collapsed="false">
      <c r="A16" s="0" t="s">
        <v>119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120</v>
      </c>
      <c r="C17" s="4" t="n">
        <f aca="false">-C6*Assumptions!C46/100</f>
        <v>-7135.84</v>
      </c>
      <c r="D17" s="4" t="n">
        <f aca="false">-D6*Assumptions!D46/100</f>
        <v>-6930.6846</v>
      </c>
      <c r="E17" s="4" t="n">
        <f aca="false">-E6*Assumptions!E46/100</f>
        <v>-6687.17406</v>
      </c>
      <c r="F17" s="4" t="n">
        <f aca="false">-F6*Assumptions!F46/100</f>
        <v>-6422.8831734375</v>
      </c>
      <c r="G17" s="4" t="n">
        <f aca="false">-G6*Assumptions!G46/100</f>
        <v>-6145.414620345</v>
      </c>
      <c r="H17" s="4" t="n">
        <f aca="false">-H6*Assumptions!H46/100</f>
        <v>-5946.62381697384</v>
      </c>
      <c r="I17" s="4" t="n">
        <f aca="false">-I6*Assumptions!I46/100</f>
        <v>-5752.10808464292</v>
      </c>
      <c r="J17" s="4" t="n">
        <f aca="false">-J6*Assumptions!J46/100</f>
        <v>-5596.2259555491</v>
      </c>
      <c r="K17" s="4" t="n">
        <f aca="false">-K6*Assumptions!K46/100</f>
        <v>-5545.62178467445</v>
      </c>
      <c r="L17" s="4" t="n">
        <f aca="false">-L6*Assumptions!L46/100</f>
        <v>-5612.16924609054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6605.1119</v>
      </c>
      <c r="D19" s="0" t="n">
        <f aca="false">D15+D16+D17+D18</f>
        <v>7127.36619</v>
      </c>
      <c r="E19" s="0" t="n">
        <f aca="false">E15+E16+E17+E18</f>
        <v>7879.556199375</v>
      </c>
      <c r="F19" s="0" t="n">
        <f aca="false">F15+F16+F17+F18</f>
        <v>8691.44551029562</v>
      </c>
      <c r="G19" s="0" t="n">
        <f aca="false">G15+G16+G17+G18</f>
        <v>9573.48721073745</v>
      </c>
      <c r="H19" s="0" t="n">
        <f aca="false">H15+H16+H17+H18</f>
        <v>10401.0340873519</v>
      </c>
      <c r="I19" s="0" t="n">
        <f aca="false">I15+I16+I17+I18</f>
        <v>11274.1318459001</v>
      </c>
      <c r="J19" s="0" t="n">
        <f aca="false">J15+J16+J17+J18</f>
        <v>12025.932372563</v>
      </c>
      <c r="K19" s="0" t="n">
        <f aca="false">K15+K16+K17+K18</f>
        <v>12693.3120849215</v>
      </c>
      <c r="L19" s="0" t="n">
        <f aca="false">L15+L16+L17+L18</f>
        <v>13265.1273089413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0.900900900900901</v>
      </c>
      <c r="D20" s="0" t="n">
        <f aca="false">1/(1+$B$27/100)^D4</f>
        <v>0.811622433244055</v>
      </c>
      <c r="E20" s="0" t="n">
        <f aca="false">1/(1+$B$27/100)^E4</f>
        <v>0.73119138130095</v>
      </c>
      <c r="F20" s="0" t="n">
        <f aca="false">1/(1+$B$27/100)^F4</f>
        <v>0.658730974145</v>
      </c>
      <c r="G20" s="0" t="n">
        <f aca="false">1/(1+$B$27/100)^G4</f>
        <v>0.593451328058559</v>
      </c>
      <c r="H20" s="0" t="n">
        <f aca="false">1/(1+$B$27/100)^H4</f>
        <v>0.534640836088791</v>
      </c>
      <c r="I20" s="0" t="n">
        <f aca="false">1/(1+$B$27/100)^I4</f>
        <v>0.481658410890803</v>
      </c>
      <c r="J20" s="0" t="n">
        <f aca="false">1/(1+$B$27/100)^J4</f>
        <v>0.433926496298021</v>
      </c>
      <c r="K20" s="0" t="n">
        <f aca="false">1/(1+$B$27/100)^K4</f>
        <v>0.390924771439658</v>
      </c>
      <c r="L20" s="0" t="n">
        <f aca="false">1/(1+$B$27/100)^L4</f>
        <v>0.352184478774467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5950.55126126126</v>
      </c>
      <c r="D21" s="0" t="n">
        <f aca="false">D19*D20</f>
        <v>5784.73028974921</v>
      </c>
      <c r="E21" s="0" t="n">
        <f aca="false">E19*E20</f>
        <v>5761.46358145947</v>
      </c>
      <c r="F21" s="0" t="n">
        <f aca="false">F19*F20</f>
        <v>5725.32436772522</v>
      </c>
      <c r="G21" s="0" t="n">
        <f aca="false">G19*G20</f>
        <v>5681.39869936377</v>
      </c>
      <c r="H21" s="0" t="n">
        <f aca="false">H19*H20</f>
        <v>5560.81756064985</v>
      </c>
      <c r="I21" s="0" t="n">
        <f aca="false">I19*I20</f>
        <v>5430.28042906965</v>
      </c>
      <c r="J21" s="0" t="n">
        <f aca="false">J19*J20</f>
        <v>5218.37069914319</v>
      </c>
      <c r="K21" s="0" t="n">
        <f aca="false">K19*K20</f>
        <v>4962.1301256102</v>
      </c>
      <c r="L21" s="0" t="n">
        <f aca="false">L19*L20</f>
        <v>4671.77194717643</v>
      </c>
    </row>
    <row r="23" customFormat="false" ht="15" hidden="false" customHeight="false" outlineLevel="0" collapsed="false">
      <c r="A23" s="0" t="s">
        <v>100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Assumptions!$B$48</f>
        <v>11</v>
      </c>
    </row>
    <row r="28" customFormat="false" ht="15" hidden="false" customHeight="false" outlineLevel="0" collapsed="false">
      <c r="A28" s="0" t="s">
        <v>105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106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54746.8389612082</v>
      </c>
    </row>
    <row r="31" customFormat="false" ht="15" hidden="false" customHeight="false" outlineLevel="0" collapsed="false">
      <c r="A31" s="0" t="s">
        <v>128</v>
      </c>
      <c r="B31" s="0" t="n">
        <f aca="false">L19</f>
        <v>13265.1273089413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183058.75686339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198976.909634119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183058.75686339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64470.4528710348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119217.291832243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119217.291832243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12.8087914130575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0.848310449214651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12.8087914130575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119386.145780472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8.0695301913273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2" t="s">
        <v>145</v>
      </c>
      <c r="B3" s="2" t="s">
        <v>146</v>
      </c>
      <c r="C3" s="2" t="s">
        <v>136</v>
      </c>
      <c r="D3" s="2" t="s">
        <v>147</v>
      </c>
      <c r="E3" s="2" t="s">
        <v>139</v>
      </c>
      <c r="F3" s="2" t="s">
        <v>148</v>
      </c>
    </row>
    <row r="4" customFormat="false" ht="15" hidden="false" customHeight="false" outlineLevel="0" collapsed="false">
      <c r="A4" s="0" t="s">
        <v>149</v>
      </c>
      <c r="B4" s="4" t="n">
        <f aca="false">DCF_Bear!$B$38</f>
        <v>4.53992104857521</v>
      </c>
      <c r="C4" s="0" t="n">
        <f aca="false">B4/Assumptions!$B$2-1</f>
        <v>-0.344888737579335</v>
      </c>
      <c r="D4" s="4" t="n">
        <f aca="false">Assumptions!$B$24</f>
        <v>0.25</v>
      </c>
      <c r="E4" s="4" t="n">
        <f aca="false">DCF_Bear!$B$43</f>
        <v>4.53992104857521</v>
      </c>
      <c r="F4" s="4" t="n">
        <f aca="false">DCF_Bear!$B$47</f>
        <v>2.91878372541797</v>
      </c>
    </row>
    <row r="5" customFormat="false" ht="15" hidden="false" customHeight="false" outlineLevel="0" collapsed="false">
      <c r="A5" s="0" t="s">
        <v>150</v>
      </c>
      <c r="B5" s="4" t="n">
        <f aca="false">DCF_Base!$B$38</f>
        <v>8.57308520802504</v>
      </c>
      <c r="C5" s="0" t="n">
        <f aca="false">B5/Assumptions!$B$2-1</f>
        <v>0.237097432615446</v>
      </c>
      <c r="D5" s="4" t="n">
        <f aca="false">Assumptions!$B$38</f>
        <v>0.5</v>
      </c>
      <c r="E5" s="4" t="n">
        <f aca="false">DCF_Base!$B$43</f>
        <v>8.57308520802504</v>
      </c>
      <c r="F5" s="4" t="n">
        <f aca="false">DCF_Base!$B$47</f>
        <v>5.46520848988332</v>
      </c>
    </row>
    <row r="6" customFormat="false" ht="15" hidden="false" customHeight="false" outlineLevel="0" collapsed="false">
      <c r="A6" s="0" t="s">
        <v>151</v>
      </c>
      <c r="B6" s="4" t="n">
        <f aca="false">DCF_Bull!$B$38</f>
        <v>12.8087914130575</v>
      </c>
      <c r="C6" s="0" t="n">
        <f aca="false">B6/Assumptions!$B$2-1</f>
        <v>0.848310449214651</v>
      </c>
      <c r="D6" s="4" t="n">
        <f aca="false">Assumptions!$B$52</f>
        <v>0.25</v>
      </c>
      <c r="E6" s="4" t="n">
        <f aca="false">DCF_Bull!$B$43</f>
        <v>12.8087914130575</v>
      </c>
      <c r="F6" s="4" t="n">
        <f aca="false">DCF_Bull!$B$47</f>
        <v>8.0695301913273</v>
      </c>
    </row>
    <row r="8" customFormat="false" ht="15" hidden="false" customHeight="false" outlineLevel="0" collapsed="false">
      <c r="A8" s="0" t="s">
        <v>152</v>
      </c>
      <c r="B8" s="0" t="n">
        <f aca="false">SUMPRODUCT(B4:B6,D4:D6)</f>
        <v>8.62372071942071</v>
      </c>
    </row>
    <row r="9" customFormat="false" ht="15" hidden="false" customHeight="false" outlineLevel="0" collapsed="false">
      <c r="A9" s="0" t="s">
        <v>153</v>
      </c>
      <c r="B9" s="0" t="n">
        <f aca="false">SUMPRODUCT(E4:E6,D4:D6)</f>
        <v>8.62372071942071</v>
      </c>
    </row>
    <row r="10" customFormat="false" ht="15" hidden="false" customHeight="false" outlineLevel="0" collapsed="false">
      <c r="A10" s="0" t="s">
        <v>154</v>
      </c>
      <c r="B10" s="0" t="n">
        <f aca="false">1-Assumptions!$B$2/B8</f>
        <v>0.196402547638913</v>
      </c>
    </row>
    <row r="11" customFormat="false" ht="15" hidden="false" customHeight="false" outlineLevel="0" collapsed="false">
      <c r="A11" s="0" t="s">
        <v>155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156</v>
      </c>
      <c r="B12" s="0" t="n">
        <f aca="false">SUMPRODUCT(F4:F6,D4:D6)</f>
        <v>5.47968272412798</v>
      </c>
    </row>
    <row r="14" customFormat="false" ht="15" hidden="false" customHeight="false" outlineLevel="0" collapsed="false">
      <c r="A14" s="2" t="s">
        <v>157</v>
      </c>
      <c r="C14" s="0" t="s">
        <v>158</v>
      </c>
    </row>
    <row r="15" customFormat="false" ht="15" hidden="false" customHeight="false" outlineLevel="0" collapsed="false">
      <c r="A15" s="0" t="s">
        <v>159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10.8044493698293</v>
      </c>
      <c r="C15" s="3" t="n">
        <v>9</v>
      </c>
    </row>
    <row r="16" customFormat="false" ht="15" hidden="false" customHeight="false" outlineLevel="0" collapsed="false">
      <c r="A16" s="0" t="s">
        <v>160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9.92000090839802</v>
      </c>
      <c r="C16" s="3" t="n">
        <v>10</v>
      </c>
    </row>
    <row r="17" customFormat="false" ht="15" hidden="false" customHeight="false" outlineLevel="0" collapsed="false">
      <c r="A17" s="0" t="s">
        <v>161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8.57308520802504</v>
      </c>
      <c r="C17" s="3" t="n">
        <v>11</v>
      </c>
    </row>
    <row r="18" customFormat="false" ht="15" hidden="false" customHeight="false" outlineLevel="0" collapsed="false">
      <c r="A18" s="0" t="s">
        <v>162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7.53046076176171</v>
      </c>
      <c r="C18" s="3" t="n">
        <v>12</v>
      </c>
    </row>
    <row r="19" customFormat="false" ht="15" hidden="false" customHeight="false" outlineLevel="0" collapsed="false">
      <c r="A19" s="0" t="s">
        <v>163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5.46520848988332</v>
      </c>
      <c r="C19" s="3" t="n">
        <v>15</v>
      </c>
    </row>
    <row r="21" customFormat="false" ht="15" hidden="false" customHeight="false" outlineLevel="0" collapsed="false">
      <c r="A21" s="2" t="s">
        <v>164</v>
      </c>
    </row>
    <row r="22" customFormat="false" ht="15" hidden="false" customHeight="false" outlineLevel="0" collapsed="false">
      <c r="B22" s="3" t="n">
        <v>2</v>
      </c>
      <c r="C22" s="3" t="n">
        <v>2.5</v>
      </c>
      <c r="D22" s="3" t="n">
        <v>3</v>
      </c>
      <c r="E22" s="3" t="n">
        <v>3.5</v>
      </c>
      <c r="F22" s="3" t="n">
        <v>4</v>
      </c>
    </row>
    <row r="23" customFormat="false" ht="15" hidden="false" customHeight="false" outlineLevel="0" collapsed="false">
      <c r="A23" s="3" t="n">
        <v>9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10.6225807594379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10.8044493698293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10.8044493698293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10.8044493698293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10.8044493698293</v>
      </c>
    </row>
    <row r="24" customFormat="false" ht="15" hidden="false" customHeight="false" outlineLevel="0" collapsed="false">
      <c r="A24" s="3" t="n">
        <v>10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9.1591889682932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9.51423454034211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9.92000090839802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10.0306644633224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10.0306644633224</v>
      </c>
    </row>
    <row r="25" customFormat="false" ht="15" hidden="false" customHeight="false" outlineLevel="0" collapsed="false">
      <c r="A25" s="3" t="n">
        <v>11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8.02762859972289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8.28431406245332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8.57308520802504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8.90035917300633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9.27438656155638</v>
      </c>
    </row>
    <row r="26" customFormat="false" ht="15" hidden="false" customHeight="false" outlineLevel="0" collapsed="false">
      <c r="A26" s="3" t="n">
        <v>12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7.12793396271169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7.31860455173538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7.53046076176171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7.76724123179112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8.03361926057423</v>
      </c>
    </row>
    <row r="27" customFormat="false" ht="15" hidden="false" customHeight="false" outlineLevel="0" collapsed="false">
      <c r="A27" s="3" t="n">
        <v>13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6.39652164372258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6.54129263294229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6.70054072108398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6.87655176587215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7.07211959341458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2026-10-23T17:08:02Z</dcterms:created>
  <dc:creator>openpyxl</dc:creator>
  <dc:description/>
  <dc:language>en-NZ</dc:language>
  <cp:lastModifiedBy/>
  <dcterms:modified xsi:type="dcterms:W3CDTF">2026-10-23T17:08:02Z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