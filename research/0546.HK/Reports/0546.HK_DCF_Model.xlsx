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<sst xmlns="http://schemas.openxmlformats.org/spreadsheetml/2006/main" count="356" uniqueCount="164">
  <si>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</si>
  <si>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0546.HK</t>
  </si>
  <si>
    <t xml:space="preserve">Company</t>
  </si>
  <si>
    <t xml:space="preserve">Fufeng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</si>
  <si>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</si>
  <si>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</si>
  <si>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</si>
  <si>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</si>
  <si>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HKEX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</si>
  <si>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</si>
  <si>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</si>
  <si>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</si>
  <si>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</si>
  <si>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</si>
  <si>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</si>
  <si>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</si>
  <si>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</si>
  <si>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</si>
  <si>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</si>
  <si>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</si>
  <si>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</si>
  <si>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</si>
  <si>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2026-10-10T22:56:44Z</t>
  </si>
  <si>
    <t xml:space="preserve">Drivers file</t>
  </si>
  <si>
    <t xml:space="preserve">0546.HK_Drivers.json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</si>
  <si>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</si>
  <si>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</si>
  <si>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</si>
  <si>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Cycle-normalised owner-FCF DCF for a commodity biofermentation producer. The valuation deliberately does not capitalise either the H1 FY2026 trough (operating profit RMB318m, depressed by a RMB518m unhedged FX loss and margin compression) or the FY2025 figure flattered by the RMB233m Meihua settlement. Margins mean-revert to a mid-cycle 15% EBITDA margin, terminal value capped at 12x FCF, and the gross-levered carry trade is netted to ~zero net debt.
key_risks_to_valuation: Mid-cycle margin assumption: each 1pp of terminal EBITDA margin is worth roughly 8% of base value; a structurally oversupplied threonine/lysine/xanthan industry could make 12% the new mid-cycle (the bear case); Unhedged USD cash and receivables: reported earnings will keep swinging with USD/CNY; excluded from the flows as non-operating but real to cash value of the USD balances; Carry-trade balance sheet: RMB21.3bn borrowings against RMB21.5bn cash/restricted deposits; net debt is ~nil only while the deposits remain available and the spread holds; EU anti-dumping/anti-absorption duties on threonine/lysine and UFLPA/Xinjiang export-compliance exposure; Kazakhstan execution: first overseas plant, up to US$1.5bn total project; overruns or a slow ramp extend the high-capex period; PRC single-country concentration and corn/coal policy dependence</t>
  </si>
  <si>
    <t xml:space="preserve">Data sources</t>
  </si>
  <si>
    <t xml:space="preserve">price: Yahoo Finance chart API at inputs.price_as_of; 52-week range 4.215-9.89 HKD
fx: Yahoo Finance CNYHKD=X at 2026-10-09
financials: 0546.HK_Metrics.csv (core_metrics, RMB millions); FY2025 Annual Report income statement, cash flow statement, notes 7 (other gains), 32(a) (cash generated from operations, D&amp;A); H1 FY2026 interim balance sheet (borrowings, cash, restricted bank balances)
qualitative: 0546.HK_Analysis.json (2026-10-11)</t>
  </si>
  <si>
    <t xml:space="preserve">Scenario narrative: bear</t>
  </si>
  <si>
    <t xml:space="preserve">Threonine, lysine and xanthan gum stay structurally oversupplied (competitor capacity adds, xanthan utilisation only 84%), domestic MSG demand stays weak, the EU anti-absorption investigation raises effective duties on Chinese threonine/lysine, and UFLPA/Xinjiang compliance limits US-bound exports from the Xinjiang base. Revenue falls 4% in FY2026 and grows only ~2% thereafter; EBITDA margin is stuck at 12%, close to the FY2020-21 trough levels. Kazakhstan ramps slowly with a long running-in period.</t>
  </si>
  <si>
    <t xml:space="preserve">Scenario narrative: base</t>
  </si>
  <si>
    <t xml:space="preserve">The FY2024-H1 FY2026 down-cycle in MSG, threonine, lysine and xanthan gum prices bottoms in FY2026 (H1 gross profit -25.5% on corn +7% and ASPs -13% to -22%); FY2026 underlying EBITDA margin ~11.5% with the RMB518m H1 FX loss treated as non-operating. From FY2027 the Fufeng/Meihua MSG-threonine oligopoly regains some pricing discipline as marginal producers stop adding capacity, and Kazakhstan Phase I adds amino-acid volume for Europe/US. Margin returns to a 15% mid-cycle level (eight-year average ~16% with FY2018 and FY2022 peaks) by FY2030; capex steps down from the Kazakhstan-elevated 11% to 5.5% of revenue. Revenue compounds ~3-5% then fades to 2.5%.</t>
  </si>
  <si>
    <t xml:space="preserve">Scenario narrative: bull</t>
  </si>
  <si>
    <t xml:space="preserve">Management's 'prices rising from late Q1 2026' call proves right after an H2 wobble; scale and captive coal power let Fufeng out-earn smaller threonine/lysine producers who exit; Kazakhstan Phases I and II reach full rate, sidestepping EU anti-dumping duties on China-origin product and lifting export share. EBITDA margin rebuilds to 17.5% -- below the FY2018/FY2022 peaks of ~22-24% but above mid-cycle -- with revenue growth of 6-7% in FY2027-28 and heavier capex to fund Phase II.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</si>
  <si>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</si>
  <si>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</si>
  <si>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</si>
  <si>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</si>
  <si>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</si>
  <si>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</si>
  <si>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</si>
  <si>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</si>
  <si>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</si>
  <si>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</si>
  <si>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</si>
  <si>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</si>
  <si>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</si>
  <si>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</si>
  <si>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</si>
  <si>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</si>
  <si>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</si>
  <si>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</si>
  <si>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</si>
  <si>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</si>
  <si>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</si>
  <si>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</si>
  <si>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</si>
  <si>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</si>
  <si>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</si>
  <si>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</si>
  <si>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</si>
  <si>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</si>
  <si>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</si>
  <si>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</si>
  <si>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</si>
  <si>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</si>
  <si>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</si>
  <si>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</si>
  <si>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</si>
  <si>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</si>
  <si>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</si>
  <si>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</si>
  <si>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</si>
  <si>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</si>
  <si>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</si>
  <si>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</si>
  <si>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</si>
  <si>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</si>
  <si>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</si>
  <si>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</si>
  <si>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</si>
  <si>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</si>
  <si>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</si>
  <si>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</si>
  <si>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</si>
  <si>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</si>
  <si>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</si>
  <si>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</si>
  <si>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</si>
  <si>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</si>
  <si>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</si>
  <si>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</si>
  <si>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</si>
  <si>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</si>
  <si>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</si>
  <si>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</si>
  <si>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</si>
  <si>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</si>
  <si>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</si>
  <si>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</si>
  <si>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</si>
  <si>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</si>
  <si>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</si>
  <si>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</si>
  <si>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</si>
  <si>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</si>
  <si>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</si>
  <si>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0546.HK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</si>
  <si>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</si>
  <si>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</si>
  <si>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</si>
  <si>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</si>
  <si>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</si>
  <si>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</si>
  <si>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</si>
  <si>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</si>
  <si>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</si>
  <si>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</si>
  <si>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</si>
  <si>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</si>
  <si>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</si>
  <si>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</si>
  <si>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</si>
  <si>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</si>
  <si>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</si>
  <si>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</si>
  <si>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</si>
  <si>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</si>
  <si>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</si>
  <si>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</si>
  <si>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</si>
  <si>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</si>
  <si>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</si>
  <si>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</si>
  <si>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</si>
  <si>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</si>
  <si>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</si>
  <si>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</si>
  <si>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0546.HK owner-FCF component DCF: base case (millions, CNY)</t>
  </si>
  <si>
    <t xml:space="preserve">0546.HK owner-FCF component DCF: bull case (millions, CNY)</t>
  </si>
  <si>
    <t xml:space="preserve">0546.HK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</si>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</sst>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4.325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13033.5</v>
      </c>
      <c r="C2" s="0" t="n">
        <v>10054</v>
      </c>
      <c r="D2" s="0" t="n">
        <v>2979.47</v>
      </c>
      <c r="E2" s="0" t="n">
        <v>22.9</v>
      </c>
      <c r="F2" s="0" t="n">
        <v>1714.79</v>
      </c>
      <c r="G2" s="0" t="n">
        <v>13.2</v>
      </c>
      <c r="I2" s="0" t="n">
        <v>1382.38</v>
      </c>
      <c r="J2" s="0" t="n">
        <v>10.6</v>
      </c>
      <c r="L2" s="0" t="n">
        <v>1202.21</v>
      </c>
      <c r="O2" s="0" t="n">
        <v>9460.1</v>
      </c>
      <c r="P2" s="0" t="n">
        <v>15966.5</v>
      </c>
      <c r="Q2" s="0" t="n">
        <v>6506.43</v>
      </c>
      <c r="S2" s="0" t="n">
        <v>419.488</v>
      </c>
      <c r="T2" s="0" t="n">
        <v>2503.977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13764.645</v>
      </c>
      <c r="C3" s="0" t="n">
        <v>11189.875</v>
      </c>
      <c r="D3" s="0" t="n">
        <v>2574.77</v>
      </c>
      <c r="E3" s="0" t="n">
        <v>18.7</v>
      </c>
      <c r="F3" s="0" t="n">
        <v>2436.419</v>
      </c>
      <c r="G3" s="0" t="n">
        <v>17.7</v>
      </c>
      <c r="I3" s="0" t="n">
        <v>1845.039</v>
      </c>
      <c r="J3" s="0" t="n">
        <v>13.4</v>
      </c>
      <c r="K3" s="0" t="n">
        <v>0.7239</v>
      </c>
      <c r="L3" s="0" t="n">
        <v>1509.618</v>
      </c>
      <c r="M3" s="0" t="n">
        <v>1852.24</v>
      </c>
      <c r="N3" s="0" t="n">
        <v>-342.622</v>
      </c>
      <c r="O3" s="0" t="n">
        <v>11004.344</v>
      </c>
      <c r="P3" s="0" t="n">
        <v>20332.32</v>
      </c>
      <c r="Q3" s="0" t="n">
        <v>9327.976</v>
      </c>
      <c r="R3" s="0" t="n">
        <v>4010.552</v>
      </c>
      <c r="S3" s="0" t="n">
        <v>1734.943</v>
      </c>
      <c r="T3" s="0" t="n">
        <v>2548.679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16170.85</v>
      </c>
      <c r="C4" s="0" t="n">
        <v>12910.216</v>
      </c>
      <c r="D4" s="0" t="n">
        <v>3260.634</v>
      </c>
      <c r="E4" s="0" t="n">
        <v>20.2</v>
      </c>
      <c r="F4" s="0" t="n">
        <v>1552.681</v>
      </c>
      <c r="G4" s="0" t="n">
        <v>9.6</v>
      </c>
      <c r="I4" s="0" t="n">
        <v>1137.223</v>
      </c>
      <c r="J4" s="0" t="n">
        <v>7</v>
      </c>
      <c r="K4" s="0" t="n">
        <v>0.4474</v>
      </c>
      <c r="L4" s="0" t="n">
        <v>892.16</v>
      </c>
      <c r="M4" s="0" t="n">
        <v>1646.199</v>
      </c>
      <c r="N4" s="0" t="n">
        <v>-754.039</v>
      </c>
      <c r="O4" s="0" t="n">
        <v>11376.469</v>
      </c>
      <c r="P4" s="0" t="n">
        <v>19458.611</v>
      </c>
      <c r="Q4" s="0" t="n">
        <v>8082.142</v>
      </c>
      <c r="R4" s="0" t="n">
        <v>3384.55</v>
      </c>
      <c r="S4" s="0" t="n">
        <v>1831.169</v>
      </c>
      <c r="T4" s="0" t="n">
        <v>2542.061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16690.736</v>
      </c>
      <c r="C5" s="0" t="n">
        <v>13874.382</v>
      </c>
      <c r="D5" s="0" t="n">
        <v>2816.354</v>
      </c>
      <c r="E5" s="0" t="n">
        <v>16.9</v>
      </c>
      <c r="F5" s="0" t="n">
        <v>796.479</v>
      </c>
      <c r="G5" s="0" t="n">
        <v>4.8</v>
      </c>
      <c r="I5" s="0" t="n">
        <v>629.901</v>
      </c>
      <c r="J5" s="0" t="n">
        <v>3.8</v>
      </c>
      <c r="K5" s="0" t="n">
        <v>0.2486</v>
      </c>
      <c r="L5" s="0" t="n">
        <v>205.618</v>
      </c>
      <c r="M5" s="0" t="n">
        <v>1004.909</v>
      </c>
      <c r="N5" s="0" t="n">
        <v>-799.291</v>
      </c>
      <c r="O5" s="0" t="n">
        <v>11689.406</v>
      </c>
      <c r="P5" s="0" t="n">
        <v>19355.693</v>
      </c>
      <c r="Q5" s="0" t="n">
        <v>7666.287</v>
      </c>
      <c r="R5" s="0" t="n">
        <v>3473.228</v>
      </c>
      <c r="S5" s="0" t="n">
        <v>831.202</v>
      </c>
      <c r="T5" s="0" t="n">
        <v>2533.639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21539.841</v>
      </c>
      <c r="C6" s="0" t="n">
        <v>17634.565</v>
      </c>
      <c r="D6" s="0" t="n">
        <v>3905.276</v>
      </c>
      <c r="E6" s="0" t="n">
        <v>18.1</v>
      </c>
      <c r="F6" s="0" t="n">
        <v>1580.357</v>
      </c>
      <c r="G6" s="0" t="n">
        <v>7.3</v>
      </c>
      <c r="I6" s="0" t="n">
        <v>1280.64</v>
      </c>
      <c r="J6" s="0" t="n">
        <v>5.9</v>
      </c>
      <c r="K6" s="0" t="n">
        <v>0.5055</v>
      </c>
      <c r="L6" s="0" t="n">
        <v>2735.729</v>
      </c>
      <c r="M6" s="0" t="n">
        <v>502.578</v>
      </c>
      <c r="N6" s="0" t="n">
        <v>2233.151</v>
      </c>
      <c r="O6" s="0" t="n">
        <v>12677.754</v>
      </c>
      <c r="P6" s="0" t="n">
        <v>21510.806</v>
      </c>
      <c r="Q6" s="0" t="n">
        <v>8833.052</v>
      </c>
      <c r="R6" s="0" t="n">
        <v>4227.044</v>
      </c>
      <c r="S6" s="0" t="n">
        <v>3542.457</v>
      </c>
      <c r="T6" s="0" t="n">
        <v>2533.651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27474.639</v>
      </c>
      <c r="C7" s="0" t="n">
        <v>20262.172</v>
      </c>
      <c r="D7" s="0" t="n">
        <v>7212.467</v>
      </c>
      <c r="E7" s="0" t="n">
        <v>26.3</v>
      </c>
      <c r="F7" s="0" t="n">
        <v>5250.746</v>
      </c>
      <c r="G7" s="0" t="n">
        <v>19.1</v>
      </c>
      <c r="I7" s="0" t="n">
        <v>3861.078</v>
      </c>
      <c r="J7" s="0" t="n">
        <v>14.1</v>
      </c>
      <c r="K7" s="0" t="n">
        <v>1.523</v>
      </c>
      <c r="L7" s="0" t="n">
        <v>3600.102</v>
      </c>
      <c r="M7" s="0" t="n">
        <v>1027.725</v>
      </c>
      <c r="N7" s="0" t="n">
        <v>2572.377</v>
      </c>
      <c r="O7" s="0" t="n">
        <v>15493.624</v>
      </c>
      <c r="P7" s="0" t="n">
        <v>26388.624</v>
      </c>
      <c r="Q7" s="0" t="n">
        <v>10895</v>
      </c>
      <c r="R7" s="0" t="n">
        <v>5953.075</v>
      </c>
      <c r="S7" s="0" t="n">
        <v>7008.116</v>
      </c>
      <c r="T7" s="0" t="n">
        <v>2535.211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28006.875</v>
      </c>
      <c r="C8" s="0" t="n">
        <v>21759.49</v>
      </c>
      <c r="D8" s="0" t="n">
        <v>6247.385</v>
      </c>
      <c r="E8" s="0" t="n">
        <v>22.3</v>
      </c>
      <c r="F8" s="0" t="n">
        <v>3699.473</v>
      </c>
      <c r="G8" s="0" t="n">
        <v>13.2</v>
      </c>
      <c r="I8" s="0" t="n">
        <v>3144.124</v>
      </c>
      <c r="J8" s="0" t="n">
        <v>11.2</v>
      </c>
      <c r="K8" s="0" t="n">
        <v>1.2399</v>
      </c>
      <c r="L8" s="0" t="n">
        <v>1704.877</v>
      </c>
      <c r="M8" s="0" t="n">
        <v>2323.629</v>
      </c>
      <c r="N8" s="0" t="n">
        <v>-618.752</v>
      </c>
      <c r="O8" s="0" t="n">
        <v>17324.214</v>
      </c>
      <c r="P8" s="0" t="n">
        <v>32560.887</v>
      </c>
      <c r="Q8" s="0" t="n">
        <v>15236.673</v>
      </c>
      <c r="R8" s="0" t="n">
        <v>9724.5</v>
      </c>
      <c r="S8" s="0" t="n">
        <v>6856.177</v>
      </c>
      <c r="T8" s="0" t="n">
        <v>2535.778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27757.31</v>
      </c>
      <c r="C9" s="0" t="n">
        <v>22700.488</v>
      </c>
      <c r="D9" s="0" t="n">
        <v>5056.822</v>
      </c>
      <c r="E9" s="0" t="n">
        <v>18.2</v>
      </c>
      <c r="F9" s="0" t="n">
        <v>2543.514</v>
      </c>
      <c r="G9" s="0" t="n">
        <v>9.2</v>
      </c>
      <c r="I9" s="0" t="n">
        <v>2312.384</v>
      </c>
      <c r="J9" s="0" t="n">
        <v>8.3</v>
      </c>
      <c r="K9" s="0" t="n">
        <v>0.9184</v>
      </c>
      <c r="L9" s="0" t="n">
        <v>2955.298</v>
      </c>
      <c r="M9" s="0" t="n">
        <v>1221.406</v>
      </c>
      <c r="N9" s="0" t="n">
        <v>1733.892</v>
      </c>
      <c r="O9" s="0" t="n">
        <v>18343.054</v>
      </c>
      <c r="P9" s="0" t="n">
        <v>36089.896</v>
      </c>
      <c r="Q9" s="0" t="n">
        <v>17746.842</v>
      </c>
      <c r="R9" s="0" t="n">
        <v>11364.468</v>
      </c>
      <c r="S9" s="0" t="n">
        <v>9902.194</v>
      </c>
      <c r="T9" s="0" t="n">
        <v>2517.726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27879.194</v>
      </c>
      <c r="C10" s="0" t="n">
        <v>22397.259</v>
      </c>
      <c r="D10" s="0" t="n">
        <v>5481.935</v>
      </c>
      <c r="E10" s="0" t="n">
        <v>19.7</v>
      </c>
      <c r="F10" s="0" t="n">
        <v>2725.858</v>
      </c>
      <c r="G10" s="0" t="n">
        <v>9.8</v>
      </c>
      <c r="I10" s="0" t="n">
        <v>2465.228</v>
      </c>
      <c r="J10" s="0" t="n">
        <v>8.8</v>
      </c>
      <c r="K10" s="0" t="n">
        <v>0.9831</v>
      </c>
      <c r="L10" s="0" t="n">
        <v>2911.344</v>
      </c>
      <c r="M10" s="0" t="n">
        <v>2670.618</v>
      </c>
      <c r="N10" s="0" t="n">
        <v>240.726</v>
      </c>
      <c r="O10" s="0" t="n">
        <v>19460.106</v>
      </c>
      <c r="P10" s="0" t="n">
        <v>43714.724</v>
      </c>
      <c r="Q10" s="0" t="n">
        <v>24254.618</v>
      </c>
      <c r="R10" s="0" t="n">
        <v>17645.81</v>
      </c>
      <c r="S10" s="0" t="n">
        <v>13465.776</v>
      </c>
      <c r="T10" s="0" t="n">
        <v>2507.649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4.325</v>
      </c>
    </row>
    <row r="3" customFormat="false" ht="15" hidden="false" customHeight="false" outlineLevel="0" collapsed="false">
      <c r="A3" s="0" t="s">
        <v>76</v>
      </c>
      <c r="B3" s="3" t="n">
        <v>2507.6</v>
      </c>
    </row>
    <row r="4" customFormat="false" ht="15" hidden="false" customHeight="false" outlineLevel="0" collapsed="false">
      <c r="A4" s="0" t="s">
        <v>77</v>
      </c>
      <c r="B4" s="3" t="n">
        <v>-283.5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27879.194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-4</v>
      </c>
      <c r="D13" s="3" t="n">
        <v>0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4.8</v>
      </c>
      <c r="D17" s="3" t="n">
        <v>4.9</v>
      </c>
      <c r="E17" s="3" t="n">
        <v>5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101</v>
      </c>
      <c r="C18" s="3" t="n">
        <v>11</v>
      </c>
      <c r="D18" s="3" t="n">
        <v>7.5</v>
      </c>
      <c r="E18" s="3" t="n">
        <v>6</v>
      </c>
      <c r="F18" s="3" t="n">
        <v>5.5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102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-15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-1.5</v>
      </c>
      <c r="D27" s="3" t="n">
        <v>3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11.5</v>
      </c>
      <c r="D28" s="3" t="n">
        <v>13</v>
      </c>
      <c r="E28" s="3" t="n">
        <v>14</v>
      </c>
      <c r="F28" s="3" t="n">
        <v>14.5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4.8</v>
      </c>
      <c r="D31" s="3" t="n">
        <v>4.9</v>
      </c>
      <c r="E31" s="3" t="n">
        <v>5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101</v>
      </c>
      <c r="C32" s="3" t="n">
        <v>11</v>
      </c>
      <c r="D32" s="3" t="n">
        <v>8</v>
      </c>
      <c r="E32" s="3" t="n">
        <v>6.5</v>
      </c>
      <c r="F32" s="3" t="n">
        <v>6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102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-0.5</v>
      </c>
      <c r="D41" s="3" t="n">
        <v>6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12.5</v>
      </c>
      <c r="D42" s="3" t="n">
        <v>15</v>
      </c>
      <c r="E42" s="3" t="n">
        <v>16.5</v>
      </c>
      <c r="F42" s="3" t="n">
        <v>17</v>
      </c>
      <c r="G42" s="3" t="n">
        <v>17.5</v>
      </c>
      <c r="H42" s="3" t="n">
        <v>17.5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4.8</v>
      </c>
      <c r="D45" s="3" t="n">
        <v>4.9</v>
      </c>
      <c r="E45" s="3" t="n">
        <v>5</v>
      </c>
      <c r="F45" s="3" t="n">
        <v>5.1</v>
      </c>
      <c r="G45" s="3" t="n">
        <v>5.2</v>
      </c>
      <c r="H45" s="3" t="n">
        <v>5.2</v>
      </c>
      <c r="I45" s="3" t="n">
        <v>5.2</v>
      </c>
      <c r="J45" s="3" t="n">
        <v>5.2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101</v>
      </c>
      <c r="C46" s="3" t="n">
        <v>11</v>
      </c>
      <c r="D46" s="3" t="n">
        <v>9</v>
      </c>
      <c r="E46" s="3" t="n">
        <v>8</v>
      </c>
      <c r="F46" s="3" t="n">
        <v>7</v>
      </c>
      <c r="G46" s="3" t="n">
        <v>6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102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-15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-4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27879.194</v>
      </c>
      <c r="C6" s="0" t="n">
        <f aca="false">B6*(1+C5/100)</f>
        <v>26764.02624</v>
      </c>
      <c r="D6" s="0" t="n">
        <f aca="false">C6*(1+D5/100)</f>
        <v>26764.02624</v>
      </c>
      <c r="E6" s="0" t="n">
        <f aca="false">D6*(1+E5/100)</f>
        <v>27299.3067648</v>
      </c>
      <c r="F6" s="0" t="n">
        <f aca="false">E6*(1+F5/100)</f>
        <v>27845.292900096</v>
      </c>
      <c r="G6" s="0" t="n">
        <f aca="false">F6*(1+G5/100)</f>
        <v>28402.1987580979</v>
      </c>
      <c r="H6" s="0" t="n">
        <f aca="false">G6*(1+H5/100)</f>
        <v>28970.2427332599</v>
      </c>
      <c r="I6" s="0" t="n">
        <f aca="false">H6*(1+I5/100)</f>
        <v>29549.6475879251</v>
      </c>
      <c r="J6" s="0" t="n">
        <f aca="false">I6*(1+J5/100)</f>
        <v>29992.892301744</v>
      </c>
      <c r="K6" s="0" t="n">
        <f aca="false">J6*(1+K5/100)</f>
        <v>30442.7856862701</v>
      </c>
      <c r="L6" s="0" t="n">
        <f aca="false">K6*(1+L5/100)</f>
        <v>30899.4274715642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10.5</v>
      </c>
      <c r="D7" s="4" t="n">
        <f aca="false">Assumptions!D14</f>
        <v>11</v>
      </c>
      <c r="E7" s="4" t="n">
        <f aca="false">Assumptions!E14</f>
        <v>11.5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2810.2227552</v>
      </c>
      <c r="D8" s="0" t="n">
        <f aca="false">D6*D7/100</f>
        <v>2944.0428864</v>
      </c>
      <c r="E8" s="0" t="n">
        <f aca="false">E6*E7/100</f>
        <v>3139.420277952</v>
      </c>
      <c r="F8" s="0" t="n">
        <f aca="false">F6*F7/100</f>
        <v>3341.43514801152</v>
      </c>
      <c r="G8" s="0" t="n">
        <f aca="false">G6*G7/100</f>
        <v>3408.26385097175</v>
      </c>
      <c r="H8" s="0" t="n">
        <f aca="false">H6*H7/100</f>
        <v>3476.42912799119</v>
      </c>
      <c r="I8" s="0" t="n">
        <f aca="false">I6*I7/100</f>
        <v>3545.95771055101</v>
      </c>
      <c r="J8" s="0" t="n">
        <f aca="false">J6*J7/100</f>
        <v>3599.14707620927</v>
      </c>
      <c r="K8" s="0" t="n">
        <f aca="false">K6*K7/100</f>
        <v>3653.13428235241</v>
      </c>
      <c r="L8" s="0" t="n">
        <f aca="false">L6*L7/100</f>
        <v>3707.9312965877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2810.2227552</v>
      </c>
      <c r="D11" s="0" t="n">
        <f aca="false">D8+D10+D24</f>
        <v>2944.0428864</v>
      </c>
      <c r="E11" s="0" t="n">
        <f aca="false">E8+E10+E24</f>
        <v>3139.420277952</v>
      </c>
      <c r="F11" s="0" t="n">
        <f aca="false">F8+F10+F24</f>
        <v>3341.43514801152</v>
      </c>
      <c r="G11" s="0" t="n">
        <f aca="false">G8+G10+G24</f>
        <v>3408.26385097175</v>
      </c>
      <c r="H11" s="0" t="n">
        <f aca="false">H8+H10+H24</f>
        <v>3476.42912799119</v>
      </c>
      <c r="I11" s="0" t="n">
        <f aca="false">I8+I10+I24</f>
        <v>3545.95771055101</v>
      </c>
      <c r="J11" s="0" t="n">
        <f aca="false">J8+J10+J24</f>
        <v>3599.14707620927</v>
      </c>
      <c r="K11" s="0" t="n">
        <f aca="false">K8+K10+K24</f>
        <v>3653.13428235241</v>
      </c>
      <c r="L11" s="0" t="n">
        <f aca="false">L8+L10+L24</f>
        <v>3707.9312965877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-1284.67325952</v>
      </c>
      <c r="D12" s="4" t="n">
        <f aca="false">-D6*Assumptions!D17/100</f>
        <v>-1311.43728576</v>
      </c>
      <c r="E12" s="4" t="n">
        <f aca="false">-E6*Assumptions!E17/100</f>
        <v>-1364.96533824</v>
      </c>
      <c r="F12" s="4" t="n">
        <f aca="false">-F6*Assumptions!F17/100</f>
        <v>-1392.2646450048</v>
      </c>
      <c r="G12" s="4" t="n">
        <f aca="false">-G6*Assumptions!G17/100</f>
        <v>-1420.1099379049</v>
      </c>
      <c r="H12" s="4" t="n">
        <f aca="false">-H6*Assumptions!H17/100</f>
        <v>-1448.51213666299</v>
      </c>
      <c r="I12" s="4" t="n">
        <f aca="false">-I6*Assumptions!I17/100</f>
        <v>-1477.48237939625</v>
      </c>
      <c r="J12" s="4" t="n">
        <f aca="false">-J6*Assumptions!J17/100</f>
        <v>-1499.6446150872</v>
      </c>
      <c r="K12" s="4" t="n">
        <f aca="false">-K6*Assumptions!K17/100</f>
        <v>-1522.13928431351</v>
      </c>
      <c r="L12" s="4" t="n">
        <f aca="false">-L6*Assumptions!L17/100</f>
        <v>-1544.97137357821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1525.54949568</v>
      </c>
      <c r="D13" s="0" t="n">
        <f aca="false">D11+D12</f>
        <v>1632.60560064</v>
      </c>
      <c r="E13" s="0" t="n">
        <f aca="false">E11+E12</f>
        <v>1774.454939712</v>
      </c>
      <c r="F13" s="0" t="n">
        <f aca="false">F11+F12</f>
        <v>1949.17050300672</v>
      </c>
      <c r="G13" s="0" t="n">
        <f aca="false">G11+G12</f>
        <v>1988.15391306685</v>
      </c>
      <c r="H13" s="0" t="n">
        <f aca="false">H11+H12</f>
        <v>2027.91699132819</v>
      </c>
      <c r="I13" s="0" t="n">
        <f aca="false">I11+I12</f>
        <v>2068.47533115476</v>
      </c>
      <c r="J13" s="0" t="n">
        <f aca="false">J11+J12</f>
        <v>2099.50246112208</v>
      </c>
      <c r="K13" s="0" t="n">
        <f aca="false">K11+K12</f>
        <v>2130.99499803891</v>
      </c>
      <c r="L13" s="0" t="n">
        <f aca="false">L11+L12</f>
        <v>2162.95992300949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1220.439596544</v>
      </c>
      <c r="D15" s="0" t="n">
        <f aca="false">D13-MAX(0,D13)*D14/100</f>
        <v>1306.084480512</v>
      </c>
      <c r="E15" s="0" t="n">
        <f aca="false">E13-MAX(0,E13)*E14/100</f>
        <v>1419.5639517696</v>
      </c>
      <c r="F15" s="0" t="n">
        <f aca="false">F13-MAX(0,F13)*F14/100</f>
        <v>1559.33640240538</v>
      </c>
      <c r="G15" s="0" t="n">
        <f aca="false">G13-MAX(0,G13)*G14/100</f>
        <v>1590.52313045348</v>
      </c>
      <c r="H15" s="0" t="n">
        <f aca="false">H13-MAX(0,H13)*H14/100</f>
        <v>1622.33359306255</v>
      </c>
      <c r="I15" s="0" t="n">
        <f aca="false">I13-MAX(0,I13)*I14/100</f>
        <v>1654.7802649238</v>
      </c>
      <c r="J15" s="0" t="n">
        <f aca="false">J13-MAX(0,J13)*J14/100</f>
        <v>1679.60196889766</v>
      </c>
      <c r="K15" s="0" t="n">
        <f aca="false">K13-MAX(0,K13)*K14/100</f>
        <v>1704.79599843113</v>
      </c>
      <c r="L15" s="0" t="n">
        <f aca="false">L13-MAX(0,L13)*L14/100</f>
        <v>1730.36793840759</v>
      </c>
    </row>
    <row r="16" customFormat="false" ht="15" hidden="false" customHeight="false" outlineLevel="0" collapsed="false">
      <c r="A16" s="0" t="s">
        <v>118</v>
      </c>
      <c r="C16" s="0" t="n">
        <f aca="false">-C12</f>
        <v>1284.67325952</v>
      </c>
      <c r="D16" s="0" t="n">
        <f aca="false">-D12</f>
        <v>1311.43728576</v>
      </c>
      <c r="E16" s="0" t="n">
        <f aca="false">-E12</f>
        <v>1364.96533824</v>
      </c>
      <c r="F16" s="0" t="n">
        <f aca="false">-F12</f>
        <v>1392.2646450048</v>
      </c>
      <c r="G16" s="0" t="n">
        <f aca="false">-G12</f>
        <v>1420.1099379049</v>
      </c>
      <c r="H16" s="0" t="n">
        <f aca="false">-H12</f>
        <v>1448.51213666299</v>
      </c>
      <c r="I16" s="0" t="n">
        <f aca="false">-I12</f>
        <v>1477.48237939625</v>
      </c>
      <c r="J16" s="0" t="n">
        <f aca="false">-J12</f>
        <v>1499.6446150872</v>
      </c>
      <c r="K16" s="0" t="n">
        <f aca="false">-K12</f>
        <v>1522.13928431351</v>
      </c>
      <c r="L16" s="0" t="n">
        <f aca="false">-L12</f>
        <v>1544.97137357821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-2944.0428864</v>
      </c>
      <c r="D17" s="4" t="n">
        <f aca="false">-D6*Assumptions!D18/100</f>
        <v>-2007.301968</v>
      </c>
      <c r="E17" s="4" t="n">
        <f aca="false">-E6*Assumptions!E18/100</f>
        <v>-1637.958405888</v>
      </c>
      <c r="F17" s="4" t="n">
        <f aca="false">-F6*Assumptions!F18/100</f>
        <v>-1531.49110950528</v>
      </c>
      <c r="G17" s="4" t="n">
        <f aca="false">-G6*Assumptions!G18/100</f>
        <v>-1420.1099379049</v>
      </c>
      <c r="H17" s="4" t="n">
        <f aca="false">-H6*Assumptions!H18/100</f>
        <v>-1448.51213666299</v>
      </c>
      <c r="I17" s="4" t="n">
        <f aca="false">-I6*Assumptions!I18/100</f>
        <v>-1477.48237939625</v>
      </c>
      <c r="J17" s="4" t="n">
        <f aca="false">-J6*Assumptions!J18/100</f>
        <v>-1499.6446150872</v>
      </c>
      <c r="K17" s="4" t="n">
        <f aca="false">-K6*Assumptions!K18/100</f>
        <v>-1522.13928431351</v>
      </c>
      <c r="L17" s="4" t="n">
        <f aca="false">-L6*Assumptions!L18/100</f>
        <v>-1544.97137357821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167.275164</v>
      </c>
      <c r="D18" s="4" t="n">
        <f aca="false">(D6-C6)*Assumptions!$B$23/100</f>
        <v>-0</v>
      </c>
      <c r="E18" s="4" t="n">
        <f aca="false">(E6-D6)*Assumptions!$B$23/100</f>
        <v>-80.2920787200001</v>
      </c>
      <c r="F18" s="4" t="n">
        <f aca="false">(F6-E6)*Assumptions!$B$23/100</f>
        <v>-81.8979202944</v>
      </c>
      <c r="G18" s="4" t="n">
        <f aca="false">(G6-F6)*Assumptions!$B$23/100</f>
        <v>-83.5358787002879</v>
      </c>
      <c r="H18" s="4" t="n">
        <f aca="false">(H6-G6)*Assumptions!$B$23/100</f>
        <v>-85.206596274294</v>
      </c>
      <c r="I18" s="4" t="n">
        <f aca="false">(I6-H6)*Assumptions!$B$23/100</f>
        <v>-86.9107281997796</v>
      </c>
      <c r="J18" s="4" t="n">
        <f aca="false">(J6-I6)*Assumptions!$B$23/100</f>
        <v>-66.4867070728309</v>
      </c>
      <c r="K18" s="4" t="n">
        <f aca="false">(K6-J6)*Assumptions!$B$23/100</f>
        <v>-67.4840076789235</v>
      </c>
      <c r="L18" s="4" t="n">
        <f aca="false">(L6-K6)*Assumptions!$B$23/100</f>
        <v>-68.4962677941076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-271.654866336001</v>
      </c>
      <c r="D19" s="0" t="n">
        <f aca="false">D15+D16+D17+D18</f>
        <v>610.219798272</v>
      </c>
      <c r="E19" s="0" t="n">
        <f aca="false">E15+E16+E17+E18</f>
        <v>1066.2788054016</v>
      </c>
      <c r="F19" s="0" t="n">
        <f aca="false">F15+F16+F17+F18</f>
        <v>1338.2120176105</v>
      </c>
      <c r="G19" s="0" t="n">
        <f aca="false">G15+G16+G17+G18</f>
        <v>1506.9872517532</v>
      </c>
      <c r="H19" s="0" t="n">
        <f aca="false">H15+H16+H17+H18</f>
        <v>1537.12699678826</v>
      </c>
      <c r="I19" s="0" t="n">
        <f aca="false">I15+I16+I17+I18</f>
        <v>1567.86953672402</v>
      </c>
      <c r="J19" s="0" t="n">
        <f aca="false">J15+J16+J17+J18</f>
        <v>1613.11526182483</v>
      </c>
      <c r="K19" s="0" t="n">
        <f aca="false">K15+K16+K17+K18</f>
        <v>1637.3119907522</v>
      </c>
      <c r="L19" s="0" t="n">
        <f aca="false">L15+L16+L17+L18</f>
        <v>1661.87167061349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-246.958969396364</v>
      </c>
      <c r="D21" s="0" t="n">
        <f aca="false">D19*D20</f>
        <v>504.313882869421</v>
      </c>
      <c r="E21" s="0" t="n">
        <f aca="false">E19*E20</f>
        <v>801.111048385875</v>
      </c>
      <c r="F21" s="0" t="n">
        <f aca="false">F19*F20</f>
        <v>914.016814159207</v>
      </c>
      <c r="G21" s="0" t="n">
        <f aca="false">G19*G20</f>
        <v>935.720518191874</v>
      </c>
      <c r="H21" s="0" t="n">
        <f aca="false">H19*H20</f>
        <v>867.668116868829</v>
      </c>
      <c r="I21" s="0" t="n">
        <f aca="false">I19*I20</f>
        <v>804.56498109655</v>
      </c>
      <c r="J21" s="0" t="n">
        <f aca="false">J19*J20</f>
        <v>752.530174770239</v>
      </c>
      <c r="K21" s="0" t="n">
        <f aca="false">K19*K20</f>
        <v>694.380115810721</v>
      </c>
      <c r="L21" s="0" t="n">
        <f aca="false">L19*L20</f>
        <v>640.723470498074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6668.07015325443</v>
      </c>
    </row>
    <row r="31" customFormat="false" ht="15" hidden="false" customHeight="false" outlineLevel="0" collapsed="false">
      <c r="A31" s="0" t="s">
        <v>127</v>
      </c>
      <c r="B31" s="0" t="n">
        <f aca="false">L19</f>
        <v>1661.87167061349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19844.7028902669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19942.4600473618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19844.7028902669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7650.99203006523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14319.0621833197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14602.5621833197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6.82551568634111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0.57815391591702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6.82551568634111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12494.8129309088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3.95912765018446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-1.5</v>
      </c>
      <c r="D5" s="4" t="n">
        <f aca="false">Assumptions!D27</f>
        <v>3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27879.194</v>
      </c>
      <c r="C6" s="0" t="n">
        <f aca="false">B6*(1+C5/100)</f>
        <v>27461.00609</v>
      </c>
      <c r="D6" s="0" t="n">
        <f aca="false">C6*(1+D5/100)</f>
        <v>28284.8362727</v>
      </c>
      <c r="E6" s="0" t="n">
        <f aca="false">D6*(1+E5/100)</f>
        <v>29699.078086335</v>
      </c>
      <c r="F6" s="0" t="n">
        <f aca="false">E6*(1+F5/100)</f>
        <v>31035.5366002201</v>
      </c>
      <c r="G6" s="0" t="n">
        <f aca="false">F6*(1+G5/100)</f>
        <v>32276.9580642289</v>
      </c>
      <c r="H6" s="0" t="n">
        <f aca="false">G6*(1+H5/100)</f>
        <v>33406.6515964769</v>
      </c>
      <c r="I6" s="0" t="n">
        <f aca="false">H6*(1+I5/100)</f>
        <v>34408.8511443712</v>
      </c>
      <c r="J6" s="0" t="n">
        <f aca="false">I6*(1+J5/100)</f>
        <v>35441.1166787023</v>
      </c>
      <c r="K6" s="0" t="n">
        <f aca="false">J6*(1+K5/100)</f>
        <v>36327.1445956699</v>
      </c>
      <c r="L6" s="0" t="n">
        <f aca="false">K6*(1+L5/100)</f>
        <v>37235.3232105616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11.5</v>
      </c>
      <c r="D7" s="4" t="n">
        <f aca="false">Assumptions!D28</f>
        <v>13</v>
      </c>
      <c r="E7" s="4" t="n">
        <f aca="false">Assumptions!E28</f>
        <v>14</v>
      </c>
      <c r="F7" s="4" t="n">
        <f aca="false">Assumptions!F28</f>
        <v>14.5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3158.01570035</v>
      </c>
      <c r="D8" s="0" t="n">
        <f aca="false">D6*D7/100</f>
        <v>3677.028715451</v>
      </c>
      <c r="E8" s="0" t="n">
        <f aca="false">E6*E7/100</f>
        <v>4157.8709320869</v>
      </c>
      <c r="F8" s="0" t="n">
        <f aca="false">F6*F7/100</f>
        <v>4500.15280703191</v>
      </c>
      <c r="G8" s="0" t="n">
        <f aca="false">G6*G7/100</f>
        <v>4841.54370963433</v>
      </c>
      <c r="H8" s="0" t="n">
        <f aca="false">H6*H7/100</f>
        <v>5010.99773947153</v>
      </c>
      <c r="I8" s="0" t="n">
        <f aca="false">I6*I7/100</f>
        <v>5161.32767165568</v>
      </c>
      <c r="J8" s="0" t="n">
        <f aca="false">J6*J7/100</f>
        <v>5316.16750180535</v>
      </c>
      <c r="K8" s="0" t="n">
        <f aca="false">K6*K7/100</f>
        <v>5449.07168935048</v>
      </c>
      <c r="L8" s="0" t="n">
        <f aca="false">L6*L7/100</f>
        <v>5585.29848158424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3158.01570035</v>
      </c>
      <c r="D11" s="0" t="n">
        <f aca="false">D8+D10+D24</f>
        <v>3677.028715451</v>
      </c>
      <c r="E11" s="0" t="n">
        <f aca="false">E8+E10+E24</f>
        <v>4157.8709320869</v>
      </c>
      <c r="F11" s="0" t="n">
        <f aca="false">F8+F10+F24</f>
        <v>4500.15280703191</v>
      </c>
      <c r="G11" s="0" t="n">
        <f aca="false">G8+G10+G24</f>
        <v>4841.54370963433</v>
      </c>
      <c r="H11" s="0" t="n">
        <f aca="false">H8+H10+H24</f>
        <v>5010.99773947153</v>
      </c>
      <c r="I11" s="0" t="n">
        <f aca="false">I8+I10+I24</f>
        <v>5161.32767165568</v>
      </c>
      <c r="J11" s="0" t="n">
        <f aca="false">J8+J10+J24</f>
        <v>5316.16750180535</v>
      </c>
      <c r="K11" s="0" t="n">
        <f aca="false">K8+K10+K24</f>
        <v>5449.07168935048</v>
      </c>
      <c r="L11" s="0" t="n">
        <f aca="false">L8+L10+L24</f>
        <v>5585.29848158424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-1318.12829232</v>
      </c>
      <c r="D12" s="4" t="n">
        <f aca="false">-D6*Assumptions!D31/100</f>
        <v>-1385.9569773623</v>
      </c>
      <c r="E12" s="4" t="n">
        <f aca="false">-E6*Assumptions!E31/100</f>
        <v>-1484.95390431675</v>
      </c>
      <c r="F12" s="4" t="n">
        <f aca="false">-F6*Assumptions!F31/100</f>
        <v>-1551.776830011</v>
      </c>
      <c r="G12" s="4" t="n">
        <f aca="false">-G6*Assumptions!G31/100</f>
        <v>-1613.84790321144</v>
      </c>
      <c r="H12" s="4" t="n">
        <f aca="false">-H6*Assumptions!H31/100</f>
        <v>-1670.33257982384</v>
      </c>
      <c r="I12" s="4" t="n">
        <f aca="false">-I6*Assumptions!I31/100</f>
        <v>-1720.44255721856</v>
      </c>
      <c r="J12" s="4" t="n">
        <f aca="false">-J6*Assumptions!J31/100</f>
        <v>-1772.05583393512</v>
      </c>
      <c r="K12" s="4" t="n">
        <f aca="false">-K6*Assumptions!K31/100</f>
        <v>-1816.35722978349</v>
      </c>
      <c r="L12" s="4" t="n">
        <f aca="false">-L6*Assumptions!L31/100</f>
        <v>-1861.76616052808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1839.88740803</v>
      </c>
      <c r="D13" s="0" t="n">
        <f aca="false">D11+D12</f>
        <v>2291.0717380887</v>
      </c>
      <c r="E13" s="0" t="n">
        <f aca="false">E11+E12</f>
        <v>2672.91702777015</v>
      </c>
      <c r="F13" s="0" t="n">
        <f aca="false">F11+F12</f>
        <v>2948.37597702091</v>
      </c>
      <c r="G13" s="0" t="n">
        <f aca="false">G11+G12</f>
        <v>3227.69580642289</v>
      </c>
      <c r="H13" s="0" t="n">
        <f aca="false">H11+H12</f>
        <v>3340.66515964769</v>
      </c>
      <c r="I13" s="0" t="n">
        <f aca="false">I11+I12</f>
        <v>3440.88511443712</v>
      </c>
      <c r="J13" s="0" t="n">
        <f aca="false">J11+J12</f>
        <v>3544.11166787023</v>
      </c>
      <c r="K13" s="0" t="n">
        <f aca="false">K11+K12</f>
        <v>3632.71445956699</v>
      </c>
      <c r="L13" s="0" t="n">
        <f aca="false">L11+L12</f>
        <v>3723.53232105616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1471.909926424</v>
      </c>
      <c r="D15" s="0" t="n">
        <f aca="false">D13-MAX(0,D13)*D14/100</f>
        <v>1832.85739047096</v>
      </c>
      <c r="E15" s="0" t="n">
        <f aca="false">E13-MAX(0,E13)*E14/100</f>
        <v>2138.33362221612</v>
      </c>
      <c r="F15" s="0" t="n">
        <f aca="false">F13-MAX(0,F13)*F14/100</f>
        <v>2358.70078161673</v>
      </c>
      <c r="G15" s="0" t="n">
        <f aca="false">G13-MAX(0,G13)*G14/100</f>
        <v>2582.15664513831</v>
      </c>
      <c r="H15" s="0" t="n">
        <f aca="false">H13-MAX(0,H13)*H14/100</f>
        <v>2672.53212771815</v>
      </c>
      <c r="I15" s="0" t="n">
        <f aca="false">I13-MAX(0,I13)*I14/100</f>
        <v>2752.7080915497</v>
      </c>
      <c r="J15" s="0" t="n">
        <f aca="false">J13-MAX(0,J13)*J14/100</f>
        <v>2835.28933429619</v>
      </c>
      <c r="K15" s="0" t="n">
        <f aca="false">K13-MAX(0,K13)*K14/100</f>
        <v>2906.17156765359</v>
      </c>
      <c r="L15" s="0" t="n">
        <f aca="false">L13-MAX(0,L13)*L14/100</f>
        <v>2978.82585684493</v>
      </c>
    </row>
    <row r="16" customFormat="false" ht="15" hidden="false" customHeight="false" outlineLevel="0" collapsed="false">
      <c r="A16" s="0" t="s">
        <v>118</v>
      </c>
      <c r="C16" s="0" t="n">
        <f aca="false">-C12</f>
        <v>1318.12829232</v>
      </c>
      <c r="D16" s="0" t="n">
        <f aca="false">-D12</f>
        <v>1385.9569773623</v>
      </c>
      <c r="E16" s="0" t="n">
        <f aca="false">-E12</f>
        <v>1484.95390431675</v>
      </c>
      <c r="F16" s="0" t="n">
        <f aca="false">-F12</f>
        <v>1551.776830011</v>
      </c>
      <c r="G16" s="0" t="n">
        <f aca="false">-G12</f>
        <v>1613.84790321144</v>
      </c>
      <c r="H16" s="0" t="n">
        <f aca="false">-H12</f>
        <v>1670.33257982384</v>
      </c>
      <c r="I16" s="0" t="n">
        <f aca="false">-I12</f>
        <v>1720.44255721856</v>
      </c>
      <c r="J16" s="0" t="n">
        <f aca="false">-J12</f>
        <v>1772.05583393512</v>
      </c>
      <c r="K16" s="0" t="n">
        <f aca="false">-K12</f>
        <v>1816.35722978349</v>
      </c>
      <c r="L16" s="0" t="n">
        <f aca="false">-L12</f>
        <v>1861.76616052808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-3020.7106699</v>
      </c>
      <c r="D17" s="4" t="n">
        <f aca="false">-D6*Assumptions!D32/100</f>
        <v>-2262.786901816</v>
      </c>
      <c r="E17" s="4" t="n">
        <f aca="false">-E6*Assumptions!E32/100</f>
        <v>-1930.44007561178</v>
      </c>
      <c r="F17" s="4" t="n">
        <f aca="false">-F6*Assumptions!F32/100</f>
        <v>-1862.1321960132</v>
      </c>
      <c r="G17" s="4" t="n">
        <f aca="false">-G6*Assumptions!G32/100</f>
        <v>-1775.23269353259</v>
      </c>
      <c r="H17" s="4" t="n">
        <f aca="false">-H6*Assumptions!H32/100</f>
        <v>-1837.36583780623</v>
      </c>
      <c r="I17" s="4" t="n">
        <f aca="false">-I6*Assumptions!I32/100</f>
        <v>-1892.48681294042</v>
      </c>
      <c r="J17" s="4" t="n">
        <f aca="false">-J6*Assumptions!J32/100</f>
        <v>-1949.26141732863</v>
      </c>
      <c r="K17" s="4" t="n">
        <f aca="false">-K6*Assumptions!K32/100</f>
        <v>-1997.99295276184</v>
      </c>
      <c r="L17" s="4" t="n">
        <f aca="false">-L6*Assumptions!L32/100</f>
        <v>-2047.94277658089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62.7281865000001</v>
      </c>
      <c r="D18" s="4" t="n">
        <f aca="false">(D6-C6)*Assumptions!$B$37/100</f>
        <v>-123.574527405</v>
      </c>
      <c r="E18" s="4" t="n">
        <f aca="false">(E6-D6)*Assumptions!$B$37/100</f>
        <v>-212.13627204525</v>
      </c>
      <c r="F18" s="4" t="n">
        <f aca="false">(F6-E6)*Assumptions!$B$37/100</f>
        <v>-200.468777082761</v>
      </c>
      <c r="G18" s="4" t="n">
        <f aca="false">(G6-F6)*Assumptions!$B$37/100</f>
        <v>-186.21321960132</v>
      </c>
      <c r="H18" s="4" t="n">
        <f aca="false">(H6-G6)*Assumptions!$B$37/100</f>
        <v>-169.454029837201</v>
      </c>
      <c r="I18" s="4" t="n">
        <f aca="false">(I6-H6)*Assumptions!$B$37/100</f>
        <v>-150.329932184146</v>
      </c>
      <c r="J18" s="4" t="n">
        <f aca="false">(J6-I6)*Assumptions!$B$37/100</f>
        <v>-154.83983014967</v>
      </c>
      <c r="K18" s="4" t="n">
        <f aca="false">(K6-J6)*Assumptions!$B$37/100</f>
        <v>-132.904187545133</v>
      </c>
      <c r="L18" s="4" t="n">
        <f aca="false">(L6-K6)*Assumptions!$B$37/100</f>
        <v>-136.226792233762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-167.944264656</v>
      </c>
      <c r="D19" s="0" t="n">
        <f aca="false">D15+D16+D17+D18</f>
        <v>832.45293861226</v>
      </c>
      <c r="E19" s="0" t="n">
        <f aca="false">E15+E16+E17+E18</f>
        <v>1480.71117887585</v>
      </c>
      <c r="F19" s="0" t="n">
        <f aca="false">F15+F16+F17+F18</f>
        <v>1847.87663853176</v>
      </c>
      <c r="G19" s="0" t="n">
        <f aca="false">G15+G16+G17+G18</f>
        <v>2234.55863521585</v>
      </c>
      <c r="H19" s="0" t="n">
        <f aca="false">H15+H16+H17+H18</f>
        <v>2336.04483989857</v>
      </c>
      <c r="I19" s="0" t="n">
        <f aca="false">I15+I16+I17+I18</f>
        <v>2430.33390364369</v>
      </c>
      <c r="J19" s="0" t="n">
        <f aca="false">J15+J16+J17+J18</f>
        <v>2503.243920753</v>
      </c>
      <c r="K19" s="0" t="n">
        <f aca="false">K15+K16+K17+K18</f>
        <v>2591.63165713011</v>
      </c>
      <c r="L19" s="0" t="n">
        <f aca="false">L15+L16+L17+L18</f>
        <v>2656.42244855836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-152.676604232727</v>
      </c>
      <c r="D21" s="0" t="n">
        <f aca="false">D19*D20</f>
        <v>687.977635216744</v>
      </c>
      <c r="E21" s="0" t="n">
        <f aca="false">E19*E20</f>
        <v>1112.48022454985</v>
      </c>
      <c r="F21" s="0" t="n">
        <f aca="false">F19*F20</f>
        <v>1262.12460797197</v>
      </c>
      <c r="G21" s="0" t="n">
        <f aca="false">G19*G20</f>
        <v>1387.48510423148</v>
      </c>
      <c r="H21" s="0" t="n">
        <f aca="false">H19*H20</f>
        <v>1318.63641155939</v>
      </c>
      <c r="I21" s="0" t="n">
        <f aca="false">I19*I20</f>
        <v>1247.14557266608</v>
      </c>
      <c r="J21" s="0" t="n">
        <f aca="false">J19*J20</f>
        <v>1167.78176349642</v>
      </c>
      <c r="K21" s="0" t="n">
        <f aca="false">K19*K20</f>
        <v>1099.10481348761</v>
      </c>
      <c r="L21" s="0" t="n">
        <f aca="false">L19*L20</f>
        <v>1024.16584893164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10154.2253778785</v>
      </c>
    </row>
    <row r="31" customFormat="false" ht="15" hidden="false" customHeight="false" outlineLevel="0" collapsed="false">
      <c r="A31" s="0" t="s">
        <v>127</v>
      </c>
      <c r="B31" s="0" t="n">
        <f aca="false">L19</f>
        <v>2656.42244855836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33869.3862191191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31877.0693827003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31877.0693827003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12289.9901871797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22444.2155650582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22727.7155650582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10.6233671294483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1.45626985651985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10.6233671294483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20842.6992117656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6.16770565448276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-0.5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27879.194</v>
      </c>
      <c r="C6" s="0" t="n">
        <f aca="false">B6*(1+C5/100)</f>
        <v>27739.79803</v>
      </c>
      <c r="D6" s="0" t="n">
        <f aca="false">C6*(1+D5/100)</f>
        <v>29404.1859118</v>
      </c>
      <c r="E6" s="0" t="n">
        <f aca="false">D6*(1+E5/100)</f>
        <v>31462.478925626</v>
      </c>
      <c r="F6" s="0" t="n">
        <f aca="false">E6*(1+F5/100)</f>
        <v>33350.2276611636</v>
      </c>
      <c r="G6" s="0" t="n">
        <f aca="false">F6*(1+G5/100)</f>
        <v>35017.7390442217</v>
      </c>
      <c r="H6" s="0" t="n">
        <f aca="false">G6*(1+H5/100)</f>
        <v>36418.4486059906</v>
      </c>
      <c r="I6" s="0" t="n">
        <f aca="false">H6*(1+I5/100)</f>
        <v>37693.0943072003</v>
      </c>
      <c r="J6" s="0" t="n">
        <f aca="false">I6*(1+J5/100)</f>
        <v>38823.8871364163</v>
      </c>
      <c r="K6" s="0" t="n">
        <f aca="false">J6*(1+K5/100)</f>
        <v>39988.6037505088</v>
      </c>
      <c r="L6" s="0" t="n">
        <f aca="false">K6*(1+L5/100)</f>
        <v>40988.3188442715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12.5</v>
      </c>
      <c r="D7" s="4" t="n">
        <f aca="false">Assumptions!D42</f>
        <v>15</v>
      </c>
      <c r="E7" s="4" t="n">
        <f aca="false">Assumptions!E42</f>
        <v>16.5</v>
      </c>
      <c r="F7" s="4" t="n">
        <f aca="false">Assumptions!F42</f>
        <v>17</v>
      </c>
      <c r="G7" s="4" t="n">
        <f aca="false">Assumptions!G42</f>
        <v>17.5</v>
      </c>
      <c r="H7" s="4" t="n">
        <f aca="false">Assumptions!H42</f>
        <v>17.5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3467.47475375</v>
      </c>
      <c r="D8" s="0" t="n">
        <f aca="false">D6*D7/100</f>
        <v>4410.62788677</v>
      </c>
      <c r="E8" s="0" t="n">
        <f aca="false">E6*E7/100</f>
        <v>5191.30902272829</v>
      </c>
      <c r="F8" s="0" t="n">
        <f aca="false">F6*F7/100</f>
        <v>5669.53870239781</v>
      </c>
      <c r="G8" s="0" t="n">
        <f aca="false">G6*G7/100</f>
        <v>6128.10433273881</v>
      </c>
      <c r="H8" s="0" t="n">
        <f aca="false">H6*H7/100</f>
        <v>6373.22850604836</v>
      </c>
      <c r="I8" s="0" t="n">
        <f aca="false">I6*I7/100</f>
        <v>6596.29150376005</v>
      </c>
      <c r="J8" s="0" t="n">
        <f aca="false">J6*J7/100</f>
        <v>6794.18024887285</v>
      </c>
      <c r="K8" s="0" t="n">
        <f aca="false">K6*K7/100</f>
        <v>6998.00565633904</v>
      </c>
      <c r="L8" s="0" t="n">
        <f aca="false">L6*L7/100</f>
        <v>7172.95579774751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3467.47475375</v>
      </c>
      <c r="D11" s="0" t="n">
        <f aca="false">D8+D10+D24</f>
        <v>4410.62788677</v>
      </c>
      <c r="E11" s="0" t="n">
        <f aca="false">E8+E10+E24</f>
        <v>5191.30902272829</v>
      </c>
      <c r="F11" s="0" t="n">
        <f aca="false">F8+F10+F24</f>
        <v>5669.53870239781</v>
      </c>
      <c r="G11" s="0" t="n">
        <f aca="false">G8+G10+G24</f>
        <v>6128.10433273881</v>
      </c>
      <c r="H11" s="0" t="n">
        <f aca="false">H8+H10+H24</f>
        <v>6373.22850604836</v>
      </c>
      <c r="I11" s="0" t="n">
        <f aca="false">I8+I10+I24</f>
        <v>6596.29150376005</v>
      </c>
      <c r="J11" s="0" t="n">
        <f aca="false">J8+J10+J24</f>
        <v>6794.18024887285</v>
      </c>
      <c r="K11" s="0" t="n">
        <f aca="false">K8+K10+K24</f>
        <v>6998.00565633904</v>
      </c>
      <c r="L11" s="0" t="n">
        <f aca="false">L8+L10+L24</f>
        <v>7172.95579774751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-1331.51030544</v>
      </c>
      <c r="D12" s="4" t="n">
        <f aca="false">-D6*Assumptions!D45/100</f>
        <v>-1440.8051096782</v>
      </c>
      <c r="E12" s="4" t="n">
        <f aca="false">-E6*Assumptions!E45/100</f>
        <v>-1573.1239462813</v>
      </c>
      <c r="F12" s="4" t="n">
        <f aca="false">-F6*Assumptions!F45/100</f>
        <v>-1700.86161071934</v>
      </c>
      <c r="G12" s="4" t="n">
        <f aca="false">-G6*Assumptions!G45/100</f>
        <v>-1820.92243029953</v>
      </c>
      <c r="H12" s="4" t="n">
        <f aca="false">-H6*Assumptions!H45/100</f>
        <v>-1893.75932751151</v>
      </c>
      <c r="I12" s="4" t="n">
        <f aca="false">-I6*Assumptions!I45/100</f>
        <v>-1960.04090397441</v>
      </c>
      <c r="J12" s="4" t="n">
        <f aca="false">-J6*Assumptions!J45/100</f>
        <v>-2018.84213109365</v>
      </c>
      <c r="K12" s="4" t="n">
        <f aca="false">-K6*Assumptions!K45/100</f>
        <v>-2079.40739502646</v>
      </c>
      <c r="L12" s="4" t="n">
        <f aca="false">-L6*Assumptions!L45/100</f>
        <v>-2131.39257990212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2135.96444831</v>
      </c>
      <c r="D13" s="0" t="n">
        <f aca="false">D11+D12</f>
        <v>2969.8227770918</v>
      </c>
      <c r="E13" s="0" t="n">
        <f aca="false">E11+E12</f>
        <v>3618.18507644699</v>
      </c>
      <c r="F13" s="0" t="n">
        <f aca="false">F11+F12</f>
        <v>3968.67709167846</v>
      </c>
      <c r="G13" s="0" t="n">
        <f aca="false">G11+G12</f>
        <v>4307.18190243927</v>
      </c>
      <c r="H13" s="0" t="n">
        <f aca="false">H11+H12</f>
        <v>4479.46917853685</v>
      </c>
      <c r="I13" s="0" t="n">
        <f aca="false">I11+I12</f>
        <v>4636.25059978563</v>
      </c>
      <c r="J13" s="0" t="n">
        <f aca="false">J11+J12</f>
        <v>4775.3381177792</v>
      </c>
      <c r="K13" s="0" t="n">
        <f aca="false">K11+K12</f>
        <v>4918.59826131258</v>
      </c>
      <c r="L13" s="0" t="n">
        <f aca="false">L11+L12</f>
        <v>5041.56321784539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1708.771558648</v>
      </c>
      <c r="D15" s="0" t="n">
        <f aca="false">D13-MAX(0,D13)*D14/100</f>
        <v>2375.85822167344</v>
      </c>
      <c r="E15" s="0" t="n">
        <f aca="false">E13-MAX(0,E13)*E14/100</f>
        <v>2894.54806115759</v>
      </c>
      <c r="F15" s="0" t="n">
        <f aca="false">F13-MAX(0,F13)*F14/100</f>
        <v>3174.94167334277</v>
      </c>
      <c r="G15" s="0" t="n">
        <f aca="false">G13-MAX(0,G13)*G14/100</f>
        <v>3445.74552195142</v>
      </c>
      <c r="H15" s="0" t="n">
        <f aca="false">H13-MAX(0,H13)*H14/100</f>
        <v>3583.57534282948</v>
      </c>
      <c r="I15" s="0" t="n">
        <f aca="false">I13-MAX(0,I13)*I14/100</f>
        <v>3709.00047982851</v>
      </c>
      <c r="J15" s="0" t="n">
        <f aca="false">J13-MAX(0,J13)*J14/100</f>
        <v>3820.27049422336</v>
      </c>
      <c r="K15" s="0" t="n">
        <f aca="false">K13-MAX(0,K13)*K14/100</f>
        <v>3934.87860905006</v>
      </c>
      <c r="L15" s="0" t="n">
        <f aca="false">L13-MAX(0,L13)*L14/100</f>
        <v>4033.25057427631</v>
      </c>
    </row>
    <row r="16" customFormat="false" ht="15" hidden="false" customHeight="false" outlineLevel="0" collapsed="false">
      <c r="A16" s="0" t="s">
        <v>118</v>
      </c>
      <c r="C16" s="0" t="n">
        <f aca="false">-C12</f>
        <v>1331.51030544</v>
      </c>
      <c r="D16" s="0" t="n">
        <f aca="false">-D12</f>
        <v>1440.8051096782</v>
      </c>
      <c r="E16" s="0" t="n">
        <f aca="false">-E12</f>
        <v>1573.1239462813</v>
      </c>
      <c r="F16" s="0" t="n">
        <f aca="false">-F12</f>
        <v>1700.86161071934</v>
      </c>
      <c r="G16" s="0" t="n">
        <f aca="false">-G12</f>
        <v>1820.92243029953</v>
      </c>
      <c r="H16" s="0" t="n">
        <f aca="false">-H12</f>
        <v>1893.75932751151</v>
      </c>
      <c r="I16" s="0" t="n">
        <f aca="false">-I12</f>
        <v>1960.04090397441</v>
      </c>
      <c r="J16" s="0" t="n">
        <f aca="false">-J12</f>
        <v>2018.84213109365</v>
      </c>
      <c r="K16" s="0" t="n">
        <f aca="false">-K12</f>
        <v>2079.40739502646</v>
      </c>
      <c r="L16" s="0" t="n">
        <f aca="false">-L12</f>
        <v>2131.39257990212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-3051.3777833</v>
      </c>
      <c r="D17" s="4" t="n">
        <f aca="false">-D6*Assumptions!D46/100</f>
        <v>-2646.376732062</v>
      </c>
      <c r="E17" s="4" t="n">
        <f aca="false">-E6*Assumptions!E46/100</f>
        <v>-2516.99831405008</v>
      </c>
      <c r="F17" s="4" t="n">
        <f aca="false">-F6*Assumptions!F46/100</f>
        <v>-2334.51593628145</v>
      </c>
      <c r="G17" s="4" t="n">
        <f aca="false">-G6*Assumptions!G46/100</f>
        <v>-2101.0643426533</v>
      </c>
      <c r="H17" s="4" t="n">
        <f aca="false">-H6*Assumptions!H46/100</f>
        <v>-2003.01467332948</v>
      </c>
      <c r="I17" s="4" t="n">
        <f aca="false">-I6*Assumptions!I46/100</f>
        <v>-2073.12018689602</v>
      </c>
      <c r="J17" s="4" t="n">
        <f aca="false">-J6*Assumptions!J46/100</f>
        <v>-2135.3137925029</v>
      </c>
      <c r="K17" s="4" t="n">
        <f aca="false">-K6*Assumptions!K46/100</f>
        <v>-2199.37320627798</v>
      </c>
      <c r="L17" s="4" t="n">
        <f aca="false">-L6*Assumptions!L46/100</f>
        <v>-2254.35753643493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20.9093955000002</v>
      </c>
      <c r="D18" s="4" t="n">
        <f aca="false">(D6-C6)*Assumptions!$B$51/100</f>
        <v>-249.65818227</v>
      </c>
      <c r="E18" s="4" t="n">
        <f aca="false">(E6-D6)*Assumptions!$B$51/100</f>
        <v>-308.7439520739</v>
      </c>
      <c r="F18" s="4" t="n">
        <f aca="false">(F6-E6)*Assumptions!$B$51/100</f>
        <v>-283.162310330634</v>
      </c>
      <c r="G18" s="4" t="n">
        <f aca="false">(G6-F6)*Assumptions!$B$51/100</f>
        <v>-250.126707458727</v>
      </c>
      <c r="H18" s="4" t="n">
        <f aca="false">(H6-G6)*Assumptions!$B$51/100</f>
        <v>-210.10643426533</v>
      </c>
      <c r="I18" s="4" t="n">
        <f aca="false">(I6-H6)*Assumptions!$B$51/100</f>
        <v>-191.19685518145</v>
      </c>
      <c r="J18" s="4" t="n">
        <f aca="false">(J6-I6)*Assumptions!$B$51/100</f>
        <v>-169.618924382401</v>
      </c>
      <c r="K18" s="4" t="n">
        <f aca="false">(K6-J6)*Assumptions!$B$51/100</f>
        <v>-174.707492113873</v>
      </c>
      <c r="L18" s="4" t="n">
        <f aca="false">(L6-K6)*Assumptions!$B$51/100</f>
        <v>-149.957264064407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9.81347628799986</v>
      </c>
      <c r="D19" s="0" t="n">
        <f aca="false">D15+D16+D17+D18</f>
        <v>920.628417019639</v>
      </c>
      <c r="E19" s="0" t="n">
        <f aca="false">E15+E16+E17+E18</f>
        <v>1641.92974131491</v>
      </c>
      <c r="F19" s="0" t="n">
        <f aca="false">F15+F16+F17+F18</f>
        <v>2258.12503745003</v>
      </c>
      <c r="G19" s="0" t="n">
        <f aca="false">G15+G16+G17+G18</f>
        <v>2915.47690213892</v>
      </c>
      <c r="H19" s="0" t="n">
        <f aca="false">H15+H16+H17+H18</f>
        <v>3264.21356274617</v>
      </c>
      <c r="I19" s="0" t="n">
        <f aca="false">I15+I16+I17+I18</f>
        <v>3404.72434172546</v>
      </c>
      <c r="J19" s="0" t="n">
        <f aca="false">J15+J16+J17+J18</f>
        <v>3534.17990843171</v>
      </c>
      <c r="K19" s="0" t="n">
        <f aca="false">K15+K16+K17+K18</f>
        <v>3640.20530568466</v>
      </c>
      <c r="L19" s="0" t="n">
        <f aca="false">L15+L16+L17+L18</f>
        <v>3760.32835367909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8.92134207999987</v>
      </c>
      <c r="D21" s="0" t="n">
        <f aca="false">D19*D20</f>
        <v>760.84993142119</v>
      </c>
      <c r="E21" s="0" t="n">
        <f aca="false">E19*E20</f>
        <v>1233.60611669039</v>
      </c>
      <c r="F21" s="0" t="n">
        <f aca="false">F19*F20</f>
        <v>1542.32978447512</v>
      </c>
      <c r="G21" s="0" t="n">
        <f aca="false">G19*G20</f>
        <v>1810.2817754245</v>
      </c>
      <c r="H21" s="0" t="n">
        <f aca="false">H19*H20</f>
        <v>1842.56345829817</v>
      </c>
      <c r="I21" s="0" t="n">
        <f aca="false">I19*I20</f>
        <v>1747.16193629412</v>
      </c>
      <c r="J21" s="0" t="n">
        <f aca="false">J19*J20</f>
        <v>1648.72101027235</v>
      </c>
      <c r="K21" s="0" t="n">
        <f aca="false">K19*K20</f>
        <v>1543.80240052775</v>
      </c>
      <c r="L21" s="0" t="n">
        <f aca="false">L19*L20</f>
        <v>1449.76936281257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13588.0071182962</v>
      </c>
    </row>
    <row r="31" customFormat="false" ht="15" hidden="false" customHeight="false" outlineLevel="0" collapsed="false">
      <c r="A31" s="0" t="s">
        <v>127</v>
      </c>
      <c r="B31" s="0" t="n">
        <f aca="false">L19</f>
        <v>3760.32835367909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51391.1541669476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45123.9402441491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45123.9402441491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17397.2323537509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30985.239472047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31268.739472047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14.6156043767691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2.37933049173853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14.6156043767691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30834.6925001686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8.52618556018562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6.82551568634111</v>
      </c>
      <c r="C4" s="0" t="n">
        <f aca="false">B4/Assumptions!$B$2-1</f>
        <v>0.57815391591702</v>
      </c>
      <c r="D4" s="4" t="n">
        <f aca="false">Assumptions!$B$24</f>
        <v>0.25</v>
      </c>
      <c r="E4" s="4" t="n">
        <f aca="false">DCF_Bear!$B$43</f>
        <v>6.82551568634111</v>
      </c>
      <c r="F4" s="4" t="n">
        <f aca="false">DCF_Bear!$B$47</f>
        <v>3.95912765018446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10.6233671294483</v>
      </c>
      <c r="C5" s="0" t="n">
        <f aca="false">B5/Assumptions!$B$2-1</f>
        <v>1.45626985651985</v>
      </c>
      <c r="D5" s="4" t="n">
        <f aca="false">Assumptions!$B$38</f>
        <v>0.5</v>
      </c>
      <c r="E5" s="4" t="n">
        <f aca="false">DCF_Base!$B$43</f>
        <v>10.6233671294483</v>
      </c>
      <c r="F5" s="4" t="n">
        <f aca="false">DCF_Base!$B$47</f>
        <v>6.16770565448276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14.6156043767691</v>
      </c>
      <c r="C6" s="0" t="n">
        <f aca="false">B6/Assumptions!$B$2-1</f>
        <v>2.37933049173853</v>
      </c>
      <c r="D6" s="4" t="n">
        <f aca="false">Assumptions!$B$52</f>
        <v>0.25</v>
      </c>
      <c r="E6" s="4" t="n">
        <f aca="false">DCF_Bull!$B$43</f>
        <v>14.6156043767691</v>
      </c>
      <c r="F6" s="4" t="n">
        <f aca="false">DCF_Bull!$B$47</f>
        <v>8.52618556018562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10.6719635805017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10.6719635805017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0.594732500033826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6.2051811298339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11.449013873928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10.6233671294483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9.57798972494207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8.46085012826913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6.16770565448276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12.3543198502953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12.3543198502953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12.3543198502953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12.3543198502953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12.3543198502953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11.449013873928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11.449013873928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11.449013873928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11.449013873928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11.449013873928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10.2510335328828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10.5952074456745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10.6233671294483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10.6233671294483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10.6233671294483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9.03866016019035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9.29413205928327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9.57798972494207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9.86951921940246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9.86951921940246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8.053799286441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8.24763302064488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8.46085012826913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8.69651114195911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8.95835671272574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2026-10-10T22:56:44Z</dcterms:created>
  <dc:creator>openpyxl</dc:creator>
  <dc:description/>
  <dc:language>en-NZ</dc:language>
  <cp:lastModifiedBy/>
  <dcterms:modified xsi:type="dcterms:W3CDTF">2026-10-10T22:56:44Z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