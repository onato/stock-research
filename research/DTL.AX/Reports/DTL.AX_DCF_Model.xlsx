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<sst xmlns="http://schemas.openxmlformats.org/spreadsheetml/2006/main" count="392" uniqueCount="192">
  <si>
    <t xml:space="preserve">Ticker</t>
  </si>
  <si>
    <t xml:space="preserve">DTL.AX</t>
  </si>
  <si>
    <t xml:space="preserve">Company</t>
  </si>
  <si>
    <t xml:space="preserve">Data#3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</si>
  <si>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</si>
  <si>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</si>
  <si>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</si>
  <si>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</si>
  <si>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2026-09-22T06:10:05Z (16:10 AEST, regular ASX close; Yahoo regularMarketPrice 11.37, 52w 6.42-11.81)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</si>
  <si>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</si>
  <si>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</si>
  <si>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</si>
  <si>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</si>
  <si>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</si>
  <si>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</si>
  <si>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</si>
  <si>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</si>
  <si>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</si>
  <si>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</si>
  <si>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</si>
  <si>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</si>
  <si>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2026-09-22T10:11:58Z</t>
  </si>
  <si>
    <t xml:space="preserve">Drivers file</t>
  </si>
  <si>
    <t xml:space="preserve">DTL.AX_Drivers.json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</si>
  <si>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</si>
  <si>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</si>
  <si>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</si>
  <si>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owner cash flow of a capital-light, debt-free IT reseller/integrator on its own continuous gross-sales basis, with the customer/vendor float treated as float (Dec-trough cash plus capitalised float interest) rather than as a June-30 cash pile, leases charged once inside EBIT, SBC (immaterial) expensed with a flat share count, and vendor-incentive risk carried in the bear flows and weights rather than in a scenario-specific WACC. The finding is that at ~32x FY26 EPS the market is pricing DTL for perpetual double-digit growth that even the corrected eleven-year record (13% sales, 15% NPAT) does not make the base case for a reseller with 2.3% EBITDA margins.
key_risks_to_valuation: Microsoft (and other vendor) incentive-program changes: a 20bp move in EBITDA/gross sales is ~10% of EBIT on a 2.3% margin business; Revenue basis: all sales multiples are on Total Gross Sales (3.7x the statutory figure); mixing bases in any sanity check will look either absurdly cheap or absurdly expensive; Float accounting: June-30 cash of $326m is largely vendor money -- a model that adds it as net cash overstates value by ~$1.30/share; the Dec-trough anchor and 30m bridge are the deliberate middle; The base case assumes growth fades to 3% by FY36; the eleven-year record is 13% -- if Data#3 keeps taking share at the ten-year rate the bull case is the base; Interest-rate sensitivity of the ~$10-11m float income (stripped from flows, partly captured in the bridge) -- a 150bp RBA cut removes ~$3.5m pre-tax; Public-sector concentration and election-cycle timing (FY25 Queensland/federal delays) can shift a year's growth between periods</t>
  </si>
  <si>
    <t xml:space="preserve">Data sources</t>
  </si>
  <si>
    <t xml:space="preserve">price: Yahoo Finance chart API, regularMarketPrice 11.37 AUD at 2026-09-22T06:10:05Z (via make dcf-context)
financials: DTL.AX_Metrics.csv / DTL.AX.duckdb core_metrics + kpis (FY2016-FY2026 annual, H1 FY2016-H1 FY2026 interim, re-adjudicated 2026-09-22: attributable NPAT, H1 NPAT not NPBT, SBC as expense, AUD millions throughout); DTL.AX_Annual_FY2026.txt (filed 2026-09-17) for diluted shares, ROU depreciation, lease payments, finance income, SBC, capex, cash, lease liabilities; H1 FY26 (31-Dec-25) balance sheet for the cash anchor
qualitative: DTL.AX_Analysis.json (refreshed 2026-09-22): business model, Microsoft incentive risk, DTA five-year sole-panel Microsoft VSA (Mar-2026), FY27 qualitative guidance (no formal numbers; ICR flat at 77.5%, staff costs +10%, ~$2m investment drag, interest income ~11.1m, Software GP back to low double digits, Services 'much better'), Services segment weakness (Project Services -15.3%, People Solutions -8.7%)</t>
  </si>
  <si>
    <t xml:space="preserve">Scenario narrative: bear</t>
  </si>
  <si>
    <t xml:space="preserve">The vendor that sets ~68% of gross sales' economics keeps re-cutting incentives faster than Data#3 can replace them with fees; growth stalls at 1-3% through an IT-spend lull and election cycles; thin 9% gross margin (already down from 9.6%) leaves nowhere to absorb the staff-cost step-up, and EBITDA/gross sales falls below the eleven-year floor to ~1.85%. The business remains profitable and debt-free -- the downside is a de-rating of a 32x P/E reseller, not solvency.</t>
  </si>
  <si>
    <t xml:space="preserve">Scenario narrative: base</t>
  </si>
  <si>
    <t xml:space="preserve">Data#3 keeps compounding as Australia's top-tier Microsoft/Cisco/HP partner: gross sales grow 8% fading to 3%, adj EBITDA margin dips in FY27 on the Microsoft CSP reset and the AI/SOC investment step-up, then recovers to ~2.28% of gross sales -- the lower-middle of its eleven-year 2.2-2.6% band. Near-100% conversion of NOPAT to owner FCF (capex ~= D&amp;A) and a ~90% payout make this a dividend compounder; the value is a stream of ~$47m growing at mid-single digits, plus the Dec-trough cash and the capitalised float interest. The five-year DTA sole-panel Microsoft VSA is why the FY28-FY31 fade is gentler than in the first build.</t>
  </si>
  <si>
    <t xml:space="preserve">Scenario narrative: bull</t>
  </si>
  <si>
    <t xml:space="preserve">AI, sovereign-security and cloud demand plus a public-sector rebound sustain the 11.6% five-year gross-sales CAGR for three more years, Services mix and AI-driven internal efficiency push ICR from 77.5% toward 73% and adj EBITDA to ~2.5% of gross sales, and the growing annuity book adds float. Requires both above-market growth AND margin expansion while the largest vendor is cutting channel incentives.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</si>
  <si>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</si>
  <si>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</si>
  <si>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</si>
  <si>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</si>
  <si>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</si>
  <si>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</si>
  <si>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</si>
  <si>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</si>
  <si>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</si>
  <si>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</si>
  <si>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Prior build earlier on 2026-09-22 from the FY26 results release (FY26 AR not yet parsed; 7-year annual history; H1 rows carried NPBT as net income).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</si>
  <si>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</si>
  <si>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</si>
  <si>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</si>
  <si>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</si>
  <si>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</si>
  <si>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</si>
  <si>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</si>
  <si>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</si>
  <si>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Anchor refresh (filed FY26 revenue, 155.5m diluted shares, FY26 last_fcf)</t>
  </si>
  <si>
    <t xml:space="preserve">Lease charge 0.17% -&gt; 0.15% and capex 0.07% -&gt; 0.10% (net -0.01pp of sales in FCF, all scenarios)</t>
  </si>
  <si>
    <t xml:space="preserve">Base growth FY28-FY31 +0.5pp/yr on the DTA VSA and the eleven-year record</t>
  </si>
  <si>
    <t xml:space="preserve">Price move</t>
  </si>
  <si>
    <t xml:space="preserve">Price unchanged at 11.37 (same session)</t>
  </si>
  <si>
    <t xml:space="preserve">New weighted IV</t>
  </si>
  <si>
    <t xml:space="preserve">ties to probability_weighted.weighted_iv; staged builds: prior 6.59 -&gt; anchors 6.58 -&gt; lease/capex 6.52 -&gt; growth 6.56 (bear 4.48-&gt;4.43, base 6.58-&gt;6.60, bull 8.70-&gt;8.62)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</si>
  <si>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</si>
  <si>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</si>
  <si>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</si>
  <si>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</si>
  <si>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</si>
  <si>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</si>
  <si>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</si>
  <si>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</si>
  <si>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</si>
  <si>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</si>
  <si>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</si>
  <si>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</si>
  <si>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</si>
  <si>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</si>
  <si>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</si>
  <si>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</si>
  <si>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</si>
  <si>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</si>
  <si>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</si>
  <si>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</si>
  <si>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</si>
  <si>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</si>
  <si>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</si>
  <si>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</si>
  <si>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</si>
  <si>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</si>
  <si>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</si>
  <si>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Customers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</si>
  <si>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</si>
  <si>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</si>
  <si>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</si>
  <si>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</si>
  <si>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</si>
  <si>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</si>
  <si>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</si>
  <si>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</si>
  <si>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</si>
  <si>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</si>
  <si>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</si>
  <si>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</si>
  <si>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</si>
  <si>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</si>
  <si>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</si>
  <si>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</si>
  <si>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</si>
  <si>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</si>
  <si>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</si>
  <si>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</si>
  <si>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</si>
  <si>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</si>
  <si>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</si>
  <si>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</si>
  <si>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</si>
  <si>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</si>
  <si>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</si>
  <si>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</si>
  <si>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</si>
  <si>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</si>
  <si>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</si>
  <si>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</si>
  <si>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</si>
  <si>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</si>
  <si>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</si>
  <si>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</si>
  <si>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</si>
  <si>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</si>
  <si>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</si>
  <si>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</si>
  <si>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</si>
  <si>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</si>
  <si>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</si>
  <si>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</si>
  <si>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</si>
  <si>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</si>
  <si>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</si>
  <si>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DTL.AX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</si>
  <si>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</si>
  <si>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</si>
  <si>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</si>
  <si>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</si>
  <si>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</si>
  <si>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</si>
  <si>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</si>
  <si>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</si>
  <si>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</si>
  <si>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</si>
  <si>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</si>
  <si>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</si>
  <si>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</si>
  <si>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</si>
  <si>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</si>
  <si>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</si>
  <si>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</si>
  <si>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</si>
  <si>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</si>
  <si>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</si>
  <si>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</si>
  <si>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</si>
  <si>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</si>
  <si>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</si>
  <si>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</si>
  <si>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</si>
  <si>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</si>
  <si>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</si>
  <si>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</si>
  <si>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</si>
  <si>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DTL.AX owner-FCF component DCF: base case (millions, AUD)</t>
  </si>
  <si>
    <t xml:space="preserve">DTL.AX owner-FCF component DCF: bull case (millions, AUD)</t>
  </si>
  <si>
    <t xml:space="preserve">DTL.AX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</si>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</sst>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11.37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5</v>
      </c>
    </row>
    <row r="3" customFormat="false" ht="15" hidden="false" customHeight="false" outlineLevel="0" collapsed="false">
      <c r="A3" s="0" t="s">
        <v>40</v>
      </c>
      <c r="B3" s="0" t="n">
        <v>11.37</v>
      </c>
    </row>
    <row r="4" customFormat="false" ht="15" hidden="false" customHeight="false" outlineLevel="0" collapsed="false">
      <c r="A4" s="0" t="s">
        <v>41</v>
      </c>
      <c r="B4" s="0" t="n">
        <v>4.48</v>
      </c>
    </row>
    <row r="5" customFormat="false" ht="15" hidden="false" customHeight="false" outlineLevel="0" collapsed="false">
      <c r="A5" s="0" t="s">
        <v>42</v>
      </c>
      <c r="B5" s="0" t="n">
        <v>6.58</v>
      </c>
    </row>
    <row r="6" customFormat="false" ht="15" hidden="false" customHeight="false" outlineLevel="0" collapsed="false">
      <c r="A6" s="0" t="s">
        <v>43</v>
      </c>
      <c r="B6" s="0" t="n">
        <v>8.7</v>
      </c>
    </row>
    <row r="7" customFormat="false" ht="15" hidden="false" customHeight="false" outlineLevel="0" collapsed="false">
      <c r="A7" s="0" t="s">
        <v>44</v>
      </c>
      <c r="B7" s="0" t="n">
        <v>6.59</v>
      </c>
    </row>
    <row r="8" customFormat="false" ht="15" hidden="false" customHeight="false" outlineLevel="0" collapsed="false">
      <c r="A8" s="0" t="s">
        <v>45</v>
      </c>
      <c r="B8" s="0" t="s">
        <v>46</v>
      </c>
    </row>
    <row r="9" customFormat="false" ht="15" hidden="false" customHeight="false" outlineLevel="0" collapsed="false">
      <c r="A9" s="0" t="s">
        <v>47</v>
      </c>
      <c r="B9" s="0" t="s">
        <v>5</v>
      </c>
    </row>
    <row r="10" customFormat="false" ht="15" hidden="false" customHeight="false" outlineLevel="0" collapsed="false">
      <c r="A10" s="0" t="s">
        <v>48</v>
      </c>
      <c r="B10" s="0" t="n">
        <v>11.37</v>
      </c>
    </row>
    <row r="11" customFormat="false" ht="15" hidden="false" customHeight="false" outlineLevel="0" collapsed="false">
      <c r="A11" s="0" t="s">
        <v>49</v>
      </c>
      <c r="B11" s="0" t="n">
        <v>4.43</v>
      </c>
    </row>
    <row r="12" customFormat="false" ht="15" hidden="false" customHeight="false" outlineLevel="0" collapsed="false">
      <c r="A12" s="0" t="s">
        <v>50</v>
      </c>
      <c r="B12" s="0" t="n">
        <v>6.6</v>
      </c>
    </row>
    <row r="13" customFormat="false" ht="15" hidden="false" customHeight="false" outlineLevel="0" collapsed="false">
      <c r="A13" s="0" t="s">
        <v>51</v>
      </c>
      <c r="B13" s="0" t="n">
        <v>8.62</v>
      </c>
    </row>
    <row r="14" customFormat="false" ht="15" hidden="false" customHeight="false" outlineLevel="0" collapsed="false">
      <c r="A14" s="0" t="s">
        <v>52</v>
      </c>
      <c r="B14" s="0" t="n">
        <v>6.56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0" t="s">
        <v>54</v>
      </c>
      <c r="B17" s="0" t="n">
        <v>6.59</v>
      </c>
    </row>
    <row r="18" customFormat="false" ht="15" hidden="false" customHeight="false" outlineLevel="0" collapsed="false">
      <c r="A18" s="0" t="s">
        <v>55</v>
      </c>
      <c r="B18" s="0" t="n">
        <v>-0.01</v>
      </c>
    </row>
    <row r="19" customFormat="false" ht="15" hidden="false" customHeight="false" outlineLevel="0" collapsed="false">
      <c r="A19" s="0" t="s">
        <v>56</v>
      </c>
      <c r="B19" s="0" t="n">
        <v>-0.06</v>
      </c>
    </row>
    <row r="20" customFormat="false" ht="15" hidden="false" customHeight="false" outlineLevel="0" collapsed="false">
      <c r="A20" s="0" t="s">
        <v>57</v>
      </c>
      <c r="B20" s="0" t="n">
        <v>0.04</v>
      </c>
    </row>
    <row r="21" customFormat="false" ht="15" hidden="false" customHeight="false" outlineLevel="0" collapsed="false">
      <c r="A21" s="0" t="s">
        <v>58</v>
      </c>
      <c r="B21" s="0" t="n">
        <v>0</v>
      </c>
      <c r="C21" s="0" t="s">
        <v>59</v>
      </c>
    </row>
    <row r="22" customFormat="false" ht="15" hidden="false" customHeight="false" outlineLevel="0" collapsed="false">
      <c r="A22" s="0" t="s">
        <v>60</v>
      </c>
      <c r="B22" s="0" t="n">
        <v>6.56</v>
      </c>
      <c r="C22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16</v>
      </c>
      <c r="AB1" s="2" t="s">
        <v>88</v>
      </c>
      <c r="AC1" s="2" t="s">
        <v>89</v>
      </c>
    </row>
    <row r="2" customFormat="false" ht="15" hidden="false" customHeight="false" outlineLevel="0" collapsed="false">
      <c r="A2" s="0" t="s">
        <v>90</v>
      </c>
      <c r="B2" s="0" t="n">
        <v>983.223</v>
      </c>
      <c r="C2" s="0" t="n">
        <v>836.649</v>
      </c>
      <c r="D2" s="0" t="n">
        <v>146.574</v>
      </c>
      <c r="E2" s="0" t="n">
        <v>14.9</v>
      </c>
      <c r="F2" s="0" t="n">
        <v>18.869</v>
      </c>
      <c r="G2" s="0" t="n">
        <v>1.9</v>
      </c>
      <c r="H2" s="0" t="n">
        <v>22.407</v>
      </c>
      <c r="I2" s="0" t="n">
        <v>13.83</v>
      </c>
      <c r="J2" s="0" t="n">
        <v>1.4</v>
      </c>
      <c r="K2" s="0" t="n">
        <v>0.0898</v>
      </c>
      <c r="L2" s="0" t="n">
        <v>6.818</v>
      </c>
      <c r="M2" s="0" t="n">
        <v>3.334</v>
      </c>
      <c r="N2" s="0" t="n">
        <v>3.484</v>
      </c>
      <c r="O2" s="0" t="n">
        <v>40.626</v>
      </c>
      <c r="P2" s="0" t="n">
        <v>317.84</v>
      </c>
      <c r="Q2" s="0" t="n">
        <v>277.214</v>
      </c>
      <c r="R2" s="0" t="n">
        <v>0.487</v>
      </c>
      <c r="S2" s="0" t="n">
        <v>102.279</v>
      </c>
      <c r="T2" s="0" t="n">
        <v>153974950</v>
      </c>
      <c r="U2" s="0" t="n">
        <v>0</v>
      </c>
      <c r="V2" s="0" t="n">
        <v>0.08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91</v>
      </c>
      <c r="B3" s="0" t="n">
        <v>1098.221</v>
      </c>
      <c r="C3" s="0" t="n">
        <v>939.342</v>
      </c>
      <c r="D3" s="0" t="n">
        <v>158.879</v>
      </c>
      <c r="E3" s="0" t="n">
        <v>14.5</v>
      </c>
      <c r="F3" s="0" t="n">
        <v>21.665</v>
      </c>
      <c r="G3" s="0" t="n">
        <v>2</v>
      </c>
      <c r="H3" s="0" t="n">
        <v>24.73</v>
      </c>
      <c r="I3" s="0" t="n">
        <v>15.375</v>
      </c>
      <c r="J3" s="0" t="n">
        <v>1.4</v>
      </c>
      <c r="K3" s="0" t="n">
        <v>0.0999</v>
      </c>
      <c r="L3" s="0" t="n">
        <v>51.251</v>
      </c>
      <c r="M3" s="0" t="n">
        <v>3.953</v>
      </c>
      <c r="N3" s="0" t="n">
        <v>47.298</v>
      </c>
      <c r="O3" s="0" t="n">
        <v>42.755</v>
      </c>
      <c r="P3" s="0" t="n">
        <v>340.071</v>
      </c>
      <c r="Q3" s="0" t="n">
        <v>297.316</v>
      </c>
      <c r="R3" s="0" t="n">
        <v>0.303</v>
      </c>
      <c r="S3" s="0" t="n">
        <v>135.695</v>
      </c>
      <c r="T3" s="0" t="n">
        <v>153974950</v>
      </c>
      <c r="U3" s="0" t="n">
        <v>0</v>
      </c>
      <c r="V3" s="0" t="n">
        <v>0.089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92</v>
      </c>
      <c r="B4" s="0" t="n">
        <v>1181.411</v>
      </c>
      <c r="C4" s="0" t="n">
        <v>1021.299</v>
      </c>
      <c r="D4" s="0" t="n">
        <v>160.112</v>
      </c>
      <c r="E4" s="0" t="n">
        <v>13.6</v>
      </c>
      <c r="F4" s="0" t="n">
        <v>19.498</v>
      </c>
      <c r="G4" s="0" t="n">
        <v>1.7</v>
      </c>
      <c r="H4" s="0" t="n">
        <v>22.437</v>
      </c>
      <c r="I4" s="0" t="n">
        <v>14.078</v>
      </c>
      <c r="J4" s="0" t="n">
        <v>1.2</v>
      </c>
      <c r="K4" s="0" t="n">
        <v>0.0914</v>
      </c>
      <c r="L4" s="0" t="n">
        <v>8.153</v>
      </c>
      <c r="M4" s="0" t="n">
        <v>3.394</v>
      </c>
      <c r="N4" s="0" t="n">
        <v>4.759</v>
      </c>
      <c r="O4" s="0" t="n">
        <v>45.04</v>
      </c>
      <c r="P4" s="0" t="n">
        <v>373.763</v>
      </c>
      <c r="Q4" s="0" t="n">
        <v>328.723</v>
      </c>
      <c r="R4" s="0" t="n">
        <v>0.21</v>
      </c>
      <c r="S4" s="0" t="n">
        <v>128.348</v>
      </c>
      <c r="T4" s="0" t="n">
        <v>154160530</v>
      </c>
      <c r="U4" s="0" t="n">
        <v>0</v>
      </c>
      <c r="V4" s="0" t="n">
        <v>0.082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93</v>
      </c>
      <c r="B5" s="0" t="n">
        <v>1415.569</v>
      </c>
      <c r="C5" s="0" t="n">
        <v>1241.662</v>
      </c>
      <c r="D5" s="0" t="n">
        <v>173.907</v>
      </c>
      <c r="E5" s="0" t="n">
        <v>12.3</v>
      </c>
      <c r="F5" s="0" t="n">
        <v>25.758</v>
      </c>
      <c r="G5" s="0" t="n">
        <v>1.8</v>
      </c>
      <c r="H5" s="0" t="n">
        <v>28.285</v>
      </c>
      <c r="I5" s="0" t="n">
        <v>18.112</v>
      </c>
      <c r="J5" s="0" t="n">
        <v>1.3</v>
      </c>
      <c r="K5" s="0" t="n">
        <v>0.1176</v>
      </c>
      <c r="L5" s="0" t="n">
        <v>11.676</v>
      </c>
      <c r="M5" s="0" t="n">
        <v>2.95</v>
      </c>
      <c r="N5" s="0" t="n">
        <v>8.726</v>
      </c>
      <c r="O5" s="0" t="n">
        <v>47.445</v>
      </c>
      <c r="P5" s="0" t="n">
        <v>458.994</v>
      </c>
      <c r="Q5" s="0" t="n">
        <v>411.549</v>
      </c>
      <c r="R5" s="0" t="n">
        <v>0.032</v>
      </c>
      <c r="S5" s="0" t="n">
        <v>121.198</v>
      </c>
      <c r="T5" s="0" t="n">
        <v>154160530</v>
      </c>
      <c r="U5" s="0" t="n">
        <v>0.165</v>
      </c>
      <c r="V5" s="0" t="n">
        <v>0.107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94</v>
      </c>
      <c r="B6" s="0" t="n">
        <v>1623.841</v>
      </c>
      <c r="C6" s="0" t="n">
        <v>1435.862</v>
      </c>
      <c r="D6" s="0" t="n">
        <v>187.979</v>
      </c>
      <c r="E6" s="0" t="n">
        <v>11.6</v>
      </c>
      <c r="F6" s="0" t="n">
        <v>34.079</v>
      </c>
      <c r="G6" s="0" t="n">
        <v>2.1</v>
      </c>
      <c r="H6" s="0" t="n">
        <v>38.984</v>
      </c>
      <c r="I6" s="0" t="n">
        <v>23.636</v>
      </c>
      <c r="J6" s="0" t="n">
        <v>1.5</v>
      </c>
      <c r="K6" s="0" t="n">
        <v>0.1535</v>
      </c>
      <c r="L6" s="0" t="n">
        <v>160.214</v>
      </c>
      <c r="M6" s="0" t="n">
        <v>3.936</v>
      </c>
      <c r="N6" s="0" t="n">
        <v>156.278</v>
      </c>
      <c r="O6" s="0" t="n">
        <v>52.71</v>
      </c>
      <c r="P6" s="0" t="n">
        <v>587.438</v>
      </c>
      <c r="Q6" s="0" t="n">
        <v>534.728</v>
      </c>
      <c r="R6" s="0" t="n">
        <v>18.253</v>
      </c>
      <c r="S6" s="0" t="n">
        <v>255.147</v>
      </c>
      <c r="T6" s="0" t="n">
        <v>154517877</v>
      </c>
      <c r="U6" s="0" t="n">
        <v>0.441</v>
      </c>
      <c r="V6" s="0" t="n">
        <v>0.139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95</v>
      </c>
      <c r="B7" s="0" t="n">
        <v>1955.247</v>
      </c>
      <c r="C7" s="0" t="n">
        <v>1760.501</v>
      </c>
      <c r="D7" s="0" t="n">
        <v>194.746</v>
      </c>
      <c r="E7" s="0" t="n">
        <v>10</v>
      </c>
      <c r="F7" s="0" t="n">
        <v>37.664</v>
      </c>
      <c r="G7" s="0" t="n">
        <v>1.9</v>
      </c>
      <c r="I7" s="0" t="n">
        <v>25.414</v>
      </c>
      <c r="J7" s="0" t="n">
        <v>1.3</v>
      </c>
      <c r="K7" s="0" t="n">
        <v>0.1651</v>
      </c>
      <c r="L7" s="0" t="n">
        <v>-22.691</v>
      </c>
      <c r="M7" s="0" t="n">
        <v>1.922</v>
      </c>
      <c r="N7" s="0" t="n">
        <v>-24.613</v>
      </c>
      <c r="O7" s="0" t="n">
        <v>56.305</v>
      </c>
      <c r="P7" s="0" t="n">
        <v>694.825</v>
      </c>
      <c r="Q7" s="0" t="n">
        <v>638.52</v>
      </c>
      <c r="R7" s="0" t="n">
        <v>26.866</v>
      </c>
      <c r="S7" s="0" t="n">
        <v>204.323</v>
      </c>
      <c r="T7" s="0" t="n">
        <v>154665272</v>
      </c>
      <c r="U7" s="0" t="n">
        <v>0.617</v>
      </c>
      <c r="V7" s="0" t="n">
        <v>0.15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96</v>
      </c>
      <c r="B8" s="0" t="n">
        <v>2192.421</v>
      </c>
      <c r="C8" s="0" t="n">
        <v>1974.203</v>
      </c>
      <c r="D8" s="0" t="n">
        <v>218.218</v>
      </c>
      <c r="E8" s="0" t="n">
        <v>10</v>
      </c>
      <c r="F8" s="0" t="n">
        <v>45.196</v>
      </c>
      <c r="G8" s="0" t="n">
        <v>2.1</v>
      </c>
      <c r="H8" s="0" t="n">
        <v>50.484</v>
      </c>
      <c r="I8" s="0" t="n">
        <v>30.262</v>
      </c>
      <c r="J8" s="0" t="n">
        <v>1.4</v>
      </c>
      <c r="K8" s="0" t="n">
        <v>0.1961</v>
      </c>
      <c r="L8" s="0" t="n">
        <v>-22.623</v>
      </c>
      <c r="M8" s="0" t="n">
        <v>3.875</v>
      </c>
      <c r="N8" s="0" t="n">
        <v>-26.498</v>
      </c>
      <c r="O8" s="0" t="n">
        <v>61.697</v>
      </c>
      <c r="P8" s="0" t="n">
        <v>770.887</v>
      </c>
      <c r="Q8" s="0" t="n">
        <v>709.19</v>
      </c>
      <c r="R8" s="0" t="n">
        <v>25.645</v>
      </c>
      <c r="S8" s="0" t="n">
        <v>149.459</v>
      </c>
      <c r="T8" s="0" t="n">
        <v>154831784</v>
      </c>
      <c r="U8" s="0" t="n">
        <v>0.83</v>
      </c>
      <c r="V8" s="0" t="n">
        <v>0.179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97</v>
      </c>
      <c r="B9" s="0" t="n">
        <v>2560.7</v>
      </c>
      <c r="C9" s="0" t="n">
        <v>2310.049</v>
      </c>
      <c r="D9" s="0" t="n">
        <v>250.651</v>
      </c>
      <c r="E9" s="0" t="n">
        <v>9.8</v>
      </c>
      <c r="F9" s="0" t="n">
        <v>50.973</v>
      </c>
      <c r="G9" s="0" t="n">
        <v>2</v>
      </c>
      <c r="H9" s="0" t="n">
        <v>57.253</v>
      </c>
      <c r="I9" s="0" t="n">
        <v>37.03</v>
      </c>
      <c r="J9" s="0" t="n">
        <v>1.4</v>
      </c>
      <c r="K9" s="0" t="n">
        <v>0.2396</v>
      </c>
      <c r="L9" s="0" t="n">
        <v>291.016</v>
      </c>
      <c r="M9" s="0" t="n">
        <v>0.981</v>
      </c>
      <c r="N9" s="0" t="n">
        <v>290.035</v>
      </c>
      <c r="O9" s="0" t="n">
        <v>68.345</v>
      </c>
      <c r="P9" s="0" t="n">
        <v>935.605</v>
      </c>
      <c r="Q9" s="0" t="n">
        <v>867.26</v>
      </c>
      <c r="R9" s="0" t="n">
        <v>23.883</v>
      </c>
      <c r="S9" s="0" t="n">
        <v>404.766</v>
      </c>
      <c r="T9" s="0" t="n">
        <v>155055216</v>
      </c>
      <c r="U9" s="0" t="n">
        <v>1.009</v>
      </c>
      <c r="V9" s="0" t="n">
        <v>0.219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98</v>
      </c>
      <c r="B10" s="0" t="n">
        <v>2754.181</v>
      </c>
      <c r="C10" s="0" t="n">
        <v>2484.09</v>
      </c>
      <c r="D10" s="0" t="n">
        <v>270.091</v>
      </c>
      <c r="E10" s="0" t="n">
        <v>9.8</v>
      </c>
      <c r="F10" s="0" t="n">
        <v>53.497</v>
      </c>
      <c r="G10" s="0" t="n">
        <v>1.9</v>
      </c>
      <c r="H10" s="0" t="n">
        <v>59.8</v>
      </c>
      <c r="I10" s="0" t="n">
        <v>43.311</v>
      </c>
      <c r="J10" s="0" t="n">
        <v>1.6</v>
      </c>
      <c r="K10" s="0" t="n">
        <v>0.28</v>
      </c>
      <c r="L10" s="0" t="n">
        <v>-86.19</v>
      </c>
      <c r="M10" s="0" t="n">
        <v>0.607</v>
      </c>
      <c r="N10" s="0" t="n">
        <v>-86.797</v>
      </c>
      <c r="O10" s="0" t="n">
        <v>74.916</v>
      </c>
      <c r="P10" s="0" t="n">
        <v>866.147</v>
      </c>
      <c r="Q10" s="0" t="n">
        <v>791.231</v>
      </c>
      <c r="R10" s="0" t="n">
        <v>20.595</v>
      </c>
      <c r="S10" s="0" t="n">
        <v>276.381</v>
      </c>
      <c r="T10" s="0" t="n">
        <v>155235505</v>
      </c>
      <c r="U10" s="0" t="n">
        <v>1.162</v>
      </c>
      <c r="V10" s="0" t="n">
        <v>0.255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99</v>
      </c>
      <c r="B11" s="0" t="n">
        <v>3003.362</v>
      </c>
      <c r="C11" s="0" t="n">
        <v>2713.643</v>
      </c>
      <c r="D11" s="0" t="n">
        <v>289.719</v>
      </c>
      <c r="E11" s="0" t="n">
        <v>9.6</v>
      </c>
      <c r="F11" s="0" t="n">
        <v>59.917</v>
      </c>
      <c r="G11" s="0" t="n">
        <v>2</v>
      </c>
      <c r="H11" s="0" t="n">
        <v>66.403</v>
      </c>
      <c r="I11" s="0" t="n">
        <v>48.194</v>
      </c>
      <c r="J11" s="0" t="n">
        <v>1.6</v>
      </c>
      <c r="K11" s="0" t="n">
        <v>0.3112</v>
      </c>
      <c r="L11" s="0" t="n">
        <v>126.294</v>
      </c>
      <c r="M11" s="0" t="n">
        <v>2.169</v>
      </c>
      <c r="N11" s="0" t="n">
        <v>124.125</v>
      </c>
      <c r="O11" s="0" t="n">
        <v>84.169</v>
      </c>
      <c r="P11" s="0" t="n">
        <v>942.098</v>
      </c>
      <c r="Q11" s="0" t="n">
        <v>857.929</v>
      </c>
      <c r="R11" s="0" t="n">
        <v>18.547</v>
      </c>
      <c r="S11" s="0" t="n">
        <v>356.689</v>
      </c>
      <c r="T11" s="0" t="n">
        <v>155357824</v>
      </c>
      <c r="U11" s="0" t="n">
        <v>1.001</v>
      </c>
      <c r="V11" s="0" t="n">
        <v>0.281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100</v>
      </c>
      <c r="B12" s="0" t="n">
        <v>3385.279</v>
      </c>
      <c r="C12" s="0" t="n">
        <v>3080.106</v>
      </c>
      <c r="D12" s="0" t="n">
        <v>305.173</v>
      </c>
      <c r="E12" s="0" t="n">
        <v>9</v>
      </c>
      <c r="F12" s="0" t="n">
        <v>69.841</v>
      </c>
      <c r="G12" s="0" t="n">
        <v>2.1</v>
      </c>
      <c r="H12" s="0" t="n">
        <v>76.408</v>
      </c>
      <c r="I12" s="0" t="n">
        <v>54.522</v>
      </c>
      <c r="J12" s="0" t="n">
        <v>1.6</v>
      </c>
      <c r="K12" s="0" t="n">
        <v>0.3516</v>
      </c>
      <c r="L12" s="0" t="n">
        <v>23.254</v>
      </c>
      <c r="M12" s="0" t="n">
        <v>5.042</v>
      </c>
      <c r="N12" s="0" t="n">
        <v>18.212</v>
      </c>
      <c r="O12" s="0" t="n">
        <v>95.162</v>
      </c>
      <c r="P12" s="0" t="n">
        <v>1095.025</v>
      </c>
      <c r="Q12" s="0" t="n">
        <v>999.863</v>
      </c>
      <c r="R12" s="0" t="n">
        <v>22.672</v>
      </c>
      <c r="S12" s="0" t="n">
        <v>326.047</v>
      </c>
      <c r="T12" s="0" t="n">
        <v>155499721</v>
      </c>
      <c r="U12" s="0" t="n">
        <v>1.191</v>
      </c>
      <c r="V12" s="0" t="n">
        <v>0.3175</v>
      </c>
      <c r="AA12" s="0" t="s">
        <v>17</v>
      </c>
      <c r="AB12" s="0" t="s">
        <v>14</v>
      </c>
      <c r="AC12" s="0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101</v>
      </c>
      <c r="B1" s="2" t="s">
        <v>37</v>
      </c>
    </row>
    <row r="2" customFormat="false" ht="15" hidden="false" customHeight="false" outlineLevel="0" collapsed="false">
      <c r="A2" s="0" t="s">
        <v>102</v>
      </c>
      <c r="B2" s="3" t="n">
        <v>11.37</v>
      </c>
    </row>
    <row r="3" customFormat="false" ht="15" hidden="false" customHeight="false" outlineLevel="0" collapsed="false">
      <c r="A3" s="0" t="s">
        <v>103</v>
      </c>
      <c r="B3" s="3" t="n">
        <v>155.5</v>
      </c>
    </row>
    <row r="4" customFormat="false" ht="15" hidden="false" customHeight="false" outlineLevel="0" collapsed="false">
      <c r="A4" s="0" t="s">
        <v>104</v>
      </c>
      <c r="B4" s="3" t="n">
        <v>-125.412</v>
      </c>
    </row>
    <row r="5" customFormat="false" ht="15" hidden="false" customHeight="false" outlineLevel="0" collapsed="false">
      <c r="A5" s="0" t="s">
        <v>105</v>
      </c>
      <c r="B5" s="3" t="n">
        <v>30</v>
      </c>
    </row>
    <row r="6" customFormat="false" ht="15" hidden="false" customHeight="false" outlineLevel="0" collapsed="false">
      <c r="A6" s="0" t="s">
        <v>106</v>
      </c>
      <c r="B6" s="3" t="n">
        <v>15</v>
      </c>
    </row>
    <row r="7" customFormat="false" ht="15" hidden="false" customHeight="false" outlineLevel="0" collapsed="false">
      <c r="A7" s="0" t="s">
        <v>107</v>
      </c>
      <c r="B7" s="3" t="n">
        <v>3385.279</v>
      </c>
    </row>
    <row r="8" customFormat="false" ht="15" hidden="false" customHeight="false" outlineLevel="0" collapsed="false">
      <c r="A8" s="0" t="s">
        <v>108</v>
      </c>
      <c r="B8" s="3" t="s">
        <v>100</v>
      </c>
    </row>
    <row r="9" customFormat="false" ht="15" hidden="false" customHeight="false" outlineLevel="0" collapsed="false">
      <c r="A9" s="0" t="s">
        <v>109</v>
      </c>
      <c r="B9" s="3" t="s">
        <v>110</v>
      </c>
    </row>
    <row r="10" customFormat="false" ht="15" hidden="false" customHeight="false" outlineLevel="0" collapsed="false">
      <c r="A10" s="0" t="s">
        <v>111</v>
      </c>
      <c r="B10" s="3" t="n">
        <v>1</v>
      </c>
    </row>
    <row r="12" customFormat="false" ht="15" hidden="false" customHeight="false" outlineLevel="0" collapsed="false">
      <c r="A12" s="2" t="s">
        <v>112</v>
      </c>
      <c r="C12" s="2" t="s">
        <v>113</v>
      </c>
      <c r="D12" s="2" t="s">
        <v>114</v>
      </c>
      <c r="E12" s="2" t="s">
        <v>115</v>
      </c>
      <c r="F12" s="2" t="s">
        <v>116</v>
      </c>
      <c r="G12" s="2" t="s">
        <v>117</v>
      </c>
      <c r="H12" s="2" t="s">
        <v>118</v>
      </c>
      <c r="I12" s="2" t="s">
        <v>119</v>
      </c>
      <c r="J12" s="2" t="s">
        <v>120</v>
      </c>
      <c r="K12" s="2" t="s">
        <v>121</v>
      </c>
      <c r="L12" s="2" t="s">
        <v>122</v>
      </c>
    </row>
    <row r="13" customFormat="false" ht="15" hidden="false" customHeight="false" outlineLevel="0" collapsed="false">
      <c r="A13" s="0" t="s">
        <v>123</v>
      </c>
      <c r="C13" s="3" t="n">
        <v>3</v>
      </c>
      <c r="D13" s="3" t="n">
        <v>1</v>
      </c>
      <c r="E13" s="3" t="n">
        <v>1.5</v>
      </c>
      <c r="F13" s="3" t="n">
        <v>2.5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124</v>
      </c>
      <c r="C14" s="3" t="n">
        <v>2.05</v>
      </c>
      <c r="D14" s="3" t="n">
        <v>1.92</v>
      </c>
      <c r="E14" s="3" t="n">
        <v>1.85</v>
      </c>
      <c r="F14" s="3" t="n">
        <v>1.85</v>
      </c>
      <c r="G14" s="3" t="n">
        <v>1.88</v>
      </c>
      <c r="H14" s="3" t="n">
        <v>1.9</v>
      </c>
      <c r="I14" s="3" t="n">
        <v>1.92</v>
      </c>
      <c r="J14" s="3" t="n">
        <v>1.95</v>
      </c>
      <c r="K14" s="3" t="n">
        <v>1.95</v>
      </c>
      <c r="L14" s="3" t="n">
        <v>1.95</v>
      </c>
    </row>
    <row r="15" customFormat="false" ht="15" hidden="false" customHeight="false" outlineLevel="0" collapsed="false">
      <c r="A15" s="0" t="s">
        <v>125</v>
      </c>
      <c r="C15" s="3" t="n">
        <v>0.04</v>
      </c>
      <c r="D15" s="3" t="n">
        <v>0.04</v>
      </c>
      <c r="E15" s="3" t="n">
        <v>0.04</v>
      </c>
      <c r="F15" s="3" t="n">
        <v>0.04</v>
      </c>
      <c r="G15" s="3" t="n">
        <v>0.04</v>
      </c>
      <c r="H15" s="3" t="n">
        <v>0.04</v>
      </c>
      <c r="I15" s="3" t="n">
        <v>0.04</v>
      </c>
      <c r="J15" s="3" t="n">
        <v>0.04</v>
      </c>
      <c r="K15" s="3" t="n">
        <v>0.04</v>
      </c>
      <c r="L15" s="3" t="n">
        <v>0.04</v>
      </c>
    </row>
    <row r="16" customFormat="false" ht="15" hidden="false" customHeight="false" outlineLevel="0" collapsed="false">
      <c r="A16" s="0" t="s">
        <v>126</v>
      </c>
      <c r="C16" s="3" t="n">
        <v>0.15</v>
      </c>
      <c r="D16" s="3" t="n">
        <v>0.15</v>
      </c>
      <c r="E16" s="3" t="n">
        <v>0.15</v>
      </c>
      <c r="F16" s="3" t="n">
        <v>0.15</v>
      </c>
      <c r="G16" s="3" t="n">
        <v>0.15</v>
      </c>
      <c r="H16" s="3" t="n">
        <v>0.15</v>
      </c>
      <c r="I16" s="3" t="n">
        <v>0.15</v>
      </c>
      <c r="J16" s="3" t="n">
        <v>0.15</v>
      </c>
      <c r="K16" s="3" t="n">
        <v>0.15</v>
      </c>
      <c r="L16" s="3" t="n">
        <v>0.15</v>
      </c>
    </row>
    <row r="17" customFormat="false" ht="15" hidden="false" customHeight="false" outlineLevel="0" collapsed="false">
      <c r="A17" s="0" t="s">
        <v>127</v>
      </c>
      <c r="C17" s="3" t="n">
        <v>0.08</v>
      </c>
      <c r="D17" s="3" t="n">
        <v>0.08</v>
      </c>
      <c r="E17" s="3" t="n">
        <v>0.08</v>
      </c>
      <c r="F17" s="3" t="n">
        <v>0.08</v>
      </c>
      <c r="G17" s="3" t="n">
        <v>0.08</v>
      </c>
      <c r="H17" s="3" t="n">
        <v>0.08</v>
      </c>
      <c r="I17" s="3" t="n">
        <v>0.08</v>
      </c>
      <c r="J17" s="3" t="n">
        <v>0.08</v>
      </c>
      <c r="K17" s="3" t="n">
        <v>0.08</v>
      </c>
      <c r="L17" s="3" t="n">
        <v>0.08</v>
      </c>
    </row>
    <row r="18" customFormat="false" ht="15" hidden="false" customHeight="false" outlineLevel="0" collapsed="false">
      <c r="A18" s="0" t="s">
        <v>128</v>
      </c>
      <c r="C18" s="3" t="n">
        <v>0.1</v>
      </c>
      <c r="D18" s="3" t="n">
        <v>0.1</v>
      </c>
      <c r="E18" s="3" t="n">
        <v>0.1</v>
      </c>
      <c r="F18" s="3" t="n">
        <v>0.1</v>
      </c>
      <c r="G18" s="3" t="n">
        <v>0.1</v>
      </c>
      <c r="H18" s="3" t="n">
        <v>0.1</v>
      </c>
      <c r="I18" s="3" t="n">
        <v>0.1</v>
      </c>
      <c r="J18" s="3" t="n">
        <v>0.1</v>
      </c>
      <c r="K18" s="3" t="n">
        <v>0.1</v>
      </c>
      <c r="L18" s="3" t="n">
        <v>0.1</v>
      </c>
    </row>
    <row r="19" customFormat="false" ht="15" hidden="false" customHeight="false" outlineLevel="0" collapsed="false">
      <c r="A19" s="0" t="s">
        <v>129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130</v>
      </c>
      <c r="B20" s="3" t="n">
        <v>9.5</v>
      </c>
    </row>
    <row r="21" customFormat="false" ht="15" hidden="false" customHeight="false" outlineLevel="0" collapsed="false">
      <c r="A21" s="0" t="s">
        <v>131</v>
      </c>
      <c r="B21" s="3" t="n">
        <v>2</v>
      </c>
    </row>
    <row r="22" customFormat="false" ht="15" hidden="false" customHeight="false" outlineLevel="0" collapsed="false">
      <c r="A22" s="0" t="s">
        <v>132</v>
      </c>
      <c r="B22" s="3" t="n">
        <v>18</v>
      </c>
    </row>
    <row r="23" customFormat="false" ht="15" hidden="false" customHeight="false" outlineLevel="0" collapsed="false">
      <c r="A23" s="0" t="s">
        <v>133</v>
      </c>
      <c r="B23" s="3" t="n">
        <v>-1</v>
      </c>
    </row>
    <row r="24" customFormat="false" ht="15" hidden="false" customHeight="false" outlineLevel="0" collapsed="false">
      <c r="A24" s="0" t="s">
        <v>134</v>
      </c>
      <c r="B24" s="3" t="n">
        <v>0.25</v>
      </c>
    </row>
    <row r="26" customFormat="false" ht="15" hidden="false" customHeight="false" outlineLevel="0" collapsed="false">
      <c r="A26" s="2" t="s">
        <v>135</v>
      </c>
      <c r="C26" s="2" t="s">
        <v>113</v>
      </c>
      <c r="D26" s="2" t="s">
        <v>114</v>
      </c>
      <c r="E26" s="2" t="s">
        <v>115</v>
      </c>
      <c r="F26" s="2" t="s">
        <v>116</v>
      </c>
      <c r="G26" s="2" t="s">
        <v>117</v>
      </c>
      <c r="H26" s="2" t="s">
        <v>118</v>
      </c>
      <c r="I26" s="2" t="s">
        <v>119</v>
      </c>
      <c r="J26" s="2" t="s">
        <v>120</v>
      </c>
      <c r="K26" s="2" t="s">
        <v>121</v>
      </c>
      <c r="L26" s="2" t="s">
        <v>122</v>
      </c>
    </row>
    <row r="27" customFormat="false" ht="15" hidden="false" customHeight="false" outlineLevel="0" collapsed="false">
      <c r="A27" s="0" t="s">
        <v>123</v>
      </c>
      <c r="C27" s="3" t="n">
        <v>8</v>
      </c>
      <c r="D27" s="3" t="n">
        <v>7.5</v>
      </c>
      <c r="E27" s="3" t="n">
        <v>7</v>
      </c>
      <c r="F27" s="3" t="n">
        <v>6.5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124</v>
      </c>
      <c r="C28" s="3" t="n">
        <v>2.18</v>
      </c>
      <c r="D28" s="3" t="n">
        <v>2.22</v>
      </c>
      <c r="E28" s="3" t="n">
        <v>2.25</v>
      </c>
      <c r="F28" s="3" t="n">
        <v>2.27</v>
      </c>
      <c r="G28" s="3" t="n">
        <v>2.28</v>
      </c>
      <c r="H28" s="3" t="n">
        <v>2.28</v>
      </c>
      <c r="I28" s="3" t="n">
        <v>2.28</v>
      </c>
      <c r="J28" s="3" t="n">
        <v>2.28</v>
      </c>
      <c r="K28" s="3" t="n">
        <v>2.28</v>
      </c>
      <c r="L28" s="3" t="n">
        <v>2.28</v>
      </c>
    </row>
    <row r="29" customFormat="false" ht="15" hidden="false" customHeight="false" outlineLevel="0" collapsed="false">
      <c r="A29" s="0" t="s">
        <v>125</v>
      </c>
      <c r="C29" s="3" t="n">
        <v>0.04</v>
      </c>
      <c r="D29" s="3" t="n">
        <v>0.04</v>
      </c>
      <c r="E29" s="3" t="n">
        <v>0.04</v>
      </c>
      <c r="F29" s="3" t="n">
        <v>0.04</v>
      </c>
      <c r="G29" s="3" t="n">
        <v>0.04</v>
      </c>
      <c r="H29" s="3" t="n">
        <v>0.04</v>
      </c>
      <c r="I29" s="3" t="n">
        <v>0.04</v>
      </c>
      <c r="J29" s="3" t="n">
        <v>0.04</v>
      </c>
      <c r="K29" s="3" t="n">
        <v>0.04</v>
      </c>
      <c r="L29" s="3" t="n">
        <v>0.04</v>
      </c>
    </row>
    <row r="30" customFormat="false" ht="15" hidden="false" customHeight="false" outlineLevel="0" collapsed="false">
      <c r="A30" s="0" t="s">
        <v>126</v>
      </c>
      <c r="C30" s="3" t="n">
        <v>0.15</v>
      </c>
      <c r="D30" s="3" t="n">
        <v>0.15</v>
      </c>
      <c r="E30" s="3" t="n">
        <v>0.15</v>
      </c>
      <c r="F30" s="3" t="n">
        <v>0.15</v>
      </c>
      <c r="G30" s="3" t="n">
        <v>0.15</v>
      </c>
      <c r="H30" s="3" t="n">
        <v>0.15</v>
      </c>
      <c r="I30" s="3" t="n">
        <v>0.15</v>
      </c>
      <c r="J30" s="3" t="n">
        <v>0.15</v>
      </c>
      <c r="K30" s="3" t="n">
        <v>0.15</v>
      </c>
      <c r="L30" s="3" t="n">
        <v>0.15</v>
      </c>
    </row>
    <row r="31" customFormat="false" ht="15" hidden="false" customHeight="false" outlineLevel="0" collapsed="false">
      <c r="A31" s="0" t="s">
        <v>127</v>
      </c>
      <c r="C31" s="3" t="n">
        <v>0.08</v>
      </c>
      <c r="D31" s="3" t="n">
        <v>0.08</v>
      </c>
      <c r="E31" s="3" t="n">
        <v>0.08</v>
      </c>
      <c r="F31" s="3" t="n">
        <v>0.08</v>
      </c>
      <c r="G31" s="3" t="n">
        <v>0.08</v>
      </c>
      <c r="H31" s="3" t="n">
        <v>0.08</v>
      </c>
      <c r="I31" s="3" t="n">
        <v>0.08</v>
      </c>
      <c r="J31" s="3" t="n">
        <v>0.08</v>
      </c>
      <c r="K31" s="3" t="n">
        <v>0.08</v>
      </c>
      <c r="L31" s="3" t="n">
        <v>0.08</v>
      </c>
    </row>
    <row r="32" customFormat="false" ht="15" hidden="false" customHeight="false" outlineLevel="0" collapsed="false">
      <c r="A32" s="0" t="s">
        <v>128</v>
      </c>
      <c r="C32" s="3" t="n">
        <v>0.1</v>
      </c>
      <c r="D32" s="3" t="n">
        <v>0.1</v>
      </c>
      <c r="E32" s="3" t="n">
        <v>0.1</v>
      </c>
      <c r="F32" s="3" t="n">
        <v>0.1</v>
      </c>
      <c r="G32" s="3" t="n">
        <v>0.1</v>
      </c>
      <c r="H32" s="3" t="n">
        <v>0.1</v>
      </c>
      <c r="I32" s="3" t="n">
        <v>0.1</v>
      </c>
      <c r="J32" s="3" t="n">
        <v>0.1</v>
      </c>
      <c r="K32" s="3" t="n">
        <v>0.1</v>
      </c>
      <c r="L32" s="3" t="n">
        <v>0.1</v>
      </c>
    </row>
    <row r="33" customFormat="false" ht="15" hidden="false" customHeight="false" outlineLevel="0" collapsed="false">
      <c r="A33" s="0" t="s">
        <v>129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130</v>
      </c>
      <c r="B34" s="3" t="n">
        <v>9.5</v>
      </c>
    </row>
    <row r="35" customFormat="false" ht="15" hidden="false" customHeight="false" outlineLevel="0" collapsed="false">
      <c r="A35" s="0" t="s">
        <v>131</v>
      </c>
      <c r="B35" s="3" t="n">
        <v>2.5</v>
      </c>
    </row>
    <row r="36" customFormat="false" ht="15" hidden="false" customHeight="false" outlineLevel="0" collapsed="false">
      <c r="A36" s="0" t="s">
        <v>132</v>
      </c>
      <c r="B36" s="3" t="n">
        <v>18</v>
      </c>
    </row>
    <row r="37" customFormat="false" ht="15" hidden="false" customHeight="false" outlineLevel="0" collapsed="false">
      <c r="A37" s="0" t="s">
        <v>133</v>
      </c>
      <c r="B37" s="3" t="n">
        <v>0</v>
      </c>
    </row>
    <row r="38" customFormat="false" ht="15" hidden="false" customHeight="false" outlineLevel="0" collapsed="false">
      <c r="A38" s="0" t="s">
        <v>134</v>
      </c>
      <c r="B38" s="3" t="n">
        <v>0.5</v>
      </c>
    </row>
    <row r="40" customFormat="false" ht="15" hidden="false" customHeight="false" outlineLevel="0" collapsed="false">
      <c r="A40" s="2" t="s">
        <v>136</v>
      </c>
      <c r="C40" s="2" t="s">
        <v>113</v>
      </c>
      <c r="D40" s="2" t="s">
        <v>114</v>
      </c>
      <c r="E40" s="2" t="s">
        <v>115</v>
      </c>
      <c r="F40" s="2" t="s">
        <v>116</v>
      </c>
      <c r="G40" s="2" t="s">
        <v>117</v>
      </c>
      <c r="H40" s="2" t="s">
        <v>118</v>
      </c>
      <c r="I40" s="2" t="s">
        <v>119</v>
      </c>
      <c r="J40" s="2" t="s">
        <v>120</v>
      </c>
      <c r="K40" s="2" t="s">
        <v>121</v>
      </c>
      <c r="L40" s="2" t="s">
        <v>122</v>
      </c>
    </row>
    <row r="41" customFormat="false" ht="15" hidden="false" customHeight="false" outlineLevel="0" collapsed="false">
      <c r="A41" s="0" t="s">
        <v>123</v>
      </c>
      <c r="C41" s="3" t="n">
        <v>11</v>
      </c>
      <c r="D41" s="3" t="n">
        <v>10</v>
      </c>
      <c r="E41" s="3" t="n">
        <v>9.5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124</v>
      </c>
      <c r="C42" s="3" t="n">
        <v>2.25</v>
      </c>
      <c r="D42" s="3" t="n">
        <v>2.32</v>
      </c>
      <c r="E42" s="3" t="n">
        <v>2.38</v>
      </c>
      <c r="F42" s="3" t="n">
        <v>2.42</v>
      </c>
      <c r="G42" s="3" t="n">
        <v>2.45</v>
      </c>
      <c r="H42" s="3" t="n">
        <v>2.47</v>
      </c>
      <c r="I42" s="3" t="n">
        <v>2.48</v>
      </c>
      <c r="J42" s="3" t="n">
        <v>2.48</v>
      </c>
      <c r="K42" s="3" t="n">
        <v>2.48</v>
      </c>
      <c r="L42" s="3" t="n">
        <v>2.48</v>
      </c>
    </row>
    <row r="43" customFormat="false" ht="15" hidden="false" customHeight="false" outlineLevel="0" collapsed="false">
      <c r="A43" s="0" t="s">
        <v>125</v>
      </c>
      <c r="C43" s="3" t="n">
        <v>0.04</v>
      </c>
      <c r="D43" s="3" t="n">
        <v>0.04</v>
      </c>
      <c r="E43" s="3" t="n">
        <v>0.04</v>
      </c>
      <c r="F43" s="3" t="n">
        <v>0.04</v>
      </c>
      <c r="G43" s="3" t="n">
        <v>0.04</v>
      </c>
      <c r="H43" s="3" t="n">
        <v>0.04</v>
      </c>
      <c r="I43" s="3" t="n">
        <v>0.04</v>
      </c>
      <c r="J43" s="3" t="n">
        <v>0.04</v>
      </c>
      <c r="K43" s="3" t="n">
        <v>0.04</v>
      </c>
      <c r="L43" s="3" t="n">
        <v>0.04</v>
      </c>
    </row>
    <row r="44" customFormat="false" ht="15" hidden="false" customHeight="false" outlineLevel="0" collapsed="false">
      <c r="A44" s="0" t="s">
        <v>126</v>
      </c>
      <c r="C44" s="3" t="n">
        <v>0.15</v>
      </c>
      <c r="D44" s="3" t="n">
        <v>0.15</v>
      </c>
      <c r="E44" s="3" t="n">
        <v>0.15</v>
      </c>
      <c r="F44" s="3" t="n">
        <v>0.15</v>
      </c>
      <c r="G44" s="3" t="n">
        <v>0.15</v>
      </c>
      <c r="H44" s="3" t="n">
        <v>0.15</v>
      </c>
      <c r="I44" s="3" t="n">
        <v>0.15</v>
      </c>
      <c r="J44" s="3" t="n">
        <v>0.15</v>
      </c>
      <c r="K44" s="3" t="n">
        <v>0.15</v>
      </c>
      <c r="L44" s="3" t="n">
        <v>0.15</v>
      </c>
    </row>
    <row r="45" customFormat="false" ht="15" hidden="false" customHeight="false" outlineLevel="0" collapsed="false">
      <c r="A45" s="0" t="s">
        <v>127</v>
      </c>
      <c r="C45" s="3" t="n">
        <v>0.08</v>
      </c>
      <c r="D45" s="3" t="n">
        <v>0.08</v>
      </c>
      <c r="E45" s="3" t="n">
        <v>0.08</v>
      </c>
      <c r="F45" s="3" t="n">
        <v>0.08</v>
      </c>
      <c r="G45" s="3" t="n">
        <v>0.08</v>
      </c>
      <c r="H45" s="3" t="n">
        <v>0.08</v>
      </c>
      <c r="I45" s="3" t="n">
        <v>0.08</v>
      </c>
      <c r="J45" s="3" t="n">
        <v>0.08</v>
      </c>
      <c r="K45" s="3" t="n">
        <v>0.08</v>
      </c>
      <c r="L45" s="3" t="n">
        <v>0.08</v>
      </c>
    </row>
    <row r="46" customFormat="false" ht="15" hidden="false" customHeight="false" outlineLevel="0" collapsed="false">
      <c r="A46" s="0" t="s">
        <v>128</v>
      </c>
      <c r="C46" s="3" t="n">
        <v>0.1</v>
      </c>
      <c r="D46" s="3" t="n">
        <v>0.1</v>
      </c>
      <c r="E46" s="3" t="n">
        <v>0.1</v>
      </c>
      <c r="F46" s="3" t="n">
        <v>0.1</v>
      </c>
      <c r="G46" s="3" t="n">
        <v>0.1</v>
      </c>
      <c r="H46" s="3" t="n">
        <v>0.1</v>
      </c>
      <c r="I46" s="3" t="n">
        <v>0.1</v>
      </c>
      <c r="J46" s="3" t="n">
        <v>0.1</v>
      </c>
      <c r="K46" s="3" t="n">
        <v>0.1</v>
      </c>
      <c r="L46" s="3" t="n">
        <v>0.1</v>
      </c>
    </row>
    <row r="47" customFormat="false" ht="15" hidden="false" customHeight="false" outlineLevel="0" collapsed="false">
      <c r="A47" s="0" t="s">
        <v>129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130</v>
      </c>
      <c r="B48" s="3" t="n">
        <v>9.5</v>
      </c>
    </row>
    <row r="49" customFormat="false" ht="15" hidden="false" customHeight="false" outlineLevel="0" collapsed="false">
      <c r="A49" s="0" t="s">
        <v>131</v>
      </c>
      <c r="B49" s="3" t="n">
        <v>3</v>
      </c>
    </row>
    <row r="50" customFormat="false" ht="15" hidden="false" customHeight="false" outlineLevel="0" collapsed="false">
      <c r="A50" s="0" t="s">
        <v>132</v>
      </c>
      <c r="B50" s="3" t="n">
        <v>18</v>
      </c>
    </row>
    <row r="51" customFormat="false" ht="15" hidden="false" customHeight="false" outlineLevel="0" collapsed="false">
      <c r="A51" s="0" t="s">
        <v>133</v>
      </c>
      <c r="B51" s="3" t="n">
        <v>1</v>
      </c>
    </row>
    <row r="52" customFormat="false" ht="15" hidden="false" customHeight="false" outlineLevel="0" collapsed="false">
      <c r="A52" s="0" t="s">
        <v>134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138</v>
      </c>
      <c r="B3" s="0" t="s">
        <v>100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</row>
    <row r="4" customFormat="false" ht="15" hidden="false" customHeight="false" outlineLevel="0" collapsed="false">
      <c r="A4" s="0" t="s">
        <v>139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123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63</v>
      </c>
      <c r="B6" s="3" t="n">
        <v>3385.279</v>
      </c>
      <c r="C6" s="0" t="n">
        <f aca="false">B6*(1+C5/100)</f>
        <v>3486.83737</v>
      </c>
      <c r="D6" s="0" t="n">
        <f aca="false">C6*(1+D5/100)</f>
        <v>3521.7057437</v>
      </c>
      <c r="E6" s="0" t="n">
        <f aca="false">D6*(1+E5/100)</f>
        <v>3574.5313298555</v>
      </c>
      <c r="F6" s="0" t="n">
        <f aca="false">E6*(1+F5/100)</f>
        <v>3663.89461310189</v>
      </c>
      <c r="G6" s="0" t="n">
        <f aca="false">F6*(1+G5/100)</f>
        <v>3773.81145149494</v>
      </c>
      <c r="H6" s="0" t="n">
        <f aca="false">G6*(1+H5/100)</f>
        <v>3887.02579503979</v>
      </c>
      <c r="I6" s="0" t="n">
        <f aca="false">H6*(1+I5/100)</f>
        <v>4003.63656889099</v>
      </c>
      <c r="J6" s="0" t="n">
        <f aca="false">I6*(1+J5/100)</f>
        <v>4123.74566595772</v>
      </c>
      <c r="K6" s="0" t="n">
        <f aca="false">J6*(1+K5/100)</f>
        <v>4226.83930760666</v>
      </c>
      <c r="L6" s="0" t="n">
        <f aca="false">K6*(1+L5/100)</f>
        <v>4332.51029029683</v>
      </c>
    </row>
    <row r="7" customFormat="false" ht="15" hidden="false" customHeight="false" outlineLevel="0" collapsed="false">
      <c r="A7" s="0" t="s">
        <v>124</v>
      </c>
      <c r="C7" s="4" t="n">
        <f aca="false">Assumptions!C14</f>
        <v>2.05</v>
      </c>
      <c r="D7" s="4" t="n">
        <f aca="false">Assumptions!D14</f>
        <v>1.92</v>
      </c>
      <c r="E7" s="4" t="n">
        <f aca="false">Assumptions!E14</f>
        <v>1.85</v>
      </c>
      <c r="F7" s="4" t="n">
        <f aca="false">Assumptions!F14</f>
        <v>1.85</v>
      </c>
      <c r="G7" s="4" t="n">
        <f aca="false">Assumptions!G14</f>
        <v>1.88</v>
      </c>
      <c r="H7" s="4" t="n">
        <f aca="false">Assumptions!H14</f>
        <v>1.9</v>
      </c>
      <c r="I7" s="4" t="n">
        <f aca="false">Assumptions!I14</f>
        <v>1.92</v>
      </c>
      <c r="J7" s="4" t="n">
        <f aca="false">Assumptions!J14</f>
        <v>1.95</v>
      </c>
      <c r="K7" s="4" t="n">
        <f aca="false">Assumptions!K14</f>
        <v>1.95</v>
      </c>
      <c r="L7" s="4" t="n">
        <f aca="false">Assumptions!L14</f>
        <v>1.95</v>
      </c>
    </row>
    <row r="8" customFormat="false" ht="15" hidden="false" customHeight="false" outlineLevel="0" collapsed="false">
      <c r="A8" s="0" t="s">
        <v>69</v>
      </c>
      <c r="C8" s="0" t="n">
        <f aca="false">C6*C7/100</f>
        <v>71.480166085</v>
      </c>
      <c r="D8" s="0" t="n">
        <f aca="false">D6*D7/100</f>
        <v>67.61675027904</v>
      </c>
      <c r="E8" s="0" t="n">
        <f aca="false">E6*E7/100</f>
        <v>66.1288296023268</v>
      </c>
      <c r="F8" s="0" t="n">
        <f aca="false">F6*F7/100</f>
        <v>67.7820503423849</v>
      </c>
      <c r="G8" s="0" t="n">
        <f aca="false">G6*G7/100</f>
        <v>70.947655288105</v>
      </c>
      <c r="H8" s="0" t="n">
        <f aca="false">H6*H7/100</f>
        <v>73.8534901057561</v>
      </c>
      <c r="I8" s="0" t="n">
        <f aca="false">I6*I7/100</f>
        <v>76.8698221227069</v>
      </c>
      <c r="J8" s="0" t="n">
        <f aca="false">J6*J7/100</f>
        <v>80.4130404861755</v>
      </c>
      <c r="K8" s="0" t="n">
        <f aca="false">K6*K7/100</f>
        <v>82.4233664983298</v>
      </c>
      <c r="L8" s="0" t="n">
        <f aca="false">L6*L7/100</f>
        <v>84.4839506607881</v>
      </c>
    </row>
    <row r="9" customFormat="false" ht="15" hidden="false" customHeight="false" outlineLevel="0" collapsed="false">
      <c r="A9" s="0" t="s">
        <v>125</v>
      </c>
      <c r="C9" s="4" t="n">
        <f aca="false">Assumptions!C15</f>
        <v>0.04</v>
      </c>
      <c r="D9" s="4" t="n">
        <f aca="false">Assumptions!D15</f>
        <v>0.04</v>
      </c>
      <c r="E9" s="4" t="n">
        <f aca="false">Assumptions!E15</f>
        <v>0.04</v>
      </c>
      <c r="F9" s="4" t="n">
        <f aca="false">Assumptions!F15</f>
        <v>0.04</v>
      </c>
      <c r="G9" s="4" t="n">
        <f aca="false">Assumptions!G15</f>
        <v>0.04</v>
      </c>
      <c r="H9" s="4" t="n">
        <f aca="false">Assumptions!H15</f>
        <v>0.04</v>
      </c>
      <c r="I9" s="4" t="n">
        <f aca="false">Assumptions!I15</f>
        <v>0.04</v>
      </c>
      <c r="J9" s="4" t="n">
        <f aca="false">Assumptions!J15</f>
        <v>0.04</v>
      </c>
      <c r="K9" s="4" t="n">
        <f aca="false">Assumptions!K15</f>
        <v>0.04</v>
      </c>
      <c r="L9" s="4" t="n">
        <f aca="false">Assumptions!L15</f>
        <v>0.04</v>
      </c>
    </row>
    <row r="10" customFormat="false" ht="15" hidden="false" customHeight="false" outlineLevel="0" collapsed="false">
      <c r="A10" s="0" t="s">
        <v>140</v>
      </c>
      <c r="C10" s="0" t="n">
        <f aca="false">-C6*C9/100</f>
        <v>-1.394734948</v>
      </c>
      <c r="D10" s="0" t="n">
        <f aca="false">-D6*D9/100</f>
        <v>-1.40868229748</v>
      </c>
      <c r="E10" s="0" t="n">
        <f aca="false">-E6*E9/100</f>
        <v>-1.4298125319422</v>
      </c>
      <c r="F10" s="0" t="n">
        <f aca="false">-F6*F9/100</f>
        <v>-1.46555784524076</v>
      </c>
      <c r="G10" s="0" t="n">
        <f aca="false">-G6*G9/100</f>
        <v>-1.50952458059798</v>
      </c>
      <c r="H10" s="0" t="n">
        <f aca="false">-H6*H9/100</f>
        <v>-1.55481031801592</v>
      </c>
      <c r="I10" s="0" t="n">
        <f aca="false">-I6*I9/100</f>
        <v>-1.60145462755639</v>
      </c>
      <c r="J10" s="0" t="n">
        <f aca="false">-J6*J9/100</f>
        <v>-1.64949826638309</v>
      </c>
      <c r="K10" s="0" t="n">
        <f aca="false">-K6*K9/100</f>
        <v>-1.69073572304266</v>
      </c>
      <c r="L10" s="0" t="n">
        <f aca="false">-L6*L9/100</f>
        <v>-1.73300411611873</v>
      </c>
    </row>
    <row r="11" customFormat="false" ht="15" hidden="false" customHeight="false" outlineLevel="0" collapsed="false">
      <c r="A11" s="0" t="s">
        <v>141</v>
      </c>
      <c r="C11" s="0" t="n">
        <f aca="false">C8+C10+C24</f>
        <v>64.855175082</v>
      </c>
      <c r="D11" s="0" t="n">
        <f aca="false">D8+D10+D24</f>
        <v>60.92550936601</v>
      </c>
      <c r="E11" s="0" t="n">
        <f aca="false">E8+E10+E24</f>
        <v>59.3372200756013</v>
      </c>
      <c r="F11" s="0" t="n">
        <f aca="false">F8+F10+F24</f>
        <v>60.8206505774913</v>
      </c>
      <c r="G11" s="0" t="n">
        <f aca="false">G8+G10+G24</f>
        <v>63.7774135302646</v>
      </c>
      <c r="H11" s="0" t="n">
        <f aca="false">H8+H10+H24</f>
        <v>66.4681410951805</v>
      </c>
      <c r="I11" s="0" t="n">
        <f aca="false">I8+I10+I24</f>
        <v>69.2629126418141</v>
      </c>
      <c r="J11" s="0" t="n">
        <f aca="false">J8+J10+J24</f>
        <v>72.5779237208558</v>
      </c>
      <c r="K11" s="0" t="n">
        <f aca="false">K8+K10+K24</f>
        <v>74.3923718138772</v>
      </c>
      <c r="L11" s="0" t="n">
        <f aca="false">L8+L10+L24</f>
        <v>76.2521811092241</v>
      </c>
    </row>
    <row r="12" customFormat="false" ht="15" hidden="false" customHeight="false" outlineLevel="0" collapsed="false">
      <c r="A12" s="0" t="s">
        <v>142</v>
      </c>
      <c r="C12" s="4" t="n">
        <f aca="false">-C6*Assumptions!C17/100</f>
        <v>-2.789469896</v>
      </c>
      <c r="D12" s="4" t="n">
        <f aca="false">-D6*Assumptions!D17/100</f>
        <v>-2.81736459496</v>
      </c>
      <c r="E12" s="4" t="n">
        <f aca="false">-E6*Assumptions!E17/100</f>
        <v>-2.8596250638844</v>
      </c>
      <c r="F12" s="4" t="n">
        <f aca="false">-F6*Assumptions!F17/100</f>
        <v>-2.93111569048151</v>
      </c>
      <c r="G12" s="4" t="n">
        <f aca="false">-G6*Assumptions!G17/100</f>
        <v>-3.01904916119596</v>
      </c>
      <c r="H12" s="4" t="n">
        <f aca="false">-H6*Assumptions!H17/100</f>
        <v>-3.10962063603183</v>
      </c>
      <c r="I12" s="4" t="n">
        <f aca="false">-I6*Assumptions!I17/100</f>
        <v>-3.20290925511279</v>
      </c>
      <c r="J12" s="4" t="n">
        <f aca="false">-J6*Assumptions!J17/100</f>
        <v>-3.29899653276617</v>
      </c>
      <c r="K12" s="4" t="n">
        <f aca="false">-K6*Assumptions!K17/100</f>
        <v>-3.38147144608533</v>
      </c>
      <c r="L12" s="4" t="n">
        <f aca="false">-L6*Assumptions!L17/100</f>
        <v>-3.46600823223746</v>
      </c>
    </row>
    <row r="13" customFormat="false" ht="15" hidden="false" customHeight="false" outlineLevel="0" collapsed="false">
      <c r="A13" s="0" t="s">
        <v>143</v>
      </c>
      <c r="C13" s="0" t="n">
        <f aca="false">C11+C12</f>
        <v>62.065705186</v>
      </c>
      <c r="D13" s="0" t="n">
        <f aca="false">D11+D12</f>
        <v>58.10814477105</v>
      </c>
      <c r="E13" s="0" t="n">
        <f aca="false">E11+E12</f>
        <v>56.4775950117169</v>
      </c>
      <c r="F13" s="0" t="n">
        <f aca="false">F11+F12</f>
        <v>57.8895348870098</v>
      </c>
      <c r="G13" s="0" t="n">
        <f aca="false">G11+G12</f>
        <v>60.7583643690686</v>
      </c>
      <c r="H13" s="0" t="n">
        <f aca="false">H11+H12</f>
        <v>63.3585204591486</v>
      </c>
      <c r="I13" s="0" t="n">
        <f aca="false">I11+I12</f>
        <v>66.0600033867013</v>
      </c>
      <c r="J13" s="0" t="n">
        <f aca="false">J11+J12</f>
        <v>69.2789271880896</v>
      </c>
      <c r="K13" s="0" t="n">
        <f aca="false">K11+K12</f>
        <v>71.0109003677919</v>
      </c>
      <c r="L13" s="0" t="n">
        <f aca="false">L11+L12</f>
        <v>72.7861728769867</v>
      </c>
    </row>
    <row r="14" customFormat="false" ht="15" hidden="false" customHeight="false" outlineLevel="0" collapsed="false">
      <c r="A14" s="0" t="s">
        <v>129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144</v>
      </c>
      <c r="C15" s="0" t="n">
        <f aca="false">C13-MAX(0,C13)*C14/100</f>
        <v>43.4459936302</v>
      </c>
      <c r="D15" s="0" t="n">
        <f aca="false">D13-MAX(0,D13)*D14/100</f>
        <v>40.675701339735</v>
      </c>
      <c r="E15" s="0" t="n">
        <f aca="false">E13-MAX(0,E13)*E14/100</f>
        <v>39.5343165082018</v>
      </c>
      <c r="F15" s="0" t="n">
        <f aca="false">F13-MAX(0,F13)*F14/100</f>
        <v>40.5226744209069</v>
      </c>
      <c r="G15" s="0" t="n">
        <f aca="false">G13-MAX(0,G13)*G14/100</f>
        <v>42.530855058348</v>
      </c>
      <c r="H15" s="0" t="n">
        <f aca="false">H13-MAX(0,H13)*H14/100</f>
        <v>44.350964321404</v>
      </c>
      <c r="I15" s="0" t="n">
        <f aca="false">I13-MAX(0,I13)*I14/100</f>
        <v>46.2420023706909</v>
      </c>
      <c r="J15" s="0" t="n">
        <f aca="false">J13-MAX(0,J13)*J14/100</f>
        <v>48.4952490316628</v>
      </c>
      <c r="K15" s="0" t="n">
        <f aca="false">K13-MAX(0,K13)*K14/100</f>
        <v>49.7076302574543</v>
      </c>
      <c r="L15" s="0" t="n">
        <f aca="false">L13-MAX(0,L13)*L14/100</f>
        <v>50.9503210138907</v>
      </c>
    </row>
    <row r="16" customFormat="false" ht="15" hidden="false" customHeight="false" outlineLevel="0" collapsed="false">
      <c r="A16" s="0" t="s">
        <v>145</v>
      </c>
      <c r="C16" s="0" t="n">
        <f aca="false">-C12</f>
        <v>2.789469896</v>
      </c>
      <c r="D16" s="0" t="n">
        <f aca="false">-D12</f>
        <v>2.81736459496</v>
      </c>
      <c r="E16" s="0" t="n">
        <f aca="false">-E12</f>
        <v>2.8596250638844</v>
      </c>
      <c r="F16" s="0" t="n">
        <f aca="false">-F12</f>
        <v>2.93111569048151</v>
      </c>
      <c r="G16" s="0" t="n">
        <f aca="false">-G12</f>
        <v>3.01904916119596</v>
      </c>
      <c r="H16" s="0" t="n">
        <f aca="false">-H12</f>
        <v>3.10962063603183</v>
      </c>
      <c r="I16" s="0" t="n">
        <f aca="false">-I12</f>
        <v>3.20290925511279</v>
      </c>
      <c r="J16" s="0" t="n">
        <f aca="false">-J12</f>
        <v>3.29899653276617</v>
      </c>
      <c r="K16" s="0" t="n">
        <f aca="false">-K12</f>
        <v>3.38147144608533</v>
      </c>
      <c r="L16" s="0" t="n">
        <f aca="false">-L12</f>
        <v>3.46600823223746</v>
      </c>
    </row>
    <row r="17" customFormat="false" ht="15" hidden="false" customHeight="false" outlineLevel="0" collapsed="false">
      <c r="A17" s="0" t="s">
        <v>146</v>
      </c>
      <c r="C17" s="4" t="n">
        <f aca="false">-C6*Assumptions!C18/100</f>
        <v>-3.48683737</v>
      </c>
      <c r="D17" s="4" t="n">
        <f aca="false">-D6*Assumptions!D18/100</f>
        <v>-3.5217057437</v>
      </c>
      <c r="E17" s="4" t="n">
        <f aca="false">-E6*Assumptions!E18/100</f>
        <v>-3.5745313298555</v>
      </c>
      <c r="F17" s="4" t="n">
        <f aca="false">-F6*Assumptions!F18/100</f>
        <v>-3.66389461310189</v>
      </c>
      <c r="G17" s="4" t="n">
        <f aca="false">-G6*Assumptions!G18/100</f>
        <v>-3.77381145149494</v>
      </c>
      <c r="H17" s="4" t="n">
        <f aca="false">-H6*Assumptions!H18/100</f>
        <v>-3.88702579503979</v>
      </c>
      <c r="I17" s="4" t="n">
        <f aca="false">-I6*Assumptions!I18/100</f>
        <v>-4.00363656889099</v>
      </c>
      <c r="J17" s="4" t="n">
        <f aca="false">-J6*Assumptions!J18/100</f>
        <v>-4.12374566595772</v>
      </c>
      <c r="K17" s="4" t="n">
        <f aca="false">-K6*Assumptions!K18/100</f>
        <v>-4.22683930760666</v>
      </c>
      <c r="L17" s="4" t="n">
        <f aca="false">-L6*Assumptions!L18/100</f>
        <v>-4.33251029029683</v>
      </c>
    </row>
    <row r="18" customFormat="false" ht="15" hidden="false" customHeight="false" outlineLevel="0" collapsed="false">
      <c r="A18" s="0" t="s">
        <v>147</v>
      </c>
      <c r="C18" s="4" t="n">
        <f aca="false">(C6-B6)*Assumptions!$B$23/100</f>
        <v>-1.0155837</v>
      </c>
      <c r="D18" s="4" t="n">
        <f aca="false">(D6-C6)*Assumptions!$B$23/100</f>
        <v>-0.348683737000001</v>
      </c>
      <c r="E18" s="4" t="n">
        <f aca="false">(E6-D6)*Assumptions!$B$23/100</f>
        <v>-0.528255861554999</v>
      </c>
      <c r="F18" s="4" t="n">
        <f aca="false">(F6-E6)*Assumptions!$B$23/100</f>
        <v>-0.893632832463873</v>
      </c>
      <c r="G18" s="4" t="n">
        <f aca="false">(G6-F6)*Assumptions!$B$23/100</f>
        <v>-1.09916838393057</v>
      </c>
      <c r="H18" s="4" t="n">
        <f aca="false">(H6-G6)*Assumptions!$B$23/100</f>
        <v>-1.13214343544848</v>
      </c>
      <c r="I18" s="4" t="n">
        <f aca="false">(I6-H6)*Assumptions!$B$23/100</f>
        <v>-1.16610773851194</v>
      </c>
      <c r="J18" s="4" t="n">
        <f aca="false">(J6-I6)*Assumptions!$B$23/100</f>
        <v>-1.2010909706673</v>
      </c>
      <c r="K18" s="4" t="n">
        <f aca="false">(K6-J6)*Assumptions!$B$23/100</f>
        <v>-1.03093641648942</v>
      </c>
      <c r="L18" s="4" t="n">
        <f aca="false">(L6-K6)*Assumptions!$B$23/100</f>
        <v>-1.05670982690166</v>
      </c>
    </row>
    <row r="19" customFormat="false" ht="15" hidden="false" customHeight="false" outlineLevel="0" collapsed="false">
      <c r="A19" s="0" t="s">
        <v>148</v>
      </c>
      <c r="C19" s="0" t="n">
        <f aca="false">C15+C16+C17+C18</f>
        <v>41.7330424562</v>
      </c>
      <c r="D19" s="0" t="n">
        <f aca="false">D15+D16+D17+D18</f>
        <v>39.622676453995</v>
      </c>
      <c r="E19" s="0" t="n">
        <f aca="false">E15+E16+E17+E18</f>
        <v>38.2911543806757</v>
      </c>
      <c r="F19" s="0" t="n">
        <f aca="false">F15+F16+F17+F18</f>
        <v>38.8962626658226</v>
      </c>
      <c r="G19" s="0" t="n">
        <f aca="false">G15+G16+G17+G18</f>
        <v>40.6769243841185</v>
      </c>
      <c r="H19" s="0" t="n">
        <f aca="false">H15+H16+H17+H18</f>
        <v>42.4414157269476</v>
      </c>
      <c r="I19" s="0" t="n">
        <f aca="false">I15+I16+I17+I18</f>
        <v>44.2751673184008</v>
      </c>
      <c r="J19" s="0" t="n">
        <f aca="false">J15+J16+J17+J18</f>
        <v>46.4694089278039</v>
      </c>
      <c r="K19" s="0" t="n">
        <f aca="false">K15+K16+K17+K18</f>
        <v>47.8313259794435</v>
      </c>
      <c r="L19" s="0" t="n">
        <f aca="false">L15+L16+L17+L18</f>
        <v>49.0271091289296</v>
      </c>
    </row>
    <row r="20" customFormat="false" ht="15" hidden="false" customHeight="false" outlineLevel="0" collapsed="false">
      <c r="A20" s="0" t="s">
        <v>149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150</v>
      </c>
      <c r="C21" s="0" t="n">
        <f aca="false">C19*C20</f>
        <v>38.1123675399087</v>
      </c>
      <c r="D21" s="0" t="n">
        <f aca="false">D19*D20</f>
        <v>33.0457467142011</v>
      </c>
      <c r="E21" s="0" t="n">
        <f aca="false">E19*E20</f>
        <v>29.1646052072375</v>
      </c>
      <c r="F21" s="0" t="n">
        <f aca="false">F19*F20</f>
        <v>27.0552404229336</v>
      </c>
      <c r="G21" s="0" t="n">
        <f aca="false">G19*G20</f>
        <v>25.8391077073704</v>
      </c>
      <c r="H21" s="0" t="n">
        <f aca="false">H19*H20</f>
        <v>24.6209693365167</v>
      </c>
      <c r="I21" s="0" t="n">
        <f aca="false">I19*I20</f>
        <v>23.4564009638093</v>
      </c>
      <c r="J21" s="0" t="n">
        <f aca="false">J19*J20</f>
        <v>22.4829966130106</v>
      </c>
      <c r="K21" s="0" t="n">
        <f aca="false">K19*K20</f>
        <v>21.1341773705745</v>
      </c>
      <c r="L21" s="0" t="n">
        <f aca="false">L19*L20</f>
        <v>19.783134068346</v>
      </c>
    </row>
    <row r="23" customFormat="false" ht="15" hidden="false" customHeight="false" outlineLevel="0" collapsed="false">
      <c r="A23" s="0" t="s">
        <v>126</v>
      </c>
      <c r="C23" s="4" t="n">
        <f aca="false">Assumptions!C16</f>
        <v>0.15</v>
      </c>
      <c r="D23" s="4" t="n">
        <f aca="false">Assumptions!D16</f>
        <v>0.15</v>
      </c>
      <c r="E23" s="4" t="n">
        <f aca="false">Assumptions!E16</f>
        <v>0.15</v>
      </c>
      <c r="F23" s="4" t="n">
        <f aca="false">Assumptions!F16</f>
        <v>0.15</v>
      </c>
      <c r="G23" s="4" t="n">
        <f aca="false">Assumptions!G16</f>
        <v>0.15</v>
      </c>
      <c r="H23" s="4" t="n">
        <f aca="false">Assumptions!H16</f>
        <v>0.15</v>
      </c>
      <c r="I23" s="4" t="n">
        <f aca="false">Assumptions!I16</f>
        <v>0.15</v>
      </c>
      <c r="J23" s="4" t="n">
        <f aca="false">Assumptions!J16</f>
        <v>0.15</v>
      </c>
      <c r="K23" s="4" t="n">
        <f aca="false">Assumptions!K16</f>
        <v>0.15</v>
      </c>
      <c r="L23" s="4" t="n">
        <f aca="false">Assumptions!L16</f>
        <v>0.15</v>
      </c>
    </row>
    <row r="24" customFormat="false" ht="15" hidden="false" customHeight="false" outlineLevel="0" collapsed="false">
      <c r="A24" s="0" t="s">
        <v>151</v>
      </c>
      <c r="C24" s="0" t="n">
        <f aca="false">-C6*C23/100</f>
        <v>-5.230256055</v>
      </c>
      <c r="D24" s="0" t="n">
        <f aca="false">-D6*D23/100</f>
        <v>-5.28255861555</v>
      </c>
      <c r="E24" s="0" t="n">
        <f aca="false">-E6*E23/100</f>
        <v>-5.36179699478325</v>
      </c>
      <c r="F24" s="0" t="n">
        <f aca="false">-F6*F23/100</f>
        <v>-5.49584191965283</v>
      </c>
      <c r="G24" s="0" t="n">
        <f aca="false">-G6*G23/100</f>
        <v>-5.66071717724242</v>
      </c>
      <c r="H24" s="0" t="n">
        <f aca="false">-H6*H23/100</f>
        <v>-5.83053869255969</v>
      </c>
      <c r="I24" s="0" t="n">
        <f aca="false">-I6*I23/100</f>
        <v>-6.00545485333648</v>
      </c>
      <c r="J24" s="0" t="n">
        <f aca="false">-J6*J23/100</f>
        <v>-6.18561849893658</v>
      </c>
      <c r="K24" s="0" t="n">
        <f aca="false">-K6*K23/100</f>
        <v>-6.34025896140999</v>
      </c>
      <c r="L24" s="0" t="n">
        <f aca="false">-L6*L23/100</f>
        <v>-6.49876543544524</v>
      </c>
    </row>
    <row r="26" customFormat="false" ht="15" hidden="false" customHeight="false" outlineLevel="0" collapsed="false">
      <c r="A26" s="2" t="s">
        <v>152</v>
      </c>
    </row>
    <row r="27" customFormat="false" ht="15" hidden="false" customHeight="false" outlineLevel="0" collapsed="false">
      <c r="A27" s="0" t="s">
        <v>130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131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132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153</v>
      </c>
      <c r="B30" s="0" t="n">
        <f aca="false">SUM(C21:L21)</f>
        <v>264.694745943909</v>
      </c>
    </row>
    <row r="31" customFormat="false" ht="15" hidden="false" customHeight="false" outlineLevel="0" collapsed="false">
      <c r="A31" s="0" t="s">
        <v>154</v>
      </c>
      <c r="B31" s="0" t="n">
        <f aca="false">L19</f>
        <v>49.0271091289296</v>
      </c>
    </row>
    <row r="32" customFormat="false" ht="15" hidden="false" customHeight="false" outlineLevel="0" collapsed="false">
      <c r="A32" s="0" t="s">
        <v>155</v>
      </c>
      <c r="B32" s="0" t="n">
        <f aca="false">IF(B27&gt;B28,B31*(1+B28/100)/((B27-B28)/100),B31*B29)</f>
        <v>666.768684153443</v>
      </c>
    </row>
    <row r="33" customFormat="false" ht="15" hidden="false" customHeight="false" outlineLevel="0" collapsed="false">
      <c r="A33" s="0" t="s">
        <v>156</v>
      </c>
      <c r="B33" s="0" t="n">
        <f aca="false">B31*B29</f>
        <v>882.487964320733</v>
      </c>
    </row>
    <row r="34" customFormat="false" ht="15" hidden="false" customHeight="false" outlineLevel="0" collapsed="false">
      <c r="A34" s="0" t="s">
        <v>157</v>
      </c>
      <c r="B34" s="0" t="n">
        <f aca="false">MAX(0,MIN(B32,B33))</f>
        <v>666.768684153443</v>
      </c>
    </row>
    <row r="35" customFormat="false" ht="15" hidden="false" customHeight="false" outlineLevel="0" collapsed="false">
      <c r="A35" s="0" t="s">
        <v>158</v>
      </c>
      <c r="B35" s="0" t="n">
        <f aca="false">B34/(1+B27/100)^L4</f>
        <v>269.050623329506</v>
      </c>
    </row>
    <row r="36" customFormat="false" ht="15" hidden="false" customHeight="false" outlineLevel="0" collapsed="false">
      <c r="A36" s="0" t="s">
        <v>159</v>
      </c>
      <c r="B36" s="0" t="n">
        <f aca="false">B30+B35</f>
        <v>533.745369273415</v>
      </c>
    </row>
    <row r="37" customFormat="false" ht="15" hidden="false" customHeight="false" outlineLevel="0" collapsed="false">
      <c r="A37" s="0" t="s">
        <v>160</v>
      </c>
      <c r="B37" s="0" t="n">
        <f aca="false">B36+Assumptions!$B$5-Assumptions!$B$4</f>
        <v>689.157369273415</v>
      </c>
    </row>
    <row r="38" customFormat="false" ht="15" hidden="false" customHeight="false" outlineLevel="0" collapsed="false">
      <c r="A38" s="0" t="s">
        <v>161</v>
      </c>
      <c r="B38" s="0" t="n">
        <f aca="false">B37/Assumptions!$B$3*Assumptions!$B$10</f>
        <v>4.43188018825347</v>
      </c>
    </row>
    <row r="39" customFormat="false" ht="15" hidden="false" customHeight="false" outlineLevel="0" collapsed="false">
      <c r="A39" s="0" t="s">
        <v>162</v>
      </c>
      <c r="B39" s="4" t="n">
        <f aca="false">B38/Assumptions!$B$2-1</f>
        <v>-0.610212824252113</v>
      </c>
    </row>
    <row r="41" customFormat="false" ht="15" hidden="false" customHeight="false" outlineLevel="0" collapsed="false">
      <c r="A41" s="0" t="s">
        <v>163</v>
      </c>
      <c r="B41" s="0" t="n">
        <f aca="false">SUMPRODUCT(-C10:L10/(1+$B$27/100)^C4:L4)</f>
        <v>9.51071242385637</v>
      </c>
    </row>
    <row r="42" customFormat="false" ht="15" hidden="false" customHeight="false" outlineLevel="0" collapsed="false">
      <c r="A42" s="0" t="s">
        <v>164</v>
      </c>
      <c r="B42" s="0" t="n">
        <f aca="false">IF(B27&gt;B28,-L10*(1+B28/100)/((B27-B28)/100),-L10*20)/(1+B27/100)^L4</f>
        <v>9.51036775283193</v>
      </c>
    </row>
    <row r="43" customFormat="false" ht="15" hidden="false" customHeight="false" outlineLevel="0" collapsed="false">
      <c r="A43" s="0" t="s">
        <v>165</v>
      </c>
      <c r="B43" s="0" t="n">
        <f aca="false">(B37+B41+B42)/Assumptions!$B$3*Assumptions!$B$10</f>
        <v>4.55420224726754</v>
      </c>
    </row>
    <row r="45" customFormat="false" ht="15" hidden="false" customHeight="false" outlineLevel="0" collapsed="false">
      <c r="A45" s="0" t="s">
        <v>106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166</v>
      </c>
      <c r="B46" s="0" t="n">
        <f aca="false">MAX(0,MIN(IF(B45&gt;B28,B31*(1+B28/100)/((B45-B28)/100),B31*B29),B31*B29))</f>
        <v>384.674240857756</v>
      </c>
    </row>
    <row r="47" customFormat="false" ht="15" hidden="false" customHeight="false" outlineLevel="0" collapsed="false">
      <c r="A47" s="0" t="s">
        <v>167</v>
      </c>
      <c r="B47" s="0" t="n">
        <f aca="false">(SUMPRODUCT(C19:L19/(1+B45/100)^C4:L4)+B46/(1+B45/100)^L4+Assumptions!$B$5-Assumptions!$B$4)/Assumptions!$B$3*Assumptions!$B$10</f>
        <v>2.96004482369709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168</v>
      </c>
    </row>
    <row r="3" customFormat="false" ht="15" hidden="false" customHeight="false" outlineLevel="0" collapsed="false">
      <c r="A3" s="0" t="s">
        <v>138</v>
      </c>
      <c r="B3" s="0" t="s">
        <v>100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</row>
    <row r="4" customFormat="false" ht="15" hidden="false" customHeight="false" outlineLevel="0" collapsed="false">
      <c r="A4" s="0" t="s">
        <v>139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123</v>
      </c>
      <c r="C5" s="4" t="n">
        <f aca="false">Assumptions!C27</f>
        <v>8</v>
      </c>
      <c r="D5" s="4" t="n">
        <f aca="false">Assumptions!D27</f>
        <v>7.5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63</v>
      </c>
      <c r="B6" s="3" t="n">
        <v>3385.279</v>
      </c>
      <c r="C6" s="0" t="n">
        <f aca="false">B6*(1+C5/100)</f>
        <v>3656.10132</v>
      </c>
      <c r="D6" s="0" t="n">
        <f aca="false">C6*(1+D5/100)</f>
        <v>3930.308919</v>
      </c>
      <c r="E6" s="0" t="n">
        <f aca="false">D6*(1+E5/100)</f>
        <v>4205.43054333</v>
      </c>
      <c r="F6" s="0" t="n">
        <f aca="false">E6*(1+F5/100)</f>
        <v>4478.78352864645</v>
      </c>
      <c r="G6" s="0" t="n">
        <f aca="false">F6*(1+G5/100)</f>
        <v>4747.51054036524</v>
      </c>
      <c r="H6" s="0" t="n">
        <f aca="false">G6*(1+H5/100)</f>
        <v>4984.8860673835</v>
      </c>
      <c r="I6" s="0" t="n">
        <f aca="false">H6*(1+I5/100)</f>
        <v>5209.20594041576</v>
      </c>
      <c r="J6" s="0" t="n">
        <f aca="false">I6*(1+J5/100)</f>
        <v>5417.57417803239</v>
      </c>
      <c r="K6" s="0" t="n">
        <f aca="false">J6*(1+K5/100)</f>
        <v>5607.18927426352</v>
      </c>
      <c r="L6" s="0" t="n">
        <f aca="false">K6*(1+L5/100)</f>
        <v>5775.40495249143</v>
      </c>
    </row>
    <row r="7" customFormat="false" ht="15" hidden="false" customHeight="false" outlineLevel="0" collapsed="false">
      <c r="A7" s="0" t="s">
        <v>124</v>
      </c>
      <c r="C7" s="4" t="n">
        <f aca="false">Assumptions!C28</f>
        <v>2.18</v>
      </c>
      <c r="D7" s="4" t="n">
        <f aca="false">Assumptions!D28</f>
        <v>2.22</v>
      </c>
      <c r="E7" s="4" t="n">
        <f aca="false">Assumptions!E28</f>
        <v>2.25</v>
      </c>
      <c r="F7" s="4" t="n">
        <f aca="false">Assumptions!F28</f>
        <v>2.27</v>
      </c>
      <c r="G7" s="4" t="n">
        <f aca="false">Assumptions!G28</f>
        <v>2.28</v>
      </c>
      <c r="H7" s="4" t="n">
        <f aca="false">Assumptions!H28</f>
        <v>2.28</v>
      </c>
      <c r="I7" s="4" t="n">
        <f aca="false">Assumptions!I28</f>
        <v>2.28</v>
      </c>
      <c r="J7" s="4" t="n">
        <f aca="false">Assumptions!J28</f>
        <v>2.28</v>
      </c>
      <c r="K7" s="4" t="n">
        <f aca="false">Assumptions!K28</f>
        <v>2.28</v>
      </c>
      <c r="L7" s="4" t="n">
        <f aca="false">Assumptions!L28</f>
        <v>2.28</v>
      </c>
    </row>
    <row r="8" customFormat="false" ht="15" hidden="false" customHeight="false" outlineLevel="0" collapsed="false">
      <c r="A8" s="0" t="s">
        <v>69</v>
      </c>
      <c r="C8" s="0" t="n">
        <f aca="false">C6*C7/100</f>
        <v>79.703008776</v>
      </c>
      <c r="D8" s="0" t="n">
        <f aca="false">D6*D7/100</f>
        <v>87.2528580018</v>
      </c>
      <c r="E8" s="0" t="n">
        <f aca="false">E6*E7/100</f>
        <v>94.622187224925</v>
      </c>
      <c r="F8" s="0" t="n">
        <f aca="false">F6*F7/100</f>
        <v>101.668386100274</v>
      </c>
      <c r="G8" s="0" t="n">
        <f aca="false">G6*G7/100</f>
        <v>108.243240320327</v>
      </c>
      <c r="H8" s="0" t="n">
        <f aca="false">H6*H7/100</f>
        <v>113.655402336344</v>
      </c>
      <c r="I8" s="0" t="n">
        <f aca="false">I6*I7/100</f>
        <v>118.769895441479</v>
      </c>
      <c r="J8" s="0" t="n">
        <f aca="false">J6*J7/100</f>
        <v>123.520691259138</v>
      </c>
      <c r="K8" s="0" t="n">
        <f aca="false">K6*K7/100</f>
        <v>127.843915453208</v>
      </c>
      <c r="L8" s="0" t="n">
        <f aca="false">L6*L7/100</f>
        <v>131.679232916805</v>
      </c>
    </row>
    <row r="9" customFormat="false" ht="15" hidden="false" customHeight="false" outlineLevel="0" collapsed="false">
      <c r="A9" s="0" t="s">
        <v>125</v>
      </c>
      <c r="C9" s="4" t="n">
        <f aca="false">Assumptions!C29</f>
        <v>0.04</v>
      </c>
      <c r="D9" s="4" t="n">
        <f aca="false">Assumptions!D29</f>
        <v>0.04</v>
      </c>
      <c r="E9" s="4" t="n">
        <f aca="false">Assumptions!E29</f>
        <v>0.04</v>
      </c>
      <c r="F9" s="4" t="n">
        <f aca="false">Assumptions!F29</f>
        <v>0.04</v>
      </c>
      <c r="G9" s="4" t="n">
        <f aca="false">Assumptions!G29</f>
        <v>0.04</v>
      </c>
      <c r="H9" s="4" t="n">
        <f aca="false">Assumptions!H29</f>
        <v>0.04</v>
      </c>
      <c r="I9" s="4" t="n">
        <f aca="false">Assumptions!I29</f>
        <v>0.04</v>
      </c>
      <c r="J9" s="4" t="n">
        <f aca="false">Assumptions!J29</f>
        <v>0.04</v>
      </c>
      <c r="K9" s="4" t="n">
        <f aca="false">Assumptions!K29</f>
        <v>0.04</v>
      </c>
      <c r="L9" s="4" t="n">
        <f aca="false">Assumptions!L29</f>
        <v>0.04</v>
      </c>
    </row>
    <row r="10" customFormat="false" ht="15" hidden="false" customHeight="false" outlineLevel="0" collapsed="false">
      <c r="A10" s="0" t="s">
        <v>140</v>
      </c>
      <c r="C10" s="0" t="n">
        <f aca="false">-C6*C9/100</f>
        <v>-1.462440528</v>
      </c>
      <c r="D10" s="0" t="n">
        <f aca="false">-D6*D9/100</f>
        <v>-1.5721235676</v>
      </c>
      <c r="E10" s="0" t="n">
        <f aca="false">-E6*E9/100</f>
        <v>-1.682172217332</v>
      </c>
      <c r="F10" s="0" t="n">
        <f aca="false">-F6*F9/100</f>
        <v>-1.79151341145858</v>
      </c>
      <c r="G10" s="0" t="n">
        <f aca="false">-G6*G9/100</f>
        <v>-1.8990042161461</v>
      </c>
      <c r="H10" s="0" t="n">
        <f aca="false">-H6*H9/100</f>
        <v>-1.9939544269534</v>
      </c>
      <c r="I10" s="0" t="n">
        <f aca="false">-I6*I9/100</f>
        <v>-2.0836823761663</v>
      </c>
      <c r="J10" s="0" t="n">
        <f aca="false">-J6*J9/100</f>
        <v>-2.16702967121296</v>
      </c>
      <c r="K10" s="0" t="n">
        <f aca="false">-K6*K9/100</f>
        <v>-2.24287570970541</v>
      </c>
      <c r="L10" s="0" t="n">
        <f aca="false">-L6*L9/100</f>
        <v>-2.31016198099657</v>
      </c>
    </row>
    <row r="11" customFormat="false" ht="15" hidden="false" customHeight="false" outlineLevel="0" collapsed="false">
      <c r="A11" s="0" t="s">
        <v>141</v>
      </c>
      <c r="C11" s="0" t="n">
        <f aca="false">C8+C10+C24</f>
        <v>72.756416268</v>
      </c>
      <c r="D11" s="0" t="n">
        <f aca="false">D8+D10+D24</f>
        <v>79.7852710557</v>
      </c>
      <c r="E11" s="0" t="n">
        <f aca="false">E8+E10+E24</f>
        <v>86.631869192598</v>
      </c>
      <c r="F11" s="0" t="n">
        <f aca="false">F8+F10+F24</f>
        <v>93.1586973958462</v>
      </c>
      <c r="G11" s="0" t="n">
        <f aca="false">G8+G10+G24</f>
        <v>99.2229702936335</v>
      </c>
      <c r="H11" s="0" t="n">
        <f aca="false">H8+H10+H24</f>
        <v>104.184118808315</v>
      </c>
      <c r="I11" s="0" t="n">
        <f aca="false">I8+I10+I24</f>
        <v>108.872404154689</v>
      </c>
      <c r="J11" s="0" t="n">
        <f aca="false">J8+J10+J24</f>
        <v>113.227300320877</v>
      </c>
      <c r="K11" s="0" t="n">
        <f aca="false">K8+K10+K24</f>
        <v>117.190255832108</v>
      </c>
      <c r="L11" s="0" t="n">
        <f aca="false">L8+L10+L24</f>
        <v>120.705963507071</v>
      </c>
    </row>
    <row r="12" customFormat="false" ht="15" hidden="false" customHeight="false" outlineLevel="0" collapsed="false">
      <c r="A12" s="0" t="s">
        <v>142</v>
      </c>
      <c r="C12" s="4" t="n">
        <f aca="false">-C6*Assumptions!C31/100</f>
        <v>-2.924881056</v>
      </c>
      <c r="D12" s="4" t="n">
        <f aca="false">-D6*Assumptions!D31/100</f>
        <v>-3.1442471352</v>
      </c>
      <c r="E12" s="4" t="n">
        <f aca="false">-E6*Assumptions!E31/100</f>
        <v>-3.364344434664</v>
      </c>
      <c r="F12" s="4" t="n">
        <f aca="false">-F6*Assumptions!F31/100</f>
        <v>-3.58302682291716</v>
      </c>
      <c r="G12" s="4" t="n">
        <f aca="false">-G6*Assumptions!G31/100</f>
        <v>-3.79800843229219</v>
      </c>
      <c r="H12" s="4" t="n">
        <f aca="false">-H6*Assumptions!H31/100</f>
        <v>-3.9879088539068</v>
      </c>
      <c r="I12" s="4" t="n">
        <f aca="false">-I6*Assumptions!I31/100</f>
        <v>-4.16736475233261</v>
      </c>
      <c r="J12" s="4" t="n">
        <f aca="false">-J6*Assumptions!J31/100</f>
        <v>-4.33405934242591</v>
      </c>
      <c r="K12" s="4" t="n">
        <f aca="false">-K6*Assumptions!K31/100</f>
        <v>-4.48575141941082</v>
      </c>
      <c r="L12" s="4" t="n">
        <f aca="false">-L6*Assumptions!L31/100</f>
        <v>-4.62032396199314</v>
      </c>
    </row>
    <row r="13" customFormat="false" ht="15" hidden="false" customHeight="false" outlineLevel="0" collapsed="false">
      <c r="A13" s="0" t="s">
        <v>143</v>
      </c>
      <c r="C13" s="0" t="n">
        <f aca="false">C11+C12</f>
        <v>69.831535212</v>
      </c>
      <c r="D13" s="0" t="n">
        <f aca="false">D11+D12</f>
        <v>76.6410239205</v>
      </c>
      <c r="E13" s="0" t="n">
        <f aca="false">E11+E12</f>
        <v>83.267524757934</v>
      </c>
      <c r="F13" s="0" t="n">
        <f aca="false">F11+F12</f>
        <v>89.575670572929</v>
      </c>
      <c r="G13" s="0" t="n">
        <f aca="false">G11+G12</f>
        <v>95.4249618613413</v>
      </c>
      <c r="H13" s="0" t="n">
        <f aca="false">H11+H12</f>
        <v>100.196209954408</v>
      </c>
      <c r="I13" s="0" t="n">
        <f aca="false">I11+I12</f>
        <v>104.705039402357</v>
      </c>
      <c r="J13" s="0" t="n">
        <f aca="false">J11+J12</f>
        <v>108.893240978451</v>
      </c>
      <c r="K13" s="0" t="n">
        <f aca="false">K11+K12</f>
        <v>112.704504412697</v>
      </c>
      <c r="L13" s="0" t="n">
        <f aca="false">L11+L12</f>
        <v>116.085639545078</v>
      </c>
    </row>
    <row r="14" customFormat="false" ht="15" hidden="false" customHeight="false" outlineLevel="0" collapsed="false">
      <c r="A14" s="0" t="s">
        <v>129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144</v>
      </c>
      <c r="C15" s="0" t="n">
        <f aca="false">C13-MAX(0,C13)*C14/100</f>
        <v>48.8820746484</v>
      </c>
      <c r="D15" s="0" t="n">
        <f aca="false">D13-MAX(0,D13)*D14/100</f>
        <v>53.64871674435</v>
      </c>
      <c r="E15" s="0" t="n">
        <f aca="false">E13-MAX(0,E13)*E14/100</f>
        <v>58.2872673305538</v>
      </c>
      <c r="F15" s="0" t="n">
        <f aca="false">F13-MAX(0,F13)*F14/100</f>
        <v>62.7029694010503</v>
      </c>
      <c r="G15" s="0" t="n">
        <f aca="false">G13-MAX(0,G13)*G14/100</f>
        <v>66.7974733029389</v>
      </c>
      <c r="H15" s="0" t="n">
        <f aca="false">H13-MAX(0,H13)*H14/100</f>
        <v>70.1373469680858</v>
      </c>
      <c r="I15" s="0" t="n">
        <f aca="false">I13-MAX(0,I13)*I14/100</f>
        <v>73.2935275816497</v>
      </c>
      <c r="J15" s="0" t="n">
        <f aca="false">J13-MAX(0,J13)*J14/100</f>
        <v>76.2252686849157</v>
      </c>
      <c r="K15" s="0" t="n">
        <f aca="false">K13-MAX(0,K13)*K14/100</f>
        <v>78.8931530888877</v>
      </c>
      <c r="L15" s="0" t="n">
        <f aca="false">L13-MAX(0,L13)*L14/100</f>
        <v>81.2599476815544</v>
      </c>
    </row>
    <row r="16" customFormat="false" ht="15" hidden="false" customHeight="false" outlineLevel="0" collapsed="false">
      <c r="A16" s="0" t="s">
        <v>145</v>
      </c>
      <c r="C16" s="0" t="n">
        <f aca="false">-C12</f>
        <v>2.924881056</v>
      </c>
      <c r="D16" s="0" t="n">
        <f aca="false">-D12</f>
        <v>3.1442471352</v>
      </c>
      <c r="E16" s="0" t="n">
        <f aca="false">-E12</f>
        <v>3.364344434664</v>
      </c>
      <c r="F16" s="0" t="n">
        <f aca="false">-F12</f>
        <v>3.58302682291716</v>
      </c>
      <c r="G16" s="0" t="n">
        <f aca="false">-G12</f>
        <v>3.79800843229219</v>
      </c>
      <c r="H16" s="0" t="n">
        <f aca="false">-H12</f>
        <v>3.9879088539068</v>
      </c>
      <c r="I16" s="0" t="n">
        <f aca="false">-I12</f>
        <v>4.16736475233261</v>
      </c>
      <c r="J16" s="0" t="n">
        <f aca="false">-J12</f>
        <v>4.33405934242591</v>
      </c>
      <c r="K16" s="0" t="n">
        <f aca="false">-K12</f>
        <v>4.48575141941082</v>
      </c>
      <c r="L16" s="0" t="n">
        <f aca="false">-L12</f>
        <v>4.62032396199314</v>
      </c>
    </row>
    <row r="17" customFormat="false" ht="15" hidden="false" customHeight="false" outlineLevel="0" collapsed="false">
      <c r="A17" s="0" t="s">
        <v>146</v>
      </c>
      <c r="C17" s="4" t="n">
        <f aca="false">-C6*Assumptions!C32/100</f>
        <v>-3.65610132</v>
      </c>
      <c r="D17" s="4" t="n">
        <f aca="false">-D6*Assumptions!D32/100</f>
        <v>-3.930308919</v>
      </c>
      <c r="E17" s="4" t="n">
        <f aca="false">-E6*Assumptions!E32/100</f>
        <v>-4.20543054333</v>
      </c>
      <c r="F17" s="4" t="n">
        <f aca="false">-F6*Assumptions!F32/100</f>
        <v>-4.47878352864645</v>
      </c>
      <c r="G17" s="4" t="n">
        <f aca="false">-G6*Assumptions!G32/100</f>
        <v>-4.74751054036524</v>
      </c>
      <c r="H17" s="4" t="n">
        <f aca="false">-H6*Assumptions!H32/100</f>
        <v>-4.9848860673835</v>
      </c>
      <c r="I17" s="4" t="n">
        <f aca="false">-I6*Assumptions!I32/100</f>
        <v>-5.20920594041576</v>
      </c>
      <c r="J17" s="4" t="n">
        <f aca="false">-J6*Assumptions!J32/100</f>
        <v>-5.41757417803239</v>
      </c>
      <c r="K17" s="4" t="n">
        <f aca="false">-K6*Assumptions!K32/100</f>
        <v>-5.60718927426352</v>
      </c>
      <c r="L17" s="4" t="n">
        <f aca="false">-L6*Assumptions!L32/100</f>
        <v>-5.77540495249143</v>
      </c>
    </row>
    <row r="18" customFormat="false" ht="15" hidden="false" customHeight="false" outlineLevel="0" collapsed="false">
      <c r="A18" s="0" t="s">
        <v>147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148</v>
      </c>
      <c r="C19" s="0" t="n">
        <f aca="false">C15+C16+C17+C18</f>
        <v>48.1508543844</v>
      </c>
      <c r="D19" s="0" t="n">
        <f aca="false">D15+D16+D17+D18</f>
        <v>52.86265496055</v>
      </c>
      <c r="E19" s="0" t="n">
        <f aca="false">E15+E16+E17+E18</f>
        <v>57.4461812218878</v>
      </c>
      <c r="F19" s="0" t="n">
        <f aca="false">F15+F16+F17+F18</f>
        <v>61.807212695321</v>
      </c>
      <c r="G19" s="0" t="n">
        <f aca="false">G15+G16+G17+G18</f>
        <v>65.8479711948658</v>
      </c>
      <c r="H19" s="0" t="n">
        <f aca="false">H15+H16+H17+H18</f>
        <v>69.1403697546091</v>
      </c>
      <c r="I19" s="0" t="n">
        <f aca="false">I15+I16+I17+I18</f>
        <v>72.2516863935665</v>
      </c>
      <c r="J19" s="0" t="n">
        <f aca="false">J15+J16+J17+J18</f>
        <v>75.1417538493092</v>
      </c>
      <c r="K19" s="0" t="n">
        <f aca="false">K15+K16+K17+K18</f>
        <v>77.771715234035</v>
      </c>
      <c r="L19" s="0" t="n">
        <f aca="false">L15+L16+L17+L18</f>
        <v>80.1048666910561</v>
      </c>
    </row>
    <row r="20" customFormat="false" ht="15" hidden="false" customHeight="false" outlineLevel="0" collapsed="false">
      <c r="A20" s="0" t="s">
        <v>149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150</v>
      </c>
      <c r="C21" s="0" t="n">
        <f aca="false">C19*C20</f>
        <v>43.9733829994521</v>
      </c>
      <c r="D21" s="0" t="n">
        <f aca="false">D19*D20</f>
        <v>44.0880339947457</v>
      </c>
      <c r="E21" s="0" t="n">
        <f aca="false">E19*E20</f>
        <v>43.7541051738387</v>
      </c>
      <c r="F21" s="0" t="n">
        <f aca="false">F19*F20</f>
        <v>42.9915083027409</v>
      </c>
      <c r="G21" s="0" t="n">
        <f aca="false">G19*G20</f>
        <v>41.8284530056619</v>
      </c>
      <c r="H21" s="0" t="n">
        <f aca="false">H19*H20</f>
        <v>40.1094754848813</v>
      </c>
      <c r="I21" s="0" t="n">
        <f aca="false">I19*I20</f>
        <v>38.2779925860282</v>
      </c>
      <c r="J21" s="0" t="n">
        <f aca="false">J19*J20</f>
        <v>36.3553536890131</v>
      </c>
      <c r="K21" s="0" t="n">
        <f aca="false">K19*K20</f>
        <v>34.3632795142727</v>
      </c>
      <c r="L21" s="0" t="n">
        <f aca="false">L19*L20</f>
        <v>32.3234501367131</v>
      </c>
    </row>
    <row r="23" customFormat="false" ht="15" hidden="false" customHeight="false" outlineLevel="0" collapsed="false">
      <c r="A23" s="0" t="s">
        <v>126</v>
      </c>
      <c r="C23" s="4" t="n">
        <f aca="false">Assumptions!C30</f>
        <v>0.15</v>
      </c>
      <c r="D23" s="4" t="n">
        <f aca="false">Assumptions!D30</f>
        <v>0.15</v>
      </c>
      <c r="E23" s="4" t="n">
        <f aca="false">Assumptions!E30</f>
        <v>0.15</v>
      </c>
      <c r="F23" s="4" t="n">
        <f aca="false">Assumptions!F30</f>
        <v>0.15</v>
      </c>
      <c r="G23" s="4" t="n">
        <f aca="false">Assumptions!G30</f>
        <v>0.15</v>
      </c>
      <c r="H23" s="4" t="n">
        <f aca="false">Assumptions!H30</f>
        <v>0.15</v>
      </c>
      <c r="I23" s="4" t="n">
        <f aca="false">Assumptions!I30</f>
        <v>0.15</v>
      </c>
      <c r="J23" s="4" t="n">
        <f aca="false">Assumptions!J30</f>
        <v>0.15</v>
      </c>
      <c r="K23" s="4" t="n">
        <f aca="false">Assumptions!K30</f>
        <v>0.15</v>
      </c>
      <c r="L23" s="4" t="n">
        <f aca="false">Assumptions!L30</f>
        <v>0.15</v>
      </c>
    </row>
    <row r="24" customFormat="false" ht="15" hidden="false" customHeight="false" outlineLevel="0" collapsed="false">
      <c r="A24" s="0" t="s">
        <v>151</v>
      </c>
      <c r="C24" s="0" t="n">
        <f aca="false">-C6*C23/100</f>
        <v>-5.48415198</v>
      </c>
      <c r="D24" s="0" t="n">
        <f aca="false">-D6*D23/100</f>
        <v>-5.8954633785</v>
      </c>
      <c r="E24" s="0" t="n">
        <f aca="false">-E6*E23/100</f>
        <v>-6.308145814995</v>
      </c>
      <c r="F24" s="0" t="n">
        <f aca="false">-F6*F23/100</f>
        <v>-6.71817529296968</v>
      </c>
      <c r="G24" s="0" t="n">
        <f aca="false">-G6*G23/100</f>
        <v>-7.12126581054786</v>
      </c>
      <c r="H24" s="0" t="n">
        <f aca="false">-H6*H23/100</f>
        <v>-7.47732910107525</v>
      </c>
      <c r="I24" s="0" t="n">
        <f aca="false">-I6*I23/100</f>
        <v>-7.81380891062364</v>
      </c>
      <c r="J24" s="0" t="n">
        <f aca="false">-J6*J23/100</f>
        <v>-8.12636126704858</v>
      </c>
      <c r="K24" s="0" t="n">
        <f aca="false">-K6*K23/100</f>
        <v>-8.41078391139528</v>
      </c>
      <c r="L24" s="0" t="n">
        <f aca="false">-L6*L23/100</f>
        <v>-8.66310742873714</v>
      </c>
    </row>
    <row r="26" customFormat="false" ht="15" hidden="false" customHeight="false" outlineLevel="0" collapsed="false">
      <c r="A26" s="2" t="s">
        <v>152</v>
      </c>
    </row>
    <row r="27" customFormat="false" ht="15" hidden="false" customHeight="false" outlineLevel="0" collapsed="false">
      <c r="A27" s="0" t="s">
        <v>130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131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132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153</v>
      </c>
      <c r="B30" s="0" t="n">
        <f aca="false">SUM(C21:L21)</f>
        <v>398.065034887348</v>
      </c>
    </row>
    <row r="31" customFormat="false" ht="15" hidden="false" customHeight="false" outlineLevel="0" collapsed="false">
      <c r="A31" s="0" t="s">
        <v>154</v>
      </c>
      <c r="B31" s="0" t="n">
        <f aca="false">L19</f>
        <v>80.1048666910561</v>
      </c>
    </row>
    <row r="32" customFormat="false" ht="15" hidden="false" customHeight="false" outlineLevel="0" collapsed="false">
      <c r="A32" s="0" t="s">
        <v>155</v>
      </c>
      <c r="B32" s="0" t="n">
        <f aca="false">IF(B27&gt;B28,B31*(1+B28/100)/((B27-B28)/100),B31*B29)</f>
        <v>1172.96411940475</v>
      </c>
    </row>
    <row r="33" customFormat="false" ht="15" hidden="false" customHeight="false" outlineLevel="0" collapsed="false">
      <c r="A33" s="0" t="s">
        <v>156</v>
      </c>
      <c r="B33" s="0" t="n">
        <f aca="false">B31*B29</f>
        <v>1441.88760043901</v>
      </c>
    </row>
    <row r="34" customFormat="false" ht="15" hidden="false" customHeight="false" outlineLevel="0" collapsed="false">
      <c r="A34" s="0" t="s">
        <v>157</v>
      </c>
      <c r="B34" s="0" t="n">
        <f aca="false">MAX(0,MIN(B32,B33))</f>
        <v>1172.96411940475</v>
      </c>
    </row>
    <row r="35" customFormat="false" ht="15" hidden="false" customHeight="false" outlineLevel="0" collapsed="false">
      <c r="A35" s="0" t="s">
        <v>158</v>
      </c>
      <c r="B35" s="0" t="n">
        <f aca="false">B34/(1+B27/100)^L4</f>
        <v>473.307662716156</v>
      </c>
    </row>
    <row r="36" customFormat="false" ht="15" hidden="false" customHeight="false" outlineLevel="0" collapsed="false">
      <c r="A36" s="0" t="s">
        <v>159</v>
      </c>
      <c r="B36" s="0" t="n">
        <f aca="false">B30+B35</f>
        <v>871.372697603504</v>
      </c>
    </row>
    <row r="37" customFormat="false" ht="15" hidden="false" customHeight="false" outlineLevel="0" collapsed="false">
      <c r="A37" s="0" t="s">
        <v>160</v>
      </c>
      <c r="B37" s="0" t="n">
        <f aca="false">B36+Assumptions!$B$5-Assumptions!$B$4</f>
        <v>1026.7846976035</v>
      </c>
    </row>
    <row r="38" customFormat="false" ht="15" hidden="false" customHeight="false" outlineLevel="0" collapsed="false">
      <c r="A38" s="0" t="s">
        <v>161</v>
      </c>
      <c r="B38" s="0" t="n">
        <f aca="false">B37/Assumptions!$B$3*Assumptions!$B$10</f>
        <v>6.60311702638909</v>
      </c>
    </row>
    <row r="39" customFormat="false" ht="15" hidden="false" customHeight="false" outlineLevel="0" collapsed="false">
      <c r="A39" s="0" t="s">
        <v>162</v>
      </c>
      <c r="B39" s="4" t="n">
        <f aca="false">B38/Assumptions!$B$2-1</f>
        <v>-0.419250921161909</v>
      </c>
    </row>
    <row r="41" customFormat="false" ht="15" hidden="false" customHeight="false" outlineLevel="0" collapsed="false">
      <c r="A41" s="0" t="s">
        <v>163</v>
      </c>
      <c r="B41" s="0" t="n">
        <f aca="false">SUMPRODUCT(-C10:L10/(1+$B$27/100)^C4:L4)</f>
        <v>11.6126810522248</v>
      </c>
    </row>
    <row r="42" customFormat="false" ht="15" hidden="false" customHeight="false" outlineLevel="0" collapsed="false">
      <c r="A42" s="0" t="s">
        <v>164</v>
      </c>
      <c r="B42" s="0" t="n">
        <f aca="false">IF(B27&gt;B28,-L10*(1+B28/100)/((B27-B28)/100),-L10*20)/(1+B27/100)^L4</f>
        <v>13.6498244474739</v>
      </c>
    </row>
    <row r="43" customFormat="false" ht="15" hidden="false" customHeight="false" outlineLevel="0" collapsed="false">
      <c r="A43" s="0" t="s">
        <v>165</v>
      </c>
      <c r="B43" s="0" t="n">
        <f aca="false">(B37+B41+B42)/Assumptions!$B$3*Assumptions!$B$10</f>
        <v>6.76557686883089</v>
      </c>
    </row>
    <row r="45" customFormat="false" ht="15" hidden="false" customHeight="false" outlineLevel="0" collapsed="false">
      <c r="A45" s="0" t="s">
        <v>106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166</v>
      </c>
      <c r="B46" s="0" t="n">
        <f aca="false">MAX(0,MIN(IF(B45&gt;B28,B31*(1+B28/100)/((B45-B28)/100),B31*B29),B31*B29))</f>
        <v>656.85990686666</v>
      </c>
    </row>
    <row r="47" customFormat="false" ht="15" hidden="false" customHeight="false" outlineLevel="0" collapsed="false">
      <c r="A47" s="0" t="s">
        <v>167</v>
      </c>
      <c r="B47" s="0" t="n">
        <f aca="false">(SUMPRODUCT(C19:L19/(1+B45/100)^C4:L4)+B46/(1+B45/100)^L4+Assumptions!$B$5-Assumptions!$B$4)/Assumptions!$B$3*Assumptions!$B$10</f>
        <v>4.04497597621271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169</v>
      </c>
    </row>
    <row r="3" customFormat="false" ht="15" hidden="false" customHeight="false" outlineLevel="0" collapsed="false">
      <c r="A3" s="0" t="s">
        <v>138</v>
      </c>
      <c r="B3" s="0" t="s">
        <v>100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</row>
    <row r="4" customFormat="false" ht="15" hidden="false" customHeight="false" outlineLevel="0" collapsed="false">
      <c r="A4" s="0" t="s">
        <v>139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123</v>
      </c>
      <c r="C5" s="4" t="n">
        <f aca="false">Assumptions!C41</f>
        <v>11</v>
      </c>
      <c r="D5" s="4" t="n">
        <f aca="false">Assumptions!D41</f>
        <v>10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63</v>
      </c>
      <c r="B6" s="3" t="n">
        <v>3385.279</v>
      </c>
      <c r="C6" s="0" t="n">
        <f aca="false">B6*(1+C5/100)</f>
        <v>3757.65969</v>
      </c>
      <c r="D6" s="0" t="n">
        <f aca="false">C6*(1+D5/100)</f>
        <v>4133.425659</v>
      </c>
      <c r="E6" s="0" t="n">
        <f aca="false">D6*(1+E5/100)</f>
        <v>4526.101096605</v>
      </c>
      <c r="F6" s="0" t="n">
        <f aca="false">E6*(1+F5/100)</f>
        <v>4933.45019529945</v>
      </c>
      <c r="G6" s="0" t="n">
        <f aca="false">F6*(1+G5/100)</f>
        <v>5328.12621092341</v>
      </c>
      <c r="H6" s="0" t="n">
        <f aca="false">G6*(1+H5/100)</f>
        <v>5701.09504568805</v>
      </c>
      <c r="I6" s="0" t="n">
        <f aca="false">H6*(1+I5/100)</f>
        <v>6043.16074842933</v>
      </c>
      <c r="J6" s="0" t="n">
        <f aca="false">I6*(1+J5/100)</f>
        <v>6345.3187858508</v>
      </c>
      <c r="K6" s="0" t="n">
        <f aca="false">J6*(1+K5/100)</f>
        <v>6599.13153728483</v>
      </c>
      <c r="L6" s="0" t="n">
        <f aca="false">K6*(1+L5/100)</f>
        <v>6830.1011410898</v>
      </c>
    </row>
    <row r="7" customFormat="false" ht="15" hidden="false" customHeight="false" outlineLevel="0" collapsed="false">
      <c r="A7" s="0" t="s">
        <v>124</v>
      </c>
      <c r="C7" s="4" t="n">
        <f aca="false">Assumptions!C42</f>
        <v>2.25</v>
      </c>
      <c r="D7" s="4" t="n">
        <f aca="false">Assumptions!D42</f>
        <v>2.32</v>
      </c>
      <c r="E7" s="4" t="n">
        <f aca="false">Assumptions!E42</f>
        <v>2.38</v>
      </c>
      <c r="F7" s="4" t="n">
        <f aca="false">Assumptions!F42</f>
        <v>2.42</v>
      </c>
      <c r="G7" s="4" t="n">
        <f aca="false">Assumptions!G42</f>
        <v>2.45</v>
      </c>
      <c r="H7" s="4" t="n">
        <f aca="false">Assumptions!H42</f>
        <v>2.47</v>
      </c>
      <c r="I7" s="4" t="n">
        <f aca="false">Assumptions!I42</f>
        <v>2.48</v>
      </c>
      <c r="J7" s="4" t="n">
        <f aca="false">Assumptions!J42</f>
        <v>2.48</v>
      </c>
      <c r="K7" s="4" t="n">
        <f aca="false">Assumptions!K42</f>
        <v>2.48</v>
      </c>
      <c r="L7" s="4" t="n">
        <f aca="false">Assumptions!L42</f>
        <v>2.48</v>
      </c>
    </row>
    <row r="8" customFormat="false" ht="15" hidden="false" customHeight="false" outlineLevel="0" collapsed="false">
      <c r="A8" s="0" t="s">
        <v>69</v>
      </c>
      <c r="C8" s="0" t="n">
        <f aca="false">C6*C7/100</f>
        <v>84.547343025</v>
      </c>
      <c r="D8" s="0" t="n">
        <f aca="false">D6*D7/100</f>
        <v>95.8954752888</v>
      </c>
      <c r="E8" s="0" t="n">
        <f aca="false">E6*E7/100</f>
        <v>107.721206099199</v>
      </c>
      <c r="F8" s="0" t="n">
        <f aca="false">F6*F7/100</f>
        <v>119.389494726247</v>
      </c>
      <c r="G8" s="0" t="n">
        <f aca="false">G6*G7/100</f>
        <v>130.539092167624</v>
      </c>
      <c r="H8" s="0" t="n">
        <f aca="false">H6*H7/100</f>
        <v>140.817047628495</v>
      </c>
      <c r="I8" s="0" t="n">
        <f aca="false">I6*I7/100</f>
        <v>149.870386561047</v>
      </c>
      <c r="J8" s="0" t="n">
        <f aca="false">J6*J7/100</f>
        <v>157.3639058891</v>
      </c>
      <c r="K8" s="0" t="n">
        <f aca="false">K6*K7/100</f>
        <v>163.658462124664</v>
      </c>
      <c r="L8" s="0" t="n">
        <f aca="false">L6*L7/100</f>
        <v>169.386508299027</v>
      </c>
    </row>
    <row r="9" customFormat="false" ht="15" hidden="false" customHeight="false" outlineLevel="0" collapsed="false">
      <c r="A9" s="0" t="s">
        <v>125</v>
      </c>
      <c r="C9" s="4" t="n">
        <f aca="false">Assumptions!C43</f>
        <v>0.04</v>
      </c>
      <c r="D9" s="4" t="n">
        <f aca="false">Assumptions!D43</f>
        <v>0.04</v>
      </c>
      <c r="E9" s="4" t="n">
        <f aca="false">Assumptions!E43</f>
        <v>0.04</v>
      </c>
      <c r="F9" s="4" t="n">
        <f aca="false">Assumptions!F43</f>
        <v>0.04</v>
      </c>
      <c r="G9" s="4" t="n">
        <f aca="false">Assumptions!G43</f>
        <v>0.04</v>
      </c>
      <c r="H9" s="4" t="n">
        <f aca="false">Assumptions!H43</f>
        <v>0.04</v>
      </c>
      <c r="I9" s="4" t="n">
        <f aca="false">Assumptions!I43</f>
        <v>0.04</v>
      </c>
      <c r="J9" s="4" t="n">
        <f aca="false">Assumptions!J43</f>
        <v>0.04</v>
      </c>
      <c r="K9" s="4" t="n">
        <f aca="false">Assumptions!K43</f>
        <v>0.04</v>
      </c>
      <c r="L9" s="4" t="n">
        <f aca="false">Assumptions!L43</f>
        <v>0.04</v>
      </c>
    </row>
    <row r="10" customFormat="false" ht="15" hidden="false" customHeight="false" outlineLevel="0" collapsed="false">
      <c r="A10" s="0" t="s">
        <v>140</v>
      </c>
      <c r="C10" s="0" t="n">
        <f aca="false">-C6*C9/100</f>
        <v>-1.503063876</v>
      </c>
      <c r="D10" s="0" t="n">
        <f aca="false">-D6*D9/100</f>
        <v>-1.6533702636</v>
      </c>
      <c r="E10" s="0" t="n">
        <f aca="false">-E6*E9/100</f>
        <v>-1.810440438642</v>
      </c>
      <c r="F10" s="0" t="n">
        <f aca="false">-F6*F9/100</f>
        <v>-1.97338007811978</v>
      </c>
      <c r="G10" s="0" t="n">
        <f aca="false">-G6*G9/100</f>
        <v>-2.13125048436936</v>
      </c>
      <c r="H10" s="0" t="n">
        <f aca="false">-H6*H9/100</f>
        <v>-2.28043801827522</v>
      </c>
      <c r="I10" s="0" t="n">
        <f aca="false">-I6*I9/100</f>
        <v>-2.41726429937173</v>
      </c>
      <c r="J10" s="0" t="n">
        <f aca="false">-J6*J9/100</f>
        <v>-2.53812751434032</v>
      </c>
      <c r="K10" s="0" t="n">
        <f aca="false">-K6*K9/100</f>
        <v>-2.63965261491393</v>
      </c>
      <c r="L10" s="0" t="n">
        <f aca="false">-L6*L9/100</f>
        <v>-2.73204045643592</v>
      </c>
    </row>
    <row r="11" customFormat="false" ht="15" hidden="false" customHeight="false" outlineLevel="0" collapsed="false">
      <c r="A11" s="0" t="s">
        <v>141</v>
      </c>
      <c r="C11" s="0" t="n">
        <f aca="false">C8+C10+C24</f>
        <v>77.407789614</v>
      </c>
      <c r="D11" s="0" t="n">
        <f aca="false">D8+D10+D24</f>
        <v>88.0419665367</v>
      </c>
      <c r="E11" s="0" t="n">
        <f aca="false">E8+E10+E24</f>
        <v>99.1216140156495</v>
      </c>
      <c r="F11" s="0" t="n">
        <f aca="false">F8+F10+F24</f>
        <v>110.015939355178</v>
      </c>
      <c r="G11" s="0" t="n">
        <f aca="false">G8+G10+G24</f>
        <v>120.415652366869</v>
      </c>
      <c r="H11" s="0" t="n">
        <f aca="false">H8+H10+H24</f>
        <v>129.984967041688</v>
      </c>
      <c r="I11" s="0" t="n">
        <f aca="false">I8+I10+I24</f>
        <v>138.388381139032</v>
      </c>
      <c r="J11" s="0" t="n">
        <f aca="false">J8+J10+J24</f>
        <v>145.307800195983</v>
      </c>
      <c r="K11" s="0" t="n">
        <f aca="false">K8+K10+K24</f>
        <v>151.120112203823</v>
      </c>
      <c r="L11" s="0" t="n">
        <f aca="false">L8+L10+L24</f>
        <v>156.409316130956</v>
      </c>
    </row>
    <row r="12" customFormat="false" ht="15" hidden="false" customHeight="false" outlineLevel="0" collapsed="false">
      <c r="A12" s="0" t="s">
        <v>142</v>
      </c>
      <c r="C12" s="4" t="n">
        <f aca="false">-C6*Assumptions!C45/100</f>
        <v>-3.006127752</v>
      </c>
      <c r="D12" s="4" t="n">
        <f aca="false">-D6*Assumptions!D45/100</f>
        <v>-3.3067405272</v>
      </c>
      <c r="E12" s="4" t="n">
        <f aca="false">-E6*Assumptions!E45/100</f>
        <v>-3.620880877284</v>
      </c>
      <c r="F12" s="4" t="n">
        <f aca="false">-F6*Assumptions!F45/100</f>
        <v>-3.94676015623956</v>
      </c>
      <c r="G12" s="4" t="n">
        <f aca="false">-G6*Assumptions!G45/100</f>
        <v>-4.26250096873873</v>
      </c>
      <c r="H12" s="4" t="n">
        <f aca="false">-H6*Assumptions!H45/100</f>
        <v>-4.56087603655044</v>
      </c>
      <c r="I12" s="4" t="n">
        <f aca="false">-I6*Assumptions!I45/100</f>
        <v>-4.83452859874346</v>
      </c>
      <c r="J12" s="4" t="n">
        <f aca="false">-J6*Assumptions!J45/100</f>
        <v>-5.07625502868064</v>
      </c>
      <c r="K12" s="4" t="n">
        <f aca="false">-K6*Assumptions!K45/100</f>
        <v>-5.27930522982786</v>
      </c>
      <c r="L12" s="4" t="n">
        <f aca="false">-L6*Assumptions!L45/100</f>
        <v>-5.46408091287184</v>
      </c>
    </row>
    <row r="13" customFormat="false" ht="15" hidden="false" customHeight="false" outlineLevel="0" collapsed="false">
      <c r="A13" s="0" t="s">
        <v>143</v>
      </c>
      <c r="C13" s="0" t="n">
        <f aca="false">C11+C12</f>
        <v>74.401661862</v>
      </c>
      <c r="D13" s="0" t="n">
        <f aca="false">D11+D12</f>
        <v>84.7352260095</v>
      </c>
      <c r="E13" s="0" t="n">
        <f aca="false">E11+E12</f>
        <v>95.5007331383655</v>
      </c>
      <c r="F13" s="0" t="n">
        <f aca="false">F11+F12</f>
        <v>106.069179198938</v>
      </c>
      <c r="G13" s="0" t="n">
        <f aca="false">G11+G12</f>
        <v>116.15315139813</v>
      </c>
      <c r="H13" s="0" t="n">
        <f aca="false">H11+H12</f>
        <v>125.424091005137</v>
      </c>
      <c r="I13" s="0" t="n">
        <f aca="false">I11+I12</f>
        <v>133.553852540288</v>
      </c>
      <c r="J13" s="0" t="n">
        <f aca="false">J11+J12</f>
        <v>140.231545167303</v>
      </c>
      <c r="K13" s="0" t="n">
        <f aca="false">K11+K12</f>
        <v>145.840806973995</v>
      </c>
      <c r="L13" s="0" t="n">
        <f aca="false">L11+L12</f>
        <v>150.945235218085</v>
      </c>
    </row>
    <row r="14" customFormat="false" ht="15" hidden="false" customHeight="false" outlineLevel="0" collapsed="false">
      <c r="A14" s="0" t="s">
        <v>129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144</v>
      </c>
      <c r="C15" s="0" t="n">
        <f aca="false">C13-MAX(0,C13)*C14/100</f>
        <v>52.0811633034</v>
      </c>
      <c r="D15" s="0" t="n">
        <f aca="false">D13-MAX(0,D13)*D14/100</f>
        <v>59.31465820665</v>
      </c>
      <c r="E15" s="0" t="n">
        <f aca="false">E13-MAX(0,E13)*E14/100</f>
        <v>66.8505131968559</v>
      </c>
      <c r="F15" s="0" t="n">
        <f aca="false">F13-MAX(0,F13)*F14/100</f>
        <v>74.2484254392568</v>
      </c>
      <c r="G15" s="0" t="n">
        <f aca="false">G13-MAX(0,G13)*G14/100</f>
        <v>81.3072059786912</v>
      </c>
      <c r="H15" s="0" t="n">
        <f aca="false">H13-MAX(0,H13)*H14/100</f>
        <v>87.7968637035959</v>
      </c>
      <c r="I15" s="0" t="n">
        <f aca="false">I13-MAX(0,I13)*I14/100</f>
        <v>93.4876967782017</v>
      </c>
      <c r="J15" s="0" t="n">
        <f aca="false">J13-MAX(0,J13)*J14/100</f>
        <v>98.1620816171118</v>
      </c>
      <c r="K15" s="0" t="n">
        <f aca="false">K13-MAX(0,K13)*K14/100</f>
        <v>102.088564881796</v>
      </c>
      <c r="L15" s="0" t="n">
        <f aca="false">L13-MAX(0,L13)*L14/100</f>
        <v>105.661664652659</v>
      </c>
    </row>
    <row r="16" customFormat="false" ht="15" hidden="false" customHeight="false" outlineLevel="0" collapsed="false">
      <c r="A16" s="0" t="s">
        <v>145</v>
      </c>
      <c r="C16" s="0" t="n">
        <f aca="false">-C12</f>
        <v>3.006127752</v>
      </c>
      <c r="D16" s="0" t="n">
        <f aca="false">-D12</f>
        <v>3.3067405272</v>
      </c>
      <c r="E16" s="0" t="n">
        <f aca="false">-E12</f>
        <v>3.620880877284</v>
      </c>
      <c r="F16" s="0" t="n">
        <f aca="false">-F12</f>
        <v>3.94676015623956</v>
      </c>
      <c r="G16" s="0" t="n">
        <f aca="false">-G12</f>
        <v>4.26250096873873</v>
      </c>
      <c r="H16" s="0" t="n">
        <f aca="false">-H12</f>
        <v>4.56087603655044</v>
      </c>
      <c r="I16" s="0" t="n">
        <f aca="false">-I12</f>
        <v>4.83452859874346</v>
      </c>
      <c r="J16" s="0" t="n">
        <f aca="false">-J12</f>
        <v>5.07625502868064</v>
      </c>
      <c r="K16" s="0" t="n">
        <f aca="false">-K12</f>
        <v>5.27930522982786</v>
      </c>
      <c r="L16" s="0" t="n">
        <f aca="false">-L12</f>
        <v>5.46408091287184</v>
      </c>
    </row>
    <row r="17" customFormat="false" ht="15" hidden="false" customHeight="false" outlineLevel="0" collapsed="false">
      <c r="A17" s="0" t="s">
        <v>146</v>
      </c>
      <c r="C17" s="4" t="n">
        <f aca="false">-C6*Assumptions!C46/100</f>
        <v>-3.75765969</v>
      </c>
      <c r="D17" s="4" t="n">
        <f aca="false">-D6*Assumptions!D46/100</f>
        <v>-4.133425659</v>
      </c>
      <c r="E17" s="4" t="n">
        <f aca="false">-E6*Assumptions!E46/100</f>
        <v>-4.526101096605</v>
      </c>
      <c r="F17" s="4" t="n">
        <f aca="false">-F6*Assumptions!F46/100</f>
        <v>-4.93345019529945</v>
      </c>
      <c r="G17" s="4" t="n">
        <f aca="false">-G6*Assumptions!G46/100</f>
        <v>-5.32812621092341</v>
      </c>
      <c r="H17" s="4" t="n">
        <f aca="false">-H6*Assumptions!H46/100</f>
        <v>-5.70109504568805</v>
      </c>
      <c r="I17" s="4" t="n">
        <f aca="false">-I6*Assumptions!I46/100</f>
        <v>-6.04316074842933</v>
      </c>
      <c r="J17" s="4" t="n">
        <f aca="false">-J6*Assumptions!J46/100</f>
        <v>-6.3453187858508</v>
      </c>
      <c r="K17" s="4" t="n">
        <f aca="false">-K6*Assumptions!K46/100</f>
        <v>-6.59913153728483</v>
      </c>
      <c r="L17" s="4" t="n">
        <f aca="false">-L6*Assumptions!L46/100</f>
        <v>-6.8301011410898</v>
      </c>
    </row>
    <row r="18" customFormat="false" ht="15" hidden="false" customHeight="false" outlineLevel="0" collapsed="false">
      <c r="A18" s="0" t="s">
        <v>147</v>
      </c>
      <c r="C18" s="4" t="n">
        <f aca="false">(C6-B6)*Assumptions!$B$51/100</f>
        <v>3.7238069</v>
      </c>
      <c r="D18" s="4" t="n">
        <f aca="false">(D6-C6)*Assumptions!$B$51/100</f>
        <v>3.75765969</v>
      </c>
      <c r="E18" s="4" t="n">
        <f aca="false">(E6-D6)*Assumptions!$B$51/100</f>
        <v>3.92675437605</v>
      </c>
      <c r="F18" s="4" t="n">
        <f aca="false">(F6-E6)*Assumptions!$B$51/100</f>
        <v>4.07349098694451</v>
      </c>
      <c r="G18" s="4" t="n">
        <f aca="false">(G6-F6)*Assumptions!$B$51/100</f>
        <v>3.94676015623956</v>
      </c>
      <c r="H18" s="4" t="n">
        <f aca="false">(H6-G6)*Assumptions!$B$51/100</f>
        <v>3.72968834764639</v>
      </c>
      <c r="I18" s="4" t="n">
        <f aca="false">(I6-H6)*Assumptions!$B$51/100</f>
        <v>3.42065702741284</v>
      </c>
      <c r="J18" s="4" t="n">
        <f aca="false">(J6-I6)*Assumptions!$B$51/100</f>
        <v>3.02158037421466</v>
      </c>
      <c r="K18" s="4" t="n">
        <f aca="false">(K6-J6)*Assumptions!$B$51/100</f>
        <v>2.53812751434032</v>
      </c>
      <c r="L18" s="4" t="n">
        <f aca="false">(L6-K6)*Assumptions!$B$51/100</f>
        <v>2.30969603804969</v>
      </c>
    </row>
    <row r="19" customFormat="false" ht="15" hidden="false" customHeight="false" outlineLevel="0" collapsed="false">
      <c r="A19" s="0" t="s">
        <v>148</v>
      </c>
      <c r="C19" s="0" t="n">
        <f aca="false">C15+C16+C17+C18</f>
        <v>55.0534382654</v>
      </c>
      <c r="D19" s="0" t="n">
        <f aca="false">D15+D16+D17+D18</f>
        <v>62.24563276485</v>
      </c>
      <c r="E19" s="0" t="n">
        <f aca="false">E15+E16+E17+E18</f>
        <v>69.8720473535849</v>
      </c>
      <c r="F19" s="0" t="n">
        <f aca="false">F15+F16+F17+F18</f>
        <v>77.3352263871414</v>
      </c>
      <c r="G19" s="0" t="n">
        <f aca="false">G15+G16+G17+G18</f>
        <v>84.1883408927461</v>
      </c>
      <c r="H19" s="0" t="n">
        <f aca="false">H15+H16+H17+H18</f>
        <v>90.3863330421047</v>
      </c>
      <c r="I19" s="0" t="n">
        <f aca="false">I15+I16+I17+I18</f>
        <v>95.6997216559287</v>
      </c>
      <c r="J19" s="0" t="n">
        <f aca="false">J15+J16+J17+J18</f>
        <v>99.9145982341563</v>
      </c>
      <c r="K19" s="0" t="n">
        <f aca="false">K15+K16+K17+K18</f>
        <v>103.30686608868</v>
      </c>
      <c r="L19" s="0" t="n">
        <f aca="false">L15+L16+L17+L18</f>
        <v>106.605340462491</v>
      </c>
    </row>
    <row r="20" customFormat="false" ht="15" hidden="false" customHeight="false" outlineLevel="0" collapsed="false">
      <c r="A20" s="0" t="s">
        <v>149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150</v>
      </c>
      <c r="C21" s="0" t="n">
        <f aca="false">C19*C20</f>
        <v>50.2771125711416</v>
      </c>
      <c r="D21" s="0" t="n">
        <f aca="false">D19*D20</f>
        <v>51.913540388941</v>
      </c>
      <c r="E21" s="0" t="n">
        <f aca="false">E19*E20</f>
        <v>53.2183139695865</v>
      </c>
      <c r="F21" s="0" t="n">
        <f aca="false">F19*F20</f>
        <v>53.7923954556331</v>
      </c>
      <c r="G21" s="0" t="n">
        <f aca="false">G19*G20</f>
        <v>53.4787632292526</v>
      </c>
      <c r="H21" s="0" t="n">
        <f aca="false">H19*H20</f>
        <v>52.4346112435844</v>
      </c>
      <c r="I21" s="0" t="n">
        <f aca="false">I19*I20</f>
        <v>50.7004530811447</v>
      </c>
      <c r="J21" s="0" t="n">
        <f aca="false">J19*J20</f>
        <v>48.3410403859211</v>
      </c>
      <c r="K21" s="0" t="n">
        <f aca="false">K19*K20</f>
        <v>45.6459357295398</v>
      </c>
      <c r="L21" s="0" t="n">
        <f aca="false">L19*L20</f>
        <v>43.0167672588036</v>
      </c>
    </row>
    <row r="23" customFormat="false" ht="15" hidden="false" customHeight="false" outlineLevel="0" collapsed="false">
      <c r="A23" s="0" t="s">
        <v>126</v>
      </c>
      <c r="C23" s="4" t="n">
        <f aca="false">Assumptions!C44</f>
        <v>0.15</v>
      </c>
      <c r="D23" s="4" t="n">
        <f aca="false">Assumptions!D44</f>
        <v>0.15</v>
      </c>
      <c r="E23" s="4" t="n">
        <f aca="false">Assumptions!E44</f>
        <v>0.15</v>
      </c>
      <c r="F23" s="4" t="n">
        <f aca="false">Assumptions!F44</f>
        <v>0.15</v>
      </c>
      <c r="G23" s="4" t="n">
        <f aca="false">Assumptions!G44</f>
        <v>0.15</v>
      </c>
      <c r="H23" s="4" t="n">
        <f aca="false">Assumptions!H44</f>
        <v>0.15</v>
      </c>
      <c r="I23" s="4" t="n">
        <f aca="false">Assumptions!I44</f>
        <v>0.15</v>
      </c>
      <c r="J23" s="4" t="n">
        <f aca="false">Assumptions!J44</f>
        <v>0.15</v>
      </c>
      <c r="K23" s="4" t="n">
        <f aca="false">Assumptions!K44</f>
        <v>0.15</v>
      </c>
      <c r="L23" s="4" t="n">
        <f aca="false">Assumptions!L44</f>
        <v>0.15</v>
      </c>
    </row>
    <row r="24" customFormat="false" ht="15" hidden="false" customHeight="false" outlineLevel="0" collapsed="false">
      <c r="A24" s="0" t="s">
        <v>151</v>
      </c>
      <c r="C24" s="0" t="n">
        <f aca="false">-C6*C23/100</f>
        <v>-5.636489535</v>
      </c>
      <c r="D24" s="0" t="n">
        <f aca="false">-D6*D23/100</f>
        <v>-6.2001384885</v>
      </c>
      <c r="E24" s="0" t="n">
        <f aca="false">-E6*E23/100</f>
        <v>-6.7891516449075</v>
      </c>
      <c r="F24" s="0" t="n">
        <f aca="false">-F6*F23/100</f>
        <v>-7.40017529294918</v>
      </c>
      <c r="G24" s="0" t="n">
        <f aca="false">-G6*G23/100</f>
        <v>-7.99218931638511</v>
      </c>
      <c r="H24" s="0" t="n">
        <f aca="false">-H6*H23/100</f>
        <v>-8.55164256853207</v>
      </c>
      <c r="I24" s="0" t="n">
        <f aca="false">-I6*I23/100</f>
        <v>-9.06474112264399</v>
      </c>
      <c r="J24" s="0" t="n">
        <f aca="false">-J6*J23/100</f>
        <v>-9.5179781787762</v>
      </c>
      <c r="K24" s="0" t="n">
        <f aca="false">-K6*K23/100</f>
        <v>-9.89869730592724</v>
      </c>
      <c r="L24" s="0" t="n">
        <f aca="false">-L6*L23/100</f>
        <v>-10.2451517116347</v>
      </c>
    </row>
    <row r="26" customFormat="false" ht="15" hidden="false" customHeight="false" outlineLevel="0" collapsed="false">
      <c r="A26" s="2" t="s">
        <v>152</v>
      </c>
    </row>
    <row r="27" customFormat="false" ht="15" hidden="false" customHeight="false" outlineLevel="0" collapsed="false">
      <c r="A27" s="0" t="s">
        <v>130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131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132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153</v>
      </c>
      <c r="B30" s="0" t="n">
        <f aca="false">SUM(C21:L21)</f>
        <v>502.818933313548</v>
      </c>
    </row>
    <row r="31" customFormat="false" ht="15" hidden="false" customHeight="false" outlineLevel="0" collapsed="false">
      <c r="A31" s="0" t="s">
        <v>154</v>
      </c>
      <c r="B31" s="0" t="n">
        <f aca="false">L19</f>
        <v>106.605340462491</v>
      </c>
    </row>
    <row r="32" customFormat="false" ht="15" hidden="false" customHeight="false" outlineLevel="0" collapsed="false">
      <c r="A32" s="0" t="s">
        <v>155</v>
      </c>
      <c r="B32" s="0" t="n">
        <f aca="false">IF(B27&gt;B28,B31*(1+B28/100)/((B27-B28)/100),B31*B29)</f>
        <v>1689.28462579024</v>
      </c>
    </row>
    <row r="33" customFormat="false" ht="15" hidden="false" customHeight="false" outlineLevel="0" collapsed="false">
      <c r="A33" s="0" t="s">
        <v>156</v>
      </c>
      <c r="B33" s="0" t="n">
        <f aca="false">B31*B29</f>
        <v>1918.89612832484</v>
      </c>
    </row>
    <row r="34" customFormat="false" ht="15" hidden="false" customHeight="false" outlineLevel="0" collapsed="false">
      <c r="A34" s="0" t="s">
        <v>157</v>
      </c>
      <c r="B34" s="0" t="n">
        <f aca="false">MAX(0,MIN(B32,B33))</f>
        <v>1689.28462579024</v>
      </c>
    </row>
    <row r="35" customFormat="false" ht="15" hidden="false" customHeight="false" outlineLevel="0" collapsed="false">
      <c r="A35" s="0" t="s">
        <v>158</v>
      </c>
      <c r="B35" s="0" t="n">
        <f aca="false">B34/(1+B27/100)^L4</f>
        <v>681.650311947196</v>
      </c>
    </row>
    <row r="36" customFormat="false" ht="15" hidden="false" customHeight="false" outlineLevel="0" collapsed="false">
      <c r="A36" s="0" t="s">
        <v>159</v>
      </c>
      <c r="B36" s="0" t="n">
        <f aca="false">B30+B35</f>
        <v>1184.46924526074</v>
      </c>
    </row>
    <row r="37" customFormat="false" ht="15" hidden="false" customHeight="false" outlineLevel="0" collapsed="false">
      <c r="A37" s="0" t="s">
        <v>160</v>
      </c>
      <c r="B37" s="0" t="n">
        <f aca="false">B36+Assumptions!$B$5-Assumptions!$B$4</f>
        <v>1339.88124526074</v>
      </c>
    </row>
    <row r="38" customFormat="false" ht="15" hidden="false" customHeight="false" outlineLevel="0" collapsed="false">
      <c r="A38" s="0" t="s">
        <v>161</v>
      </c>
      <c r="B38" s="0" t="n">
        <f aca="false">B37/Assumptions!$B$3*Assumptions!$B$10</f>
        <v>8.61659964797906</v>
      </c>
    </row>
    <row r="39" customFormat="false" ht="15" hidden="false" customHeight="false" outlineLevel="0" collapsed="false">
      <c r="A39" s="0" t="s">
        <v>162</v>
      </c>
      <c r="B39" s="4" t="n">
        <f aca="false">B38/Assumptions!$B$2-1</f>
        <v>-0.242163619351006</v>
      </c>
    </row>
    <row r="41" customFormat="false" ht="15" hidden="false" customHeight="false" outlineLevel="0" collapsed="false">
      <c r="A41" s="0" t="s">
        <v>163</v>
      </c>
      <c r="B41" s="0" t="n">
        <f aca="false">SUMPRODUCT(-C10:L10/(1+$B$27/100)^C4:L4)</f>
        <v>12.957283789265</v>
      </c>
    </row>
    <row r="42" customFormat="false" ht="15" hidden="false" customHeight="false" outlineLevel="0" collapsed="false">
      <c r="A42" s="0" t="s">
        <v>164</v>
      </c>
      <c r="B42" s="0" t="n">
        <f aca="false">IF(B27&gt;B28,-L10*(1+B28/100)/((B27-B28)/100),-L10*20)/(1+B27/100)^L4</f>
        <v>17.4690706985468</v>
      </c>
    </row>
    <row r="43" customFormat="false" ht="15" hidden="false" customHeight="false" outlineLevel="0" collapsed="false">
      <c r="A43" s="0" t="s">
        <v>165</v>
      </c>
      <c r="B43" s="0" t="n">
        <f aca="false">(B37+B41+B42)/Assumptions!$B$3*Assumptions!$B$10</f>
        <v>8.81226752249875</v>
      </c>
    </row>
    <row r="45" customFormat="false" ht="15" hidden="false" customHeight="false" outlineLevel="0" collapsed="false">
      <c r="A45" s="0" t="s">
        <v>106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166</v>
      </c>
      <c r="B46" s="0" t="n">
        <f aca="false">MAX(0,MIN(IF(B45&gt;B28,B31*(1+B28/100)/((B45-B28)/100),B31*B29),B31*B29))</f>
        <v>915.029172303047</v>
      </c>
    </row>
    <row r="47" customFormat="false" ht="15" hidden="false" customHeight="false" outlineLevel="0" collapsed="false">
      <c r="A47" s="0" t="s">
        <v>167</v>
      </c>
      <c r="B47" s="0" t="n">
        <f aca="false">(SUMPRODUCT(C19:L19/(1+B45/100)^C4:L4)+B46/(1+B45/100)^L4+Assumptions!$B$5-Assumptions!$B$4)/Assumptions!$B$3*Assumptions!$B$10</f>
        <v>4.96450722710618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170</v>
      </c>
    </row>
    <row r="3" customFormat="false" ht="15" hidden="false" customHeight="false" outlineLevel="0" collapsed="false">
      <c r="A3" s="2" t="s">
        <v>171</v>
      </c>
      <c r="B3" s="2" t="s">
        <v>172</v>
      </c>
      <c r="C3" s="2" t="s">
        <v>162</v>
      </c>
      <c r="D3" s="2" t="s">
        <v>173</v>
      </c>
      <c r="E3" s="2" t="s">
        <v>165</v>
      </c>
      <c r="F3" s="2" t="s">
        <v>174</v>
      </c>
    </row>
    <row r="4" customFormat="false" ht="15" hidden="false" customHeight="false" outlineLevel="0" collapsed="false">
      <c r="A4" s="0" t="s">
        <v>175</v>
      </c>
      <c r="B4" s="4" t="n">
        <f aca="false">DCF_Bear!$B$38</f>
        <v>4.43188018825347</v>
      </c>
      <c r="C4" s="0" t="n">
        <f aca="false">B4/Assumptions!$B$2-1</f>
        <v>-0.610212824252113</v>
      </c>
      <c r="D4" s="4" t="n">
        <f aca="false">Assumptions!$B$24</f>
        <v>0.25</v>
      </c>
      <c r="E4" s="4" t="n">
        <f aca="false">DCF_Bear!$B$43</f>
        <v>4.55420224726754</v>
      </c>
      <c r="F4" s="4" t="n">
        <f aca="false">DCF_Bear!$B$47</f>
        <v>2.96004482369709</v>
      </c>
    </row>
    <row r="5" customFormat="false" ht="15" hidden="false" customHeight="false" outlineLevel="0" collapsed="false">
      <c r="A5" s="0" t="s">
        <v>176</v>
      </c>
      <c r="B5" s="4" t="n">
        <f aca="false">DCF_Base!$B$38</f>
        <v>6.60311702638909</v>
      </c>
      <c r="C5" s="0" t="n">
        <f aca="false">B5/Assumptions!$B$2-1</f>
        <v>-0.419250921161909</v>
      </c>
      <c r="D5" s="4" t="n">
        <f aca="false">Assumptions!$B$38</f>
        <v>0.5</v>
      </c>
      <c r="E5" s="4" t="n">
        <f aca="false">DCF_Base!$B$43</f>
        <v>6.76557686883089</v>
      </c>
      <c r="F5" s="4" t="n">
        <f aca="false">DCF_Base!$B$47</f>
        <v>4.04497597621271</v>
      </c>
    </row>
    <row r="6" customFormat="false" ht="15" hidden="false" customHeight="false" outlineLevel="0" collapsed="false">
      <c r="A6" s="0" t="s">
        <v>177</v>
      </c>
      <c r="B6" s="4" t="n">
        <f aca="false">DCF_Bull!$B$38</f>
        <v>8.61659964797906</v>
      </c>
      <c r="C6" s="0" t="n">
        <f aca="false">B6/Assumptions!$B$2-1</f>
        <v>-0.242163619351006</v>
      </c>
      <c r="D6" s="4" t="n">
        <f aca="false">Assumptions!$B$52</f>
        <v>0.25</v>
      </c>
      <c r="E6" s="4" t="n">
        <f aca="false">DCF_Bull!$B$43</f>
        <v>8.81226752249875</v>
      </c>
      <c r="F6" s="4" t="n">
        <f aca="false">DCF_Bull!$B$47</f>
        <v>4.96450722710618</v>
      </c>
    </row>
    <row r="8" customFormat="false" ht="15" hidden="false" customHeight="false" outlineLevel="0" collapsed="false">
      <c r="A8" s="0" t="s">
        <v>178</v>
      </c>
      <c r="B8" s="0" t="n">
        <f aca="false">SUMPRODUCT(B4:B6,D4:D6)</f>
        <v>6.56367847225268</v>
      </c>
    </row>
    <row r="9" customFormat="false" ht="15" hidden="false" customHeight="false" outlineLevel="0" collapsed="false">
      <c r="A9" s="0" t="s">
        <v>179</v>
      </c>
      <c r="B9" s="0" t="n">
        <f aca="false">SUMPRODUCT(E4:E6,D4:D6)</f>
        <v>6.72440587685702</v>
      </c>
    </row>
    <row r="10" customFormat="false" ht="15" hidden="false" customHeight="false" outlineLevel="0" collapsed="false">
      <c r="A10" s="0" t="s">
        <v>180</v>
      </c>
      <c r="B10" s="0" t="n">
        <f aca="false">1-Assumptions!$B$2/B8</f>
        <v>-0.732260354931397</v>
      </c>
    </row>
    <row r="11" customFormat="false" ht="15" hidden="false" customHeight="false" outlineLevel="0" collapsed="false">
      <c r="A11" s="0" t="s">
        <v>181</v>
      </c>
      <c r="B11" s="0" t="n">
        <f aca="false">IF(ABS(B9-B8)&gt;0.01*ABS(B8),(Assumptions!$B$2-B8)/(B9-B8)*100,"n/a")</f>
        <v>2990.35596299153</v>
      </c>
    </row>
    <row r="12" customFormat="false" ht="15" hidden="false" customHeight="false" outlineLevel="0" collapsed="false">
      <c r="A12" s="0" t="s">
        <v>182</v>
      </c>
      <c r="B12" s="0" t="n">
        <f aca="false">SUMPRODUCT(F4:F6,D4:D6)</f>
        <v>4.00362600080717</v>
      </c>
    </row>
    <row r="14" customFormat="false" ht="15" hidden="false" customHeight="false" outlineLevel="0" collapsed="false">
      <c r="A14" s="2" t="s">
        <v>183</v>
      </c>
      <c r="C14" s="0" t="s">
        <v>184</v>
      </c>
    </row>
    <row r="15" customFormat="false" ht="15" hidden="false" customHeight="false" outlineLevel="0" collapsed="false">
      <c r="A15" s="0" t="s">
        <v>185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7.0528283364209</v>
      </c>
      <c r="C15" s="3" t="n">
        <v>9</v>
      </c>
    </row>
    <row r="16" customFormat="false" ht="15" hidden="false" customHeight="false" outlineLevel="0" collapsed="false">
      <c r="A16" s="0" t="s">
        <v>186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6.60311702638909</v>
      </c>
      <c r="C16" s="3" t="n">
        <v>9.5</v>
      </c>
    </row>
    <row r="17" customFormat="false" ht="15" hidden="false" customHeight="false" outlineLevel="0" collapsed="false">
      <c r="A17" s="0" t="s">
        <v>187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6.21376601598537</v>
      </c>
      <c r="C17" s="3" t="n">
        <v>10</v>
      </c>
    </row>
    <row r="18" customFormat="false" ht="15" hidden="false" customHeight="false" outlineLevel="0" collapsed="false">
      <c r="A18" s="0" t="s">
        <v>188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5.5734918640546</v>
      </c>
      <c r="C18" s="3" t="n">
        <v>11</v>
      </c>
    </row>
    <row r="19" customFormat="false" ht="15" hidden="false" customHeight="false" outlineLevel="0" collapsed="false">
      <c r="A19" s="0" t="s">
        <v>189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5.06915278751651</v>
      </c>
      <c r="C19" s="3" t="n">
        <v>12</v>
      </c>
    </row>
    <row r="20" customFormat="false" ht="15" hidden="false" customHeight="false" outlineLevel="0" collapsed="false">
      <c r="A20" s="0" t="s">
        <v>190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4.04497597621271</v>
      </c>
      <c r="C20" s="3" t="n">
        <v>15</v>
      </c>
    </row>
    <row r="22" customFormat="false" ht="15" hidden="false" customHeight="false" outlineLevel="0" collapsed="false">
      <c r="A22" s="2" t="s">
        <v>191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8.04977890183522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8.32055228570268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8.32055228570268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8.32055228570268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8.32055228570268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6.98941884207942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7.26107494906403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7.57800707387942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7.78686096258264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7.78686096258264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6.19666114789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6.38634055785625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6.60311702638909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6.85324372085007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7.14505819772122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5.58214880856696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5.71922959131579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5.87344547190822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6.04822346991297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6.24796975334698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5.09227929144546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5.19406835085292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5.30716730575009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5.43357202004693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5.57577732363088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2026-09-22T10:11:58Z</dcterms:created>
  <dc:creator>openpyxl</dc:creator>
  <dc:description/>
  <dc:language>en-NZ</dc:language>
  <cp:lastModifiedBy/>
  <dcterms:modified xsi:type="dcterms:W3CDTF">2026-09-22T10:11:58Z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