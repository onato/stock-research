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<sst xmlns="http://schemas.openxmlformats.org/spreadsheetml/2006/main" count="345" uniqueCount="163">
  <si>
    <t xml:space="preserve">Ticker</t>
  </si>
  <si>
    <t xml:space="preserve">2517.HK</t>
  </si>
  <si>
    <t xml:space="preserve">Company</t>
  </si>
  <si>
    <t xml:space="preserve">Guoquan Food (Shanghai) Co., Ltd.</t>
  </si>
  <si>
    <t xml:space="preserve">Valuation date</t>
  </si>
  <si>
    <t xml:space="preserve">2026-10-18</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</si>
  <si>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</si>
  <si>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</si>
  <si>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</si>
  <si>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</si>
  <si>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</si>
  <si>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</si>
  <si>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</si>
  <si>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</si>
  <si>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</si>
  <si>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</si>
  <si>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</si>
  <si>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</si>
  <si>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</si>
  <si>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</si>
  <si>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</si>
  <si>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</si>
  <si>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2026-10-18T05:52:34Z</t>
  </si>
  <si>
    <t xml:space="preserve">Drivers file</t>
  </si>
  <si>
    <t xml:space="preserve">2517.HK_Drivers.json</t>
  </si>
  <si>
    <t xml:space="preserve">Convention</t>
  </si>
  <si>
    <t xml:space="preserve">Percents stored as percents; formulas divide by 100. Blue = input, green = link, black = formula.</t>
  </si>
  <si>
    <t xml:space="preserve">Methodology</t>
  </si>
  <si>
    <t xml:space="preserve">summary: Guoquan is valued as what it is: a thin-margin wholesale distributor whose growth is the franchise store count, not a franchisor with royalty economics. The house case gives it no margin re-expansion, no working-capital tailwind, a flat share count despite ongoing buybacks, and a 15x terminal cap, and still arrives well above the price because roughly half the market capitalisation is net cash and investment assets on the balance sheet. The valuation question is therefore less about the DCF mechanics than about whether the market is right to apply a deep China-small-cap discount to the cash and to the durability of the franchise network -- which is why the bear weight is doubled rather than the WACC inflated.
key_risks_to_valuation: Franchise store economics: a rise in closures above the &lt;4% guided rate would turn store growth negative and the base case into the bear case; the company does not disclose per-store P&amp;L.; Earnings quality: H1 FY2026 OCF of -RMB102m against +RMB213m net income; if receivables and prepayments to franchisees are channel support rather than seasonality, reported profit overstates cash earnings.; Low-barrier competition and gross-margin slide (22.8% -&gt; 21.5% in two years) with no franchise-fee cushion.; Capital allocation: FY2025 dividends + buybacks (RMB572m) exceeded owner FCF; the cash pile the valuation leans on is being distributed while borrowings rose to RMB333m.; Cash-pile discount: ~RMB1.6bn of net cash and investments (RMB0.64/share, HK$0.75) is taken at face value; a China-domiciled H-share may never be credited for it in the market.; FX: CNY flows against an HKD quote; a weaker yuan lowers every HKD value proportionally (fx_rate 1.1724 as of 2026-10-16).</t>
  </si>
  <si>
    <t xml:space="preserve">Data sources</t>
  </si>
  <si>
    <t xml:space="preserve">price: Yahoo Finance chart API, regular HKEX close at inputs.price_as_of; 52-week range HK$1.33-4.80. FX from Yahoo CNYHKD=X with USD-leg parity check (inputs.fx_note).
financials: 2517.HK_Metrics.csv / core_metrics (CNY millions) from the FY2023-FY2025 annual reports and H1-2024 to H1-2026 interim reports; FY2025 annual report consolidated cash flow statement (lines 6698-6764) and note 6 other income (9327-9356); H1 FY2026 interim statement of financial position (2634-2680), cash flow (2826-2924), share capital note 20 and interim-dividend record basis (1956-1958).
qualitative: 2517.HK_Analysis.json (2026-10-18): business model, competitive position, FY2026 guidance as revised 17 Aug 2026, sell-side target dispersion HK$2.20-3.84.</t>
  </si>
  <si>
    <t xml:space="preserve">Scenario narrative: bear</t>
  </si>
  <si>
    <t xml:space="preserve">A 2023-style dine-out recovery or further consumption downgrade stalls same-store sales while supermarket store-in-store formats undercut franchisee economics; store closures rise above the &lt;4% guided rate and net adds stop after FY2026, so revenue falls 5% and 3% in FY2027-28 before stabilising near flat. Gross margin slides below 21% and operating EBITDA margin settles at 6.8%. The H1 FY2026 receivables/prepayments build proves to be franchisee support rather than seasonality, and capex on the new plant is largely stranded. The terminal multiple is capped at 12x for a no-growth wholesaler. The business remains solvent throughout -- net cash covers all debt several times over -- so this is a value-destruction case, not a going-concern case.</t>
  </si>
  <si>
    <t xml:space="preserve">Scenario narrative: base</t>
  </si>
  <si>
    <t xml:space="preserve">Store network reaches ~13,100 by end-FY2026 and keeps adding at a fading pace as township penetration matures; store efficiency grows high-single-digit on the large-format upgrade and Douyin-to-store traffic. Gross margin stays under pressure from copycat chains and supermarket store-in-store formats, but selling and admin leverage holds operating EBITDA margin flat at ~8.5%. The Danzhou factory buildout keeps FY2026 capex at ~3.8% of revenue before it normalises. Working capital gives no tailwind: rising franchisee receivables and prepayments are assumed to absorb what supplier credit would otherwise release. Dividends and buybacks continue to be funded partly from the RMB1.4bn cash pile.</t>
  </si>
  <si>
    <t xml:space="preserve">Scenario narrative: bull</t>
  </si>
  <si>
    <t xml:space="preserve">Category consolidation favours the scale leader: regional copycats exit, store adds re-accelerate toward the original &gt;14,500 trajectory, and the four-store-format strategy plus Guoquan Farm premium lines lift store efficiency double-digit. Vertical integration (one-product-one-factory, Danzhou base) and AI supply-chain scheduling recover ~1pp of EBITDA margin to 9.5% by FY2030. Negative net working capital turns back into a modest cash source (5% of revenue growth) as payables scale with volume. The 70% de-rating reverses toward the CMBI/CICC/Huatai target range.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</si>
  <si>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</si>
  <si>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</si>
  <si>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</si>
  <si>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</si>
  <si>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</si>
  <si>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</si>
  <si>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</si>
  <si>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</si>
  <si>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</si>
  <si>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</si>
  <si>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</si>
  <si>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</si>
  <si>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</si>
  <si>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</si>
  <si>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</si>
  <si>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</si>
  <si>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</si>
  <si>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</si>
  <si>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</si>
  <si>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</si>
  <si>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</si>
  <si>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</si>
  <si>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</si>
  <si>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</si>
  <si>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</si>
  <si>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</si>
  <si>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</si>
  <si>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CashGeneratedFromOperations</t>
  </si>
  <si>
    <t xml:space="preserve">NetIncomeInclNCI</t>
  </si>
  <si>
    <t xml:space="preserve">StoreCount</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</si>
  <si>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</si>
  <si>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</si>
  <si>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</si>
  <si>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</si>
  <si>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</si>
  <si>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</si>
  <si>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</si>
  <si>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</si>
  <si>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</si>
  <si>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</si>
  <si>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</si>
  <si>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</si>
  <si>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</si>
  <si>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</si>
  <si>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</si>
  <si>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</si>
  <si>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</si>
  <si>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</si>
  <si>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</si>
  <si>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</si>
  <si>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</si>
  <si>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</si>
  <si>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</si>
  <si>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</si>
  <si>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</si>
  <si>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</si>
  <si>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</si>
  <si>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</si>
  <si>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</si>
  <si>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</si>
  <si>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</si>
  <si>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</si>
  <si>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</si>
  <si>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</si>
  <si>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</si>
  <si>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</si>
  <si>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</si>
  <si>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</si>
  <si>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</si>
  <si>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</si>
  <si>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</si>
  <si>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2517.HK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</si>
  <si>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</si>
  <si>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</si>
  <si>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</si>
  <si>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</si>
  <si>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</si>
  <si>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</si>
  <si>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</si>
  <si>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</si>
  <si>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</si>
  <si>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</si>
  <si>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</si>
  <si>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</si>
  <si>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</si>
  <si>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</si>
  <si>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</si>
  <si>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</si>
  <si>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</si>
  <si>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</si>
  <si>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</si>
  <si>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</si>
  <si>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</si>
  <si>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</si>
  <si>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</si>
  <si>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</si>
  <si>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</si>
  <si>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</si>
  <si>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</si>
  <si>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</si>
  <si>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</si>
  <si>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</si>
  <si>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2517.HK owner-FCF component DCF: base case (millions, CNY)</t>
  </si>
  <si>
    <t xml:space="preserve">2517.HK owner-FCF component DCF: bull case (millions, CNY)</t>
  </si>
  <si>
    <t xml:space="preserve">2517.HK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</si>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</sst>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7173.457</v>
      </c>
      <c r="C2" s="0" t="n">
        <v>5924.496</v>
      </c>
      <c r="D2" s="0" t="n">
        <v>1248.961</v>
      </c>
      <c r="E2" s="0" t="n">
        <v>17.4</v>
      </c>
      <c r="F2" s="0" t="n">
        <v>334.606</v>
      </c>
      <c r="G2" s="0" t="n">
        <v>4.7</v>
      </c>
      <c r="H2" s="0" t="n">
        <v>393.939</v>
      </c>
      <c r="I2" s="0" t="n">
        <v>229.907</v>
      </c>
      <c r="J2" s="0" t="n">
        <v>3.2</v>
      </c>
      <c r="K2" s="0" t="n">
        <v>0.0876</v>
      </c>
      <c r="L2" s="0" t="n">
        <v>285.283</v>
      </c>
      <c r="M2" s="0" t="n">
        <v>117.977</v>
      </c>
      <c r="N2" s="0" t="n">
        <v>167.306</v>
      </c>
      <c r="O2" s="0" t="n">
        <v>2594.448</v>
      </c>
      <c r="P2" s="0" t="n">
        <v>4080.67</v>
      </c>
      <c r="Q2" s="0" t="n">
        <v>1391.119</v>
      </c>
      <c r="R2" s="0" t="n">
        <v>95.629</v>
      </c>
      <c r="S2" s="0" t="n">
        <v>694.954</v>
      </c>
      <c r="T2" s="0" t="n">
        <v>2624.5</v>
      </c>
      <c r="U2" s="0" t="n">
        <v>4.604</v>
      </c>
      <c r="AA2" s="0" t="s">
        <v>18</v>
      </c>
      <c r="AB2" s="0" t="s">
        <v>14</v>
      </c>
      <c r="AC2" s="0" t="n">
        <v>280.923</v>
      </c>
      <c r="AD2" s="0" t="n">
        <v>240.982</v>
      </c>
    </row>
    <row r="3" customFormat="false" ht="15" hidden="false" customHeight="false" outlineLevel="0" collapsed="false">
      <c r="A3" s="0" t="s">
        <v>68</v>
      </c>
      <c r="B3" s="0" t="n">
        <v>6094.104</v>
      </c>
      <c r="C3" s="0" t="n">
        <v>4743.163</v>
      </c>
      <c r="D3" s="0" t="n">
        <v>1350.941</v>
      </c>
      <c r="E3" s="0" t="n">
        <v>22.2</v>
      </c>
      <c r="F3" s="0" t="n">
        <v>368.857</v>
      </c>
      <c r="G3" s="0" t="n">
        <v>6.1</v>
      </c>
      <c r="H3" s="0" t="n">
        <v>449.65</v>
      </c>
      <c r="I3" s="0" t="n">
        <v>239.636</v>
      </c>
      <c r="J3" s="0" t="n">
        <v>3.9</v>
      </c>
      <c r="K3" s="0" t="n">
        <v>0.0894</v>
      </c>
      <c r="L3" s="0" t="n">
        <v>678.346</v>
      </c>
      <c r="M3" s="0" t="n">
        <v>135.005</v>
      </c>
      <c r="N3" s="0" t="n">
        <v>543.341</v>
      </c>
      <c r="O3" s="0" t="n">
        <v>3262.177</v>
      </c>
      <c r="P3" s="0" t="n">
        <v>4651.646</v>
      </c>
      <c r="Q3" s="0" t="n">
        <v>1272.863</v>
      </c>
      <c r="R3" s="0" t="n">
        <v>80.274</v>
      </c>
      <c r="S3" s="0" t="n">
        <v>1417.596</v>
      </c>
      <c r="T3" s="0" t="n">
        <v>2680.5</v>
      </c>
      <c r="U3" s="0" t="n">
        <v>0</v>
      </c>
      <c r="AA3" s="0" t="s">
        <v>18</v>
      </c>
      <c r="AB3" s="0" t="s">
        <v>14</v>
      </c>
      <c r="AC3" s="0" t="n">
        <v>692.672</v>
      </c>
      <c r="AD3" s="0" t="n">
        <v>263.402</v>
      </c>
    </row>
    <row r="4" customFormat="false" ht="15" hidden="false" customHeight="false" outlineLevel="0" collapsed="false">
      <c r="A4" s="0" t="s">
        <v>69</v>
      </c>
      <c r="B4" s="0" t="n">
        <v>6469.81</v>
      </c>
      <c r="C4" s="0" t="n">
        <v>5053.058</v>
      </c>
      <c r="D4" s="0" t="n">
        <v>1416.752</v>
      </c>
      <c r="E4" s="0" t="n">
        <v>21.9</v>
      </c>
      <c r="F4" s="0" t="n">
        <v>323.967</v>
      </c>
      <c r="G4" s="0" t="n">
        <v>5</v>
      </c>
      <c r="H4" s="0" t="n">
        <v>409.907</v>
      </c>
      <c r="I4" s="0" t="n">
        <v>230.558</v>
      </c>
      <c r="J4" s="0" t="n">
        <v>3.6</v>
      </c>
      <c r="K4" s="0" t="n">
        <v>0.0841</v>
      </c>
      <c r="L4" s="0" t="n">
        <v>530.908</v>
      </c>
      <c r="M4" s="0" t="n">
        <v>123.937</v>
      </c>
      <c r="N4" s="0" t="n">
        <v>406.971</v>
      </c>
      <c r="O4" s="0" t="n">
        <v>3144.372</v>
      </c>
      <c r="P4" s="0" t="n">
        <v>4751.478</v>
      </c>
      <c r="Q4" s="0" t="n">
        <v>1486.657</v>
      </c>
      <c r="R4" s="0" t="n">
        <v>67.51</v>
      </c>
      <c r="S4" s="0" t="n">
        <v>1929.9</v>
      </c>
      <c r="T4" s="0" t="n">
        <v>2741.5</v>
      </c>
      <c r="U4" s="0" t="n">
        <v>0</v>
      </c>
      <c r="AA4" s="0" t="s">
        <v>18</v>
      </c>
      <c r="AB4" s="0" t="s">
        <v>14</v>
      </c>
      <c r="AC4" s="0" t="n">
        <v>611.513</v>
      </c>
      <c r="AD4" s="0" t="n">
        <v>241.238</v>
      </c>
      <c r="AE4" s="0" t="n">
        <v>10150</v>
      </c>
    </row>
    <row r="5" customFormat="false" ht="15" hidden="false" customHeight="false" outlineLevel="0" collapsed="false">
      <c r="A5" s="0" t="s">
        <v>70</v>
      </c>
      <c r="B5" s="0" t="n">
        <v>7809.992</v>
      </c>
      <c r="C5" s="0" t="n">
        <v>6123.424</v>
      </c>
      <c r="D5" s="0" t="n">
        <v>1686.568</v>
      </c>
      <c r="E5" s="0" t="n">
        <v>21.6</v>
      </c>
      <c r="F5" s="0" t="n">
        <v>606.429</v>
      </c>
      <c r="G5" s="0" t="n">
        <v>7.8</v>
      </c>
      <c r="H5" s="0" t="n">
        <v>708.693</v>
      </c>
      <c r="I5" s="0" t="n">
        <v>432.886</v>
      </c>
      <c r="J5" s="0" t="n">
        <v>5.5</v>
      </c>
      <c r="K5" s="0" t="n">
        <v>0.163</v>
      </c>
      <c r="L5" s="0" t="n">
        <v>588.42</v>
      </c>
      <c r="M5" s="0" t="n">
        <v>195.936</v>
      </c>
      <c r="N5" s="0" t="n">
        <v>392.484</v>
      </c>
      <c r="O5" s="0" t="n">
        <v>3036.841</v>
      </c>
      <c r="P5" s="0" t="n">
        <v>5238.418</v>
      </c>
      <c r="Q5" s="0" t="n">
        <v>2059.076</v>
      </c>
      <c r="R5" s="0" t="n">
        <v>139.043</v>
      </c>
      <c r="S5" s="0" t="n">
        <v>1121.15</v>
      </c>
      <c r="T5" s="0" t="n">
        <v>2655.7</v>
      </c>
      <c r="U5" s="0" t="n">
        <v>0</v>
      </c>
      <c r="AA5" s="0" t="s">
        <v>18</v>
      </c>
      <c r="AB5" s="0" t="s">
        <v>14</v>
      </c>
      <c r="AC5" s="0" t="n">
        <v>711.249</v>
      </c>
      <c r="AD5" s="0" t="n">
        <v>453.86</v>
      </c>
      <c r="AE5" s="0" t="n">
        <v>11566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1.365</v>
      </c>
    </row>
    <row r="3" customFormat="false" ht="15" hidden="false" customHeight="false" outlineLevel="0" collapsed="false">
      <c r="A3" s="0" t="s">
        <v>74</v>
      </c>
      <c r="B3" s="3" t="n">
        <v>2538.284</v>
      </c>
    </row>
    <row r="4" customFormat="false" ht="15" hidden="false" customHeight="false" outlineLevel="0" collapsed="false">
      <c r="A4" s="0" t="s">
        <v>75</v>
      </c>
      <c r="B4" s="3" t="n">
        <v>-1102.09</v>
      </c>
    </row>
    <row r="5" customFormat="false" ht="15" hidden="false" customHeight="false" outlineLevel="0" collapsed="false">
      <c r="A5" s="0" t="s">
        <v>76</v>
      </c>
      <c r="B5" s="3" t="n">
        <v>518.696</v>
      </c>
    </row>
    <row r="6" customFormat="false" ht="15" hidden="false" customHeight="false" outlineLevel="0" collapsed="false">
      <c r="A6" s="0" t="s">
        <v>77</v>
      </c>
      <c r="B6" s="3" t="n">
        <v>15</v>
      </c>
    </row>
    <row r="7" customFormat="false" ht="15" hidden="false" customHeight="false" outlineLevel="0" collapsed="false">
      <c r="A7" s="0" t="s">
        <v>78</v>
      </c>
      <c r="B7" s="3" t="n">
        <v>7809.992</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1.1724</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14</v>
      </c>
      <c r="D13" s="3" t="n">
        <v>-5</v>
      </c>
      <c r="E13" s="3" t="n">
        <v>-3</v>
      </c>
      <c r="F13" s="3" t="n">
        <v>0</v>
      </c>
      <c r="G13" s="3" t="n">
        <v>1</v>
      </c>
      <c r="H13" s="3" t="n">
        <v>1.5</v>
      </c>
      <c r="I13" s="3" t="n">
        <v>2</v>
      </c>
      <c r="J13" s="3" t="n">
        <v>2</v>
      </c>
      <c r="K13" s="3" t="n">
        <v>2</v>
      </c>
      <c r="L13" s="3" t="n">
        <v>2</v>
      </c>
    </row>
    <row r="14" customFormat="false" ht="15" hidden="false" customHeight="false" outlineLevel="0" collapsed="false">
      <c r="A14" s="0" t="s">
        <v>95</v>
      </c>
      <c r="C14" s="3" t="n">
        <v>8.2</v>
      </c>
      <c r="D14" s="3" t="n">
        <v>7.5</v>
      </c>
      <c r="E14" s="3" t="n">
        <v>7</v>
      </c>
      <c r="F14" s="3" t="n">
        <v>6.8</v>
      </c>
      <c r="G14" s="3" t="n">
        <v>6.8</v>
      </c>
      <c r="H14" s="3" t="n">
        <v>6.8</v>
      </c>
      <c r="I14" s="3" t="n">
        <v>6.8</v>
      </c>
      <c r="J14" s="3" t="n">
        <v>6.8</v>
      </c>
      <c r="K14" s="3" t="n">
        <v>6.8</v>
      </c>
      <c r="L14" s="3" t="n">
        <v>6.8</v>
      </c>
    </row>
    <row r="15" customFormat="false" ht="15" hidden="false" customHeight="false" outlineLevel="0" collapsed="false">
      <c r="A15" s="0" t="s">
        <v>96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97</v>
      </c>
      <c r="C16" s="3" t="n">
        <v>0.44</v>
      </c>
      <c r="D16" s="3" t="n">
        <v>0.44</v>
      </c>
      <c r="E16" s="3" t="n">
        <v>0.44</v>
      </c>
      <c r="F16" s="3" t="n">
        <v>0.44</v>
      </c>
      <c r="G16" s="3" t="n">
        <v>0.44</v>
      </c>
      <c r="H16" s="3" t="n">
        <v>0.44</v>
      </c>
      <c r="I16" s="3" t="n">
        <v>0.44</v>
      </c>
      <c r="J16" s="3" t="n">
        <v>0.44</v>
      </c>
      <c r="K16" s="3" t="n">
        <v>0.44</v>
      </c>
      <c r="L16" s="3" t="n">
        <v>0.44</v>
      </c>
    </row>
    <row r="17" customFormat="false" ht="15" hidden="false" customHeight="false" outlineLevel="0" collapsed="false">
      <c r="A17" s="0" t="s">
        <v>98</v>
      </c>
      <c r="C17" s="3" t="n">
        <v>1</v>
      </c>
      <c r="D17" s="3" t="n">
        <v>1.2</v>
      </c>
      <c r="E17" s="3" t="n">
        <v>1.3</v>
      </c>
      <c r="F17" s="3" t="n">
        <v>1.3</v>
      </c>
      <c r="G17" s="3" t="n">
        <v>1.3</v>
      </c>
      <c r="H17" s="3" t="n">
        <v>1.3</v>
      </c>
      <c r="I17" s="3" t="n">
        <v>1.3</v>
      </c>
      <c r="J17" s="3" t="n">
        <v>1.3</v>
      </c>
      <c r="K17" s="3" t="n">
        <v>1.3</v>
      </c>
      <c r="L17" s="3" t="n">
        <v>1.3</v>
      </c>
    </row>
    <row r="18" customFormat="false" ht="15" hidden="false" customHeight="false" outlineLevel="0" collapsed="false">
      <c r="A18" s="0" t="s">
        <v>99</v>
      </c>
      <c r="C18" s="3" t="n">
        <v>3.8</v>
      </c>
      <c r="D18" s="3" t="n">
        <v>2.5</v>
      </c>
      <c r="E18" s="3" t="n">
        <v>1.8</v>
      </c>
      <c r="F18" s="3" t="n">
        <v>1.5</v>
      </c>
      <c r="G18" s="3" t="n">
        <v>1.5</v>
      </c>
      <c r="H18" s="3" t="n">
        <v>1.5</v>
      </c>
      <c r="I18" s="3" t="n">
        <v>1.5</v>
      </c>
      <c r="J18" s="3" t="n">
        <v>1.5</v>
      </c>
      <c r="K18" s="3" t="n">
        <v>1.5</v>
      </c>
      <c r="L18" s="3" t="n">
        <v>1.5</v>
      </c>
    </row>
    <row r="19" customFormat="false" ht="15" hidden="false" customHeight="false" outlineLevel="0" collapsed="false">
      <c r="A19" s="0" t="s">
        <v>100</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101</v>
      </c>
      <c r="B20" s="3" t="n">
        <v>10.5</v>
      </c>
    </row>
    <row r="21" customFormat="false" ht="15" hidden="false" customHeight="false" outlineLevel="0" collapsed="false">
      <c r="A21" s="0" t="s">
        <v>102</v>
      </c>
      <c r="B21" s="3" t="n">
        <v>2</v>
      </c>
    </row>
    <row r="22" customFormat="false" ht="15" hidden="false" customHeight="false" outlineLevel="0" collapsed="false">
      <c r="A22" s="0" t="s">
        <v>103</v>
      </c>
      <c r="B22" s="3" t="n">
        <v>12</v>
      </c>
    </row>
    <row r="23" customFormat="false" ht="15" hidden="false" customHeight="false" outlineLevel="0" collapsed="false">
      <c r="A23" s="0" t="s">
        <v>104</v>
      </c>
      <c r="B23" s="3" t="n">
        <v>0</v>
      </c>
    </row>
    <row r="24" customFormat="false" ht="15" hidden="false" customHeight="false" outlineLevel="0" collapsed="false">
      <c r="A24" s="0" t="s">
        <v>105</v>
      </c>
      <c r="B24" s="3" t="n">
        <v>0.3</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17</v>
      </c>
      <c r="D27" s="3" t="n">
        <v>12</v>
      </c>
      <c r="E27" s="3" t="n">
        <v>9</v>
      </c>
      <c r="F27" s="3" t="n">
        <v>7</v>
      </c>
      <c r="G27" s="3" t="n">
        <v>6</v>
      </c>
      <c r="H27" s="3" t="n">
        <v>5</v>
      </c>
      <c r="I27" s="3" t="n">
        <v>4</v>
      </c>
      <c r="J27" s="3" t="n">
        <v>3.5</v>
      </c>
      <c r="K27" s="3" t="n">
        <v>3</v>
      </c>
      <c r="L27" s="3" t="n">
        <v>3</v>
      </c>
    </row>
    <row r="28" customFormat="false" ht="15" hidden="false" customHeight="false" outlineLevel="0" collapsed="false">
      <c r="A28" s="0" t="s">
        <v>95</v>
      </c>
      <c r="C28" s="3" t="n">
        <v>8.6</v>
      </c>
      <c r="D28" s="3" t="n">
        <v>8.5</v>
      </c>
      <c r="E28" s="3" t="n">
        <v>8.5</v>
      </c>
      <c r="F28" s="3" t="n">
        <v>8.5</v>
      </c>
      <c r="G28" s="3" t="n">
        <v>8.5</v>
      </c>
      <c r="H28" s="3" t="n">
        <v>8.5</v>
      </c>
      <c r="I28" s="3" t="n">
        <v>8.5</v>
      </c>
      <c r="J28" s="3" t="n">
        <v>8.5</v>
      </c>
      <c r="K28" s="3" t="n">
        <v>8.5</v>
      </c>
      <c r="L28" s="3" t="n">
        <v>8.5</v>
      </c>
    </row>
    <row r="29" customFormat="false" ht="15" hidden="false" customHeight="false" outlineLevel="0" collapsed="false">
      <c r="A29" s="0" t="s">
        <v>96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97</v>
      </c>
      <c r="C30" s="3" t="n">
        <v>0.44</v>
      </c>
      <c r="D30" s="3" t="n">
        <v>0.44</v>
      </c>
      <c r="E30" s="3" t="n">
        <v>0.44</v>
      </c>
      <c r="F30" s="3" t="n">
        <v>0.44</v>
      </c>
      <c r="G30" s="3" t="n">
        <v>0.44</v>
      </c>
      <c r="H30" s="3" t="n">
        <v>0.44</v>
      </c>
      <c r="I30" s="3" t="n">
        <v>0.44</v>
      </c>
      <c r="J30" s="3" t="n">
        <v>0.44</v>
      </c>
      <c r="K30" s="3" t="n">
        <v>0.44</v>
      </c>
      <c r="L30" s="3" t="n">
        <v>0.44</v>
      </c>
    </row>
    <row r="31" customFormat="false" ht="15" hidden="false" customHeight="false" outlineLevel="0" collapsed="false">
      <c r="A31" s="0" t="s">
        <v>98</v>
      </c>
      <c r="C31" s="3" t="n">
        <v>1</v>
      </c>
      <c r="D31" s="3" t="n">
        <v>1.1</v>
      </c>
      <c r="E31" s="3" t="n">
        <v>1.2</v>
      </c>
      <c r="F31" s="3" t="n">
        <v>1.2</v>
      </c>
      <c r="G31" s="3" t="n">
        <v>1.2</v>
      </c>
      <c r="H31" s="3" t="n">
        <v>1.2</v>
      </c>
      <c r="I31" s="3" t="n">
        <v>1.2</v>
      </c>
      <c r="J31" s="3" t="n">
        <v>1.2</v>
      </c>
      <c r="K31" s="3" t="n">
        <v>1.2</v>
      </c>
      <c r="L31" s="3" t="n">
        <v>1.2</v>
      </c>
    </row>
    <row r="32" customFormat="false" ht="15" hidden="false" customHeight="false" outlineLevel="0" collapsed="false">
      <c r="A32" s="0" t="s">
        <v>99</v>
      </c>
      <c r="C32" s="3" t="n">
        <v>3.8</v>
      </c>
      <c r="D32" s="3" t="n">
        <v>3</v>
      </c>
      <c r="E32" s="3" t="n">
        <v>2.3</v>
      </c>
      <c r="F32" s="3" t="n">
        <v>2</v>
      </c>
      <c r="G32" s="3" t="n">
        <v>1.8</v>
      </c>
      <c r="H32" s="3" t="n">
        <v>1.6</v>
      </c>
      <c r="I32" s="3" t="n">
        <v>1.5</v>
      </c>
      <c r="J32" s="3" t="n">
        <v>1.5</v>
      </c>
      <c r="K32" s="3" t="n">
        <v>1.5</v>
      </c>
      <c r="L32" s="3" t="n">
        <v>1.5</v>
      </c>
    </row>
    <row r="33" customFormat="false" ht="15" hidden="false" customHeight="false" outlineLevel="0" collapsed="false">
      <c r="A33" s="0" t="s">
        <v>100</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101</v>
      </c>
      <c r="B34" s="3" t="n">
        <v>10.5</v>
      </c>
    </row>
    <row r="35" customFormat="false" ht="15" hidden="false" customHeight="false" outlineLevel="0" collapsed="false">
      <c r="A35" s="0" t="s">
        <v>102</v>
      </c>
      <c r="B35" s="3" t="n">
        <v>2.5</v>
      </c>
    </row>
    <row r="36" customFormat="false" ht="15" hidden="false" customHeight="false" outlineLevel="0" collapsed="false">
      <c r="A36" s="0" t="s">
        <v>103</v>
      </c>
      <c r="B36" s="3" t="n">
        <v>15</v>
      </c>
    </row>
    <row r="37" customFormat="false" ht="15" hidden="false" customHeight="false" outlineLevel="0" collapsed="false">
      <c r="A37" s="0" t="s">
        <v>104</v>
      </c>
      <c r="B37" s="3" t="n">
        <v>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19</v>
      </c>
      <c r="D41" s="3" t="n">
        <v>15</v>
      </c>
      <c r="E41" s="3" t="n">
        <v>12</v>
      </c>
      <c r="F41" s="3" t="n">
        <v>10</v>
      </c>
      <c r="G41" s="3" t="n">
        <v>8</v>
      </c>
      <c r="H41" s="3" t="n">
        <v>6.5</v>
      </c>
      <c r="I41" s="3" t="n">
        <v>5</v>
      </c>
      <c r="J41" s="3" t="n">
        <v>4</v>
      </c>
      <c r="K41" s="3" t="n">
        <v>3.5</v>
      </c>
      <c r="L41" s="3" t="n">
        <v>3</v>
      </c>
    </row>
    <row r="42" customFormat="false" ht="15" hidden="false" customHeight="false" outlineLevel="0" collapsed="false">
      <c r="A42" s="0" t="s">
        <v>95</v>
      </c>
      <c r="C42" s="3" t="n">
        <v>8.8</v>
      </c>
      <c r="D42" s="3" t="n">
        <v>9</v>
      </c>
      <c r="E42" s="3" t="n">
        <v>9.2</v>
      </c>
      <c r="F42" s="3" t="n">
        <v>9.4</v>
      </c>
      <c r="G42" s="3" t="n">
        <v>9.5</v>
      </c>
      <c r="H42" s="3" t="n">
        <v>9.5</v>
      </c>
      <c r="I42" s="3" t="n">
        <v>9.5</v>
      </c>
      <c r="J42" s="3" t="n">
        <v>9.5</v>
      </c>
      <c r="K42" s="3" t="n">
        <v>9.5</v>
      </c>
      <c r="L42" s="3" t="n">
        <v>9.5</v>
      </c>
    </row>
    <row r="43" customFormat="false" ht="15" hidden="false" customHeight="false" outlineLevel="0" collapsed="false">
      <c r="A43" s="0" t="s">
        <v>96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97</v>
      </c>
      <c r="C44" s="3" t="n">
        <v>0.44</v>
      </c>
      <c r="D44" s="3" t="n">
        <v>0.44</v>
      </c>
      <c r="E44" s="3" t="n">
        <v>0.44</v>
      </c>
      <c r="F44" s="3" t="n">
        <v>0.44</v>
      </c>
      <c r="G44" s="3" t="n">
        <v>0.44</v>
      </c>
      <c r="H44" s="3" t="n">
        <v>0.44</v>
      </c>
      <c r="I44" s="3" t="n">
        <v>0.44</v>
      </c>
      <c r="J44" s="3" t="n">
        <v>0.44</v>
      </c>
      <c r="K44" s="3" t="n">
        <v>0.44</v>
      </c>
      <c r="L44" s="3" t="n">
        <v>0.44</v>
      </c>
    </row>
    <row r="45" customFormat="false" ht="15" hidden="false" customHeight="false" outlineLevel="0" collapsed="false">
      <c r="A45" s="0" t="s">
        <v>98</v>
      </c>
      <c r="C45" s="3" t="n">
        <v>1</v>
      </c>
      <c r="D45" s="3" t="n">
        <v>1.1</v>
      </c>
      <c r="E45" s="3" t="n">
        <v>1.2</v>
      </c>
      <c r="F45" s="3" t="n">
        <v>1.2</v>
      </c>
      <c r="G45" s="3" t="n">
        <v>1.2</v>
      </c>
      <c r="H45" s="3" t="n">
        <v>1.2</v>
      </c>
      <c r="I45" s="3" t="n">
        <v>1.2</v>
      </c>
      <c r="J45" s="3" t="n">
        <v>1.2</v>
      </c>
      <c r="K45" s="3" t="n">
        <v>1.2</v>
      </c>
      <c r="L45" s="3" t="n">
        <v>1.2</v>
      </c>
    </row>
    <row r="46" customFormat="false" ht="15" hidden="false" customHeight="false" outlineLevel="0" collapsed="false">
      <c r="A46" s="0" t="s">
        <v>99</v>
      </c>
      <c r="C46" s="3" t="n">
        <v>3.8</v>
      </c>
      <c r="D46" s="3" t="n">
        <v>3</v>
      </c>
      <c r="E46" s="3" t="n">
        <v>2.3</v>
      </c>
      <c r="F46" s="3" t="n">
        <v>2</v>
      </c>
      <c r="G46" s="3" t="n">
        <v>1.8</v>
      </c>
      <c r="H46" s="3" t="n">
        <v>1.6</v>
      </c>
      <c r="I46" s="3" t="n">
        <v>1.5</v>
      </c>
      <c r="J46" s="3" t="n">
        <v>1.5</v>
      </c>
      <c r="K46" s="3" t="n">
        <v>1.5</v>
      </c>
      <c r="L46" s="3" t="n">
        <v>1.5</v>
      </c>
    </row>
    <row r="47" customFormat="false" ht="15" hidden="false" customHeight="false" outlineLevel="0" collapsed="false">
      <c r="A47" s="0" t="s">
        <v>100</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101</v>
      </c>
      <c r="B48" s="3" t="n">
        <v>10.5</v>
      </c>
    </row>
    <row r="49" customFormat="false" ht="15" hidden="false" customHeight="false" outlineLevel="0" collapsed="false">
      <c r="A49" s="0" t="s">
        <v>102</v>
      </c>
      <c r="B49" s="3" t="n">
        <v>2.5</v>
      </c>
    </row>
    <row r="50" customFormat="false" ht="15" hidden="false" customHeight="false" outlineLevel="0" collapsed="false">
      <c r="A50" s="0" t="s">
        <v>103</v>
      </c>
      <c r="B50" s="3" t="n">
        <v>15</v>
      </c>
    </row>
    <row r="51" customFormat="false" ht="15" hidden="false" customHeight="false" outlineLevel="0" collapsed="false">
      <c r="A51" s="0" t="s">
        <v>104</v>
      </c>
      <c r="B51" s="3" t="n">
        <v>5</v>
      </c>
    </row>
    <row r="52" customFormat="false" ht="15" hidden="false" customHeight="false" outlineLevel="0" collapsed="false">
      <c r="A52" s="0" t="s">
        <v>105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14</v>
      </c>
      <c r="D5" s="4" t="n">
        <f aca="false">Assumptions!D13</f>
        <v>-5</v>
      </c>
      <c r="E5" s="4" t="n">
        <f aca="false">Assumptions!E13</f>
        <v>-3</v>
      </c>
      <c r="F5" s="4" t="n">
        <f aca="false">Assumptions!F13</f>
        <v>0</v>
      </c>
      <c r="G5" s="4" t="n">
        <f aca="false">Assumptions!G13</f>
        <v>1</v>
      </c>
      <c r="H5" s="4" t="n">
        <f aca="false">Assumptions!H13</f>
        <v>1.5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7809.992</v>
      </c>
      <c r="C6" s="0" t="n">
        <f aca="false">B6*(1+C5/100)</f>
        <v>8903.39088</v>
      </c>
      <c r="D6" s="0" t="n">
        <f aca="false">C6*(1+D5/100)</f>
        <v>8458.221336</v>
      </c>
      <c r="E6" s="0" t="n">
        <f aca="false">D6*(1+E5/100)</f>
        <v>8204.47469592</v>
      </c>
      <c r="F6" s="0" t="n">
        <f aca="false">E6*(1+F5/100)</f>
        <v>8204.47469592</v>
      </c>
      <c r="G6" s="0" t="n">
        <f aca="false">F6*(1+G5/100)</f>
        <v>8286.5194428792</v>
      </c>
      <c r="H6" s="0" t="n">
        <f aca="false">G6*(1+H5/100)</f>
        <v>8410.81723452239</v>
      </c>
      <c r="I6" s="0" t="n">
        <f aca="false">H6*(1+I5/100)</f>
        <v>8579.03357921284</v>
      </c>
      <c r="J6" s="0" t="n">
        <f aca="false">I6*(1+J5/100)</f>
        <v>8750.61425079709</v>
      </c>
      <c r="K6" s="0" t="n">
        <f aca="false">J6*(1+K5/100)</f>
        <v>8925.62653581304</v>
      </c>
      <c r="L6" s="0" t="n">
        <f aca="false">K6*(1+L5/100)</f>
        <v>9104.1390665293</v>
      </c>
    </row>
    <row r="7" customFormat="false" ht="15" hidden="false" customHeight="false" outlineLevel="0" collapsed="false">
      <c r="A7" s="0" t="s">
        <v>95</v>
      </c>
      <c r="C7" s="4" t="n">
        <f aca="false">Assumptions!C14</f>
        <v>8.2</v>
      </c>
      <c r="D7" s="4" t="n">
        <f aca="false">Assumptions!D14</f>
        <v>7.5</v>
      </c>
      <c r="E7" s="4" t="n">
        <f aca="false">Assumptions!E14</f>
        <v>7</v>
      </c>
      <c r="F7" s="4" t="n">
        <f aca="false">Assumptions!F14</f>
        <v>6.8</v>
      </c>
      <c r="G7" s="4" t="n">
        <f aca="false">Assumptions!G14</f>
        <v>6.8</v>
      </c>
      <c r="H7" s="4" t="n">
        <f aca="false">Assumptions!H14</f>
        <v>6.8</v>
      </c>
      <c r="I7" s="4" t="n">
        <f aca="false">Assumptions!I14</f>
        <v>6.8</v>
      </c>
      <c r="J7" s="4" t="n">
        <f aca="false">Assumptions!J14</f>
        <v>6.8</v>
      </c>
      <c r="K7" s="4" t="n">
        <f aca="false">Assumptions!K14</f>
        <v>6.8</v>
      </c>
      <c r="L7" s="4" t="n">
        <f aca="false">Assumptions!L14</f>
        <v>6.8</v>
      </c>
    </row>
    <row r="8" customFormat="false" ht="15" hidden="false" customHeight="false" outlineLevel="0" collapsed="false">
      <c r="A8" s="0" t="s">
        <v>44</v>
      </c>
      <c r="C8" s="0" t="n">
        <f aca="false">C6*C7/100</f>
        <v>730.07805216</v>
      </c>
      <c r="D8" s="0" t="n">
        <f aca="false">D6*D7/100</f>
        <v>634.3666002</v>
      </c>
      <c r="E8" s="0" t="n">
        <f aca="false">E6*E7/100</f>
        <v>574.3132287144</v>
      </c>
      <c r="F8" s="0" t="n">
        <f aca="false">F6*F7/100</f>
        <v>557.90427932256</v>
      </c>
      <c r="G8" s="0" t="n">
        <f aca="false">G6*G7/100</f>
        <v>563.483322115786</v>
      </c>
      <c r="H8" s="0" t="n">
        <f aca="false">H6*H7/100</f>
        <v>571.935571947522</v>
      </c>
      <c r="I8" s="0" t="n">
        <f aca="false">I6*I7/100</f>
        <v>583.374283386473</v>
      </c>
      <c r="J8" s="0" t="n">
        <f aca="false">J6*J7/100</f>
        <v>595.041769054202</v>
      </c>
      <c r="K8" s="0" t="n">
        <f aca="false">K6*K7/100</f>
        <v>606.942604435286</v>
      </c>
      <c r="L8" s="0" t="n">
        <f aca="false">L6*L7/100</f>
        <v>619.081456523992</v>
      </c>
    </row>
    <row r="9" customFormat="false" ht="15" hidden="false" customHeight="false" outlineLevel="0" collapsed="false">
      <c r="A9" s="0" t="s">
        <v>96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690.903132288</v>
      </c>
      <c r="D11" s="0" t="n">
        <f aca="false">D8+D10+D24</f>
        <v>597.1504263216</v>
      </c>
      <c r="E11" s="0" t="n">
        <f aca="false">E8+E10+E24</f>
        <v>538.213540052352</v>
      </c>
      <c r="F11" s="0" t="n">
        <f aca="false">F8+F10+F24</f>
        <v>521.804590660512</v>
      </c>
      <c r="G11" s="0" t="n">
        <f aca="false">G8+G10+G24</f>
        <v>527.022636567117</v>
      </c>
      <c r="H11" s="0" t="n">
        <f aca="false">H8+H10+H24</f>
        <v>534.927976115624</v>
      </c>
      <c r="I11" s="0" t="n">
        <f aca="false">I8+I10+I24</f>
        <v>545.626535637936</v>
      </c>
      <c r="J11" s="0" t="n">
        <f aca="false">J8+J10+J24</f>
        <v>556.539066350695</v>
      </c>
      <c r="K11" s="0" t="n">
        <f aca="false">K8+K10+K24</f>
        <v>567.669847677709</v>
      </c>
      <c r="L11" s="0" t="n">
        <f aca="false">L8+L10+L24</f>
        <v>579.023244631263</v>
      </c>
    </row>
    <row r="12" customFormat="false" ht="15" hidden="false" customHeight="false" outlineLevel="0" collapsed="false">
      <c r="A12" s="0" t="s">
        <v>113</v>
      </c>
      <c r="C12" s="4" t="n">
        <f aca="false">-C6*Assumptions!C17/100</f>
        <v>-89.0339088</v>
      </c>
      <c r="D12" s="4" t="n">
        <f aca="false">-D6*Assumptions!D17/100</f>
        <v>-101.498656032</v>
      </c>
      <c r="E12" s="4" t="n">
        <f aca="false">-E6*Assumptions!E17/100</f>
        <v>-106.65817104696</v>
      </c>
      <c r="F12" s="4" t="n">
        <f aca="false">-F6*Assumptions!F17/100</f>
        <v>-106.65817104696</v>
      </c>
      <c r="G12" s="4" t="n">
        <f aca="false">-G6*Assumptions!G17/100</f>
        <v>-107.72475275743</v>
      </c>
      <c r="H12" s="4" t="n">
        <f aca="false">-H6*Assumptions!H17/100</f>
        <v>-109.340624048791</v>
      </c>
      <c r="I12" s="4" t="n">
        <f aca="false">-I6*Assumptions!I17/100</f>
        <v>-111.527436529767</v>
      </c>
      <c r="J12" s="4" t="n">
        <f aca="false">-J6*Assumptions!J17/100</f>
        <v>-113.757985260362</v>
      </c>
      <c r="K12" s="4" t="n">
        <f aca="false">-K6*Assumptions!K17/100</f>
        <v>-116.033144965569</v>
      </c>
      <c r="L12" s="4" t="n">
        <f aca="false">-L6*Assumptions!L17/100</f>
        <v>-118.353807864881</v>
      </c>
    </row>
    <row r="13" customFormat="false" ht="15" hidden="false" customHeight="false" outlineLevel="0" collapsed="false">
      <c r="A13" s="0" t="s">
        <v>114</v>
      </c>
      <c r="C13" s="0" t="n">
        <f aca="false">C11+C12</f>
        <v>601.869223488</v>
      </c>
      <c r="D13" s="0" t="n">
        <f aca="false">D11+D12</f>
        <v>495.6517702896</v>
      </c>
      <c r="E13" s="0" t="n">
        <f aca="false">E11+E12</f>
        <v>431.555369005392</v>
      </c>
      <c r="F13" s="0" t="n">
        <f aca="false">F11+F12</f>
        <v>415.146419613552</v>
      </c>
      <c r="G13" s="0" t="n">
        <f aca="false">G11+G12</f>
        <v>419.297883809687</v>
      </c>
      <c r="H13" s="0" t="n">
        <f aca="false">H11+H12</f>
        <v>425.587352066833</v>
      </c>
      <c r="I13" s="0" t="n">
        <f aca="false">I11+I12</f>
        <v>434.09909910817</v>
      </c>
      <c r="J13" s="0" t="n">
        <f aca="false">J11+J12</f>
        <v>442.781081090333</v>
      </c>
      <c r="K13" s="0" t="n">
        <f aca="false">K11+K12</f>
        <v>451.63670271214</v>
      </c>
      <c r="L13" s="0" t="n">
        <f aca="false">L11+L12</f>
        <v>460.669436766382</v>
      </c>
    </row>
    <row r="14" customFormat="false" ht="15" hidden="false" customHeight="false" outlineLevel="0" collapsed="false">
      <c r="A14" s="0" t="s">
        <v>100</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115</v>
      </c>
      <c r="C15" s="0" t="n">
        <f aca="false">C13-MAX(0,C13)*C14/100</f>
        <v>439.36453314624</v>
      </c>
      <c r="D15" s="0" t="n">
        <f aca="false">D13-MAX(0,D13)*D14/100</f>
        <v>361.825792311408</v>
      </c>
      <c r="E15" s="0" t="n">
        <f aca="false">E13-MAX(0,E13)*E14/100</f>
        <v>315.035419373936</v>
      </c>
      <c r="F15" s="0" t="n">
        <f aca="false">F13-MAX(0,F13)*F14/100</f>
        <v>303.056886317893</v>
      </c>
      <c r="G15" s="0" t="n">
        <f aca="false">G13-MAX(0,G13)*G14/100</f>
        <v>306.087455181072</v>
      </c>
      <c r="H15" s="0" t="n">
        <f aca="false">H13-MAX(0,H13)*H14/100</f>
        <v>310.678767008788</v>
      </c>
      <c r="I15" s="0" t="n">
        <f aca="false">I13-MAX(0,I13)*I14/100</f>
        <v>316.892342348964</v>
      </c>
      <c r="J15" s="0" t="n">
        <f aca="false">J13-MAX(0,J13)*J14/100</f>
        <v>323.230189195943</v>
      </c>
      <c r="K15" s="0" t="n">
        <f aca="false">K13-MAX(0,K13)*K14/100</f>
        <v>329.694792979862</v>
      </c>
      <c r="L15" s="0" t="n">
        <f aca="false">L13-MAX(0,L13)*L14/100</f>
        <v>336.288688839459</v>
      </c>
    </row>
    <row r="16" customFormat="false" ht="15" hidden="false" customHeight="false" outlineLevel="0" collapsed="false">
      <c r="A16" s="0" t="s">
        <v>116</v>
      </c>
      <c r="C16" s="0" t="n">
        <f aca="false">-C12</f>
        <v>89.0339088</v>
      </c>
      <c r="D16" s="0" t="n">
        <f aca="false">-D12</f>
        <v>101.498656032</v>
      </c>
      <c r="E16" s="0" t="n">
        <f aca="false">-E12</f>
        <v>106.65817104696</v>
      </c>
      <c r="F16" s="0" t="n">
        <f aca="false">-F12</f>
        <v>106.65817104696</v>
      </c>
      <c r="G16" s="0" t="n">
        <f aca="false">-G12</f>
        <v>107.72475275743</v>
      </c>
      <c r="H16" s="0" t="n">
        <f aca="false">-H12</f>
        <v>109.340624048791</v>
      </c>
      <c r="I16" s="0" t="n">
        <f aca="false">-I12</f>
        <v>111.527436529767</v>
      </c>
      <c r="J16" s="0" t="n">
        <f aca="false">-J12</f>
        <v>113.757985260362</v>
      </c>
      <c r="K16" s="0" t="n">
        <f aca="false">-K12</f>
        <v>116.033144965569</v>
      </c>
      <c r="L16" s="0" t="n">
        <f aca="false">-L12</f>
        <v>118.353807864881</v>
      </c>
    </row>
    <row r="17" customFormat="false" ht="15" hidden="false" customHeight="false" outlineLevel="0" collapsed="false">
      <c r="A17" s="0" t="s">
        <v>117</v>
      </c>
      <c r="C17" s="4" t="n">
        <f aca="false">-C6*Assumptions!C18/100</f>
        <v>-338.32885344</v>
      </c>
      <c r="D17" s="4" t="n">
        <f aca="false">-D6*Assumptions!D18/100</f>
        <v>-211.4555334</v>
      </c>
      <c r="E17" s="4" t="n">
        <f aca="false">-E6*Assumptions!E18/100</f>
        <v>-147.68054452656</v>
      </c>
      <c r="F17" s="4" t="n">
        <f aca="false">-F6*Assumptions!F18/100</f>
        <v>-123.0671204388</v>
      </c>
      <c r="G17" s="4" t="n">
        <f aca="false">-G6*Assumptions!G18/100</f>
        <v>-124.297791643188</v>
      </c>
      <c r="H17" s="4" t="n">
        <f aca="false">-H6*Assumptions!H18/100</f>
        <v>-126.162258517836</v>
      </c>
      <c r="I17" s="4" t="n">
        <f aca="false">-I6*Assumptions!I18/100</f>
        <v>-128.685503688193</v>
      </c>
      <c r="J17" s="4" t="n">
        <f aca="false">-J6*Assumptions!J18/100</f>
        <v>-131.259213761956</v>
      </c>
      <c r="K17" s="4" t="n">
        <f aca="false">-K6*Assumptions!K18/100</f>
        <v>-133.884398037196</v>
      </c>
      <c r="L17" s="4" t="n">
        <f aca="false">-L6*Assumptions!L18/100</f>
        <v>-136.562085997939</v>
      </c>
    </row>
    <row r="18" customFormat="false" ht="15" hidden="false" customHeight="false" outlineLevel="0" collapsed="false">
      <c r="A18" s="0" t="s">
        <v>118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119</v>
      </c>
      <c r="C19" s="0" t="n">
        <f aca="false">C15+C16+C17+C18</f>
        <v>190.06958850624</v>
      </c>
      <c r="D19" s="0" t="n">
        <f aca="false">D15+D16+D17+D18</f>
        <v>251.868914943408</v>
      </c>
      <c r="E19" s="0" t="n">
        <f aca="false">E15+E16+E17+E18</f>
        <v>274.013045894336</v>
      </c>
      <c r="F19" s="0" t="n">
        <f aca="false">F15+F16+F17+F18</f>
        <v>286.647936926053</v>
      </c>
      <c r="G19" s="0" t="n">
        <f aca="false">G15+G16+G17+G18</f>
        <v>289.514416295314</v>
      </c>
      <c r="H19" s="0" t="n">
        <f aca="false">H15+H16+H17+H18</f>
        <v>293.857132539743</v>
      </c>
      <c r="I19" s="0" t="n">
        <f aca="false">I15+I16+I17+I18</f>
        <v>299.734275190538</v>
      </c>
      <c r="J19" s="0" t="n">
        <f aca="false">J15+J16+J17+J18</f>
        <v>305.728960694349</v>
      </c>
      <c r="K19" s="0" t="n">
        <f aca="false">K15+K16+K17+K18</f>
        <v>311.843539908236</v>
      </c>
      <c r="L19" s="0" t="n">
        <f aca="false">L15+L16+L17+L18</f>
        <v>318.080410706401</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172.008677381213</v>
      </c>
      <c r="D21" s="0" t="n">
        <f aca="false">D19*D20</f>
        <v>206.276624101397</v>
      </c>
      <c r="E21" s="0" t="n">
        <f aca="false">E19*E20</f>
        <v>203.088067110989</v>
      </c>
      <c r="F21" s="0" t="n">
        <f aca="false">F19*F20</f>
        <v>192.26476803482</v>
      </c>
      <c r="G21" s="0" t="n">
        <f aca="false">G19*G20</f>
        <v>175.735217841781</v>
      </c>
      <c r="H21" s="0" t="n">
        <f aca="false">H19*H20</f>
        <v>161.42194218046</v>
      </c>
      <c r="I21" s="0" t="n">
        <f aca="false">I19*I20</f>
        <v>149.00486970504</v>
      </c>
      <c r="J21" s="0" t="n">
        <f aca="false">J19*J20</f>
        <v>137.542956650806</v>
      </c>
      <c r="K21" s="0" t="n">
        <f aca="false">K19*K20</f>
        <v>126.962729216128</v>
      </c>
      <c r="L21" s="0" t="n">
        <f aca="false">L19*L20</f>
        <v>117.196365430272</v>
      </c>
    </row>
    <row r="23" customFormat="false" ht="15" hidden="false" customHeight="false" outlineLevel="0" collapsed="false">
      <c r="A23" s="0" t="s">
        <v>97</v>
      </c>
      <c r="C23" s="4" t="n">
        <f aca="false">Assumptions!C16</f>
        <v>0.44</v>
      </c>
      <c r="D23" s="4" t="n">
        <f aca="false">Assumptions!D16</f>
        <v>0.44</v>
      </c>
      <c r="E23" s="4" t="n">
        <f aca="false">Assumptions!E16</f>
        <v>0.44</v>
      </c>
      <c r="F23" s="4" t="n">
        <f aca="false">Assumptions!F16</f>
        <v>0.44</v>
      </c>
      <c r="G23" s="4" t="n">
        <f aca="false">Assumptions!G16</f>
        <v>0.44</v>
      </c>
      <c r="H23" s="4" t="n">
        <f aca="false">Assumptions!H16</f>
        <v>0.44</v>
      </c>
      <c r="I23" s="4" t="n">
        <f aca="false">Assumptions!I16</f>
        <v>0.44</v>
      </c>
      <c r="J23" s="4" t="n">
        <f aca="false">Assumptions!J16</f>
        <v>0.44</v>
      </c>
      <c r="K23" s="4" t="n">
        <f aca="false">Assumptions!K16</f>
        <v>0.44</v>
      </c>
      <c r="L23" s="4" t="n">
        <f aca="false">Assumptions!L16</f>
        <v>0.44</v>
      </c>
    </row>
    <row r="24" customFormat="false" ht="15" hidden="false" customHeight="false" outlineLevel="0" collapsed="false">
      <c r="A24" s="0" t="s">
        <v>122</v>
      </c>
      <c r="C24" s="0" t="n">
        <f aca="false">-C6*C23/100</f>
        <v>-39.174919872</v>
      </c>
      <c r="D24" s="0" t="n">
        <f aca="false">-D6*D23/100</f>
        <v>-37.2161738784</v>
      </c>
      <c r="E24" s="0" t="n">
        <f aca="false">-E6*E23/100</f>
        <v>-36.099688662048</v>
      </c>
      <c r="F24" s="0" t="n">
        <f aca="false">-F6*F23/100</f>
        <v>-36.099688662048</v>
      </c>
      <c r="G24" s="0" t="n">
        <f aca="false">-G6*G23/100</f>
        <v>-36.4606855486685</v>
      </c>
      <c r="H24" s="0" t="n">
        <f aca="false">-H6*H23/100</f>
        <v>-37.0075958318985</v>
      </c>
      <c r="I24" s="0" t="n">
        <f aca="false">-I6*I23/100</f>
        <v>-37.7477477485365</v>
      </c>
      <c r="J24" s="0" t="n">
        <f aca="false">-J6*J23/100</f>
        <v>-38.5027027035072</v>
      </c>
      <c r="K24" s="0" t="n">
        <f aca="false">-K6*K23/100</f>
        <v>-39.2727567575774</v>
      </c>
      <c r="L24" s="0" t="n">
        <f aca="false">-L6*L23/100</f>
        <v>-40.0582118927289</v>
      </c>
    </row>
    <row r="26" customFormat="false" ht="15" hidden="false" customHeight="false" outlineLevel="0" collapsed="false">
      <c r="A26" s="2" t="s">
        <v>123</v>
      </c>
    </row>
    <row r="27" customFormat="false" ht="15" hidden="false" customHeight="false" outlineLevel="0" collapsed="false">
      <c r="A27" s="0" t="s">
        <v>101</v>
      </c>
      <c r="B27" s="4" t="n">
        <f aca="false">Assumptions!$B$20</f>
        <v>10.5</v>
      </c>
    </row>
    <row r="28" customFormat="false" ht="15" hidden="false" customHeight="false" outlineLevel="0" collapsed="false">
      <c r="A28" s="0" t="s">
        <v>102</v>
      </c>
      <c r="B28" s="4" t="n">
        <f aca="false">Assumptions!$B$21</f>
        <v>2</v>
      </c>
    </row>
    <row r="29" customFormat="false" ht="15" hidden="false" customHeight="false" outlineLevel="0" collapsed="false">
      <c r="A29" s="0" t="s">
        <v>103</v>
      </c>
      <c r="B29" s="4" t="n">
        <f aca="false">Assumptions!$B$22</f>
        <v>12</v>
      </c>
    </row>
    <row r="30" customFormat="false" ht="15" hidden="false" customHeight="false" outlineLevel="0" collapsed="false">
      <c r="A30" s="0" t="s">
        <v>124</v>
      </c>
      <c r="B30" s="0" t="n">
        <f aca="false">SUM(C21:L21)</f>
        <v>1641.50221765291</v>
      </c>
    </row>
    <row r="31" customFormat="false" ht="15" hidden="false" customHeight="false" outlineLevel="0" collapsed="false">
      <c r="A31" s="0" t="s">
        <v>125</v>
      </c>
      <c r="B31" s="0" t="n">
        <f aca="false">L19</f>
        <v>318.080410706401</v>
      </c>
    </row>
    <row r="32" customFormat="false" ht="15" hidden="false" customHeight="false" outlineLevel="0" collapsed="false">
      <c r="A32" s="0" t="s">
        <v>126</v>
      </c>
      <c r="B32" s="0" t="n">
        <f aca="false">IF(B27&gt;B28,B31*(1+B28/100)/((B27-B28)/100),B31*B29)</f>
        <v>3816.96492847681</v>
      </c>
    </row>
    <row r="33" customFormat="false" ht="15" hidden="false" customHeight="false" outlineLevel="0" collapsed="false">
      <c r="A33" s="0" t="s">
        <v>127</v>
      </c>
      <c r="B33" s="0" t="n">
        <f aca="false">B31*B29</f>
        <v>3816.96492847681</v>
      </c>
    </row>
    <row r="34" customFormat="false" ht="15" hidden="false" customHeight="false" outlineLevel="0" collapsed="false">
      <c r="A34" s="0" t="s">
        <v>128</v>
      </c>
      <c r="B34" s="0" t="n">
        <f aca="false">MAX(0,MIN(B32,B33))</f>
        <v>3816.96492847681</v>
      </c>
    </row>
    <row r="35" customFormat="false" ht="15" hidden="false" customHeight="false" outlineLevel="0" collapsed="false">
      <c r="A35" s="0" t="s">
        <v>129</v>
      </c>
      <c r="B35" s="0" t="n">
        <f aca="false">B34/(1+B27/100)^L4</f>
        <v>1406.35638516327</v>
      </c>
    </row>
    <row r="36" customFormat="false" ht="15" hidden="false" customHeight="false" outlineLevel="0" collapsed="false">
      <c r="A36" s="0" t="s">
        <v>130</v>
      </c>
      <c r="B36" s="0" t="n">
        <f aca="false">B30+B35</f>
        <v>3047.85860281617</v>
      </c>
    </row>
    <row r="37" customFormat="false" ht="15" hidden="false" customHeight="false" outlineLevel="0" collapsed="false">
      <c r="A37" s="0" t="s">
        <v>131</v>
      </c>
      <c r="B37" s="0" t="n">
        <f aca="false">B36+Assumptions!$B$5-Assumptions!$B$4</f>
        <v>4668.64460281617</v>
      </c>
    </row>
    <row r="38" customFormat="false" ht="15" hidden="false" customHeight="false" outlineLevel="0" collapsed="false">
      <c r="A38" s="0" t="s">
        <v>132</v>
      </c>
      <c r="B38" s="0" t="n">
        <f aca="false">B37/Assumptions!$B$3*Assumptions!$B$10</f>
        <v>2.15638554722075</v>
      </c>
    </row>
    <row r="39" customFormat="false" ht="15" hidden="false" customHeight="false" outlineLevel="0" collapsed="false">
      <c r="A39" s="0" t="s">
        <v>133</v>
      </c>
      <c r="B39" s="4" t="n">
        <f aca="false">B38/Assumptions!$B$2-1</f>
        <v>0.579769631663556</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2.15638554722075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2495.70783785022</v>
      </c>
    </row>
    <row r="47" customFormat="false" ht="15" hidden="false" customHeight="false" outlineLevel="0" collapsed="false">
      <c r="A47" s="0" t="s">
        <v>138</v>
      </c>
      <c r="B47" s="0" t="n">
        <f aca="false">(SUMPRODUCT(C19:L19/(1+B45/100)^C4:L4)+B46/(1+B45/100)^L4+Assumptions!$B$5-Assumptions!$B$4)/Assumptions!$B$3*Assumptions!$B$10</f>
        <v>1.6574119794469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17</v>
      </c>
      <c r="D5" s="4" t="n">
        <f aca="false">Assumptions!D27</f>
        <v>12</v>
      </c>
      <c r="E5" s="4" t="n">
        <f aca="false">Assumptions!E27</f>
        <v>9</v>
      </c>
      <c r="F5" s="4" t="n">
        <f aca="false">Assumptions!F27</f>
        <v>7</v>
      </c>
      <c r="G5" s="4" t="n">
        <f aca="false">Assumptions!G27</f>
        <v>6</v>
      </c>
      <c r="H5" s="4" t="n">
        <f aca="false">Assumptions!H27</f>
        <v>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38</v>
      </c>
      <c r="B6" s="3" t="n">
        <v>7809.992</v>
      </c>
      <c r="C6" s="0" t="n">
        <f aca="false">B6*(1+C5/100)</f>
        <v>9137.69064</v>
      </c>
      <c r="D6" s="0" t="n">
        <f aca="false">C6*(1+D5/100)</f>
        <v>10234.2135168</v>
      </c>
      <c r="E6" s="0" t="n">
        <f aca="false">D6*(1+E5/100)</f>
        <v>11155.292733312</v>
      </c>
      <c r="F6" s="0" t="n">
        <f aca="false">E6*(1+F5/100)</f>
        <v>11936.1632246438</v>
      </c>
      <c r="G6" s="0" t="n">
        <f aca="false">F6*(1+G5/100)</f>
        <v>12652.3330181225</v>
      </c>
      <c r="H6" s="0" t="n">
        <f aca="false">G6*(1+H5/100)</f>
        <v>13284.9496690286</v>
      </c>
      <c r="I6" s="0" t="n">
        <f aca="false">H6*(1+I5/100)</f>
        <v>13816.3476557897</v>
      </c>
      <c r="J6" s="0" t="n">
        <f aca="false">I6*(1+J5/100)</f>
        <v>14299.9198237424</v>
      </c>
      <c r="K6" s="0" t="n">
        <f aca="false">J6*(1+K5/100)</f>
        <v>14728.9174184547</v>
      </c>
      <c r="L6" s="0" t="n">
        <f aca="false">K6*(1+L5/100)</f>
        <v>15170.7849410083</v>
      </c>
    </row>
    <row r="7" customFormat="false" ht="15" hidden="false" customHeight="false" outlineLevel="0" collapsed="false">
      <c r="A7" s="0" t="s">
        <v>95</v>
      </c>
      <c r="C7" s="4" t="n">
        <f aca="false">Assumptions!C28</f>
        <v>8.6</v>
      </c>
      <c r="D7" s="4" t="n">
        <f aca="false">Assumptions!D28</f>
        <v>8.5</v>
      </c>
      <c r="E7" s="4" t="n">
        <f aca="false">Assumptions!E28</f>
        <v>8.5</v>
      </c>
      <c r="F7" s="4" t="n">
        <f aca="false">Assumptions!F28</f>
        <v>8.5</v>
      </c>
      <c r="G7" s="4" t="n">
        <f aca="false">Assumptions!G28</f>
        <v>8.5</v>
      </c>
      <c r="H7" s="4" t="n">
        <f aca="false">Assumptions!H28</f>
        <v>8.5</v>
      </c>
      <c r="I7" s="4" t="n">
        <f aca="false">Assumptions!I28</f>
        <v>8.5</v>
      </c>
      <c r="J7" s="4" t="n">
        <f aca="false">Assumptions!J28</f>
        <v>8.5</v>
      </c>
      <c r="K7" s="4" t="n">
        <f aca="false">Assumptions!K28</f>
        <v>8.5</v>
      </c>
      <c r="L7" s="4" t="n">
        <f aca="false">Assumptions!L28</f>
        <v>8.5</v>
      </c>
    </row>
    <row r="8" customFormat="false" ht="15" hidden="false" customHeight="false" outlineLevel="0" collapsed="false">
      <c r="A8" s="0" t="s">
        <v>44</v>
      </c>
      <c r="C8" s="0" t="n">
        <f aca="false">C6*C7/100</f>
        <v>785.84139504</v>
      </c>
      <c r="D8" s="0" t="n">
        <f aca="false">D6*D7/100</f>
        <v>869.908148928</v>
      </c>
      <c r="E8" s="0" t="n">
        <f aca="false">E6*E7/100</f>
        <v>948.19988233152</v>
      </c>
      <c r="F8" s="0" t="n">
        <f aca="false">F6*F7/100</f>
        <v>1014.57387409473</v>
      </c>
      <c r="G8" s="0" t="n">
        <f aca="false">G6*G7/100</f>
        <v>1075.44830654041</v>
      </c>
      <c r="H8" s="0" t="n">
        <f aca="false">H6*H7/100</f>
        <v>1129.22072186743</v>
      </c>
      <c r="I8" s="0" t="n">
        <f aca="false">I6*I7/100</f>
        <v>1174.38955074213</v>
      </c>
      <c r="J8" s="0" t="n">
        <f aca="false">J6*J7/100</f>
        <v>1215.4931850181</v>
      </c>
      <c r="K8" s="0" t="n">
        <f aca="false">K6*K7/100</f>
        <v>1251.95798056865</v>
      </c>
      <c r="L8" s="0" t="n">
        <f aca="false">L6*L7/100</f>
        <v>1289.51671998571</v>
      </c>
    </row>
    <row r="9" customFormat="false" ht="15" hidden="false" customHeight="false" outlineLevel="0" collapsed="false">
      <c r="A9" s="0" t="s">
        <v>96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745.635556224</v>
      </c>
      <c r="D11" s="0" t="n">
        <f aca="false">D8+D10+D24</f>
        <v>824.87760945408</v>
      </c>
      <c r="E11" s="0" t="n">
        <f aca="false">E8+E10+E24</f>
        <v>899.116594304947</v>
      </c>
      <c r="F11" s="0" t="n">
        <f aca="false">F8+F10+F24</f>
        <v>962.054755906294</v>
      </c>
      <c r="G11" s="0" t="n">
        <f aca="false">G8+G10+G24</f>
        <v>1019.77804126067</v>
      </c>
      <c r="H11" s="0" t="n">
        <f aca="false">H8+H10+H24</f>
        <v>1070.76694332371</v>
      </c>
      <c r="I11" s="0" t="n">
        <f aca="false">I8+I10+I24</f>
        <v>1113.59762105665</v>
      </c>
      <c r="J11" s="0" t="n">
        <f aca="false">J8+J10+J24</f>
        <v>1152.57353779364</v>
      </c>
      <c r="K11" s="0" t="n">
        <f aca="false">K8+K10+K24</f>
        <v>1187.15074392745</v>
      </c>
      <c r="L11" s="0" t="n">
        <f aca="false">L8+L10+L24</f>
        <v>1222.76526624527</v>
      </c>
    </row>
    <row r="12" customFormat="false" ht="15" hidden="false" customHeight="false" outlineLevel="0" collapsed="false">
      <c r="A12" s="0" t="s">
        <v>113</v>
      </c>
      <c r="C12" s="4" t="n">
        <f aca="false">-C6*Assumptions!C31/100</f>
        <v>-91.3769064</v>
      </c>
      <c r="D12" s="4" t="n">
        <f aca="false">-D6*Assumptions!D31/100</f>
        <v>-112.5763486848</v>
      </c>
      <c r="E12" s="4" t="n">
        <f aca="false">-E6*Assumptions!E31/100</f>
        <v>-133.863512799744</v>
      </c>
      <c r="F12" s="4" t="n">
        <f aca="false">-F6*Assumptions!F31/100</f>
        <v>-143.233958695726</v>
      </c>
      <c r="G12" s="4" t="n">
        <f aca="false">-G6*Assumptions!G31/100</f>
        <v>-151.82799621747</v>
      </c>
      <c r="H12" s="4" t="n">
        <f aca="false">-H6*Assumptions!H31/100</f>
        <v>-159.419396028343</v>
      </c>
      <c r="I12" s="4" t="n">
        <f aca="false">-I6*Assumptions!I31/100</f>
        <v>-165.796171869477</v>
      </c>
      <c r="J12" s="4" t="n">
        <f aca="false">-J6*Assumptions!J31/100</f>
        <v>-171.599037884909</v>
      </c>
      <c r="K12" s="4" t="n">
        <f aca="false">-K6*Assumptions!K31/100</f>
        <v>-176.747009021456</v>
      </c>
      <c r="L12" s="4" t="n">
        <f aca="false">-L6*Assumptions!L31/100</f>
        <v>-182.0494192921</v>
      </c>
    </row>
    <row r="13" customFormat="false" ht="15" hidden="false" customHeight="false" outlineLevel="0" collapsed="false">
      <c r="A13" s="0" t="s">
        <v>114</v>
      </c>
      <c r="C13" s="0" t="n">
        <f aca="false">C11+C12</f>
        <v>654.258649824</v>
      </c>
      <c r="D13" s="0" t="n">
        <f aca="false">D11+D12</f>
        <v>712.30126076928</v>
      </c>
      <c r="E13" s="0" t="n">
        <f aca="false">E11+E12</f>
        <v>765.253081505203</v>
      </c>
      <c r="F13" s="0" t="n">
        <f aca="false">F11+F12</f>
        <v>818.820797210568</v>
      </c>
      <c r="G13" s="0" t="n">
        <f aca="false">G11+G12</f>
        <v>867.950045043202</v>
      </c>
      <c r="H13" s="0" t="n">
        <f aca="false">H11+H12</f>
        <v>911.347547295362</v>
      </c>
      <c r="I13" s="0" t="n">
        <f aca="false">I11+I12</f>
        <v>947.801449187177</v>
      </c>
      <c r="J13" s="0" t="n">
        <f aca="false">J11+J12</f>
        <v>980.974499908728</v>
      </c>
      <c r="K13" s="0" t="n">
        <f aca="false">K11+K12</f>
        <v>1010.40373490599</v>
      </c>
      <c r="L13" s="0" t="n">
        <f aca="false">L11+L12</f>
        <v>1040.71584695317</v>
      </c>
    </row>
    <row r="14" customFormat="false" ht="15" hidden="false" customHeight="false" outlineLevel="0" collapsed="false">
      <c r="A14" s="0" t="s">
        <v>100</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115</v>
      </c>
      <c r="C15" s="0" t="n">
        <f aca="false">C13-MAX(0,C13)*C14/100</f>
        <v>477.60881437152</v>
      </c>
      <c r="D15" s="0" t="n">
        <f aca="false">D13-MAX(0,D13)*D14/100</f>
        <v>519.979920361574</v>
      </c>
      <c r="E15" s="0" t="n">
        <f aca="false">E13-MAX(0,E13)*E14/100</f>
        <v>558.634749498798</v>
      </c>
      <c r="F15" s="0" t="n">
        <f aca="false">F13-MAX(0,F13)*F14/100</f>
        <v>597.739181963714</v>
      </c>
      <c r="G15" s="0" t="n">
        <f aca="false">G13-MAX(0,G13)*G14/100</f>
        <v>633.603532881537</v>
      </c>
      <c r="H15" s="0" t="n">
        <f aca="false">H13-MAX(0,H13)*H14/100</f>
        <v>665.283709525614</v>
      </c>
      <c r="I15" s="0" t="n">
        <f aca="false">I13-MAX(0,I13)*I14/100</f>
        <v>691.895057906639</v>
      </c>
      <c r="J15" s="0" t="n">
        <f aca="false">J13-MAX(0,J13)*J14/100</f>
        <v>716.111384933371</v>
      </c>
      <c r="K15" s="0" t="n">
        <f aca="false">K13-MAX(0,K13)*K14/100</f>
        <v>737.594726481372</v>
      </c>
      <c r="L15" s="0" t="n">
        <f aca="false">L13-MAX(0,L13)*L14/100</f>
        <v>759.722568275814</v>
      </c>
    </row>
    <row r="16" customFormat="false" ht="15" hidden="false" customHeight="false" outlineLevel="0" collapsed="false">
      <c r="A16" s="0" t="s">
        <v>116</v>
      </c>
      <c r="C16" s="0" t="n">
        <f aca="false">-C12</f>
        <v>91.3769064</v>
      </c>
      <c r="D16" s="0" t="n">
        <f aca="false">-D12</f>
        <v>112.5763486848</v>
      </c>
      <c r="E16" s="0" t="n">
        <f aca="false">-E12</f>
        <v>133.863512799744</v>
      </c>
      <c r="F16" s="0" t="n">
        <f aca="false">-F12</f>
        <v>143.233958695726</v>
      </c>
      <c r="G16" s="0" t="n">
        <f aca="false">-G12</f>
        <v>151.82799621747</v>
      </c>
      <c r="H16" s="0" t="n">
        <f aca="false">-H12</f>
        <v>159.419396028343</v>
      </c>
      <c r="I16" s="0" t="n">
        <f aca="false">-I12</f>
        <v>165.796171869477</v>
      </c>
      <c r="J16" s="0" t="n">
        <f aca="false">-J12</f>
        <v>171.599037884909</v>
      </c>
      <c r="K16" s="0" t="n">
        <f aca="false">-K12</f>
        <v>176.747009021456</v>
      </c>
      <c r="L16" s="0" t="n">
        <f aca="false">-L12</f>
        <v>182.0494192921</v>
      </c>
    </row>
    <row r="17" customFormat="false" ht="15" hidden="false" customHeight="false" outlineLevel="0" collapsed="false">
      <c r="A17" s="0" t="s">
        <v>117</v>
      </c>
      <c r="C17" s="4" t="n">
        <f aca="false">-C6*Assumptions!C32/100</f>
        <v>-347.23224432</v>
      </c>
      <c r="D17" s="4" t="n">
        <f aca="false">-D6*Assumptions!D32/100</f>
        <v>-307.026405504</v>
      </c>
      <c r="E17" s="4" t="n">
        <f aca="false">-E6*Assumptions!E32/100</f>
        <v>-256.571732866176</v>
      </c>
      <c r="F17" s="4" t="n">
        <f aca="false">-F6*Assumptions!F32/100</f>
        <v>-238.723264492877</v>
      </c>
      <c r="G17" s="4" t="n">
        <f aca="false">-G6*Assumptions!G32/100</f>
        <v>-227.741994326205</v>
      </c>
      <c r="H17" s="4" t="n">
        <f aca="false">-H6*Assumptions!H32/100</f>
        <v>-212.559194704458</v>
      </c>
      <c r="I17" s="4" t="n">
        <f aca="false">-I6*Assumptions!I32/100</f>
        <v>-207.245214836846</v>
      </c>
      <c r="J17" s="4" t="n">
        <f aca="false">-J6*Assumptions!J32/100</f>
        <v>-214.498797356136</v>
      </c>
      <c r="K17" s="4" t="n">
        <f aca="false">-K6*Assumptions!K32/100</f>
        <v>-220.93376127682</v>
      </c>
      <c r="L17" s="4" t="n">
        <f aca="false">-L6*Assumptions!L32/100</f>
        <v>-227.561774115124</v>
      </c>
    </row>
    <row r="18" customFormat="false" ht="15" hidden="false" customHeight="false" outlineLevel="0" collapsed="false">
      <c r="A18" s="0" t="s">
        <v>118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119</v>
      </c>
      <c r="C19" s="0" t="n">
        <f aca="false">C15+C16+C17+C18</f>
        <v>221.75347645152</v>
      </c>
      <c r="D19" s="0" t="n">
        <f aca="false">D15+D16+D17+D18</f>
        <v>325.529863542374</v>
      </c>
      <c r="E19" s="0" t="n">
        <f aca="false">E15+E16+E17+E18</f>
        <v>435.926529432366</v>
      </c>
      <c r="F19" s="0" t="n">
        <f aca="false">F15+F16+F17+F18</f>
        <v>502.249876166564</v>
      </c>
      <c r="G19" s="0" t="n">
        <f aca="false">G15+G16+G17+G18</f>
        <v>557.689534772802</v>
      </c>
      <c r="H19" s="0" t="n">
        <f aca="false">H15+H16+H17+H18</f>
        <v>612.1439108495</v>
      </c>
      <c r="I19" s="0" t="n">
        <f aca="false">I15+I16+I17+I18</f>
        <v>650.44601493927</v>
      </c>
      <c r="J19" s="0" t="n">
        <f aca="false">J15+J16+J17+J18</f>
        <v>673.211625462144</v>
      </c>
      <c r="K19" s="0" t="n">
        <f aca="false">K15+K16+K17+K18</f>
        <v>693.407974226008</v>
      </c>
      <c r="L19" s="0" t="n">
        <f aca="false">L15+L16+L17+L18</f>
        <v>714.210213452789</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200.681879141647</v>
      </c>
      <c r="D21" s="0" t="n">
        <f aca="false">D19*D20</f>
        <v>266.603766132859</v>
      </c>
      <c r="E21" s="0" t="n">
        <f aca="false">E19*E20</f>
        <v>323.092194299976</v>
      </c>
      <c r="F21" s="0" t="n">
        <f aca="false">F19*F20</f>
        <v>336.876507719616</v>
      </c>
      <c r="G21" s="0" t="n">
        <f aca="false">G19*G20</f>
        <v>338.517484329386</v>
      </c>
      <c r="H21" s="0" t="n">
        <f aca="false">H19*H20</f>
        <v>336.263605818396</v>
      </c>
      <c r="I21" s="0" t="n">
        <f aca="false">I19*I20</f>
        <v>323.351821024063</v>
      </c>
      <c r="J21" s="0" t="n">
        <f aca="false">J19*J20</f>
        <v>302.867995257833</v>
      </c>
      <c r="K21" s="0" t="n">
        <f aca="false">K19*K20</f>
        <v>282.311343995989</v>
      </c>
      <c r="L21" s="0" t="n">
        <f aca="false">L19*L20</f>
        <v>263.149940557347</v>
      </c>
    </row>
    <row r="23" customFormat="false" ht="15" hidden="false" customHeight="false" outlineLevel="0" collapsed="false">
      <c r="A23" s="0" t="s">
        <v>97</v>
      </c>
      <c r="C23" s="4" t="n">
        <f aca="false">Assumptions!C30</f>
        <v>0.44</v>
      </c>
      <c r="D23" s="4" t="n">
        <f aca="false">Assumptions!D30</f>
        <v>0.44</v>
      </c>
      <c r="E23" s="4" t="n">
        <f aca="false">Assumptions!E30</f>
        <v>0.44</v>
      </c>
      <c r="F23" s="4" t="n">
        <f aca="false">Assumptions!F30</f>
        <v>0.44</v>
      </c>
      <c r="G23" s="4" t="n">
        <f aca="false">Assumptions!G30</f>
        <v>0.44</v>
      </c>
      <c r="H23" s="4" t="n">
        <f aca="false">Assumptions!H30</f>
        <v>0.44</v>
      </c>
      <c r="I23" s="4" t="n">
        <f aca="false">Assumptions!I30</f>
        <v>0.44</v>
      </c>
      <c r="J23" s="4" t="n">
        <f aca="false">Assumptions!J30</f>
        <v>0.44</v>
      </c>
      <c r="K23" s="4" t="n">
        <f aca="false">Assumptions!K30</f>
        <v>0.44</v>
      </c>
      <c r="L23" s="4" t="n">
        <f aca="false">Assumptions!L30</f>
        <v>0.44</v>
      </c>
    </row>
    <row r="24" customFormat="false" ht="15" hidden="false" customHeight="false" outlineLevel="0" collapsed="false">
      <c r="A24" s="0" t="s">
        <v>122</v>
      </c>
      <c r="C24" s="0" t="n">
        <f aca="false">-C6*C23/100</f>
        <v>-40.205838816</v>
      </c>
      <c r="D24" s="0" t="n">
        <f aca="false">-D6*D23/100</f>
        <v>-45.03053947392</v>
      </c>
      <c r="E24" s="0" t="n">
        <f aca="false">-E6*E23/100</f>
        <v>-49.0832880265728</v>
      </c>
      <c r="F24" s="0" t="n">
        <f aca="false">-F6*F23/100</f>
        <v>-52.5191181884329</v>
      </c>
      <c r="G24" s="0" t="n">
        <f aca="false">-G6*G23/100</f>
        <v>-55.6702652797389</v>
      </c>
      <c r="H24" s="0" t="n">
        <f aca="false">-H6*H23/100</f>
        <v>-58.4537785437258</v>
      </c>
      <c r="I24" s="0" t="n">
        <f aca="false">-I6*I23/100</f>
        <v>-60.7919296854749</v>
      </c>
      <c r="J24" s="0" t="n">
        <f aca="false">-J6*J23/100</f>
        <v>-62.9196472244665</v>
      </c>
      <c r="K24" s="0" t="n">
        <f aca="false">-K6*K23/100</f>
        <v>-64.8072366412005</v>
      </c>
      <c r="L24" s="0" t="n">
        <f aca="false">-L6*L23/100</f>
        <v>-66.7514537404365</v>
      </c>
    </row>
    <row r="26" customFormat="false" ht="15" hidden="false" customHeight="false" outlineLevel="0" collapsed="false">
      <c r="A26" s="2" t="s">
        <v>123</v>
      </c>
    </row>
    <row r="27" customFormat="false" ht="15" hidden="false" customHeight="false" outlineLevel="0" collapsed="false">
      <c r="A27" s="0" t="s">
        <v>101</v>
      </c>
      <c r="B27" s="4" t="n">
        <f aca="false">Assumptions!$B$34</f>
        <v>10.5</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15</v>
      </c>
    </row>
    <row r="30" customFormat="false" ht="15" hidden="false" customHeight="false" outlineLevel="0" collapsed="false">
      <c r="A30" s="0" t="s">
        <v>124</v>
      </c>
      <c r="B30" s="0" t="n">
        <f aca="false">SUM(C21:L21)</f>
        <v>2973.71653827711</v>
      </c>
    </row>
    <row r="31" customFormat="false" ht="15" hidden="false" customHeight="false" outlineLevel="0" collapsed="false">
      <c r="A31" s="0" t="s">
        <v>125</v>
      </c>
      <c r="B31" s="0" t="n">
        <f aca="false">L19</f>
        <v>714.210213452789</v>
      </c>
    </row>
    <row r="32" customFormat="false" ht="15" hidden="false" customHeight="false" outlineLevel="0" collapsed="false">
      <c r="A32" s="0" t="s">
        <v>126</v>
      </c>
      <c r="B32" s="0" t="n">
        <f aca="false">IF(B27&gt;B28,B31*(1+B28/100)/((B27-B28)/100),B31*B29)</f>
        <v>9150.81835986385</v>
      </c>
    </row>
    <row r="33" customFormat="false" ht="15" hidden="false" customHeight="false" outlineLevel="0" collapsed="false">
      <c r="A33" s="0" t="s">
        <v>127</v>
      </c>
      <c r="B33" s="0" t="n">
        <f aca="false">B31*B29</f>
        <v>10713.1532017918</v>
      </c>
    </row>
    <row r="34" customFormat="false" ht="15" hidden="false" customHeight="false" outlineLevel="0" collapsed="false">
      <c r="A34" s="0" t="s">
        <v>128</v>
      </c>
      <c r="B34" s="0" t="n">
        <f aca="false">MAX(0,MIN(B32,B33))</f>
        <v>9150.81835986385</v>
      </c>
    </row>
    <row r="35" customFormat="false" ht="15" hidden="false" customHeight="false" outlineLevel="0" collapsed="false">
      <c r="A35" s="0" t="s">
        <v>129</v>
      </c>
      <c r="B35" s="0" t="n">
        <f aca="false">B34/(1+B27/100)^L4</f>
        <v>3371.60861339101</v>
      </c>
    </row>
    <row r="36" customFormat="false" ht="15" hidden="false" customHeight="false" outlineLevel="0" collapsed="false">
      <c r="A36" s="0" t="s">
        <v>130</v>
      </c>
      <c r="B36" s="0" t="n">
        <f aca="false">B30+B35</f>
        <v>6345.32515166812</v>
      </c>
    </row>
    <row r="37" customFormat="false" ht="15" hidden="false" customHeight="false" outlineLevel="0" collapsed="false">
      <c r="A37" s="0" t="s">
        <v>131</v>
      </c>
      <c r="B37" s="0" t="n">
        <f aca="false">B36+Assumptions!$B$5-Assumptions!$B$4</f>
        <v>7966.11115166812</v>
      </c>
    </row>
    <row r="38" customFormat="false" ht="15" hidden="false" customHeight="false" outlineLevel="0" collapsed="false">
      <c r="A38" s="0" t="s">
        <v>132</v>
      </c>
      <c r="B38" s="0" t="n">
        <f aca="false">B37/Assumptions!$B$3*Assumptions!$B$10</f>
        <v>3.67944198293639</v>
      </c>
    </row>
    <row r="39" customFormat="false" ht="15" hidden="false" customHeight="false" outlineLevel="0" collapsed="false">
      <c r="A39" s="0" t="s">
        <v>133</v>
      </c>
      <c r="B39" s="4" t="n">
        <f aca="false">B38/Assumptions!$B$2-1</f>
        <v>1.69556189226109</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3.67944198293639</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5856.52375031287</v>
      </c>
    </row>
    <row r="47" customFormat="false" ht="15" hidden="false" customHeight="false" outlineLevel="0" collapsed="false">
      <c r="A47" s="0" t="s">
        <v>138</v>
      </c>
      <c r="B47" s="0" t="n">
        <f aca="false">(SUMPRODUCT(C19:L19/(1+B45/100)^C4:L4)+B46/(1+B45/100)^L4+Assumptions!$B$5-Assumptions!$B$4)/Assumptions!$B$3*Assumptions!$B$10</f>
        <v>2.52253349597915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19</v>
      </c>
      <c r="D5" s="4" t="n">
        <f aca="false">Assumptions!D41</f>
        <v>15</v>
      </c>
      <c r="E5" s="4" t="n">
        <f aca="false">Assumptions!E41</f>
        <v>12</v>
      </c>
      <c r="F5" s="4" t="n">
        <f aca="false">Assumptions!F41</f>
        <v>10</v>
      </c>
      <c r="G5" s="4" t="n">
        <f aca="false">Assumptions!G41</f>
        <v>8</v>
      </c>
      <c r="H5" s="4" t="n">
        <f aca="false">Assumptions!H41</f>
        <v>6.5</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7809.992</v>
      </c>
      <c r="C6" s="0" t="n">
        <f aca="false">B6*(1+C5/100)</f>
        <v>9293.89048</v>
      </c>
      <c r="D6" s="0" t="n">
        <f aca="false">C6*(1+D5/100)</f>
        <v>10687.974052</v>
      </c>
      <c r="E6" s="0" t="n">
        <f aca="false">D6*(1+E5/100)</f>
        <v>11970.53093824</v>
      </c>
      <c r="F6" s="0" t="n">
        <f aca="false">E6*(1+F5/100)</f>
        <v>13167.584032064</v>
      </c>
      <c r="G6" s="0" t="n">
        <f aca="false">F6*(1+G5/100)</f>
        <v>14220.9907546291</v>
      </c>
      <c r="H6" s="0" t="n">
        <f aca="false">G6*(1+H5/100)</f>
        <v>15145.35515368</v>
      </c>
      <c r="I6" s="0" t="n">
        <f aca="false">H6*(1+I5/100)</f>
        <v>15902.622911364</v>
      </c>
      <c r="J6" s="0" t="n">
        <f aca="false">I6*(1+J5/100)</f>
        <v>16538.7278278186</v>
      </c>
      <c r="K6" s="0" t="n">
        <f aca="false">J6*(1+K5/100)</f>
        <v>17117.5833017922</v>
      </c>
      <c r="L6" s="0" t="n">
        <f aca="false">K6*(1+L5/100)</f>
        <v>17631.110800846</v>
      </c>
    </row>
    <row r="7" customFormat="false" ht="15" hidden="false" customHeight="false" outlineLevel="0" collapsed="false">
      <c r="A7" s="0" t="s">
        <v>95</v>
      </c>
      <c r="C7" s="4" t="n">
        <f aca="false">Assumptions!C42</f>
        <v>8.8</v>
      </c>
      <c r="D7" s="4" t="n">
        <f aca="false">Assumptions!D42</f>
        <v>9</v>
      </c>
      <c r="E7" s="4" t="n">
        <f aca="false">Assumptions!E42</f>
        <v>9.2</v>
      </c>
      <c r="F7" s="4" t="n">
        <f aca="false">Assumptions!F42</f>
        <v>9.4</v>
      </c>
      <c r="G7" s="4" t="n">
        <f aca="false">Assumptions!G42</f>
        <v>9.5</v>
      </c>
      <c r="H7" s="4" t="n">
        <f aca="false">Assumptions!H42</f>
        <v>9.5</v>
      </c>
      <c r="I7" s="4" t="n">
        <f aca="false">Assumptions!I42</f>
        <v>9.5</v>
      </c>
      <c r="J7" s="4" t="n">
        <f aca="false">Assumptions!J42</f>
        <v>9.5</v>
      </c>
      <c r="K7" s="4" t="n">
        <f aca="false">Assumptions!K42</f>
        <v>9.5</v>
      </c>
      <c r="L7" s="4" t="n">
        <f aca="false">Assumptions!L42</f>
        <v>9.5</v>
      </c>
    </row>
    <row r="8" customFormat="false" ht="15" hidden="false" customHeight="false" outlineLevel="0" collapsed="false">
      <c r="A8" s="0" t="s">
        <v>44</v>
      </c>
      <c r="C8" s="0" t="n">
        <f aca="false">C6*C7/100</f>
        <v>817.86236224</v>
      </c>
      <c r="D8" s="0" t="n">
        <f aca="false">D6*D7/100</f>
        <v>961.91766468</v>
      </c>
      <c r="E8" s="0" t="n">
        <f aca="false">E6*E7/100</f>
        <v>1101.28884631808</v>
      </c>
      <c r="F8" s="0" t="n">
        <f aca="false">F6*F7/100</f>
        <v>1237.75289901402</v>
      </c>
      <c r="G8" s="0" t="n">
        <f aca="false">G6*G7/100</f>
        <v>1350.99412168977</v>
      </c>
      <c r="H8" s="0" t="n">
        <f aca="false">H6*H7/100</f>
        <v>1438.8087395996</v>
      </c>
      <c r="I8" s="0" t="n">
        <f aca="false">I6*I7/100</f>
        <v>1510.74917657958</v>
      </c>
      <c r="J8" s="0" t="n">
        <f aca="false">J6*J7/100</f>
        <v>1571.17914364276</v>
      </c>
      <c r="K8" s="0" t="n">
        <f aca="false">K6*K7/100</f>
        <v>1626.17041367026</v>
      </c>
      <c r="L8" s="0" t="n">
        <f aca="false">L6*L7/100</f>
        <v>1674.95552608037</v>
      </c>
    </row>
    <row r="9" customFormat="false" ht="15" hidden="false" customHeight="false" outlineLevel="0" collapsed="false">
      <c r="A9" s="0" t="s">
        <v>96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112</v>
      </c>
      <c r="C11" s="0" t="n">
        <f aca="false">C8+C10+C24</f>
        <v>776.969244128</v>
      </c>
      <c r="D11" s="0" t="n">
        <f aca="false">D8+D10+D24</f>
        <v>914.8905788512</v>
      </c>
      <c r="E11" s="0" t="n">
        <f aca="false">E8+E10+E24</f>
        <v>1048.61851018982</v>
      </c>
      <c r="F11" s="0" t="n">
        <f aca="false">F8+F10+F24</f>
        <v>1179.81552927293</v>
      </c>
      <c r="G11" s="0" t="n">
        <f aca="false">G8+G10+G24</f>
        <v>1288.4217623694</v>
      </c>
      <c r="H11" s="0" t="n">
        <f aca="false">H8+H10+H24</f>
        <v>1372.16917692341</v>
      </c>
      <c r="I11" s="0" t="n">
        <f aca="false">I8+I10+I24</f>
        <v>1440.77763576958</v>
      </c>
      <c r="J11" s="0" t="n">
        <f aca="false">J8+J10+J24</f>
        <v>1498.40874120036</v>
      </c>
      <c r="K11" s="0" t="n">
        <f aca="false">K8+K10+K24</f>
        <v>1550.85304714238</v>
      </c>
      <c r="L11" s="0" t="n">
        <f aca="false">L8+L10+L24</f>
        <v>1597.37863855665</v>
      </c>
    </row>
    <row r="12" customFormat="false" ht="15" hidden="false" customHeight="false" outlineLevel="0" collapsed="false">
      <c r="A12" s="0" t="s">
        <v>113</v>
      </c>
      <c r="C12" s="4" t="n">
        <f aca="false">-C6*Assumptions!C45/100</f>
        <v>-92.9389048</v>
      </c>
      <c r="D12" s="4" t="n">
        <f aca="false">-D6*Assumptions!D45/100</f>
        <v>-117.567714572</v>
      </c>
      <c r="E12" s="4" t="n">
        <f aca="false">-E6*Assumptions!E45/100</f>
        <v>-143.64637125888</v>
      </c>
      <c r="F12" s="4" t="n">
        <f aca="false">-F6*Assumptions!F45/100</f>
        <v>-158.011008384768</v>
      </c>
      <c r="G12" s="4" t="n">
        <f aca="false">-G6*Assumptions!G45/100</f>
        <v>-170.651889055549</v>
      </c>
      <c r="H12" s="4" t="n">
        <f aca="false">-H6*Assumptions!H45/100</f>
        <v>-181.74426184416</v>
      </c>
      <c r="I12" s="4" t="n">
        <f aca="false">-I6*Assumptions!I45/100</f>
        <v>-190.831474936368</v>
      </c>
      <c r="J12" s="4" t="n">
        <f aca="false">-J6*Assumptions!J45/100</f>
        <v>-198.464733933823</v>
      </c>
      <c r="K12" s="4" t="n">
        <f aca="false">-K6*Assumptions!K45/100</f>
        <v>-205.410999621507</v>
      </c>
      <c r="L12" s="4" t="n">
        <f aca="false">-L6*Assumptions!L45/100</f>
        <v>-211.573329610152</v>
      </c>
    </row>
    <row r="13" customFormat="false" ht="15" hidden="false" customHeight="false" outlineLevel="0" collapsed="false">
      <c r="A13" s="0" t="s">
        <v>114</v>
      </c>
      <c r="C13" s="0" t="n">
        <f aca="false">C11+C12</f>
        <v>684.030339328</v>
      </c>
      <c r="D13" s="0" t="n">
        <f aca="false">D11+D12</f>
        <v>797.3228642792</v>
      </c>
      <c r="E13" s="0" t="n">
        <f aca="false">E11+E12</f>
        <v>904.972138930944</v>
      </c>
      <c r="F13" s="0" t="n">
        <f aca="false">F11+F12</f>
        <v>1021.80452088817</v>
      </c>
      <c r="G13" s="0" t="n">
        <f aca="false">G11+G12</f>
        <v>1117.76987331385</v>
      </c>
      <c r="H13" s="0" t="n">
        <f aca="false">H11+H12</f>
        <v>1190.42491507925</v>
      </c>
      <c r="I13" s="0" t="n">
        <f aca="false">I11+I12</f>
        <v>1249.94616083321</v>
      </c>
      <c r="J13" s="0" t="n">
        <f aca="false">J11+J12</f>
        <v>1299.94400726654</v>
      </c>
      <c r="K13" s="0" t="n">
        <f aca="false">K11+K12</f>
        <v>1345.44204752087</v>
      </c>
      <c r="L13" s="0" t="n">
        <f aca="false">L11+L12</f>
        <v>1385.8053089465</v>
      </c>
    </row>
    <row r="14" customFormat="false" ht="15" hidden="false" customHeight="false" outlineLevel="0" collapsed="false">
      <c r="A14" s="0" t="s">
        <v>100</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115</v>
      </c>
      <c r="C15" s="0" t="n">
        <f aca="false">C13-MAX(0,C13)*C14/100</f>
        <v>499.34214770944</v>
      </c>
      <c r="D15" s="0" t="n">
        <f aca="false">D13-MAX(0,D13)*D14/100</f>
        <v>582.045690923816</v>
      </c>
      <c r="E15" s="0" t="n">
        <f aca="false">E13-MAX(0,E13)*E14/100</f>
        <v>660.629661419589</v>
      </c>
      <c r="F15" s="0" t="n">
        <f aca="false">F13-MAX(0,F13)*F14/100</f>
        <v>745.917300248362</v>
      </c>
      <c r="G15" s="0" t="n">
        <f aca="false">G13-MAX(0,G13)*G14/100</f>
        <v>815.97200751911</v>
      </c>
      <c r="H15" s="0" t="n">
        <f aca="false">H13-MAX(0,H13)*H14/100</f>
        <v>869.010188007852</v>
      </c>
      <c r="I15" s="0" t="n">
        <f aca="false">I13-MAX(0,I13)*I14/100</f>
        <v>912.460697408245</v>
      </c>
      <c r="J15" s="0" t="n">
        <f aca="false">J13-MAX(0,J13)*J14/100</f>
        <v>948.959125304574</v>
      </c>
      <c r="K15" s="0" t="n">
        <f aca="false">K13-MAX(0,K13)*K14/100</f>
        <v>982.172694690235</v>
      </c>
      <c r="L15" s="0" t="n">
        <f aca="false">L13-MAX(0,L13)*L14/100</f>
        <v>1011.63787553094</v>
      </c>
    </row>
    <row r="16" customFormat="false" ht="15" hidden="false" customHeight="false" outlineLevel="0" collapsed="false">
      <c r="A16" s="0" t="s">
        <v>116</v>
      </c>
      <c r="C16" s="0" t="n">
        <f aca="false">-C12</f>
        <v>92.9389048</v>
      </c>
      <c r="D16" s="0" t="n">
        <f aca="false">-D12</f>
        <v>117.567714572</v>
      </c>
      <c r="E16" s="0" t="n">
        <f aca="false">-E12</f>
        <v>143.64637125888</v>
      </c>
      <c r="F16" s="0" t="n">
        <f aca="false">-F12</f>
        <v>158.011008384768</v>
      </c>
      <c r="G16" s="0" t="n">
        <f aca="false">-G12</f>
        <v>170.651889055549</v>
      </c>
      <c r="H16" s="0" t="n">
        <f aca="false">-H12</f>
        <v>181.74426184416</v>
      </c>
      <c r="I16" s="0" t="n">
        <f aca="false">-I12</f>
        <v>190.831474936368</v>
      </c>
      <c r="J16" s="0" t="n">
        <f aca="false">-J12</f>
        <v>198.464733933823</v>
      </c>
      <c r="K16" s="0" t="n">
        <f aca="false">-K12</f>
        <v>205.410999621507</v>
      </c>
      <c r="L16" s="0" t="n">
        <f aca="false">-L12</f>
        <v>211.573329610152</v>
      </c>
    </row>
    <row r="17" customFormat="false" ht="15" hidden="false" customHeight="false" outlineLevel="0" collapsed="false">
      <c r="A17" s="0" t="s">
        <v>117</v>
      </c>
      <c r="C17" s="4" t="n">
        <f aca="false">-C6*Assumptions!C46/100</f>
        <v>-353.16783824</v>
      </c>
      <c r="D17" s="4" t="n">
        <f aca="false">-D6*Assumptions!D46/100</f>
        <v>-320.63922156</v>
      </c>
      <c r="E17" s="4" t="n">
        <f aca="false">-E6*Assumptions!E46/100</f>
        <v>-275.32221157952</v>
      </c>
      <c r="F17" s="4" t="n">
        <f aca="false">-F6*Assumptions!F46/100</f>
        <v>-263.35168064128</v>
      </c>
      <c r="G17" s="4" t="n">
        <f aca="false">-G6*Assumptions!G46/100</f>
        <v>-255.977833583324</v>
      </c>
      <c r="H17" s="4" t="n">
        <f aca="false">-H6*Assumptions!H46/100</f>
        <v>-242.32568245888</v>
      </c>
      <c r="I17" s="4" t="n">
        <f aca="false">-I6*Assumptions!I46/100</f>
        <v>-238.53934367046</v>
      </c>
      <c r="J17" s="4" t="n">
        <f aca="false">-J6*Assumptions!J46/100</f>
        <v>-248.080917417279</v>
      </c>
      <c r="K17" s="4" t="n">
        <f aca="false">-K6*Assumptions!K46/100</f>
        <v>-256.763749526883</v>
      </c>
      <c r="L17" s="4" t="n">
        <f aca="false">-L6*Assumptions!L46/100</f>
        <v>-264.46666201269</v>
      </c>
    </row>
    <row r="18" customFormat="false" ht="15" hidden="false" customHeight="false" outlineLevel="0" collapsed="false">
      <c r="A18" s="0" t="s">
        <v>118</v>
      </c>
      <c r="C18" s="4" t="n">
        <f aca="false">(C6-B6)*Assumptions!$B$51/100</f>
        <v>74.194924</v>
      </c>
      <c r="D18" s="4" t="n">
        <f aca="false">(D6-C6)*Assumptions!$B$51/100</f>
        <v>69.7041786</v>
      </c>
      <c r="E18" s="4" t="n">
        <f aca="false">(E6-D6)*Assumptions!$B$51/100</f>
        <v>64.1278443120001</v>
      </c>
      <c r="F18" s="4" t="n">
        <f aca="false">(F6-E6)*Assumptions!$B$51/100</f>
        <v>59.8526546912</v>
      </c>
      <c r="G18" s="4" t="n">
        <f aca="false">(G6-F6)*Assumptions!$B$51/100</f>
        <v>52.6703361282561</v>
      </c>
      <c r="H18" s="4" t="n">
        <f aca="false">(H6-G6)*Assumptions!$B$51/100</f>
        <v>46.2182199525446</v>
      </c>
      <c r="I18" s="4" t="n">
        <f aca="false">(I6-H6)*Assumptions!$B$51/100</f>
        <v>37.8633878842001</v>
      </c>
      <c r="J18" s="4" t="n">
        <f aca="false">(J6-I6)*Assumptions!$B$51/100</f>
        <v>31.805245822728</v>
      </c>
      <c r="K18" s="4" t="n">
        <f aca="false">(K6-J6)*Assumptions!$B$51/100</f>
        <v>28.9427736986825</v>
      </c>
      <c r="L18" s="4" t="n">
        <f aca="false">(L6-K6)*Assumptions!$B$51/100</f>
        <v>25.6763749526883</v>
      </c>
    </row>
    <row r="19" customFormat="false" ht="15" hidden="false" customHeight="false" outlineLevel="0" collapsed="false">
      <c r="A19" s="0" t="s">
        <v>119</v>
      </c>
      <c r="C19" s="0" t="n">
        <f aca="false">C15+C16+C17+C18</f>
        <v>313.30813826944</v>
      </c>
      <c r="D19" s="0" t="n">
        <f aca="false">D15+D16+D17+D18</f>
        <v>448.678362535816</v>
      </c>
      <c r="E19" s="0" t="n">
        <f aca="false">E15+E16+E17+E18</f>
        <v>593.081665410949</v>
      </c>
      <c r="F19" s="0" t="n">
        <f aca="false">F15+F16+F17+F18</f>
        <v>700.42928268305</v>
      </c>
      <c r="G19" s="0" t="n">
        <f aca="false">G15+G16+G17+G18</f>
        <v>783.316399119591</v>
      </c>
      <c r="H19" s="0" t="n">
        <f aca="false">H15+H16+H17+H18</f>
        <v>854.646987345677</v>
      </c>
      <c r="I19" s="0" t="n">
        <f aca="false">I15+I16+I17+I18</f>
        <v>902.616216558352</v>
      </c>
      <c r="J19" s="0" t="n">
        <f aca="false">J15+J16+J17+J18</f>
        <v>931.148187643847</v>
      </c>
      <c r="K19" s="0" t="n">
        <f aca="false">K15+K16+K17+K18</f>
        <v>959.76271848354</v>
      </c>
      <c r="L19" s="0" t="n">
        <f aca="false">L15+L16+L17+L18</f>
        <v>984.420918081092</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283.536776714425</v>
      </c>
      <c r="D21" s="0" t="n">
        <f aca="false">D19*D20</f>
        <v>367.460422625103</v>
      </c>
      <c r="E21" s="0" t="n">
        <f aca="false">E19*E20</f>
        <v>439.569614921629</v>
      </c>
      <c r="F21" s="0" t="n">
        <f aca="false">F19*F20</f>
        <v>469.802347102161</v>
      </c>
      <c r="G21" s="0" t="n">
        <f aca="false">G19*G20</f>
        <v>475.472965387352</v>
      </c>
      <c r="H21" s="0" t="n">
        <f aca="false">H19*H20</f>
        <v>469.475678142198</v>
      </c>
      <c r="I21" s="0" t="n">
        <f aca="false">I19*I20</f>
        <v>448.711485052674</v>
      </c>
      <c r="J21" s="0" t="n">
        <f aca="false">J19*J20</f>
        <v>418.909855702595</v>
      </c>
      <c r="K21" s="0" t="n">
        <f aca="false">K19*K20</f>
        <v>390.753947233982</v>
      </c>
      <c r="L21" s="0" t="n">
        <f aca="false">L19*L20</f>
        <v>362.708767246679</v>
      </c>
    </row>
    <row r="23" customFormat="false" ht="15" hidden="false" customHeight="false" outlineLevel="0" collapsed="false">
      <c r="A23" s="0" t="s">
        <v>97</v>
      </c>
      <c r="C23" s="4" t="n">
        <f aca="false">Assumptions!C44</f>
        <v>0.44</v>
      </c>
      <c r="D23" s="4" t="n">
        <f aca="false">Assumptions!D44</f>
        <v>0.44</v>
      </c>
      <c r="E23" s="4" t="n">
        <f aca="false">Assumptions!E44</f>
        <v>0.44</v>
      </c>
      <c r="F23" s="4" t="n">
        <f aca="false">Assumptions!F44</f>
        <v>0.44</v>
      </c>
      <c r="G23" s="4" t="n">
        <f aca="false">Assumptions!G44</f>
        <v>0.44</v>
      </c>
      <c r="H23" s="4" t="n">
        <f aca="false">Assumptions!H44</f>
        <v>0.44</v>
      </c>
      <c r="I23" s="4" t="n">
        <f aca="false">Assumptions!I44</f>
        <v>0.44</v>
      </c>
      <c r="J23" s="4" t="n">
        <f aca="false">Assumptions!J44</f>
        <v>0.44</v>
      </c>
      <c r="K23" s="4" t="n">
        <f aca="false">Assumptions!K44</f>
        <v>0.44</v>
      </c>
      <c r="L23" s="4" t="n">
        <f aca="false">Assumptions!L44</f>
        <v>0.44</v>
      </c>
    </row>
    <row r="24" customFormat="false" ht="15" hidden="false" customHeight="false" outlineLevel="0" collapsed="false">
      <c r="A24" s="0" t="s">
        <v>122</v>
      </c>
      <c r="C24" s="0" t="n">
        <f aca="false">-C6*C23/100</f>
        <v>-40.893118112</v>
      </c>
      <c r="D24" s="0" t="n">
        <f aca="false">-D6*D23/100</f>
        <v>-47.0270858288</v>
      </c>
      <c r="E24" s="0" t="n">
        <f aca="false">-E6*E23/100</f>
        <v>-52.670336128256</v>
      </c>
      <c r="F24" s="0" t="n">
        <f aca="false">-F6*F23/100</f>
        <v>-57.9373697410816</v>
      </c>
      <c r="G24" s="0" t="n">
        <f aca="false">-G6*G23/100</f>
        <v>-62.5723593203681</v>
      </c>
      <c r="H24" s="0" t="n">
        <f aca="false">-H6*H23/100</f>
        <v>-66.6395626761921</v>
      </c>
      <c r="I24" s="0" t="n">
        <f aca="false">-I6*I23/100</f>
        <v>-69.9715408100017</v>
      </c>
      <c r="J24" s="0" t="n">
        <f aca="false">-J6*J23/100</f>
        <v>-72.7704024424017</v>
      </c>
      <c r="K24" s="0" t="n">
        <f aca="false">-K6*K23/100</f>
        <v>-75.3173665278858</v>
      </c>
      <c r="L24" s="0" t="n">
        <f aca="false">-L6*L23/100</f>
        <v>-77.5768875237224</v>
      </c>
    </row>
    <row r="26" customFormat="false" ht="15" hidden="false" customHeight="false" outlineLevel="0" collapsed="false">
      <c r="A26" s="2" t="s">
        <v>123</v>
      </c>
    </row>
    <row r="27" customFormat="false" ht="15" hidden="false" customHeight="false" outlineLevel="0" collapsed="false">
      <c r="A27" s="0" t="s">
        <v>101</v>
      </c>
      <c r="B27" s="4" t="n">
        <f aca="false">Assumptions!$B$48</f>
        <v>10.5</v>
      </c>
    </row>
    <row r="28" customFormat="false" ht="15" hidden="false" customHeight="false" outlineLevel="0" collapsed="false">
      <c r="A28" s="0" t="s">
        <v>102</v>
      </c>
      <c r="B28" s="4" t="n">
        <f aca="false">Assumptions!$B$49</f>
        <v>2.5</v>
      </c>
    </row>
    <row r="29" customFormat="false" ht="15" hidden="false" customHeight="false" outlineLevel="0" collapsed="false">
      <c r="A29" s="0" t="s">
        <v>103</v>
      </c>
      <c r="B29" s="4" t="n">
        <f aca="false">Assumptions!$B$50</f>
        <v>15</v>
      </c>
    </row>
    <row r="30" customFormat="false" ht="15" hidden="false" customHeight="false" outlineLevel="0" collapsed="false">
      <c r="A30" s="0" t="s">
        <v>124</v>
      </c>
      <c r="B30" s="0" t="n">
        <f aca="false">SUM(C21:L21)</f>
        <v>4126.4018601288</v>
      </c>
    </row>
    <row r="31" customFormat="false" ht="15" hidden="false" customHeight="false" outlineLevel="0" collapsed="false">
      <c r="A31" s="0" t="s">
        <v>125</v>
      </c>
      <c r="B31" s="0" t="n">
        <f aca="false">L19</f>
        <v>984.420918081092</v>
      </c>
    </row>
    <row r="32" customFormat="false" ht="15" hidden="false" customHeight="false" outlineLevel="0" collapsed="false">
      <c r="A32" s="0" t="s">
        <v>126</v>
      </c>
      <c r="B32" s="0" t="n">
        <f aca="false">IF(B27&gt;B28,B31*(1+B28/100)/((B27-B28)/100),B31*B29)</f>
        <v>12612.893012914</v>
      </c>
    </row>
    <row r="33" customFormat="false" ht="15" hidden="false" customHeight="false" outlineLevel="0" collapsed="false">
      <c r="A33" s="0" t="s">
        <v>127</v>
      </c>
      <c r="B33" s="0" t="n">
        <f aca="false">B31*B29</f>
        <v>14766.3137712164</v>
      </c>
    </row>
    <row r="34" customFormat="false" ht="15" hidden="false" customHeight="false" outlineLevel="0" collapsed="false">
      <c r="A34" s="0" t="s">
        <v>128</v>
      </c>
      <c r="B34" s="0" t="n">
        <f aca="false">MAX(0,MIN(B32,B33))</f>
        <v>12612.893012914</v>
      </c>
    </row>
    <row r="35" customFormat="false" ht="15" hidden="false" customHeight="false" outlineLevel="0" collapsed="false">
      <c r="A35" s="0" t="s">
        <v>129</v>
      </c>
      <c r="B35" s="0" t="n">
        <f aca="false">B34/(1+B27/100)^L4</f>
        <v>4647.20608034807</v>
      </c>
    </row>
    <row r="36" customFormat="false" ht="15" hidden="false" customHeight="false" outlineLevel="0" collapsed="false">
      <c r="A36" s="0" t="s">
        <v>130</v>
      </c>
      <c r="B36" s="0" t="n">
        <f aca="false">B30+B35</f>
        <v>8773.60794047687</v>
      </c>
    </row>
    <row r="37" customFormat="false" ht="15" hidden="false" customHeight="false" outlineLevel="0" collapsed="false">
      <c r="A37" s="0" t="s">
        <v>131</v>
      </c>
      <c r="B37" s="0" t="n">
        <f aca="false">B36+Assumptions!$B$5-Assumptions!$B$4</f>
        <v>10394.3939404769</v>
      </c>
    </row>
    <row r="38" customFormat="false" ht="15" hidden="false" customHeight="false" outlineLevel="0" collapsed="false">
      <c r="A38" s="0" t="s">
        <v>132</v>
      </c>
      <c r="B38" s="0" t="n">
        <f aca="false">B37/Assumptions!$B$3*Assumptions!$B$10</f>
        <v>4.80103387005358</v>
      </c>
    </row>
    <row r="39" customFormat="false" ht="15" hidden="false" customHeight="false" outlineLevel="0" collapsed="false">
      <c r="A39" s="0" t="s">
        <v>133</v>
      </c>
      <c r="B39" s="4" t="n">
        <f aca="false">B38/Assumptions!$B$2-1</f>
        <v>2.51724093044218</v>
      </c>
    </row>
    <row r="41" customFormat="false" ht="15" hidden="false" customHeight="false" outlineLevel="0" collapsed="false">
      <c r="A41" s="0" t="s">
        <v>134</v>
      </c>
      <c r="B41" s="0" t="n">
        <f aca="false">SUMPRODUCT(-C10:L10/(1+$B$27/100)^C4:L4)</f>
        <v>0</v>
      </c>
    </row>
    <row r="42" customFormat="false" ht="15" hidden="false" customHeight="false" outlineLevel="0" collapsed="false">
      <c r="A42" s="0" t="s">
        <v>135</v>
      </c>
      <c r="B42" s="0" t="n">
        <f aca="false">IF(B27&gt;B28,-L10*(1+B28/100)/((B27-B28)/100),-L10*20)/(1+B27/100)^L4</f>
        <v>0</v>
      </c>
    </row>
    <row r="43" customFormat="false" ht="15" hidden="false" customHeight="false" outlineLevel="0" collapsed="false">
      <c r="A43" s="0" t="s">
        <v>136</v>
      </c>
      <c r="B43" s="0" t="n">
        <f aca="false">(B37+B41+B42)/Assumptions!$B$3*Assumptions!$B$10</f>
        <v>4.80103387005358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8072.25152826495</v>
      </c>
    </row>
    <row r="47" customFormat="false" ht="15" hidden="false" customHeight="false" outlineLevel="0" collapsed="false">
      <c r="A47" s="0" t="s">
        <v>138</v>
      </c>
      <c r="B47" s="0" t="n">
        <f aca="false">(SUMPRODUCT(C19:L19/(1+B45/100)^C4:L4)+B46/(1+B45/100)^L4+Assumptions!$B$5-Assumptions!$B$4)/Assumptions!$B$3*Assumptions!$B$10</f>
        <v>3.2041446924859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2.15638554722075</v>
      </c>
      <c r="C4" s="0" t="n">
        <f aca="false">B4/Assumptions!$B$2-1</f>
        <v>0.579769631663556</v>
      </c>
      <c r="D4" s="4" t="n">
        <f aca="false">Assumptions!$B$24</f>
        <v>0.3</v>
      </c>
      <c r="E4" s="4" t="n">
        <f aca="false">DCF_Bear!$B$43</f>
        <v>2.15638554722075</v>
      </c>
      <c r="F4" s="4" t="n">
        <f aca="false">DCF_Bear!$B$47</f>
        <v>1.6574119794469</v>
      </c>
    </row>
    <row r="5" customFormat="false" ht="15" hidden="false" customHeight="false" outlineLevel="0" collapsed="false">
      <c r="A5" s="0" t="s">
        <v>147</v>
      </c>
      <c r="B5" s="4" t="n">
        <f aca="false">DCF_Base!$B$38</f>
        <v>3.67944198293639</v>
      </c>
      <c r="C5" s="0" t="n">
        <f aca="false">B5/Assumptions!$B$2-1</f>
        <v>1.69556189226109</v>
      </c>
      <c r="D5" s="4" t="n">
        <f aca="false">Assumptions!$B$38</f>
        <v>0.5</v>
      </c>
      <c r="E5" s="4" t="n">
        <f aca="false">DCF_Base!$B$43</f>
        <v>3.67944198293639</v>
      </c>
      <c r="F5" s="4" t="n">
        <f aca="false">DCF_Base!$B$47</f>
        <v>2.52253349597915</v>
      </c>
    </row>
    <row r="6" customFormat="false" ht="15" hidden="false" customHeight="false" outlineLevel="0" collapsed="false">
      <c r="A6" s="0" t="s">
        <v>148</v>
      </c>
      <c r="B6" s="4" t="n">
        <f aca="false">DCF_Bull!$B$38</f>
        <v>4.80103387005358</v>
      </c>
      <c r="C6" s="0" t="n">
        <f aca="false">B6/Assumptions!$B$2-1</f>
        <v>2.51724093044218</v>
      </c>
      <c r="D6" s="4" t="n">
        <f aca="false">Assumptions!$B$52</f>
        <v>0.2</v>
      </c>
      <c r="E6" s="4" t="n">
        <f aca="false">DCF_Bull!$B$43</f>
        <v>4.80103387005358</v>
      </c>
      <c r="F6" s="4" t="n">
        <f aca="false">DCF_Bull!$B$47</f>
        <v>3.2041446924859</v>
      </c>
    </row>
    <row r="8" customFormat="false" ht="15" hidden="false" customHeight="false" outlineLevel="0" collapsed="false">
      <c r="A8" s="0" t="s">
        <v>149</v>
      </c>
      <c r="B8" s="0" t="n">
        <f aca="false">SUMPRODUCT(B4:B6,D4:D6)</f>
        <v>3.44684342964514</v>
      </c>
    </row>
    <row r="9" customFormat="false" ht="15" hidden="false" customHeight="false" outlineLevel="0" collapsed="false">
      <c r="A9" s="0" t="s">
        <v>150</v>
      </c>
      <c r="B9" s="0" t="n">
        <f aca="false">SUMPRODUCT(E4:E6,D4:D6)</f>
        <v>3.44684342964514</v>
      </c>
    </row>
    <row r="10" customFormat="false" ht="15" hidden="false" customHeight="false" outlineLevel="0" collapsed="false">
      <c r="A10" s="0" t="s">
        <v>151</v>
      </c>
      <c r="B10" s="0" t="n">
        <f aca="false">1-Assumptions!$B$2/B8</f>
        <v>0.603985493434342</v>
      </c>
    </row>
    <row r="11" customFormat="false" ht="15" hidden="false" customHeight="false" outlineLevel="0" collapsed="false">
      <c r="A11" s="0" t="s">
        <v>152</v>
      </c>
      <c r="B11" s="0" t="str">
        <f aca="false">IF(ABS(B9-B8)&gt;0.01*ABS(B8),(Assumptions!$B$2-B8)/(B9-B8)*100,"n/a")</f>
        <v>n/a</v>
      </c>
    </row>
    <row r="12" customFormat="false" ht="15" hidden="false" customHeight="false" outlineLevel="0" collapsed="false">
      <c r="A12" s="0" t="s">
        <v>153</v>
      </c>
      <c r="B12" s="0" t="n">
        <f aca="false">SUMPRODUCT(F4:F6,D4:D6)</f>
        <v>2.39931928032083</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4.32237832350682</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3.89569484947745</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3.67944198293639</v>
      </c>
      <c r="C17" s="3" t="n">
        <v>10.5</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3.48901272268507</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3.1692768058888</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2.52253349597915</v>
      </c>
      <c r="C20" s="3" t="n">
        <v>15</v>
      </c>
    </row>
    <row r="22" customFormat="false" ht="15" hidden="false" customHeight="false" outlineLevel="0" collapsed="false">
      <c r="A22" s="2" t="s">
        <v>162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4.38720066278689</v>
      </c>
      <c r="C24" s="0" t="n">
        <f aca="false">(SUMPRODUCT(DCF_Base!$C$19:$L$19/(1+$A$24/100)^DCF_Base!$C$4:$L$4)+MAX(0,MIN(IF($A$24&gt;$C$23,DCF_Base!$L$19*(1+$C$23/100)/(($A$24-$C$23)/100),DCF_Base!$L$19*DCF_Base!$B$29),DCF_Base!$L$19*DCF_Base!$B$29))/(1+$A$24/100)^DCF_Base!$L$4+Assumptions!$B$5-Assumptions!$B$4)/Assumptions!$B$3*Assumptions!$B$10</f>
        <v>4.46015217125125</v>
      </c>
      <c r="D24" s="0" t="n">
        <f aca="false">(SUMPRODUCT(DCF_Base!$C$19:$L$19/(1+$A$24/100)^DCF_Base!$C$4:$L$4)+MAX(0,MIN(IF($A$24&gt;$D$23,DCF_Base!$L$19*(1+$D$23/100)/(($A$24-$D$23)/100),DCF_Base!$L$19*DCF_Base!$B$29),DCF_Base!$L$19*DCF_Base!$B$29))/(1+$A$24/100)^DCF_Base!$L$4+Assumptions!$B$5-Assumptions!$B$4)/Assumptions!$B$3*Assumptions!$B$10</f>
        <v>4.46015217125125</v>
      </c>
      <c r="E24" s="0" t="n">
        <f aca="false">(SUMPRODUCT(DCF_Base!$C$19:$L$19/(1+$A$24/100)^DCF_Base!$C$4:$L$4)+MAX(0,MIN(IF($A$24&gt;$E$23,DCF_Base!$L$19*(1+$E$23/100)/(($A$24-$E$23)/100),DCF_Base!$L$19*DCF_Base!$B$29),DCF_Base!$L$19*DCF_Base!$B$29))/(1+$A$24/100)^DCF_Base!$L$4+Assumptions!$B$5-Assumptions!$B$4)/Assumptions!$B$3*Assumptions!$B$10</f>
        <v>4.46015217125125</v>
      </c>
      <c r="F24" s="0" t="n">
        <f aca="false">(SUMPRODUCT(DCF_Base!$C$19:$L$19/(1+$A$24/100)^DCF_Base!$C$4:$L$4)+MAX(0,MIN(IF($A$24&gt;$F$23,DCF_Base!$L$19*(1+$F$23/100)/(($A$24-$F$23)/100),DCF_Base!$L$19*DCF_Base!$B$29),DCF_Base!$L$19*DCF_Base!$B$29))/(1+$A$24/100)^DCF_Base!$L$4+Assumptions!$B$5-Assumptions!$B$4)/Assumptions!$B$3*Assumptions!$B$10</f>
        <v>4.46015217125125</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3.88303519093209</v>
      </c>
      <c r="C25" s="0" t="n">
        <f aca="false">(SUMPRODUCT(DCF_Base!$C$19:$L$19/(1+$A$25/100)^DCF_Base!$C$4:$L$4)+MAX(0,MIN(IF($A$25&gt;$C$23,DCF_Base!$L$19*(1+$C$23/100)/(($A$25-$C$23)/100),DCF_Base!$L$19*DCF_Base!$B$29),DCF_Base!$L$19*DCF_Base!$B$29))/(1+$A$25/100)^DCF_Base!$L$4+Assumptions!$B$5-Assumptions!$B$4)/Assumptions!$B$3*Assumptions!$B$10</f>
        <v>4.00450080088826</v>
      </c>
      <c r="D25" s="0" t="n">
        <f aca="false">(SUMPRODUCT(DCF_Base!$C$19:$L$19/(1+$A$25/100)^DCF_Base!$C$4:$L$4)+MAX(0,MIN(IF($A$25&gt;$D$23,DCF_Base!$L$19*(1+$D$23/100)/(($A$25-$D$23)/100),DCF_Base!$L$19*DCF_Base!$B$29),DCF_Base!$L$19*DCF_Base!$B$29))/(1+$A$25/100)^DCF_Base!$L$4+Assumptions!$B$5-Assumptions!$B$4)/Assumptions!$B$3*Assumptions!$B$10</f>
        <v>4.14331864083817</v>
      </c>
      <c r="E25" s="0" t="n">
        <f aca="false">(SUMPRODUCT(DCF_Base!$C$19:$L$19/(1+$A$25/100)^DCF_Base!$C$4:$L$4)+MAX(0,MIN(IF($A$25&gt;$E$23,DCF_Base!$L$19*(1+$E$23/100)/(($A$25-$E$23)/100),DCF_Base!$L$19*DCF_Base!$B$29),DCF_Base!$L$19*DCF_Base!$B$29))/(1+$A$25/100)^DCF_Base!$L$4+Assumptions!$B$5-Assumptions!$B$4)/Assumptions!$B$3*Assumptions!$B$10</f>
        <v>4.1908589969854</v>
      </c>
      <c r="F25" s="0" t="n">
        <f aca="false">(SUMPRODUCT(DCF_Base!$C$19:$L$19/(1+$A$25/100)^DCF_Base!$C$4:$L$4)+MAX(0,MIN(IF($A$25&gt;$F$23,DCF_Base!$L$19*(1+$F$23/100)/(($A$25-$F$23)/100),DCF_Base!$L$19*DCF_Base!$B$29),DCF_Base!$L$19*DCF_Base!$B$29))/(1+$A$25/100)^DCF_Base!$L$4+Assumptions!$B$5-Assumptions!$B$4)/Assumptions!$B$3*Assumptions!$B$10</f>
        <v>4.1908589969854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3.49290340767806</v>
      </c>
      <c r="C26" s="0" t="n">
        <f aca="false">(SUMPRODUCT(DCF_Base!$C$19:$L$19/(1+$A$26/100)^DCF_Base!$C$4:$L$4)+MAX(0,MIN(IF($A$26&gt;$C$23,DCF_Base!$L$19*(1+$C$23/100)/(($A$26-$C$23)/100),DCF_Base!$L$19*DCF_Base!$B$29),DCF_Base!$L$19*DCF_Base!$B$29))/(1+$A$26/100)^DCF_Base!$L$4+Assumptions!$B$5-Assumptions!$B$4)/Assumptions!$B$3*Assumptions!$B$10</f>
        <v>3.58068626662316</v>
      </c>
      <c r="D26" s="0" t="n">
        <f aca="false">(SUMPRODUCT(DCF_Base!$C$19:$L$19/(1+$A$26/100)^DCF_Base!$C$4:$L$4)+MAX(0,MIN(IF($A$26&gt;$D$23,DCF_Base!$L$19*(1+$D$23/100)/(($A$26-$D$23)/100),DCF_Base!$L$19*DCF_Base!$B$29),DCF_Base!$L$19*DCF_Base!$B$29))/(1+$A$26/100)^DCF_Base!$L$4+Assumptions!$B$5-Assumptions!$B$4)/Assumptions!$B$3*Assumptions!$B$10</f>
        <v>3.67944198293639</v>
      </c>
      <c r="E26" s="0" t="n">
        <f aca="false">(SUMPRODUCT(DCF_Base!$C$19:$L$19/(1+$A$26/100)^DCF_Base!$C$4:$L$4)+MAX(0,MIN(IF($A$26&gt;$E$23,DCF_Base!$L$19*(1+$E$23/100)/(($A$26-$E$23)/100),DCF_Base!$L$19*DCF_Base!$B$29),DCF_Base!$L$19*DCF_Base!$B$29))/(1+$A$26/100)^DCF_Base!$L$4+Assumptions!$B$5-Assumptions!$B$4)/Assumptions!$B$3*Assumptions!$B$10</f>
        <v>3.79136512809138</v>
      </c>
      <c r="F26" s="0" t="n">
        <f aca="false">(SUMPRODUCT(DCF_Base!$C$19:$L$19/(1+$A$26/100)^DCF_Base!$C$4:$L$4)+MAX(0,MIN(IF($A$26&gt;$F$23,DCF_Base!$L$19*(1+$F$23/100)/(($A$26-$F$23)/100),DCF_Base!$L$19*DCF_Base!$B$29),DCF_Base!$L$19*DCF_Base!$B$29))/(1+$A$26/100)^DCF_Base!$L$4+Assumptions!$B$5-Assumptions!$B$4)/Assumptions!$B$3*Assumptions!$B$10</f>
        <v>3.91927729398281</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3.18248434132037</v>
      </c>
      <c r="C27" s="0" t="n">
        <f aca="false">(SUMPRODUCT(DCF_Base!$C$19:$L$19/(1+$A$27/100)^DCF_Base!$C$4:$L$4)+MAX(0,MIN(IF($A$27&gt;$C$23,DCF_Base!$L$19*(1+$C$23/100)/(($A$27-$C$23)/100),DCF_Base!$L$19*DCF_Base!$B$29),DCF_Base!$L$19*DCF_Base!$B$29))/(1+$A$27/100)^DCF_Base!$L$4+Assumptions!$B$5-Assumptions!$B$4)/Assumptions!$B$3*Assumptions!$B$10</f>
        <v>3.2476673266006</v>
      </c>
      <c r="D27" s="0" t="n">
        <f aca="false">(SUMPRODUCT(DCF_Base!$C$19:$L$19/(1+$A$27/100)^DCF_Base!$C$4:$L$4)+MAX(0,MIN(IF($A$27&gt;$D$23,DCF_Base!$L$19*(1+$D$23/100)/(($A$27-$D$23)/100),DCF_Base!$L$19*DCF_Base!$B$29),DCF_Base!$L$19*DCF_Base!$B$29))/(1+$A$27/100)^DCF_Base!$L$4+Assumptions!$B$5-Assumptions!$B$4)/Assumptions!$B$3*Assumptions!$B$10</f>
        <v>3.32009286580085</v>
      </c>
      <c r="E27" s="0" t="n">
        <f aca="false">(SUMPRODUCT(DCF_Base!$C$19:$L$19/(1+$A$27/100)^DCF_Base!$C$4:$L$4)+MAX(0,MIN(IF($A$27&gt;$E$23,DCF_Base!$L$19*(1+$E$23/100)/(($A$27-$E$23)/100),DCF_Base!$L$19*DCF_Base!$B$29),DCF_Base!$L$19*DCF_Base!$B$29))/(1+$A$27/100)^DCF_Base!$L$4+Assumptions!$B$5-Assumptions!$B$4)/Assumptions!$B$3*Assumptions!$B$10</f>
        <v>3.40103905667172</v>
      </c>
      <c r="F27" s="0" t="n">
        <f aca="false">(SUMPRODUCT(DCF_Base!$C$19:$L$19/(1+$A$27/100)^DCF_Base!$C$4:$L$4)+MAX(0,MIN(IF($A$27&gt;$F$23,DCF_Base!$L$19*(1+$F$23/100)/(($A$27-$F$23)/100),DCF_Base!$L$19*DCF_Base!$B$29),DCF_Base!$L$19*DCF_Base!$B$29))/(1+$A$27/100)^DCF_Base!$L$4+Assumptions!$B$5-Assumptions!$B$4)/Assumptions!$B$3*Assumptions!$B$10</f>
        <v>3.49210352140145</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2.92994498299595</v>
      </c>
      <c r="C28" s="0" t="n">
        <f aca="false">(SUMPRODUCT(DCF_Base!$C$19:$L$19/(1+$A$28/100)^DCF_Base!$C$4:$L$4)+MAX(0,MIN(IF($A$28&gt;$C$23,DCF_Base!$L$19*(1+$C$23/100)/(($A$28-$C$23)/100),DCF_Base!$L$19*DCF_Base!$B$29),DCF_Base!$L$19*DCF_Base!$B$29))/(1+$A$28/100)^DCF_Base!$L$4+Assumptions!$B$5-Assumptions!$B$4)/Assumptions!$B$3*Assumptions!$B$10</f>
        <v>2.97941897699973</v>
      </c>
      <c r="D28" s="0" t="n">
        <f aca="false">(SUMPRODUCT(DCF_Base!$C$19:$L$19/(1+$A$28/100)^DCF_Base!$C$4:$L$4)+MAX(0,MIN(IF($A$28&gt;$D$23,DCF_Base!$L$19*(1+$D$23/100)/(($A$28-$D$23)/100),DCF_Base!$L$19*DCF_Base!$B$29),DCF_Base!$L$19*DCF_Base!$B$29))/(1+$A$28/100)^DCF_Base!$L$4+Assumptions!$B$5-Assumptions!$B$4)/Assumptions!$B$3*Assumptions!$B$10</f>
        <v>3.03384037040387</v>
      </c>
      <c r="E28" s="0" t="n">
        <f aca="false">(SUMPRODUCT(DCF_Base!$C$19:$L$19/(1+$A$28/100)^DCF_Base!$C$4:$L$4)+MAX(0,MIN(IF($A$28&gt;$E$23,DCF_Base!$L$19*(1+$E$23/100)/(($A$28-$E$23)/100),DCF_Base!$L$19*DCF_Base!$B$29),DCF_Base!$L$19*DCF_Base!$B$29))/(1+$A$28/100)^DCF_Base!$L$4+Assumptions!$B$5-Assumptions!$B$4)/Assumptions!$B$3*Assumptions!$B$10</f>
        <v>3.09399033153478</v>
      </c>
      <c r="F28" s="0" t="n">
        <f aca="false">(SUMPRODUCT(DCF_Base!$C$19:$L$19/(1+$A$28/100)^DCF_Base!$C$4:$L$4)+MAX(0,MIN(IF($A$28&gt;$F$23,DCF_Base!$L$19*(1+$F$23/100)/(($A$28-$F$23)/100),DCF_Base!$L$19*DCF_Base!$B$29),DCF_Base!$L$19*DCF_Base!$B$29))/(1+$A$28/100)^DCF_Base!$L$4+Assumptions!$B$5-Assumptions!$B$4)/Assumptions!$B$3*Assumptions!$B$10</f>
        <v>3.16082362168022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2026-10-18T05:52:34Z</dcterms:created>
  <dc:creator>openpyxl</dc:creator>
  <dc:description/>
  <dc:language>en-NZ</dc:language>
  <cp:lastModifiedBy/>
  <dcterms:modified xsi:type="dcterms:W3CDTF">2026-10-18T05:52:34Z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