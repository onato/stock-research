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<sst xmlns="http://schemas.openxmlformats.org/spreadsheetml/2006/main" count="363" uniqueCount="166">
  <si>
    <t xml:space="preserve">Ticker</t>
  </si>
  <si>
    <t xml:space="preserve">AMCR</t>
  </si>
  <si>
    <t xml:space="preserve">Company</t>
  </si>
  <si>
    <t xml:space="preserve">Amcor plc</t>
  </si>
  <si>
    <t xml:space="preserve">Valuation date</t>
  </si>
  <si>
    <t xml:space="preserve">2026-09-25</t>
  </si>
  <si>
    <t xml:space="preserve">Current price</t>
  </si>
  <si>
    <t xml:space="preserve">Price as of</t>
  </si>
  <si>
    <t xml:space="preserve">2026-09-24T20:00:03Z regular close (NYSE)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</si>
  <si>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</si>
  <si>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</si>
  <si>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</si>
  <si>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</si>
  <si>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</si>
  <si>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</si>
  <si>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</si>
  <si>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</si>
  <si>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</si>
  <si>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</si>
  <si>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</si>
  <si>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</si>
  <si>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2026-09-25T09:56:29Z</t>
  </si>
  <si>
    <t xml:space="preserve">Drivers file</t>
  </si>
  <si>
    <t xml:space="preserve">AMCR_Drivers.json</t>
  </si>
  <si>
    <t xml:space="preserve">Convention</t>
  </si>
  <si>
    <t xml:space="preserve">Percents stored as percents; formulas divide by 100. Blue = input, green = link, black = formula.</t>
  </si>
  <si>
    <t xml:space="preserve">Methodology</t>
  </si>
  <si>
    <t xml:space="preserve">summary: Amcor post-Berry is a scaled, defensive, low-growth packaging converter whose value rests on capturing merger synergies and converting them to cash while deleveraging. The model charges the integration cash the company excludes from adjusted figures, gives no tax credit for non-deductible acquired-intangible amortisation, and treats the headline '&gt;$3bn FCF' target as a bull marker rather than an anchor.
key_risks_to_valuation: Synergy retention: every 1pp of EBITDA margin is ~$235m of EBITDA on FY2026 revenue; Leverage (~$12.9bn net debt) makes equity value highly geared to EV: a 1x EBITDA multiple move is ~$8/share; Terminal value is capped at 12-15x unlevered FCF (~7-9x EBITDA, in line with packaging peers); an uncapped Gordon at 7.5%/2.5% would be ~20x; NA beverage divestiture could be dilutive if sold below the group multiple; Plastics regulation (EU PPWR, EPR fees) raising capex and cost; Fiscal-year change: the Jul-Dec 2026 Transition Period makes year-1 comparisons non-standard</t>
  </si>
  <si>
    <t xml:space="preserve">Data sources</t>
  </si>
  <si>
    <t xml:space="preserve">price: Yahoo Finance chart API at inputs.price_as_of; 52-week range 36.25-50.94
financials: SEC XBRL companyfacts (CIK 1748790), FY2026 10-K filed 2026-08-12; AMCR_Metrics.csv from core_metrics
qualitative: AMCR_Analysis.json (2026-09-25): FY2026 results, Transition Period guidance adj EPS $1.80-1.90, leverage 3.5-3.6x by Dec-2026, $650m synergy target by FY2028</t>
  </si>
  <si>
    <t xml:space="preserve">Scenario narrative: bear</t>
  </si>
  <si>
    <t xml:space="preserve">Integration slips: synergy capture stalls near the FY2026 ~$250m level and is competed away by regional flexible/rigid players, restructuring cash persists, consumer-staples volumes stay soft with private-label and destocking pressure, and PPWR/EPR costs are only partly passed through with the 3-6 month resin lag. EBITDA margin stalls at ~15.5%, capex runs higher for recyclability retooling, and growth is 0.5-2%. With 3.5x leverage there is no solvency event, but deleveraging stalls and the dividend absorbs most free cash flow.</t>
  </si>
  <si>
    <t xml:space="preserve">Scenario narrative: base</t>
  </si>
  <si>
    <t xml:space="preserve">Berry integration lands roughly on plan: synergies reach the $650m run-rate by FY2028 but about 40% of the increment is passed back to large CPG customers in contract renewals, so all-in EBITDA margin climbs from ~14.8% (after integration cash) to 17.0% as restructuring spend rolls off. Volumes stay flat-to-low-single-digit (the Q4 FY2026 inflection is modest), revenue grows 2-3% on price/mix and healthcare/protein mix shift. The North American beverage sale/JV is assumed value-neutral. Capex holds at ~4% of sales and leverage drifts from ~3.5x toward the ~3x target through EBITDA growth rather than equity issuance.</t>
  </si>
  <si>
    <t xml:space="preserve">Scenario narrative: bull</t>
  </si>
  <si>
    <t xml:space="preserve">Synergies beat the $650m target and are largely retained, healthcare/pharma and protein flexibles mix lifts margins to ~18.3%, volumes recover to 1-2% on top of price, and the one-time ~$280m working-capital synergy plus the reversal of the FY2026 Middle-East inventory build lighten working-capital drag. A clean NA beverage exit removes a low-margin, capital-hungry drag. This is the path toward management's &gt;$3bn FCF aspiration, and it needs several independent things to go right.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</si>
  <si>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</si>
  <si>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</si>
  <si>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</si>
  <si>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</si>
  <si>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</si>
  <si>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</si>
  <si>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</si>
  <si>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</si>
  <si>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</si>
  <si>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</si>
  <si>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</si>
  <si>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</si>
  <si>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</si>
  <si>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</si>
  <si>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</si>
  <si>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</si>
  <si>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</si>
  <si>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</si>
  <si>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</si>
  <si>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</si>
  <si>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</si>
  <si>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</si>
  <si>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</si>
  <si>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</si>
  <si>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</si>
  <si>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</si>
  <si>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</si>
  <si>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</si>
  <si>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</si>
  <si>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</si>
  <si>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</si>
  <si>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</si>
  <si>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</si>
  <si>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</si>
  <si>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</si>
  <si>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</si>
  <si>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</si>
  <si>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</si>
  <si>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</si>
  <si>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</si>
  <si>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</si>
  <si>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</si>
  <si>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</si>
  <si>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</si>
  <si>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</si>
  <si>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</si>
  <si>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</si>
  <si>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</si>
  <si>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</si>
  <si>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</si>
  <si>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</si>
  <si>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</si>
  <si>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</si>
  <si>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</si>
  <si>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</si>
  <si>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</si>
  <si>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</si>
  <si>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</si>
  <si>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</si>
  <si>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</si>
  <si>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</si>
  <si>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</si>
  <si>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</si>
  <si>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</si>
  <si>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</si>
  <si>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</si>
  <si>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</si>
  <si>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</si>
  <si>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</si>
  <si>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</si>
  <si>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</si>
  <si>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</si>
  <si>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</si>
  <si>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</si>
  <si>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</si>
  <si>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AMCR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</si>
  <si>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</si>
  <si>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</si>
  <si>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</si>
  <si>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</si>
  <si>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</si>
  <si>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</si>
  <si>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</si>
  <si>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</si>
  <si>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</si>
  <si>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</si>
  <si>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</si>
  <si>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</si>
  <si>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</si>
  <si>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</si>
  <si>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</si>
  <si>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</si>
  <si>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</si>
  <si>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</si>
  <si>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</si>
  <si>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</si>
  <si>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</si>
  <si>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</si>
  <si>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</si>
  <si>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</si>
  <si>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</si>
  <si>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</si>
  <si>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</si>
  <si>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</si>
  <si>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</si>
  <si>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</si>
  <si>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AMCR owner-FCF component DCF: base case (millions, USD)</t>
  </si>
  <si>
    <t xml:space="preserve">AMCR owner-FCF component DCF: bull case (millions, USD)</t>
  </si>
  <si>
    <t xml:space="preserve">AMCR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</si>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</sst>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42.1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528.5</v>
      </c>
      <c r="S2" s="0" t="n">
        <v>515.7</v>
      </c>
      <c r="AA2" s="0" t="s">
        <v>17</v>
      </c>
      <c r="AB2" s="0" t="s">
        <v>14</v>
      </c>
    </row>
    <row r="3" customFormat="false" ht="15" hidden="false" customHeight="false" outlineLevel="0" collapsed="false">
      <c r="A3" s="0" t="s">
        <v>64</v>
      </c>
      <c r="B3" s="0" t="n">
        <v>9101</v>
      </c>
      <c r="C3" s="0" t="n">
        <v>7189.2</v>
      </c>
      <c r="D3" s="0" t="n">
        <v>1911.8</v>
      </c>
      <c r="E3" s="0" t="n">
        <v>21.0064828040875</v>
      </c>
      <c r="F3" s="0" t="n">
        <v>916.1</v>
      </c>
      <c r="G3" s="0" t="n">
        <v>10.0659268212284</v>
      </c>
      <c r="H3" s="0" t="n">
        <v>1290.3</v>
      </c>
      <c r="I3" s="0" t="n">
        <v>564</v>
      </c>
      <c r="J3" s="0" t="n">
        <v>6.19712119547303</v>
      </c>
      <c r="K3" s="0" t="n">
        <v>0.48</v>
      </c>
      <c r="L3" s="0" t="n">
        <v>908.9</v>
      </c>
      <c r="M3" s="0" t="n">
        <v>379.3</v>
      </c>
      <c r="N3" s="0" t="n">
        <v>529.6</v>
      </c>
      <c r="O3" s="0" t="n">
        <v>587.6</v>
      </c>
      <c r="S3" s="0" t="n">
        <v>561.5</v>
      </c>
      <c r="T3" s="0" t="n">
        <v>1164.2</v>
      </c>
      <c r="U3" s="0" t="n">
        <v>26.5</v>
      </c>
      <c r="V3" s="0" t="n">
        <v>0.42</v>
      </c>
      <c r="AA3" s="0" t="s">
        <v>17</v>
      </c>
      <c r="AB3" s="0" t="s">
        <v>14</v>
      </c>
    </row>
    <row r="4" customFormat="false" ht="15" hidden="false" customHeight="false" outlineLevel="0" collapsed="false">
      <c r="A4" s="0" t="s">
        <v>65</v>
      </c>
      <c r="B4" s="0" t="n">
        <v>9319.1</v>
      </c>
      <c r="C4" s="0" t="n">
        <v>7462.3</v>
      </c>
      <c r="D4" s="0" t="n">
        <v>1856.8</v>
      </c>
      <c r="E4" s="0" t="n">
        <v>19.9246708373126</v>
      </c>
      <c r="F4" s="0" t="n">
        <v>993.9</v>
      </c>
      <c r="G4" s="0" t="n">
        <v>10.6651929907395</v>
      </c>
      <c r="H4" s="0" t="n">
        <v>1351</v>
      </c>
      <c r="I4" s="0" t="n">
        <v>575.2</v>
      </c>
      <c r="J4" s="0" t="n">
        <v>6.17226985438508</v>
      </c>
      <c r="K4" s="0" t="n">
        <v>0.494</v>
      </c>
      <c r="L4" s="0" t="n">
        <v>871.4</v>
      </c>
      <c r="M4" s="0" t="n">
        <v>365</v>
      </c>
      <c r="N4" s="0" t="n">
        <v>506.4</v>
      </c>
      <c r="O4" s="0" t="n">
        <v>695</v>
      </c>
      <c r="P4" s="0" t="n">
        <v>9057.5</v>
      </c>
      <c r="Q4" s="0" t="n">
        <v>8362.1</v>
      </c>
      <c r="R4" s="0" t="n">
        <v>4658.6</v>
      </c>
      <c r="S4" s="0" t="n">
        <v>620.8</v>
      </c>
      <c r="T4" s="0" t="n">
        <v>1161.7</v>
      </c>
      <c r="U4" s="0" t="n">
        <v>21</v>
      </c>
      <c r="V4" s="0" t="n">
        <v>0.445</v>
      </c>
      <c r="AA4" s="0" t="s">
        <v>17</v>
      </c>
      <c r="AB4" s="0" t="s">
        <v>14</v>
      </c>
    </row>
    <row r="5" customFormat="false" ht="15" hidden="false" customHeight="false" outlineLevel="0" collapsed="false">
      <c r="A5" s="0" t="s">
        <v>66</v>
      </c>
      <c r="B5" s="0" t="n">
        <v>9458</v>
      </c>
      <c r="C5" s="0" t="n">
        <v>7659</v>
      </c>
      <c r="D5" s="0" t="n">
        <v>1799</v>
      </c>
      <c r="E5" s="0" t="n">
        <v>19.0209346584902</v>
      </c>
      <c r="F5" s="0" t="n">
        <v>792</v>
      </c>
      <c r="G5" s="0" t="n">
        <v>8.37386339606682</v>
      </c>
      <c r="H5" s="0" t="n">
        <v>1245</v>
      </c>
      <c r="I5" s="0" t="n">
        <v>430</v>
      </c>
      <c r="J5" s="0" t="n">
        <v>4.54641573271305</v>
      </c>
      <c r="K5" s="0" t="n">
        <v>0.363</v>
      </c>
      <c r="L5" s="0" t="n">
        <v>776</v>
      </c>
      <c r="M5" s="0" t="n">
        <v>332.2</v>
      </c>
      <c r="N5" s="0" t="n">
        <v>443.8</v>
      </c>
      <c r="O5" s="0" t="n">
        <v>5675</v>
      </c>
      <c r="P5" s="0" t="n">
        <v>17165</v>
      </c>
      <c r="Q5" s="0" t="n">
        <v>11490.3</v>
      </c>
      <c r="R5" s="0" t="n">
        <v>5314.4</v>
      </c>
      <c r="S5" s="0" t="n">
        <v>601.6</v>
      </c>
      <c r="T5" s="0" t="n">
        <v>1184</v>
      </c>
      <c r="U5" s="0" t="n">
        <v>19</v>
      </c>
      <c r="V5" s="0" t="n">
        <v>0.575</v>
      </c>
      <c r="AA5" s="0" t="s">
        <v>17</v>
      </c>
      <c r="AB5" s="0" t="s">
        <v>14</v>
      </c>
    </row>
    <row r="6" customFormat="false" ht="15" hidden="false" customHeight="false" outlineLevel="0" collapsed="false">
      <c r="A6" s="0" t="s">
        <v>67</v>
      </c>
      <c r="B6" s="0" t="n">
        <v>12468</v>
      </c>
      <c r="C6" s="0" t="n">
        <v>9932</v>
      </c>
      <c r="D6" s="0" t="n">
        <v>2536</v>
      </c>
      <c r="E6" s="0" t="n">
        <v>20.3400705806866</v>
      </c>
      <c r="F6" s="0" t="n">
        <v>994</v>
      </c>
      <c r="G6" s="0" t="n">
        <v>7.97240936798203</v>
      </c>
      <c r="H6" s="0" t="n">
        <v>1646</v>
      </c>
      <c r="I6" s="0" t="n">
        <v>612</v>
      </c>
      <c r="J6" s="0" t="n">
        <v>4.90856592877767</v>
      </c>
      <c r="K6" s="0" t="n">
        <v>0.382</v>
      </c>
      <c r="L6" s="0" t="n">
        <v>1384</v>
      </c>
      <c r="O6" s="0" t="n">
        <v>4687</v>
      </c>
      <c r="P6" s="0" t="n">
        <v>16442</v>
      </c>
      <c r="Q6" s="0" t="n">
        <v>11755</v>
      </c>
      <c r="R6" s="0" t="n">
        <v>6039</v>
      </c>
      <c r="S6" s="0" t="n">
        <v>743</v>
      </c>
      <c r="T6" s="0" t="n">
        <v>1602</v>
      </c>
      <c r="U6" s="0" t="n">
        <v>34</v>
      </c>
      <c r="V6" s="0" t="n">
        <v>0.465</v>
      </c>
      <c r="AA6" s="0" t="s">
        <v>17</v>
      </c>
      <c r="AB6" s="0" t="s">
        <v>14</v>
      </c>
    </row>
    <row r="7" customFormat="false" ht="15" hidden="false" customHeight="false" outlineLevel="0" collapsed="false">
      <c r="A7" s="0" t="s">
        <v>68</v>
      </c>
      <c r="B7" s="0" t="n">
        <v>12861</v>
      </c>
      <c r="C7" s="0" t="n">
        <v>10129</v>
      </c>
      <c r="D7" s="0" t="n">
        <v>2732</v>
      </c>
      <c r="E7" s="0" t="n">
        <v>21.2425161340487</v>
      </c>
      <c r="F7" s="0" t="n">
        <v>1321</v>
      </c>
      <c r="G7" s="0" t="n">
        <v>10.2713630355338</v>
      </c>
      <c r="H7" s="0" t="n">
        <v>1895</v>
      </c>
      <c r="I7" s="0" t="n">
        <v>939</v>
      </c>
      <c r="J7" s="0" t="n">
        <v>7.3011429904362</v>
      </c>
      <c r="K7" s="0" t="n">
        <v>0.602</v>
      </c>
      <c r="L7" s="0" t="n">
        <v>1461</v>
      </c>
      <c r="O7" s="0" t="n">
        <v>4821</v>
      </c>
      <c r="P7" s="0" t="n">
        <v>17188</v>
      </c>
      <c r="Q7" s="0" t="n">
        <v>12367</v>
      </c>
      <c r="R7" s="0" t="n">
        <v>6191</v>
      </c>
      <c r="S7" s="0" t="n">
        <v>850</v>
      </c>
      <c r="T7" s="0" t="n">
        <v>1556</v>
      </c>
      <c r="U7" s="0" t="n">
        <v>58</v>
      </c>
      <c r="V7" s="0" t="n">
        <v>0.4675</v>
      </c>
      <c r="AA7" s="0" t="s">
        <v>17</v>
      </c>
      <c r="AB7" s="0" t="s">
        <v>14</v>
      </c>
    </row>
    <row r="8" customFormat="false" ht="15" hidden="false" customHeight="false" outlineLevel="0" collapsed="false">
      <c r="A8" s="0" t="s">
        <v>69</v>
      </c>
      <c r="B8" s="0" t="n">
        <v>14544</v>
      </c>
      <c r="C8" s="0" t="n">
        <v>11724</v>
      </c>
      <c r="D8" s="0" t="n">
        <v>2820</v>
      </c>
      <c r="E8" s="0" t="n">
        <v>19.3894389438944</v>
      </c>
      <c r="F8" s="0" t="n">
        <v>1239</v>
      </c>
      <c r="G8" s="0" t="n">
        <v>8.51897689768977</v>
      </c>
      <c r="H8" s="0" t="n">
        <v>1864</v>
      </c>
      <c r="I8" s="0" t="n">
        <v>805</v>
      </c>
      <c r="J8" s="0" t="n">
        <v>5.53492849284929</v>
      </c>
      <c r="K8" s="0" t="n">
        <v>0.529</v>
      </c>
      <c r="L8" s="0" t="n">
        <v>1526</v>
      </c>
      <c r="O8" s="0" t="n">
        <v>4141</v>
      </c>
      <c r="P8" s="0" t="n">
        <v>17426</v>
      </c>
      <c r="Q8" s="0" t="n">
        <v>13285</v>
      </c>
      <c r="R8" s="0" t="n">
        <v>6354</v>
      </c>
      <c r="S8" s="0" t="n">
        <v>775</v>
      </c>
      <c r="T8" s="0" t="n">
        <v>1516</v>
      </c>
      <c r="U8" s="0" t="n">
        <v>63</v>
      </c>
      <c r="V8" s="0" t="n">
        <v>0.4775</v>
      </c>
      <c r="AA8" s="0" t="s">
        <v>17</v>
      </c>
      <c r="AB8" s="0" t="s">
        <v>14</v>
      </c>
    </row>
    <row r="9" customFormat="false" ht="15" hidden="false" customHeight="false" outlineLevel="0" collapsed="false">
      <c r="A9" s="0" t="s">
        <v>70</v>
      </c>
      <c r="B9" s="0" t="n">
        <v>14694</v>
      </c>
      <c r="C9" s="0" t="n">
        <v>11969</v>
      </c>
      <c r="D9" s="0" t="n">
        <v>2725</v>
      </c>
      <c r="E9" s="0" t="n">
        <v>18.5449843473527</v>
      </c>
      <c r="F9" s="0" t="n">
        <v>1508</v>
      </c>
      <c r="G9" s="0" t="n">
        <v>10.2626922553423</v>
      </c>
      <c r="H9" s="0" t="n">
        <v>2094</v>
      </c>
      <c r="I9" s="0" t="n">
        <v>1048</v>
      </c>
      <c r="J9" s="0" t="n">
        <v>7.13216278753233</v>
      </c>
      <c r="K9" s="0" t="n">
        <v>0.705</v>
      </c>
      <c r="L9" s="0" t="n">
        <v>1261</v>
      </c>
      <c r="M9" s="0" t="n">
        <v>601</v>
      </c>
      <c r="N9" s="0" t="n">
        <v>660</v>
      </c>
      <c r="O9" s="0" t="n">
        <v>4090</v>
      </c>
      <c r="P9" s="0" t="n">
        <v>17003</v>
      </c>
      <c r="Q9" s="0" t="n">
        <v>12913</v>
      </c>
      <c r="R9" s="0" t="n">
        <v>6666</v>
      </c>
      <c r="S9" s="0" t="n">
        <v>689</v>
      </c>
      <c r="T9" s="0" t="n">
        <v>1476</v>
      </c>
      <c r="U9" s="0" t="n">
        <v>54</v>
      </c>
      <c r="V9" s="0" t="n">
        <v>0.4875</v>
      </c>
      <c r="AA9" s="0" t="s">
        <v>17</v>
      </c>
      <c r="AB9" s="0" t="s">
        <v>14</v>
      </c>
    </row>
    <row r="10" customFormat="false" ht="15" hidden="false" customHeight="false" outlineLevel="0" collapsed="false">
      <c r="A10" s="0" t="s">
        <v>71</v>
      </c>
      <c r="B10" s="0" t="n">
        <v>13640</v>
      </c>
      <c r="C10" s="0" t="n">
        <v>10928</v>
      </c>
      <c r="D10" s="0" t="n">
        <v>2712</v>
      </c>
      <c r="E10" s="0" t="n">
        <v>19.8826979472141</v>
      </c>
      <c r="F10" s="0" t="n">
        <v>1214</v>
      </c>
      <c r="G10" s="0" t="n">
        <v>8.90029325513197</v>
      </c>
      <c r="H10" s="0" t="n">
        <v>1809</v>
      </c>
      <c r="I10" s="0" t="n">
        <v>730</v>
      </c>
      <c r="J10" s="0" t="n">
        <v>5.35190615835777</v>
      </c>
      <c r="K10" s="0" t="n">
        <v>2.52</v>
      </c>
      <c r="L10" s="0" t="n">
        <v>1321</v>
      </c>
      <c r="M10" s="0" t="n">
        <v>484</v>
      </c>
      <c r="N10" s="0" t="n">
        <v>837</v>
      </c>
      <c r="O10" s="0" t="n">
        <v>3953</v>
      </c>
      <c r="P10" s="0" t="n">
        <v>16524</v>
      </c>
      <c r="Q10" s="0" t="n">
        <v>12571</v>
      </c>
      <c r="R10" s="0" t="n">
        <v>6615</v>
      </c>
      <c r="S10" s="0" t="n">
        <v>588</v>
      </c>
      <c r="T10" s="0" t="n">
        <v>288.1</v>
      </c>
      <c r="U10" s="0" t="n">
        <v>32</v>
      </c>
      <c r="V10" s="0" t="n">
        <v>2.4875</v>
      </c>
      <c r="AA10" s="0" t="s">
        <v>17</v>
      </c>
      <c r="AB10" s="0" t="s">
        <v>14</v>
      </c>
    </row>
    <row r="11" customFormat="false" ht="15" hidden="false" customHeight="false" outlineLevel="0" collapsed="false">
      <c r="A11" s="0" t="s">
        <v>72</v>
      </c>
      <c r="B11" s="0" t="n">
        <v>15009</v>
      </c>
      <c r="C11" s="0" t="n">
        <v>12175</v>
      </c>
      <c r="D11" s="0" t="n">
        <v>2834</v>
      </c>
      <c r="E11" s="0" t="n">
        <v>18.8820041308548</v>
      </c>
      <c r="F11" s="0" t="n">
        <v>1009</v>
      </c>
      <c r="G11" s="0" t="n">
        <v>6.72263308681458</v>
      </c>
      <c r="H11" s="0" t="n">
        <v>1731</v>
      </c>
      <c r="I11" s="0" t="n">
        <v>511</v>
      </c>
      <c r="J11" s="0" t="n">
        <v>3.40462389233127</v>
      </c>
      <c r="K11" s="0" t="n">
        <v>1.6</v>
      </c>
      <c r="L11" s="0" t="n">
        <v>1390</v>
      </c>
      <c r="O11" s="0" t="n">
        <v>11728</v>
      </c>
      <c r="P11" s="0" t="n">
        <v>37066</v>
      </c>
      <c r="Q11" s="0" t="n">
        <v>25326</v>
      </c>
      <c r="R11" s="0" t="n">
        <v>13982</v>
      </c>
      <c r="S11" s="0" t="n">
        <v>827</v>
      </c>
      <c r="T11" s="0" t="n">
        <v>318.6</v>
      </c>
      <c r="U11" s="0" t="n">
        <v>74</v>
      </c>
      <c r="V11" s="0" t="n">
        <v>2.5375</v>
      </c>
      <c r="AA11" s="0" t="s">
        <v>17</v>
      </c>
      <c r="AB11" s="0" t="s">
        <v>14</v>
      </c>
    </row>
    <row r="12" customFormat="false" ht="15" hidden="false" customHeight="false" outlineLevel="0" collapsed="false">
      <c r="A12" s="0" t="s">
        <v>73</v>
      </c>
      <c r="B12" s="0" t="n">
        <v>23506</v>
      </c>
      <c r="C12" s="0" t="n">
        <v>18816</v>
      </c>
      <c r="D12" s="0" t="n">
        <v>4690</v>
      </c>
      <c r="E12" s="0" t="n">
        <v>19.9523525908279</v>
      </c>
      <c r="F12" s="0" t="n">
        <v>1899</v>
      </c>
      <c r="G12" s="0" t="n">
        <v>8.07878839445248</v>
      </c>
      <c r="H12" s="0" t="n">
        <v>3378</v>
      </c>
      <c r="I12" s="0" t="n">
        <v>1106</v>
      </c>
      <c r="J12" s="0" t="n">
        <v>4.70518165574747</v>
      </c>
      <c r="K12" s="0" t="n">
        <v>2.38</v>
      </c>
      <c r="L12" s="0" t="n">
        <v>2151</v>
      </c>
      <c r="O12" s="0" t="n">
        <v>11790</v>
      </c>
      <c r="P12" s="0" t="n">
        <v>37095</v>
      </c>
      <c r="Q12" s="0" t="n">
        <v>25294</v>
      </c>
      <c r="R12" s="0" t="n">
        <v>13877</v>
      </c>
      <c r="S12" s="0" t="n">
        <v>1115</v>
      </c>
      <c r="T12" s="0" t="n">
        <v>463.8</v>
      </c>
      <c r="U12" s="0" t="n">
        <v>83</v>
      </c>
      <c r="V12" s="0" t="n">
        <v>2.5875</v>
      </c>
      <c r="AA12" s="0" t="s">
        <v>17</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42.1</v>
      </c>
    </row>
    <row r="3" customFormat="false" ht="15" hidden="false" customHeight="false" outlineLevel="0" collapsed="false">
      <c r="A3" s="0" t="s">
        <v>77</v>
      </c>
      <c r="B3" s="3" t="n">
        <v>463.8</v>
      </c>
    </row>
    <row r="4" customFormat="false" ht="15" hidden="false" customHeight="false" outlineLevel="0" collapsed="false">
      <c r="A4" s="0" t="s">
        <v>78</v>
      </c>
      <c r="B4" s="3" t="n">
        <v>12897</v>
      </c>
    </row>
    <row r="5" customFormat="false" ht="15" hidden="false" customHeight="false" outlineLevel="0" collapsed="false">
      <c r="A5" s="0" t="s">
        <v>79</v>
      </c>
      <c r="B5" s="3" t="n">
        <v>-11</v>
      </c>
    </row>
    <row r="6" customFormat="false" ht="15" hidden="false" customHeight="false" outlineLevel="0" collapsed="false">
      <c r="A6" s="0" t="s">
        <v>80</v>
      </c>
      <c r="B6" s="3" t="n">
        <v>15</v>
      </c>
    </row>
    <row r="7" customFormat="false" ht="15" hidden="false" customHeight="false" outlineLevel="0" collapsed="false">
      <c r="A7" s="0" t="s">
        <v>81</v>
      </c>
      <c r="B7" s="3" t="n">
        <v>23506</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0.5</v>
      </c>
      <c r="D13" s="3" t="n">
        <v>1</v>
      </c>
      <c r="E13" s="3" t="n">
        <v>1.5</v>
      </c>
      <c r="F13" s="3" t="n">
        <v>2</v>
      </c>
      <c r="G13" s="3" t="n">
        <v>2</v>
      </c>
      <c r="H13" s="3" t="n">
        <v>2</v>
      </c>
      <c r="I13" s="3" t="n">
        <v>2</v>
      </c>
      <c r="J13" s="3" t="n">
        <v>2</v>
      </c>
      <c r="K13" s="3" t="n">
        <v>2</v>
      </c>
      <c r="L13" s="3" t="n">
        <v>2</v>
      </c>
    </row>
    <row r="14" customFormat="false" ht="15" hidden="false" customHeight="false" outlineLevel="0" collapsed="false">
      <c r="A14" s="0" t="s">
        <v>98</v>
      </c>
      <c r="C14" s="3" t="n">
        <v>15</v>
      </c>
      <c r="D14" s="3" t="n">
        <v>15.3</v>
      </c>
      <c r="E14" s="3" t="n">
        <v>15.5</v>
      </c>
      <c r="F14" s="3" t="n">
        <v>15.5</v>
      </c>
      <c r="G14" s="3" t="n">
        <v>15.5</v>
      </c>
      <c r="H14" s="3" t="n">
        <v>15.5</v>
      </c>
      <c r="I14" s="3" t="n">
        <v>15.5</v>
      </c>
      <c r="J14" s="3" t="n">
        <v>15.5</v>
      </c>
      <c r="K14" s="3" t="n">
        <v>15.5</v>
      </c>
      <c r="L14" s="3" t="n">
        <v>15.5</v>
      </c>
    </row>
    <row r="15" customFormat="false" ht="15" hidden="false" customHeight="false" outlineLevel="0" collapsed="false">
      <c r="A15" s="0" t="s">
        <v>99</v>
      </c>
      <c r="C15" s="3" t="n">
        <v>0.35</v>
      </c>
      <c r="D15" s="3" t="n">
        <v>0.35</v>
      </c>
      <c r="E15" s="3" t="n">
        <v>0.35</v>
      </c>
      <c r="F15" s="3" t="n">
        <v>0.35</v>
      </c>
      <c r="G15" s="3" t="n">
        <v>0.35</v>
      </c>
      <c r="H15" s="3" t="n">
        <v>0.35</v>
      </c>
      <c r="I15" s="3" t="n">
        <v>0.35</v>
      </c>
      <c r="J15" s="3" t="n">
        <v>0.35</v>
      </c>
      <c r="K15" s="3" t="n">
        <v>0.35</v>
      </c>
      <c r="L15" s="3" t="n">
        <v>0.35</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3.9</v>
      </c>
      <c r="D17" s="3" t="n">
        <v>3.9</v>
      </c>
      <c r="E17" s="3" t="n">
        <v>3.9</v>
      </c>
      <c r="F17" s="3" t="n">
        <v>3.9</v>
      </c>
      <c r="G17" s="3" t="n">
        <v>3.9</v>
      </c>
      <c r="H17" s="3" t="n">
        <v>3.9</v>
      </c>
      <c r="I17" s="3" t="n">
        <v>3.9</v>
      </c>
      <c r="J17" s="3" t="n">
        <v>3.9</v>
      </c>
      <c r="K17" s="3" t="n">
        <v>3.9</v>
      </c>
      <c r="L17" s="3" t="n">
        <v>3.9</v>
      </c>
    </row>
    <row r="18" customFormat="false" ht="15" hidden="false" customHeight="false" outlineLevel="0" collapsed="false">
      <c r="A18" s="0" t="s">
        <v>102</v>
      </c>
      <c r="C18" s="3" t="n">
        <v>4.2</v>
      </c>
      <c r="D18" s="3" t="n">
        <v>4.2</v>
      </c>
      <c r="E18" s="3" t="n">
        <v>4.2</v>
      </c>
      <c r="F18" s="3" t="n">
        <v>4.2</v>
      </c>
      <c r="G18" s="3" t="n">
        <v>4.2</v>
      </c>
      <c r="H18" s="3" t="n">
        <v>4.2</v>
      </c>
      <c r="I18" s="3" t="n">
        <v>4.2</v>
      </c>
      <c r="J18" s="3" t="n">
        <v>4.2</v>
      </c>
      <c r="K18" s="3" t="n">
        <v>4.2</v>
      </c>
      <c r="L18" s="3" t="n">
        <v>4.2</v>
      </c>
    </row>
    <row r="19" customFormat="false" ht="15" hidden="false" customHeight="false" outlineLevel="0" collapsed="false">
      <c r="A19" s="0" t="s">
        <v>103</v>
      </c>
      <c r="C19" s="3" t="n">
        <v>22</v>
      </c>
      <c r="D19" s="3" t="n">
        <v>22</v>
      </c>
      <c r="E19" s="3" t="n">
        <v>22</v>
      </c>
      <c r="F19" s="3" t="n">
        <v>22</v>
      </c>
      <c r="G19" s="3" t="n">
        <v>22</v>
      </c>
      <c r="H19" s="3" t="n">
        <v>22</v>
      </c>
      <c r="I19" s="3" t="n">
        <v>22</v>
      </c>
      <c r="J19" s="3" t="n">
        <v>22</v>
      </c>
      <c r="K19" s="3" t="n">
        <v>22</v>
      </c>
      <c r="L19" s="3" t="n">
        <v>22</v>
      </c>
    </row>
    <row r="20" customFormat="false" ht="15" hidden="false" customHeight="false" outlineLevel="0" collapsed="false">
      <c r="A20" s="0" t="s">
        <v>104</v>
      </c>
      <c r="B20" s="3" t="n">
        <v>7.5</v>
      </c>
    </row>
    <row r="21" customFormat="false" ht="15" hidden="false" customHeight="false" outlineLevel="0" collapsed="false">
      <c r="A21" s="0" t="s">
        <v>105</v>
      </c>
      <c r="B21" s="3" t="n">
        <v>2</v>
      </c>
    </row>
    <row r="22" customFormat="false" ht="15" hidden="false" customHeight="false" outlineLevel="0" collapsed="false">
      <c r="A22" s="0" t="s">
        <v>106</v>
      </c>
      <c r="B22" s="3" t="n">
        <v>12</v>
      </c>
    </row>
    <row r="23" customFormat="false" ht="15" hidden="false" customHeight="false" outlineLevel="0" collapsed="false">
      <c r="A23" s="0" t="s">
        <v>107</v>
      </c>
      <c r="B23" s="3" t="n">
        <v>-12</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2</v>
      </c>
      <c r="D27" s="3" t="n">
        <v>2.5</v>
      </c>
      <c r="E27" s="3" t="n">
        <v>3</v>
      </c>
      <c r="F27" s="3" t="n">
        <v>3</v>
      </c>
      <c r="G27" s="3" t="n">
        <v>3</v>
      </c>
      <c r="H27" s="3" t="n">
        <v>3</v>
      </c>
      <c r="I27" s="3" t="n">
        <v>2.5</v>
      </c>
      <c r="J27" s="3" t="n">
        <v>2.5</v>
      </c>
      <c r="K27" s="3" t="n">
        <v>2.5</v>
      </c>
      <c r="L27" s="3" t="n">
        <v>2.5</v>
      </c>
    </row>
    <row r="28" customFormat="false" ht="15" hidden="false" customHeight="false" outlineLevel="0" collapsed="false">
      <c r="A28" s="0" t="s">
        <v>98</v>
      </c>
      <c r="C28" s="3" t="n">
        <v>15.8</v>
      </c>
      <c r="D28" s="3" t="n">
        <v>16.6</v>
      </c>
      <c r="E28" s="3" t="n">
        <v>16.9</v>
      </c>
      <c r="F28" s="3" t="n">
        <v>17</v>
      </c>
      <c r="G28" s="3" t="n">
        <v>17</v>
      </c>
      <c r="H28" s="3" t="n">
        <v>17</v>
      </c>
      <c r="I28" s="3" t="n">
        <v>17</v>
      </c>
      <c r="J28" s="3" t="n">
        <v>17</v>
      </c>
      <c r="K28" s="3" t="n">
        <v>17</v>
      </c>
      <c r="L28" s="3" t="n">
        <v>17</v>
      </c>
    </row>
    <row r="29" customFormat="false" ht="15" hidden="false" customHeight="false" outlineLevel="0" collapsed="false">
      <c r="A29" s="0" t="s">
        <v>99</v>
      </c>
      <c r="C29" s="3" t="n">
        <v>0.35</v>
      </c>
      <c r="D29" s="3" t="n">
        <v>0.35</v>
      </c>
      <c r="E29" s="3" t="n">
        <v>0.35</v>
      </c>
      <c r="F29" s="3" t="n">
        <v>0.35</v>
      </c>
      <c r="G29" s="3" t="n">
        <v>0.35</v>
      </c>
      <c r="H29" s="3" t="n">
        <v>0.35</v>
      </c>
      <c r="I29" s="3" t="n">
        <v>0.35</v>
      </c>
      <c r="J29" s="3" t="n">
        <v>0.35</v>
      </c>
      <c r="K29" s="3" t="n">
        <v>0.35</v>
      </c>
      <c r="L29" s="3" t="n">
        <v>0.35</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3.9</v>
      </c>
      <c r="D31" s="3" t="n">
        <v>3.9</v>
      </c>
      <c r="E31" s="3" t="n">
        <v>3.9</v>
      </c>
      <c r="F31" s="3" t="n">
        <v>3.9</v>
      </c>
      <c r="G31" s="3" t="n">
        <v>3.9</v>
      </c>
      <c r="H31" s="3" t="n">
        <v>3.9</v>
      </c>
      <c r="I31" s="3" t="n">
        <v>3.9</v>
      </c>
      <c r="J31" s="3" t="n">
        <v>3.9</v>
      </c>
      <c r="K31" s="3" t="n">
        <v>3.9</v>
      </c>
      <c r="L31" s="3" t="n">
        <v>3.9</v>
      </c>
    </row>
    <row r="32" customFormat="false" ht="15" hidden="false" customHeight="false" outlineLevel="0" collapsed="false">
      <c r="A32" s="0" t="s">
        <v>102</v>
      </c>
      <c r="C32" s="3" t="n">
        <v>4</v>
      </c>
      <c r="D32" s="3" t="n">
        <v>4</v>
      </c>
      <c r="E32" s="3" t="n">
        <v>4</v>
      </c>
      <c r="F32" s="3" t="n">
        <v>4</v>
      </c>
      <c r="G32" s="3" t="n">
        <v>4</v>
      </c>
      <c r="H32" s="3" t="n">
        <v>4</v>
      </c>
      <c r="I32" s="3" t="n">
        <v>4</v>
      </c>
      <c r="J32" s="3" t="n">
        <v>4</v>
      </c>
      <c r="K32" s="3" t="n">
        <v>4</v>
      </c>
      <c r="L32" s="3" t="n">
        <v>4</v>
      </c>
    </row>
    <row r="33" customFormat="false" ht="15" hidden="false" customHeight="false" outlineLevel="0" collapsed="false">
      <c r="A33" s="0" t="s">
        <v>103</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104</v>
      </c>
      <c r="B34" s="3" t="n">
        <v>7.5</v>
      </c>
    </row>
    <row r="35" customFormat="false" ht="15" hidden="false" customHeight="false" outlineLevel="0" collapsed="false">
      <c r="A35" s="0" t="s">
        <v>105</v>
      </c>
      <c r="B35" s="3" t="n">
        <v>2.5</v>
      </c>
    </row>
    <row r="36" customFormat="false" ht="15" hidden="false" customHeight="false" outlineLevel="0" collapsed="false">
      <c r="A36" s="0" t="s">
        <v>106</v>
      </c>
      <c r="B36" s="3" t="n">
        <v>14</v>
      </c>
    </row>
    <row r="37" customFormat="false" ht="15" hidden="false" customHeight="false" outlineLevel="0" collapsed="false">
      <c r="A37" s="0" t="s">
        <v>107</v>
      </c>
      <c r="B37" s="3" t="n">
        <v>-10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3</v>
      </c>
      <c r="D41" s="3" t="n">
        <v>3.5</v>
      </c>
      <c r="E41" s="3" t="n">
        <v>4</v>
      </c>
      <c r="F41" s="3" t="n">
        <v>4</v>
      </c>
      <c r="G41" s="3" t="n">
        <v>3.5</v>
      </c>
      <c r="H41" s="3" t="n">
        <v>3.5</v>
      </c>
      <c r="I41" s="3" t="n">
        <v>3</v>
      </c>
      <c r="J41" s="3" t="n">
        <v>3</v>
      </c>
      <c r="K41" s="3" t="n">
        <v>3</v>
      </c>
      <c r="L41" s="3" t="n">
        <v>3</v>
      </c>
    </row>
    <row r="42" customFormat="false" ht="15" hidden="false" customHeight="false" outlineLevel="0" collapsed="false">
      <c r="A42" s="0" t="s">
        <v>98</v>
      </c>
      <c r="C42" s="3" t="n">
        <v>16</v>
      </c>
      <c r="D42" s="3" t="n">
        <v>17.2</v>
      </c>
      <c r="E42" s="3" t="n">
        <v>17.9</v>
      </c>
      <c r="F42" s="3" t="n">
        <v>18.2</v>
      </c>
      <c r="G42" s="3" t="n">
        <v>18.3</v>
      </c>
      <c r="H42" s="3" t="n">
        <v>18.3</v>
      </c>
      <c r="I42" s="3" t="n">
        <v>18.3</v>
      </c>
      <c r="J42" s="3" t="n">
        <v>18.3</v>
      </c>
      <c r="K42" s="3" t="n">
        <v>18.3</v>
      </c>
      <c r="L42" s="3" t="n">
        <v>18.3</v>
      </c>
    </row>
    <row r="43" customFormat="false" ht="15" hidden="false" customHeight="false" outlineLevel="0" collapsed="false">
      <c r="A43" s="0" t="s">
        <v>99</v>
      </c>
      <c r="C43" s="3" t="n">
        <v>0.35</v>
      </c>
      <c r="D43" s="3" t="n">
        <v>0.35</v>
      </c>
      <c r="E43" s="3" t="n">
        <v>0.35</v>
      </c>
      <c r="F43" s="3" t="n">
        <v>0.35</v>
      </c>
      <c r="G43" s="3" t="n">
        <v>0.35</v>
      </c>
      <c r="H43" s="3" t="n">
        <v>0.35</v>
      </c>
      <c r="I43" s="3" t="n">
        <v>0.35</v>
      </c>
      <c r="J43" s="3" t="n">
        <v>0.35</v>
      </c>
      <c r="K43" s="3" t="n">
        <v>0.35</v>
      </c>
      <c r="L43" s="3" t="n">
        <v>0.35</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3.9</v>
      </c>
      <c r="D45" s="3" t="n">
        <v>3.9</v>
      </c>
      <c r="E45" s="3" t="n">
        <v>3.9</v>
      </c>
      <c r="F45" s="3" t="n">
        <v>3.9</v>
      </c>
      <c r="G45" s="3" t="n">
        <v>3.9</v>
      </c>
      <c r="H45" s="3" t="n">
        <v>3.9</v>
      </c>
      <c r="I45" s="3" t="n">
        <v>3.9</v>
      </c>
      <c r="J45" s="3" t="n">
        <v>3.9</v>
      </c>
      <c r="K45" s="3" t="n">
        <v>3.9</v>
      </c>
      <c r="L45" s="3" t="n">
        <v>3.9</v>
      </c>
    </row>
    <row r="46" customFormat="false" ht="15" hidden="false" customHeight="false" outlineLevel="0" collapsed="false">
      <c r="A46" s="0" t="s">
        <v>102</v>
      </c>
      <c r="C46" s="3" t="n">
        <v>3.9</v>
      </c>
      <c r="D46" s="3" t="n">
        <v>3.9</v>
      </c>
      <c r="E46" s="3" t="n">
        <v>3.9</v>
      </c>
      <c r="F46" s="3" t="n">
        <v>3.9</v>
      </c>
      <c r="G46" s="3" t="n">
        <v>3.9</v>
      </c>
      <c r="H46" s="3" t="n">
        <v>3.9</v>
      </c>
      <c r="I46" s="3" t="n">
        <v>3.9</v>
      </c>
      <c r="J46" s="3" t="n">
        <v>3.9</v>
      </c>
      <c r="K46" s="3" t="n">
        <v>3.9</v>
      </c>
      <c r="L46" s="3" t="n">
        <v>3.9</v>
      </c>
    </row>
    <row r="47" customFormat="false" ht="15" hidden="false" customHeight="false" outlineLevel="0" collapsed="false">
      <c r="A47" s="0" t="s">
        <v>103</v>
      </c>
      <c r="C47" s="3" t="n">
        <v>20.5</v>
      </c>
      <c r="D47" s="3" t="n">
        <v>20.5</v>
      </c>
      <c r="E47" s="3" t="n">
        <v>20.5</v>
      </c>
      <c r="F47" s="3" t="n">
        <v>20.5</v>
      </c>
      <c r="G47" s="3" t="n">
        <v>20.5</v>
      </c>
      <c r="H47" s="3" t="n">
        <v>20.5</v>
      </c>
      <c r="I47" s="3" t="n">
        <v>20.5</v>
      </c>
      <c r="J47" s="3" t="n">
        <v>20.5</v>
      </c>
      <c r="K47" s="3" t="n">
        <v>20.5</v>
      </c>
      <c r="L47" s="3" t="n">
        <v>20.5</v>
      </c>
    </row>
    <row r="48" customFormat="false" ht="15" hidden="false" customHeight="false" outlineLevel="0" collapsed="false">
      <c r="A48" s="0" t="s">
        <v>104</v>
      </c>
      <c r="B48" s="3" t="n">
        <v>7.5</v>
      </c>
    </row>
    <row r="49" customFormat="false" ht="15" hidden="false" customHeight="false" outlineLevel="0" collapsed="false">
      <c r="A49" s="0" t="s">
        <v>105</v>
      </c>
      <c r="B49" s="3" t="n">
        <v>2.5</v>
      </c>
    </row>
    <row r="50" customFormat="false" ht="15" hidden="false" customHeight="false" outlineLevel="0" collapsed="false">
      <c r="A50" s="0" t="s">
        <v>106</v>
      </c>
      <c r="B50" s="3" t="n">
        <v>15</v>
      </c>
    </row>
    <row r="51" customFormat="false" ht="15" hidden="false" customHeight="false" outlineLevel="0" collapsed="false">
      <c r="A51" s="0" t="s">
        <v>107</v>
      </c>
      <c r="B51" s="3" t="n">
        <v>-8</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0.5</v>
      </c>
      <c r="D5" s="4" t="n">
        <f aca="false">Assumptions!D13</f>
        <v>1</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23506</v>
      </c>
      <c r="C6" s="0" t="n">
        <f aca="false">B6*(1+C5/100)</f>
        <v>23623.53</v>
      </c>
      <c r="D6" s="0" t="n">
        <f aca="false">C6*(1+D5/100)</f>
        <v>23859.7653</v>
      </c>
      <c r="E6" s="0" t="n">
        <f aca="false">D6*(1+E5/100)</f>
        <v>24217.6617795</v>
      </c>
      <c r="F6" s="0" t="n">
        <f aca="false">E6*(1+F5/100)</f>
        <v>24702.01501509</v>
      </c>
      <c r="G6" s="0" t="n">
        <f aca="false">F6*(1+G5/100)</f>
        <v>25196.0553153918</v>
      </c>
      <c r="H6" s="0" t="n">
        <f aca="false">G6*(1+H5/100)</f>
        <v>25699.9764216996</v>
      </c>
      <c r="I6" s="0" t="n">
        <f aca="false">H6*(1+I5/100)</f>
        <v>26213.9759501336</v>
      </c>
      <c r="J6" s="0" t="n">
        <f aca="false">I6*(1+J5/100)</f>
        <v>26738.2554691363</v>
      </c>
      <c r="K6" s="0" t="n">
        <f aca="false">J6*(1+K5/100)</f>
        <v>27273.020578519</v>
      </c>
      <c r="L6" s="0" t="n">
        <f aca="false">K6*(1+L5/100)</f>
        <v>27818.4809900894</v>
      </c>
    </row>
    <row r="7" customFormat="false" ht="15" hidden="false" customHeight="false" outlineLevel="0" collapsed="false">
      <c r="A7" s="0" t="s">
        <v>98</v>
      </c>
      <c r="C7" s="4" t="n">
        <f aca="false">Assumptions!C14</f>
        <v>15</v>
      </c>
      <c r="D7" s="4" t="n">
        <f aca="false">Assumptions!D14</f>
        <v>15.3</v>
      </c>
      <c r="E7" s="4" t="n">
        <f aca="false">Assumptions!E14</f>
        <v>15.5</v>
      </c>
      <c r="F7" s="4" t="n">
        <f aca="false">Assumptions!F14</f>
        <v>15.5</v>
      </c>
      <c r="G7" s="4" t="n">
        <f aca="false">Assumptions!G14</f>
        <v>15.5</v>
      </c>
      <c r="H7" s="4" t="n">
        <f aca="false">Assumptions!H14</f>
        <v>15.5</v>
      </c>
      <c r="I7" s="4" t="n">
        <f aca="false">Assumptions!I14</f>
        <v>15.5</v>
      </c>
      <c r="J7" s="4" t="n">
        <f aca="false">Assumptions!J14</f>
        <v>15.5</v>
      </c>
      <c r="K7" s="4" t="n">
        <f aca="false">Assumptions!K14</f>
        <v>15.5</v>
      </c>
      <c r="L7" s="4" t="n">
        <f aca="false">Assumptions!L14</f>
        <v>15.5</v>
      </c>
    </row>
    <row r="8" customFormat="false" ht="15" hidden="false" customHeight="false" outlineLevel="0" collapsed="false">
      <c r="A8" s="0" t="s">
        <v>43</v>
      </c>
      <c r="C8" s="0" t="n">
        <f aca="false">C6*C7/100</f>
        <v>3543.5295</v>
      </c>
      <c r="D8" s="0" t="n">
        <f aca="false">D6*D7/100</f>
        <v>3650.5440909</v>
      </c>
      <c r="E8" s="0" t="n">
        <f aca="false">E6*E7/100</f>
        <v>3753.7375758225</v>
      </c>
      <c r="F8" s="0" t="n">
        <f aca="false">F6*F7/100</f>
        <v>3828.81232733895</v>
      </c>
      <c r="G8" s="0" t="n">
        <f aca="false">G6*G7/100</f>
        <v>3905.38857388573</v>
      </c>
      <c r="H8" s="0" t="n">
        <f aca="false">H6*H7/100</f>
        <v>3983.49634536344</v>
      </c>
      <c r="I8" s="0" t="n">
        <f aca="false">I6*I7/100</f>
        <v>4063.16627227071</v>
      </c>
      <c r="J8" s="0" t="n">
        <f aca="false">J6*J7/100</f>
        <v>4144.42959771613</v>
      </c>
      <c r="K8" s="0" t="n">
        <f aca="false">K6*K7/100</f>
        <v>4227.31818967045</v>
      </c>
      <c r="L8" s="0" t="n">
        <f aca="false">L6*L7/100</f>
        <v>4311.86455346386</v>
      </c>
    </row>
    <row r="9" customFormat="false" ht="15" hidden="false" customHeight="false" outlineLevel="0" collapsed="false">
      <c r="A9" s="0" t="s">
        <v>99</v>
      </c>
      <c r="C9" s="4" t="n">
        <f aca="false">Assumptions!C15</f>
        <v>0.35</v>
      </c>
      <c r="D9" s="4" t="n">
        <f aca="false">Assumptions!D15</f>
        <v>0.35</v>
      </c>
      <c r="E9" s="4" t="n">
        <f aca="false">Assumptions!E15</f>
        <v>0.35</v>
      </c>
      <c r="F9" s="4" t="n">
        <f aca="false">Assumptions!F15</f>
        <v>0.35</v>
      </c>
      <c r="G9" s="4" t="n">
        <f aca="false">Assumptions!G15</f>
        <v>0.35</v>
      </c>
      <c r="H9" s="4" t="n">
        <f aca="false">Assumptions!H15</f>
        <v>0.35</v>
      </c>
      <c r="I9" s="4" t="n">
        <f aca="false">Assumptions!I15</f>
        <v>0.35</v>
      </c>
      <c r="J9" s="4" t="n">
        <f aca="false">Assumptions!J15</f>
        <v>0.35</v>
      </c>
      <c r="K9" s="4" t="n">
        <f aca="false">Assumptions!K15</f>
        <v>0.35</v>
      </c>
      <c r="L9" s="4" t="n">
        <f aca="false">Assumptions!L15</f>
        <v>0.35</v>
      </c>
    </row>
    <row r="10" customFormat="false" ht="15" hidden="false" customHeight="false" outlineLevel="0" collapsed="false">
      <c r="A10" s="0" t="s">
        <v>114</v>
      </c>
      <c r="C10" s="0" t="n">
        <f aca="false">-C6*C9/100</f>
        <v>-82.682355</v>
      </c>
      <c r="D10" s="0" t="n">
        <f aca="false">-D6*D9/100</f>
        <v>-83.50917855</v>
      </c>
      <c r="E10" s="0" t="n">
        <f aca="false">-E6*E9/100</f>
        <v>-84.76181622825</v>
      </c>
      <c r="F10" s="0" t="n">
        <f aca="false">-F6*F9/100</f>
        <v>-86.457052552815</v>
      </c>
      <c r="G10" s="0" t="n">
        <f aca="false">-G6*G9/100</f>
        <v>-88.1861936038713</v>
      </c>
      <c r="H10" s="0" t="n">
        <f aca="false">-H6*H9/100</f>
        <v>-89.9499174759487</v>
      </c>
      <c r="I10" s="0" t="n">
        <f aca="false">-I6*I9/100</f>
        <v>-91.7489158254677</v>
      </c>
      <c r="J10" s="0" t="n">
        <f aca="false">-J6*J9/100</f>
        <v>-93.5838941419771</v>
      </c>
      <c r="K10" s="0" t="n">
        <f aca="false">-K6*K9/100</f>
        <v>-95.4555720248166</v>
      </c>
      <c r="L10" s="0" t="n">
        <f aca="false">-L6*L9/100</f>
        <v>-97.3646834653129</v>
      </c>
    </row>
    <row r="11" customFormat="false" ht="15" hidden="false" customHeight="false" outlineLevel="0" collapsed="false">
      <c r="A11" s="0" t="s">
        <v>115</v>
      </c>
      <c r="C11" s="0" t="n">
        <f aca="false">C8+C10+C24</f>
        <v>3460.847145</v>
      </c>
      <c r="D11" s="0" t="n">
        <f aca="false">D8+D10+D24</f>
        <v>3567.03491235</v>
      </c>
      <c r="E11" s="0" t="n">
        <f aca="false">E8+E10+E24</f>
        <v>3668.97575959425</v>
      </c>
      <c r="F11" s="0" t="n">
        <f aca="false">F8+F10+F24</f>
        <v>3742.35527478613</v>
      </c>
      <c r="G11" s="0" t="n">
        <f aca="false">G8+G10+G24</f>
        <v>3817.20238028186</v>
      </c>
      <c r="H11" s="0" t="n">
        <f aca="false">H8+H10+H24</f>
        <v>3893.54642788749</v>
      </c>
      <c r="I11" s="0" t="n">
        <f aca="false">I8+I10+I24</f>
        <v>3971.41735644524</v>
      </c>
      <c r="J11" s="0" t="n">
        <f aca="false">J8+J10+J24</f>
        <v>4050.84570357415</v>
      </c>
      <c r="K11" s="0" t="n">
        <f aca="false">K8+K10+K24</f>
        <v>4131.86261764563</v>
      </c>
      <c r="L11" s="0" t="n">
        <f aca="false">L8+L10+L24</f>
        <v>4214.49986999855</v>
      </c>
    </row>
    <row r="12" customFormat="false" ht="15" hidden="false" customHeight="false" outlineLevel="0" collapsed="false">
      <c r="A12" s="0" t="s">
        <v>116</v>
      </c>
      <c r="C12" s="4" t="n">
        <f aca="false">-C6*Assumptions!C17/100</f>
        <v>-921.31767</v>
      </c>
      <c r="D12" s="4" t="n">
        <f aca="false">-D6*Assumptions!D17/100</f>
        <v>-930.5308467</v>
      </c>
      <c r="E12" s="4" t="n">
        <f aca="false">-E6*Assumptions!E17/100</f>
        <v>-944.4888094005</v>
      </c>
      <c r="F12" s="4" t="n">
        <f aca="false">-F6*Assumptions!F17/100</f>
        <v>-963.37858558851</v>
      </c>
      <c r="G12" s="4" t="n">
        <f aca="false">-G6*Assumptions!G17/100</f>
        <v>-982.64615730028</v>
      </c>
      <c r="H12" s="4" t="n">
        <f aca="false">-H6*Assumptions!H17/100</f>
        <v>-1002.29908044629</v>
      </c>
      <c r="I12" s="4" t="n">
        <f aca="false">-I6*Assumptions!I17/100</f>
        <v>-1022.34506205521</v>
      </c>
      <c r="J12" s="4" t="n">
        <f aca="false">-J6*Assumptions!J17/100</f>
        <v>-1042.79196329632</v>
      </c>
      <c r="K12" s="4" t="n">
        <f aca="false">-K6*Assumptions!K17/100</f>
        <v>-1063.64780256224</v>
      </c>
      <c r="L12" s="4" t="n">
        <f aca="false">-L6*Assumptions!L17/100</f>
        <v>-1084.92075861349</v>
      </c>
    </row>
    <row r="13" customFormat="false" ht="15" hidden="false" customHeight="false" outlineLevel="0" collapsed="false">
      <c r="A13" s="0" t="s">
        <v>117</v>
      </c>
      <c r="C13" s="0" t="n">
        <f aca="false">C11+C12</f>
        <v>2539.529475</v>
      </c>
      <c r="D13" s="0" t="n">
        <f aca="false">D11+D12</f>
        <v>2636.50406565</v>
      </c>
      <c r="E13" s="0" t="n">
        <f aca="false">E11+E12</f>
        <v>2724.48695019375</v>
      </c>
      <c r="F13" s="0" t="n">
        <f aca="false">F11+F12</f>
        <v>2778.97668919762</v>
      </c>
      <c r="G13" s="0" t="n">
        <f aca="false">G11+G12</f>
        <v>2834.55622298158</v>
      </c>
      <c r="H13" s="0" t="n">
        <f aca="false">H11+H12</f>
        <v>2891.24734744121</v>
      </c>
      <c r="I13" s="0" t="n">
        <f aca="false">I11+I12</f>
        <v>2949.07229439003</v>
      </c>
      <c r="J13" s="0" t="n">
        <f aca="false">J11+J12</f>
        <v>3008.05374027783</v>
      </c>
      <c r="K13" s="0" t="n">
        <f aca="false">K11+K12</f>
        <v>3068.21481508339</v>
      </c>
      <c r="L13" s="0" t="n">
        <f aca="false">L11+L12</f>
        <v>3129.57911138506</v>
      </c>
    </row>
    <row r="14" customFormat="false" ht="15" hidden="false" customHeight="false" outlineLevel="0" collapsed="false">
      <c r="A14" s="0" t="s">
        <v>103</v>
      </c>
      <c r="C14" s="4" t="n">
        <f aca="false">Assumptions!C19</f>
        <v>22</v>
      </c>
      <c r="D14" s="4" t="n">
        <f aca="false">Assumptions!D19</f>
        <v>22</v>
      </c>
      <c r="E14" s="4" t="n">
        <f aca="false">Assumptions!E19</f>
        <v>22</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118</v>
      </c>
      <c r="C15" s="0" t="n">
        <f aca="false">C13-MAX(0,C13)*C14/100</f>
        <v>1980.8329905</v>
      </c>
      <c r="D15" s="0" t="n">
        <f aca="false">D13-MAX(0,D13)*D14/100</f>
        <v>2056.473171207</v>
      </c>
      <c r="E15" s="0" t="n">
        <f aca="false">E13-MAX(0,E13)*E14/100</f>
        <v>2125.09982115112</v>
      </c>
      <c r="F15" s="0" t="n">
        <f aca="false">F13-MAX(0,F13)*F14/100</f>
        <v>2167.60181757415</v>
      </c>
      <c r="G15" s="0" t="n">
        <f aca="false">G13-MAX(0,G13)*G14/100</f>
        <v>2210.95385392563</v>
      </c>
      <c r="H15" s="0" t="n">
        <f aca="false">H13-MAX(0,H13)*H14/100</f>
        <v>2255.17293100414</v>
      </c>
      <c r="I15" s="0" t="n">
        <f aca="false">I13-MAX(0,I13)*I14/100</f>
        <v>2300.27638962423</v>
      </c>
      <c r="J15" s="0" t="n">
        <f aca="false">J13-MAX(0,J13)*J14/100</f>
        <v>2346.28191741671</v>
      </c>
      <c r="K15" s="0" t="n">
        <f aca="false">K13-MAX(0,K13)*K14/100</f>
        <v>2393.20755576505</v>
      </c>
      <c r="L15" s="0" t="n">
        <f aca="false">L13-MAX(0,L13)*L14/100</f>
        <v>2441.07170688035</v>
      </c>
    </row>
    <row r="16" customFormat="false" ht="15" hidden="false" customHeight="false" outlineLevel="0" collapsed="false">
      <c r="A16" s="0" t="s">
        <v>119</v>
      </c>
      <c r="C16" s="0" t="n">
        <f aca="false">-C12</f>
        <v>921.31767</v>
      </c>
      <c r="D16" s="0" t="n">
        <f aca="false">-D12</f>
        <v>930.5308467</v>
      </c>
      <c r="E16" s="0" t="n">
        <f aca="false">-E12</f>
        <v>944.4888094005</v>
      </c>
      <c r="F16" s="0" t="n">
        <f aca="false">-F12</f>
        <v>963.37858558851</v>
      </c>
      <c r="G16" s="0" t="n">
        <f aca="false">-G12</f>
        <v>982.64615730028</v>
      </c>
      <c r="H16" s="0" t="n">
        <f aca="false">-H12</f>
        <v>1002.29908044629</v>
      </c>
      <c r="I16" s="0" t="n">
        <f aca="false">-I12</f>
        <v>1022.34506205521</v>
      </c>
      <c r="J16" s="0" t="n">
        <f aca="false">-J12</f>
        <v>1042.79196329632</v>
      </c>
      <c r="K16" s="0" t="n">
        <f aca="false">-K12</f>
        <v>1063.64780256224</v>
      </c>
      <c r="L16" s="0" t="n">
        <f aca="false">-L12</f>
        <v>1084.92075861349</v>
      </c>
    </row>
    <row r="17" customFormat="false" ht="15" hidden="false" customHeight="false" outlineLevel="0" collapsed="false">
      <c r="A17" s="0" t="s">
        <v>120</v>
      </c>
      <c r="C17" s="4" t="n">
        <f aca="false">-C6*Assumptions!C18/100</f>
        <v>-992.18826</v>
      </c>
      <c r="D17" s="4" t="n">
        <f aca="false">-D6*Assumptions!D18/100</f>
        <v>-1002.1101426</v>
      </c>
      <c r="E17" s="4" t="n">
        <f aca="false">-E6*Assumptions!E18/100</f>
        <v>-1017.141794739</v>
      </c>
      <c r="F17" s="4" t="n">
        <f aca="false">-F6*Assumptions!F18/100</f>
        <v>-1037.48463063378</v>
      </c>
      <c r="G17" s="4" t="n">
        <f aca="false">-G6*Assumptions!G18/100</f>
        <v>-1058.23432324646</v>
      </c>
      <c r="H17" s="4" t="n">
        <f aca="false">-H6*Assumptions!H18/100</f>
        <v>-1079.39900971138</v>
      </c>
      <c r="I17" s="4" t="n">
        <f aca="false">-I6*Assumptions!I18/100</f>
        <v>-1100.98698990561</v>
      </c>
      <c r="J17" s="4" t="n">
        <f aca="false">-J6*Assumptions!J18/100</f>
        <v>-1123.00672970372</v>
      </c>
      <c r="K17" s="4" t="n">
        <f aca="false">-K6*Assumptions!K18/100</f>
        <v>-1145.4668642978</v>
      </c>
      <c r="L17" s="4" t="n">
        <f aca="false">-L6*Assumptions!L18/100</f>
        <v>-1168.37620158376</v>
      </c>
    </row>
    <row r="18" customFormat="false" ht="15" hidden="false" customHeight="false" outlineLevel="0" collapsed="false">
      <c r="A18" s="0" t="s">
        <v>121</v>
      </c>
      <c r="C18" s="4" t="n">
        <f aca="false">(C6-B6)*Assumptions!$B$23/100</f>
        <v>-14.1035999999999</v>
      </c>
      <c r="D18" s="4" t="n">
        <f aca="false">(D6-C6)*Assumptions!$B$23/100</f>
        <v>-28.348236</v>
      </c>
      <c r="E18" s="4" t="n">
        <f aca="false">(E6-D6)*Assumptions!$B$23/100</f>
        <v>-42.9475775399999</v>
      </c>
      <c r="F18" s="4" t="n">
        <f aca="false">(F6-E6)*Assumptions!$B$23/100</f>
        <v>-58.1223882707999</v>
      </c>
      <c r="G18" s="4" t="n">
        <f aca="false">(G6-F6)*Assumptions!$B$23/100</f>
        <v>-59.284836036216</v>
      </c>
      <c r="H18" s="4" t="n">
        <f aca="false">(H6-G6)*Assumptions!$B$23/100</f>
        <v>-60.4705327569404</v>
      </c>
      <c r="I18" s="4" t="n">
        <f aca="false">(I6-H6)*Assumptions!$B$23/100</f>
        <v>-61.6799434120792</v>
      </c>
      <c r="J18" s="4" t="n">
        <f aca="false">(J6-I6)*Assumptions!$B$23/100</f>
        <v>-62.9135422803208</v>
      </c>
      <c r="K18" s="4" t="n">
        <f aca="false">(K6-J6)*Assumptions!$B$23/100</f>
        <v>-64.1718131259271</v>
      </c>
      <c r="L18" s="4" t="n">
        <f aca="false">(L6-K6)*Assumptions!$B$23/100</f>
        <v>-65.4552493884457</v>
      </c>
    </row>
    <row r="19" customFormat="false" ht="15" hidden="false" customHeight="false" outlineLevel="0" collapsed="false">
      <c r="A19" s="0" t="s">
        <v>122</v>
      </c>
      <c r="C19" s="0" t="n">
        <f aca="false">C15+C16+C17+C18</f>
        <v>1895.8588005</v>
      </c>
      <c r="D19" s="0" t="n">
        <f aca="false">D15+D16+D17+D18</f>
        <v>1956.545639307</v>
      </c>
      <c r="E19" s="0" t="n">
        <f aca="false">E15+E16+E17+E18</f>
        <v>2009.49925827262</v>
      </c>
      <c r="F19" s="0" t="n">
        <f aca="false">F15+F16+F17+F18</f>
        <v>2035.37338425808</v>
      </c>
      <c r="G19" s="0" t="n">
        <f aca="false">G15+G16+G17+G18</f>
        <v>2076.08085194324</v>
      </c>
      <c r="H19" s="0" t="n">
        <f aca="false">H15+H16+H17+H18</f>
        <v>2117.6024689821</v>
      </c>
      <c r="I19" s="0" t="n">
        <f aca="false">I15+I16+I17+I18</f>
        <v>2159.95451836175</v>
      </c>
      <c r="J19" s="0" t="n">
        <f aca="false">J15+J16+J17+J18</f>
        <v>2203.15360872898</v>
      </c>
      <c r="K19" s="0" t="n">
        <f aca="false">K15+K16+K17+K18</f>
        <v>2247.21668090356</v>
      </c>
      <c r="L19" s="0" t="n">
        <f aca="false">L15+L16+L17+L18</f>
        <v>2292.16101452163</v>
      </c>
    </row>
    <row r="20" customFormat="false" ht="15" hidden="false" customHeight="false" outlineLevel="0" collapsed="false">
      <c r="A20" s="0" t="s">
        <v>123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124</v>
      </c>
      <c r="C21" s="0" t="n">
        <f aca="false">C19*C20</f>
        <v>1763.58958186047</v>
      </c>
      <c r="D21" s="0" t="n">
        <f aca="false">D19*D20</f>
        <v>1693.0627489947</v>
      </c>
      <c r="E21" s="0" t="n">
        <f aca="false">E19*E20</f>
        <v>1617.56766736826</v>
      </c>
      <c r="F21" s="0" t="n">
        <f aca="false">F19*F20</f>
        <v>1524.08866842518</v>
      </c>
      <c r="G21" s="0" t="n">
        <f aca="false">G19*G20</f>
        <v>1446.11203887785</v>
      </c>
      <c r="H21" s="0" t="n">
        <f aca="false">H19*H20</f>
        <v>1372.12491130735</v>
      </c>
      <c r="I21" s="0" t="n">
        <f aca="false">I19*I20</f>
        <v>1301.92317165907</v>
      </c>
      <c r="J21" s="0" t="n">
        <f aca="false">J19*J20</f>
        <v>1235.31314892302</v>
      </c>
      <c r="K21" s="0" t="n">
        <f aca="false">K19*K20</f>
        <v>1172.11108083859</v>
      </c>
      <c r="L21" s="0" t="n">
        <f aca="false">L19*L20</f>
        <v>1112.14260693522</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7.5</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14238.0356251897</v>
      </c>
    </row>
    <row r="31" customFormat="false" ht="15" hidden="false" customHeight="false" outlineLevel="0" collapsed="false">
      <c r="A31" s="0" t="s">
        <v>128</v>
      </c>
      <c r="B31" s="0" t="n">
        <f aca="false">L19</f>
        <v>2292.16101452163</v>
      </c>
    </row>
    <row r="32" customFormat="false" ht="15" hidden="false" customHeight="false" outlineLevel="0" collapsed="false">
      <c r="A32" s="0" t="s">
        <v>129</v>
      </c>
      <c r="B32" s="0" t="n">
        <f aca="false">IF(B27&gt;B28,B31*(1+B28/100)/((B27-B28)/100),B31*B29)</f>
        <v>42509.1679056739</v>
      </c>
    </row>
    <row r="33" customFormat="false" ht="15" hidden="false" customHeight="false" outlineLevel="0" collapsed="false">
      <c r="A33" s="0" t="s">
        <v>130</v>
      </c>
      <c r="B33" s="0" t="n">
        <f aca="false">B31*B29</f>
        <v>27505.9321742596</v>
      </c>
    </row>
    <row r="34" customFormat="false" ht="15" hidden="false" customHeight="false" outlineLevel="0" collapsed="false">
      <c r="A34" s="0" t="s">
        <v>131</v>
      </c>
      <c r="B34" s="0" t="n">
        <f aca="false">MAX(0,MIN(B32,B33))</f>
        <v>27505.9321742596</v>
      </c>
    </row>
    <row r="35" customFormat="false" ht="15" hidden="false" customHeight="false" outlineLevel="0" collapsed="false">
      <c r="A35" s="0" t="s">
        <v>132</v>
      </c>
      <c r="B35" s="0" t="n">
        <f aca="false">B34/(1+B27/100)^L4</f>
        <v>13345.7112832226</v>
      </c>
    </row>
    <row r="36" customFormat="false" ht="15" hidden="false" customHeight="false" outlineLevel="0" collapsed="false">
      <c r="A36" s="0" t="s">
        <v>133</v>
      </c>
      <c r="B36" s="0" t="n">
        <f aca="false">B30+B35</f>
        <v>27583.7469084124</v>
      </c>
    </row>
    <row r="37" customFormat="false" ht="15" hidden="false" customHeight="false" outlineLevel="0" collapsed="false">
      <c r="A37" s="0" t="s">
        <v>134</v>
      </c>
      <c r="B37" s="0" t="n">
        <f aca="false">B36+Assumptions!$B$5-Assumptions!$B$4</f>
        <v>14675.7469084124</v>
      </c>
    </row>
    <row r="38" customFormat="false" ht="15" hidden="false" customHeight="false" outlineLevel="0" collapsed="false">
      <c r="A38" s="0" t="s">
        <v>135</v>
      </c>
      <c r="B38" s="0" t="n">
        <f aca="false">B37/Assumptions!$B$3*Assumptions!$B$10</f>
        <v>31.642403855999</v>
      </c>
    </row>
    <row r="39" customFormat="false" ht="15" hidden="false" customHeight="false" outlineLevel="0" collapsed="false">
      <c r="A39" s="0" t="s">
        <v>136</v>
      </c>
      <c r="B39" s="4" t="n">
        <f aca="false">B38/Assumptions!$B$2-1</f>
        <v>-0.248398958289809</v>
      </c>
    </row>
    <row r="41" customFormat="false" ht="15" hidden="false" customHeight="false" outlineLevel="0" collapsed="false">
      <c r="A41" s="0" t="s">
        <v>137</v>
      </c>
      <c r="B41" s="0" t="n">
        <f aca="false">SUMPRODUCT(-C10:L10/(1+$B$27/100)^C4:L4)</f>
        <v>606.660589500476</v>
      </c>
    </row>
    <row r="42" customFormat="false" ht="15" hidden="false" customHeight="false" outlineLevel="0" collapsed="false">
      <c r="A42" s="0" t="s">
        <v>138</v>
      </c>
      <c r="B42" s="0" t="n">
        <f aca="false">IF(B27&gt;B28,-L10*(1+B28/100)/((B27-B28)/100),-L10*20)/(1+B27/100)^L4</f>
        <v>876.101242060565</v>
      </c>
    </row>
    <row r="43" customFormat="false" ht="15" hidden="false" customHeight="false" outlineLevel="0" collapsed="false">
      <c r="A43" s="0" t="s">
        <v>139</v>
      </c>
      <c r="B43" s="0" t="n">
        <f aca="false">(B37+B41+B42)/Assumptions!$B$3*Assumptions!$B$10</f>
        <v>34.8393892625558</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17984.6479600928</v>
      </c>
    </row>
    <row r="47" customFormat="false" ht="15" hidden="false" customHeight="false" outlineLevel="0" collapsed="false">
      <c r="A47" s="0" t="s">
        <v>141</v>
      </c>
      <c r="B47" s="0" t="n">
        <f aca="false">(SUMPRODUCT(C19:L19/(1+B45/100)^C4:L4)+B46/(1+B45/100)^L4+Assumptions!$B$5-Assumptions!$B$4)/Assumptions!$B$3*Assumptions!$B$10</f>
        <v>3.9582304911013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2</v>
      </c>
      <c r="D5" s="4" t="n">
        <f aca="false">Assumptions!D27</f>
        <v>2.5</v>
      </c>
      <c r="E5" s="4" t="n">
        <f aca="false">Assumptions!E27</f>
        <v>3</v>
      </c>
      <c r="F5" s="4" t="n">
        <f aca="false">Assumptions!F27</f>
        <v>3</v>
      </c>
      <c r="G5" s="4" t="n">
        <f aca="false">Assumptions!G27</f>
        <v>3</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23506</v>
      </c>
      <c r="C6" s="0" t="n">
        <f aca="false">B6*(1+C5/100)</f>
        <v>23976.12</v>
      </c>
      <c r="D6" s="0" t="n">
        <f aca="false">C6*(1+D5/100)</f>
        <v>24575.523</v>
      </c>
      <c r="E6" s="0" t="n">
        <f aca="false">D6*(1+E5/100)</f>
        <v>25312.78869</v>
      </c>
      <c r="F6" s="0" t="n">
        <f aca="false">E6*(1+F5/100)</f>
        <v>26072.1723507</v>
      </c>
      <c r="G6" s="0" t="n">
        <f aca="false">F6*(1+G5/100)</f>
        <v>26854.337521221</v>
      </c>
      <c r="H6" s="0" t="n">
        <f aca="false">G6*(1+H5/100)</f>
        <v>27659.9676468576</v>
      </c>
      <c r="I6" s="0" t="n">
        <f aca="false">H6*(1+I5/100)</f>
        <v>28351.4668380291</v>
      </c>
      <c r="J6" s="0" t="n">
        <f aca="false">I6*(1+J5/100)</f>
        <v>29060.2535089798</v>
      </c>
      <c r="K6" s="0" t="n">
        <f aca="false">J6*(1+K5/100)</f>
        <v>29786.7598467043</v>
      </c>
      <c r="L6" s="0" t="n">
        <f aca="false">K6*(1+L5/100)</f>
        <v>30531.4288428719</v>
      </c>
    </row>
    <row r="7" customFormat="false" ht="15" hidden="false" customHeight="false" outlineLevel="0" collapsed="false">
      <c r="A7" s="0" t="s">
        <v>98</v>
      </c>
      <c r="C7" s="4" t="n">
        <f aca="false">Assumptions!C28</f>
        <v>15.8</v>
      </c>
      <c r="D7" s="4" t="n">
        <f aca="false">Assumptions!D28</f>
        <v>16.6</v>
      </c>
      <c r="E7" s="4" t="n">
        <f aca="false">Assumptions!E28</f>
        <v>16.9</v>
      </c>
      <c r="F7" s="4" t="n">
        <f aca="false">Assumptions!F28</f>
        <v>17</v>
      </c>
      <c r="G7" s="4" t="n">
        <f aca="false">Assumptions!G28</f>
        <v>17</v>
      </c>
      <c r="H7" s="4" t="n">
        <f aca="false">Assumptions!H28</f>
        <v>17</v>
      </c>
      <c r="I7" s="4" t="n">
        <f aca="false">Assumptions!I28</f>
        <v>17</v>
      </c>
      <c r="J7" s="4" t="n">
        <f aca="false">Assumptions!J28</f>
        <v>17</v>
      </c>
      <c r="K7" s="4" t="n">
        <f aca="false">Assumptions!K28</f>
        <v>17</v>
      </c>
      <c r="L7" s="4" t="n">
        <f aca="false">Assumptions!L28</f>
        <v>17</v>
      </c>
    </row>
    <row r="8" customFormat="false" ht="15" hidden="false" customHeight="false" outlineLevel="0" collapsed="false">
      <c r="A8" s="0" t="s">
        <v>43</v>
      </c>
      <c r="C8" s="0" t="n">
        <f aca="false">C6*C7/100</f>
        <v>3788.22696</v>
      </c>
      <c r="D8" s="0" t="n">
        <f aca="false">D6*D7/100</f>
        <v>4079.536818</v>
      </c>
      <c r="E8" s="0" t="n">
        <f aca="false">E6*E7/100</f>
        <v>4277.86128861</v>
      </c>
      <c r="F8" s="0" t="n">
        <f aca="false">F6*F7/100</f>
        <v>4432.269299619</v>
      </c>
      <c r="G8" s="0" t="n">
        <f aca="false">G6*G7/100</f>
        <v>4565.23737860757</v>
      </c>
      <c r="H8" s="0" t="n">
        <f aca="false">H6*H7/100</f>
        <v>4702.1944999658</v>
      </c>
      <c r="I8" s="0" t="n">
        <f aca="false">I6*I7/100</f>
        <v>4819.74936246494</v>
      </c>
      <c r="J8" s="0" t="n">
        <f aca="false">J6*J7/100</f>
        <v>4940.24309652657</v>
      </c>
      <c r="K8" s="0" t="n">
        <f aca="false">K6*K7/100</f>
        <v>5063.74917393973</v>
      </c>
      <c r="L8" s="0" t="n">
        <f aca="false">L6*L7/100</f>
        <v>5190.34290328822</v>
      </c>
    </row>
    <row r="9" customFormat="false" ht="15" hidden="false" customHeight="false" outlineLevel="0" collapsed="false">
      <c r="A9" s="0" t="s">
        <v>99</v>
      </c>
      <c r="C9" s="4" t="n">
        <f aca="false">Assumptions!C29</f>
        <v>0.35</v>
      </c>
      <c r="D9" s="4" t="n">
        <f aca="false">Assumptions!D29</f>
        <v>0.35</v>
      </c>
      <c r="E9" s="4" t="n">
        <f aca="false">Assumptions!E29</f>
        <v>0.35</v>
      </c>
      <c r="F9" s="4" t="n">
        <f aca="false">Assumptions!F29</f>
        <v>0.35</v>
      </c>
      <c r="G9" s="4" t="n">
        <f aca="false">Assumptions!G29</f>
        <v>0.35</v>
      </c>
      <c r="H9" s="4" t="n">
        <f aca="false">Assumptions!H29</f>
        <v>0.35</v>
      </c>
      <c r="I9" s="4" t="n">
        <f aca="false">Assumptions!I29</f>
        <v>0.35</v>
      </c>
      <c r="J9" s="4" t="n">
        <f aca="false">Assumptions!J29</f>
        <v>0.35</v>
      </c>
      <c r="K9" s="4" t="n">
        <f aca="false">Assumptions!K29</f>
        <v>0.35</v>
      </c>
      <c r="L9" s="4" t="n">
        <f aca="false">Assumptions!L29</f>
        <v>0.35</v>
      </c>
    </row>
    <row r="10" customFormat="false" ht="15" hidden="false" customHeight="false" outlineLevel="0" collapsed="false">
      <c r="A10" s="0" t="s">
        <v>114</v>
      </c>
      <c r="C10" s="0" t="n">
        <f aca="false">-C6*C9/100</f>
        <v>-83.91642</v>
      </c>
      <c r="D10" s="0" t="n">
        <f aca="false">-D6*D9/100</f>
        <v>-86.0143305</v>
      </c>
      <c r="E10" s="0" t="n">
        <f aca="false">-E6*E9/100</f>
        <v>-88.594760415</v>
      </c>
      <c r="F10" s="0" t="n">
        <f aca="false">-F6*F9/100</f>
        <v>-91.25260322745</v>
      </c>
      <c r="G10" s="0" t="n">
        <f aca="false">-G6*G9/100</f>
        <v>-93.9901813242735</v>
      </c>
      <c r="H10" s="0" t="n">
        <f aca="false">-H6*H9/100</f>
        <v>-96.8098867640017</v>
      </c>
      <c r="I10" s="0" t="n">
        <f aca="false">-I6*I9/100</f>
        <v>-99.2301339331018</v>
      </c>
      <c r="J10" s="0" t="n">
        <f aca="false">-J6*J9/100</f>
        <v>-101.710887281429</v>
      </c>
      <c r="K10" s="0" t="n">
        <f aca="false">-K6*K9/100</f>
        <v>-104.253659463465</v>
      </c>
      <c r="L10" s="0" t="n">
        <f aca="false">-L6*L9/100</f>
        <v>-106.860000950052</v>
      </c>
    </row>
    <row r="11" customFormat="false" ht="15" hidden="false" customHeight="false" outlineLevel="0" collapsed="false">
      <c r="A11" s="0" t="s">
        <v>115</v>
      </c>
      <c r="C11" s="0" t="n">
        <f aca="false">C8+C10+C24</f>
        <v>3704.31054</v>
      </c>
      <c r="D11" s="0" t="n">
        <f aca="false">D8+D10+D24</f>
        <v>3993.5224875</v>
      </c>
      <c r="E11" s="0" t="n">
        <f aca="false">E8+E10+E24</f>
        <v>4189.266528195</v>
      </c>
      <c r="F11" s="0" t="n">
        <f aca="false">F8+F10+F24</f>
        <v>4341.01669639155</v>
      </c>
      <c r="G11" s="0" t="n">
        <f aca="false">G8+G10+G24</f>
        <v>4471.2471972833</v>
      </c>
      <c r="H11" s="0" t="n">
        <f aca="false">H8+H10+H24</f>
        <v>4605.3846132018</v>
      </c>
      <c r="I11" s="0" t="n">
        <f aca="false">I8+I10+I24</f>
        <v>4720.51922853184</v>
      </c>
      <c r="J11" s="0" t="n">
        <f aca="false">J8+J10+J24</f>
        <v>4838.53220924514</v>
      </c>
      <c r="K11" s="0" t="n">
        <f aca="false">K8+K10+K24</f>
        <v>4959.49551447626</v>
      </c>
      <c r="L11" s="0" t="n">
        <f aca="false">L8+L10+L24</f>
        <v>5083.48290233817</v>
      </c>
    </row>
    <row r="12" customFormat="false" ht="15" hidden="false" customHeight="false" outlineLevel="0" collapsed="false">
      <c r="A12" s="0" t="s">
        <v>116</v>
      </c>
      <c r="C12" s="4" t="n">
        <f aca="false">-C6*Assumptions!C31/100</f>
        <v>-935.06868</v>
      </c>
      <c r="D12" s="4" t="n">
        <f aca="false">-D6*Assumptions!D31/100</f>
        <v>-958.445397</v>
      </c>
      <c r="E12" s="4" t="n">
        <f aca="false">-E6*Assumptions!E31/100</f>
        <v>-987.19875891</v>
      </c>
      <c r="F12" s="4" t="n">
        <f aca="false">-F6*Assumptions!F31/100</f>
        <v>-1016.8147216773</v>
      </c>
      <c r="G12" s="4" t="n">
        <f aca="false">-G6*Assumptions!G31/100</f>
        <v>-1047.31916332762</v>
      </c>
      <c r="H12" s="4" t="n">
        <f aca="false">-H6*Assumptions!H31/100</f>
        <v>-1078.73873822745</v>
      </c>
      <c r="I12" s="4" t="n">
        <f aca="false">-I6*Assumptions!I31/100</f>
        <v>-1105.70720668313</v>
      </c>
      <c r="J12" s="4" t="n">
        <f aca="false">-J6*Assumptions!J31/100</f>
        <v>-1133.34988685021</v>
      </c>
      <c r="K12" s="4" t="n">
        <f aca="false">-K6*Assumptions!K31/100</f>
        <v>-1161.68363402147</v>
      </c>
      <c r="L12" s="4" t="n">
        <f aca="false">-L6*Assumptions!L31/100</f>
        <v>-1190.725724872</v>
      </c>
    </row>
    <row r="13" customFormat="false" ht="15" hidden="false" customHeight="false" outlineLevel="0" collapsed="false">
      <c r="A13" s="0" t="s">
        <v>117</v>
      </c>
      <c r="C13" s="0" t="n">
        <f aca="false">C11+C12</f>
        <v>2769.24186</v>
      </c>
      <c r="D13" s="0" t="n">
        <f aca="false">D11+D12</f>
        <v>3035.0770905</v>
      </c>
      <c r="E13" s="0" t="n">
        <f aca="false">E11+E12</f>
        <v>3202.067769285</v>
      </c>
      <c r="F13" s="0" t="n">
        <f aca="false">F11+F12</f>
        <v>3324.20197471425</v>
      </c>
      <c r="G13" s="0" t="n">
        <f aca="false">G11+G12</f>
        <v>3423.92803395568</v>
      </c>
      <c r="H13" s="0" t="n">
        <f aca="false">H11+H12</f>
        <v>3526.64587497435</v>
      </c>
      <c r="I13" s="0" t="n">
        <f aca="false">I11+I12</f>
        <v>3614.81202184871</v>
      </c>
      <c r="J13" s="0" t="n">
        <f aca="false">J11+J12</f>
        <v>3705.18232239492</v>
      </c>
      <c r="K13" s="0" t="n">
        <f aca="false">K11+K12</f>
        <v>3797.8118804548</v>
      </c>
      <c r="L13" s="0" t="n">
        <f aca="false">L11+L12</f>
        <v>3892.75717746617</v>
      </c>
    </row>
    <row r="14" customFormat="false" ht="15" hidden="false" customHeight="false" outlineLevel="0" collapsed="false">
      <c r="A14" s="0" t="s">
        <v>103</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118</v>
      </c>
      <c r="C15" s="0" t="n">
        <f aca="false">C13-MAX(0,C13)*C14/100</f>
        <v>2187.7010694</v>
      </c>
      <c r="D15" s="0" t="n">
        <f aca="false">D13-MAX(0,D13)*D14/100</f>
        <v>2397.710901495</v>
      </c>
      <c r="E15" s="0" t="n">
        <f aca="false">E13-MAX(0,E13)*E14/100</f>
        <v>2529.63353773515</v>
      </c>
      <c r="F15" s="0" t="n">
        <f aca="false">F13-MAX(0,F13)*F14/100</f>
        <v>2626.11956002426</v>
      </c>
      <c r="G15" s="0" t="n">
        <f aca="false">G13-MAX(0,G13)*G14/100</f>
        <v>2704.90314682499</v>
      </c>
      <c r="H15" s="0" t="n">
        <f aca="false">H13-MAX(0,H13)*H14/100</f>
        <v>2786.05024122973</v>
      </c>
      <c r="I15" s="0" t="n">
        <f aca="false">I13-MAX(0,I13)*I14/100</f>
        <v>2855.70149726048</v>
      </c>
      <c r="J15" s="0" t="n">
        <f aca="false">J13-MAX(0,J13)*J14/100</f>
        <v>2927.09403469199</v>
      </c>
      <c r="K15" s="0" t="n">
        <f aca="false">K13-MAX(0,K13)*K14/100</f>
        <v>3000.27138555929</v>
      </c>
      <c r="L15" s="0" t="n">
        <f aca="false">L13-MAX(0,L13)*L14/100</f>
        <v>3075.27817019827</v>
      </c>
    </row>
    <row r="16" customFormat="false" ht="15" hidden="false" customHeight="false" outlineLevel="0" collapsed="false">
      <c r="A16" s="0" t="s">
        <v>119</v>
      </c>
      <c r="C16" s="0" t="n">
        <f aca="false">-C12</f>
        <v>935.06868</v>
      </c>
      <c r="D16" s="0" t="n">
        <f aca="false">-D12</f>
        <v>958.445397</v>
      </c>
      <c r="E16" s="0" t="n">
        <f aca="false">-E12</f>
        <v>987.19875891</v>
      </c>
      <c r="F16" s="0" t="n">
        <f aca="false">-F12</f>
        <v>1016.8147216773</v>
      </c>
      <c r="G16" s="0" t="n">
        <f aca="false">-G12</f>
        <v>1047.31916332762</v>
      </c>
      <c r="H16" s="0" t="n">
        <f aca="false">-H12</f>
        <v>1078.73873822745</v>
      </c>
      <c r="I16" s="0" t="n">
        <f aca="false">-I12</f>
        <v>1105.70720668313</v>
      </c>
      <c r="J16" s="0" t="n">
        <f aca="false">-J12</f>
        <v>1133.34988685021</v>
      </c>
      <c r="K16" s="0" t="n">
        <f aca="false">-K12</f>
        <v>1161.68363402147</v>
      </c>
      <c r="L16" s="0" t="n">
        <f aca="false">-L12</f>
        <v>1190.725724872</v>
      </c>
    </row>
    <row r="17" customFormat="false" ht="15" hidden="false" customHeight="false" outlineLevel="0" collapsed="false">
      <c r="A17" s="0" t="s">
        <v>120</v>
      </c>
      <c r="C17" s="4" t="n">
        <f aca="false">-C6*Assumptions!C32/100</f>
        <v>-959.0448</v>
      </c>
      <c r="D17" s="4" t="n">
        <f aca="false">-D6*Assumptions!D32/100</f>
        <v>-983.02092</v>
      </c>
      <c r="E17" s="4" t="n">
        <f aca="false">-E6*Assumptions!E32/100</f>
        <v>-1012.5115476</v>
      </c>
      <c r="F17" s="4" t="n">
        <f aca="false">-F6*Assumptions!F32/100</f>
        <v>-1042.886894028</v>
      </c>
      <c r="G17" s="4" t="n">
        <f aca="false">-G6*Assumptions!G32/100</f>
        <v>-1074.17350084884</v>
      </c>
      <c r="H17" s="4" t="n">
        <f aca="false">-H6*Assumptions!H32/100</f>
        <v>-1106.39870587431</v>
      </c>
      <c r="I17" s="4" t="n">
        <f aca="false">-I6*Assumptions!I32/100</f>
        <v>-1134.05867352116</v>
      </c>
      <c r="J17" s="4" t="n">
        <f aca="false">-J6*Assumptions!J32/100</f>
        <v>-1162.41014035919</v>
      </c>
      <c r="K17" s="4" t="n">
        <f aca="false">-K6*Assumptions!K32/100</f>
        <v>-1191.47039386817</v>
      </c>
      <c r="L17" s="4" t="n">
        <f aca="false">-L6*Assumptions!L32/100</f>
        <v>-1221.25715371488</v>
      </c>
    </row>
    <row r="18" customFormat="false" ht="15" hidden="false" customHeight="false" outlineLevel="0" collapsed="false">
      <c r="A18" s="0" t="s">
        <v>121</v>
      </c>
      <c r="C18" s="4" t="n">
        <f aca="false">(C6-B6)*Assumptions!$B$37/100</f>
        <v>-47.0119999999999</v>
      </c>
      <c r="D18" s="4" t="n">
        <f aca="false">(D6-C6)*Assumptions!$B$37/100</f>
        <v>-59.9402999999998</v>
      </c>
      <c r="E18" s="4" t="n">
        <f aca="false">(E6-D6)*Assumptions!$B$37/100</f>
        <v>-73.726569</v>
      </c>
      <c r="F18" s="4" t="n">
        <f aca="false">(F6-E6)*Assumptions!$B$37/100</f>
        <v>-75.9383660700001</v>
      </c>
      <c r="G18" s="4" t="n">
        <f aca="false">(G6-F6)*Assumptions!$B$37/100</f>
        <v>-78.2165170521002</v>
      </c>
      <c r="H18" s="4" t="n">
        <f aca="false">(H6-G6)*Assumptions!$B$37/100</f>
        <v>-80.5630125636631</v>
      </c>
      <c r="I18" s="4" t="n">
        <f aca="false">(I6-H6)*Assumptions!$B$37/100</f>
        <v>-69.1499191171439</v>
      </c>
      <c r="J18" s="4" t="n">
        <f aca="false">(J6-I6)*Assumptions!$B$37/100</f>
        <v>-70.8786670950725</v>
      </c>
      <c r="K18" s="4" t="n">
        <f aca="false">(K6-J6)*Assumptions!$B$37/100</f>
        <v>-72.6506337724491</v>
      </c>
      <c r="L18" s="4" t="n">
        <f aca="false">(L6-K6)*Assumptions!$B$37/100</f>
        <v>-74.4668996167606</v>
      </c>
    </row>
    <row r="19" customFormat="false" ht="15" hidden="false" customHeight="false" outlineLevel="0" collapsed="false">
      <c r="A19" s="0" t="s">
        <v>122</v>
      </c>
      <c r="C19" s="0" t="n">
        <f aca="false">C15+C16+C17+C18</f>
        <v>2116.7129494</v>
      </c>
      <c r="D19" s="0" t="n">
        <f aca="false">D15+D16+D17+D18</f>
        <v>2313.195078495</v>
      </c>
      <c r="E19" s="0" t="n">
        <f aca="false">E15+E16+E17+E18</f>
        <v>2430.59418004515</v>
      </c>
      <c r="F19" s="0" t="n">
        <f aca="false">F15+F16+F17+F18</f>
        <v>2524.10902160356</v>
      </c>
      <c r="G19" s="0" t="n">
        <f aca="false">G15+G16+G17+G18</f>
        <v>2599.83229225166</v>
      </c>
      <c r="H19" s="0" t="n">
        <f aca="false">H15+H16+H17+H18</f>
        <v>2677.82726101921</v>
      </c>
      <c r="I19" s="0" t="n">
        <f aca="false">I15+I16+I17+I18</f>
        <v>2758.20011130531</v>
      </c>
      <c r="J19" s="0" t="n">
        <f aca="false">J15+J16+J17+J18</f>
        <v>2827.15511408794</v>
      </c>
      <c r="K19" s="0" t="n">
        <f aca="false">K15+K16+K17+K18</f>
        <v>2897.83399194014</v>
      </c>
      <c r="L19" s="0" t="n">
        <f aca="false">L15+L16+L17+L18</f>
        <v>2970.27984173864</v>
      </c>
    </row>
    <row r="20" customFormat="false" ht="15" hidden="false" customHeight="false" outlineLevel="0" collapsed="false">
      <c r="A20" s="0" t="s">
        <v>123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124</v>
      </c>
      <c r="C21" s="0" t="n">
        <f aca="false">C19*C20</f>
        <v>1969.03530176744</v>
      </c>
      <c r="D21" s="0" t="n">
        <f aca="false">D19*D20</f>
        <v>2001.68313985506</v>
      </c>
      <c r="E21" s="0" t="n">
        <f aca="false">E19*E20</f>
        <v>1956.53247541587</v>
      </c>
      <c r="F21" s="0" t="n">
        <f aca="false">F19*F20</f>
        <v>1890.05417259007</v>
      </c>
      <c r="G21" s="0" t="n">
        <f aca="false">G19*G20</f>
        <v>1810.93562583049</v>
      </c>
      <c r="H21" s="0" t="n">
        <f aca="false">H19*H20</f>
        <v>1735.12901823758</v>
      </c>
      <c r="I21" s="0" t="n">
        <f aca="false">I19*I20</f>
        <v>1662.51863474636</v>
      </c>
      <c r="J21" s="0" t="n">
        <f aca="false">J19*J20</f>
        <v>1585.19218661862</v>
      </c>
      <c r="K21" s="0" t="n">
        <f aca="false">K19*K20</f>
        <v>1511.46231747357</v>
      </c>
      <c r="L21" s="0" t="n">
        <f aca="false">L19*L20</f>
        <v>1441.16174456782</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7.5</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14</v>
      </c>
    </row>
    <row r="30" customFormat="false" ht="15" hidden="false" customHeight="false" outlineLevel="0" collapsed="false">
      <c r="A30" s="0" t="s">
        <v>127</v>
      </c>
      <c r="B30" s="0" t="n">
        <f aca="false">SUM(C21:L21)</f>
        <v>17563.7046171029</v>
      </c>
    </row>
    <row r="31" customFormat="false" ht="15" hidden="false" customHeight="false" outlineLevel="0" collapsed="false">
      <c r="A31" s="0" t="s">
        <v>128</v>
      </c>
      <c r="B31" s="0" t="n">
        <f aca="false">L19</f>
        <v>2970.27984173864</v>
      </c>
    </row>
    <row r="32" customFormat="false" ht="15" hidden="false" customHeight="false" outlineLevel="0" collapsed="false">
      <c r="A32" s="0" t="s">
        <v>129</v>
      </c>
      <c r="B32" s="0" t="n">
        <f aca="false">IF(B27&gt;B28,B31*(1+B28/100)/((B27-B28)/100),B31*B29)</f>
        <v>60890.7367556421</v>
      </c>
    </row>
    <row r="33" customFormat="false" ht="15" hidden="false" customHeight="false" outlineLevel="0" collapsed="false">
      <c r="A33" s="0" t="s">
        <v>130</v>
      </c>
      <c r="B33" s="0" t="n">
        <f aca="false">B31*B29</f>
        <v>41583.9177843409</v>
      </c>
    </row>
    <row r="34" customFormat="false" ht="15" hidden="false" customHeight="false" outlineLevel="0" collapsed="false">
      <c r="A34" s="0" t="s">
        <v>131</v>
      </c>
      <c r="B34" s="0" t="n">
        <f aca="false">MAX(0,MIN(B32,B33))</f>
        <v>41583.9177843409</v>
      </c>
    </row>
    <row r="35" customFormat="false" ht="15" hidden="false" customHeight="false" outlineLevel="0" collapsed="false">
      <c r="A35" s="0" t="s">
        <v>132</v>
      </c>
      <c r="B35" s="0" t="n">
        <f aca="false">B34/(1+B27/100)^L4</f>
        <v>20176.2644239495</v>
      </c>
    </row>
    <row r="36" customFormat="false" ht="15" hidden="false" customHeight="false" outlineLevel="0" collapsed="false">
      <c r="A36" s="0" t="s">
        <v>133</v>
      </c>
      <c r="B36" s="0" t="n">
        <f aca="false">B30+B35</f>
        <v>37739.9690410524</v>
      </c>
    </row>
    <row r="37" customFormat="false" ht="15" hidden="false" customHeight="false" outlineLevel="0" collapsed="false">
      <c r="A37" s="0" t="s">
        <v>134</v>
      </c>
      <c r="B37" s="0" t="n">
        <f aca="false">B36+Assumptions!$B$5-Assumptions!$B$4</f>
        <v>24831.9690410524</v>
      </c>
    </row>
    <row r="38" customFormat="false" ht="15" hidden="false" customHeight="false" outlineLevel="0" collapsed="false">
      <c r="A38" s="0" t="s">
        <v>135</v>
      </c>
      <c r="B38" s="0" t="n">
        <f aca="false">B37/Assumptions!$B$3*Assumptions!$B$10</f>
        <v>53.54025235242</v>
      </c>
    </row>
    <row r="39" customFormat="false" ht="15" hidden="false" customHeight="false" outlineLevel="0" collapsed="false">
      <c r="A39" s="0" t="s">
        <v>136</v>
      </c>
      <c r="B39" s="4" t="n">
        <f aca="false">B38/Assumptions!$B$2-1</f>
        <v>0.271739960865083</v>
      </c>
    </row>
    <row r="41" customFormat="false" ht="15" hidden="false" customHeight="false" outlineLevel="0" collapsed="false">
      <c r="A41" s="0" t="s">
        <v>137</v>
      </c>
      <c r="B41" s="0" t="n">
        <f aca="false">SUMPRODUCT(-C10:L10/(1+$B$27/100)^C4:L4)</f>
        <v>643.402611785013</v>
      </c>
    </row>
    <row r="42" customFormat="false" ht="15" hidden="false" customHeight="false" outlineLevel="0" collapsed="false">
      <c r="A42" s="0" t="s">
        <v>138</v>
      </c>
      <c r="B42" s="0" t="n">
        <f aca="false">IF(B27&gt;B28,-L10*(1+B28/100)/((B27-B28)/100),-L10*20)/(1+B27/100)^L4</f>
        <v>1062.8803846047</v>
      </c>
    </row>
    <row r="43" customFormat="false" ht="15" hidden="false" customHeight="false" outlineLevel="0" collapsed="false">
      <c r="A43" s="0" t="s">
        <v>139</v>
      </c>
      <c r="B43" s="0" t="n">
        <f aca="false">(B37+B41+B42)/Assumptions!$B$3*Assumptions!$B$10</f>
        <v>57.2191721376501</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24356.2947022568</v>
      </c>
    </row>
    <row r="47" customFormat="false" ht="15" hidden="false" customHeight="false" outlineLevel="0" collapsed="false">
      <c r="A47" s="0" t="s">
        <v>141</v>
      </c>
      <c r="B47" s="0" t="n">
        <f aca="false">(SUMPRODUCT(C19:L19/(1+B45/100)^C4:L4)+B46/(1+B45/100)^L4+Assumptions!$B$5-Assumptions!$B$4)/Assumptions!$B$3*Assumptions!$B$10</f>
        <v>12.3175794689726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3</v>
      </c>
      <c r="D5" s="4" t="n">
        <f aca="false">Assumptions!D41</f>
        <v>3.5</v>
      </c>
      <c r="E5" s="4" t="n">
        <f aca="false">Assumptions!E41</f>
        <v>4</v>
      </c>
      <c r="F5" s="4" t="n">
        <f aca="false">Assumptions!F41</f>
        <v>4</v>
      </c>
      <c r="G5" s="4" t="n">
        <f aca="false">Assumptions!G41</f>
        <v>3.5</v>
      </c>
      <c r="H5" s="4" t="n">
        <f aca="false">Assumptions!H41</f>
        <v>3.5</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23506</v>
      </c>
      <c r="C6" s="0" t="n">
        <f aca="false">B6*(1+C5/100)</f>
        <v>24211.18</v>
      </c>
      <c r="D6" s="0" t="n">
        <f aca="false">C6*(1+D5/100)</f>
        <v>25058.5713</v>
      </c>
      <c r="E6" s="0" t="n">
        <f aca="false">D6*(1+E5/100)</f>
        <v>26060.914152</v>
      </c>
      <c r="F6" s="0" t="n">
        <f aca="false">E6*(1+F5/100)</f>
        <v>27103.35071808</v>
      </c>
      <c r="G6" s="0" t="n">
        <f aca="false">F6*(1+G5/100)</f>
        <v>28051.9679932128</v>
      </c>
      <c r="H6" s="0" t="n">
        <f aca="false">G6*(1+H5/100)</f>
        <v>29033.7868729752</v>
      </c>
      <c r="I6" s="0" t="n">
        <f aca="false">H6*(1+I5/100)</f>
        <v>29904.8004791645</v>
      </c>
      <c r="J6" s="0" t="n">
        <f aca="false">I6*(1+J5/100)</f>
        <v>30801.9444935394</v>
      </c>
      <c r="K6" s="0" t="n">
        <f aca="false">J6*(1+K5/100)</f>
        <v>31726.0028283456</v>
      </c>
      <c r="L6" s="0" t="n">
        <f aca="false">K6*(1+L5/100)</f>
        <v>32677.782913196</v>
      </c>
    </row>
    <row r="7" customFormat="false" ht="15" hidden="false" customHeight="false" outlineLevel="0" collapsed="false">
      <c r="A7" s="0" t="s">
        <v>98</v>
      </c>
      <c r="C7" s="4" t="n">
        <f aca="false">Assumptions!C42</f>
        <v>16</v>
      </c>
      <c r="D7" s="4" t="n">
        <f aca="false">Assumptions!D42</f>
        <v>17.2</v>
      </c>
      <c r="E7" s="4" t="n">
        <f aca="false">Assumptions!E42</f>
        <v>17.9</v>
      </c>
      <c r="F7" s="4" t="n">
        <f aca="false">Assumptions!F42</f>
        <v>18.2</v>
      </c>
      <c r="G7" s="4" t="n">
        <f aca="false">Assumptions!G42</f>
        <v>18.3</v>
      </c>
      <c r="H7" s="4" t="n">
        <f aca="false">Assumptions!H42</f>
        <v>18.3</v>
      </c>
      <c r="I7" s="4" t="n">
        <f aca="false">Assumptions!I42</f>
        <v>18.3</v>
      </c>
      <c r="J7" s="4" t="n">
        <f aca="false">Assumptions!J42</f>
        <v>18.3</v>
      </c>
      <c r="K7" s="4" t="n">
        <f aca="false">Assumptions!K42</f>
        <v>18.3</v>
      </c>
      <c r="L7" s="4" t="n">
        <f aca="false">Assumptions!L42</f>
        <v>18.3</v>
      </c>
    </row>
    <row r="8" customFormat="false" ht="15" hidden="false" customHeight="false" outlineLevel="0" collapsed="false">
      <c r="A8" s="0" t="s">
        <v>43</v>
      </c>
      <c r="C8" s="0" t="n">
        <f aca="false">C6*C7/100</f>
        <v>3873.7888</v>
      </c>
      <c r="D8" s="0" t="n">
        <f aca="false">D6*D7/100</f>
        <v>4310.0742636</v>
      </c>
      <c r="E8" s="0" t="n">
        <f aca="false">E6*E7/100</f>
        <v>4664.903633208</v>
      </c>
      <c r="F8" s="0" t="n">
        <f aca="false">F6*F7/100</f>
        <v>4932.80983069056</v>
      </c>
      <c r="G8" s="0" t="n">
        <f aca="false">G6*G7/100</f>
        <v>5133.51014275794</v>
      </c>
      <c r="H8" s="0" t="n">
        <f aca="false">H6*H7/100</f>
        <v>5313.18299775447</v>
      </c>
      <c r="I8" s="0" t="n">
        <f aca="false">I6*I7/100</f>
        <v>5472.5784876871</v>
      </c>
      <c r="J8" s="0" t="n">
        <f aca="false">J6*J7/100</f>
        <v>5636.75584231772</v>
      </c>
      <c r="K8" s="0" t="n">
        <f aca="false">K6*K7/100</f>
        <v>5805.85851758725</v>
      </c>
      <c r="L8" s="0" t="n">
        <f aca="false">L6*L7/100</f>
        <v>5980.03427311487</v>
      </c>
    </row>
    <row r="9" customFormat="false" ht="15" hidden="false" customHeight="false" outlineLevel="0" collapsed="false">
      <c r="A9" s="0" t="s">
        <v>99</v>
      </c>
      <c r="C9" s="4" t="n">
        <f aca="false">Assumptions!C43</f>
        <v>0.35</v>
      </c>
      <c r="D9" s="4" t="n">
        <f aca="false">Assumptions!D43</f>
        <v>0.35</v>
      </c>
      <c r="E9" s="4" t="n">
        <f aca="false">Assumptions!E43</f>
        <v>0.35</v>
      </c>
      <c r="F9" s="4" t="n">
        <f aca="false">Assumptions!F43</f>
        <v>0.35</v>
      </c>
      <c r="G9" s="4" t="n">
        <f aca="false">Assumptions!G43</f>
        <v>0.35</v>
      </c>
      <c r="H9" s="4" t="n">
        <f aca="false">Assumptions!H43</f>
        <v>0.35</v>
      </c>
      <c r="I9" s="4" t="n">
        <f aca="false">Assumptions!I43</f>
        <v>0.35</v>
      </c>
      <c r="J9" s="4" t="n">
        <f aca="false">Assumptions!J43</f>
        <v>0.35</v>
      </c>
      <c r="K9" s="4" t="n">
        <f aca="false">Assumptions!K43</f>
        <v>0.35</v>
      </c>
      <c r="L9" s="4" t="n">
        <f aca="false">Assumptions!L43</f>
        <v>0.35</v>
      </c>
    </row>
    <row r="10" customFormat="false" ht="15" hidden="false" customHeight="false" outlineLevel="0" collapsed="false">
      <c r="A10" s="0" t="s">
        <v>114</v>
      </c>
      <c r="C10" s="0" t="n">
        <f aca="false">-C6*C9/100</f>
        <v>-84.73913</v>
      </c>
      <c r="D10" s="0" t="n">
        <f aca="false">-D6*D9/100</f>
        <v>-87.70499955</v>
      </c>
      <c r="E10" s="0" t="n">
        <f aca="false">-E6*E9/100</f>
        <v>-91.213199532</v>
      </c>
      <c r="F10" s="0" t="n">
        <f aca="false">-F6*F9/100</f>
        <v>-94.86172751328</v>
      </c>
      <c r="G10" s="0" t="n">
        <f aca="false">-G6*G9/100</f>
        <v>-98.1818879762448</v>
      </c>
      <c r="H10" s="0" t="n">
        <f aca="false">-H6*H9/100</f>
        <v>-101.618254055413</v>
      </c>
      <c r="I10" s="0" t="n">
        <f aca="false">-I6*I9/100</f>
        <v>-104.666801677076</v>
      </c>
      <c r="J10" s="0" t="n">
        <f aca="false">-J6*J9/100</f>
        <v>-107.806805727388</v>
      </c>
      <c r="K10" s="0" t="n">
        <f aca="false">-K6*K9/100</f>
        <v>-111.04100989921</v>
      </c>
      <c r="L10" s="0" t="n">
        <f aca="false">-L6*L9/100</f>
        <v>-114.372240196186</v>
      </c>
    </row>
    <row r="11" customFormat="false" ht="15" hidden="false" customHeight="false" outlineLevel="0" collapsed="false">
      <c r="A11" s="0" t="s">
        <v>115</v>
      </c>
      <c r="C11" s="0" t="n">
        <f aca="false">C8+C10+C24</f>
        <v>3789.04967</v>
      </c>
      <c r="D11" s="0" t="n">
        <f aca="false">D8+D10+D24</f>
        <v>4222.36926405</v>
      </c>
      <c r="E11" s="0" t="n">
        <f aca="false">E8+E10+E24</f>
        <v>4573.690433676</v>
      </c>
      <c r="F11" s="0" t="n">
        <f aca="false">F8+F10+F24</f>
        <v>4837.94810317728</v>
      </c>
      <c r="G11" s="0" t="n">
        <f aca="false">G8+G10+G24</f>
        <v>5035.3282547817</v>
      </c>
      <c r="H11" s="0" t="n">
        <f aca="false">H8+H10+H24</f>
        <v>5211.56474369906</v>
      </c>
      <c r="I11" s="0" t="n">
        <f aca="false">I8+I10+I24</f>
        <v>5367.91168601003</v>
      </c>
      <c r="J11" s="0" t="n">
        <f aca="false">J8+J10+J24</f>
        <v>5528.94903659033</v>
      </c>
      <c r="K11" s="0" t="n">
        <f aca="false">K8+K10+K24</f>
        <v>5694.81750768804</v>
      </c>
      <c r="L11" s="0" t="n">
        <f aca="false">L8+L10+L24</f>
        <v>5865.66203291868</v>
      </c>
    </row>
    <row r="12" customFormat="false" ht="15" hidden="false" customHeight="false" outlineLevel="0" collapsed="false">
      <c r="A12" s="0" t="s">
        <v>116</v>
      </c>
      <c r="C12" s="4" t="n">
        <f aca="false">-C6*Assumptions!C45/100</f>
        <v>-944.23602</v>
      </c>
      <c r="D12" s="4" t="n">
        <f aca="false">-D6*Assumptions!D45/100</f>
        <v>-977.2842807</v>
      </c>
      <c r="E12" s="4" t="n">
        <f aca="false">-E6*Assumptions!E45/100</f>
        <v>-1016.375651928</v>
      </c>
      <c r="F12" s="4" t="n">
        <f aca="false">-F6*Assumptions!F45/100</f>
        <v>-1057.03067800512</v>
      </c>
      <c r="G12" s="4" t="n">
        <f aca="false">-G6*Assumptions!G45/100</f>
        <v>-1094.0267517353</v>
      </c>
      <c r="H12" s="4" t="n">
        <f aca="false">-H6*Assumptions!H45/100</f>
        <v>-1132.31768804603</v>
      </c>
      <c r="I12" s="4" t="n">
        <f aca="false">-I6*Assumptions!I45/100</f>
        <v>-1166.28721868742</v>
      </c>
      <c r="J12" s="4" t="n">
        <f aca="false">-J6*Assumptions!J45/100</f>
        <v>-1201.27583524804</v>
      </c>
      <c r="K12" s="4" t="n">
        <f aca="false">-K6*Assumptions!K45/100</f>
        <v>-1237.31411030548</v>
      </c>
      <c r="L12" s="4" t="n">
        <f aca="false">-L6*Assumptions!L45/100</f>
        <v>-1274.43353361464</v>
      </c>
    </row>
    <row r="13" customFormat="false" ht="15" hidden="false" customHeight="false" outlineLevel="0" collapsed="false">
      <c r="A13" s="0" t="s">
        <v>117</v>
      </c>
      <c r="C13" s="0" t="n">
        <f aca="false">C11+C12</f>
        <v>2844.81365</v>
      </c>
      <c r="D13" s="0" t="n">
        <f aca="false">D11+D12</f>
        <v>3245.08498335</v>
      </c>
      <c r="E13" s="0" t="n">
        <f aca="false">E11+E12</f>
        <v>3557.314781748</v>
      </c>
      <c r="F13" s="0" t="n">
        <f aca="false">F11+F12</f>
        <v>3780.91742517216</v>
      </c>
      <c r="G13" s="0" t="n">
        <f aca="false">G11+G12</f>
        <v>3941.3015030464</v>
      </c>
      <c r="H13" s="0" t="n">
        <f aca="false">H11+H12</f>
        <v>4079.24705565302</v>
      </c>
      <c r="I13" s="0" t="n">
        <f aca="false">I11+I12</f>
        <v>4201.62446732261</v>
      </c>
      <c r="J13" s="0" t="n">
        <f aca="false">J11+J12</f>
        <v>4327.67320134229</v>
      </c>
      <c r="K13" s="0" t="n">
        <f aca="false">K11+K12</f>
        <v>4457.50339738256</v>
      </c>
      <c r="L13" s="0" t="n">
        <f aca="false">L11+L12</f>
        <v>4591.22849930404</v>
      </c>
    </row>
    <row r="14" customFormat="false" ht="15" hidden="false" customHeight="false" outlineLevel="0" collapsed="false">
      <c r="A14" s="0" t="s">
        <v>103</v>
      </c>
      <c r="C14" s="4" t="n">
        <f aca="false">Assumptions!C47</f>
        <v>20.5</v>
      </c>
      <c r="D14" s="4" t="n">
        <f aca="false">Assumptions!D47</f>
        <v>20.5</v>
      </c>
      <c r="E14" s="4" t="n">
        <f aca="false">Assumptions!E47</f>
        <v>20.5</v>
      </c>
      <c r="F14" s="4" t="n">
        <f aca="false">Assumptions!F47</f>
        <v>20.5</v>
      </c>
      <c r="G14" s="4" t="n">
        <f aca="false">Assumptions!G47</f>
        <v>20.5</v>
      </c>
      <c r="H14" s="4" t="n">
        <f aca="false">Assumptions!H47</f>
        <v>20.5</v>
      </c>
      <c r="I14" s="4" t="n">
        <f aca="false">Assumptions!I47</f>
        <v>20.5</v>
      </c>
      <c r="J14" s="4" t="n">
        <f aca="false">Assumptions!J47</f>
        <v>20.5</v>
      </c>
      <c r="K14" s="4" t="n">
        <f aca="false">Assumptions!K47</f>
        <v>20.5</v>
      </c>
      <c r="L14" s="4" t="n">
        <f aca="false">Assumptions!L47</f>
        <v>20.5</v>
      </c>
    </row>
    <row r="15" customFormat="false" ht="15" hidden="false" customHeight="false" outlineLevel="0" collapsed="false">
      <c r="A15" s="0" t="s">
        <v>118</v>
      </c>
      <c r="C15" s="0" t="n">
        <f aca="false">C13-MAX(0,C13)*C14/100</f>
        <v>2261.62685175</v>
      </c>
      <c r="D15" s="0" t="n">
        <f aca="false">D13-MAX(0,D13)*D14/100</f>
        <v>2579.84256176325</v>
      </c>
      <c r="E15" s="0" t="n">
        <f aca="false">E13-MAX(0,E13)*E14/100</f>
        <v>2828.06525148966</v>
      </c>
      <c r="F15" s="0" t="n">
        <f aca="false">F13-MAX(0,F13)*F14/100</f>
        <v>3005.82935301187</v>
      </c>
      <c r="G15" s="0" t="n">
        <f aca="false">G13-MAX(0,G13)*G14/100</f>
        <v>3133.33469492189</v>
      </c>
      <c r="H15" s="0" t="n">
        <f aca="false">H13-MAX(0,H13)*H14/100</f>
        <v>3243.00140924415</v>
      </c>
      <c r="I15" s="0" t="n">
        <f aca="false">I13-MAX(0,I13)*I14/100</f>
        <v>3340.29145152148</v>
      </c>
      <c r="J15" s="0" t="n">
        <f aca="false">J13-MAX(0,J13)*J14/100</f>
        <v>3440.50019506712</v>
      </c>
      <c r="K15" s="0" t="n">
        <f aca="false">K13-MAX(0,K13)*K14/100</f>
        <v>3543.71520091913</v>
      </c>
      <c r="L15" s="0" t="n">
        <f aca="false">L13-MAX(0,L13)*L14/100</f>
        <v>3650.02665694671</v>
      </c>
    </row>
    <row r="16" customFormat="false" ht="15" hidden="false" customHeight="false" outlineLevel="0" collapsed="false">
      <c r="A16" s="0" t="s">
        <v>119</v>
      </c>
      <c r="C16" s="0" t="n">
        <f aca="false">-C12</f>
        <v>944.23602</v>
      </c>
      <c r="D16" s="0" t="n">
        <f aca="false">-D12</f>
        <v>977.2842807</v>
      </c>
      <c r="E16" s="0" t="n">
        <f aca="false">-E12</f>
        <v>1016.375651928</v>
      </c>
      <c r="F16" s="0" t="n">
        <f aca="false">-F12</f>
        <v>1057.03067800512</v>
      </c>
      <c r="G16" s="0" t="n">
        <f aca="false">-G12</f>
        <v>1094.0267517353</v>
      </c>
      <c r="H16" s="0" t="n">
        <f aca="false">-H12</f>
        <v>1132.31768804603</v>
      </c>
      <c r="I16" s="0" t="n">
        <f aca="false">-I12</f>
        <v>1166.28721868742</v>
      </c>
      <c r="J16" s="0" t="n">
        <f aca="false">-J12</f>
        <v>1201.27583524804</v>
      </c>
      <c r="K16" s="0" t="n">
        <f aca="false">-K12</f>
        <v>1237.31411030548</v>
      </c>
      <c r="L16" s="0" t="n">
        <f aca="false">-L12</f>
        <v>1274.43353361464</v>
      </c>
    </row>
    <row r="17" customFormat="false" ht="15" hidden="false" customHeight="false" outlineLevel="0" collapsed="false">
      <c r="A17" s="0" t="s">
        <v>120</v>
      </c>
      <c r="C17" s="4" t="n">
        <f aca="false">-C6*Assumptions!C46/100</f>
        <v>-944.23602</v>
      </c>
      <c r="D17" s="4" t="n">
        <f aca="false">-D6*Assumptions!D46/100</f>
        <v>-977.2842807</v>
      </c>
      <c r="E17" s="4" t="n">
        <f aca="false">-E6*Assumptions!E46/100</f>
        <v>-1016.375651928</v>
      </c>
      <c r="F17" s="4" t="n">
        <f aca="false">-F6*Assumptions!F46/100</f>
        <v>-1057.03067800512</v>
      </c>
      <c r="G17" s="4" t="n">
        <f aca="false">-G6*Assumptions!G46/100</f>
        <v>-1094.0267517353</v>
      </c>
      <c r="H17" s="4" t="n">
        <f aca="false">-H6*Assumptions!H46/100</f>
        <v>-1132.31768804603</v>
      </c>
      <c r="I17" s="4" t="n">
        <f aca="false">-I6*Assumptions!I46/100</f>
        <v>-1166.28721868742</v>
      </c>
      <c r="J17" s="4" t="n">
        <f aca="false">-J6*Assumptions!J46/100</f>
        <v>-1201.27583524804</v>
      </c>
      <c r="K17" s="4" t="n">
        <f aca="false">-K6*Assumptions!K46/100</f>
        <v>-1237.31411030548</v>
      </c>
      <c r="L17" s="4" t="n">
        <f aca="false">-L6*Assumptions!L46/100</f>
        <v>-1274.43353361464</v>
      </c>
    </row>
    <row r="18" customFormat="false" ht="15" hidden="false" customHeight="false" outlineLevel="0" collapsed="false">
      <c r="A18" s="0" t="s">
        <v>121</v>
      </c>
      <c r="C18" s="4" t="n">
        <f aca="false">(C6-B6)*Assumptions!$B$51/100</f>
        <v>-56.4144</v>
      </c>
      <c r="D18" s="4" t="n">
        <f aca="false">(D6-C6)*Assumptions!$B$51/100</f>
        <v>-67.7913039999999</v>
      </c>
      <c r="E18" s="4" t="n">
        <f aca="false">(E6-D6)*Assumptions!$B$51/100</f>
        <v>-80.1874281600001</v>
      </c>
      <c r="F18" s="4" t="n">
        <f aca="false">(F6-E6)*Assumptions!$B$51/100</f>
        <v>-83.3949252864</v>
      </c>
      <c r="G18" s="4" t="n">
        <f aca="false">(G6-F6)*Assumptions!$B$51/100</f>
        <v>-75.8893820106238</v>
      </c>
      <c r="H18" s="4" t="n">
        <f aca="false">(H6-G6)*Assumptions!$B$51/100</f>
        <v>-78.5455103809957</v>
      </c>
      <c r="I18" s="4" t="n">
        <f aca="false">(I6-H6)*Assumptions!$B$51/100</f>
        <v>-69.6810884951407</v>
      </c>
      <c r="J18" s="4" t="n">
        <f aca="false">(J6-I6)*Assumptions!$B$51/100</f>
        <v>-71.7715211499948</v>
      </c>
      <c r="K18" s="4" t="n">
        <f aca="false">(K6-J6)*Assumptions!$B$51/100</f>
        <v>-73.9246667844948</v>
      </c>
      <c r="L18" s="4" t="n">
        <f aca="false">(L6-K6)*Assumptions!$B$51/100</f>
        <v>-76.1424067880295</v>
      </c>
    </row>
    <row r="19" customFormat="false" ht="15" hidden="false" customHeight="false" outlineLevel="0" collapsed="false">
      <c r="A19" s="0" t="s">
        <v>122</v>
      </c>
      <c r="C19" s="0" t="n">
        <f aca="false">C15+C16+C17+C18</f>
        <v>2205.21245175</v>
      </c>
      <c r="D19" s="0" t="n">
        <f aca="false">D15+D16+D17+D18</f>
        <v>2512.05125776325</v>
      </c>
      <c r="E19" s="0" t="n">
        <f aca="false">E15+E16+E17+E18</f>
        <v>2747.87782332966</v>
      </c>
      <c r="F19" s="0" t="n">
        <f aca="false">F15+F16+F17+F18</f>
        <v>2922.43442772547</v>
      </c>
      <c r="G19" s="0" t="n">
        <f aca="false">G15+G16+G17+G18</f>
        <v>3057.44531291126</v>
      </c>
      <c r="H19" s="0" t="n">
        <f aca="false">H15+H16+H17+H18</f>
        <v>3164.45589886316</v>
      </c>
      <c r="I19" s="0" t="n">
        <f aca="false">I15+I16+I17+I18</f>
        <v>3270.61036302634</v>
      </c>
      <c r="J19" s="0" t="n">
        <f aca="false">J15+J16+J17+J18</f>
        <v>3368.72867391713</v>
      </c>
      <c r="K19" s="0" t="n">
        <f aca="false">K15+K16+K17+K18</f>
        <v>3469.79053413464</v>
      </c>
      <c r="L19" s="0" t="n">
        <f aca="false">L15+L16+L17+L18</f>
        <v>3573.88425015868</v>
      </c>
    </row>
    <row r="20" customFormat="false" ht="15" hidden="false" customHeight="false" outlineLevel="0" collapsed="false">
      <c r="A20" s="0" t="s">
        <v>123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124</v>
      </c>
      <c r="C21" s="0" t="n">
        <f aca="false">C19*C20</f>
        <v>2051.36042023256</v>
      </c>
      <c r="D21" s="0" t="n">
        <f aca="false">D19*D20</f>
        <v>2173.7598769179</v>
      </c>
      <c r="E21" s="0" t="n">
        <f aca="false">E19*E20</f>
        <v>2211.93329761025</v>
      </c>
      <c r="F21" s="0" t="n">
        <f aca="false">F19*F20</f>
        <v>2188.32044771755</v>
      </c>
      <c r="G21" s="0" t="n">
        <f aca="false">G19*G20</f>
        <v>2129.68992564674</v>
      </c>
      <c r="H21" s="0" t="n">
        <f aca="false">H19*H20</f>
        <v>2050.44564934361</v>
      </c>
      <c r="I21" s="0" t="n">
        <f aca="false">I19*I20</f>
        <v>1971.37642524153</v>
      </c>
      <c r="J21" s="0" t="n">
        <f aca="false">J19*J20</f>
        <v>1888.85369116165</v>
      </c>
      <c r="K21" s="0" t="n">
        <f aca="false">K19*K20</f>
        <v>1809.78539711302</v>
      </c>
      <c r="L21" s="0" t="n">
        <f aca="false">L19*L20</f>
        <v>1734.02693862922</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7.5</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15</v>
      </c>
    </row>
    <row r="30" customFormat="false" ht="15" hidden="false" customHeight="false" outlineLevel="0" collapsed="false">
      <c r="A30" s="0" t="s">
        <v>127</v>
      </c>
      <c r="B30" s="0" t="n">
        <f aca="false">SUM(C21:L21)</f>
        <v>20209.552069614</v>
      </c>
    </row>
    <row r="31" customFormat="false" ht="15" hidden="false" customHeight="false" outlineLevel="0" collapsed="false">
      <c r="A31" s="0" t="s">
        <v>128</v>
      </c>
      <c r="B31" s="0" t="n">
        <f aca="false">L19</f>
        <v>3573.88425015868</v>
      </c>
    </row>
    <row r="32" customFormat="false" ht="15" hidden="false" customHeight="false" outlineLevel="0" collapsed="false">
      <c r="A32" s="0" t="s">
        <v>129</v>
      </c>
      <c r="B32" s="0" t="n">
        <f aca="false">IF(B27&gt;B28,B31*(1+B28/100)/((B27-B28)/100),B31*B29)</f>
        <v>73264.6271282529</v>
      </c>
    </row>
    <row r="33" customFormat="false" ht="15" hidden="false" customHeight="false" outlineLevel="0" collapsed="false">
      <c r="A33" s="0" t="s">
        <v>130</v>
      </c>
      <c r="B33" s="0" t="n">
        <f aca="false">B31*B29</f>
        <v>53608.2637523802</v>
      </c>
    </row>
    <row r="34" customFormat="false" ht="15" hidden="false" customHeight="false" outlineLevel="0" collapsed="false">
      <c r="A34" s="0" t="s">
        <v>131</v>
      </c>
      <c r="B34" s="0" t="n">
        <f aca="false">MAX(0,MIN(B32,B33))</f>
        <v>53608.2637523802</v>
      </c>
    </row>
    <row r="35" customFormat="false" ht="15" hidden="false" customHeight="false" outlineLevel="0" collapsed="false">
      <c r="A35" s="0" t="s">
        <v>132</v>
      </c>
      <c r="B35" s="0" t="n">
        <f aca="false">B34/(1+B27/100)^L4</f>
        <v>26010.4040794384</v>
      </c>
    </row>
    <row r="36" customFormat="false" ht="15" hidden="false" customHeight="false" outlineLevel="0" collapsed="false">
      <c r="A36" s="0" t="s">
        <v>133</v>
      </c>
      <c r="B36" s="0" t="n">
        <f aca="false">B30+B35</f>
        <v>46219.9561490524</v>
      </c>
    </row>
    <row r="37" customFormat="false" ht="15" hidden="false" customHeight="false" outlineLevel="0" collapsed="false">
      <c r="A37" s="0" t="s">
        <v>134</v>
      </c>
      <c r="B37" s="0" t="n">
        <f aca="false">B36+Assumptions!$B$5-Assumptions!$B$4</f>
        <v>33311.9561490524</v>
      </c>
    </row>
    <row r="38" customFormat="false" ht="15" hidden="false" customHeight="false" outlineLevel="0" collapsed="false">
      <c r="A38" s="0" t="s">
        <v>135</v>
      </c>
      <c r="B38" s="0" t="n">
        <f aca="false">B37/Assumptions!$B$3*Assumptions!$B$10</f>
        <v>71.8239675486253</v>
      </c>
    </row>
    <row r="39" customFormat="false" ht="15" hidden="false" customHeight="false" outlineLevel="0" collapsed="false">
      <c r="A39" s="0" t="s">
        <v>136</v>
      </c>
      <c r="B39" s="4" t="n">
        <f aca="false">B38/Assumptions!$B$2-1</f>
        <v>0.706032483340267</v>
      </c>
    </row>
    <row r="41" customFormat="false" ht="15" hidden="false" customHeight="false" outlineLevel="0" collapsed="false">
      <c r="A41" s="0" t="s">
        <v>137</v>
      </c>
      <c r="B41" s="0" t="n">
        <f aca="false">SUMPRODUCT(-C10:L10/(1+$B$27/100)^C4:L4)</f>
        <v>670.356611219525</v>
      </c>
    </row>
    <row r="42" customFormat="false" ht="15" hidden="false" customHeight="false" outlineLevel="0" collapsed="false">
      <c r="A42" s="0" t="s">
        <v>138</v>
      </c>
      <c r="B42" s="0" t="n">
        <f aca="false">IF(B27&gt;B28,-L10*(1+B28/100)/((B27-B28)/100),-L10*20)/(1+B27/100)^L4</f>
        <v>1137.60068844324</v>
      </c>
    </row>
    <row r="43" customFormat="false" ht="15" hidden="false" customHeight="false" outlineLevel="0" collapsed="false">
      <c r="A43" s="0" t="s">
        <v>139</v>
      </c>
      <c r="B43" s="0" t="n">
        <f aca="false">(B37+B41+B42)/Assumptions!$B$3*Assumptions!$B$10</f>
        <v>75.7221074789029</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29305.8508513012</v>
      </c>
    </row>
    <row r="47" customFormat="false" ht="15" hidden="false" customHeight="false" outlineLevel="0" collapsed="false">
      <c r="A47" s="0" t="s">
        <v>141</v>
      </c>
      <c r="B47" s="0" t="n">
        <f aca="false">(SUMPRODUCT(C19:L19/(1+B45/100)^C4:L4)+B46/(1+B45/100)^L4+Assumptions!$B$5-Assumptions!$B$4)/Assumptions!$B$3*Assumptions!$B$10</f>
        <v>18.7998949352107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31.642403855999</v>
      </c>
      <c r="C4" s="0" t="n">
        <f aca="false">B4/Assumptions!$B$2-1</f>
        <v>-0.248398958289809</v>
      </c>
      <c r="D4" s="4" t="n">
        <f aca="false">Assumptions!$B$24</f>
        <v>0.25</v>
      </c>
      <c r="E4" s="4" t="n">
        <f aca="false">DCF_Bear!$B$43</f>
        <v>34.8393892625558</v>
      </c>
      <c r="F4" s="4" t="n">
        <f aca="false">DCF_Bear!$B$47</f>
        <v>3.9582304911013</v>
      </c>
    </row>
    <row r="5" customFormat="false" ht="15" hidden="false" customHeight="false" outlineLevel="0" collapsed="false">
      <c r="A5" s="0" t="s">
        <v>150</v>
      </c>
      <c r="B5" s="4" t="n">
        <f aca="false">DCF_Base!$B$38</f>
        <v>53.54025235242</v>
      </c>
      <c r="C5" s="0" t="n">
        <f aca="false">B5/Assumptions!$B$2-1</f>
        <v>0.271739960865083</v>
      </c>
      <c r="D5" s="4" t="n">
        <f aca="false">Assumptions!$B$38</f>
        <v>0.5</v>
      </c>
      <c r="E5" s="4" t="n">
        <f aca="false">DCF_Base!$B$43</f>
        <v>57.2191721376501</v>
      </c>
      <c r="F5" s="4" t="n">
        <f aca="false">DCF_Base!$B$47</f>
        <v>12.3175794689726</v>
      </c>
    </row>
    <row r="6" customFormat="false" ht="15" hidden="false" customHeight="false" outlineLevel="0" collapsed="false">
      <c r="A6" s="0" t="s">
        <v>151</v>
      </c>
      <c r="B6" s="4" t="n">
        <f aca="false">DCF_Bull!$B$38</f>
        <v>71.8239675486253</v>
      </c>
      <c r="C6" s="0" t="n">
        <f aca="false">B6/Assumptions!$B$2-1</f>
        <v>0.706032483340267</v>
      </c>
      <c r="D6" s="4" t="n">
        <f aca="false">Assumptions!$B$52</f>
        <v>0.25</v>
      </c>
      <c r="E6" s="4" t="n">
        <f aca="false">DCF_Bull!$B$43</f>
        <v>75.7221074789029</v>
      </c>
      <c r="F6" s="4" t="n">
        <f aca="false">DCF_Bull!$B$47</f>
        <v>18.7998949352107</v>
      </c>
    </row>
    <row r="8" customFormat="false" ht="15" hidden="false" customHeight="false" outlineLevel="0" collapsed="false">
      <c r="A8" s="0" t="s">
        <v>152</v>
      </c>
      <c r="B8" s="0" t="n">
        <f aca="false">SUMPRODUCT(B4:B6,D4:D6)</f>
        <v>52.6367190273661</v>
      </c>
    </row>
    <row r="9" customFormat="false" ht="15" hidden="false" customHeight="false" outlineLevel="0" collapsed="false">
      <c r="A9" s="0" t="s">
        <v>153</v>
      </c>
      <c r="B9" s="0" t="n">
        <f aca="false">SUMPRODUCT(E4:E6,D4:D6)</f>
        <v>56.2499602541897</v>
      </c>
    </row>
    <row r="10" customFormat="false" ht="15" hidden="false" customHeight="false" outlineLevel="0" collapsed="false">
      <c r="A10" s="0" t="s">
        <v>154</v>
      </c>
      <c r="B10" s="0" t="n">
        <f aca="false">1-Assumptions!$B$2/B8</f>
        <v>0.200178111821293</v>
      </c>
    </row>
    <row r="11" customFormat="false" ht="15" hidden="false" customHeight="false" outlineLevel="0" collapsed="false">
      <c r="A11" s="0" t="s">
        <v>155</v>
      </c>
      <c r="B11" s="0" t="n">
        <f aca="false">IF(ABS(B9-B8)&gt;0.01*ABS(B8),(Assumptions!$B$2-B8)/(B9-B8)*100,"n/a")</f>
        <v>-291.614048603911</v>
      </c>
    </row>
    <row r="12" customFormat="false" ht="15" hidden="false" customHeight="false" outlineLevel="0" collapsed="false">
      <c r="A12" s="0" t="s">
        <v>156</v>
      </c>
      <c r="B12" s="0" t="n">
        <f aca="false">SUMPRODUCT(F4:F6,D4:D6)</f>
        <v>11.8483210910643</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53.54025235242</v>
      </c>
      <c r="C15" s="3" t="n">
        <v>7.5</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45.3092512411836</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39.5927271460722</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31.5645946542623</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25.229424193486</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12.3175794689726</v>
      </c>
      <c r="C20" s="3" t="n">
        <v>15</v>
      </c>
    </row>
    <row r="22" customFormat="false" ht="15" hidden="false" customHeight="false" outlineLevel="0" collapsed="false">
      <c r="A22" s="2" t="s">
        <v>165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66.4657809325039</v>
      </c>
      <c r="C24" s="0" t="n">
        <f aca="false">(SUMPRODUCT(DCF_Base!$C$19:$L$19/(1+$A$24/100)^DCF_Base!$C$4:$L$4)+MAX(0,MIN(IF($A$24&gt;$C$23,DCF_Base!$L$19*(1+$C$23/100)/(($A$24-$C$23)/100),DCF_Base!$L$19*DCF_Base!$B$29),DCF_Base!$L$19*DCF_Base!$B$29))/(1+$A$24/100)^DCF_Base!$L$4+Assumptions!$B$5-Assumptions!$B$4)/Assumptions!$B$3*Assumptions!$B$10</f>
        <v>66.4657809325039</v>
      </c>
      <c r="D24" s="0" t="n">
        <f aca="false">(SUMPRODUCT(DCF_Base!$C$19:$L$19/(1+$A$24/100)^DCF_Base!$C$4:$L$4)+MAX(0,MIN(IF($A$24&gt;$D$23,DCF_Base!$L$19*(1+$D$23/100)/(($A$24-$D$23)/100),DCF_Base!$L$19*DCF_Base!$B$29),DCF_Base!$L$19*DCF_Base!$B$29))/(1+$A$24/100)^DCF_Base!$L$4+Assumptions!$B$5-Assumptions!$B$4)/Assumptions!$B$3*Assumptions!$B$10</f>
        <v>66.4657809325039</v>
      </c>
      <c r="E24" s="0" t="n">
        <f aca="false">(SUMPRODUCT(DCF_Base!$C$19:$L$19/(1+$A$24/100)^DCF_Base!$C$4:$L$4)+MAX(0,MIN(IF($A$24&gt;$E$23,DCF_Base!$L$19*(1+$E$23/100)/(($A$24-$E$23)/100),DCF_Base!$L$19*DCF_Base!$B$29),DCF_Base!$L$19*DCF_Base!$B$29))/(1+$A$24/100)^DCF_Base!$L$4+Assumptions!$B$5-Assumptions!$B$4)/Assumptions!$B$3*Assumptions!$B$10</f>
        <v>66.4657809325039</v>
      </c>
      <c r="F24" s="0" t="n">
        <f aca="false">(SUMPRODUCT(DCF_Base!$C$19:$L$19/(1+$A$24/100)^DCF_Base!$C$4:$L$4)+MAX(0,MIN(IF($A$24&gt;$F$23,DCF_Base!$L$19*(1+$F$23/100)/(($A$24-$F$23)/100),DCF_Base!$L$19*DCF_Base!$B$29),DCF_Base!$L$19*DCF_Base!$B$29))/(1+$A$24/100)^DCF_Base!$L$4+Assumptions!$B$5-Assumptions!$B$4)/Assumptions!$B$3*Assumptions!$B$10</f>
        <v>66.4657809325039</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59.6990343190593</v>
      </c>
      <c r="C25" s="0" t="n">
        <f aca="false">(SUMPRODUCT(DCF_Base!$C$19:$L$19/(1+$A$25/100)^DCF_Base!$C$4:$L$4)+MAX(0,MIN(IF($A$25&gt;$C$23,DCF_Base!$L$19*(1+$C$23/100)/(($A$25-$C$23)/100),DCF_Base!$L$19*DCF_Base!$B$29),DCF_Base!$L$19*DCF_Base!$B$29))/(1+$A$25/100)^DCF_Base!$L$4+Assumptions!$B$5-Assumptions!$B$4)/Assumptions!$B$3*Assumptions!$B$10</f>
        <v>59.6990343190593</v>
      </c>
      <c r="D25" s="0" t="n">
        <f aca="false">(SUMPRODUCT(DCF_Base!$C$19:$L$19/(1+$A$25/100)^DCF_Base!$C$4:$L$4)+MAX(0,MIN(IF($A$25&gt;$D$23,DCF_Base!$L$19*(1+$D$23/100)/(($A$25-$D$23)/100),DCF_Base!$L$19*DCF_Base!$B$29),DCF_Base!$L$19*DCF_Base!$B$29))/(1+$A$25/100)^DCF_Base!$L$4+Assumptions!$B$5-Assumptions!$B$4)/Assumptions!$B$3*Assumptions!$B$10</f>
        <v>59.6990343190593</v>
      </c>
      <c r="E25" s="0" t="n">
        <f aca="false">(SUMPRODUCT(DCF_Base!$C$19:$L$19/(1+$A$25/100)^DCF_Base!$C$4:$L$4)+MAX(0,MIN(IF($A$25&gt;$E$23,DCF_Base!$L$19*(1+$E$23/100)/(($A$25-$E$23)/100),DCF_Base!$L$19*DCF_Base!$B$29),DCF_Base!$L$19*DCF_Base!$B$29))/(1+$A$25/100)^DCF_Base!$L$4+Assumptions!$B$5-Assumptions!$B$4)/Assumptions!$B$3*Assumptions!$B$10</f>
        <v>59.6990343190593</v>
      </c>
      <c r="F25" s="0" t="n">
        <f aca="false">(SUMPRODUCT(DCF_Base!$C$19:$L$19/(1+$A$25/100)^DCF_Base!$C$4:$L$4)+MAX(0,MIN(IF($A$25&gt;$F$23,DCF_Base!$L$19*(1+$F$23/100)/(($A$25-$F$23)/100),DCF_Base!$L$19*DCF_Base!$B$29),DCF_Base!$L$19*DCF_Base!$B$29))/(1+$A$25/100)^DCF_Base!$L$4+Assumptions!$B$5-Assumptions!$B$4)/Assumptions!$B$3*Assumptions!$B$10</f>
        <v>59.6990343190593</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53.54025235242</v>
      </c>
      <c r="C26" s="0" t="n">
        <f aca="false">(SUMPRODUCT(DCF_Base!$C$19:$L$19/(1+$A$26/100)^DCF_Base!$C$4:$L$4)+MAX(0,MIN(IF($A$26&gt;$C$23,DCF_Base!$L$19*(1+$C$23/100)/(($A$26-$C$23)/100),DCF_Base!$L$19*DCF_Base!$B$29),DCF_Base!$L$19*DCF_Base!$B$29))/(1+$A$26/100)^DCF_Base!$L$4+Assumptions!$B$5-Assumptions!$B$4)/Assumptions!$B$3*Assumptions!$B$10</f>
        <v>53.54025235242</v>
      </c>
      <c r="D26" s="0" t="n">
        <f aca="false">(SUMPRODUCT(DCF_Base!$C$19:$L$19/(1+$A$26/100)^DCF_Base!$C$4:$L$4)+MAX(0,MIN(IF($A$26&gt;$D$23,DCF_Base!$L$19*(1+$D$23/100)/(($A$26-$D$23)/100),DCF_Base!$L$19*DCF_Base!$B$29),DCF_Base!$L$19*DCF_Base!$B$29))/(1+$A$26/100)^DCF_Base!$L$4+Assumptions!$B$5-Assumptions!$B$4)/Assumptions!$B$3*Assumptions!$B$10</f>
        <v>53.54025235242</v>
      </c>
      <c r="E26" s="0" t="n">
        <f aca="false">(SUMPRODUCT(DCF_Base!$C$19:$L$19/(1+$A$26/100)^DCF_Base!$C$4:$L$4)+MAX(0,MIN(IF($A$26&gt;$E$23,DCF_Base!$L$19*(1+$E$23/100)/(($A$26-$E$23)/100),DCF_Base!$L$19*DCF_Base!$B$29),DCF_Base!$L$19*DCF_Base!$B$29))/(1+$A$26/100)^DCF_Base!$L$4+Assumptions!$B$5-Assumptions!$B$4)/Assumptions!$B$3*Assumptions!$B$10</f>
        <v>53.54025235242</v>
      </c>
      <c r="F26" s="0" t="n">
        <f aca="false">(SUMPRODUCT(DCF_Base!$C$19:$L$19/(1+$A$26/100)^DCF_Base!$C$4:$L$4)+MAX(0,MIN(IF($A$26&gt;$F$23,DCF_Base!$L$19*(1+$F$23/100)/(($A$26-$F$23)/100),DCF_Base!$L$19*DCF_Base!$B$29),DCF_Base!$L$19*DCF_Base!$B$29))/(1+$A$26/100)^DCF_Base!$L$4+Assumptions!$B$5-Assumptions!$B$4)/Assumptions!$B$3*Assumptions!$B$10</f>
        <v>53.54025235242</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47.9278818621947</v>
      </c>
      <c r="C27" s="0" t="n">
        <f aca="false">(SUMPRODUCT(DCF_Base!$C$19:$L$19/(1+$A$27/100)^DCF_Base!$C$4:$L$4)+MAX(0,MIN(IF($A$27&gt;$C$23,DCF_Base!$L$19*(1+$C$23/100)/(($A$27-$C$23)/100),DCF_Base!$L$19*DCF_Base!$B$29),DCF_Base!$L$19*DCF_Base!$B$29))/(1+$A$27/100)^DCF_Base!$L$4+Assumptions!$B$5-Assumptions!$B$4)/Assumptions!$B$3*Assumptions!$B$10</f>
        <v>47.9278818621947</v>
      </c>
      <c r="D27" s="0" t="n">
        <f aca="false">(SUMPRODUCT(DCF_Base!$C$19:$L$19/(1+$A$27/100)^DCF_Base!$C$4:$L$4)+MAX(0,MIN(IF($A$27&gt;$D$23,DCF_Base!$L$19*(1+$D$23/100)/(($A$27-$D$23)/100),DCF_Base!$L$19*DCF_Base!$B$29),DCF_Base!$L$19*DCF_Base!$B$29))/(1+$A$27/100)^DCF_Base!$L$4+Assumptions!$B$5-Assumptions!$B$4)/Assumptions!$B$3*Assumptions!$B$10</f>
        <v>47.9278818621947</v>
      </c>
      <c r="E27" s="0" t="n">
        <f aca="false">(SUMPRODUCT(DCF_Base!$C$19:$L$19/(1+$A$27/100)^DCF_Base!$C$4:$L$4)+MAX(0,MIN(IF($A$27&gt;$E$23,DCF_Base!$L$19*(1+$E$23/100)/(($A$27-$E$23)/100),DCF_Base!$L$19*DCF_Base!$B$29),DCF_Base!$L$19*DCF_Base!$B$29))/(1+$A$27/100)^DCF_Base!$L$4+Assumptions!$B$5-Assumptions!$B$4)/Assumptions!$B$3*Assumptions!$B$10</f>
        <v>47.9278818621947</v>
      </c>
      <c r="F27" s="0" t="n">
        <f aca="false">(SUMPRODUCT(DCF_Base!$C$19:$L$19/(1+$A$27/100)^DCF_Base!$C$4:$L$4)+MAX(0,MIN(IF($A$27&gt;$F$23,DCF_Base!$L$19*(1+$F$23/100)/(($A$27-$F$23)/100),DCF_Base!$L$19*DCF_Base!$B$29),DCF_Base!$L$19*DCF_Base!$B$29))/(1+$A$27/100)^DCF_Base!$L$4+Assumptions!$B$5-Assumptions!$B$4)/Assumptions!$B$3*Assumptions!$B$10</f>
        <v>47.9278818621947</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39.4154248381214</v>
      </c>
      <c r="C28" s="0" t="n">
        <f aca="false">(SUMPRODUCT(DCF_Base!$C$19:$L$19/(1+$A$28/100)^DCF_Base!$C$4:$L$4)+MAX(0,MIN(IF($A$28&gt;$C$23,DCF_Base!$L$19*(1+$C$23/100)/(($A$28-$C$23)/100),DCF_Base!$L$19*DCF_Base!$B$29),DCF_Base!$L$19*DCF_Base!$B$29))/(1+$A$28/100)^DCF_Base!$L$4+Assumptions!$B$5-Assumptions!$B$4)/Assumptions!$B$3*Assumptions!$B$10</f>
        <v>41.7735035896071</v>
      </c>
      <c r="D28" s="0" t="n">
        <f aca="false">(SUMPRODUCT(DCF_Base!$C$19:$L$19/(1+$A$28/100)^DCF_Base!$C$4:$L$4)+MAX(0,MIN(IF($A$28&gt;$D$23,DCF_Base!$L$19*(1+$D$23/100)/(($A$28-$D$23)/100),DCF_Base!$L$19*DCF_Base!$B$29),DCF_Base!$L$19*DCF_Base!$B$29))/(1+$A$28/100)^DCF_Base!$L$4+Assumptions!$B$5-Assumptions!$B$4)/Assumptions!$B$3*Assumptions!$B$10</f>
        <v>42.8071819464227</v>
      </c>
      <c r="E28" s="0" t="n">
        <f aca="false">(SUMPRODUCT(DCF_Base!$C$19:$L$19/(1+$A$28/100)^DCF_Base!$C$4:$L$4)+MAX(0,MIN(IF($A$28&gt;$E$23,DCF_Base!$L$19*(1+$E$23/100)/(($A$28-$E$23)/100),DCF_Base!$L$19*DCF_Base!$B$29),DCF_Base!$L$19*DCF_Base!$B$29))/(1+$A$28/100)^DCF_Base!$L$4+Assumptions!$B$5-Assumptions!$B$4)/Assumptions!$B$3*Assumptions!$B$10</f>
        <v>42.8071819464227</v>
      </c>
      <c r="F28" s="0" t="n">
        <f aca="false">(SUMPRODUCT(DCF_Base!$C$19:$L$19/(1+$A$28/100)^DCF_Base!$C$4:$L$4)+MAX(0,MIN(IF($A$28&gt;$F$23,DCF_Base!$L$19*(1+$F$23/100)/(($A$28-$F$23)/100),DCF_Base!$L$19*DCF_Base!$B$29),DCF_Base!$L$19*DCF_Base!$B$29))/(1+$A$28/100)^DCF_Base!$L$4+Assumptions!$B$5-Assumptions!$B$4)/Assumptions!$B$3*Assumptions!$B$10</f>
        <v>42.8071819464227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2026-09-25T09:56:29Z</dcterms:created>
  <dc:creator>openpyxl</dc:creator>
  <dc:description/>
  <dc:language>en-NZ</dc:language>
  <cp:lastModifiedBy/>
  <dcterms:modified xsi:type="dcterms:W3CDTF">2026-09-25T09:56:29Z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