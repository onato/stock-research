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<sst xmlns="http://schemas.openxmlformats.org/spreadsheetml/2006/main" count="353" uniqueCount="166">
  <si>
    <t xml:space="preserve">Ticker</t>
  </si>
  <si>
    <t xml:space="preserve">3868.HK</t>
  </si>
  <si>
    <t xml:space="preserve">Company</t>
  </si>
  <si>
    <t xml:space="preserve">Xinyi Energy Holdings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</si>
  <si>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</si>
  <si>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</si>
  <si>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</si>
  <si>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</si>
  <si>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regular session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</si>
  <si>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</si>
  <si>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</si>
  <si>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</si>
  <si>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</si>
  <si>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</si>
  <si>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</si>
  <si>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</si>
  <si>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</si>
  <si>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</si>
  <si>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</si>
  <si>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</si>
  <si>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</si>
  <si>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</si>
  <si>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2026-10-22T13:30:38Z</t>
  </si>
  <si>
    <t xml:space="preserve">Drivers file</t>
  </si>
  <si>
    <t xml:space="preserve">3868.HK_Drivers.json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</si>
  <si>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</si>
  <si>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</si>
  <si>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</si>
  <si>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Xinyi Energy as a finite-life, policy-exposed cash-flow stream rather than as a growth IPP: the FY2023-FY2025 earnings growth was bought from the parent with debt and has stopped, and the 2025 tariff reform plus curtailment reset margins structurally. The model discounts unlevered, cash-conversion-adjusted owner FCF at a CNY-built 7% WACC, deducts bank debt and land leases, adds the equity-accounted Tianjin and Malaysia stakes at book, caps the terminal multiple for asset life, and converts to HKD at the dated CNY/HKD rate. The result is a wide bear-to-bull range whose weighted centre is what matters.
key_risks_to_valuation: Curtailment: a move from the official ~8.6% toward independent ~26% estimates is the single largest lever on revenue and sits in the bear case.; Mechanism-tariff bidding outcomes by province through 2026-27 set the post-FiT price level; the base assumes a further ~3% revenue step-down in FY2027.; Subsidy receivables (RMB4.2bn): settlement would add up to ~RMB0.49/share (HKD0.58) of cash the model only partly credits; continued build is the bear haircut.; Parent behaviour: Xinyi Solar controls deal flow, pricing of connected transactions and the board; the base assumes only ~100MW/yr of acquisitions.; Finite asset life: the 11x terminal cap and rising replacement capex are judgments; a 14x Gordon multiple would add ~20% to the base value.; FX: a 5% RMB depreciation against the HKD peg moves every HKD per-share value by 5%; the rate is dated 2026-10-22 and refresh_price.py does not update it.; WACC: a CNY WACC of 6-8% is defensible; each 1pp is roughly 15% of base value on a terminal-heavy stream.</t>
  </si>
  <si>
    <t xml:space="preserve">Data sources</t>
  </si>
  <si>
    <t xml:space="preserve">price: Yahoo Finance chart API at inputs.price_as_of; 52-week range 0.69-1.40 HKD. CNY/HKD from Yahoo CNYHKD=X same date.
financials: 3868.HK_Metrics.csv (core_metrics, FY2023-FY2025 and H1 FY2024-H1 FY2026 in RMB; FY2019-FY2022 in HKD not used), H1 FY2026 interim report (balance sheet, borrowings note 15, receivables note 12, EPS note 9), FY2025 annual report (cash flow, lease and ROU notes).
qualitative: 3868.HK_Analysis.json (2026-10-23): Reform Notice, curtailment estimates, acquisition pause, Tianjin deconsolidation, NZ acquisition, infrastructure-fund plan.</t>
  </si>
  <si>
    <t xml:space="preserve">Scenario narrative: bear</t>
  </si>
  <si>
    <t xml:space="preserve">Curtailment and spot-market prices deteriorate toward the independent estimates, the parent stops selling assets, FiT entitlements roll off with nothing replacing them, and subsidy arrears keep absorbing cash. Revenue falls ~27% by FY2030 and stays there; EBITDA margin (cash basis) 70%; D&amp;A stays fixed so EBIT margin halves; terminal 9x on a zero-growth stream.</t>
  </si>
  <si>
    <t xml:space="preserve">Scenario narrative: base</t>
  </si>
  <si>
    <t xml:space="preserve">A structurally lower-margin, roughly flat business. The June-2025 Reform Notice ended guaranteed fixed tariffs for new projects and moved existing capacity toward 'mechanism tariff + market price'; the H1 FY2026 result (revenue -13.1%, gross margin 51.7% vs 61.8%) is the new run-rate, not a cyclical trough. Revenue steps down ~15% over FY2026-27 and then grows 0-2% as ~100MW/yr of selective, return-tested acquisitions from Xinyi Solar offset FiT roll-off. Reported EBITDA margins hold ~86-88% on a fixed-cost asset base; cash conversion is haircut 6pp fading to 3pp for the RMB4.2bn subsidy-receivable build. Cash tax ramps to 25% as tax holidays expire. Capex rises toward 18% of revenue to fund repowering at today's panel costs; the terminal value is capped at 11x FCF for a finite-life portfolio.</t>
  </si>
  <si>
    <t xml:space="preserve">Scenario narrative: bull</t>
  </si>
  <si>
    <t xml:space="preserve">The acquisition pipeline reopens (~200MW/yr from FY2027), curtailment eases on the green-electricity quota and grid investment, mechanism tariffs settle near legacy levels, and the MoF settles subsidy arrears so operating cash converts at ~100% of EBITDA. Revenue regains its FY2025 level by FY2029 and compounds 3-6% thereafter; EBITDA margin recovers to 88.5%; terminal 12x.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</si>
  <si>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</si>
  <si>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</si>
  <si>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</si>
  <si>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</si>
  <si>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</si>
  <si>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</si>
  <si>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</si>
  <si>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</si>
  <si>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</si>
  <si>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</si>
  <si>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</si>
  <si>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</si>
  <si>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</si>
  <si>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</si>
  <si>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</si>
  <si>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</si>
  <si>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</si>
  <si>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</si>
  <si>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</si>
  <si>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</si>
  <si>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</si>
  <si>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</si>
  <si>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</si>
  <si>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</si>
  <si>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</si>
  <si>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</si>
  <si>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</si>
  <si>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</si>
  <si>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InterestPaid</t>
  </si>
  <si>
    <t xml:space="preserve">FY2019</t>
  </si>
  <si>
    <t xml:space="preserve">thousands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</si>
  <si>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</si>
  <si>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</si>
  <si>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</si>
  <si>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</si>
  <si>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</si>
  <si>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</si>
  <si>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</si>
  <si>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</si>
  <si>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</si>
  <si>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</si>
  <si>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</si>
  <si>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</si>
  <si>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</si>
  <si>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</si>
  <si>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</si>
  <si>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</si>
  <si>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</si>
  <si>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</si>
  <si>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</si>
  <si>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</si>
  <si>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</si>
  <si>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</si>
  <si>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</si>
  <si>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</si>
  <si>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</si>
  <si>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</si>
  <si>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</si>
  <si>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</si>
  <si>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</si>
  <si>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</si>
  <si>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</si>
  <si>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</si>
  <si>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</si>
  <si>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</si>
  <si>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</si>
  <si>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</si>
  <si>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</si>
  <si>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</si>
  <si>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</si>
  <si>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</si>
  <si>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</si>
  <si>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</si>
  <si>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</si>
  <si>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3868.HK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</si>
  <si>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</si>
  <si>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</si>
  <si>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</si>
  <si>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</si>
  <si>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</si>
  <si>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</si>
  <si>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</si>
  <si>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</si>
  <si>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</si>
  <si>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</si>
  <si>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</si>
  <si>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</si>
  <si>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</si>
  <si>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</si>
  <si>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</si>
  <si>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</si>
  <si>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</si>
  <si>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</si>
  <si>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</si>
  <si>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</si>
  <si>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</si>
  <si>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</si>
  <si>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</si>
  <si>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</si>
  <si>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</si>
  <si>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</si>
  <si>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</si>
  <si>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</si>
  <si>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</si>
  <si>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</si>
  <si>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3868.HK owner-FCF component DCF: base case (millions, CNY)</t>
  </si>
  <si>
    <t xml:space="preserve">3868.HK owner-FCF component DCF: bull case (millions, CNY)</t>
  </si>
  <si>
    <t xml:space="preserve">3868.HK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</si>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</sst>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1593086</v>
      </c>
      <c r="C2" s="0" t="n">
        <v>377590</v>
      </c>
      <c r="D2" s="0" t="n">
        <v>1215496</v>
      </c>
      <c r="E2" s="0" t="n">
        <v>76.3</v>
      </c>
      <c r="F2" s="0" t="n">
        <v>1170766</v>
      </c>
      <c r="G2" s="0" t="n">
        <v>73.5</v>
      </c>
      <c r="H2" s="0" t="n">
        <v>1484400</v>
      </c>
      <c r="I2" s="0" t="n">
        <v>890986</v>
      </c>
      <c r="J2" s="0" t="n">
        <v>55.9</v>
      </c>
      <c r="K2" s="0" t="n">
        <v>0.1503</v>
      </c>
      <c r="L2" s="0" t="n">
        <v>1120491</v>
      </c>
      <c r="M2" s="0" t="n">
        <v>167178</v>
      </c>
      <c r="N2" s="0" t="n">
        <v>953313</v>
      </c>
      <c r="O2" s="0" t="n">
        <v>10193739</v>
      </c>
      <c r="P2" s="0" t="n">
        <v>14966420</v>
      </c>
      <c r="Q2" s="0" t="n">
        <v>4772681</v>
      </c>
      <c r="R2" s="0" t="n">
        <v>1952968</v>
      </c>
      <c r="S2" s="0" t="n">
        <v>1631244</v>
      </c>
      <c r="T2" s="0" t="n">
        <v>5929468</v>
      </c>
      <c r="AA2" s="0" t="s">
        <v>67</v>
      </c>
      <c r="AB2" s="0" t="s">
        <v>16</v>
      </c>
      <c r="AC2" s="0" t="n">
        <v>1352662</v>
      </c>
      <c r="AD2" s="0" t="n">
        <v>100510</v>
      </c>
    </row>
    <row r="3" customFormat="false" ht="15" hidden="false" customHeight="false" outlineLevel="0" collapsed="false">
      <c r="A3" s="0" t="s">
        <v>68</v>
      </c>
      <c r="B3" s="0" t="n">
        <v>1722051</v>
      </c>
      <c r="C3" s="0" t="n">
        <v>475343</v>
      </c>
      <c r="D3" s="0" t="n">
        <v>1246708</v>
      </c>
      <c r="E3" s="0" t="n">
        <v>72.4</v>
      </c>
      <c r="F3" s="0" t="n">
        <v>1213201</v>
      </c>
      <c r="G3" s="0" t="n">
        <v>70.5</v>
      </c>
      <c r="H3" s="0" t="n">
        <v>1616400</v>
      </c>
      <c r="I3" s="0" t="n">
        <v>922007</v>
      </c>
      <c r="J3" s="0" t="n">
        <v>53.5</v>
      </c>
      <c r="K3" s="0" t="n">
        <v>0.1344</v>
      </c>
      <c r="L3" s="0" t="n">
        <v>1070880</v>
      </c>
      <c r="M3" s="0" t="n">
        <v>469408</v>
      </c>
      <c r="N3" s="0" t="n">
        <v>601472</v>
      </c>
      <c r="O3" s="0" t="n">
        <v>12005280</v>
      </c>
      <c r="P3" s="0" t="n">
        <v>17233842</v>
      </c>
      <c r="Q3" s="0" t="n">
        <v>5223557</v>
      </c>
      <c r="R3" s="0" t="n">
        <v>1863102</v>
      </c>
      <c r="S3" s="0" t="n">
        <v>1312419</v>
      </c>
      <c r="T3" s="0" t="n">
        <v>6860224</v>
      </c>
      <c r="U3" s="0" t="n">
        <v>187</v>
      </c>
      <c r="AA3" s="0" t="s">
        <v>67</v>
      </c>
      <c r="AB3" s="0" t="s">
        <v>16</v>
      </c>
      <c r="AC3" s="0" t="n">
        <v>1271999</v>
      </c>
      <c r="AD3" s="0" t="n">
        <v>56167</v>
      </c>
    </row>
    <row r="4" customFormat="false" ht="15" hidden="false" customHeight="false" outlineLevel="0" collapsed="false">
      <c r="A4" s="0" t="s">
        <v>69</v>
      </c>
      <c r="B4" s="0" t="n">
        <v>2296648</v>
      </c>
      <c r="C4" s="0" t="n">
        <v>617267</v>
      </c>
      <c r="D4" s="0" t="n">
        <v>1679381</v>
      </c>
      <c r="E4" s="0" t="n">
        <v>73.1</v>
      </c>
      <c r="F4" s="0" t="n">
        <v>1625687</v>
      </c>
      <c r="G4" s="0" t="n">
        <v>70.8</v>
      </c>
      <c r="H4" s="0" t="n">
        <v>2170900</v>
      </c>
      <c r="I4" s="0" t="n">
        <v>1232275</v>
      </c>
      <c r="J4" s="0" t="n">
        <v>53.7</v>
      </c>
      <c r="K4" s="0" t="n">
        <v>0.1733</v>
      </c>
      <c r="L4" s="0" t="n">
        <v>1225055</v>
      </c>
      <c r="M4" s="0" t="n">
        <v>825890</v>
      </c>
      <c r="N4" s="0" t="n">
        <v>399165</v>
      </c>
      <c r="O4" s="0" t="n">
        <v>12552600</v>
      </c>
      <c r="P4" s="0" t="n">
        <v>21201950</v>
      </c>
      <c r="Q4" s="0" t="n">
        <v>8641498</v>
      </c>
      <c r="R4" s="0" t="n">
        <v>4880220</v>
      </c>
      <c r="S4" s="0" t="n">
        <v>1104858</v>
      </c>
      <c r="T4" s="0" t="n">
        <v>7109998</v>
      </c>
      <c r="U4" s="0" t="n">
        <v>856</v>
      </c>
      <c r="AA4" s="0" t="s">
        <v>67</v>
      </c>
      <c r="AB4" s="0" t="s">
        <v>16</v>
      </c>
      <c r="AC4" s="0" t="n">
        <v>1505467</v>
      </c>
      <c r="AD4" s="0" t="n">
        <v>34831</v>
      </c>
    </row>
    <row r="5" customFormat="false" ht="15" hidden="false" customHeight="false" outlineLevel="0" collapsed="false">
      <c r="A5" s="0" t="s">
        <v>70</v>
      </c>
      <c r="B5" s="0" t="n">
        <v>2315275</v>
      </c>
      <c r="C5" s="0" t="n">
        <v>681048</v>
      </c>
      <c r="D5" s="0" t="n">
        <v>1634227</v>
      </c>
      <c r="E5" s="0" t="n">
        <v>70.6</v>
      </c>
      <c r="F5" s="0" t="n">
        <v>1540971</v>
      </c>
      <c r="G5" s="0" t="n">
        <v>66.6</v>
      </c>
      <c r="H5" s="0" t="n">
        <v>2140500</v>
      </c>
      <c r="I5" s="0" t="n">
        <v>971451</v>
      </c>
      <c r="J5" s="0" t="n">
        <v>42</v>
      </c>
      <c r="K5" s="0" t="n">
        <v>0.1333</v>
      </c>
      <c r="L5" s="0" t="n">
        <v>2899416</v>
      </c>
      <c r="M5" s="0" t="n">
        <v>1546532</v>
      </c>
      <c r="N5" s="0" t="n">
        <v>1352884</v>
      </c>
      <c r="O5" s="0" t="n">
        <v>11753060</v>
      </c>
      <c r="P5" s="0" t="n">
        <v>19939880</v>
      </c>
      <c r="Q5" s="0" t="n">
        <v>8177728</v>
      </c>
      <c r="R5" s="0" t="n">
        <v>4953780</v>
      </c>
      <c r="S5" s="0" t="n">
        <v>1790767</v>
      </c>
      <c r="T5" s="0" t="n">
        <v>7285290</v>
      </c>
      <c r="AA5" s="0" t="s">
        <v>67</v>
      </c>
      <c r="AB5" s="0" t="s">
        <v>16</v>
      </c>
      <c r="AC5" s="0" t="n">
        <v>3332783</v>
      </c>
      <c r="AD5" s="0" t="n">
        <v>103470</v>
      </c>
    </row>
    <row r="6" customFormat="false" ht="15" hidden="false" customHeight="false" outlineLevel="0" collapsed="false">
      <c r="A6" s="0" t="s">
        <v>71</v>
      </c>
      <c r="B6" s="0" t="n">
        <v>2280821</v>
      </c>
      <c r="C6" s="0" t="n">
        <v>732440</v>
      </c>
      <c r="D6" s="0" t="n">
        <v>1548381</v>
      </c>
      <c r="E6" s="0" t="n">
        <v>67.9</v>
      </c>
      <c r="F6" s="0" t="n">
        <v>1497340</v>
      </c>
      <c r="G6" s="0" t="n">
        <v>65.6</v>
      </c>
      <c r="H6" s="0" t="n">
        <v>2107900</v>
      </c>
      <c r="I6" s="0" t="n">
        <v>898292</v>
      </c>
      <c r="J6" s="0" t="n">
        <v>39.4</v>
      </c>
      <c r="K6" s="0" t="n">
        <v>0.1136</v>
      </c>
      <c r="L6" s="0" t="n">
        <v>675532</v>
      </c>
      <c r="M6" s="0" t="n">
        <v>2369535</v>
      </c>
      <c r="N6" s="0" t="n">
        <v>-1694003</v>
      </c>
      <c r="O6" s="0" t="n">
        <v>12119808</v>
      </c>
      <c r="P6" s="0" t="n">
        <v>19263243</v>
      </c>
      <c r="Q6" s="0" t="n">
        <v>7133624</v>
      </c>
      <c r="R6" s="0" t="n">
        <v>5715530</v>
      </c>
      <c r="S6" s="0" t="n">
        <v>587926</v>
      </c>
      <c r="T6" s="0" t="n">
        <v>7906257</v>
      </c>
      <c r="AA6" s="0" t="s">
        <v>67</v>
      </c>
      <c r="AB6" s="0" t="s">
        <v>14</v>
      </c>
      <c r="AC6" s="0" t="n">
        <v>1219869</v>
      </c>
      <c r="AD6" s="0" t="n">
        <v>252083</v>
      </c>
    </row>
    <row r="7" customFormat="false" ht="15" hidden="false" customHeight="false" outlineLevel="0" collapsed="false">
      <c r="A7" s="0" t="s">
        <v>72</v>
      </c>
      <c r="B7" s="0" t="n">
        <v>2440447</v>
      </c>
      <c r="C7" s="0" t="n">
        <v>840717</v>
      </c>
      <c r="D7" s="0" t="n">
        <v>1599730</v>
      </c>
      <c r="E7" s="0" t="n">
        <v>65.6</v>
      </c>
      <c r="F7" s="0" t="n">
        <v>1529986</v>
      </c>
      <c r="G7" s="0" t="n">
        <v>62.7</v>
      </c>
      <c r="H7" s="0" t="n">
        <v>2232000</v>
      </c>
      <c r="I7" s="0" t="n">
        <v>790851</v>
      </c>
      <c r="J7" s="0" t="n">
        <v>32.4</v>
      </c>
      <c r="K7" s="0" t="n">
        <v>0.0955</v>
      </c>
      <c r="L7" s="0" t="n">
        <v>956244</v>
      </c>
      <c r="M7" s="0" t="n">
        <v>2301324</v>
      </c>
      <c r="N7" s="0" t="n">
        <v>-1345080</v>
      </c>
      <c r="O7" s="0" t="n">
        <v>12504485</v>
      </c>
      <c r="P7" s="0" t="n">
        <v>21668501</v>
      </c>
      <c r="Q7" s="0" t="n">
        <v>9164016</v>
      </c>
      <c r="R7" s="0" t="n">
        <v>7330474</v>
      </c>
      <c r="S7" s="0" t="n">
        <v>354238</v>
      </c>
      <c r="T7" s="0" t="n">
        <v>8283062</v>
      </c>
      <c r="AA7" s="0" t="s">
        <v>67</v>
      </c>
      <c r="AB7" s="0" t="s">
        <v>14</v>
      </c>
      <c r="AC7" s="0" t="n">
        <v>1649891</v>
      </c>
      <c r="AD7" s="0" t="n">
        <v>311857</v>
      </c>
    </row>
    <row r="8" customFormat="false" ht="15" hidden="false" customHeight="false" outlineLevel="0" collapsed="false">
      <c r="A8" s="0" t="s">
        <v>73</v>
      </c>
      <c r="B8" s="0" t="n">
        <v>2453308</v>
      </c>
      <c r="C8" s="0" t="n">
        <v>937248</v>
      </c>
      <c r="D8" s="0" t="n">
        <v>1516060</v>
      </c>
      <c r="E8" s="0" t="n">
        <v>61.8</v>
      </c>
      <c r="F8" s="0" t="n">
        <v>1585832</v>
      </c>
      <c r="G8" s="0" t="n">
        <v>64.6</v>
      </c>
      <c r="H8" s="0" t="n">
        <v>2368800</v>
      </c>
      <c r="I8" s="0" t="n">
        <v>1010712</v>
      </c>
      <c r="J8" s="0" t="n">
        <v>41.2</v>
      </c>
      <c r="K8" s="0" t="n">
        <v>0.12</v>
      </c>
      <c r="L8" s="0" t="n">
        <v>1651044</v>
      </c>
      <c r="M8" s="0" t="n">
        <v>1001404</v>
      </c>
      <c r="N8" s="0" t="n">
        <v>649640</v>
      </c>
      <c r="O8" s="0" t="n">
        <v>13238688</v>
      </c>
      <c r="P8" s="0" t="n">
        <v>22416225</v>
      </c>
      <c r="Q8" s="0" t="n">
        <v>9177928</v>
      </c>
      <c r="R8" s="0" t="n">
        <v>7297248</v>
      </c>
      <c r="S8" s="0" t="n">
        <v>950638</v>
      </c>
      <c r="T8" s="0" t="n">
        <v>8424292</v>
      </c>
      <c r="AA8" s="0" t="s">
        <v>67</v>
      </c>
      <c r="AB8" s="0" t="s">
        <v>14</v>
      </c>
      <c r="AC8" s="0" t="n">
        <v>2152644</v>
      </c>
      <c r="AD8" s="0" t="n">
        <v>218056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0.71</v>
      </c>
    </row>
    <row r="3" customFormat="false" ht="15" hidden="false" customHeight="false" outlineLevel="0" collapsed="false">
      <c r="A3" s="0" t="s">
        <v>77</v>
      </c>
      <c r="B3" s="3" t="n">
        <v>8520</v>
      </c>
    </row>
    <row r="4" customFormat="false" ht="15" hidden="false" customHeight="false" outlineLevel="0" collapsed="false">
      <c r="A4" s="0" t="s">
        <v>78</v>
      </c>
      <c r="B4" s="3" t="n">
        <v>6972.868</v>
      </c>
    </row>
    <row r="5" customFormat="false" ht="15" hidden="false" customHeight="false" outlineLevel="0" collapsed="false">
      <c r="A5" s="0" t="s">
        <v>79</v>
      </c>
      <c r="B5" s="3" t="n">
        <v>506.805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2453.308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1.1734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-14</v>
      </c>
      <c r="D13" s="3" t="n">
        <v>-8</v>
      </c>
      <c r="E13" s="3" t="n">
        <v>-4</v>
      </c>
      <c r="F13" s="3" t="n">
        <v>-2</v>
      </c>
      <c r="G13" s="3" t="n">
        <v>-1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98</v>
      </c>
      <c r="C14" s="3" t="n">
        <v>78</v>
      </c>
      <c r="D14" s="3" t="n">
        <v>74</v>
      </c>
      <c r="E14" s="3" t="n">
        <v>72</v>
      </c>
      <c r="F14" s="3" t="n">
        <v>71</v>
      </c>
      <c r="G14" s="3" t="n">
        <v>70</v>
      </c>
      <c r="H14" s="3" t="n">
        <v>70</v>
      </c>
      <c r="I14" s="3" t="n">
        <v>70</v>
      </c>
      <c r="J14" s="3" t="n">
        <v>70</v>
      </c>
      <c r="K14" s="3" t="n">
        <v>70</v>
      </c>
      <c r="L14" s="3" t="n">
        <v>70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35</v>
      </c>
      <c r="D17" s="3" t="n">
        <v>37</v>
      </c>
      <c r="E17" s="3" t="n">
        <v>38</v>
      </c>
      <c r="F17" s="3" t="n">
        <v>38.5</v>
      </c>
      <c r="G17" s="3" t="n">
        <v>39</v>
      </c>
      <c r="H17" s="3" t="n">
        <v>39</v>
      </c>
      <c r="I17" s="3" t="n">
        <v>39</v>
      </c>
      <c r="J17" s="3" t="n">
        <v>39</v>
      </c>
      <c r="K17" s="3" t="n">
        <v>39</v>
      </c>
      <c r="L17" s="3" t="n">
        <v>39</v>
      </c>
    </row>
    <row r="18" customFormat="false" ht="15" hidden="false" customHeight="false" outlineLevel="0" collapsed="false">
      <c r="A18" s="0" t="s">
        <v>102</v>
      </c>
      <c r="C18" s="3" t="n">
        <v>10</v>
      </c>
      <c r="D18" s="3" t="n">
        <v>8</v>
      </c>
      <c r="E18" s="3" t="n">
        <v>8</v>
      </c>
      <c r="F18" s="3" t="n">
        <v>10</v>
      </c>
      <c r="G18" s="3" t="n">
        <v>12</v>
      </c>
      <c r="H18" s="3" t="n">
        <v>15</v>
      </c>
      <c r="I18" s="3" t="n">
        <v>18</v>
      </c>
      <c r="J18" s="3" t="n">
        <v>20</v>
      </c>
      <c r="K18" s="3" t="n">
        <v>20</v>
      </c>
      <c r="L18" s="3" t="n">
        <v>20</v>
      </c>
    </row>
    <row r="19" customFormat="false" ht="15" hidden="false" customHeight="false" outlineLevel="0" collapsed="false">
      <c r="A19" s="0" t="s">
        <v>103</v>
      </c>
      <c r="C19" s="3" t="n">
        <v>22</v>
      </c>
      <c r="D19" s="3" t="n">
        <v>24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9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-12</v>
      </c>
      <c r="D27" s="3" t="n">
        <v>-3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98</v>
      </c>
      <c r="C28" s="3" t="n">
        <v>81.5</v>
      </c>
      <c r="D28" s="3" t="n">
        <v>80.5</v>
      </c>
      <c r="E28" s="3" t="n">
        <v>80.5</v>
      </c>
      <c r="F28" s="3" t="n">
        <v>80.5</v>
      </c>
      <c r="G28" s="3" t="n">
        <v>81</v>
      </c>
      <c r="H28" s="3" t="n">
        <v>81.5</v>
      </c>
      <c r="I28" s="3" t="n">
        <v>82</v>
      </c>
      <c r="J28" s="3" t="n">
        <v>82.5</v>
      </c>
      <c r="K28" s="3" t="n">
        <v>83</v>
      </c>
      <c r="L28" s="3" t="n">
        <v>83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34.5</v>
      </c>
      <c r="D31" s="3" t="n">
        <v>35</v>
      </c>
      <c r="E31" s="3" t="n">
        <v>35</v>
      </c>
      <c r="F31" s="3" t="n">
        <v>34.5</v>
      </c>
      <c r="G31" s="3" t="n">
        <v>34</v>
      </c>
      <c r="H31" s="3" t="n">
        <v>33.5</v>
      </c>
      <c r="I31" s="3" t="n">
        <v>33</v>
      </c>
      <c r="J31" s="3" t="n">
        <v>33</v>
      </c>
      <c r="K31" s="3" t="n">
        <v>33</v>
      </c>
      <c r="L31" s="3" t="n">
        <v>33</v>
      </c>
    </row>
    <row r="32" customFormat="false" ht="15" hidden="false" customHeight="false" outlineLevel="0" collapsed="false">
      <c r="A32" s="0" t="s">
        <v>102</v>
      </c>
      <c r="C32" s="3" t="n">
        <v>10</v>
      </c>
      <c r="D32" s="3" t="n">
        <v>14</v>
      </c>
      <c r="E32" s="3" t="n">
        <v>15</v>
      </c>
      <c r="F32" s="3" t="n">
        <v>15</v>
      </c>
      <c r="G32" s="3" t="n">
        <v>15</v>
      </c>
      <c r="H32" s="3" t="n">
        <v>16</v>
      </c>
      <c r="I32" s="3" t="n">
        <v>17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103</v>
      </c>
      <c r="C33" s="3" t="n">
        <v>22</v>
      </c>
      <c r="D33" s="3" t="n">
        <v>23</v>
      </c>
      <c r="E33" s="3" t="n">
        <v>24</v>
      </c>
      <c r="F33" s="3" t="n">
        <v>24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11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-10</v>
      </c>
      <c r="D41" s="3" t="n">
        <v>2</v>
      </c>
      <c r="E41" s="3" t="n">
        <v>5</v>
      </c>
      <c r="F41" s="3" t="n">
        <v>6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86</v>
      </c>
      <c r="D42" s="3" t="n">
        <v>86</v>
      </c>
      <c r="E42" s="3" t="n">
        <v>86.5</v>
      </c>
      <c r="F42" s="3" t="n">
        <v>87</v>
      </c>
      <c r="G42" s="3" t="n">
        <v>87.5</v>
      </c>
      <c r="H42" s="3" t="n">
        <v>88</v>
      </c>
      <c r="I42" s="3" t="n">
        <v>88.5</v>
      </c>
      <c r="J42" s="3" t="n">
        <v>88.5</v>
      </c>
      <c r="K42" s="3" t="n">
        <v>88.5</v>
      </c>
      <c r="L42" s="3" t="n">
        <v>88.5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34</v>
      </c>
      <c r="D45" s="3" t="n">
        <v>33.5</v>
      </c>
      <c r="E45" s="3" t="n">
        <v>33</v>
      </c>
      <c r="F45" s="3" t="n">
        <v>33</v>
      </c>
      <c r="G45" s="3" t="n">
        <v>32.5</v>
      </c>
      <c r="H45" s="3" t="n">
        <v>32.5</v>
      </c>
      <c r="I45" s="3" t="n">
        <v>32</v>
      </c>
      <c r="J45" s="3" t="n">
        <v>32</v>
      </c>
      <c r="K45" s="3" t="n">
        <v>32</v>
      </c>
      <c r="L45" s="3" t="n">
        <v>32</v>
      </c>
    </row>
    <row r="46" customFormat="false" ht="15" hidden="false" customHeight="false" outlineLevel="0" collapsed="false">
      <c r="A46" s="0" t="s">
        <v>102</v>
      </c>
      <c r="C46" s="3" t="n">
        <v>12</v>
      </c>
      <c r="D46" s="3" t="n">
        <v>20</v>
      </c>
      <c r="E46" s="3" t="n">
        <v>22</v>
      </c>
      <c r="F46" s="3" t="n">
        <v>22</v>
      </c>
      <c r="G46" s="3" t="n">
        <v>22</v>
      </c>
      <c r="H46" s="3" t="n">
        <v>20</v>
      </c>
      <c r="I46" s="3" t="n">
        <v>20</v>
      </c>
      <c r="J46" s="3" t="n">
        <v>20</v>
      </c>
      <c r="K46" s="3" t="n">
        <v>20</v>
      </c>
      <c r="L46" s="3" t="n">
        <v>20</v>
      </c>
    </row>
    <row r="47" customFormat="false" ht="15" hidden="false" customHeight="false" outlineLevel="0" collapsed="false">
      <c r="A47" s="0" t="s">
        <v>103</v>
      </c>
      <c r="C47" s="3" t="n">
        <v>22</v>
      </c>
      <c r="D47" s="3" t="n">
        <v>23</v>
      </c>
      <c r="E47" s="3" t="n">
        <v>24</v>
      </c>
      <c r="F47" s="3" t="n">
        <v>24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1.5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-14</v>
      </c>
      <c r="D5" s="4" t="n">
        <f aca="false">Assumptions!D13</f>
        <v>-8</v>
      </c>
      <c r="E5" s="4" t="n">
        <f aca="false">Assumptions!E13</f>
        <v>-4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2453.308</v>
      </c>
      <c r="C6" s="0" t="n">
        <f aca="false">B6*(1+C5/100)</f>
        <v>2109.84488</v>
      </c>
      <c r="D6" s="0" t="n">
        <f aca="false">C6*(1+D5/100)</f>
        <v>1941.0572896</v>
      </c>
      <c r="E6" s="0" t="n">
        <f aca="false">D6*(1+E5/100)</f>
        <v>1863.414998016</v>
      </c>
      <c r="F6" s="0" t="n">
        <f aca="false">E6*(1+F5/100)</f>
        <v>1826.14669805568</v>
      </c>
      <c r="G6" s="0" t="n">
        <f aca="false">F6*(1+G5/100)</f>
        <v>1807.88523107512</v>
      </c>
      <c r="H6" s="0" t="n">
        <f aca="false">G6*(1+H5/100)</f>
        <v>1807.88523107512</v>
      </c>
      <c r="I6" s="0" t="n">
        <f aca="false">H6*(1+I5/100)</f>
        <v>1807.88523107512</v>
      </c>
      <c r="J6" s="0" t="n">
        <f aca="false">I6*(1+J5/100)</f>
        <v>1807.88523107512</v>
      </c>
      <c r="K6" s="0" t="n">
        <f aca="false">J6*(1+K5/100)</f>
        <v>1807.88523107512</v>
      </c>
      <c r="L6" s="0" t="n">
        <f aca="false">K6*(1+L5/100)</f>
        <v>1807.88523107512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78</v>
      </c>
      <c r="D7" s="4" t="n">
        <f aca="false">Assumptions!D14</f>
        <v>74</v>
      </c>
      <c r="E7" s="4" t="n">
        <f aca="false">Assumptions!E14</f>
        <v>72</v>
      </c>
      <c r="F7" s="4" t="n">
        <f aca="false">Assumptions!F14</f>
        <v>71</v>
      </c>
      <c r="G7" s="4" t="n">
        <f aca="false">Assumptions!G14</f>
        <v>70</v>
      </c>
      <c r="H7" s="4" t="n">
        <f aca="false">Assumptions!H14</f>
        <v>70</v>
      </c>
      <c r="I7" s="4" t="n">
        <f aca="false">Assumptions!I14</f>
        <v>70</v>
      </c>
      <c r="J7" s="4" t="n">
        <f aca="false">Assumptions!J14</f>
        <v>70</v>
      </c>
      <c r="K7" s="4" t="n">
        <f aca="false">Assumptions!K14</f>
        <v>70</v>
      </c>
      <c r="L7" s="4" t="n">
        <f aca="false">Assumptions!L14</f>
        <v>70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1645.6790064</v>
      </c>
      <c r="D8" s="0" t="n">
        <f aca="false">D6*D7/100</f>
        <v>1436.382394304</v>
      </c>
      <c r="E8" s="0" t="n">
        <f aca="false">E6*E7/100</f>
        <v>1341.65879857152</v>
      </c>
      <c r="F8" s="0" t="n">
        <f aca="false">F6*F7/100</f>
        <v>1296.56415561953</v>
      </c>
      <c r="G8" s="0" t="n">
        <f aca="false">G6*G7/100</f>
        <v>1265.51966175259</v>
      </c>
      <c r="H8" s="0" t="n">
        <f aca="false">H6*H7/100</f>
        <v>1265.51966175259</v>
      </c>
      <c r="I8" s="0" t="n">
        <f aca="false">I6*I7/100</f>
        <v>1265.51966175259</v>
      </c>
      <c r="J8" s="0" t="n">
        <f aca="false">J6*J7/100</f>
        <v>1265.51966175259</v>
      </c>
      <c r="K8" s="0" t="n">
        <f aca="false">K6*K7/100</f>
        <v>1265.51966175259</v>
      </c>
      <c r="L8" s="0" t="n">
        <f aca="false">L6*L7/100</f>
        <v>1265.51966175259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1645.6790064</v>
      </c>
      <c r="D11" s="0" t="n">
        <f aca="false">D8+D10+D24</f>
        <v>1436.382394304</v>
      </c>
      <c r="E11" s="0" t="n">
        <f aca="false">E8+E10+E24</f>
        <v>1341.65879857152</v>
      </c>
      <c r="F11" s="0" t="n">
        <f aca="false">F8+F10+F24</f>
        <v>1296.56415561953</v>
      </c>
      <c r="G11" s="0" t="n">
        <f aca="false">G8+G10+G24</f>
        <v>1265.51966175259</v>
      </c>
      <c r="H11" s="0" t="n">
        <f aca="false">H8+H10+H24</f>
        <v>1265.51966175259</v>
      </c>
      <c r="I11" s="0" t="n">
        <f aca="false">I8+I10+I24</f>
        <v>1265.51966175259</v>
      </c>
      <c r="J11" s="0" t="n">
        <f aca="false">J8+J10+J24</f>
        <v>1265.51966175259</v>
      </c>
      <c r="K11" s="0" t="n">
        <f aca="false">K8+K10+K24</f>
        <v>1265.51966175259</v>
      </c>
      <c r="L11" s="0" t="n">
        <f aca="false">L8+L10+L24</f>
        <v>1265.51966175259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-738.445708</v>
      </c>
      <c r="D12" s="4" t="n">
        <f aca="false">-D6*Assumptions!D17/100</f>
        <v>-718.191197152</v>
      </c>
      <c r="E12" s="4" t="n">
        <f aca="false">-E6*Assumptions!E17/100</f>
        <v>-708.09769924608</v>
      </c>
      <c r="F12" s="4" t="n">
        <f aca="false">-F6*Assumptions!F17/100</f>
        <v>-703.066478751437</v>
      </c>
      <c r="G12" s="4" t="n">
        <f aca="false">-G6*Assumptions!G17/100</f>
        <v>-705.075240119298</v>
      </c>
      <c r="H12" s="4" t="n">
        <f aca="false">-H6*Assumptions!H17/100</f>
        <v>-705.075240119298</v>
      </c>
      <c r="I12" s="4" t="n">
        <f aca="false">-I6*Assumptions!I17/100</f>
        <v>-705.075240119298</v>
      </c>
      <c r="J12" s="4" t="n">
        <f aca="false">-J6*Assumptions!J17/100</f>
        <v>-705.075240119298</v>
      </c>
      <c r="K12" s="4" t="n">
        <f aca="false">-K6*Assumptions!K17/100</f>
        <v>-705.075240119298</v>
      </c>
      <c r="L12" s="4" t="n">
        <f aca="false">-L6*Assumptions!L17/100</f>
        <v>-705.075240119298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907.2332984</v>
      </c>
      <c r="D13" s="0" t="n">
        <f aca="false">D11+D12</f>
        <v>718.191197152</v>
      </c>
      <c r="E13" s="0" t="n">
        <f aca="false">E11+E12</f>
        <v>633.56109932544</v>
      </c>
      <c r="F13" s="0" t="n">
        <f aca="false">F11+F12</f>
        <v>593.497676868096</v>
      </c>
      <c r="G13" s="0" t="n">
        <f aca="false">G11+G12</f>
        <v>560.444421633288</v>
      </c>
      <c r="H13" s="0" t="n">
        <f aca="false">H11+H12</f>
        <v>560.444421633288</v>
      </c>
      <c r="I13" s="0" t="n">
        <f aca="false">I11+I12</f>
        <v>560.444421633288</v>
      </c>
      <c r="J13" s="0" t="n">
        <f aca="false">J11+J12</f>
        <v>560.444421633288</v>
      </c>
      <c r="K13" s="0" t="n">
        <f aca="false">K11+K12</f>
        <v>560.444421633288</v>
      </c>
      <c r="L13" s="0" t="n">
        <f aca="false">L11+L12</f>
        <v>560.444421633288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22</v>
      </c>
      <c r="D14" s="4" t="n">
        <f aca="false">Assumptions!D19</f>
        <v>24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707.641972752</v>
      </c>
      <c r="D15" s="0" t="n">
        <f aca="false">D13-MAX(0,D13)*D14/100</f>
        <v>545.82530983552</v>
      </c>
      <c r="E15" s="0" t="n">
        <f aca="false">E13-MAX(0,E13)*E14/100</f>
        <v>475.17082449408</v>
      </c>
      <c r="F15" s="0" t="n">
        <f aca="false">F13-MAX(0,F13)*F14/100</f>
        <v>445.123257651072</v>
      </c>
      <c r="G15" s="0" t="n">
        <f aca="false">G13-MAX(0,G13)*G14/100</f>
        <v>420.333316224966</v>
      </c>
      <c r="H15" s="0" t="n">
        <f aca="false">H13-MAX(0,H13)*H14/100</f>
        <v>420.333316224966</v>
      </c>
      <c r="I15" s="0" t="n">
        <f aca="false">I13-MAX(0,I13)*I14/100</f>
        <v>420.333316224966</v>
      </c>
      <c r="J15" s="0" t="n">
        <f aca="false">J13-MAX(0,J13)*J14/100</f>
        <v>420.333316224966</v>
      </c>
      <c r="K15" s="0" t="n">
        <f aca="false">K13-MAX(0,K13)*K14/100</f>
        <v>420.333316224966</v>
      </c>
      <c r="L15" s="0" t="n">
        <f aca="false">L13-MAX(0,L13)*L14/100</f>
        <v>420.333316224966</v>
      </c>
    </row>
    <row r="16" customFormat="false" ht="15" hidden="false" customHeight="false" outlineLevel="0" collapsed="false">
      <c r="A16" s="0" t="s">
        <v>119</v>
      </c>
      <c r="C16" s="0" t="n">
        <f aca="false">-C12</f>
        <v>738.445708</v>
      </c>
      <c r="D16" s="0" t="n">
        <f aca="false">-D12</f>
        <v>718.191197152</v>
      </c>
      <c r="E16" s="0" t="n">
        <f aca="false">-E12</f>
        <v>708.09769924608</v>
      </c>
      <c r="F16" s="0" t="n">
        <f aca="false">-F12</f>
        <v>703.066478751437</v>
      </c>
      <c r="G16" s="0" t="n">
        <f aca="false">-G12</f>
        <v>705.075240119298</v>
      </c>
      <c r="H16" s="0" t="n">
        <f aca="false">-H12</f>
        <v>705.075240119298</v>
      </c>
      <c r="I16" s="0" t="n">
        <f aca="false">-I12</f>
        <v>705.075240119298</v>
      </c>
      <c r="J16" s="0" t="n">
        <f aca="false">-J12</f>
        <v>705.075240119298</v>
      </c>
      <c r="K16" s="0" t="n">
        <f aca="false">-K12</f>
        <v>705.075240119298</v>
      </c>
      <c r="L16" s="0" t="n">
        <f aca="false">-L12</f>
        <v>705.075240119298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-210.984488</v>
      </c>
      <c r="D17" s="4" t="n">
        <f aca="false">-D6*Assumptions!D18/100</f>
        <v>-155.284583168</v>
      </c>
      <c r="E17" s="4" t="n">
        <f aca="false">-E6*Assumptions!E18/100</f>
        <v>-149.07319984128</v>
      </c>
      <c r="F17" s="4" t="n">
        <f aca="false">-F6*Assumptions!F18/100</f>
        <v>-182.614669805568</v>
      </c>
      <c r="G17" s="4" t="n">
        <f aca="false">-G6*Assumptions!G18/100</f>
        <v>-216.946227729015</v>
      </c>
      <c r="H17" s="4" t="n">
        <f aca="false">-H6*Assumptions!H18/100</f>
        <v>-271.182784661268</v>
      </c>
      <c r="I17" s="4" t="n">
        <f aca="false">-I6*Assumptions!I18/100</f>
        <v>-325.419341593522</v>
      </c>
      <c r="J17" s="4" t="n">
        <f aca="false">-J6*Assumptions!J18/100</f>
        <v>-361.577046215025</v>
      </c>
      <c r="K17" s="4" t="n">
        <f aca="false">-K6*Assumptions!K18/100</f>
        <v>-361.577046215025</v>
      </c>
      <c r="L17" s="4" t="n">
        <f aca="false">-L6*Assumptions!L18/100</f>
        <v>-361.577046215025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1235.103192752</v>
      </c>
      <c r="D19" s="0" t="n">
        <f aca="false">D15+D16+D17+D18</f>
        <v>1108.73192381952</v>
      </c>
      <c r="E19" s="0" t="n">
        <f aca="false">E15+E16+E17+E18</f>
        <v>1034.19532389888</v>
      </c>
      <c r="F19" s="0" t="n">
        <f aca="false">F15+F16+F17+F18</f>
        <v>965.575066596941</v>
      </c>
      <c r="G19" s="0" t="n">
        <f aca="false">G15+G16+G17+G18</f>
        <v>908.462328615249</v>
      </c>
      <c r="H19" s="0" t="n">
        <f aca="false">H15+H16+H17+H18</f>
        <v>854.225771682996</v>
      </c>
      <c r="I19" s="0" t="n">
        <f aca="false">I15+I16+I17+I18</f>
        <v>799.989214750742</v>
      </c>
      <c r="J19" s="0" t="n">
        <f aca="false">J15+J16+J17+J18</f>
        <v>763.831510129239</v>
      </c>
      <c r="K19" s="0" t="n">
        <f aca="false">K15+K16+K17+K18</f>
        <v>763.831510129239</v>
      </c>
      <c r="L19" s="0" t="n">
        <f aca="false">L15+L16+L17+L18</f>
        <v>763.831510129239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1154.30204930093</v>
      </c>
      <c r="D21" s="0" t="n">
        <f aca="false">D19*D20</f>
        <v>968.409401536833</v>
      </c>
      <c r="E21" s="0" t="n">
        <f aca="false">E19*E20</f>
        <v>844.211447189103</v>
      </c>
      <c r="F21" s="0" t="n">
        <f aca="false">F19*F20</f>
        <v>736.632595179276</v>
      </c>
      <c r="G21" s="0" t="n">
        <f aca="false">G19*G20</f>
        <v>647.721084884223</v>
      </c>
      <c r="H21" s="0" t="n">
        <f aca="false">H19*H20</f>
        <v>569.206700344624</v>
      </c>
      <c r="I21" s="0" t="n">
        <f aca="false">I19*I20</f>
        <v>498.193076996481</v>
      </c>
      <c r="J21" s="0" t="n">
        <f aca="false">J19*J20</f>
        <v>444.55689324888</v>
      </c>
      <c r="K21" s="0" t="n">
        <f aca="false">K19*K20</f>
        <v>415.473732008299</v>
      </c>
      <c r="L21" s="0" t="n">
        <f aca="false">L19*L20</f>
        <v>388.293207484391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6667.00018817304</v>
      </c>
    </row>
    <row r="31" customFormat="false" ht="15" hidden="false" customHeight="false" outlineLevel="0" collapsed="false">
      <c r="A31" s="0" t="s">
        <v>128</v>
      </c>
      <c r="B31" s="0" t="n">
        <f aca="false">L19</f>
        <v>763.831510129239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10911.878716132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6874.48359116315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6874.48359116315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3494.63886735952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10161.6390555326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3695.57605553257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0.508965838446234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-0.283146706413755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0.508965838446234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5092.21006752826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-0.0393283249858404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-12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1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2453.308</v>
      </c>
      <c r="C6" s="0" t="n">
        <f aca="false">B6*(1+C5/100)</f>
        <v>2158.91104</v>
      </c>
      <c r="D6" s="0" t="n">
        <f aca="false">C6*(1+D5/100)</f>
        <v>2094.1437088</v>
      </c>
      <c r="E6" s="0" t="n">
        <f aca="false">D6*(1+E5/100)</f>
        <v>2094.1437088</v>
      </c>
      <c r="F6" s="0" t="n">
        <f aca="false">E6*(1+F5/100)</f>
        <v>2115.085145888</v>
      </c>
      <c r="G6" s="0" t="n">
        <f aca="false">F6*(1+G5/100)</f>
        <v>2157.38684880576</v>
      </c>
      <c r="H6" s="0" t="n">
        <f aca="false">G6*(1+H5/100)</f>
        <v>2200.53458578187</v>
      </c>
      <c r="I6" s="0" t="n">
        <f aca="false">H6*(1+I5/100)</f>
        <v>2244.54527749751</v>
      </c>
      <c r="J6" s="0" t="n">
        <f aca="false">I6*(1+J5/100)</f>
        <v>2278.21345665998</v>
      </c>
      <c r="K6" s="0" t="n">
        <f aca="false">J6*(1+K5/100)</f>
        <v>2312.38665850987</v>
      </c>
      <c r="L6" s="0" t="n">
        <f aca="false">K6*(1+L5/100)</f>
        <v>2347.07245838752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81.5</v>
      </c>
      <c r="D7" s="4" t="n">
        <f aca="false">Assumptions!D28</f>
        <v>80.5</v>
      </c>
      <c r="E7" s="4" t="n">
        <f aca="false">Assumptions!E28</f>
        <v>80.5</v>
      </c>
      <c r="F7" s="4" t="n">
        <f aca="false">Assumptions!F28</f>
        <v>80.5</v>
      </c>
      <c r="G7" s="4" t="n">
        <f aca="false">Assumptions!G28</f>
        <v>81</v>
      </c>
      <c r="H7" s="4" t="n">
        <f aca="false">Assumptions!H28</f>
        <v>81.5</v>
      </c>
      <c r="I7" s="4" t="n">
        <f aca="false">Assumptions!I28</f>
        <v>82</v>
      </c>
      <c r="J7" s="4" t="n">
        <f aca="false">Assumptions!J28</f>
        <v>82.5</v>
      </c>
      <c r="K7" s="4" t="n">
        <f aca="false">Assumptions!K28</f>
        <v>83</v>
      </c>
      <c r="L7" s="4" t="n">
        <f aca="false">Assumptions!L28</f>
        <v>83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1759.5124976</v>
      </c>
      <c r="D8" s="0" t="n">
        <f aca="false">D6*D7/100</f>
        <v>1685.785685584</v>
      </c>
      <c r="E8" s="0" t="n">
        <f aca="false">E6*E7/100</f>
        <v>1685.785685584</v>
      </c>
      <c r="F8" s="0" t="n">
        <f aca="false">F6*F7/100</f>
        <v>1702.64354243984</v>
      </c>
      <c r="G8" s="0" t="n">
        <f aca="false">G6*G7/100</f>
        <v>1747.48334753267</v>
      </c>
      <c r="H8" s="0" t="n">
        <f aca="false">H6*H7/100</f>
        <v>1793.43568741223</v>
      </c>
      <c r="I8" s="0" t="n">
        <f aca="false">I6*I7/100</f>
        <v>1840.52712754796</v>
      </c>
      <c r="J8" s="0" t="n">
        <f aca="false">J6*J7/100</f>
        <v>1879.52610174448</v>
      </c>
      <c r="K8" s="0" t="n">
        <f aca="false">K6*K7/100</f>
        <v>1919.2809265632</v>
      </c>
      <c r="L8" s="0" t="n">
        <f aca="false">L6*L7/100</f>
        <v>1948.07014046164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1759.5124976</v>
      </c>
      <c r="D11" s="0" t="n">
        <f aca="false">D8+D10+D24</f>
        <v>1685.785685584</v>
      </c>
      <c r="E11" s="0" t="n">
        <f aca="false">E8+E10+E24</f>
        <v>1685.785685584</v>
      </c>
      <c r="F11" s="0" t="n">
        <f aca="false">F8+F10+F24</f>
        <v>1702.64354243984</v>
      </c>
      <c r="G11" s="0" t="n">
        <f aca="false">G8+G10+G24</f>
        <v>1747.48334753267</v>
      </c>
      <c r="H11" s="0" t="n">
        <f aca="false">H8+H10+H24</f>
        <v>1793.43568741223</v>
      </c>
      <c r="I11" s="0" t="n">
        <f aca="false">I8+I10+I24</f>
        <v>1840.52712754796</v>
      </c>
      <c r="J11" s="0" t="n">
        <f aca="false">J8+J10+J24</f>
        <v>1879.52610174448</v>
      </c>
      <c r="K11" s="0" t="n">
        <f aca="false">K8+K10+K24</f>
        <v>1919.2809265632</v>
      </c>
      <c r="L11" s="0" t="n">
        <f aca="false">L8+L10+L24</f>
        <v>1948.07014046164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-744.8243088</v>
      </c>
      <c r="D12" s="4" t="n">
        <f aca="false">-D6*Assumptions!D31/100</f>
        <v>-732.95029808</v>
      </c>
      <c r="E12" s="4" t="n">
        <f aca="false">-E6*Assumptions!E31/100</f>
        <v>-732.95029808</v>
      </c>
      <c r="F12" s="4" t="n">
        <f aca="false">-F6*Assumptions!F31/100</f>
        <v>-729.70437533136</v>
      </c>
      <c r="G12" s="4" t="n">
        <f aca="false">-G6*Assumptions!G31/100</f>
        <v>-733.511528593958</v>
      </c>
      <c r="H12" s="4" t="n">
        <f aca="false">-H6*Assumptions!H31/100</f>
        <v>-737.179086236928</v>
      </c>
      <c r="I12" s="4" t="n">
        <f aca="false">-I6*Assumptions!I31/100</f>
        <v>-740.699941574179</v>
      </c>
      <c r="J12" s="4" t="n">
        <f aca="false">-J6*Assumptions!J31/100</f>
        <v>-751.810440697792</v>
      </c>
      <c r="K12" s="4" t="n">
        <f aca="false">-K6*Assumptions!K31/100</f>
        <v>-763.087597308258</v>
      </c>
      <c r="L12" s="4" t="n">
        <f aca="false">-L6*Assumptions!L31/100</f>
        <v>-774.533911267882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1014.6881888</v>
      </c>
      <c r="D13" s="0" t="n">
        <f aca="false">D11+D12</f>
        <v>952.835387504</v>
      </c>
      <c r="E13" s="0" t="n">
        <f aca="false">E11+E12</f>
        <v>952.835387504</v>
      </c>
      <c r="F13" s="0" t="n">
        <f aca="false">F11+F12</f>
        <v>972.93916710848</v>
      </c>
      <c r="G13" s="0" t="n">
        <f aca="false">G11+G12</f>
        <v>1013.97181893871</v>
      </c>
      <c r="H13" s="0" t="n">
        <f aca="false">H11+H12</f>
        <v>1056.2566011753</v>
      </c>
      <c r="I13" s="0" t="n">
        <f aca="false">I11+I12</f>
        <v>1099.82718597378</v>
      </c>
      <c r="J13" s="0" t="n">
        <f aca="false">J11+J12</f>
        <v>1127.71566104669</v>
      </c>
      <c r="K13" s="0" t="n">
        <f aca="false">K11+K12</f>
        <v>1156.19332925494</v>
      </c>
      <c r="L13" s="0" t="n">
        <f aca="false">L11+L12</f>
        <v>1173.53622919376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791.456787264</v>
      </c>
      <c r="D15" s="0" t="n">
        <f aca="false">D13-MAX(0,D13)*D14/100</f>
        <v>733.68324837808</v>
      </c>
      <c r="E15" s="0" t="n">
        <f aca="false">E13-MAX(0,E13)*E14/100</f>
        <v>724.15489450304</v>
      </c>
      <c r="F15" s="0" t="n">
        <f aca="false">F13-MAX(0,F13)*F14/100</f>
        <v>739.433767002445</v>
      </c>
      <c r="G15" s="0" t="n">
        <f aca="false">G13-MAX(0,G13)*G14/100</f>
        <v>760.47886420403</v>
      </c>
      <c r="H15" s="0" t="n">
        <f aca="false">H13-MAX(0,H13)*H14/100</f>
        <v>792.192450881475</v>
      </c>
      <c r="I15" s="0" t="n">
        <f aca="false">I13-MAX(0,I13)*I14/100</f>
        <v>824.870389480336</v>
      </c>
      <c r="J15" s="0" t="n">
        <f aca="false">J13-MAX(0,J13)*J14/100</f>
        <v>845.786745785016</v>
      </c>
      <c r="K15" s="0" t="n">
        <f aca="false">K13-MAX(0,K13)*K14/100</f>
        <v>867.144996941203</v>
      </c>
      <c r="L15" s="0" t="n">
        <f aca="false">L13-MAX(0,L13)*L14/100</f>
        <v>880.152171895321</v>
      </c>
    </row>
    <row r="16" customFormat="false" ht="15" hidden="false" customHeight="false" outlineLevel="0" collapsed="false">
      <c r="A16" s="0" t="s">
        <v>119</v>
      </c>
      <c r="C16" s="0" t="n">
        <f aca="false">-C12</f>
        <v>744.8243088</v>
      </c>
      <c r="D16" s="0" t="n">
        <f aca="false">-D12</f>
        <v>732.95029808</v>
      </c>
      <c r="E16" s="0" t="n">
        <f aca="false">-E12</f>
        <v>732.95029808</v>
      </c>
      <c r="F16" s="0" t="n">
        <f aca="false">-F12</f>
        <v>729.70437533136</v>
      </c>
      <c r="G16" s="0" t="n">
        <f aca="false">-G12</f>
        <v>733.511528593958</v>
      </c>
      <c r="H16" s="0" t="n">
        <f aca="false">-H12</f>
        <v>737.179086236928</v>
      </c>
      <c r="I16" s="0" t="n">
        <f aca="false">-I12</f>
        <v>740.699941574179</v>
      </c>
      <c r="J16" s="0" t="n">
        <f aca="false">-J12</f>
        <v>751.810440697792</v>
      </c>
      <c r="K16" s="0" t="n">
        <f aca="false">-K12</f>
        <v>763.087597308258</v>
      </c>
      <c r="L16" s="0" t="n">
        <f aca="false">-L12</f>
        <v>774.533911267882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-215.891104</v>
      </c>
      <c r="D17" s="4" t="n">
        <f aca="false">-D6*Assumptions!D32/100</f>
        <v>-293.180119232</v>
      </c>
      <c r="E17" s="4" t="n">
        <f aca="false">-E6*Assumptions!E32/100</f>
        <v>-314.12155632</v>
      </c>
      <c r="F17" s="4" t="n">
        <f aca="false">-F6*Assumptions!F32/100</f>
        <v>-317.2627718832</v>
      </c>
      <c r="G17" s="4" t="n">
        <f aca="false">-G6*Assumptions!G32/100</f>
        <v>-323.608027320864</v>
      </c>
      <c r="H17" s="4" t="n">
        <f aca="false">-H6*Assumptions!H32/100</f>
        <v>-352.0855337251</v>
      </c>
      <c r="I17" s="4" t="n">
        <f aca="false">-I6*Assumptions!I32/100</f>
        <v>-381.572697174577</v>
      </c>
      <c r="J17" s="4" t="n">
        <f aca="false">-J6*Assumptions!J32/100</f>
        <v>-410.078422198795</v>
      </c>
      <c r="K17" s="4" t="n">
        <f aca="false">-K6*Assumptions!K32/100</f>
        <v>-416.229598531777</v>
      </c>
      <c r="L17" s="4" t="n">
        <f aca="false">-L6*Assumptions!L32/100</f>
        <v>-422.473042509754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1320.389992064</v>
      </c>
      <c r="D19" s="0" t="n">
        <f aca="false">D15+D16+D17+D18</f>
        <v>1173.45342722608</v>
      </c>
      <c r="E19" s="0" t="n">
        <f aca="false">E15+E16+E17+E18</f>
        <v>1142.98363626304</v>
      </c>
      <c r="F19" s="0" t="n">
        <f aca="false">F15+F16+F17+F18</f>
        <v>1151.8753704506</v>
      </c>
      <c r="G19" s="0" t="n">
        <f aca="false">G15+G16+G17+G18</f>
        <v>1170.38236547712</v>
      </c>
      <c r="H19" s="0" t="n">
        <f aca="false">H15+H16+H17+H18</f>
        <v>1177.2860033933</v>
      </c>
      <c r="I19" s="0" t="n">
        <f aca="false">I15+I16+I17+I18</f>
        <v>1183.99763387994</v>
      </c>
      <c r="J19" s="0" t="n">
        <f aca="false">J15+J16+J17+J18</f>
        <v>1187.51876428401</v>
      </c>
      <c r="K19" s="0" t="n">
        <f aca="false">K15+K16+K17+K18</f>
        <v>1214.00299571768</v>
      </c>
      <c r="L19" s="0" t="n">
        <f aca="false">L15+L16+L17+L18</f>
        <v>1232.21304065345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1234.00933837757</v>
      </c>
      <c r="D21" s="0" t="n">
        <f aca="false">D19*D20</f>
        <v>1024.93966916419</v>
      </c>
      <c r="E21" s="0" t="n">
        <f aca="false">E19*E20</f>
        <v>933.015115602505</v>
      </c>
      <c r="F21" s="0" t="n">
        <f aca="false">F19*F20</f>
        <v>878.760204992236</v>
      </c>
      <c r="G21" s="0" t="n">
        <f aca="false">G19*G20</f>
        <v>834.466451296593</v>
      </c>
      <c r="H21" s="0" t="n">
        <f aca="false">H19*H20</f>
        <v>784.475373569148</v>
      </c>
      <c r="I21" s="0" t="n">
        <f aca="false">I19*I20</f>
        <v>737.334220890698</v>
      </c>
      <c r="J21" s="0" t="n">
        <f aca="false">J19*J20</f>
        <v>691.146732655118</v>
      </c>
      <c r="K21" s="0" t="n">
        <f aca="false">K19*K20</f>
        <v>660.337192969087</v>
      </c>
      <c r="L21" s="0" t="n">
        <f aca="false">L19*L20</f>
        <v>626.394626975349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8404.87892649249</v>
      </c>
    </row>
    <row r="31" customFormat="false" ht="15" hidden="false" customHeight="false" outlineLevel="0" collapsed="false">
      <c r="A31" s="0" t="s">
        <v>128</v>
      </c>
      <c r="B31" s="0" t="n">
        <f aca="false">L19</f>
        <v>1232.21304065345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20742.2528509997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13554.3434471879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13554.3434471879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6890.34089672884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15295.2198232213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8829.15682322133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1.21597800661595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0.712645079740777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1.21597800661595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8889.53693614274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0.241115554272306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-10</v>
      </c>
      <c r="D5" s="4" t="n">
        <f aca="false">Assumptions!D41</f>
        <v>2</v>
      </c>
      <c r="E5" s="4" t="n">
        <f aca="false">Assumptions!E41</f>
        <v>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2453.308</v>
      </c>
      <c r="C6" s="0" t="n">
        <f aca="false">B6*(1+C5/100)</f>
        <v>2207.9772</v>
      </c>
      <c r="D6" s="0" t="n">
        <f aca="false">C6*(1+D5/100)</f>
        <v>2252.136744</v>
      </c>
      <c r="E6" s="0" t="n">
        <f aca="false">D6*(1+E5/100)</f>
        <v>2364.7435812</v>
      </c>
      <c r="F6" s="0" t="n">
        <f aca="false">E6*(1+F5/100)</f>
        <v>2506.628196072</v>
      </c>
      <c r="G6" s="0" t="n">
        <f aca="false">F6*(1+G5/100)</f>
        <v>2657.02588783632</v>
      </c>
      <c r="H6" s="0" t="n">
        <f aca="false">G6*(1+H5/100)</f>
        <v>2789.87718222814</v>
      </c>
      <c r="I6" s="0" t="n">
        <f aca="false">H6*(1+I5/100)</f>
        <v>2901.47226951726</v>
      </c>
      <c r="J6" s="0" t="n">
        <f aca="false">I6*(1+J5/100)</f>
        <v>2988.51643760278</v>
      </c>
      <c r="K6" s="0" t="n">
        <f aca="false">J6*(1+K5/100)</f>
        <v>3078.17193073086</v>
      </c>
      <c r="L6" s="0" t="n">
        <f aca="false">K6*(1+L5/100)</f>
        <v>3155.12622899914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86</v>
      </c>
      <c r="D7" s="4" t="n">
        <f aca="false">Assumptions!D42</f>
        <v>86</v>
      </c>
      <c r="E7" s="4" t="n">
        <f aca="false">Assumptions!E42</f>
        <v>86.5</v>
      </c>
      <c r="F7" s="4" t="n">
        <f aca="false">Assumptions!F42</f>
        <v>87</v>
      </c>
      <c r="G7" s="4" t="n">
        <f aca="false">Assumptions!G42</f>
        <v>87.5</v>
      </c>
      <c r="H7" s="4" t="n">
        <f aca="false">Assumptions!H42</f>
        <v>88</v>
      </c>
      <c r="I7" s="4" t="n">
        <f aca="false">Assumptions!I42</f>
        <v>88.5</v>
      </c>
      <c r="J7" s="4" t="n">
        <f aca="false">Assumptions!J42</f>
        <v>88.5</v>
      </c>
      <c r="K7" s="4" t="n">
        <f aca="false">Assumptions!K42</f>
        <v>88.5</v>
      </c>
      <c r="L7" s="4" t="n">
        <f aca="false">Assumptions!L42</f>
        <v>88.5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1898.860392</v>
      </c>
      <c r="D8" s="0" t="n">
        <f aca="false">D6*D7/100</f>
        <v>1936.83759984</v>
      </c>
      <c r="E8" s="0" t="n">
        <f aca="false">E6*E7/100</f>
        <v>2045.503197738</v>
      </c>
      <c r="F8" s="0" t="n">
        <f aca="false">F6*F7/100</f>
        <v>2180.76653058264</v>
      </c>
      <c r="G8" s="0" t="n">
        <f aca="false">G6*G7/100</f>
        <v>2324.89765185678</v>
      </c>
      <c r="H8" s="0" t="n">
        <f aca="false">H6*H7/100</f>
        <v>2455.09192036076</v>
      </c>
      <c r="I8" s="0" t="n">
        <f aca="false">I6*I7/100</f>
        <v>2567.80295852278</v>
      </c>
      <c r="J8" s="0" t="n">
        <f aca="false">J6*J7/100</f>
        <v>2644.83704727846</v>
      </c>
      <c r="K8" s="0" t="n">
        <f aca="false">K6*K7/100</f>
        <v>2724.18215869681</v>
      </c>
      <c r="L8" s="0" t="n">
        <f aca="false">L6*L7/100</f>
        <v>2792.28671266424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1898.860392</v>
      </c>
      <c r="D11" s="0" t="n">
        <f aca="false">D8+D10+D24</f>
        <v>1936.83759984</v>
      </c>
      <c r="E11" s="0" t="n">
        <f aca="false">E8+E10+E24</f>
        <v>2045.503197738</v>
      </c>
      <c r="F11" s="0" t="n">
        <f aca="false">F8+F10+F24</f>
        <v>2180.76653058264</v>
      </c>
      <c r="G11" s="0" t="n">
        <f aca="false">G8+G10+G24</f>
        <v>2324.89765185678</v>
      </c>
      <c r="H11" s="0" t="n">
        <f aca="false">H8+H10+H24</f>
        <v>2455.09192036076</v>
      </c>
      <c r="I11" s="0" t="n">
        <f aca="false">I8+I10+I24</f>
        <v>2567.80295852278</v>
      </c>
      <c r="J11" s="0" t="n">
        <f aca="false">J8+J10+J24</f>
        <v>2644.83704727846</v>
      </c>
      <c r="K11" s="0" t="n">
        <f aca="false">K8+K10+K24</f>
        <v>2724.18215869681</v>
      </c>
      <c r="L11" s="0" t="n">
        <f aca="false">L8+L10+L24</f>
        <v>2792.28671266424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-750.712248</v>
      </c>
      <c r="D12" s="4" t="n">
        <f aca="false">-D6*Assumptions!D45/100</f>
        <v>-754.46580924</v>
      </c>
      <c r="E12" s="4" t="n">
        <f aca="false">-E6*Assumptions!E45/100</f>
        <v>-780.365381796</v>
      </c>
      <c r="F12" s="4" t="n">
        <f aca="false">-F6*Assumptions!F45/100</f>
        <v>-827.18730470376</v>
      </c>
      <c r="G12" s="4" t="n">
        <f aca="false">-G6*Assumptions!G45/100</f>
        <v>-863.533413546804</v>
      </c>
      <c r="H12" s="4" t="n">
        <f aca="false">-H6*Assumptions!H45/100</f>
        <v>-906.710084224145</v>
      </c>
      <c r="I12" s="4" t="n">
        <f aca="false">-I6*Assumptions!I45/100</f>
        <v>-928.471126245524</v>
      </c>
      <c r="J12" s="4" t="n">
        <f aca="false">-J6*Assumptions!J45/100</f>
        <v>-956.32526003289</v>
      </c>
      <c r="K12" s="4" t="n">
        <f aca="false">-K6*Assumptions!K45/100</f>
        <v>-985.015017833877</v>
      </c>
      <c r="L12" s="4" t="n">
        <f aca="false">-L6*Assumptions!L45/100</f>
        <v>-1009.64039327972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1148.148144</v>
      </c>
      <c r="D13" s="0" t="n">
        <f aca="false">D11+D12</f>
        <v>1182.3717906</v>
      </c>
      <c r="E13" s="0" t="n">
        <f aca="false">E11+E12</f>
        <v>1265.137815942</v>
      </c>
      <c r="F13" s="0" t="n">
        <f aca="false">F11+F12</f>
        <v>1353.57922587888</v>
      </c>
      <c r="G13" s="0" t="n">
        <f aca="false">G11+G12</f>
        <v>1461.36423830998</v>
      </c>
      <c r="H13" s="0" t="n">
        <f aca="false">H11+H12</f>
        <v>1548.38183613662</v>
      </c>
      <c r="I13" s="0" t="n">
        <f aca="false">I11+I12</f>
        <v>1639.33183227725</v>
      </c>
      <c r="J13" s="0" t="n">
        <f aca="false">J11+J12</f>
        <v>1688.51178724557</v>
      </c>
      <c r="K13" s="0" t="n">
        <f aca="false">K11+K12</f>
        <v>1739.16714086294</v>
      </c>
      <c r="L13" s="0" t="n">
        <f aca="false">L11+L12</f>
        <v>1782.64631938451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895.55555232</v>
      </c>
      <c r="D15" s="0" t="n">
        <f aca="false">D13-MAX(0,D13)*D14/100</f>
        <v>910.426278762</v>
      </c>
      <c r="E15" s="0" t="n">
        <f aca="false">E13-MAX(0,E13)*E14/100</f>
        <v>961.50474011592</v>
      </c>
      <c r="F15" s="0" t="n">
        <f aca="false">F13-MAX(0,F13)*F14/100</f>
        <v>1028.72021166795</v>
      </c>
      <c r="G15" s="0" t="n">
        <f aca="false">G13-MAX(0,G13)*G14/100</f>
        <v>1096.02317873248</v>
      </c>
      <c r="H15" s="0" t="n">
        <f aca="false">H13-MAX(0,H13)*H14/100</f>
        <v>1161.28637710246</v>
      </c>
      <c r="I15" s="0" t="n">
        <f aca="false">I13-MAX(0,I13)*I14/100</f>
        <v>1229.49887420794</v>
      </c>
      <c r="J15" s="0" t="n">
        <f aca="false">J13-MAX(0,J13)*J14/100</f>
        <v>1266.38384043418</v>
      </c>
      <c r="K15" s="0" t="n">
        <f aca="false">K13-MAX(0,K13)*K14/100</f>
        <v>1304.3753556472</v>
      </c>
      <c r="L15" s="0" t="n">
        <f aca="false">L13-MAX(0,L13)*L14/100</f>
        <v>1336.98473953838</v>
      </c>
    </row>
    <row r="16" customFormat="false" ht="15" hidden="false" customHeight="false" outlineLevel="0" collapsed="false">
      <c r="A16" s="0" t="s">
        <v>119</v>
      </c>
      <c r="C16" s="0" t="n">
        <f aca="false">-C12</f>
        <v>750.712248</v>
      </c>
      <c r="D16" s="0" t="n">
        <f aca="false">-D12</f>
        <v>754.46580924</v>
      </c>
      <c r="E16" s="0" t="n">
        <f aca="false">-E12</f>
        <v>780.365381796</v>
      </c>
      <c r="F16" s="0" t="n">
        <f aca="false">-F12</f>
        <v>827.18730470376</v>
      </c>
      <c r="G16" s="0" t="n">
        <f aca="false">-G12</f>
        <v>863.533413546804</v>
      </c>
      <c r="H16" s="0" t="n">
        <f aca="false">-H12</f>
        <v>906.710084224145</v>
      </c>
      <c r="I16" s="0" t="n">
        <f aca="false">-I12</f>
        <v>928.471126245524</v>
      </c>
      <c r="J16" s="0" t="n">
        <f aca="false">-J12</f>
        <v>956.32526003289</v>
      </c>
      <c r="K16" s="0" t="n">
        <f aca="false">-K12</f>
        <v>985.015017833877</v>
      </c>
      <c r="L16" s="0" t="n">
        <f aca="false">-L12</f>
        <v>1009.64039327972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-264.957264</v>
      </c>
      <c r="D17" s="4" t="n">
        <f aca="false">-D6*Assumptions!D46/100</f>
        <v>-450.4273488</v>
      </c>
      <c r="E17" s="4" t="n">
        <f aca="false">-E6*Assumptions!E46/100</f>
        <v>-520.243587864</v>
      </c>
      <c r="F17" s="4" t="n">
        <f aca="false">-F6*Assumptions!F46/100</f>
        <v>-551.45820313584</v>
      </c>
      <c r="G17" s="4" t="n">
        <f aca="false">-G6*Assumptions!G46/100</f>
        <v>-584.545695323991</v>
      </c>
      <c r="H17" s="4" t="n">
        <f aca="false">-H6*Assumptions!H46/100</f>
        <v>-557.975436445628</v>
      </c>
      <c r="I17" s="4" t="n">
        <f aca="false">-I6*Assumptions!I46/100</f>
        <v>-580.294453903453</v>
      </c>
      <c r="J17" s="4" t="n">
        <f aca="false">-J6*Assumptions!J46/100</f>
        <v>-597.703287520556</v>
      </c>
      <c r="K17" s="4" t="n">
        <f aca="false">-K6*Assumptions!K46/100</f>
        <v>-615.634386146173</v>
      </c>
      <c r="L17" s="4" t="n">
        <f aca="false">-L6*Assumptions!L46/100</f>
        <v>-631.025245799827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1381.31053632</v>
      </c>
      <c r="D19" s="0" t="n">
        <f aca="false">D15+D16+D17+D18</f>
        <v>1214.464739202</v>
      </c>
      <c r="E19" s="0" t="n">
        <f aca="false">E15+E16+E17+E18</f>
        <v>1221.62653404792</v>
      </c>
      <c r="F19" s="0" t="n">
        <f aca="false">F15+F16+F17+F18</f>
        <v>1304.44931323587</v>
      </c>
      <c r="G19" s="0" t="n">
        <f aca="false">G15+G16+G17+G18</f>
        <v>1375.0108969553</v>
      </c>
      <c r="H19" s="0" t="n">
        <f aca="false">H15+H16+H17+H18</f>
        <v>1510.02102488098</v>
      </c>
      <c r="I19" s="0" t="n">
        <f aca="false">I15+I16+I17+I18</f>
        <v>1577.67554655001</v>
      </c>
      <c r="J19" s="0" t="n">
        <f aca="false">J15+J16+J17+J18</f>
        <v>1625.00581294651</v>
      </c>
      <c r="K19" s="0" t="n">
        <f aca="false">K15+K16+K17+K18</f>
        <v>1673.75598733491</v>
      </c>
      <c r="L19" s="0" t="n">
        <f aca="false">L15+L16+L17+L18</f>
        <v>1715.59988701828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1290.94442646729</v>
      </c>
      <c r="D21" s="0" t="n">
        <f aca="false">D19*D20</f>
        <v>1060.76053734125</v>
      </c>
      <c r="E21" s="0" t="n">
        <f aca="false">E19*E20</f>
        <v>997.211146096847</v>
      </c>
      <c r="F21" s="0" t="n">
        <f aca="false">F19*F20</f>
        <v>995.158135426327</v>
      </c>
      <c r="G21" s="0" t="n">
        <f aca="false">G19*G20</f>
        <v>980.363766168569</v>
      </c>
      <c r="H21" s="0" t="n">
        <f aca="false">H19*H20</f>
        <v>1006.19076772888</v>
      </c>
      <c r="I21" s="0" t="n">
        <f aca="false">I19*I20</f>
        <v>982.497039391651</v>
      </c>
      <c r="J21" s="0" t="n">
        <f aca="false">J19*J20</f>
        <v>945.768178105982</v>
      </c>
      <c r="K21" s="0" t="n">
        <f aca="false">K19*K20</f>
        <v>910.412358363702</v>
      </c>
      <c r="L21" s="0" t="n">
        <f aca="false">L19*L20</f>
        <v>872.123988152144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10041.4303432426</v>
      </c>
    </row>
    <row r="31" customFormat="false" ht="15" hidden="false" customHeight="false" outlineLevel="0" collapsed="false">
      <c r="A31" s="0" t="s">
        <v>128</v>
      </c>
      <c r="B31" s="0" t="n">
        <f aca="false">L19</f>
        <v>1715.59988701828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31660.6160967919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20587.1986442194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20587.1986442194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10465.4878578257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20506.9182010684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14040.8552010684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1.93374876677625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1.72358981236091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1.93374876677625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12898.7695209152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0.516661584400457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0.508965838446234</v>
      </c>
      <c r="C4" s="0" t="n">
        <f aca="false">B4/Assumptions!$B$2-1</f>
        <v>-0.283146706413755</v>
      </c>
      <c r="D4" s="4" t="n">
        <f aca="false">Assumptions!$B$24</f>
        <v>0.3</v>
      </c>
      <c r="E4" s="4" t="n">
        <f aca="false">DCF_Bear!$B$43</f>
        <v>0.508965838446234</v>
      </c>
      <c r="F4" s="4" t="n">
        <f aca="false">DCF_Bear!$B$47</f>
        <v>-0.0393283249858404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1.21597800661595</v>
      </c>
      <c r="C5" s="0" t="n">
        <f aca="false">B5/Assumptions!$B$2-1</f>
        <v>0.712645079740777</v>
      </c>
      <c r="D5" s="4" t="n">
        <f aca="false">Assumptions!$B$38</f>
        <v>0.5</v>
      </c>
      <c r="E5" s="4" t="n">
        <f aca="false">DCF_Base!$B$43</f>
        <v>1.21597800661595</v>
      </c>
      <c r="F5" s="4" t="n">
        <f aca="false">DCF_Base!$B$47</f>
        <v>0.241115554272306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1.93374876677625</v>
      </c>
      <c r="C6" s="0" t="n">
        <f aca="false">B6/Assumptions!$B$2-1</f>
        <v>1.72358981236091</v>
      </c>
      <c r="D6" s="4" t="n">
        <f aca="false">Assumptions!$B$52</f>
        <v>0.2</v>
      </c>
      <c r="E6" s="4" t="n">
        <f aca="false">DCF_Bull!$B$43</f>
        <v>1.93374876677625</v>
      </c>
      <c r="F6" s="4" t="n">
        <f aca="false">DCF_Bull!$B$47</f>
        <v>0.516661584400457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1.1474285081971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1.1474285081971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0.381225065502693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0.212091596520493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1.21597800661595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0.95619114379771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0.842605174728625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0.684699930609472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0.543590645137333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0.241115554272306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1.52759187104055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1.52759187104055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1.52759187104055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1.52759187104055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1.52759187104055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1.36460525302699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1.36460525302699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1.36460525302699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1.36460525302699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1.36460525302699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1.21597800661595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1.21597800661595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1.21597800661595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1.21597800661595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1.21597800661595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1.08026772519615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1.08026772519615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1.08026772519615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1.08026772519615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1.08026772519615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0.95619114379771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0.95619114379771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0.95619114379771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0.95619114379771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0.95619114379771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2026-10-22T13:30:38Z</dcterms:created>
  <dc:creator>openpyxl</dc:creator>
  <dc:description/>
  <dc:language>en-NZ</dc:language>
  <cp:lastModifiedBy/>
  <dcterms:modified xsi:type="dcterms:W3CDTF">2026-10-22T13:30:38Z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