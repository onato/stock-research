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<sst xmlns="http://schemas.openxmlformats.org/spreadsheetml/2006/main" count="347" uniqueCount="163">
  <si>
    <t xml:space="preserve">Ticker</t>
  </si>
  <si>
    <t xml:space="preserve">2192.HK</t>
  </si>
  <si>
    <t xml:space="preserve">Company</t>
  </si>
  <si>
    <t xml:space="preserve">Medlive Technology Co., Ltd.</t>
  </si>
  <si>
    <t xml:space="preserve">Valuation date</t>
  </si>
  <si>
    <t xml:space="preserve">2026-10-18</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</si>
  <si>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</si>
  <si>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</si>
  <si>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</si>
  <si>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</si>
  <si>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</si>
  <si>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</si>
  <si>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</si>
  <si>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</si>
  <si>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</si>
  <si>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</si>
  <si>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</si>
  <si>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</si>
  <si>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</si>
  <si>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</si>
  <si>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</si>
  <si>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</si>
  <si>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2026-10-17T22:14:55Z</t>
  </si>
  <si>
    <t xml:space="preserve">Drivers file</t>
  </si>
  <si>
    <t xml:space="preserve">2192.HK_Drivers.json</t>
  </si>
  <si>
    <t xml:space="preserve">Convention</t>
  </si>
  <si>
    <t xml:space="preserve">Percents stored as percents; formulas divide by 100. Blue = input, green = link, black = formula.</t>
  </si>
  <si>
    <t xml:space="preserve">Methodology</t>
  </si>
  <si>
    <t xml:space="preserve">summary: An operating DCF on a net-cash company where the cash is most of the value. The CNY4.48bn of cash, deposits, bonds and wealth-management products (HK$7.1/share at 1.1724) exceeds the share price on its own; the DCF adds the operating business on top, net of NCI, contingent consideration and the dividend already declared. The key question is not the growth path but whether minority holders ever see the cash beyond the ~55% payout -- the market is pricing the operating business below zero.
key_risks_to_valuation: Cash accessibility and capital allocation: 68.7% of cash is USD and part is in wealth-management products; a value-destructive acquisition (goodwill already RMB192.5m) or indefinite hoarding would make book value of the portfolio an overstatement of what minority holders receive.; PRC pharma marketing budget cycle: medical-insurance cost control and VBP compressing customer revenue; H1-2026 revenue growth +1%.; Regulatory: anti-corruption and patient-education compliance rules applied to physician-facing academic promotion.; Year-1 owner-FCF margin (~25%) is well above FY2025's 16.7% because FY2025 conversion was depressed by receivables/contract-asset build; if that build is structural, base is overstated.; Tax: operating cash tax ~7% relies on preferential regimes that could lapse.; FX: CNY flows and bridge translated to HKD at 1.1724; ~69% of cash is held in USD, so CNY/USD moves the bridge (H1-2026 OCI loss RMB122m).</t>
  </si>
  <si>
    <t xml:space="preserve">Data sources</t>
  </si>
  <si>
    <t xml:space="preserve">price: Yahoo Finance chart API at inputs.price_as_of; 52-week range 6.22-15.01 HKD
fx: Yahoo Finance CNYHKD=X 2026-10-16; cross-checked to the PBoC rate in the 2026 interim dividend announcement
financials: 2192.HK_Metrics.csv (FY2021-FY2025, H1-2024/25/26, CNY millions) and kpis table; 2026 interim report (balance sheet at 30-Jun-2026, EPS note 8, cash and debt-investments note, interim dividend); FY2025 annual report cash-flow statement (SBC, lease payments, interest received, tax paid)
qualitative: 2192.HK_Analysis.json (bull/bear cases and risks: ~93% precision-marketing concentration, H1-2026 growth slowdown to +1%, regulatory disruption to project execution, AI-platform competition) cross-read after build and consistent with the scenario axes; 2026 interim report MD&amp;A (Business Outlook; precision marketing segment discussion).</t>
  </si>
  <si>
    <t xml:space="preserve">Scenario narrative: bear</t>
  </si>
  <si>
    <t xml:space="preserve">Volume-based procurement and medical-insurance cost control shrink pharma marketing budgets outright and regulators tighten rules on physician-facing academic promotion and patient education; revenue falls two years running and recovers only to inflation. Price competition from AI answer engines and pharma in-house platforms compresses operating EBITDA to 26%, receivables stretch as customers pay slowly (WC capture -50%), and the HNTE/software tax preferences are lost (cash tax to 25%). The cash pile remains but is valued at book; the bear case does not haircut it for capital misallocation, which is the main residual risk not in the flows.</t>
  </si>
  <si>
    <t xml:space="preserve">Scenario narrative: base</t>
  </si>
  <si>
    <t xml:space="preserve">Medical-insurance cost control keeps pharma marketing budgets tight through FY2026 (revenue +3% after H1's +1%), but the structural shift of promotion spend from in-person reps to compliant, auditable digital academic marketing -- the anti-corruption campaign's side effect -- plus a steady flow of innovative-drug launches returns growth to 7-8% in FY2027-29 before fading to 3%. The AI-driven delivery-cost savings of H1-2026 hold, keeping operating EBITDA ~34%. Preferential tax status erodes slowly to 15%. The CNY4.48bn investment portfolio is valued at book and continues to fund a ~55% payout.</t>
  </si>
  <si>
    <t xml:space="preserve">Scenario narrative: bull</t>
  </si>
  <si>
    <t xml:space="preserve">Medlive's ~6m-physician platform and proprietary medical vertical LLM make it the default compliant channel as pharma budgets migrate online: customer count (217) and products marketed (509) keep rising ~15%/yr, paid-click pricing firms, and revenue re-accelerates to 12% for two years. AI tooling lifts operating EBITDA toward 39%. Management deploys part of the cash pile through buybacks or a special dividend, closing the discount to cash (not modelled in flows; it shows up as the market re-rating to IV).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</si>
  <si>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</si>
  <si>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</si>
  <si>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</si>
  <si>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</si>
  <si>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</si>
  <si>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</si>
  <si>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</si>
  <si>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</si>
  <si>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</si>
  <si>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</si>
  <si>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</si>
  <si>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</si>
  <si>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</si>
  <si>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</si>
  <si>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</si>
  <si>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</si>
  <si>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</si>
  <si>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</si>
  <si>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</si>
  <si>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</si>
  <si>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</si>
  <si>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</si>
  <si>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</si>
  <si>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</si>
  <si>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</si>
  <si>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</si>
  <si>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</si>
  <si>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FVTPLFinancialAssets</t>
  </si>
  <si>
    <t xml:space="preserve">ProfitForPeriodTotal</t>
  </si>
  <si>
    <t xml:space="preserve">TotalEquityInclNCI</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</si>
  <si>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</si>
  <si>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</si>
  <si>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</si>
  <si>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</si>
  <si>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</si>
  <si>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</si>
  <si>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</si>
  <si>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</si>
  <si>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</si>
  <si>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</si>
  <si>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</si>
  <si>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</si>
  <si>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</si>
  <si>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</si>
  <si>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</si>
  <si>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</si>
  <si>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</si>
  <si>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</si>
  <si>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</si>
  <si>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</si>
  <si>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</si>
  <si>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</si>
  <si>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</si>
  <si>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</si>
  <si>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</si>
  <si>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</si>
  <si>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</si>
  <si>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</si>
  <si>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</si>
  <si>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</si>
  <si>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</si>
  <si>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</si>
  <si>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</si>
  <si>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</si>
  <si>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</si>
  <si>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</si>
  <si>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</si>
  <si>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</si>
  <si>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</si>
  <si>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</si>
  <si>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</si>
  <si>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</si>
  <si>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2192.HK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</si>
  <si>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</si>
  <si>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</si>
  <si>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</si>
  <si>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</si>
  <si>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</si>
  <si>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</si>
  <si>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</si>
  <si>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</si>
  <si>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</si>
  <si>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</si>
  <si>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</si>
  <si>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</si>
  <si>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</si>
  <si>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</si>
  <si>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</si>
  <si>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</si>
  <si>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</si>
  <si>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</si>
  <si>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</si>
  <si>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</si>
  <si>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</si>
  <si>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</si>
  <si>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</si>
  <si>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</si>
  <si>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</si>
  <si>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</si>
  <si>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</si>
  <si>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</si>
  <si>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</si>
  <si>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</si>
  <si>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2192.HK owner-FCF component DCF: base case (millions, CNY)</t>
  </si>
  <si>
    <t xml:space="preserve">2192.HK owner-FCF component DCF: bull case (millions, CNY)</t>
  </si>
  <si>
    <t xml:space="preserve">2192.HK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</si>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</sst>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6.515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284.44</v>
      </c>
      <c r="C2" s="0" t="n">
        <v>83.706</v>
      </c>
      <c r="D2" s="0" t="n">
        <v>200.734</v>
      </c>
      <c r="E2" s="0" t="n">
        <v>70.6</v>
      </c>
      <c r="F2" s="0" t="n">
        <v>61.603</v>
      </c>
      <c r="G2" s="0" t="n">
        <v>21.7</v>
      </c>
      <c r="H2" s="0" t="n">
        <v>67.514</v>
      </c>
      <c r="I2" s="0" t="n">
        <v>40.616</v>
      </c>
      <c r="J2" s="0" t="n">
        <v>14.3</v>
      </c>
      <c r="K2" s="0" t="n">
        <v>0.0639</v>
      </c>
      <c r="L2" s="0" t="n">
        <v>44.433</v>
      </c>
      <c r="M2" s="0" t="n">
        <v>1.968</v>
      </c>
      <c r="N2" s="0" t="n">
        <v>42.465</v>
      </c>
      <c r="O2" s="0" t="n">
        <v>3948.702</v>
      </c>
      <c r="P2" s="0" t="n">
        <v>4115.561</v>
      </c>
      <c r="Q2" s="0" t="n">
        <v>143.368</v>
      </c>
      <c r="R2" s="0" t="n">
        <v>0</v>
      </c>
      <c r="S2" s="0" t="n">
        <v>3879.104</v>
      </c>
      <c r="T2" s="0" t="n">
        <v>635.6</v>
      </c>
      <c r="U2" s="0" t="n">
        <v>14.257</v>
      </c>
      <c r="AA2" s="0" t="s">
        <v>18</v>
      </c>
      <c r="AB2" s="0" t="s">
        <v>14</v>
      </c>
      <c r="AC2" s="0" t="n">
        <v>29.64</v>
      </c>
      <c r="AD2" s="0" t="n">
        <v>45.245</v>
      </c>
      <c r="AE2" s="0" t="n">
        <v>3972.193</v>
      </c>
    </row>
    <row r="3" customFormat="false" ht="15" hidden="false" customHeight="false" outlineLevel="0" collapsed="false">
      <c r="A3" s="0" t="s">
        <v>68</v>
      </c>
      <c r="B3" s="0" t="n">
        <v>314.054</v>
      </c>
      <c r="C3" s="0" t="n">
        <v>101.313</v>
      </c>
      <c r="D3" s="0" t="n">
        <v>212.741</v>
      </c>
      <c r="E3" s="0" t="n">
        <v>67.7</v>
      </c>
      <c r="F3" s="0" t="n">
        <v>59.817</v>
      </c>
      <c r="G3" s="0" t="n">
        <v>19</v>
      </c>
      <c r="H3" s="0" t="n">
        <v>68.804</v>
      </c>
      <c r="I3" s="0" t="n">
        <v>117.321</v>
      </c>
      <c r="J3" s="0" t="n">
        <v>37.4</v>
      </c>
      <c r="K3" s="0" t="n">
        <v>0.1593</v>
      </c>
      <c r="L3" s="0" t="n">
        <v>77.189</v>
      </c>
      <c r="M3" s="0" t="n">
        <v>7.488</v>
      </c>
      <c r="N3" s="0" t="n">
        <v>69.701</v>
      </c>
      <c r="O3" s="0" t="n">
        <v>4401.023</v>
      </c>
      <c r="P3" s="0" t="n">
        <v>4603.229</v>
      </c>
      <c r="Q3" s="0" t="n">
        <v>171.315</v>
      </c>
      <c r="R3" s="0" t="n">
        <v>0</v>
      </c>
      <c r="S3" s="0" t="n">
        <v>4187.264</v>
      </c>
      <c r="T3" s="0" t="n">
        <v>736.5</v>
      </c>
      <c r="U3" s="0" t="n">
        <v>17.245</v>
      </c>
      <c r="AA3" s="0" t="s">
        <v>18</v>
      </c>
      <c r="AB3" s="0" t="s">
        <v>14</v>
      </c>
      <c r="AC3" s="0" t="n">
        <v>29.64</v>
      </c>
      <c r="AD3" s="0" t="n">
        <v>126.421</v>
      </c>
      <c r="AE3" s="0" t="n">
        <v>4431.914</v>
      </c>
    </row>
    <row r="4" customFormat="false" ht="15" hidden="false" customHeight="false" outlineLevel="0" collapsed="false">
      <c r="A4" s="0" t="s">
        <v>69</v>
      </c>
      <c r="B4" s="0" t="n">
        <v>412.004</v>
      </c>
      <c r="C4" s="0" t="n">
        <v>160.669</v>
      </c>
      <c r="D4" s="0" t="n">
        <v>251.335</v>
      </c>
      <c r="E4" s="0" t="n">
        <v>61</v>
      </c>
      <c r="F4" s="0" t="n">
        <v>65.005</v>
      </c>
      <c r="G4" s="0" t="n">
        <v>15.8</v>
      </c>
      <c r="H4" s="0" t="n">
        <v>74.376</v>
      </c>
      <c r="I4" s="0" t="n">
        <v>242.301</v>
      </c>
      <c r="J4" s="0" t="n">
        <v>58.8</v>
      </c>
      <c r="K4" s="0" t="n">
        <v>0.3299</v>
      </c>
      <c r="L4" s="0" t="n">
        <v>101.866</v>
      </c>
      <c r="M4" s="0" t="n">
        <v>32.526</v>
      </c>
      <c r="N4" s="0" t="n">
        <v>69.34</v>
      </c>
      <c r="O4" s="0" t="n">
        <v>4597.369</v>
      </c>
      <c r="P4" s="0" t="n">
        <v>4893.816</v>
      </c>
      <c r="Q4" s="0" t="n">
        <v>248.614</v>
      </c>
      <c r="R4" s="0" t="n">
        <v>0</v>
      </c>
      <c r="S4" s="0" t="n">
        <v>4358.255</v>
      </c>
      <c r="T4" s="0" t="n">
        <v>734.5</v>
      </c>
      <c r="U4" s="0" t="n">
        <v>10.415</v>
      </c>
      <c r="AA4" s="0" t="s">
        <v>18</v>
      </c>
      <c r="AB4" s="0" t="s">
        <v>14</v>
      </c>
      <c r="AC4" s="0" t="n">
        <v>42.64</v>
      </c>
      <c r="AD4" s="0" t="n">
        <v>251.76</v>
      </c>
      <c r="AE4" s="0" t="n">
        <v>4645.202</v>
      </c>
    </row>
    <row r="5" customFormat="false" ht="15" hidden="false" customHeight="false" outlineLevel="0" collapsed="false">
      <c r="A5" s="0" t="s">
        <v>70</v>
      </c>
      <c r="B5" s="0" t="n">
        <v>558.455</v>
      </c>
      <c r="C5" s="0" t="n">
        <v>231.233</v>
      </c>
      <c r="D5" s="0" t="n">
        <v>327.222</v>
      </c>
      <c r="E5" s="0" t="n">
        <v>58.6</v>
      </c>
      <c r="F5" s="0" t="n">
        <v>117.439</v>
      </c>
      <c r="G5" s="0" t="n">
        <v>21</v>
      </c>
      <c r="H5" s="0" t="n">
        <v>133.039</v>
      </c>
      <c r="I5" s="0" t="n">
        <v>315.146</v>
      </c>
      <c r="J5" s="0" t="n">
        <v>56.4</v>
      </c>
      <c r="K5" s="0" t="n">
        <v>0.428</v>
      </c>
      <c r="L5" s="0" t="n">
        <v>108.316</v>
      </c>
      <c r="M5" s="0" t="n">
        <v>20.878</v>
      </c>
      <c r="N5" s="0" t="n">
        <v>87.438</v>
      </c>
      <c r="O5" s="0" t="n">
        <v>4799.027</v>
      </c>
      <c r="P5" s="0" t="n">
        <v>5108.183</v>
      </c>
      <c r="Q5" s="0" t="n">
        <v>253.565</v>
      </c>
      <c r="R5" s="0" t="n">
        <v>0</v>
      </c>
      <c r="S5" s="0" t="n">
        <v>3844.723</v>
      </c>
      <c r="T5" s="0" t="n">
        <v>736.3</v>
      </c>
      <c r="U5" s="0" t="n">
        <v>5.669</v>
      </c>
      <c r="AA5" s="0" t="s">
        <v>18</v>
      </c>
      <c r="AB5" s="0" t="s">
        <v>14</v>
      </c>
      <c r="AC5" s="0" t="n">
        <v>102.147</v>
      </c>
      <c r="AD5" s="0" t="n">
        <v>330.301</v>
      </c>
      <c r="AE5" s="0" t="n">
        <v>4854.618</v>
      </c>
    </row>
    <row r="6" customFormat="false" ht="15" hidden="false" customHeight="false" outlineLevel="0" collapsed="false">
      <c r="A6" s="0" t="s">
        <v>71</v>
      </c>
      <c r="B6" s="0" t="n">
        <v>642.155</v>
      </c>
      <c r="C6" s="0" t="n">
        <v>256.715</v>
      </c>
      <c r="D6" s="0" t="n">
        <v>385.44</v>
      </c>
      <c r="E6" s="0" t="n">
        <v>60</v>
      </c>
      <c r="F6" s="0" t="n">
        <v>167.358</v>
      </c>
      <c r="G6" s="0" t="n">
        <v>26.1</v>
      </c>
      <c r="H6" s="0" t="n">
        <v>188.445</v>
      </c>
      <c r="I6" s="0" t="n">
        <v>334.341</v>
      </c>
      <c r="J6" s="0" t="n">
        <v>52.1</v>
      </c>
      <c r="K6" s="0" t="n">
        <v>0.4538</v>
      </c>
      <c r="L6" s="0" t="n">
        <v>134.536</v>
      </c>
      <c r="M6" s="0" t="n">
        <v>12.834</v>
      </c>
      <c r="N6" s="0" t="n">
        <v>121.702</v>
      </c>
      <c r="O6" s="0" t="n">
        <v>4863.56</v>
      </c>
      <c r="P6" s="0" t="n">
        <v>5157.036</v>
      </c>
      <c r="Q6" s="0" t="n">
        <v>229.909</v>
      </c>
      <c r="R6" s="0" t="n">
        <v>0</v>
      </c>
      <c r="S6" s="0" t="n">
        <v>2567.134</v>
      </c>
      <c r="T6" s="0" t="n">
        <v>736.8</v>
      </c>
      <c r="U6" s="0" t="n">
        <v>2.336</v>
      </c>
      <c r="AA6" s="0" t="s">
        <v>18</v>
      </c>
      <c r="AB6" s="0" t="s">
        <v>14</v>
      </c>
      <c r="AC6" s="0" t="n">
        <v>200.34</v>
      </c>
      <c r="AD6" s="0" t="n">
        <v>347.889</v>
      </c>
      <c r="AE6" s="0" t="n">
        <v>4927.127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6.515</v>
      </c>
    </row>
    <row r="3" customFormat="false" ht="15" hidden="false" customHeight="false" outlineLevel="0" collapsed="false">
      <c r="A3" s="0" t="s">
        <v>75</v>
      </c>
      <c r="B3" s="3" t="n">
        <v>739.35</v>
      </c>
    </row>
    <row r="4" customFormat="false" ht="15" hidden="false" customHeight="false" outlineLevel="0" collapsed="false">
      <c r="A4" s="0" t="s">
        <v>76</v>
      </c>
      <c r="B4" s="3" t="n">
        <v>-4484.6</v>
      </c>
    </row>
    <row r="5" customFormat="false" ht="15" hidden="false" customHeight="false" outlineLevel="0" collapsed="false">
      <c r="A5" s="0" t="s">
        <v>77</v>
      </c>
      <c r="B5" s="3" t="n">
        <v>-248.3</v>
      </c>
    </row>
    <row r="6" customFormat="false" ht="15" hidden="false" customHeight="false" outlineLevel="0" collapsed="false">
      <c r="A6" s="0" t="s">
        <v>78</v>
      </c>
      <c r="B6" s="3" t="n">
        <v>15</v>
      </c>
    </row>
    <row r="7" customFormat="false" ht="15" hidden="false" customHeight="false" outlineLevel="0" collapsed="false">
      <c r="A7" s="0" t="s">
        <v>79</v>
      </c>
      <c r="B7" s="3" t="n">
        <v>642.155</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1.1724</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v>
      </c>
      <c r="D13" s="3" t="n">
        <v>-3</v>
      </c>
      <c r="E13" s="3" t="n">
        <v>1</v>
      </c>
      <c r="F13" s="3" t="n">
        <v>2</v>
      </c>
      <c r="G13" s="3" t="n">
        <v>3</v>
      </c>
      <c r="H13" s="3" t="n">
        <v>3</v>
      </c>
      <c r="I13" s="3" t="n">
        <v>3</v>
      </c>
      <c r="J13" s="3" t="n">
        <v>2.5</v>
      </c>
      <c r="K13" s="3" t="n">
        <v>2.5</v>
      </c>
      <c r="L13" s="3" t="n">
        <v>2</v>
      </c>
    </row>
    <row r="14" customFormat="false" ht="15" hidden="false" customHeight="false" outlineLevel="0" collapsed="false">
      <c r="A14" s="0" t="s">
        <v>96</v>
      </c>
      <c r="C14" s="3" t="n">
        <v>31</v>
      </c>
      <c r="D14" s="3" t="n">
        <v>29</v>
      </c>
      <c r="E14" s="3" t="n">
        <v>28</v>
      </c>
      <c r="F14" s="3" t="n">
        <v>27</v>
      </c>
      <c r="G14" s="3" t="n">
        <v>26</v>
      </c>
      <c r="H14" s="3" t="n">
        <v>26</v>
      </c>
      <c r="I14" s="3" t="n">
        <v>26</v>
      </c>
      <c r="J14" s="3" t="n">
        <v>26</v>
      </c>
      <c r="K14" s="3" t="n">
        <v>26</v>
      </c>
      <c r="L14" s="3" t="n">
        <v>26</v>
      </c>
    </row>
    <row r="15" customFormat="false" ht="15" hidden="false" customHeight="false" outlineLevel="0" collapsed="false">
      <c r="A15" s="0" t="s">
        <v>97</v>
      </c>
      <c r="C15" s="3" t="n">
        <v>0.15</v>
      </c>
      <c r="D15" s="3" t="n">
        <v>0.2</v>
      </c>
      <c r="E15" s="3" t="n">
        <v>0.2</v>
      </c>
      <c r="F15" s="3" t="n">
        <v>0.2</v>
      </c>
      <c r="G15" s="3" t="n">
        <v>0.2</v>
      </c>
      <c r="H15" s="3" t="n">
        <v>0.2</v>
      </c>
      <c r="I15" s="3" t="n">
        <v>0.2</v>
      </c>
      <c r="J15" s="3" t="n">
        <v>0.2</v>
      </c>
      <c r="K15" s="3" t="n">
        <v>0.2</v>
      </c>
      <c r="L15" s="3" t="n">
        <v>0.2</v>
      </c>
    </row>
    <row r="16" customFormat="false" ht="15" hidden="false" customHeight="false" outlineLevel="0" collapsed="false">
      <c r="A16" s="0" t="s">
        <v>98</v>
      </c>
      <c r="C16" s="3" t="n">
        <v>1.3</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99</v>
      </c>
      <c r="C17" s="3" t="n">
        <v>2.5</v>
      </c>
      <c r="D17" s="3" t="n">
        <v>2.5</v>
      </c>
      <c r="E17" s="3" t="n">
        <v>2.5</v>
      </c>
      <c r="F17" s="3" t="n">
        <v>2.5</v>
      </c>
      <c r="G17" s="3" t="n">
        <v>2.5</v>
      </c>
      <c r="H17" s="3" t="n">
        <v>2.5</v>
      </c>
      <c r="I17" s="3" t="n">
        <v>2.5</v>
      </c>
      <c r="J17" s="3" t="n">
        <v>2.5</v>
      </c>
      <c r="K17" s="3" t="n">
        <v>2.5</v>
      </c>
      <c r="L17" s="3" t="n">
        <v>2.5</v>
      </c>
    </row>
    <row r="18" customFormat="false" ht="15" hidden="false" customHeight="false" outlineLevel="0" collapsed="false">
      <c r="A18" s="0" t="s">
        <v>100</v>
      </c>
      <c r="C18" s="3" t="n">
        <v>2</v>
      </c>
      <c r="D18" s="3" t="n">
        <v>2.2</v>
      </c>
      <c r="E18" s="3" t="n">
        <v>2.4</v>
      </c>
      <c r="F18" s="3" t="n">
        <v>2.5</v>
      </c>
      <c r="G18" s="3" t="n">
        <v>2.5</v>
      </c>
      <c r="H18" s="3" t="n">
        <v>2.5</v>
      </c>
      <c r="I18" s="3" t="n">
        <v>2.5</v>
      </c>
      <c r="J18" s="3" t="n">
        <v>2.5</v>
      </c>
      <c r="K18" s="3" t="n">
        <v>2.5</v>
      </c>
      <c r="L18" s="3" t="n">
        <v>2.5</v>
      </c>
    </row>
    <row r="19" customFormat="false" ht="15" hidden="false" customHeight="false" outlineLevel="0" collapsed="false">
      <c r="A19" s="0" t="s">
        <v>101</v>
      </c>
      <c r="C19" s="3" t="n">
        <v>8</v>
      </c>
      <c r="D19" s="3" t="n">
        <v>11</v>
      </c>
      <c r="E19" s="3" t="n">
        <v>14</v>
      </c>
      <c r="F19" s="3" t="n">
        <v>17</v>
      </c>
      <c r="G19" s="3" t="n">
        <v>20</v>
      </c>
      <c r="H19" s="3" t="n">
        <v>22</v>
      </c>
      <c r="I19" s="3" t="n">
        <v>25</v>
      </c>
      <c r="J19" s="3" t="n">
        <v>25</v>
      </c>
      <c r="K19" s="3" t="n">
        <v>25</v>
      </c>
      <c r="L19" s="3" t="n">
        <v>25</v>
      </c>
    </row>
    <row r="20" customFormat="false" ht="15" hidden="false" customHeight="false" outlineLevel="0" collapsed="false">
      <c r="A20" s="0" t="s">
        <v>102</v>
      </c>
      <c r="B20" s="3" t="n">
        <v>10</v>
      </c>
    </row>
    <row r="21" customFormat="false" ht="15" hidden="false" customHeight="false" outlineLevel="0" collapsed="false">
      <c r="A21" s="0" t="s">
        <v>103</v>
      </c>
      <c r="B21" s="3" t="n">
        <v>2</v>
      </c>
    </row>
    <row r="22" customFormat="false" ht="15" hidden="false" customHeight="false" outlineLevel="0" collapsed="false">
      <c r="A22" s="0" t="s">
        <v>104</v>
      </c>
      <c r="B22" s="3" t="n">
        <v>12</v>
      </c>
    </row>
    <row r="23" customFormat="false" ht="15" hidden="false" customHeight="false" outlineLevel="0" collapsed="false">
      <c r="A23" s="0" t="s">
        <v>105</v>
      </c>
      <c r="B23" s="3" t="n">
        <v>-50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3</v>
      </c>
      <c r="D27" s="3" t="n">
        <v>7</v>
      </c>
      <c r="E27" s="3" t="n">
        <v>8</v>
      </c>
      <c r="F27" s="3" t="n">
        <v>8</v>
      </c>
      <c r="G27" s="3" t="n">
        <v>7</v>
      </c>
      <c r="H27" s="3" t="n">
        <v>6</v>
      </c>
      <c r="I27" s="3" t="n">
        <v>5</v>
      </c>
      <c r="J27" s="3" t="n">
        <v>4</v>
      </c>
      <c r="K27" s="3" t="n">
        <v>3.5</v>
      </c>
      <c r="L27" s="3" t="n">
        <v>3</v>
      </c>
    </row>
    <row r="28" customFormat="false" ht="15" hidden="false" customHeight="false" outlineLevel="0" collapsed="false">
      <c r="A28" s="0" t="s">
        <v>96</v>
      </c>
      <c r="C28" s="3" t="n">
        <v>32.5</v>
      </c>
      <c r="D28" s="3" t="n">
        <v>33</v>
      </c>
      <c r="E28" s="3" t="n">
        <v>33.5</v>
      </c>
      <c r="F28" s="3" t="n">
        <v>34</v>
      </c>
      <c r="G28" s="3" t="n">
        <v>34</v>
      </c>
      <c r="H28" s="3" t="n">
        <v>34</v>
      </c>
      <c r="I28" s="3" t="n">
        <v>34</v>
      </c>
      <c r="J28" s="3" t="n">
        <v>34</v>
      </c>
      <c r="K28" s="3" t="n">
        <v>34</v>
      </c>
      <c r="L28" s="3" t="n">
        <v>34</v>
      </c>
    </row>
    <row r="29" customFormat="false" ht="15" hidden="false" customHeight="false" outlineLevel="0" collapsed="false">
      <c r="A29" s="0" t="s">
        <v>97</v>
      </c>
      <c r="C29" s="3" t="n">
        <v>0.15</v>
      </c>
      <c r="D29" s="3" t="n">
        <v>0.2</v>
      </c>
      <c r="E29" s="3" t="n">
        <v>0.2</v>
      </c>
      <c r="F29" s="3" t="n">
        <v>0.2</v>
      </c>
      <c r="G29" s="3" t="n">
        <v>0.2</v>
      </c>
      <c r="H29" s="3" t="n">
        <v>0.2</v>
      </c>
      <c r="I29" s="3" t="n">
        <v>0.2</v>
      </c>
      <c r="J29" s="3" t="n">
        <v>0.2</v>
      </c>
      <c r="K29" s="3" t="n">
        <v>0.2</v>
      </c>
      <c r="L29" s="3" t="n">
        <v>0.2</v>
      </c>
    </row>
    <row r="30" customFormat="false" ht="15" hidden="false" customHeight="false" outlineLevel="0" collapsed="false">
      <c r="A30" s="0" t="s">
        <v>98</v>
      </c>
      <c r="C30" s="3" t="n">
        <v>1.3</v>
      </c>
      <c r="D30" s="3" t="n">
        <v>1.3</v>
      </c>
      <c r="E30" s="3" t="n">
        <v>1.3</v>
      </c>
      <c r="F30" s="3" t="n">
        <v>1.3</v>
      </c>
      <c r="G30" s="3" t="n">
        <v>1.3</v>
      </c>
      <c r="H30" s="3" t="n">
        <v>1.3</v>
      </c>
      <c r="I30" s="3" t="n">
        <v>1.3</v>
      </c>
      <c r="J30" s="3" t="n">
        <v>1.3</v>
      </c>
      <c r="K30" s="3" t="n">
        <v>1.3</v>
      </c>
      <c r="L30" s="3" t="n">
        <v>1.3</v>
      </c>
    </row>
    <row r="31" customFormat="false" ht="15" hidden="false" customHeight="false" outlineLevel="0" collapsed="false">
      <c r="A31" s="0" t="s">
        <v>99</v>
      </c>
      <c r="C31" s="3" t="n">
        <v>2.5</v>
      </c>
      <c r="D31" s="3" t="n">
        <v>2.5</v>
      </c>
      <c r="E31" s="3" t="n">
        <v>2.4</v>
      </c>
      <c r="F31" s="3" t="n">
        <v>2.3</v>
      </c>
      <c r="G31" s="3" t="n">
        <v>2.2</v>
      </c>
      <c r="H31" s="3" t="n">
        <v>2.1</v>
      </c>
      <c r="I31" s="3" t="n">
        <v>2</v>
      </c>
      <c r="J31" s="3" t="n">
        <v>2</v>
      </c>
      <c r="K31" s="3" t="n">
        <v>2</v>
      </c>
      <c r="L31" s="3" t="n">
        <v>2</v>
      </c>
    </row>
    <row r="32" customFormat="false" ht="15" hidden="false" customHeight="false" outlineLevel="0" collapsed="false">
      <c r="A32" s="0" t="s">
        <v>100</v>
      </c>
      <c r="C32" s="3" t="n">
        <v>2</v>
      </c>
      <c r="D32" s="3" t="n">
        <v>2</v>
      </c>
      <c r="E32" s="3" t="n">
        <v>2</v>
      </c>
      <c r="F32" s="3" t="n">
        <v>2</v>
      </c>
      <c r="G32" s="3" t="n">
        <v>2</v>
      </c>
      <c r="H32" s="3" t="n">
        <v>2</v>
      </c>
      <c r="I32" s="3" t="n">
        <v>2</v>
      </c>
      <c r="J32" s="3" t="n">
        <v>2</v>
      </c>
      <c r="K32" s="3" t="n">
        <v>2</v>
      </c>
      <c r="L32" s="3" t="n">
        <v>2</v>
      </c>
    </row>
    <row r="33" customFormat="false" ht="15" hidden="false" customHeight="false" outlineLevel="0" collapsed="false">
      <c r="A33" s="0" t="s">
        <v>101</v>
      </c>
      <c r="C33" s="3" t="n">
        <v>8</v>
      </c>
      <c r="D33" s="3" t="n">
        <v>9</v>
      </c>
      <c r="E33" s="3" t="n">
        <v>10</v>
      </c>
      <c r="F33" s="3" t="n">
        <v>11</v>
      </c>
      <c r="G33" s="3" t="n">
        <v>12</v>
      </c>
      <c r="H33" s="3" t="n">
        <v>13</v>
      </c>
      <c r="I33" s="3" t="n">
        <v>14</v>
      </c>
      <c r="J33" s="3" t="n">
        <v>15</v>
      </c>
      <c r="K33" s="3" t="n">
        <v>15</v>
      </c>
      <c r="L33" s="3" t="n">
        <v>15</v>
      </c>
    </row>
    <row r="34" customFormat="false" ht="15" hidden="false" customHeight="false" outlineLevel="0" collapsed="false">
      <c r="A34" s="0" t="s">
        <v>102</v>
      </c>
      <c r="B34" s="3" t="n">
        <v>10</v>
      </c>
    </row>
    <row r="35" customFormat="false" ht="15" hidden="false" customHeight="false" outlineLevel="0" collapsed="false">
      <c r="A35" s="0" t="s">
        <v>103</v>
      </c>
      <c r="B35" s="3" t="n">
        <v>2.5</v>
      </c>
    </row>
    <row r="36" customFormat="false" ht="15" hidden="false" customHeight="false" outlineLevel="0" collapsed="false">
      <c r="A36" s="0" t="s">
        <v>104</v>
      </c>
      <c r="B36" s="3" t="n">
        <v>15</v>
      </c>
    </row>
    <row r="37" customFormat="false" ht="15" hidden="false" customHeight="false" outlineLevel="0" collapsed="false">
      <c r="A37" s="0" t="s">
        <v>105</v>
      </c>
      <c r="B37" s="3" t="n">
        <v>-30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5</v>
      </c>
      <c r="D41" s="3" t="n">
        <v>12</v>
      </c>
      <c r="E41" s="3" t="n">
        <v>12</v>
      </c>
      <c r="F41" s="3" t="n">
        <v>11</v>
      </c>
      <c r="G41" s="3" t="n">
        <v>10</v>
      </c>
      <c r="H41" s="3" t="n">
        <v>8</v>
      </c>
      <c r="I41" s="3" t="n">
        <v>7</v>
      </c>
      <c r="J41" s="3" t="n">
        <v>6</v>
      </c>
      <c r="K41" s="3" t="n">
        <v>5</v>
      </c>
      <c r="L41" s="3" t="n">
        <v>4</v>
      </c>
    </row>
    <row r="42" customFormat="false" ht="15" hidden="false" customHeight="false" outlineLevel="0" collapsed="false">
      <c r="A42" s="0" t="s">
        <v>96</v>
      </c>
      <c r="C42" s="3" t="n">
        <v>33.5</v>
      </c>
      <c r="D42" s="3" t="n">
        <v>35</v>
      </c>
      <c r="E42" s="3" t="n">
        <v>36</v>
      </c>
      <c r="F42" s="3" t="n">
        <v>37</v>
      </c>
      <c r="G42" s="3" t="n">
        <v>38</v>
      </c>
      <c r="H42" s="3" t="n">
        <v>38.5</v>
      </c>
      <c r="I42" s="3" t="n">
        <v>39</v>
      </c>
      <c r="J42" s="3" t="n">
        <v>39</v>
      </c>
      <c r="K42" s="3" t="n">
        <v>39</v>
      </c>
      <c r="L42" s="3" t="n">
        <v>39</v>
      </c>
    </row>
    <row r="43" customFormat="false" ht="15" hidden="false" customHeight="false" outlineLevel="0" collapsed="false">
      <c r="A43" s="0" t="s">
        <v>97</v>
      </c>
      <c r="C43" s="3" t="n">
        <v>0.15</v>
      </c>
      <c r="D43" s="3" t="n">
        <v>0.2</v>
      </c>
      <c r="E43" s="3" t="n">
        <v>0.2</v>
      </c>
      <c r="F43" s="3" t="n">
        <v>0.2</v>
      </c>
      <c r="G43" s="3" t="n">
        <v>0.2</v>
      </c>
      <c r="H43" s="3" t="n">
        <v>0.2</v>
      </c>
      <c r="I43" s="3" t="n">
        <v>0.2</v>
      </c>
      <c r="J43" s="3" t="n">
        <v>0.2</v>
      </c>
      <c r="K43" s="3" t="n">
        <v>0.2</v>
      </c>
      <c r="L43" s="3" t="n">
        <v>0.2</v>
      </c>
    </row>
    <row r="44" customFormat="false" ht="15" hidden="false" customHeight="false" outlineLevel="0" collapsed="false">
      <c r="A44" s="0" t="s">
        <v>98</v>
      </c>
      <c r="C44" s="3" t="n">
        <v>1.3</v>
      </c>
      <c r="D44" s="3" t="n">
        <v>1.3</v>
      </c>
      <c r="E44" s="3" t="n">
        <v>1.3</v>
      </c>
      <c r="F44" s="3" t="n">
        <v>1.3</v>
      </c>
      <c r="G44" s="3" t="n">
        <v>1.3</v>
      </c>
      <c r="H44" s="3" t="n">
        <v>1.3</v>
      </c>
      <c r="I44" s="3" t="n">
        <v>1.3</v>
      </c>
      <c r="J44" s="3" t="n">
        <v>1.3</v>
      </c>
      <c r="K44" s="3" t="n">
        <v>1.3</v>
      </c>
      <c r="L44" s="3" t="n">
        <v>1.3</v>
      </c>
    </row>
    <row r="45" customFormat="false" ht="15" hidden="false" customHeight="false" outlineLevel="0" collapsed="false">
      <c r="A45" s="0" t="s">
        <v>99</v>
      </c>
      <c r="C45" s="3" t="n">
        <v>2.5</v>
      </c>
      <c r="D45" s="3" t="n">
        <v>2.5</v>
      </c>
      <c r="E45" s="3" t="n">
        <v>2.4</v>
      </c>
      <c r="F45" s="3" t="n">
        <v>2.3</v>
      </c>
      <c r="G45" s="3" t="n">
        <v>2.2</v>
      </c>
      <c r="H45" s="3" t="n">
        <v>2.1</v>
      </c>
      <c r="I45" s="3" t="n">
        <v>2</v>
      </c>
      <c r="J45" s="3" t="n">
        <v>2</v>
      </c>
      <c r="K45" s="3" t="n">
        <v>2</v>
      </c>
      <c r="L45" s="3" t="n">
        <v>2</v>
      </c>
    </row>
    <row r="46" customFormat="false" ht="15" hidden="false" customHeight="false" outlineLevel="0" collapsed="false">
      <c r="A46" s="0" t="s">
        <v>100</v>
      </c>
      <c r="C46" s="3" t="n">
        <v>2</v>
      </c>
      <c r="D46" s="3" t="n">
        <v>2</v>
      </c>
      <c r="E46" s="3" t="n">
        <v>2</v>
      </c>
      <c r="F46" s="3" t="n">
        <v>2</v>
      </c>
      <c r="G46" s="3" t="n">
        <v>2</v>
      </c>
      <c r="H46" s="3" t="n">
        <v>2</v>
      </c>
      <c r="I46" s="3" t="n">
        <v>2</v>
      </c>
      <c r="J46" s="3" t="n">
        <v>2</v>
      </c>
      <c r="K46" s="3" t="n">
        <v>2</v>
      </c>
      <c r="L46" s="3" t="n">
        <v>2</v>
      </c>
    </row>
    <row r="47" customFormat="false" ht="15" hidden="false" customHeight="false" outlineLevel="0" collapsed="false">
      <c r="A47" s="0" t="s">
        <v>101</v>
      </c>
      <c r="C47" s="3" t="n">
        <v>8</v>
      </c>
      <c r="D47" s="3" t="n">
        <v>9</v>
      </c>
      <c r="E47" s="3" t="n">
        <v>10</v>
      </c>
      <c r="F47" s="3" t="n">
        <v>11</v>
      </c>
      <c r="G47" s="3" t="n">
        <v>12</v>
      </c>
      <c r="H47" s="3" t="n">
        <v>13</v>
      </c>
      <c r="I47" s="3" t="n">
        <v>14</v>
      </c>
      <c r="J47" s="3" t="n">
        <v>15</v>
      </c>
      <c r="K47" s="3" t="n">
        <v>15</v>
      </c>
      <c r="L47" s="3" t="n">
        <v>15</v>
      </c>
    </row>
    <row r="48" customFormat="false" ht="15" hidden="false" customHeight="false" outlineLevel="0" collapsed="false">
      <c r="A48" s="0" t="s">
        <v>102</v>
      </c>
      <c r="B48" s="3" t="n">
        <v>10</v>
      </c>
    </row>
    <row r="49" customFormat="false" ht="15" hidden="false" customHeight="false" outlineLevel="0" collapsed="false">
      <c r="A49" s="0" t="s">
        <v>103</v>
      </c>
      <c r="B49" s="3" t="n">
        <v>3</v>
      </c>
    </row>
    <row r="50" customFormat="false" ht="15" hidden="false" customHeight="false" outlineLevel="0" collapsed="false">
      <c r="A50" s="0" t="s">
        <v>104</v>
      </c>
      <c r="B50" s="3" t="n">
        <v>15</v>
      </c>
    </row>
    <row r="51" customFormat="false" ht="15" hidden="false" customHeight="false" outlineLevel="0" collapsed="false">
      <c r="A51" s="0" t="s">
        <v>105</v>
      </c>
      <c r="B51" s="3" t="n">
        <v>-25</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v>
      </c>
      <c r="D5" s="4" t="n">
        <f aca="false">Assumptions!D13</f>
        <v>-3</v>
      </c>
      <c r="E5" s="4" t="n">
        <f aca="false">Assumptions!E13</f>
        <v>1</v>
      </c>
      <c r="F5" s="4" t="n">
        <f aca="false">Assumptions!F13</f>
        <v>2</v>
      </c>
      <c r="G5" s="4" t="n">
        <f aca="false">Assumptions!G13</f>
        <v>3</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38</v>
      </c>
      <c r="B6" s="3" t="n">
        <v>642.155</v>
      </c>
      <c r="C6" s="0" t="n">
        <f aca="false">B6*(1+C5/100)</f>
        <v>629.3119</v>
      </c>
      <c r="D6" s="0" t="n">
        <f aca="false">C6*(1+D5/100)</f>
        <v>610.432543</v>
      </c>
      <c r="E6" s="0" t="n">
        <f aca="false">D6*(1+E5/100)</f>
        <v>616.53686843</v>
      </c>
      <c r="F6" s="0" t="n">
        <f aca="false">E6*(1+F5/100)</f>
        <v>628.8676057986</v>
      </c>
      <c r="G6" s="0" t="n">
        <f aca="false">F6*(1+G5/100)</f>
        <v>647.733633972558</v>
      </c>
      <c r="H6" s="0" t="n">
        <f aca="false">G6*(1+H5/100)</f>
        <v>667.165642991735</v>
      </c>
      <c r="I6" s="0" t="n">
        <f aca="false">H6*(1+I5/100)</f>
        <v>687.180612281487</v>
      </c>
      <c r="J6" s="0" t="n">
        <f aca="false">I6*(1+J5/100)</f>
        <v>704.360127588524</v>
      </c>
      <c r="K6" s="0" t="n">
        <f aca="false">J6*(1+K5/100)</f>
        <v>721.969130778237</v>
      </c>
      <c r="L6" s="0" t="n">
        <f aca="false">K6*(1+L5/100)</f>
        <v>736.408513393802</v>
      </c>
    </row>
    <row r="7" customFormat="false" ht="15" hidden="false" customHeight="false" outlineLevel="0" collapsed="false">
      <c r="A7" s="0" t="s">
        <v>96</v>
      </c>
      <c r="C7" s="4" t="n">
        <f aca="false">Assumptions!C14</f>
        <v>31</v>
      </c>
      <c r="D7" s="4" t="n">
        <f aca="false">Assumptions!D14</f>
        <v>29</v>
      </c>
      <c r="E7" s="4" t="n">
        <f aca="false">Assumptions!E14</f>
        <v>28</v>
      </c>
      <c r="F7" s="4" t="n">
        <f aca="false">Assumptions!F14</f>
        <v>27</v>
      </c>
      <c r="G7" s="4" t="n">
        <f aca="false">Assumptions!G14</f>
        <v>26</v>
      </c>
      <c r="H7" s="4" t="n">
        <f aca="false">Assumptions!H14</f>
        <v>26</v>
      </c>
      <c r="I7" s="4" t="n">
        <f aca="false">Assumptions!I14</f>
        <v>26</v>
      </c>
      <c r="J7" s="4" t="n">
        <f aca="false">Assumptions!J14</f>
        <v>26</v>
      </c>
      <c r="K7" s="4" t="n">
        <f aca="false">Assumptions!K14</f>
        <v>26</v>
      </c>
      <c r="L7" s="4" t="n">
        <f aca="false">Assumptions!L14</f>
        <v>26</v>
      </c>
    </row>
    <row r="8" customFormat="false" ht="15" hidden="false" customHeight="false" outlineLevel="0" collapsed="false">
      <c r="A8" s="0" t="s">
        <v>44</v>
      </c>
      <c r="C8" s="0" t="n">
        <f aca="false">C6*C7/100</f>
        <v>195.086689</v>
      </c>
      <c r="D8" s="0" t="n">
        <f aca="false">D6*D7/100</f>
        <v>177.02543747</v>
      </c>
      <c r="E8" s="0" t="n">
        <f aca="false">E6*E7/100</f>
        <v>172.6303231604</v>
      </c>
      <c r="F8" s="0" t="n">
        <f aca="false">F6*F7/100</f>
        <v>169.794253565622</v>
      </c>
      <c r="G8" s="0" t="n">
        <f aca="false">G6*G7/100</f>
        <v>168.410744832865</v>
      </c>
      <c r="H8" s="0" t="n">
        <f aca="false">H6*H7/100</f>
        <v>173.463067177851</v>
      </c>
      <c r="I8" s="0" t="n">
        <f aca="false">I6*I7/100</f>
        <v>178.666959193187</v>
      </c>
      <c r="J8" s="0" t="n">
        <f aca="false">J6*J7/100</f>
        <v>183.133633173016</v>
      </c>
      <c r="K8" s="0" t="n">
        <f aca="false">K6*K7/100</f>
        <v>187.711974002342</v>
      </c>
      <c r="L8" s="0" t="n">
        <f aca="false">L6*L7/100</f>
        <v>191.466213482389</v>
      </c>
    </row>
    <row r="9" customFormat="false" ht="15" hidden="false" customHeight="false" outlineLevel="0" collapsed="false">
      <c r="A9" s="0" t="s">
        <v>97</v>
      </c>
      <c r="C9" s="4" t="n">
        <f aca="false">Assumptions!C15</f>
        <v>0.15</v>
      </c>
      <c r="D9" s="4" t="n">
        <f aca="false">Assumptions!D15</f>
        <v>0.2</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112</v>
      </c>
      <c r="C10" s="0" t="n">
        <f aca="false">-C6*C9/100</f>
        <v>-0.94396785</v>
      </c>
      <c r="D10" s="0" t="n">
        <f aca="false">-D6*D9/100</f>
        <v>-1.220865086</v>
      </c>
      <c r="E10" s="0" t="n">
        <f aca="false">-E6*E9/100</f>
        <v>-1.23307373686</v>
      </c>
      <c r="F10" s="0" t="n">
        <f aca="false">-F6*F9/100</f>
        <v>-1.2577352115972</v>
      </c>
      <c r="G10" s="0" t="n">
        <f aca="false">-G6*G9/100</f>
        <v>-1.29546726794512</v>
      </c>
      <c r="H10" s="0" t="n">
        <f aca="false">-H6*H9/100</f>
        <v>-1.33433128598347</v>
      </c>
      <c r="I10" s="0" t="n">
        <f aca="false">-I6*I9/100</f>
        <v>-1.37436122456297</v>
      </c>
      <c r="J10" s="0" t="n">
        <f aca="false">-J6*J9/100</f>
        <v>-1.40872025517705</v>
      </c>
      <c r="K10" s="0" t="n">
        <f aca="false">-K6*K9/100</f>
        <v>-1.44393826155647</v>
      </c>
      <c r="L10" s="0" t="n">
        <f aca="false">-L6*L9/100</f>
        <v>-1.4728170267876</v>
      </c>
    </row>
    <row r="11" customFormat="false" ht="15" hidden="false" customHeight="false" outlineLevel="0" collapsed="false">
      <c r="A11" s="0" t="s">
        <v>113</v>
      </c>
      <c r="C11" s="0" t="n">
        <f aca="false">C8+C10+C24</f>
        <v>185.96166645</v>
      </c>
      <c r="D11" s="0" t="n">
        <f aca="false">D8+D10+D24</f>
        <v>167.868949325</v>
      </c>
      <c r="E11" s="0" t="n">
        <f aca="false">E8+E10+E24</f>
        <v>163.38227013395</v>
      </c>
      <c r="F11" s="0" t="n">
        <f aca="false">F8+F10+F24</f>
        <v>160.361239478643</v>
      </c>
      <c r="G11" s="0" t="n">
        <f aca="false">G8+G10+G24</f>
        <v>158.694740323277</v>
      </c>
      <c r="H11" s="0" t="n">
        <f aca="false">H8+H10+H24</f>
        <v>163.455582532975</v>
      </c>
      <c r="I11" s="0" t="n">
        <f aca="false">I8+I10+I24</f>
        <v>168.359250008964</v>
      </c>
      <c r="J11" s="0" t="n">
        <f aca="false">J8+J10+J24</f>
        <v>172.568231259188</v>
      </c>
      <c r="K11" s="0" t="n">
        <f aca="false">K8+K10+K24</f>
        <v>176.882437040668</v>
      </c>
      <c r="L11" s="0" t="n">
        <f aca="false">L8+L10+L24</f>
        <v>180.420085781481</v>
      </c>
    </row>
    <row r="12" customFormat="false" ht="15" hidden="false" customHeight="false" outlineLevel="0" collapsed="false">
      <c r="A12" s="0" t="s">
        <v>114</v>
      </c>
      <c r="C12" s="4" t="n">
        <f aca="false">-C6*Assumptions!C17/100</f>
        <v>-15.7327975</v>
      </c>
      <c r="D12" s="4" t="n">
        <f aca="false">-D6*Assumptions!D17/100</f>
        <v>-15.260813575</v>
      </c>
      <c r="E12" s="4" t="n">
        <f aca="false">-E6*Assumptions!E17/100</f>
        <v>-15.41342171075</v>
      </c>
      <c r="F12" s="4" t="n">
        <f aca="false">-F6*Assumptions!F17/100</f>
        <v>-15.721690144965</v>
      </c>
      <c r="G12" s="4" t="n">
        <f aca="false">-G6*Assumptions!G17/100</f>
        <v>-16.1933408493139</v>
      </c>
      <c r="H12" s="4" t="n">
        <f aca="false">-H6*Assumptions!H17/100</f>
        <v>-16.6791410747934</v>
      </c>
      <c r="I12" s="4" t="n">
        <f aca="false">-I6*Assumptions!I17/100</f>
        <v>-17.1795153070372</v>
      </c>
      <c r="J12" s="4" t="n">
        <f aca="false">-J6*Assumptions!J17/100</f>
        <v>-17.6090031897131</v>
      </c>
      <c r="K12" s="4" t="n">
        <f aca="false">-K6*Assumptions!K17/100</f>
        <v>-18.0492282694559</v>
      </c>
      <c r="L12" s="4" t="n">
        <f aca="false">-L6*Assumptions!L17/100</f>
        <v>-18.410212834845</v>
      </c>
    </row>
    <row r="13" customFormat="false" ht="15" hidden="false" customHeight="false" outlineLevel="0" collapsed="false">
      <c r="A13" s="0" t="s">
        <v>115</v>
      </c>
      <c r="C13" s="0" t="n">
        <f aca="false">C11+C12</f>
        <v>170.22886895</v>
      </c>
      <c r="D13" s="0" t="n">
        <f aca="false">D11+D12</f>
        <v>152.60813575</v>
      </c>
      <c r="E13" s="0" t="n">
        <f aca="false">E11+E12</f>
        <v>147.9688484232</v>
      </c>
      <c r="F13" s="0" t="n">
        <f aca="false">F11+F12</f>
        <v>144.639549333678</v>
      </c>
      <c r="G13" s="0" t="n">
        <f aca="false">G11+G12</f>
        <v>142.501399473963</v>
      </c>
      <c r="H13" s="0" t="n">
        <f aca="false">H11+H12</f>
        <v>146.776441458182</v>
      </c>
      <c r="I13" s="0" t="n">
        <f aca="false">I11+I12</f>
        <v>151.179734701927</v>
      </c>
      <c r="J13" s="0" t="n">
        <f aca="false">J11+J12</f>
        <v>154.959228069475</v>
      </c>
      <c r="K13" s="0" t="n">
        <f aca="false">K11+K12</f>
        <v>158.833208771212</v>
      </c>
      <c r="L13" s="0" t="n">
        <f aca="false">L11+L12</f>
        <v>162.009872946636</v>
      </c>
    </row>
    <row r="14" customFormat="false" ht="15" hidden="false" customHeight="false" outlineLevel="0" collapsed="false">
      <c r="A14" s="0" t="s">
        <v>101</v>
      </c>
      <c r="C14" s="4" t="n">
        <f aca="false">Assumptions!C19</f>
        <v>8</v>
      </c>
      <c r="D14" s="4" t="n">
        <f aca="false">Assumptions!D19</f>
        <v>11</v>
      </c>
      <c r="E14" s="4" t="n">
        <f aca="false">Assumptions!E19</f>
        <v>14</v>
      </c>
      <c r="F14" s="4" t="n">
        <f aca="false">Assumptions!F19</f>
        <v>17</v>
      </c>
      <c r="G14" s="4" t="n">
        <f aca="false">Assumptions!G19</f>
        <v>20</v>
      </c>
      <c r="H14" s="4" t="n">
        <f aca="false">Assumptions!H19</f>
        <v>22</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116</v>
      </c>
      <c r="C15" s="0" t="n">
        <f aca="false">C13-MAX(0,C13)*C14/100</f>
        <v>156.610559434</v>
      </c>
      <c r="D15" s="0" t="n">
        <f aca="false">D13-MAX(0,D13)*D14/100</f>
        <v>135.8212408175</v>
      </c>
      <c r="E15" s="0" t="n">
        <f aca="false">E13-MAX(0,E13)*E14/100</f>
        <v>127.253209643952</v>
      </c>
      <c r="F15" s="0" t="n">
        <f aca="false">F13-MAX(0,F13)*F14/100</f>
        <v>120.050825946953</v>
      </c>
      <c r="G15" s="0" t="n">
        <f aca="false">G13-MAX(0,G13)*G14/100</f>
        <v>114.00111957917</v>
      </c>
      <c r="H15" s="0" t="n">
        <f aca="false">H13-MAX(0,H13)*H14/100</f>
        <v>114.485624337382</v>
      </c>
      <c r="I15" s="0" t="n">
        <f aca="false">I13-MAX(0,I13)*I14/100</f>
        <v>113.384801026445</v>
      </c>
      <c r="J15" s="0" t="n">
        <f aca="false">J13-MAX(0,J13)*J14/100</f>
        <v>116.219421052106</v>
      </c>
      <c r="K15" s="0" t="n">
        <f aca="false">K13-MAX(0,K13)*K14/100</f>
        <v>119.124906578409</v>
      </c>
      <c r="L15" s="0" t="n">
        <f aca="false">L13-MAX(0,L13)*L14/100</f>
        <v>121.507404709977</v>
      </c>
    </row>
    <row r="16" customFormat="false" ht="15" hidden="false" customHeight="false" outlineLevel="0" collapsed="false">
      <c r="A16" s="0" t="s">
        <v>117</v>
      </c>
      <c r="C16" s="0" t="n">
        <f aca="false">-C12</f>
        <v>15.7327975</v>
      </c>
      <c r="D16" s="0" t="n">
        <f aca="false">-D12</f>
        <v>15.260813575</v>
      </c>
      <c r="E16" s="0" t="n">
        <f aca="false">-E12</f>
        <v>15.41342171075</v>
      </c>
      <c r="F16" s="0" t="n">
        <f aca="false">-F12</f>
        <v>15.721690144965</v>
      </c>
      <c r="G16" s="0" t="n">
        <f aca="false">-G12</f>
        <v>16.1933408493139</v>
      </c>
      <c r="H16" s="0" t="n">
        <f aca="false">-H12</f>
        <v>16.6791410747934</v>
      </c>
      <c r="I16" s="0" t="n">
        <f aca="false">-I12</f>
        <v>17.1795153070372</v>
      </c>
      <c r="J16" s="0" t="n">
        <f aca="false">-J12</f>
        <v>17.6090031897131</v>
      </c>
      <c r="K16" s="0" t="n">
        <f aca="false">-K12</f>
        <v>18.0492282694559</v>
      </c>
      <c r="L16" s="0" t="n">
        <f aca="false">-L12</f>
        <v>18.410212834845</v>
      </c>
    </row>
    <row r="17" customFormat="false" ht="15" hidden="false" customHeight="false" outlineLevel="0" collapsed="false">
      <c r="A17" s="0" t="s">
        <v>118</v>
      </c>
      <c r="C17" s="4" t="n">
        <f aca="false">-C6*Assumptions!C18/100</f>
        <v>-12.586238</v>
      </c>
      <c r="D17" s="4" t="n">
        <f aca="false">-D6*Assumptions!D18/100</f>
        <v>-13.429515946</v>
      </c>
      <c r="E17" s="4" t="n">
        <f aca="false">-E6*Assumptions!E18/100</f>
        <v>-14.79688484232</v>
      </c>
      <c r="F17" s="4" t="n">
        <f aca="false">-F6*Assumptions!F18/100</f>
        <v>-15.721690144965</v>
      </c>
      <c r="G17" s="4" t="n">
        <f aca="false">-G6*Assumptions!G18/100</f>
        <v>-16.1933408493139</v>
      </c>
      <c r="H17" s="4" t="n">
        <f aca="false">-H6*Assumptions!H18/100</f>
        <v>-16.6791410747934</v>
      </c>
      <c r="I17" s="4" t="n">
        <f aca="false">-I6*Assumptions!I18/100</f>
        <v>-17.1795153070372</v>
      </c>
      <c r="J17" s="4" t="n">
        <f aca="false">-J6*Assumptions!J18/100</f>
        <v>-17.6090031897131</v>
      </c>
      <c r="K17" s="4" t="n">
        <f aca="false">-K6*Assumptions!K18/100</f>
        <v>-18.0492282694559</v>
      </c>
      <c r="L17" s="4" t="n">
        <f aca="false">-L6*Assumptions!L18/100</f>
        <v>-18.410212834845</v>
      </c>
    </row>
    <row r="18" customFormat="false" ht="15" hidden="false" customHeight="false" outlineLevel="0" collapsed="false">
      <c r="A18" s="0" t="s">
        <v>119</v>
      </c>
      <c r="C18" s="4" t="n">
        <f aca="false">(C6-B6)*Assumptions!$B$23/100</f>
        <v>6.42155000000003</v>
      </c>
      <c r="D18" s="4" t="n">
        <f aca="false">(D6-C6)*Assumptions!$B$23/100</f>
        <v>9.43967850000001</v>
      </c>
      <c r="E18" s="4" t="n">
        <f aca="false">(E6-D6)*Assumptions!$B$23/100</f>
        <v>-3.05216271500001</v>
      </c>
      <c r="F18" s="4" t="n">
        <f aca="false">(F6-E6)*Assumptions!$B$23/100</f>
        <v>-6.16536868430001</v>
      </c>
      <c r="G18" s="4" t="n">
        <f aca="false">(G6-F6)*Assumptions!$B$23/100</f>
        <v>-9.43301408697903</v>
      </c>
      <c r="H18" s="4" t="n">
        <f aca="false">(H6-G6)*Assumptions!$B$23/100</f>
        <v>-9.7160045095884</v>
      </c>
      <c r="I18" s="4" t="n">
        <f aca="false">(I6-H6)*Assumptions!$B$23/100</f>
        <v>-10.0074846448761</v>
      </c>
      <c r="J18" s="4" t="n">
        <f aca="false">(J6-I6)*Assumptions!$B$23/100</f>
        <v>-8.58975765351858</v>
      </c>
      <c r="K18" s="4" t="n">
        <f aca="false">(K6-J6)*Assumptions!$B$23/100</f>
        <v>-8.8045015948565</v>
      </c>
      <c r="L18" s="4" t="n">
        <f aca="false">(L6-K6)*Assumptions!$B$23/100</f>
        <v>-7.2196913077824</v>
      </c>
    </row>
    <row r="19" customFormat="false" ht="15" hidden="false" customHeight="false" outlineLevel="0" collapsed="false">
      <c r="A19" s="0" t="s">
        <v>120</v>
      </c>
      <c r="C19" s="0" t="n">
        <f aca="false">C15+C16+C17+C18</f>
        <v>166.178668934</v>
      </c>
      <c r="D19" s="0" t="n">
        <f aca="false">D15+D16+D17+D18</f>
        <v>147.0922169465</v>
      </c>
      <c r="E19" s="0" t="n">
        <f aca="false">E15+E16+E17+E18</f>
        <v>124.817583797382</v>
      </c>
      <c r="F19" s="0" t="n">
        <f aca="false">F15+F16+F17+F18</f>
        <v>113.885457262653</v>
      </c>
      <c r="G19" s="0" t="n">
        <f aca="false">G15+G16+G17+G18</f>
        <v>104.568105492191</v>
      </c>
      <c r="H19" s="0" t="n">
        <f aca="false">H15+H16+H17+H18</f>
        <v>104.769619827793</v>
      </c>
      <c r="I19" s="0" t="n">
        <f aca="false">I15+I16+I17+I18</f>
        <v>103.377316381569</v>
      </c>
      <c r="J19" s="0" t="n">
        <f aca="false">J15+J16+J17+J18</f>
        <v>107.629663398588</v>
      </c>
      <c r="K19" s="0" t="n">
        <f aca="false">K15+K16+K17+K18</f>
        <v>110.320404983553</v>
      </c>
      <c r="L19" s="0" t="n">
        <f aca="false">L15+L16+L17+L18</f>
        <v>114.287713402195</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151.071517212727</v>
      </c>
      <c r="D21" s="0" t="n">
        <f aca="false">D19*D20</f>
        <v>121.563815658264</v>
      </c>
      <c r="E21" s="0" t="n">
        <f aca="false">E19*E20</f>
        <v>93.777298119746</v>
      </c>
      <c r="F21" s="0" t="n">
        <f aca="false">F19*F20</f>
        <v>77.7852996807955</v>
      </c>
      <c r="G21" s="0" t="n">
        <f aca="false">G19*G20</f>
        <v>64.9285664120006</v>
      </c>
      <c r="H21" s="0" t="n">
        <f aca="false">H19*H20</f>
        <v>59.1397190544346</v>
      </c>
      <c r="I21" s="0" t="n">
        <f aca="false">I19*I20</f>
        <v>53.0489091421065</v>
      </c>
      <c r="J21" s="0" t="n">
        <f aca="false">J19*J20</f>
        <v>50.2100323049306</v>
      </c>
      <c r="K21" s="0" t="n">
        <f aca="false">K19*K20</f>
        <v>46.7866210114126</v>
      </c>
      <c r="L21" s="0" t="n">
        <f aca="false">L19*L20</f>
        <v>44.0628609664618</v>
      </c>
    </row>
    <row r="23" customFormat="false" ht="15" hidden="false" customHeight="false" outlineLevel="0" collapsed="false">
      <c r="A23" s="0" t="s">
        <v>98</v>
      </c>
      <c r="C23" s="4" t="n">
        <f aca="false">Assumptions!C16</f>
        <v>1.3</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123</v>
      </c>
      <c r="C24" s="0" t="n">
        <f aca="false">-C6*C23/100</f>
        <v>-8.1810547</v>
      </c>
      <c r="D24" s="0" t="n">
        <f aca="false">-D6*D23/100</f>
        <v>-7.935623059</v>
      </c>
      <c r="E24" s="0" t="n">
        <f aca="false">-E6*E23/100</f>
        <v>-8.01497928959</v>
      </c>
      <c r="F24" s="0" t="n">
        <f aca="false">-F6*F23/100</f>
        <v>-8.1752788753818</v>
      </c>
      <c r="G24" s="0" t="n">
        <f aca="false">-G6*G23/100</f>
        <v>-8.42053724164325</v>
      </c>
      <c r="H24" s="0" t="n">
        <f aca="false">-H6*H23/100</f>
        <v>-8.67315335889255</v>
      </c>
      <c r="I24" s="0" t="n">
        <f aca="false">-I6*I23/100</f>
        <v>-8.93334795965933</v>
      </c>
      <c r="J24" s="0" t="n">
        <f aca="false">-J6*J23/100</f>
        <v>-9.15668165865081</v>
      </c>
      <c r="K24" s="0" t="n">
        <f aca="false">-K6*K23/100</f>
        <v>-9.38559870011708</v>
      </c>
      <c r="L24" s="0" t="n">
        <f aca="false">-L6*L23/100</f>
        <v>-9.57331067411942</v>
      </c>
    </row>
    <row r="26" customFormat="false" ht="15" hidden="false" customHeight="false" outlineLevel="0" collapsed="false">
      <c r="A26" s="2" t="s">
        <v>124</v>
      </c>
    </row>
    <row r="27" customFormat="false" ht="15" hidden="false" customHeight="false" outlineLevel="0" collapsed="false">
      <c r="A27" s="0" t="s">
        <v>102</v>
      </c>
      <c r="B27" s="4" t="n">
        <f aca="false">Assumptions!$B$20</f>
        <v>10</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762.37463956288</v>
      </c>
    </row>
    <row r="31" customFormat="false" ht="15" hidden="false" customHeight="false" outlineLevel="0" collapsed="false">
      <c r="A31" s="0" t="s">
        <v>126</v>
      </c>
      <c r="B31" s="0" t="n">
        <f aca="false">L19</f>
        <v>114.287713402195</v>
      </c>
    </row>
    <row r="32" customFormat="false" ht="15" hidden="false" customHeight="false" outlineLevel="0" collapsed="false">
      <c r="A32" s="0" t="s">
        <v>127</v>
      </c>
      <c r="B32" s="0" t="n">
        <f aca="false">IF(B27&gt;B28,B31*(1+B28/100)/((B27-B28)/100),B31*B29)</f>
        <v>1457.16834587799</v>
      </c>
    </row>
    <row r="33" customFormat="false" ht="15" hidden="false" customHeight="false" outlineLevel="0" collapsed="false">
      <c r="A33" s="0" t="s">
        <v>128</v>
      </c>
      <c r="B33" s="0" t="n">
        <f aca="false">B31*B29</f>
        <v>1371.45256082634</v>
      </c>
    </row>
    <row r="34" customFormat="false" ht="15" hidden="false" customHeight="false" outlineLevel="0" collapsed="false">
      <c r="A34" s="0" t="s">
        <v>129</v>
      </c>
      <c r="B34" s="0" t="n">
        <f aca="false">MAX(0,MIN(B32,B33))</f>
        <v>1371.45256082634</v>
      </c>
    </row>
    <row r="35" customFormat="false" ht="15" hidden="false" customHeight="false" outlineLevel="0" collapsed="false">
      <c r="A35" s="0" t="s">
        <v>130</v>
      </c>
      <c r="B35" s="0" t="n">
        <f aca="false">B34/(1+B27/100)^L4</f>
        <v>528.754331597541</v>
      </c>
    </row>
    <row r="36" customFormat="false" ht="15" hidden="false" customHeight="false" outlineLevel="0" collapsed="false">
      <c r="A36" s="0" t="s">
        <v>131</v>
      </c>
      <c r="B36" s="0" t="n">
        <f aca="false">B30+B35</f>
        <v>1291.12897116042</v>
      </c>
    </row>
    <row r="37" customFormat="false" ht="15" hidden="false" customHeight="false" outlineLevel="0" collapsed="false">
      <c r="A37" s="0" t="s">
        <v>132</v>
      </c>
      <c r="B37" s="0" t="n">
        <f aca="false">B36+Assumptions!$B$5-Assumptions!$B$4</f>
        <v>5527.42897116042</v>
      </c>
    </row>
    <row r="38" customFormat="false" ht="15" hidden="false" customHeight="false" outlineLevel="0" collapsed="false">
      <c r="A38" s="0" t="s">
        <v>133</v>
      </c>
      <c r="B38" s="0" t="n">
        <f aca="false">B37/Assumptions!$B$3*Assumptions!$B$10</f>
        <v>8.76493910298029</v>
      </c>
    </row>
    <row r="39" customFormat="false" ht="15" hidden="false" customHeight="false" outlineLevel="0" collapsed="false">
      <c r="A39" s="0" t="s">
        <v>134</v>
      </c>
      <c r="B39" s="4" t="n">
        <f aca="false">B38/Assumptions!$B$2-1</f>
        <v>0.345347521562593</v>
      </c>
    </row>
    <row r="41" customFormat="false" ht="15" hidden="false" customHeight="false" outlineLevel="0" collapsed="false">
      <c r="A41" s="0" t="s">
        <v>135</v>
      </c>
      <c r="B41" s="0" t="n">
        <f aca="false">SUMPRODUCT(-C10:L10/(1+$B$27/100)^C4:L4)</f>
        <v>7.75283561222035</v>
      </c>
    </row>
    <row r="42" customFormat="false" ht="15" hidden="false" customHeight="false" outlineLevel="0" collapsed="false">
      <c r="A42" s="0" t="s">
        <v>136</v>
      </c>
      <c r="B42" s="0" t="n">
        <f aca="false">IF(B27&gt;B28,-L10*(1+B28/100)/((B27-B28)/100),-L10*20)/(1+B27/100)^L4</f>
        <v>7.23989269575282</v>
      </c>
    </row>
    <row r="43" customFormat="false" ht="15" hidden="false" customHeight="false" outlineLevel="0" collapsed="false">
      <c r="A43" s="0" t="s">
        <v>137</v>
      </c>
      <c r="B43" s="0" t="n">
        <f aca="false">(B37+B41+B42)/Assumptions!$B$3*Assumptions!$B$10</f>
        <v>8.78871332989348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896.71898207876</v>
      </c>
    </row>
    <row r="47" customFormat="false" ht="15" hidden="false" customHeight="false" outlineLevel="0" collapsed="false">
      <c r="A47" s="0" t="s">
        <v>139</v>
      </c>
      <c r="B47" s="0" t="n">
        <f aca="false">(SUMPRODUCT(C19:L19/(1+B45/100)^C4:L4)+B46/(1+B45/100)^L4+Assumptions!$B$5-Assumptions!$B$4)/Assumptions!$B$3*Assumptions!$B$10</f>
        <v>8.0741653195152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3</v>
      </c>
      <c r="D5" s="4" t="n">
        <f aca="false">Assumptions!D27</f>
        <v>7</v>
      </c>
      <c r="E5" s="4" t="n">
        <f aca="false">Assumptions!E27</f>
        <v>8</v>
      </c>
      <c r="F5" s="4" t="n">
        <f aca="false">Assumptions!F27</f>
        <v>8</v>
      </c>
      <c r="G5" s="4" t="n">
        <f aca="false">Assumptions!G27</f>
        <v>7</v>
      </c>
      <c r="H5" s="4" t="n">
        <f aca="false">Assumptions!H27</f>
        <v>6</v>
      </c>
      <c r="I5" s="4" t="n">
        <f aca="false">Assumptions!I27</f>
        <v>5</v>
      </c>
      <c r="J5" s="4" t="n">
        <f aca="false">Assumptions!J27</f>
        <v>4</v>
      </c>
      <c r="K5" s="4" t="n">
        <f aca="false">Assumptions!K27</f>
        <v>3.5</v>
      </c>
      <c r="L5" s="4" t="n">
        <f aca="false">Assumptions!L27</f>
        <v>3</v>
      </c>
    </row>
    <row r="6" customFormat="false" ht="15" hidden="false" customHeight="false" outlineLevel="0" collapsed="false">
      <c r="A6" s="0" t="s">
        <v>38</v>
      </c>
      <c r="B6" s="3" t="n">
        <v>642.155</v>
      </c>
      <c r="C6" s="0" t="n">
        <f aca="false">B6*(1+C5/100)</f>
        <v>661.41965</v>
      </c>
      <c r="D6" s="0" t="n">
        <f aca="false">C6*(1+D5/100)</f>
        <v>707.7190255</v>
      </c>
      <c r="E6" s="0" t="n">
        <f aca="false">D6*(1+E5/100)</f>
        <v>764.33654754</v>
      </c>
      <c r="F6" s="0" t="n">
        <f aca="false">E6*(1+F5/100)</f>
        <v>825.4834713432</v>
      </c>
      <c r="G6" s="0" t="n">
        <f aca="false">F6*(1+G5/100)</f>
        <v>883.267314337224</v>
      </c>
      <c r="H6" s="0" t="n">
        <f aca="false">G6*(1+H5/100)</f>
        <v>936.263353197458</v>
      </c>
      <c r="I6" s="0" t="n">
        <f aca="false">H6*(1+I5/100)</f>
        <v>983.076520857331</v>
      </c>
      <c r="J6" s="0" t="n">
        <f aca="false">I6*(1+J5/100)</f>
        <v>1022.39958169162</v>
      </c>
      <c r="K6" s="0" t="n">
        <f aca="false">J6*(1+K5/100)</f>
        <v>1058.18356705083</v>
      </c>
      <c r="L6" s="0" t="n">
        <f aca="false">K6*(1+L5/100)</f>
        <v>1089.92907406236</v>
      </c>
    </row>
    <row r="7" customFormat="false" ht="15" hidden="false" customHeight="false" outlineLevel="0" collapsed="false">
      <c r="A7" s="0" t="s">
        <v>96</v>
      </c>
      <c r="C7" s="4" t="n">
        <f aca="false">Assumptions!C28</f>
        <v>32.5</v>
      </c>
      <c r="D7" s="4" t="n">
        <f aca="false">Assumptions!D28</f>
        <v>33</v>
      </c>
      <c r="E7" s="4" t="n">
        <f aca="false">Assumptions!E28</f>
        <v>33.5</v>
      </c>
      <c r="F7" s="4" t="n">
        <f aca="false">Assumptions!F28</f>
        <v>34</v>
      </c>
      <c r="G7" s="4" t="n">
        <f aca="false">Assumptions!G28</f>
        <v>34</v>
      </c>
      <c r="H7" s="4" t="n">
        <f aca="false">Assumptions!H28</f>
        <v>34</v>
      </c>
      <c r="I7" s="4" t="n">
        <f aca="false">Assumptions!I28</f>
        <v>34</v>
      </c>
      <c r="J7" s="4" t="n">
        <f aca="false">Assumptions!J28</f>
        <v>34</v>
      </c>
      <c r="K7" s="4" t="n">
        <f aca="false">Assumptions!K28</f>
        <v>34</v>
      </c>
      <c r="L7" s="4" t="n">
        <f aca="false">Assumptions!L28</f>
        <v>34</v>
      </c>
    </row>
    <row r="8" customFormat="false" ht="15" hidden="false" customHeight="false" outlineLevel="0" collapsed="false">
      <c r="A8" s="0" t="s">
        <v>44</v>
      </c>
      <c r="C8" s="0" t="n">
        <f aca="false">C6*C7/100</f>
        <v>214.96138625</v>
      </c>
      <c r="D8" s="0" t="n">
        <f aca="false">D6*D7/100</f>
        <v>233.547278415</v>
      </c>
      <c r="E8" s="0" t="n">
        <f aca="false">E6*E7/100</f>
        <v>256.0527434259</v>
      </c>
      <c r="F8" s="0" t="n">
        <f aca="false">F6*F7/100</f>
        <v>280.664380256688</v>
      </c>
      <c r="G8" s="0" t="n">
        <f aca="false">G6*G7/100</f>
        <v>300.310886874656</v>
      </c>
      <c r="H8" s="0" t="n">
        <f aca="false">H6*H7/100</f>
        <v>318.329540087136</v>
      </c>
      <c r="I8" s="0" t="n">
        <f aca="false">I6*I7/100</f>
        <v>334.246017091492</v>
      </c>
      <c r="J8" s="0" t="n">
        <f aca="false">J6*J7/100</f>
        <v>347.615857775152</v>
      </c>
      <c r="K8" s="0" t="n">
        <f aca="false">K6*K7/100</f>
        <v>359.782412797282</v>
      </c>
      <c r="L8" s="0" t="n">
        <f aca="false">L6*L7/100</f>
        <v>370.575885181201</v>
      </c>
    </row>
    <row r="9" customFormat="false" ht="15" hidden="false" customHeight="false" outlineLevel="0" collapsed="false">
      <c r="A9" s="0" t="s">
        <v>97</v>
      </c>
      <c r="C9" s="4" t="n">
        <f aca="false">Assumptions!C29</f>
        <v>0.15</v>
      </c>
      <c r="D9" s="4" t="n">
        <f aca="false">Assumptions!D29</f>
        <v>0.2</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112</v>
      </c>
      <c r="C10" s="0" t="n">
        <f aca="false">-C6*C9/100</f>
        <v>-0.992129475</v>
      </c>
      <c r="D10" s="0" t="n">
        <f aca="false">-D6*D9/100</f>
        <v>-1.415438051</v>
      </c>
      <c r="E10" s="0" t="n">
        <f aca="false">-E6*E9/100</f>
        <v>-1.52867309508</v>
      </c>
      <c r="F10" s="0" t="n">
        <f aca="false">-F6*F9/100</f>
        <v>-1.6509669426864</v>
      </c>
      <c r="G10" s="0" t="n">
        <f aca="false">-G6*G9/100</f>
        <v>-1.76653462867445</v>
      </c>
      <c r="H10" s="0" t="n">
        <f aca="false">-H6*H9/100</f>
        <v>-1.87252670639492</v>
      </c>
      <c r="I10" s="0" t="n">
        <f aca="false">-I6*I9/100</f>
        <v>-1.96615304171466</v>
      </c>
      <c r="J10" s="0" t="n">
        <f aca="false">-J6*J9/100</f>
        <v>-2.04479916338325</v>
      </c>
      <c r="K10" s="0" t="n">
        <f aca="false">-K6*K9/100</f>
        <v>-2.11636713410166</v>
      </c>
      <c r="L10" s="0" t="n">
        <f aca="false">-L6*L9/100</f>
        <v>-2.17985814812471</v>
      </c>
    </row>
    <row r="11" customFormat="false" ht="15" hidden="false" customHeight="false" outlineLevel="0" collapsed="false">
      <c r="A11" s="0" t="s">
        <v>113</v>
      </c>
      <c r="C11" s="0" t="n">
        <f aca="false">C8+C10+C24</f>
        <v>205.370801325</v>
      </c>
      <c r="D11" s="0" t="n">
        <f aca="false">D8+D10+D24</f>
        <v>222.9314930325</v>
      </c>
      <c r="E11" s="0" t="n">
        <f aca="false">E8+E10+E24</f>
        <v>244.5876952128</v>
      </c>
      <c r="F11" s="0" t="n">
        <f aca="false">F8+F10+F24</f>
        <v>268.28212818654</v>
      </c>
      <c r="G11" s="0" t="n">
        <f aca="false">G8+G10+G24</f>
        <v>287.061877159598</v>
      </c>
      <c r="H11" s="0" t="n">
        <f aca="false">H8+H10+H24</f>
        <v>304.285589789174</v>
      </c>
      <c r="I11" s="0" t="n">
        <f aca="false">I8+I10+I24</f>
        <v>319.499869278632</v>
      </c>
      <c r="J11" s="0" t="n">
        <f aca="false">J8+J10+J24</f>
        <v>332.279864049778</v>
      </c>
      <c r="K11" s="0" t="n">
        <f aca="false">K8+K10+K24</f>
        <v>343.90965929152</v>
      </c>
      <c r="L11" s="0" t="n">
        <f aca="false">L8+L10+L24</f>
        <v>354.226949070266</v>
      </c>
    </row>
    <row r="12" customFormat="false" ht="15" hidden="false" customHeight="false" outlineLevel="0" collapsed="false">
      <c r="A12" s="0" t="s">
        <v>114</v>
      </c>
      <c r="C12" s="4" t="n">
        <f aca="false">-C6*Assumptions!C31/100</f>
        <v>-16.53549125</v>
      </c>
      <c r="D12" s="4" t="n">
        <f aca="false">-D6*Assumptions!D31/100</f>
        <v>-17.6929756375</v>
      </c>
      <c r="E12" s="4" t="n">
        <f aca="false">-E6*Assumptions!E31/100</f>
        <v>-18.34407714096</v>
      </c>
      <c r="F12" s="4" t="n">
        <f aca="false">-F6*Assumptions!F31/100</f>
        <v>-18.9861198408936</v>
      </c>
      <c r="G12" s="4" t="n">
        <f aca="false">-G6*Assumptions!G31/100</f>
        <v>-19.4318809154189</v>
      </c>
      <c r="H12" s="4" t="n">
        <f aca="false">-H6*Assumptions!H31/100</f>
        <v>-19.6615304171466</v>
      </c>
      <c r="I12" s="4" t="n">
        <f aca="false">-I6*Assumptions!I31/100</f>
        <v>-19.6615304171466</v>
      </c>
      <c r="J12" s="4" t="n">
        <f aca="false">-J6*Assumptions!J31/100</f>
        <v>-20.4479916338325</v>
      </c>
      <c r="K12" s="4" t="n">
        <f aca="false">-K6*Assumptions!K31/100</f>
        <v>-21.1636713410166</v>
      </c>
      <c r="L12" s="4" t="n">
        <f aca="false">-L6*Assumptions!L31/100</f>
        <v>-21.7985814812471</v>
      </c>
    </row>
    <row r="13" customFormat="false" ht="15" hidden="false" customHeight="false" outlineLevel="0" collapsed="false">
      <c r="A13" s="0" t="s">
        <v>115</v>
      </c>
      <c r="C13" s="0" t="n">
        <f aca="false">C11+C12</f>
        <v>188.835310075</v>
      </c>
      <c r="D13" s="0" t="n">
        <f aca="false">D11+D12</f>
        <v>205.238517395</v>
      </c>
      <c r="E13" s="0" t="n">
        <f aca="false">E11+E12</f>
        <v>226.24361807184</v>
      </c>
      <c r="F13" s="0" t="n">
        <f aca="false">F11+F12</f>
        <v>249.296008345646</v>
      </c>
      <c r="G13" s="0" t="n">
        <f aca="false">G11+G12</f>
        <v>267.629996244179</v>
      </c>
      <c r="H13" s="0" t="n">
        <f aca="false">H11+H12</f>
        <v>284.624059372027</v>
      </c>
      <c r="I13" s="0" t="n">
        <f aca="false">I11+I12</f>
        <v>299.838338861486</v>
      </c>
      <c r="J13" s="0" t="n">
        <f aca="false">J11+J12</f>
        <v>311.831872415945</v>
      </c>
      <c r="K13" s="0" t="n">
        <f aca="false">K11+K12</f>
        <v>322.745987950503</v>
      </c>
      <c r="L13" s="0" t="n">
        <f aca="false">L11+L12</f>
        <v>332.428367589018</v>
      </c>
    </row>
    <row r="14" customFormat="false" ht="15" hidden="false" customHeight="false" outlineLevel="0" collapsed="false">
      <c r="A14" s="0" t="s">
        <v>101</v>
      </c>
      <c r="C14" s="4" t="n">
        <f aca="false">Assumptions!C33</f>
        <v>8</v>
      </c>
      <c r="D14" s="4" t="n">
        <f aca="false">Assumptions!D33</f>
        <v>9</v>
      </c>
      <c r="E14" s="4" t="n">
        <f aca="false">Assumptions!E33</f>
        <v>10</v>
      </c>
      <c r="F14" s="4" t="n">
        <f aca="false">Assumptions!F33</f>
        <v>11</v>
      </c>
      <c r="G14" s="4" t="n">
        <f aca="false">Assumptions!G33</f>
        <v>12</v>
      </c>
      <c r="H14" s="4" t="n">
        <f aca="false">Assumptions!H33</f>
        <v>13</v>
      </c>
      <c r="I14" s="4" t="n">
        <f aca="false">Assumptions!I33</f>
        <v>14</v>
      </c>
      <c r="J14" s="4" t="n">
        <f aca="false">Assumptions!J33</f>
        <v>15</v>
      </c>
      <c r="K14" s="4" t="n">
        <f aca="false">Assumptions!K33</f>
        <v>15</v>
      </c>
      <c r="L14" s="4" t="n">
        <f aca="false">Assumptions!L33</f>
        <v>15</v>
      </c>
    </row>
    <row r="15" customFormat="false" ht="15" hidden="false" customHeight="false" outlineLevel="0" collapsed="false">
      <c r="A15" s="0" t="s">
        <v>116</v>
      </c>
      <c r="C15" s="0" t="n">
        <f aca="false">C13-MAX(0,C13)*C14/100</f>
        <v>173.728485269</v>
      </c>
      <c r="D15" s="0" t="n">
        <f aca="false">D13-MAX(0,D13)*D14/100</f>
        <v>186.76705082945</v>
      </c>
      <c r="E15" s="0" t="n">
        <f aca="false">E13-MAX(0,E13)*E14/100</f>
        <v>203.619256264656</v>
      </c>
      <c r="F15" s="0" t="n">
        <f aca="false">F13-MAX(0,F13)*F14/100</f>
        <v>221.873447427625</v>
      </c>
      <c r="G15" s="0" t="n">
        <f aca="false">G13-MAX(0,G13)*G14/100</f>
        <v>235.514396694878</v>
      </c>
      <c r="H15" s="0" t="n">
        <f aca="false">H13-MAX(0,H13)*H14/100</f>
        <v>247.622931653664</v>
      </c>
      <c r="I15" s="0" t="n">
        <f aca="false">I13-MAX(0,I13)*I14/100</f>
        <v>257.860971420878</v>
      </c>
      <c r="J15" s="0" t="n">
        <f aca="false">J13-MAX(0,J13)*J14/100</f>
        <v>265.057091553554</v>
      </c>
      <c r="K15" s="0" t="n">
        <f aca="false">K13-MAX(0,K13)*K14/100</f>
        <v>274.334089757928</v>
      </c>
      <c r="L15" s="0" t="n">
        <f aca="false">L13-MAX(0,L13)*L14/100</f>
        <v>282.564112450666</v>
      </c>
    </row>
    <row r="16" customFormat="false" ht="15" hidden="false" customHeight="false" outlineLevel="0" collapsed="false">
      <c r="A16" s="0" t="s">
        <v>117</v>
      </c>
      <c r="C16" s="0" t="n">
        <f aca="false">-C12</f>
        <v>16.53549125</v>
      </c>
      <c r="D16" s="0" t="n">
        <f aca="false">-D12</f>
        <v>17.6929756375</v>
      </c>
      <c r="E16" s="0" t="n">
        <f aca="false">-E12</f>
        <v>18.34407714096</v>
      </c>
      <c r="F16" s="0" t="n">
        <f aca="false">-F12</f>
        <v>18.9861198408936</v>
      </c>
      <c r="G16" s="0" t="n">
        <f aca="false">-G12</f>
        <v>19.4318809154189</v>
      </c>
      <c r="H16" s="0" t="n">
        <f aca="false">-H12</f>
        <v>19.6615304171466</v>
      </c>
      <c r="I16" s="0" t="n">
        <f aca="false">-I12</f>
        <v>19.6615304171466</v>
      </c>
      <c r="J16" s="0" t="n">
        <f aca="false">-J12</f>
        <v>20.4479916338325</v>
      </c>
      <c r="K16" s="0" t="n">
        <f aca="false">-K12</f>
        <v>21.1636713410166</v>
      </c>
      <c r="L16" s="0" t="n">
        <f aca="false">-L12</f>
        <v>21.7985814812471</v>
      </c>
    </row>
    <row r="17" customFormat="false" ht="15" hidden="false" customHeight="false" outlineLevel="0" collapsed="false">
      <c r="A17" s="0" t="s">
        <v>118</v>
      </c>
      <c r="C17" s="4" t="n">
        <f aca="false">-C6*Assumptions!C32/100</f>
        <v>-13.228393</v>
      </c>
      <c r="D17" s="4" t="n">
        <f aca="false">-D6*Assumptions!D32/100</f>
        <v>-14.15438051</v>
      </c>
      <c r="E17" s="4" t="n">
        <f aca="false">-E6*Assumptions!E32/100</f>
        <v>-15.2867309508</v>
      </c>
      <c r="F17" s="4" t="n">
        <f aca="false">-F6*Assumptions!F32/100</f>
        <v>-16.509669426864</v>
      </c>
      <c r="G17" s="4" t="n">
        <f aca="false">-G6*Assumptions!G32/100</f>
        <v>-17.6653462867445</v>
      </c>
      <c r="H17" s="4" t="n">
        <f aca="false">-H6*Assumptions!H32/100</f>
        <v>-18.7252670639492</v>
      </c>
      <c r="I17" s="4" t="n">
        <f aca="false">-I6*Assumptions!I32/100</f>
        <v>-19.6615304171466</v>
      </c>
      <c r="J17" s="4" t="n">
        <f aca="false">-J6*Assumptions!J32/100</f>
        <v>-20.4479916338325</v>
      </c>
      <c r="K17" s="4" t="n">
        <f aca="false">-K6*Assumptions!K32/100</f>
        <v>-21.1636713410166</v>
      </c>
      <c r="L17" s="4" t="n">
        <f aca="false">-L6*Assumptions!L32/100</f>
        <v>-21.7985814812471</v>
      </c>
    </row>
    <row r="18" customFormat="false" ht="15" hidden="false" customHeight="false" outlineLevel="0" collapsed="false">
      <c r="A18" s="0" t="s">
        <v>119</v>
      </c>
      <c r="C18" s="4" t="n">
        <f aca="false">(C6-B6)*Assumptions!$B$37/100</f>
        <v>-5.77939499999999</v>
      </c>
      <c r="D18" s="4" t="n">
        <f aca="false">(D6-C6)*Assumptions!$B$37/100</f>
        <v>-13.88981265</v>
      </c>
      <c r="E18" s="4" t="n">
        <f aca="false">(E6-D6)*Assumptions!$B$37/100</f>
        <v>-16.985256612</v>
      </c>
      <c r="F18" s="4" t="n">
        <f aca="false">(F6-E6)*Assumptions!$B$37/100</f>
        <v>-18.34407714096</v>
      </c>
      <c r="G18" s="4" t="n">
        <f aca="false">(G6-F6)*Assumptions!$B$37/100</f>
        <v>-17.3351528982072</v>
      </c>
      <c r="H18" s="4" t="n">
        <f aca="false">(H6-G6)*Assumptions!$B$37/100</f>
        <v>-15.8988116580701</v>
      </c>
      <c r="I18" s="4" t="n">
        <f aca="false">(I6-H6)*Assumptions!$B$37/100</f>
        <v>-14.0439502979619</v>
      </c>
      <c r="J18" s="4" t="n">
        <f aca="false">(J6-I6)*Assumptions!$B$37/100</f>
        <v>-11.796918250288</v>
      </c>
      <c r="K18" s="4" t="n">
        <f aca="false">(K6-J6)*Assumptions!$B$37/100</f>
        <v>-10.735195607762</v>
      </c>
      <c r="L18" s="4" t="n">
        <f aca="false">(L6-K6)*Assumptions!$B$37/100</f>
        <v>-9.52365210345749</v>
      </c>
    </row>
    <row r="19" customFormat="false" ht="15" hidden="false" customHeight="false" outlineLevel="0" collapsed="false">
      <c r="A19" s="0" t="s">
        <v>120</v>
      </c>
      <c r="C19" s="0" t="n">
        <f aca="false">C15+C16+C17+C18</f>
        <v>171.256188519</v>
      </c>
      <c r="D19" s="0" t="n">
        <f aca="false">D15+D16+D17+D18</f>
        <v>176.41583330695</v>
      </c>
      <c r="E19" s="0" t="n">
        <f aca="false">E15+E16+E17+E18</f>
        <v>189.691345842816</v>
      </c>
      <c r="F19" s="0" t="n">
        <f aca="false">F15+F16+F17+F18</f>
        <v>206.005820700695</v>
      </c>
      <c r="G19" s="0" t="n">
        <f aca="false">G15+G16+G17+G18</f>
        <v>219.945778425345</v>
      </c>
      <c r="H19" s="0" t="n">
        <f aca="false">H15+H16+H17+H18</f>
        <v>232.660383348791</v>
      </c>
      <c r="I19" s="0" t="n">
        <f aca="false">I15+I16+I17+I18</f>
        <v>243.817021122916</v>
      </c>
      <c r="J19" s="0" t="n">
        <f aca="false">J15+J16+J17+J18</f>
        <v>253.260173303266</v>
      </c>
      <c r="K19" s="0" t="n">
        <f aca="false">K15+K16+K17+K18</f>
        <v>263.598894150166</v>
      </c>
      <c r="L19" s="0" t="n">
        <f aca="false">L15+L16+L17+L18</f>
        <v>273.040460347208</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155.687444108182</v>
      </c>
      <c r="D21" s="0" t="n">
        <f aca="false">D19*D20</f>
        <v>145.798209344587</v>
      </c>
      <c r="E21" s="0" t="n">
        <f aca="false">E19*E20</f>
        <v>142.517915734648</v>
      </c>
      <c r="F21" s="0" t="n">
        <f aca="false">F19*F20</f>
        <v>140.704747422099</v>
      </c>
      <c r="G21" s="0" t="n">
        <f aca="false">G19*G20</f>
        <v>136.569023741141</v>
      </c>
      <c r="H21" s="0" t="n">
        <f aca="false">H19*H20</f>
        <v>131.33072095671</v>
      </c>
      <c r="I21" s="0" t="n">
        <f aca="false">I19*I20</f>
        <v>125.116683752052</v>
      </c>
      <c r="J21" s="0" t="n">
        <f aca="false">J19*J20</f>
        <v>118.147739959169</v>
      </c>
      <c r="K21" s="0" t="n">
        <f aca="false">K19*K20</f>
        <v>111.791663214706</v>
      </c>
      <c r="L21" s="0" t="n">
        <f aca="false">L19*L20</f>
        <v>105.268917229616</v>
      </c>
    </row>
    <row r="23" customFormat="false" ht="15" hidden="false" customHeight="false" outlineLevel="0" collapsed="false">
      <c r="A23" s="0" t="s">
        <v>98</v>
      </c>
      <c r="C23" s="4" t="n">
        <f aca="false">Assumptions!C30</f>
        <v>1.3</v>
      </c>
      <c r="D23" s="4" t="n">
        <f aca="false">Assumptions!D30</f>
        <v>1.3</v>
      </c>
      <c r="E23" s="4" t="n">
        <f aca="false">Assumptions!E30</f>
        <v>1.3</v>
      </c>
      <c r="F23" s="4" t="n">
        <f aca="false">Assumptions!F30</f>
        <v>1.3</v>
      </c>
      <c r="G23" s="4" t="n">
        <f aca="false">Assumptions!G30</f>
        <v>1.3</v>
      </c>
      <c r="H23" s="4" t="n">
        <f aca="false">Assumptions!H30</f>
        <v>1.3</v>
      </c>
      <c r="I23" s="4" t="n">
        <f aca="false">Assumptions!I30</f>
        <v>1.3</v>
      </c>
      <c r="J23" s="4" t="n">
        <f aca="false">Assumptions!J30</f>
        <v>1.3</v>
      </c>
      <c r="K23" s="4" t="n">
        <f aca="false">Assumptions!K30</f>
        <v>1.3</v>
      </c>
      <c r="L23" s="4" t="n">
        <f aca="false">Assumptions!L30</f>
        <v>1.3</v>
      </c>
    </row>
    <row r="24" customFormat="false" ht="15" hidden="false" customHeight="false" outlineLevel="0" collapsed="false">
      <c r="A24" s="0" t="s">
        <v>123</v>
      </c>
      <c r="C24" s="0" t="n">
        <f aca="false">-C6*C23/100</f>
        <v>-8.59845545</v>
      </c>
      <c r="D24" s="0" t="n">
        <f aca="false">-D6*D23/100</f>
        <v>-9.2003473315</v>
      </c>
      <c r="E24" s="0" t="n">
        <f aca="false">-E6*E23/100</f>
        <v>-9.93637511802</v>
      </c>
      <c r="F24" s="0" t="n">
        <f aca="false">-F6*F23/100</f>
        <v>-10.7312851274616</v>
      </c>
      <c r="G24" s="0" t="n">
        <f aca="false">-G6*G23/100</f>
        <v>-11.4824750863839</v>
      </c>
      <c r="H24" s="0" t="n">
        <f aca="false">-H6*H23/100</f>
        <v>-12.1714235915669</v>
      </c>
      <c r="I24" s="0" t="n">
        <f aca="false">-I6*I23/100</f>
        <v>-12.7799947711453</v>
      </c>
      <c r="J24" s="0" t="n">
        <f aca="false">-J6*J23/100</f>
        <v>-13.2911945619911</v>
      </c>
      <c r="K24" s="0" t="n">
        <f aca="false">-K6*K23/100</f>
        <v>-13.7563863716608</v>
      </c>
      <c r="L24" s="0" t="n">
        <f aca="false">-L6*L23/100</f>
        <v>-14.1690779628106</v>
      </c>
    </row>
    <row r="26" customFormat="false" ht="15" hidden="false" customHeight="false" outlineLevel="0" collapsed="false">
      <c r="A26" s="2" t="s">
        <v>124</v>
      </c>
    </row>
    <row r="27" customFormat="false" ht="15" hidden="false" customHeight="false" outlineLevel="0" collapsed="false">
      <c r="A27" s="0" t="s">
        <v>102</v>
      </c>
      <c r="B27" s="4" t="n">
        <f aca="false">Assumptions!$B$34</f>
        <v>10</v>
      </c>
    </row>
    <row r="28" customFormat="false" ht="15" hidden="false" customHeight="false" outlineLevel="0" collapsed="false">
      <c r="A28" s="0" t="s">
        <v>103</v>
      </c>
      <c r="B28" s="4" t="n">
        <f aca="false">Assumptions!$B$35</f>
        <v>2.5</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1312.93306546291</v>
      </c>
    </row>
    <row r="31" customFormat="false" ht="15" hidden="false" customHeight="false" outlineLevel="0" collapsed="false">
      <c r="A31" s="0" t="s">
        <v>126</v>
      </c>
      <c r="B31" s="0" t="n">
        <f aca="false">L19</f>
        <v>273.040460347208</v>
      </c>
    </row>
    <row r="32" customFormat="false" ht="15" hidden="false" customHeight="false" outlineLevel="0" collapsed="false">
      <c r="A32" s="0" t="s">
        <v>127</v>
      </c>
      <c r="B32" s="0" t="n">
        <f aca="false">IF(B27&gt;B28,B31*(1+B28/100)/((B27-B28)/100),B31*B29)</f>
        <v>3731.55295807851</v>
      </c>
    </row>
    <row r="33" customFormat="false" ht="15" hidden="false" customHeight="false" outlineLevel="0" collapsed="false">
      <c r="A33" s="0" t="s">
        <v>128</v>
      </c>
      <c r="B33" s="0" t="n">
        <f aca="false">B31*B29</f>
        <v>4095.60690520812</v>
      </c>
    </row>
    <row r="34" customFormat="false" ht="15" hidden="false" customHeight="false" outlineLevel="0" collapsed="false">
      <c r="A34" s="0" t="s">
        <v>129</v>
      </c>
      <c r="B34" s="0" t="n">
        <f aca="false">MAX(0,MIN(B32,B33))</f>
        <v>3731.55295807851</v>
      </c>
    </row>
    <row r="35" customFormat="false" ht="15" hidden="false" customHeight="false" outlineLevel="0" collapsed="false">
      <c r="A35" s="0" t="s">
        <v>130</v>
      </c>
      <c r="B35" s="0" t="n">
        <f aca="false">B34/(1+B27/100)^L4</f>
        <v>1438.67520213809</v>
      </c>
    </row>
    <row r="36" customFormat="false" ht="15" hidden="false" customHeight="false" outlineLevel="0" collapsed="false">
      <c r="A36" s="0" t="s">
        <v>131</v>
      </c>
      <c r="B36" s="0" t="n">
        <f aca="false">B30+B35</f>
        <v>2751.608267601</v>
      </c>
    </row>
    <row r="37" customFormat="false" ht="15" hidden="false" customHeight="false" outlineLevel="0" collapsed="false">
      <c r="A37" s="0" t="s">
        <v>132</v>
      </c>
      <c r="B37" s="0" t="n">
        <f aca="false">B36+Assumptions!$B$5-Assumptions!$B$4</f>
        <v>6987.908267601</v>
      </c>
    </row>
    <row r="38" customFormat="false" ht="15" hidden="false" customHeight="false" outlineLevel="0" collapsed="false">
      <c r="A38" s="0" t="s">
        <v>133</v>
      </c>
      <c r="B38" s="0" t="n">
        <f aca="false">B37/Assumptions!$B$3*Assumptions!$B$10</f>
        <v>11.0808462202413</v>
      </c>
    </row>
    <row r="39" customFormat="false" ht="15" hidden="false" customHeight="false" outlineLevel="0" collapsed="false">
      <c r="A39" s="0" t="s">
        <v>134</v>
      </c>
      <c r="B39" s="4" t="n">
        <f aca="false">B38/Assumptions!$B$2-1</f>
        <v>0.70082060172545</v>
      </c>
    </row>
    <row r="41" customFormat="false" ht="15" hidden="false" customHeight="false" outlineLevel="0" collapsed="false">
      <c r="A41" s="0" t="s">
        <v>135</v>
      </c>
      <c r="B41" s="0" t="n">
        <f aca="false">SUMPRODUCT(-C10:L10/(1+$B$27/100)^C4:L4)</f>
        <v>10.2025755237308</v>
      </c>
    </row>
    <row r="42" customFormat="false" ht="15" hidden="false" customHeight="false" outlineLevel="0" collapsed="false">
      <c r="A42" s="0" t="s">
        <v>136</v>
      </c>
      <c r="B42" s="0" t="n">
        <f aca="false">IF(B27&gt;B28,-L10*(1+B28/100)/((B27-B28)/100),-L10*20)/(1+B27/100)^L4</f>
        <v>11.4858723058762</v>
      </c>
    </row>
    <row r="43" customFormat="false" ht="15" hidden="false" customHeight="false" outlineLevel="0" collapsed="false">
      <c r="A43" s="0" t="s">
        <v>137</v>
      </c>
      <c r="B43" s="0" t="n">
        <f aca="false">(B37+B41+B42)/Assumptions!$B$3*Assumptions!$B$10</f>
        <v>11.1152379646593</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2238.93177484711</v>
      </c>
    </row>
    <row r="47" customFormat="false" ht="15" hidden="false" customHeight="false" outlineLevel="0" collapsed="false">
      <c r="A47" s="0" t="s">
        <v>139</v>
      </c>
      <c r="B47" s="0" t="n">
        <f aca="false">(SUMPRODUCT(C19:L19/(1+B45/100)^C4:L4)+B46/(1+B45/100)^L4+Assumptions!$B$5-Assumptions!$B$4)/Assumptions!$B$3*Assumptions!$B$10</f>
        <v>9.26275227055851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5</v>
      </c>
      <c r="D5" s="4" t="n">
        <f aca="false">Assumptions!D41</f>
        <v>12</v>
      </c>
      <c r="E5" s="4" t="n">
        <f aca="false">Assumptions!E41</f>
        <v>12</v>
      </c>
      <c r="F5" s="4" t="n">
        <f aca="false">Assumptions!F41</f>
        <v>11</v>
      </c>
      <c r="G5" s="4" t="n">
        <f aca="false">Assumptions!G41</f>
        <v>10</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38</v>
      </c>
      <c r="B6" s="3" t="n">
        <v>642.155</v>
      </c>
      <c r="C6" s="0" t="n">
        <f aca="false">B6*(1+C5/100)</f>
        <v>674.26275</v>
      </c>
      <c r="D6" s="0" t="n">
        <f aca="false">C6*(1+D5/100)</f>
        <v>755.17428</v>
      </c>
      <c r="E6" s="0" t="n">
        <f aca="false">D6*(1+E5/100)</f>
        <v>845.7951936</v>
      </c>
      <c r="F6" s="0" t="n">
        <f aca="false">E6*(1+F5/100)</f>
        <v>938.832664896</v>
      </c>
      <c r="G6" s="0" t="n">
        <f aca="false">F6*(1+G5/100)</f>
        <v>1032.7159313856</v>
      </c>
      <c r="H6" s="0" t="n">
        <f aca="false">G6*(1+H5/100)</f>
        <v>1115.33320589645</v>
      </c>
      <c r="I6" s="0" t="n">
        <f aca="false">H6*(1+I5/100)</f>
        <v>1193.4065303092</v>
      </c>
      <c r="J6" s="0" t="n">
        <f aca="false">I6*(1+J5/100)</f>
        <v>1265.01092212775</v>
      </c>
      <c r="K6" s="0" t="n">
        <f aca="false">J6*(1+K5/100)</f>
        <v>1328.26146823414</v>
      </c>
      <c r="L6" s="0" t="n">
        <f aca="false">K6*(1+L5/100)</f>
        <v>1381.39192696351</v>
      </c>
    </row>
    <row r="7" customFormat="false" ht="15" hidden="false" customHeight="false" outlineLevel="0" collapsed="false">
      <c r="A7" s="0" t="s">
        <v>96</v>
      </c>
      <c r="C7" s="4" t="n">
        <f aca="false">Assumptions!C42</f>
        <v>33.5</v>
      </c>
      <c r="D7" s="4" t="n">
        <f aca="false">Assumptions!D42</f>
        <v>35</v>
      </c>
      <c r="E7" s="4" t="n">
        <f aca="false">Assumptions!E42</f>
        <v>36</v>
      </c>
      <c r="F7" s="4" t="n">
        <f aca="false">Assumptions!F42</f>
        <v>37</v>
      </c>
      <c r="G7" s="4" t="n">
        <f aca="false">Assumptions!G42</f>
        <v>38</v>
      </c>
      <c r="H7" s="4" t="n">
        <f aca="false">Assumptions!H42</f>
        <v>38.5</v>
      </c>
      <c r="I7" s="4" t="n">
        <f aca="false">Assumptions!I42</f>
        <v>39</v>
      </c>
      <c r="J7" s="4" t="n">
        <f aca="false">Assumptions!J42</f>
        <v>39</v>
      </c>
      <c r="K7" s="4" t="n">
        <f aca="false">Assumptions!K42</f>
        <v>39</v>
      </c>
      <c r="L7" s="4" t="n">
        <f aca="false">Assumptions!L42</f>
        <v>39</v>
      </c>
    </row>
    <row r="8" customFormat="false" ht="15" hidden="false" customHeight="false" outlineLevel="0" collapsed="false">
      <c r="A8" s="0" t="s">
        <v>44</v>
      </c>
      <c r="C8" s="0" t="n">
        <f aca="false">C6*C7/100</f>
        <v>225.87802125</v>
      </c>
      <c r="D8" s="0" t="n">
        <f aca="false">D6*D7/100</f>
        <v>264.310998</v>
      </c>
      <c r="E8" s="0" t="n">
        <f aca="false">E6*E7/100</f>
        <v>304.486269696</v>
      </c>
      <c r="F8" s="0" t="n">
        <f aca="false">F6*F7/100</f>
        <v>347.36808601152</v>
      </c>
      <c r="G8" s="0" t="n">
        <f aca="false">G6*G7/100</f>
        <v>392.432053926528</v>
      </c>
      <c r="H8" s="0" t="n">
        <f aca="false">H6*H7/100</f>
        <v>429.403284270133</v>
      </c>
      <c r="I8" s="0" t="n">
        <f aca="false">I6*I7/100</f>
        <v>465.428546820588</v>
      </c>
      <c r="J8" s="0" t="n">
        <f aca="false">J6*J7/100</f>
        <v>493.354259629823</v>
      </c>
      <c r="K8" s="0" t="n">
        <f aca="false">K6*K7/100</f>
        <v>518.021972611315</v>
      </c>
      <c r="L8" s="0" t="n">
        <f aca="false">L6*L7/100</f>
        <v>538.742851515767</v>
      </c>
    </row>
    <row r="9" customFormat="false" ht="15" hidden="false" customHeight="false" outlineLevel="0" collapsed="false">
      <c r="A9" s="0" t="s">
        <v>97</v>
      </c>
      <c r="C9" s="4" t="n">
        <f aca="false">Assumptions!C43</f>
        <v>0.15</v>
      </c>
      <c r="D9" s="4" t="n">
        <f aca="false">Assumptions!D43</f>
        <v>0.2</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112</v>
      </c>
      <c r="C10" s="0" t="n">
        <f aca="false">-C6*C9/100</f>
        <v>-1.011394125</v>
      </c>
      <c r="D10" s="0" t="n">
        <f aca="false">-D6*D9/100</f>
        <v>-1.51034856</v>
      </c>
      <c r="E10" s="0" t="n">
        <f aca="false">-E6*E9/100</f>
        <v>-1.6915903872</v>
      </c>
      <c r="F10" s="0" t="n">
        <f aca="false">-F6*F9/100</f>
        <v>-1.877665329792</v>
      </c>
      <c r="G10" s="0" t="n">
        <f aca="false">-G6*G9/100</f>
        <v>-2.0654318627712</v>
      </c>
      <c r="H10" s="0" t="n">
        <f aca="false">-H6*H9/100</f>
        <v>-2.2306664117929</v>
      </c>
      <c r="I10" s="0" t="n">
        <f aca="false">-I6*I9/100</f>
        <v>-2.3868130606184</v>
      </c>
      <c r="J10" s="0" t="n">
        <f aca="false">-J6*J9/100</f>
        <v>-2.5300218442555</v>
      </c>
      <c r="K10" s="0" t="n">
        <f aca="false">-K6*K9/100</f>
        <v>-2.65652293646828</v>
      </c>
      <c r="L10" s="0" t="n">
        <f aca="false">-L6*L9/100</f>
        <v>-2.76278385392701</v>
      </c>
    </row>
    <row r="11" customFormat="false" ht="15" hidden="false" customHeight="false" outlineLevel="0" collapsed="false">
      <c r="A11" s="0" t="s">
        <v>113</v>
      </c>
      <c r="C11" s="0" t="n">
        <f aca="false">C8+C10+C24</f>
        <v>216.101211375</v>
      </c>
      <c r="D11" s="0" t="n">
        <f aca="false">D8+D10+D24</f>
        <v>252.9833838</v>
      </c>
      <c r="E11" s="0" t="n">
        <f aca="false">E8+E10+E24</f>
        <v>291.799341792</v>
      </c>
      <c r="F11" s="0" t="n">
        <f aca="false">F8+F10+F24</f>
        <v>333.28559603808</v>
      </c>
      <c r="G11" s="0" t="n">
        <f aca="false">G8+G10+G24</f>
        <v>376.941314955744</v>
      </c>
      <c r="H11" s="0" t="n">
        <f aca="false">H8+H10+H24</f>
        <v>412.673286181686</v>
      </c>
      <c r="I11" s="0" t="n">
        <f aca="false">I8+I10+I24</f>
        <v>447.52744886595</v>
      </c>
      <c r="J11" s="0" t="n">
        <f aca="false">J8+J10+J24</f>
        <v>474.379095797907</v>
      </c>
      <c r="K11" s="0" t="n">
        <f aca="false">K8+K10+K24</f>
        <v>498.098050587802</v>
      </c>
      <c r="L11" s="0" t="n">
        <f aca="false">L8+L10+L24</f>
        <v>518.021972611315</v>
      </c>
    </row>
    <row r="12" customFormat="false" ht="15" hidden="false" customHeight="false" outlineLevel="0" collapsed="false">
      <c r="A12" s="0" t="s">
        <v>114</v>
      </c>
      <c r="C12" s="4" t="n">
        <f aca="false">-C6*Assumptions!C45/100</f>
        <v>-16.85656875</v>
      </c>
      <c r="D12" s="4" t="n">
        <f aca="false">-D6*Assumptions!D45/100</f>
        <v>-18.879357</v>
      </c>
      <c r="E12" s="4" t="n">
        <f aca="false">-E6*Assumptions!E45/100</f>
        <v>-20.2990846464</v>
      </c>
      <c r="F12" s="4" t="n">
        <f aca="false">-F6*Assumptions!F45/100</f>
        <v>-21.593151292608</v>
      </c>
      <c r="G12" s="4" t="n">
        <f aca="false">-G6*Assumptions!G45/100</f>
        <v>-22.7197504904832</v>
      </c>
      <c r="H12" s="4" t="n">
        <f aca="false">-H6*Assumptions!H45/100</f>
        <v>-23.4219973238254</v>
      </c>
      <c r="I12" s="4" t="n">
        <f aca="false">-I6*Assumptions!I45/100</f>
        <v>-23.868130606184</v>
      </c>
      <c r="J12" s="4" t="n">
        <f aca="false">-J6*Assumptions!J45/100</f>
        <v>-25.300218442555</v>
      </c>
      <c r="K12" s="4" t="n">
        <f aca="false">-K6*Assumptions!K45/100</f>
        <v>-26.5652293646828</v>
      </c>
      <c r="L12" s="4" t="n">
        <f aca="false">-L6*Assumptions!L45/100</f>
        <v>-27.6278385392701</v>
      </c>
    </row>
    <row r="13" customFormat="false" ht="15" hidden="false" customHeight="false" outlineLevel="0" collapsed="false">
      <c r="A13" s="0" t="s">
        <v>115</v>
      </c>
      <c r="C13" s="0" t="n">
        <f aca="false">C11+C12</f>
        <v>199.244642625</v>
      </c>
      <c r="D13" s="0" t="n">
        <f aca="false">D11+D12</f>
        <v>234.1040268</v>
      </c>
      <c r="E13" s="0" t="n">
        <f aca="false">E11+E12</f>
        <v>271.5002571456</v>
      </c>
      <c r="F13" s="0" t="n">
        <f aca="false">F11+F12</f>
        <v>311.692444745472</v>
      </c>
      <c r="G13" s="0" t="n">
        <f aca="false">G11+G12</f>
        <v>354.221564465261</v>
      </c>
      <c r="H13" s="0" t="n">
        <f aca="false">H11+H12</f>
        <v>389.251288857861</v>
      </c>
      <c r="I13" s="0" t="n">
        <f aca="false">I11+I12</f>
        <v>423.659318259766</v>
      </c>
      <c r="J13" s="0" t="n">
        <f aca="false">J11+J12</f>
        <v>449.078877355352</v>
      </c>
      <c r="K13" s="0" t="n">
        <f aca="false">K11+K12</f>
        <v>471.53282122312</v>
      </c>
      <c r="L13" s="0" t="n">
        <f aca="false">L11+L12</f>
        <v>490.394134072045</v>
      </c>
    </row>
    <row r="14" customFormat="false" ht="15" hidden="false" customHeight="false" outlineLevel="0" collapsed="false">
      <c r="A14" s="0" t="s">
        <v>101</v>
      </c>
      <c r="C14" s="4" t="n">
        <f aca="false">Assumptions!C47</f>
        <v>8</v>
      </c>
      <c r="D14" s="4" t="n">
        <f aca="false">Assumptions!D47</f>
        <v>9</v>
      </c>
      <c r="E14" s="4" t="n">
        <f aca="false">Assumptions!E47</f>
        <v>10</v>
      </c>
      <c r="F14" s="4" t="n">
        <f aca="false">Assumptions!F47</f>
        <v>11</v>
      </c>
      <c r="G14" s="4" t="n">
        <f aca="false">Assumptions!G47</f>
        <v>12</v>
      </c>
      <c r="H14" s="4" t="n">
        <f aca="false">Assumptions!H47</f>
        <v>13</v>
      </c>
      <c r="I14" s="4" t="n">
        <f aca="false">Assumptions!I47</f>
        <v>14</v>
      </c>
      <c r="J14" s="4" t="n">
        <f aca="false">Assumptions!J47</f>
        <v>15</v>
      </c>
      <c r="K14" s="4" t="n">
        <f aca="false">Assumptions!K47</f>
        <v>15</v>
      </c>
      <c r="L14" s="4" t="n">
        <f aca="false">Assumptions!L47</f>
        <v>15</v>
      </c>
    </row>
    <row r="15" customFormat="false" ht="15" hidden="false" customHeight="false" outlineLevel="0" collapsed="false">
      <c r="A15" s="0" t="s">
        <v>116</v>
      </c>
      <c r="C15" s="0" t="n">
        <f aca="false">C13-MAX(0,C13)*C14/100</f>
        <v>183.305071215</v>
      </c>
      <c r="D15" s="0" t="n">
        <f aca="false">D13-MAX(0,D13)*D14/100</f>
        <v>213.034664388</v>
      </c>
      <c r="E15" s="0" t="n">
        <f aca="false">E13-MAX(0,E13)*E14/100</f>
        <v>244.35023143104</v>
      </c>
      <c r="F15" s="0" t="n">
        <f aca="false">F13-MAX(0,F13)*F14/100</f>
        <v>277.40627582347</v>
      </c>
      <c r="G15" s="0" t="n">
        <f aca="false">G13-MAX(0,G13)*G14/100</f>
        <v>311.71497672943</v>
      </c>
      <c r="H15" s="0" t="n">
        <f aca="false">H13-MAX(0,H13)*H14/100</f>
        <v>338.648621306339</v>
      </c>
      <c r="I15" s="0" t="n">
        <f aca="false">I13-MAX(0,I13)*I14/100</f>
        <v>364.347013703399</v>
      </c>
      <c r="J15" s="0" t="n">
        <f aca="false">J13-MAX(0,J13)*J14/100</f>
        <v>381.717045752049</v>
      </c>
      <c r="K15" s="0" t="n">
        <f aca="false">K13-MAX(0,K13)*K14/100</f>
        <v>400.802898039652</v>
      </c>
      <c r="L15" s="0" t="n">
        <f aca="false">L13-MAX(0,L13)*L14/100</f>
        <v>416.835013961238</v>
      </c>
    </row>
    <row r="16" customFormat="false" ht="15" hidden="false" customHeight="false" outlineLevel="0" collapsed="false">
      <c r="A16" s="0" t="s">
        <v>117</v>
      </c>
      <c r="C16" s="0" t="n">
        <f aca="false">-C12</f>
        <v>16.85656875</v>
      </c>
      <c r="D16" s="0" t="n">
        <f aca="false">-D12</f>
        <v>18.879357</v>
      </c>
      <c r="E16" s="0" t="n">
        <f aca="false">-E12</f>
        <v>20.2990846464</v>
      </c>
      <c r="F16" s="0" t="n">
        <f aca="false">-F12</f>
        <v>21.593151292608</v>
      </c>
      <c r="G16" s="0" t="n">
        <f aca="false">-G12</f>
        <v>22.7197504904832</v>
      </c>
      <c r="H16" s="0" t="n">
        <f aca="false">-H12</f>
        <v>23.4219973238254</v>
      </c>
      <c r="I16" s="0" t="n">
        <f aca="false">-I12</f>
        <v>23.868130606184</v>
      </c>
      <c r="J16" s="0" t="n">
        <f aca="false">-J12</f>
        <v>25.300218442555</v>
      </c>
      <c r="K16" s="0" t="n">
        <f aca="false">-K12</f>
        <v>26.5652293646828</v>
      </c>
      <c r="L16" s="0" t="n">
        <f aca="false">-L12</f>
        <v>27.6278385392701</v>
      </c>
    </row>
    <row r="17" customFormat="false" ht="15" hidden="false" customHeight="false" outlineLevel="0" collapsed="false">
      <c r="A17" s="0" t="s">
        <v>118</v>
      </c>
      <c r="C17" s="4" t="n">
        <f aca="false">-C6*Assumptions!C46/100</f>
        <v>-13.485255</v>
      </c>
      <c r="D17" s="4" t="n">
        <f aca="false">-D6*Assumptions!D46/100</f>
        <v>-15.1034856</v>
      </c>
      <c r="E17" s="4" t="n">
        <f aca="false">-E6*Assumptions!E46/100</f>
        <v>-16.915903872</v>
      </c>
      <c r="F17" s="4" t="n">
        <f aca="false">-F6*Assumptions!F46/100</f>
        <v>-18.77665329792</v>
      </c>
      <c r="G17" s="4" t="n">
        <f aca="false">-G6*Assumptions!G46/100</f>
        <v>-20.654318627712</v>
      </c>
      <c r="H17" s="4" t="n">
        <f aca="false">-H6*Assumptions!H46/100</f>
        <v>-22.306664117929</v>
      </c>
      <c r="I17" s="4" t="n">
        <f aca="false">-I6*Assumptions!I46/100</f>
        <v>-23.868130606184</v>
      </c>
      <c r="J17" s="4" t="n">
        <f aca="false">-J6*Assumptions!J46/100</f>
        <v>-25.300218442555</v>
      </c>
      <c r="K17" s="4" t="n">
        <f aca="false">-K6*Assumptions!K46/100</f>
        <v>-26.5652293646828</v>
      </c>
      <c r="L17" s="4" t="n">
        <f aca="false">-L6*Assumptions!L46/100</f>
        <v>-27.6278385392701</v>
      </c>
    </row>
    <row r="18" customFormat="false" ht="15" hidden="false" customHeight="false" outlineLevel="0" collapsed="false">
      <c r="A18" s="0" t="s">
        <v>119</v>
      </c>
      <c r="C18" s="4" t="n">
        <f aca="false">(C6-B6)*Assumptions!$B$51/100</f>
        <v>-8.0269375</v>
      </c>
      <c r="D18" s="4" t="n">
        <f aca="false">(D6-C6)*Assumptions!$B$51/100</f>
        <v>-20.2278825</v>
      </c>
      <c r="E18" s="4" t="n">
        <f aca="false">(E6-D6)*Assumptions!$B$51/100</f>
        <v>-22.6552284</v>
      </c>
      <c r="F18" s="4" t="n">
        <f aca="false">(F6-E6)*Assumptions!$B$51/100</f>
        <v>-23.259367824</v>
      </c>
      <c r="G18" s="4" t="n">
        <f aca="false">(G6-F6)*Assumptions!$B$51/100</f>
        <v>-23.4708166224</v>
      </c>
      <c r="H18" s="4" t="n">
        <f aca="false">(H6-G6)*Assumptions!$B$51/100</f>
        <v>-20.654318627712</v>
      </c>
      <c r="I18" s="4" t="n">
        <f aca="false">(I6-H6)*Assumptions!$B$51/100</f>
        <v>-19.5183311031878</v>
      </c>
      <c r="J18" s="4" t="n">
        <f aca="false">(J6-I6)*Assumptions!$B$51/100</f>
        <v>-17.901097954638</v>
      </c>
      <c r="K18" s="4" t="n">
        <f aca="false">(K6-J6)*Assumptions!$B$51/100</f>
        <v>-15.8126365265969</v>
      </c>
      <c r="L18" s="4" t="n">
        <f aca="false">(L6-K6)*Assumptions!$B$51/100</f>
        <v>-13.2826146823414</v>
      </c>
    </row>
    <row r="19" customFormat="false" ht="15" hidden="false" customHeight="false" outlineLevel="0" collapsed="false">
      <c r="A19" s="0" t="s">
        <v>120</v>
      </c>
      <c r="C19" s="0" t="n">
        <f aca="false">C15+C16+C17+C18</f>
        <v>178.649447465</v>
      </c>
      <c r="D19" s="0" t="n">
        <f aca="false">D15+D16+D17+D18</f>
        <v>196.582653288</v>
      </c>
      <c r="E19" s="0" t="n">
        <f aca="false">E15+E16+E17+E18</f>
        <v>225.07818380544</v>
      </c>
      <c r="F19" s="0" t="n">
        <f aca="false">F15+F16+F17+F18</f>
        <v>256.963405994158</v>
      </c>
      <c r="G19" s="0" t="n">
        <f aca="false">G15+G16+G17+G18</f>
        <v>290.309591969801</v>
      </c>
      <c r="H19" s="0" t="n">
        <f aca="false">H15+H16+H17+H18</f>
        <v>319.109635884523</v>
      </c>
      <c r="I19" s="0" t="n">
        <f aca="false">I15+I16+I17+I18</f>
        <v>344.828682600211</v>
      </c>
      <c r="J19" s="0" t="n">
        <f aca="false">J15+J16+J17+J18</f>
        <v>363.815947797411</v>
      </c>
      <c r="K19" s="0" t="n">
        <f aca="false">K15+K16+K17+K18</f>
        <v>384.990261513055</v>
      </c>
      <c r="L19" s="0" t="n">
        <f aca="false">L15+L16+L17+L18</f>
        <v>403.552399278896</v>
      </c>
    </row>
    <row r="20" customFormat="false" ht="15" hidden="false" customHeight="false" outlineLevel="0" collapsed="false">
      <c r="A20" s="0" t="s">
        <v>121</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122</v>
      </c>
      <c r="C21" s="0" t="n">
        <f aca="false">C19*C20</f>
        <v>162.408588604545</v>
      </c>
      <c r="D21" s="0" t="n">
        <f aca="false">D19*D20</f>
        <v>162.465002717355</v>
      </c>
      <c r="E21" s="0" t="n">
        <f aca="false">E19*E20</f>
        <v>169.104570853073</v>
      </c>
      <c r="F21" s="0" t="n">
        <f aca="false">F19*F20</f>
        <v>175.509463830447</v>
      </c>
      <c r="G21" s="0" t="n">
        <f aca="false">G19*G20</f>
        <v>180.259415942652</v>
      </c>
      <c r="H21" s="0" t="n">
        <f aca="false">H19*H20</f>
        <v>180.129070285767</v>
      </c>
      <c r="I21" s="0" t="n">
        <f aca="false">I19*I20</f>
        <v>176.951637875098</v>
      </c>
      <c r="J21" s="0" t="n">
        <f aca="false">J19*J20</f>
        <v>169.722824685491</v>
      </c>
      <c r="K21" s="0" t="n">
        <f aca="false">K19*K20</f>
        <v>163.273453004287</v>
      </c>
      <c r="L21" s="0" t="n">
        <f aca="false">L19*L20</f>
        <v>155.586919475165</v>
      </c>
    </row>
    <row r="23" customFormat="false" ht="15" hidden="false" customHeight="false" outlineLevel="0" collapsed="false">
      <c r="A23" s="0" t="s">
        <v>98</v>
      </c>
      <c r="C23" s="4" t="n">
        <f aca="false">Assumptions!C44</f>
        <v>1.3</v>
      </c>
      <c r="D23" s="4" t="n">
        <f aca="false">Assumptions!D44</f>
        <v>1.3</v>
      </c>
      <c r="E23" s="4" t="n">
        <f aca="false">Assumptions!E44</f>
        <v>1.3</v>
      </c>
      <c r="F23" s="4" t="n">
        <f aca="false">Assumptions!F44</f>
        <v>1.3</v>
      </c>
      <c r="G23" s="4" t="n">
        <f aca="false">Assumptions!G44</f>
        <v>1.3</v>
      </c>
      <c r="H23" s="4" t="n">
        <f aca="false">Assumptions!H44</f>
        <v>1.3</v>
      </c>
      <c r="I23" s="4" t="n">
        <f aca="false">Assumptions!I44</f>
        <v>1.3</v>
      </c>
      <c r="J23" s="4" t="n">
        <f aca="false">Assumptions!J44</f>
        <v>1.3</v>
      </c>
      <c r="K23" s="4" t="n">
        <f aca="false">Assumptions!K44</f>
        <v>1.3</v>
      </c>
      <c r="L23" s="4" t="n">
        <f aca="false">Assumptions!L44</f>
        <v>1.3</v>
      </c>
    </row>
    <row r="24" customFormat="false" ht="15" hidden="false" customHeight="false" outlineLevel="0" collapsed="false">
      <c r="A24" s="0" t="s">
        <v>123</v>
      </c>
      <c r="C24" s="0" t="n">
        <f aca="false">-C6*C23/100</f>
        <v>-8.76541575</v>
      </c>
      <c r="D24" s="0" t="n">
        <f aca="false">-D6*D23/100</f>
        <v>-9.81726564</v>
      </c>
      <c r="E24" s="0" t="n">
        <f aca="false">-E6*E23/100</f>
        <v>-10.9953375168</v>
      </c>
      <c r="F24" s="0" t="n">
        <f aca="false">-F6*F23/100</f>
        <v>-12.204824643648</v>
      </c>
      <c r="G24" s="0" t="n">
        <f aca="false">-G6*G23/100</f>
        <v>-13.4253071080128</v>
      </c>
      <c r="H24" s="0" t="n">
        <f aca="false">-H6*H23/100</f>
        <v>-14.4993316766538</v>
      </c>
      <c r="I24" s="0" t="n">
        <f aca="false">-I6*I23/100</f>
        <v>-15.5142848940196</v>
      </c>
      <c r="J24" s="0" t="n">
        <f aca="false">-J6*J23/100</f>
        <v>-16.4451419876608</v>
      </c>
      <c r="K24" s="0" t="n">
        <f aca="false">-K6*K23/100</f>
        <v>-17.2673990870438</v>
      </c>
      <c r="L24" s="0" t="n">
        <f aca="false">-L6*L23/100</f>
        <v>-17.9580950505256</v>
      </c>
    </row>
    <row r="26" customFormat="false" ht="15" hidden="false" customHeight="false" outlineLevel="0" collapsed="false">
      <c r="A26" s="2" t="s">
        <v>124</v>
      </c>
    </row>
    <row r="27" customFormat="false" ht="15" hidden="false" customHeight="false" outlineLevel="0" collapsed="false">
      <c r="A27" s="0" t="s">
        <v>102</v>
      </c>
      <c r="B27" s="4" t="n">
        <f aca="false">Assumptions!$B$48</f>
        <v>10</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15</v>
      </c>
    </row>
    <row r="30" customFormat="false" ht="15" hidden="false" customHeight="false" outlineLevel="0" collapsed="false">
      <c r="A30" s="0" t="s">
        <v>125</v>
      </c>
      <c r="B30" s="0" t="n">
        <f aca="false">SUM(C21:L21)</f>
        <v>1695.41094727388</v>
      </c>
    </row>
    <row r="31" customFormat="false" ht="15" hidden="false" customHeight="false" outlineLevel="0" collapsed="false">
      <c r="A31" s="0" t="s">
        <v>126</v>
      </c>
      <c r="B31" s="0" t="n">
        <f aca="false">L19</f>
        <v>403.552399278896</v>
      </c>
    </row>
    <row r="32" customFormat="false" ht="15" hidden="false" customHeight="false" outlineLevel="0" collapsed="false">
      <c r="A32" s="0" t="s">
        <v>127</v>
      </c>
      <c r="B32" s="0" t="n">
        <f aca="false">IF(B27&gt;B28,B31*(1+B28/100)/((B27-B28)/100),B31*B29)</f>
        <v>5937.98530367519</v>
      </c>
    </row>
    <row r="33" customFormat="false" ht="15" hidden="false" customHeight="false" outlineLevel="0" collapsed="false">
      <c r="A33" s="0" t="s">
        <v>128</v>
      </c>
      <c r="B33" s="0" t="n">
        <f aca="false">B31*B29</f>
        <v>6053.28598918345</v>
      </c>
    </row>
    <row r="34" customFormat="false" ht="15" hidden="false" customHeight="false" outlineLevel="0" collapsed="false">
      <c r="A34" s="0" t="s">
        <v>129</v>
      </c>
      <c r="B34" s="0" t="n">
        <f aca="false">MAX(0,MIN(B32,B33))</f>
        <v>5937.98530367519</v>
      </c>
    </row>
    <row r="35" customFormat="false" ht="15" hidden="false" customHeight="false" outlineLevel="0" collapsed="false">
      <c r="A35" s="0" t="s">
        <v>130</v>
      </c>
      <c r="B35" s="0" t="n">
        <f aca="false">B34/(1+B27/100)^L4</f>
        <v>2289.35038656315</v>
      </c>
    </row>
    <row r="36" customFormat="false" ht="15" hidden="false" customHeight="false" outlineLevel="0" collapsed="false">
      <c r="A36" s="0" t="s">
        <v>131</v>
      </c>
      <c r="B36" s="0" t="n">
        <f aca="false">B30+B35</f>
        <v>3984.76133383703</v>
      </c>
    </row>
    <row r="37" customFormat="false" ht="15" hidden="false" customHeight="false" outlineLevel="0" collapsed="false">
      <c r="A37" s="0" t="s">
        <v>132</v>
      </c>
      <c r="B37" s="0" t="n">
        <f aca="false">B36+Assumptions!$B$5-Assumptions!$B$4</f>
        <v>8221.06133383703</v>
      </c>
    </row>
    <row r="38" customFormat="false" ht="15" hidden="false" customHeight="false" outlineLevel="0" collapsed="false">
      <c r="A38" s="0" t="s">
        <v>133</v>
      </c>
      <c r="B38" s="0" t="n">
        <f aca="false">B37/Assumptions!$B$3*Assumptions!$B$10</f>
        <v>13.0362782278901</v>
      </c>
    </row>
    <row r="39" customFormat="false" ht="15" hidden="false" customHeight="false" outlineLevel="0" collapsed="false">
      <c r="A39" s="0" t="s">
        <v>134</v>
      </c>
      <c r="B39" s="4" t="n">
        <f aca="false">B38/Assumptions!$B$2-1</f>
        <v>1.00096365738911</v>
      </c>
    </row>
    <row r="41" customFormat="false" ht="15" hidden="false" customHeight="false" outlineLevel="0" collapsed="false">
      <c r="A41" s="0" t="s">
        <v>135</v>
      </c>
      <c r="B41" s="0" t="n">
        <f aca="false">SUMPRODUCT(-C10:L10/(1+$B$27/100)^C4:L4)</f>
        <v>11.8595666425958</v>
      </c>
    </row>
    <row r="42" customFormat="false" ht="15" hidden="false" customHeight="false" outlineLevel="0" collapsed="false">
      <c r="A42" s="0" t="s">
        <v>136</v>
      </c>
      <c r="B42" s="0" t="n">
        <f aca="false">IF(B27&gt;B28,-L10*(1+B28/100)/((B27-B28)/100),-L10*20)/(1+B27/100)^L4</f>
        <v>15.6732565468085</v>
      </c>
    </row>
    <row r="43" customFormat="false" ht="15" hidden="false" customHeight="false" outlineLevel="0" collapsed="false">
      <c r="A43" s="0" t="s">
        <v>137</v>
      </c>
      <c r="B43" s="0" t="n">
        <f aca="false">(B37+B41+B42)/Assumptions!$B$3*Assumptions!$B$10</f>
        <v>13.0799374987459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3463.82476047719</v>
      </c>
    </row>
    <row r="47" customFormat="false" ht="15" hidden="false" customHeight="false" outlineLevel="0" collapsed="false">
      <c r="A47" s="0" t="s">
        <v>139</v>
      </c>
      <c r="B47" s="0" t="n">
        <f aca="false">(SUMPRODUCT(C19:L19/(1+B45/100)^C4:L4)+B46/(1+B45/100)^L4+Assumptions!$B$5-Assumptions!$B$4)/Assumptions!$B$3*Assumptions!$B$10</f>
        <v>10.1984767538735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8.76493910298029</v>
      </c>
      <c r="C4" s="0" t="n">
        <f aca="false">B4/Assumptions!$B$2-1</f>
        <v>0.345347521562593</v>
      </c>
      <c r="D4" s="4" t="n">
        <f aca="false">Assumptions!$B$24</f>
        <v>0.25</v>
      </c>
      <c r="E4" s="4" t="n">
        <f aca="false">DCF_Bear!$B$43</f>
        <v>8.78871332989348</v>
      </c>
      <c r="F4" s="4" t="n">
        <f aca="false">DCF_Bear!$B$47</f>
        <v>8.0741653195152</v>
      </c>
    </row>
    <row r="5" customFormat="false" ht="15" hidden="false" customHeight="false" outlineLevel="0" collapsed="false">
      <c r="A5" s="0" t="s">
        <v>148</v>
      </c>
      <c r="B5" s="4" t="n">
        <f aca="false">DCF_Base!$B$38</f>
        <v>11.0808462202413</v>
      </c>
      <c r="C5" s="0" t="n">
        <f aca="false">B5/Assumptions!$B$2-1</f>
        <v>0.70082060172545</v>
      </c>
      <c r="D5" s="4" t="n">
        <f aca="false">Assumptions!$B$38</f>
        <v>0.5</v>
      </c>
      <c r="E5" s="4" t="n">
        <f aca="false">DCF_Base!$B$43</f>
        <v>11.1152379646593</v>
      </c>
      <c r="F5" s="4" t="n">
        <f aca="false">DCF_Base!$B$47</f>
        <v>9.26275227055851</v>
      </c>
    </row>
    <row r="6" customFormat="false" ht="15" hidden="false" customHeight="false" outlineLevel="0" collapsed="false">
      <c r="A6" s="0" t="s">
        <v>149</v>
      </c>
      <c r="B6" s="4" t="n">
        <f aca="false">DCF_Bull!$B$38</f>
        <v>13.0362782278901</v>
      </c>
      <c r="C6" s="0" t="n">
        <f aca="false">B6/Assumptions!$B$2-1</f>
        <v>1.00096365738911</v>
      </c>
      <c r="D6" s="4" t="n">
        <f aca="false">Assumptions!$B$52</f>
        <v>0.25</v>
      </c>
      <c r="E6" s="4" t="n">
        <f aca="false">DCF_Bull!$B$43</f>
        <v>13.0799374987459</v>
      </c>
      <c r="F6" s="4" t="n">
        <f aca="false">DCF_Bull!$B$47</f>
        <v>10.1984767538735</v>
      </c>
    </row>
    <row r="8" customFormat="false" ht="15" hidden="false" customHeight="false" outlineLevel="0" collapsed="false">
      <c r="A8" s="0" t="s">
        <v>150</v>
      </c>
      <c r="B8" s="0" t="n">
        <f aca="false">SUMPRODUCT(B4:B6,D4:D6)</f>
        <v>10.9907274428382</v>
      </c>
    </row>
    <row r="9" customFormat="false" ht="15" hidden="false" customHeight="false" outlineLevel="0" collapsed="false">
      <c r="A9" s="0" t="s">
        <v>151</v>
      </c>
      <c r="B9" s="0" t="n">
        <f aca="false">SUMPRODUCT(E4:E6,D4:D6)</f>
        <v>11.0247816894895</v>
      </c>
    </row>
    <row r="10" customFormat="false" ht="15" hidden="false" customHeight="false" outlineLevel="0" collapsed="false">
      <c r="A10" s="0" t="s">
        <v>152</v>
      </c>
      <c r="B10" s="0" t="n">
        <f aca="false">1-Assumptions!$B$2/B8</f>
        <v>0.407227589449023</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9.19953665362642</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11.6442483364165</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11.0808462202413</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10.5437704772133</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10.1208832783957</v>
      </c>
      <c r="C18" s="3" t="n">
        <v>12</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9.26275227055851</v>
      </c>
      <c r="C19" s="3" t="n">
        <v>15</v>
      </c>
    </row>
    <row r="21" customFormat="false" ht="15" hidden="false" customHeight="false" outlineLevel="0" collapsed="false">
      <c r="A21" s="2" t="s">
        <v>162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12.0180184425369</v>
      </c>
      <c r="C23" s="0" t="n">
        <f aca="false">(SUMPRODUCT(DCF_Base!$C$19:$L$19/(1+$A$23/100)^DCF_Base!$C$4:$L$4)+MAX(0,MIN(IF($A$23&gt;$C$22,DCF_Base!$L$19*(1+$C$22/100)/(($A$23-$C$22)/100),DCF_Base!$L$19*DCF_Base!$B$29),DCF_Base!$L$19*DCF_Base!$B$29))/(1+$A$23/100)^DCF_Base!$L$4+Assumptions!$B$5-Assumptions!$B$4)/Assumptions!$B$3*Assumptions!$B$10</f>
        <v>12.0180184425369</v>
      </c>
      <c r="D23" s="0" t="n">
        <f aca="false">(SUMPRODUCT(DCF_Base!$C$19:$L$19/(1+$A$23/100)^DCF_Base!$C$4:$L$4)+MAX(0,MIN(IF($A$23&gt;$D$22,DCF_Base!$L$19*(1+$D$22/100)/(($A$23-$D$22)/100),DCF_Base!$L$19*DCF_Base!$B$29),DCF_Base!$L$19*DCF_Base!$B$29))/(1+$A$23/100)^DCF_Base!$L$4+Assumptions!$B$5-Assumptions!$B$4)/Assumptions!$B$3*Assumptions!$B$10</f>
        <v>12.0180184425369</v>
      </c>
      <c r="E23" s="0" t="n">
        <f aca="false">(SUMPRODUCT(DCF_Base!$C$19:$L$19/(1+$A$23/100)^DCF_Base!$C$4:$L$4)+MAX(0,MIN(IF($A$23&gt;$E$22,DCF_Base!$L$19*(1+$E$22/100)/(($A$23-$E$22)/100),DCF_Base!$L$19*DCF_Base!$B$29),DCF_Base!$L$19*DCF_Base!$B$29))/(1+$A$23/100)^DCF_Base!$L$4+Assumptions!$B$5-Assumptions!$B$4)/Assumptions!$B$3*Assumptions!$B$10</f>
        <v>12.0180184425369</v>
      </c>
      <c r="F23" s="0" t="n">
        <f aca="false">(SUMPRODUCT(DCF_Base!$C$19:$L$19/(1+$A$23/100)^DCF_Base!$C$4:$L$4)+MAX(0,MIN(IF($A$23&gt;$F$22,DCF_Base!$L$19*(1+$F$22/100)/(($A$23-$F$22)/100),DCF_Base!$L$19*DCF_Base!$B$29),DCF_Base!$L$19*DCF_Base!$B$29))/(1+$A$23/100)^DCF_Base!$L$4+Assumptions!$B$5-Assumptions!$B$4)/Assumptions!$B$3*Assumptions!$B$10</f>
        <v>12.0180184425369</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11.3760110281087</v>
      </c>
      <c r="C24" s="0" t="n">
        <f aca="false">(SUMPRODUCT(DCF_Base!$C$19:$L$19/(1+$A$24/100)^DCF_Base!$C$4:$L$4)+MAX(0,MIN(IF($A$24&gt;$C$22,DCF_Base!$L$19*(1+$C$22/100)/(($A$24-$C$22)/100),DCF_Base!$L$19*DCF_Base!$B$29),DCF_Base!$L$19*DCF_Base!$B$29))/(1+$A$24/100)^DCF_Base!$L$4+Assumptions!$B$5-Assumptions!$B$4)/Assumptions!$B$3*Assumptions!$B$10</f>
        <v>11.5658673047682</v>
      </c>
      <c r="D24" s="0" t="n">
        <f aca="false">(SUMPRODUCT(DCF_Base!$C$19:$L$19/(1+$A$24/100)^DCF_Base!$C$4:$L$4)+MAX(0,MIN(IF($A$24&gt;$D$22,DCF_Base!$L$19*(1+$D$22/100)/(($A$24-$D$22)/100),DCF_Base!$L$19*DCF_Base!$B$29),DCF_Base!$L$19*DCF_Base!$B$29))/(1+$A$24/100)^DCF_Base!$L$4+Assumptions!$B$5-Assumptions!$B$4)/Assumptions!$B$3*Assumptions!$B$10</f>
        <v>11.6442483364165</v>
      </c>
      <c r="E24" s="0" t="n">
        <f aca="false">(SUMPRODUCT(DCF_Base!$C$19:$L$19/(1+$A$24/100)^DCF_Base!$C$4:$L$4)+MAX(0,MIN(IF($A$24&gt;$E$22,DCF_Base!$L$19*(1+$E$22/100)/(($A$24-$E$22)/100),DCF_Base!$L$19*DCF_Base!$B$29),DCF_Base!$L$19*DCF_Base!$B$29))/(1+$A$24/100)^DCF_Base!$L$4+Assumptions!$B$5-Assumptions!$B$4)/Assumptions!$B$3*Assumptions!$B$10</f>
        <v>11.6442483364165</v>
      </c>
      <c r="F24" s="0" t="n">
        <f aca="false">(SUMPRODUCT(DCF_Base!$C$19:$L$19/(1+$A$24/100)^DCF_Base!$C$4:$L$4)+MAX(0,MIN(IF($A$24&gt;$F$22,DCF_Base!$L$19*(1+$F$22/100)/(($A$24-$F$22)/100),DCF_Base!$L$19*DCF_Base!$B$29),DCF_Base!$L$19*DCF_Base!$B$29))/(1+$A$24/100)^DCF_Base!$L$4+Assumptions!$B$5-Assumptions!$B$4)/Assumptions!$B$3*Assumptions!$B$10</f>
        <v>11.6442483364165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10.7928157824487</v>
      </c>
      <c r="C25" s="0" t="n">
        <f aca="false">(SUMPRODUCT(DCF_Base!$C$19:$L$19/(1+$A$25/100)^DCF_Base!$C$4:$L$4)+MAX(0,MIN(IF($A$25&gt;$C$22,DCF_Base!$L$19*(1+$C$22/100)/(($A$25-$C$22)/100),DCF_Base!$L$19*DCF_Base!$B$29),DCF_Base!$L$19*DCF_Base!$B$29))/(1+$A$25/100)^DCF_Base!$L$4+Assumptions!$B$5-Assumptions!$B$4)/Assumptions!$B$3*Assumptions!$B$10</f>
        <v>10.927830050164</v>
      </c>
      <c r="D25" s="0" t="n">
        <f aca="false">(SUMPRODUCT(DCF_Base!$C$19:$L$19/(1+$A$25/100)^DCF_Base!$C$4:$L$4)+MAX(0,MIN(IF($A$25&gt;$D$22,DCF_Base!$L$19*(1+$D$22/100)/(($A$25-$D$22)/100),DCF_Base!$L$19*DCF_Base!$B$29),DCF_Base!$L$19*DCF_Base!$B$29))/(1+$A$25/100)^DCF_Base!$L$4+Assumptions!$B$5-Assumptions!$B$4)/Assumptions!$B$3*Assumptions!$B$10</f>
        <v>11.0808462202413</v>
      </c>
      <c r="E25" s="0" t="n">
        <f aca="false">(SUMPRODUCT(DCF_Base!$C$19:$L$19/(1+$A$25/100)^DCF_Base!$C$4:$L$4)+MAX(0,MIN(IF($A$25&gt;$E$22,DCF_Base!$L$19*(1+$E$22/100)/(($A$25-$E$22)/100),DCF_Base!$L$19*DCF_Base!$B$29),DCF_Base!$L$19*DCF_Base!$B$29))/(1+$A$25/100)^DCF_Base!$L$4+Assumptions!$B$5-Assumptions!$B$4)/Assumptions!$B$3*Assumptions!$B$10</f>
        <v>11.2557218431868</v>
      </c>
      <c r="F25" s="0" t="n">
        <f aca="false">(SUMPRODUCT(DCF_Base!$C$19:$L$19/(1+$A$25/100)^DCF_Base!$C$4:$L$4)+MAX(0,MIN(IF($A$25&gt;$F$22,DCF_Base!$L$19*(1+$F$22/100)/(($A$25-$F$22)/100),DCF_Base!$L$19*DCF_Base!$B$29),DCF_Base!$L$19*DCF_Base!$B$29))/(1+$A$25/100)^DCF_Base!$L$4+Assumptions!$B$5-Assumptions!$B$4)/Assumptions!$B$3*Assumptions!$B$10</f>
        <v>11.3034151948992</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10.3341646269565</v>
      </c>
      <c r="C26" s="0" t="n">
        <f aca="false">(SUMPRODUCT(DCF_Base!$C$19:$L$19/(1+$A$26/100)^DCF_Base!$C$4:$L$4)+MAX(0,MIN(IF($A$26&gt;$C$22,DCF_Base!$L$19*(1+$C$22/100)/(($A$26-$C$22)/100),DCF_Base!$L$19*DCF_Base!$B$29),DCF_Base!$L$19*DCF_Base!$B$29))/(1+$A$26/100)^DCF_Base!$L$4+Assumptions!$B$5-Assumptions!$B$4)/Assumptions!$B$3*Assumptions!$B$10</f>
        <v>10.4331451673555</v>
      </c>
      <c r="D26" s="0" t="n">
        <f aca="false">(SUMPRODUCT(DCF_Base!$C$19:$L$19/(1+$A$26/100)^DCF_Base!$C$4:$L$4)+MAX(0,MIN(IF($A$26&gt;$D$22,DCF_Base!$L$19*(1+$D$22/100)/(($A$26-$D$22)/100),DCF_Base!$L$19*DCF_Base!$B$29),DCF_Base!$L$19*DCF_Base!$B$29))/(1+$A$26/100)^DCF_Base!$L$4+Assumptions!$B$5-Assumptions!$B$4)/Assumptions!$B$3*Assumptions!$B$10</f>
        <v>10.5437704772133</v>
      </c>
      <c r="E26" s="0" t="n">
        <f aca="false">(SUMPRODUCT(DCF_Base!$C$19:$L$19/(1+$A$26/100)^DCF_Base!$C$4:$L$4)+MAX(0,MIN(IF($A$26&gt;$E$22,DCF_Base!$L$19*(1+$E$22/100)/(($A$26-$E$22)/100),DCF_Base!$L$19*DCF_Base!$B$29),DCF_Base!$L$19*DCF_Base!$B$29))/(1+$A$26/100)^DCF_Base!$L$4+Assumptions!$B$5-Assumptions!$B$4)/Assumptions!$B$3*Assumptions!$B$10</f>
        <v>10.6682239508032</v>
      </c>
      <c r="F26" s="0" t="n">
        <f aca="false">(SUMPRODUCT(DCF_Base!$C$19:$L$19/(1+$A$26/100)^DCF_Base!$C$4:$L$4)+MAX(0,MIN(IF($A$26&gt;$F$22,DCF_Base!$L$19*(1+$F$22/100)/(($A$26-$F$22)/100),DCF_Base!$L$19*DCF_Base!$B$29),DCF_Base!$L$19*DCF_Base!$B$29))/(1+$A$26/100)^DCF_Base!$L$4+Assumptions!$B$5-Assumptions!$B$4)/Assumptions!$B$3*Assumptions!$B$10</f>
        <v>10.8092712208719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9.9643604699738</v>
      </c>
      <c r="C27" s="0" t="n">
        <f aca="false">(SUMPRODUCT(DCF_Base!$C$19:$L$19/(1+$A$27/100)^DCF_Base!$C$4:$L$4)+MAX(0,MIN(IF($A$27&gt;$C$22,DCF_Base!$L$19*(1+$C$22/100)/(($A$27-$C$22)/100),DCF_Base!$L$19*DCF_Base!$B$29),DCF_Base!$L$19*DCF_Base!$B$29))/(1+$A$27/100)^DCF_Base!$L$4+Assumptions!$B$5-Assumptions!$B$4)/Assumptions!$B$3*Assumptions!$B$10</f>
        <v>10.0387088039742</v>
      </c>
      <c r="D27" s="0" t="n">
        <f aca="false">(SUMPRODUCT(DCF_Base!$C$19:$L$19/(1+$A$27/100)^DCF_Base!$C$4:$L$4)+MAX(0,MIN(IF($A$27&gt;$D$22,DCF_Base!$L$19*(1+$D$22/100)/(($A$27-$D$22)/100),DCF_Base!$L$19*DCF_Base!$B$29),DCF_Base!$L$19*DCF_Base!$B$29))/(1+$A$27/100)^DCF_Base!$L$4+Assumptions!$B$5-Assumptions!$B$4)/Assumptions!$B$3*Assumptions!$B$10</f>
        <v>10.1208832783957</v>
      </c>
      <c r="E27" s="0" t="n">
        <f aca="false">(SUMPRODUCT(DCF_Base!$C$19:$L$19/(1+$A$27/100)^DCF_Base!$C$4:$L$4)+MAX(0,MIN(IF($A$27&gt;$E$22,DCF_Base!$L$19*(1+$E$22/100)/(($A$27-$E$22)/100),DCF_Base!$L$19*DCF_Base!$B$29),DCF_Base!$L$19*DCF_Base!$B$29))/(1+$A$27/100)^DCF_Base!$L$4+Assumptions!$B$5-Assumptions!$B$4)/Assumptions!$B$3*Assumptions!$B$10</f>
        <v>10.2121882499751</v>
      </c>
      <c r="F27" s="0" t="n">
        <f aca="false">(SUMPRODUCT(DCF_Base!$C$19:$L$19/(1+$A$27/100)^DCF_Base!$C$4:$L$4)+MAX(0,MIN(IF($A$27&gt;$F$22,DCF_Base!$L$19*(1+$F$22/100)/(($A$27-$F$22)/100),DCF_Base!$L$19*DCF_Base!$B$29),DCF_Base!$L$19*DCF_Base!$B$29))/(1+$A$27/100)^DCF_Base!$L$4+Assumptions!$B$5-Assumptions!$B$4)/Assumptions!$B$3*Assumptions!$B$10</f>
        <v>10.3142349829168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2026-10-17T22:14:55Z</dcterms:created>
  <dc:creator>openpyxl</dc:creator>
  <dc:description/>
  <dc:language>en-NZ</dc:language>
  <cp:lastModifiedBy/>
  <dcterms:modified xsi:type="dcterms:W3CDTF">2026-10-17T22:14:55Z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