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<sst xmlns="http://schemas.openxmlformats.org/spreadsheetml/2006/main" count="375" uniqueCount="172">
  <si>
    <t xml:space="preserve">Ticker</t>
  </si>
  <si>
    <t xml:space="preserve">4061.T</t>
  </si>
  <si>
    <t xml:space="preserve">Company</t>
  </si>
  <si>
    <t xml:space="preserve">Denka Company Limited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</si>
  <si>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</si>
  <si>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</si>
  <si>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</si>
  <si>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</si>
  <si>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close, 15:30 JST)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</si>
  <si>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</si>
  <si>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</si>
  <si>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</si>
  <si>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</si>
  <si>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</si>
  <si>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</si>
  <si>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</si>
  <si>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</si>
  <si>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</si>
  <si>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</si>
  <si>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</si>
  <si>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</si>
  <si>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2026-10-30T23:31:22Z</t>
  </si>
  <si>
    <t xml:space="preserve">Drivers file</t>
  </si>
  <si>
    <t xml:space="preserve">4061.T_Drivers.json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</si>
  <si>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</si>
  <si>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</si>
  <si>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</si>
  <si>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normalised components, not on the latest FY's capex-depressed FCF. Denka's FY2024-FY2026 FCF (-8 / -41 / -31bn) is an investment-cycle artefact layered on a one-off DPE loss year; the normalised picture is a ~JPY400-450bn-revenue chemicals group earning a 14-16% EBITDA margin that converts to ~4-5% of revenue in owner FCF once capex returns to the ~8% pre-cycle norm. The market price (JPY3,055, 0.85x book, ~8x EV/EBITDA, ~16x guided P/E) sits between the base and bull values: the stock is priced for the AI-materials bull case, not for the mid-cycle base. The house view is not that the business is bad -- the electronics franchise is real -- but that with JPY201bn of net debt ahead of equity, the price already pays for the margin transformation before it has shown up in the group numbers.
key_risks_to_valuation: Base EBITDA margin of 16% assumes DPE removal + cost programme + electronics mix lift margins ~1pp above the FY2016-FY2023 average; if the consolidated Toyo Styrene revenue dilutes margin more than assumed, 15% would cut base value by roughly a quarter.; Capex normalisation to 8% of revenue is the single largest swing: Mission 2030 Phase 2 (FY2027-FY2029) could launch a second investment wave; every 1pp of permanent capex is ~JPY5bn/yr of FCF, ~JPY600-700/share at the cap multiple.; DPE wind-down cost (JPY12bn in the bridge) is an estimate with no disclosed total; a final decommissioning/remediation settlement could be materially larger or smaller.; Net debt is the June 2026 figure (JPY200.9bn), which includes Q1 working-capital seasonality; the March 2026 figure was JPY186.4bn (~JPY170/share difference).; The 15x FCF terminal cap binds in the base case (Gordon at 7%/1.5% would be ~18.5x); the cap is the house brake for cyclicals and is worth ~JPY400-500/share versus uncapped Gordon.; Bear scenario equity is at or near zero: the valuation is highly non-linear in the margin assumption because of leverage, so the weighted value is sensitive to the bear weight.</t>
  </si>
  <si>
    <t xml:space="preserve">Data sources</t>
  </si>
  <si>
    <t xml:space="preserve">price: Yahoo Finance chart API at inputs.price_as_of (TSE regular close); 52-week range 2169.5-4692.0
financials: 4061.T_Metrics.csv (core_metrics, millions JPY, FY labelled by end year); Annual_FY2025.txt (= FY ended March 2026) consolidated statements for P&amp;L detail, debt composition, NCI and investment securities; Quarterly_Q1-2026.txt (= Q1 FY2027, June 2026) for the balance-sheet and share-count anchors; 11-year financial summary and FY2025/Q1 results presentations for guidance, segment data and capex/D&amp;A guidance
qualitative: 4061.T_Analysis.json (2026-10-31): segment mix, DPE history, Mission 2030 Phase 2, FY2027 guidance and bull/bear points</t>
  </si>
  <si>
    <t xml:space="preserve">Scenario narrative: bear</t>
  </si>
  <si>
    <t xml:space="preserve">The one-off-laden FY2026 recovery proves the high-water mark. The Q1 FY2027 inventory tailwind (+6bn) reverses, Middle East raw-material disruption lingers beyond October, Life Innovation's antigen-test demand keeps falling, chloroprene demand keeps declining and Chinese resin capacity compresses Polymer Solutions spreads. EBITDA margin settles at ~12% (trough FY2024-FY2025 levels plus the DPE benefit), revenue is flat, and growth capex is cut back to near maintenance. With JPY201bn of net debt and NCI ahead of equity, a 12% margin and ~JPY13-16bn of FCF leaves little or nothing for shareholders on a DCF basis: the bear case sits on or near the zero floor, which is the finding -- the balance sheet, not the P&amp;L, is what makes this a leveraged bet on the electronics mix shift.</t>
  </si>
  <si>
    <t xml:space="preserve">Scenario narrative: base</t>
  </si>
  <si>
    <t xml:space="preserve">Denka is a flat-revenue, low-ROIC chemicals group (ROIC 2.5-7.3% FY2019-FY2025) with a genuinely good and growing electronics-materials business inside it. The base case assumes FY2027 lands modestly below guidance on the top line (consolidation of Toyo Styrene and Kainos adds low-margin revenue), the DPE closure benefit and the Best Practices cost programme lift mid-cycle EBITDA margin from the FY2016-FY2023 14.8% average toward 16%, and capex normalises from 17.6% of revenue to ~8% (capex/D&amp;A ~1.07x) by year 4. Owner FCF goes from ~zero in year 1 to ~JPY29bn (5% margin) by year 10. The terminal value binds at the 15x cap. Equity value is net of JPY201bn net debt, JPY27bn NCI and an estimated JPY12bn of DPE wind-down cash costs, plus cross-shareholdings at a 25% haircut. The axes that matter are (1) whether EBITDA margin actually reaches 16% on a consolidated, lower-margin revenue base, and (2) whether capex really falls to 8% rather than a new Mission 2030 investment wave starting.</t>
  </si>
  <si>
    <t xml:space="preserve">Scenario narrative: bull</t>
  </si>
  <si>
    <t xml:space="preserve">The AI-materials thesis works: SNECTON is adopted as the standard low-dielectric resin for M9/M10-class CCL substrates, spherical silica/alumina fillers ride GDDR7/HBM and multilayer packaging, and acetylene black/ALSINK ride power-infrastructure and ESS demand. Electronics &amp; Innovative Products grows to ~40% of sales at 25%+ operating margins, taking the group EBITDA margin to 18.5% by year 6 on revenue compounding 6-9% through year 5. The commodity segments merely stop shrinking. This is roughly the SBI Securities JPY4,400-target world, and it is the case the current price is paying for.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</si>
  <si>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</si>
  <si>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</si>
  <si>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</si>
  <si>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</si>
  <si>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</si>
  <si>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</si>
  <si>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</si>
  <si>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</si>
  <si>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</si>
  <si>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</si>
  <si>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</si>
  <si>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</si>
  <si>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</si>
  <si>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</si>
  <si>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</si>
  <si>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</si>
  <si>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</si>
  <si>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</si>
  <si>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</si>
  <si>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</si>
  <si>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</si>
  <si>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</si>
  <si>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</si>
  <si>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</si>
  <si>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</si>
  <si>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</si>
  <si>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</si>
  <si>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OrdinaryProfit</t>
  </si>
  <si>
    <t xml:space="preserve">SegmentOperatingProfitOther</t>
  </si>
  <si>
    <t xml:space="preserve">SegmentRevenueOther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</si>
  <si>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</si>
  <si>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</si>
  <si>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</si>
  <si>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</si>
  <si>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</si>
  <si>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</si>
  <si>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</si>
  <si>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</si>
  <si>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</si>
  <si>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</si>
  <si>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</si>
  <si>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</si>
  <si>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</si>
  <si>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</si>
  <si>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</si>
  <si>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</si>
  <si>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</si>
  <si>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</si>
  <si>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</si>
  <si>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</si>
  <si>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</si>
  <si>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</si>
  <si>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</si>
  <si>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</si>
  <si>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</si>
  <si>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</si>
  <si>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</si>
  <si>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</si>
  <si>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</si>
  <si>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</si>
  <si>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</si>
  <si>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</si>
  <si>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</si>
  <si>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</si>
  <si>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</si>
  <si>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</si>
  <si>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</si>
  <si>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</si>
  <si>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</si>
  <si>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</si>
  <si>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</si>
  <si>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</si>
  <si>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</si>
  <si>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</si>
  <si>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</si>
  <si>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</si>
  <si>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</si>
  <si>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</si>
  <si>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</si>
  <si>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</si>
  <si>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</si>
  <si>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4061.T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</si>
  <si>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</si>
  <si>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</si>
  <si>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</si>
  <si>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</si>
  <si>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</si>
  <si>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</si>
  <si>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</si>
  <si>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</si>
  <si>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</si>
  <si>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</si>
  <si>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</si>
  <si>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</si>
  <si>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</si>
  <si>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</si>
  <si>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</si>
  <si>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</si>
  <si>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</si>
  <si>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</si>
  <si>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</si>
  <si>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</si>
  <si>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</si>
  <si>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</si>
  <si>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</si>
  <si>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</si>
  <si>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</si>
  <si>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</si>
  <si>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</si>
  <si>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</si>
  <si>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</si>
  <si>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</si>
  <si>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4061.T owner-FCF component DCF: base case (millions, JPY)</t>
  </si>
  <si>
    <t xml:space="preserve">4061.T owner-FCF component DCF: bull case (millions, JPY)</t>
  </si>
  <si>
    <t xml:space="preserve">4061.T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</si>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</sst>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3055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341645</v>
      </c>
      <c r="F2" s="0" t="n">
        <v>18817</v>
      </c>
      <c r="G2" s="0" t="n">
        <v>5.5078</v>
      </c>
      <c r="I2" s="0" t="n">
        <v>11255</v>
      </c>
      <c r="J2" s="0" t="n">
        <v>3.2944</v>
      </c>
      <c r="K2" s="0" t="n">
        <v>118.15</v>
      </c>
      <c r="L2" s="0" t="n">
        <v>40215</v>
      </c>
      <c r="O2" s="0" t="n">
        <v>179001</v>
      </c>
      <c r="P2" s="0" t="n">
        <v>415356</v>
      </c>
      <c r="Q2" s="0" t="n">
        <v>234647</v>
      </c>
      <c r="S2" s="0" t="n">
        <v>10680</v>
      </c>
      <c r="T2" s="0" t="n">
        <v>95.26</v>
      </c>
      <c r="AA2" s="0" t="s">
        <v>17</v>
      </c>
      <c r="AB2" s="0" t="s">
        <v>14</v>
      </c>
      <c r="AC2" s="0" t="n">
        <v>17824</v>
      </c>
    </row>
    <row r="3" customFormat="false" ht="15" hidden="false" customHeight="false" outlineLevel="0" collapsed="false">
      <c r="A3" s="0" t="s">
        <v>67</v>
      </c>
      <c r="B3" s="0" t="n">
        <v>376809</v>
      </c>
      <c r="F3" s="0" t="n">
        <v>21230</v>
      </c>
      <c r="G3" s="0" t="n">
        <v>5.6342</v>
      </c>
      <c r="I3" s="0" t="n">
        <v>13573</v>
      </c>
      <c r="J3" s="0" t="n">
        <v>3.6021</v>
      </c>
      <c r="K3" s="0" t="n">
        <v>145.15</v>
      </c>
      <c r="L3" s="0" t="n">
        <v>27245</v>
      </c>
      <c r="O3" s="0" t="n">
        <v>187657</v>
      </c>
      <c r="P3" s="0" t="n">
        <v>431347</v>
      </c>
      <c r="Q3" s="0" t="n">
        <v>241831</v>
      </c>
      <c r="S3" s="0" t="n">
        <v>8244</v>
      </c>
      <c r="T3" s="0" t="n">
        <v>93.51</v>
      </c>
      <c r="AA3" s="0" t="s">
        <v>17</v>
      </c>
      <c r="AB3" s="0" t="s">
        <v>14</v>
      </c>
      <c r="AC3" s="0" t="n">
        <v>20604</v>
      </c>
    </row>
    <row r="4" customFormat="false" ht="15" hidden="false" customHeight="false" outlineLevel="0" collapsed="false">
      <c r="A4" s="0" t="s">
        <v>68</v>
      </c>
      <c r="B4" s="0" t="n">
        <v>383978</v>
      </c>
      <c r="F4" s="0" t="n">
        <v>24047</v>
      </c>
      <c r="G4" s="0" t="n">
        <v>6.2626</v>
      </c>
      <c r="I4" s="0" t="n">
        <v>19021</v>
      </c>
      <c r="J4" s="0" t="n">
        <v>4.9537</v>
      </c>
      <c r="K4" s="0" t="n">
        <v>207.4</v>
      </c>
      <c r="L4" s="0" t="n">
        <v>35557</v>
      </c>
      <c r="O4" s="0" t="n">
        <v>208765</v>
      </c>
      <c r="P4" s="0" t="n">
        <v>445569</v>
      </c>
      <c r="Q4" s="0" t="n">
        <v>234771</v>
      </c>
      <c r="S4" s="0" t="n">
        <v>9157</v>
      </c>
      <c r="T4" s="0" t="n">
        <v>91.712</v>
      </c>
      <c r="AA4" s="0" t="s">
        <v>17</v>
      </c>
      <c r="AB4" s="0" t="s">
        <v>14</v>
      </c>
      <c r="AC4" s="0" t="n">
        <v>24287</v>
      </c>
    </row>
    <row r="5" customFormat="false" ht="15" hidden="false" customHeight="false" outlineLevel="0" collapsed="false">
      <c r="A5" s="0" t="s">
        <v>69</v>
      </c>
      <c r="B5" s="0" t="n">
        <v>369853</v>
      </c>
      <c r="F5" s="0" t="n">
        <v>30634</v>
      </c>
      <c r="G5" s="0" t="n">
        <v>8.2828</v>
      </c>
      <c r="H5" s="0" t="n">
        <v>53876</v>
      </c>
      <c r="I5" s="0" t="n">
        <v>19472</v>
      </c>
      <c r="J5" s="0" t="n">
        <v>5.2648</v>
      </c>
      <c r="K5" s="0" t="n">
        <v>214.7</v>
      </c>
      <c r="L5" s="0" t="n">
        <v>44014</v>
      </c>
      <c r="O5" s="0" t="n">
        <v>211734</v>
      </c>
      <c r="P5" s="0" t="n">
        <v>443864</v>
      </c>
      <c r="Q5" s="0" t="n">
        <v>227793</v>
      </c>
      <c r="R5" s="0" t="n">
        <v>124596</v>
      </c>
      <c r="S5" s="0" t="n">
        <v>11813</v>
      </c>
      <c r="T5" s="0" t="n">
        <v>90.694</v>
      </c>
      <c r="V5" s="0" t="n">
        <v>65</v>
      </c>
      <c r="AA5" s="0" t="s">
        <v>17</v>
      </c>
      <c r="AB5" s="0" t="s">
        <v>14</v>
      </c>
      <c r="AC5" s="0" t="n">
        <v>27022</v>
      </c>
    </row>
    <row r="6" customFormat="false" ht="15" hidden="false" customHeight="false" outlineLevel="0" collapsed="false">
      <c r="A6" s="0" t="s">
        <v>70</v>
      </c>
      <c r="B6" s="0" t="n">
        <v>362647</v>
      </c>
      <c r="F6" s="0" t="n">
        <v>25844</v>
      </c>
      <c r="G6" s="0" t="n">
        <v>7.1265</v>
      </c>
      <c r="H6" s="0" t="n">
        <v>50203</v>
      </c>
      <c r="I6" s="0" t="n">
        <v>18145</v>
      </c>
      <c r="J6" s="0" t="n">
        <v>5.0035</v>
      </c>
      <c r="K6" s="0" t="n">
        <v>205.05</v>
      </c>
      <c r="L6" s="0" t="n">
        <v>39557</v>
      </c>
      <c r="O6" s="0" t="n">
        <v>223565</v>
      </c>
      <c r="P6" s="0" t="n">
        <v>454944</v>
      </c>
      <c r="Q6" s="0" t="n">
        <v>227457</v>
      </c>
      <c r="R6" s="0" t="n">
        <v>113748</v>
      </c>
      <c r="S6" s="0" t="n">
        <v>10174</v>
      </c>
      <c r="T6" s="0" t="n">
        <v>88.491</v>
      </c>
      <c r="V6" s="0" t="n">
        <v>70</v>
      </c>
      <c r="AA6" s="0" t="s">
        <v>17</v>
      </c>
      <c r="AB6" s="0" t="s">
        <v>14</v>
      </c>
      <c r="AC6" s="0" t="n">
        <v>23158</v>
      </c>
    </row>
    <row r="7" customFormat="false" ht="15" hidden="false" customHeight="false" outlineLevel="0" collapsed="false">
      <c r="A7" s="0" t="s">
        <v>71</v>
      </c>
      <c r="B7" s="0" t="n">
        <v>395629</v>
      </c>
      <c r="F7" s="0" t="n">
        <v>33652</v>
      </c>
      <c r="G7" s="0" t="n">
        <v>8.5059</v>
      </c>
      <c r="H7" s="0" t="n">
        <v>58251</v>
      </c>
      <c r="I7" s="0" t="n">
        <v>23035</v>
      </c>
      <c r="J7" s="0" t="n">
        <v>5.8224</v>
      </c>
      <c r="K7" s="0" t="n">
        <v>261.8</v>
      </c>
      <c r="L7" s="0" t="n">
        <v>48776</v>
      </c>
      <c r="O7" s="0" t="n">
        <v>239063</v>
      </c>
      <c r="P7" s="0" t="n">
        <v>475086</v>
      </c>
      <c r="Q7" s="0" t="n">
        <v>232306</v>
      </c>
      <c r="R7" s="0" t="n">
        <v>108269</v>
      </c>
      <c r="S7" s="0" t="n">
        <v>14101</v>
      </c>
      <c r="T7" s="0" t="n">
        <v>87.987</v>
      </c>
      <c r="V7" s="0" t="n">
        <v>105</v>
      </c>
      <c r="AA7" s="0" t="s">
        <v>17</v>
      </c>
      <c r="AB7" s="0" t="s">
        <v>14</v>
      </c>
      <c r="AC7" s="0" t="n">
        <v>31499</v>
      </c>
    </row>
    <row r="8" customFormat="false" ht="15" hidden="false" customHeight="false" outlineLevel="0" collapsed="false">
      <c r="A8" s="0" t="s">
        <v>72</v>
      </c>
      <c r="B8" s="0" t="n">
        <v>413128</v>
      </c>
      <c r="F8" s="0" t="n">
        <v>34228</v>
      </c>
      <c r="G8" s="0" t="n">
        <v>8.2851</v>
      </c>
      <c r="H8" s="0" t="n">
        <v>57174</v>
      </c>
      <c r="I8" s="0" t="n">
        <v>25046</v>
      </c>
      <c r="J8" s="0" t="n">
        <v>6.0625</v>
      </c>
      <c r="K8" s="0" t="n">
        <v>286.18</v>
      </c>
      <c r="L8" s="0" t="n">
        <v>32660</v>
      </c>
      <c r="O8" s="0" t="n">
        <v>246861</v>
      </c>
      <c r="P8" s="0" t="n">
        <v>483827</v>
      </c>
      <c r="Q8" s="0" t="n">
        <v>233346</v>
      </c>
      <c r="R8" s="0" t="n">
        <v>112134</v>
      </c>
      <c r="S8" s="0" t="n">
        <v>13889</v>
      </c>
      <c r="T8" s="0" t="n">
        <v>87.518</v>
      </c>
      <c r="V8" s="0" t="n">
        <v>120</v>
      </c>
      <c r="AA8" s="0" t="s">
        <v>17</v>
      </c>
      <c r="AB8" s="0" t="s">
        <v>14</v>
      </c>
      <c r="AC8" s="0" t="n">
        <v>32811</v>
      </c>
    </row>
    <row r="9" customFormat="false" ht="15" hidden="false" customHeight="false" outlineLevel="0" collapsed="false">
      <c r="A9" s="0" t="s">
        <v>73</v>
      </c>
      <c r="B9" s="0" t="n">
        <v>380803</v>
      </c>
      <c r="F9" s="0" t="n">
        <v>31587</v>
      </c>
      <c r="G9" s="0" t="n">
        <v>8.2948</v>
      </c>
      <c r="H9" s="0" t="n">
        <v>54069</v>
      </c>
      <c r="I9" s="0" t="n">
        <v>22703</v>
      </c>
      <c r="J9" s="0" t="n">
        <v>5.9619</v>
      </c>
      <c r="K9" s="0" t="n">
        <v>262.62</v>
      </c>
      <c r="L9" s="0" t="n">
        <v>41954</v>
      </c>
      <c r="O9" s="0" t="n">
        <v>250720</v>
      </c>
      <c r="P9" s="0" t="n">
        <v>501448</v>
      </c>
      <c r="Q9" s="0" t="n">
        <v>247434</v>
      </c>
      <c r="R9" s="0" t="n">
        <v>134340</v>
      </c>
      <c r="S9" s="0" t="n">
        <v>29170</v>
      </c>
      <c r="T9" s="0" t="n">
        <v>86.448</v>
      </c>
      <c r="V9" s="0" t="n">
        <v>125</v>
      </c>
      <c r="AA9" s="0" t="s">
        <v>17</v>
      </c>
      <c r="AB9" s="0" t="s">
        <v>14</v>
      </c>
      <c r="AC9" s="0" t="n">
        <v>30034</v>
      </c>
    </row>
    <row r="10" customFormat="false" ht="15" hidden="false" customHeight="false" outlineLevel="0" collapsed="false">
      <c r="A10" s="0" t="s">
        <v>74</v>
      </c>
      <c r="B10" s="0" t="n">
        <v>354391</v>
      </c>
      <c r="F10" s="0" t="n">
        <v>34729</v>
      </c>
      <c r="G10" s="0" t="n">
        <v>9.7996</v>
      </c>
      <c r="H10" s="0" t="n">
        <v>57640</v>
      </c>
      <c r="I10" s="0" t="n">
        <v>22785</v>
      </c>
      <c r="J10" s="0" t="n">
        <v>6.4293</v>
      </c>
      <c r="K10" s="0" t="n">
        <v>264.24</v>
      </c>
      <c r="L10" s="0" t="n">
        <v>40610</v>
      </c>
      <c r="O10" s="0" t="n">
        <v>267448</v>
      </c>
      <c r="P10" s="0" t="n">
        <v>526035</v>
      </c>
      <c r="Q10" s="0" t="n">
        <v>255999</v>
      </c>
      <c r="R10" s="0" t="n">
        <v>138191</v>
      </c>
      <c r="S10" s="0" t="n">
        <v>25909</v>
      </c>
      <c r="T10" s="0" t="n">
        <v>86.228</v>
      </c>
      <c r="V10" s="0" t="n">
        <v>125</v>
      </c>
      <c r="AA10" s="0" t="s">
        <v>17</v>
      </c>
      <c r="AB10" s="0" t="s">
        <v>14</v>
      </c>
      <c r="AC10" s="0" t="n">
        <v>32143</v>
      </c>
    </row>
    <row r="11" customFormat="false" ht="15" hidden="false" customHeight="false" outlineLevel="0" collapsed="false">
      <c r="A11" s="0" t="s">
        <v>75</v>
      </c>
      <c r="B11" s="0" t="n">
        <v>384849</v>
      </c>
      <c r="F11" s="0" t="n">
        <v>40123</v>
      </c>
      <c r="G11" s="0" t="n">
        <v>10.4256</v>
      </c>
      <c r="H11" s="0" t="n">
        <v>64006</v>
      </c>
      <c r="I11" s="0" t="n">
        <v>26012</v>
      </c>
      <c r="J11" s="0" t="n">
        <v>6.759</v>
      </c>
      <c r="K11" s="0" t="n">
        <v>301.67</v>
      </c>
      <c r="L11" s="0" t="n">
        <v>42630</v>
      </c>
      <c r="O11" s="0" t="n">
        <v>288472</v>
      </c>
      <c r="P11" s="0" t="n">
        <v>557646</v>
      </c>
      <c r="Q11" s="0" t="n">
        <v>265552</v>
      </c>
      <c r="R11" s="0" t="n">
        <v>137032</v>
      </c>
      <c r="S11" s="0" t="n">
        <v>20209</v>
      </c>
      <c r="T11" s="0" t="n">
        <v>86.227</v>
      </c>
      <c r="V11" s="0" t="n">
        <v>145</v>
      </c>
      <c r="AA11" s="0" t="s">
        <v>17</v>
      </c>
      <c r="AB11" s="0" t="s">
        <v>14</v>
      </c>
      <c r="AC11" s="0" t="n">
        <v>36474</v>
      </c>
    </row>
    <row r="12" customFormat="false" ht="15" hidden="false" customHeight="false" outlineLevel="0" collapsed="false">
      <c r="A12" s="0" t="s">
        <v>76</v>
      </c>
      <c r="B12" s="0" t="n">
        <v>407559</v>
      </c>
      <c r="F12" s="0" t="n">
        <v>32324</v>
      </c>
      <c r="G12" s="0" t="n">
        <v>7.9311</v>
      </c>
      <c r="H12" s="0" t="n">
        <v>59365</v>
      </c>
      <c r="I12" s="0" t="n">
        <v>12768</v>
      </c>
      <c r="J12" s="0" t="n">
        <v>3.1328</v>
      </c>
      <c r="K12" s="0" t="n">
        <v>148.08</v>
      </c>
      <c r="L12" s="0" t="n">
        <v>8946</v>
      </c>
      <c r="O12" s="0" t="n">
        <v>296480</v>
      </c>
      <c r="P12" s="0" t="n">
        <v>592158</v>
      </c>
      <c r="Q12" s="0" t="n">
        <v>291807</v>
      </c>
      <c r="R12" s="0" t="n">
        <v>169729</v>
      </c>
      <c r="S12" s="0" t="n">
        <v>20199</v>
      </c>
      <c r="T12" s="0" t="n">
        <v>86.224</v>
      </c>
      <c r="V12" s="0" t="n">
        <v>100</v>
      </c>
      <c r="AA12" s="0" t="s">
        <v>17</v>
      </c>
      <c r="AB12" s="0" t="s">
        <v>14</v>
      </c>
      <c r="AC12" s="0" t="n">
        <v>28025</v>
      </c>
    </row>
    <row r="13" customFormat="false" ht="15" hidden="false" customHeight="false" outlineLevel="0" collapsed="false">
      <c r="A13" s="0" t="s">
        <v>77</v>
      </c>
      <c r="B13" s="0" t="n">
        <v>389263</v>
      </c>
      <c r="C13" s="0" t="n">
        <v>306762</v>
      </c>
      <c r="D13" s="0" t="n">
        <v>82501</v>
      </c>
      <c r="E13" s="0" t="n">
        <v>21.1942</v>
      </c>
      <c r="F13" s="0" t="n">
        <v>13376</v>
      </c>
      <c r="G13" s="0" t="n">
        <v>3.4362</v>
      </c>
      <c r="H13" s="0" t="n">
        <v>40295</v>
      </c>
      <c r="I13" s="0" t="n">
        <v>11947</v>
      </c>
      <c r="J13" s="0" t="n">
        <v>3.0691</v>
      </c>
      <c r="K13" s="0" t="n">
        <v>138.61</v>
      </c>
      <c r="L13" s="0" t="n">
        <v>36260</v>
      </c>
      <c r="M13" s="0" t="n">
        <v>44679</v>
      </c>
      <c r="N13" s="0" t="n">
        <v>-8419</v>
      </c>
      <c r="O13" s="0" t="n">
        <v>307537</v>
      </c>
      <c r="P13" s="0" t="n">
        <v>616244</v>
      </c>
      <c r="Q13" s="0" t="n">
        <v>299329</v>
      </c>
      <c r="R13" s="0" t="n">
        <v>174368</v>
      </c>
      <c r="S13" s="0" t="n">
        <v>35386</v>
      </c>
      <c r="T13" s="0" t="n">
        <v>86.191</v>
      </c>
      <c r="V13" s="0" t="n">
        <v>100</v>
      </c>
      <c r="AA13" s="0" t="s">
        <v>17</v>
      </c>
      <c r="AB13" s="0" t="s">
        <v>14</v>
      </c>
      <c r="AC13" s="0" t="n">
        <v>5474</v>
      </c>
    </row>
    <row r="14" customFormat="false" ht="15" hidden="false" customHeight="false" outlineLevel="0" collapsed="false">
      <c r="A14" s="0" t="s">
        <v>78</v>
      </c>
      <c r="B14" s="0" t="n">
        <v>400251</v>
      </c>
      <c r="C14" s="0" t="n">
        <v>315655</v>
      </c>
      <c r="D14" s="0" t="n">
        <v>84595</v>
      </c>
      <c r="E14" s="0" t="n">
        <v>21.1355</v>
      </c>
      <c r="F14" s="0" t="n">
        <v>14413</v>
      </c>
      <c r="G14" s="0" t="n">
        <v>3.601</v>
      </c>
      <c r="H14" s="0" t="n">
        <v>42271</v>
      </c>
      <c r="I14" s="0" t="n">
        <v>-12300</v>
      </c>
      <c r="J14" s="0" t="n">
        <v>-3.0731</v>
      </c>
      <c r="K14" s="0" t="n">
        <v>-142.73</v>
      </c>
      <c r="L14" s="0" t="n">
        <v>18620</v>
      </c>
      <c r="M14" s="0" t="n">
        <v>59830</v>
      </c>
      <c r="N14" s="0" t="n">
        <v>-41210</v>
      </c>
      <c r="O14" s="0" t="n">
        <v>296181</v>
      </c>
      <c r="P14" s="0" t="n">
        <v>655524</v>
      </c>
      <c r="Q14" s="0" t="n">
        <v>347228</v>
      </c>
      <c r="R14" s="0" t="n">
        <v>217679</v>
      </c>
      <c r="S14" s="0" t="n">
        <v>37002</v>
      </c>
      <c r="T14" s="0" t="n">
        <v>86.177</v>
      </c>
      <c r="V14" s="0" t="n">
        <v>100</v>
      </c>
      <c r="AA14" s="0" t="s">
        <v>17</v>
      </c>
      <c r="AB14" s="0" t="s">
        <v>14</v>
      </c>
      <c r="AC14" s="0" t="n">
        <v>7623</v>
      </c>
      <c r="AD14" s="0" t="n">
        <v>2395</v>
      </c>
      <c r="AE14" s="0" t="n">
        <v>17746</v>
      </c>
    </row>
    <row r="15" customFormat="false" ht="15" hidden="false" customHeight="false" outlineLevel="0" collapsed="false">
      <c r="A15" s="0" t="s">
        <v>79</v>
      </c>
      <c r="B15" s="0" t="n">
        <v>384247</v>
      </c>
      <c r="C15" s="0" t="n">
        <v>289991</v>
      </c>
      <c r="D15" s="0" t="n">
        <v>94256</v>
      </c>
      <c r="E15" s="0" t="n">
        <v>24.5301</v>
      </c>
      <c r="F15" s="0" t="n">
        <v>26225</v>
      </c>
      <c r="G15" s="0" t="n">
        <v>6.825</v>
      </c>
      <c r="H15" s="0" t="n">
        <v>55391</v>
      </c>
      <c r="I15" s="0" t="n">
        <v>15695</v>
      </c>
      <c r="J15" s="0" t="n">
        <v>4.0846</v>
      </c>
      <c r="K15" s="0" t="n">
        <v>182.1</v>
      </c>
      <c r="L15" s="0" t="n">
        <v>36154</v>
      </c>
      <c r="M15" s="0" t="n">
        <v>67646</v>
      </c>
      <c r="N15" s="0" t="n">
        <v>-31492</v>
      </c>
      <c r="O15" s="0" t="n">
        <v>310709</v>
      </c>
      <c r="P15" s="0" t="n">
        <v>681006</v>
      </c>
      <c r="Q15" s="0" t="n">
        <v>342180</v>
      </c>
      <c r="R15" s="0" t="n">
        <v>221714</v>
      </c>
      <c r="S15" s="0" t="n">
        <v>35270</v>
      </c>
      <c r="T15" s="0" t="n">
        <v>86.189</v>
      </c>
      <c r="V15" s="0" t="n">
        <v>100</v>
      </c>
      <c r="AA15" s="0" t="s">
        <v>17</v>
      </c>
      <c r="AB15" s="0" t="s">
        <v>14</v>
      </c>
      <c r="AC15" s="0" t="n">
        <v>19295</v>
      </c>
      <c r="AD15" s="0" t="n">
        <v>2427</v>
      </c>
      <c r="AE15" s="0" t="n">
        <v>17552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3055</v>
      </c>
    </row>
    <row r="3" customFormat="false" ht="15" hidden="false" customHeight="false" outlineLevel="0" collapsed="false">
      <c r="A3" s="0" t="s">
        <v>83</v>
      </c>
      <c r="B3" s="3" t="n">
        <v>86.201</v>
      </c>
    </row>
    <row r="4" customFormat="false" ht="15" hidden="false" customHeight="false" outlineLevel="0" collapsed="false">
      <c r="A4" s="0" t="s">
        <v>84</v>
      </c>
      <c r="B4" s="3" t="n">
        <v>200872</v>
      </c>
    </row>
    <row r="5" customFormat="false" ht="15" hidden="false" customHeight="false" outlineLevel="0" collapsed="false">
      <c r="A5" s="0" t="s">
        <v>85</v>
      </c>
      <c r="B5" s="3" t="n">
        <v>-4689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384247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6</v>
      </c>
      <c r="D13" s="3" t="n">
        <v>0</v>
      </c>
      <c r="E13" s="3" t="n">
        <v>-1</v>
      </c>
      <c r="F13" s="3" t="n">
        <v>0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104</v>
      </c>
      <c r="C14" s="3" t="n">
        <v>12.5</v>
      </c>
      <c r="D14" s="3" t="n">
        <v>12</v>
      </c>
      <c r="E14" s="3" t="n">
        <v>11.5</v>
      </c>
      <c r="F14" s="3" t="n">
        <v>11.5</v>
      </c>
      <c r="G14" s="3" t="n">
        <v>12</v>
      </c>
      <c r="H14" s="3" t="n">
        <v>12.5</v>
      </c>
      <c r="I14" s="3" t="n">
        <v>12.5</v>
      </c>
      <c r="J14" s="3" t="n">
        <v>12.5</v>
      </c>
      <c r="K14" s="3" t="n">
        <v>12.5</v>
      </c>
      <c r="L14" s="3" t="n">
        <v>12.5</v>
      </c>
    </row>
    <row r="15" customFormat="false" ht="15" hidden="false" customHeight="false" outlineLevel="0" collapsed="false">
      <c r="A15" s="0" t="s">
        <v>105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7.2</v>
      </c>
      <c r="D17" s="3" t="n">
        <v>7.5</v>
      </c>
      <c r="E17" s="3" t="n">
        <v>7.7</v>
      </c>
      <c r="F17" s="3" t="n">
        <v>7.7</v>
      </c>
      <c r="G17" s="3" t="n">
        <v>7.6</v>
      </c>
      <c r="H17" s="3" t="n">
        <v>7.5</v>
      </c>
      <c r="I17" s="3" t="n">
        <v>7.5</v>
      </c>
      <c r="J17" s="3" t="n">
        <v>7.5</v>
      </c>
      <c r="K17" s="3" t="n">
        <v>7.5</v>
      </c>
      <c r="L17" s="3" t="n">
        <v>7.5</v>
      </c>
    </row>
    <row r="18" customFormat="false" ht="15" hidden="false" customHeight="false" outlineLevel="0" collapsed="false">
      <c r="A18" s="0" t="s">
        <v>108</v>
      </c>
      <c r="C18" s="3" t="n">
        <v>10.5</v>
      </c>
      <c r="D18" s="3" t="n">
        <v>9</v>
      </c>
      <c r="E18" s="3" t="n">
        <v>8</v>
      </c>
      <c r="F18" s="3" t="n">
        <v>7.5</v>
      </c>
      <c r="G18" s="3" t="n">
        <v>7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109</v>
      </c>
      <c r="C19" s="3" t="n">
        <v>28</v>
      </c>
      <c r="D19" s="3" t="n">
        <v>30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110</v>
      </c>
      <c r="B20" s="3" t="n">
        <v>7</v>
      </c>
    </row>
    <row r="21" customFormat="false" ht="15" hidden="false" customHeight="false" outlineLevel="0" collapsed="false">
      <c r="A21" s="0" t="s">
        <v>111</v>
      </c>
      <c r="B21" s="3" t="n">
        <v>1</v>
      </c>
    </row>
    <row r="22" customFormat="false" ht="15" hidden="false" customHeight="false" outlineLevel="0" collapsed="false">
      <c r="A22" s="0" t="s">
        <v>112</v>
      </c>
      <c r="B22" s="3" t="n">
        <v>15</v>
      </c>
    </row>
    <row r="23" customFormat="false" ht="15" hidden="false" customHeight="false" outlineLevel="0" collapsed="false">
      <c r="A23" s="0" t="s">
        <v>113</v>
      </c>
      <c r="B23" s="3" t="n">
        <v>-15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13</v>
      </c>
      <c r="D27" s="3" t="n">
        <v>5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104</v>
      </c>
      <c r="C28" s="3" t="n">
        <v>14</v>
      </c>
      <c r="D28" s="3" t="n">
        <v>14.5</v>
      </c>
      <c r="E28" s="3" t="n">
        <v>15</v>
      </c>
      <c r="F28" s="3" t="n">
        <v>15.5</v>
      </c>
      <c r="G28" s="3" t="n">
        <v>15.8</v>
      </c>
      <c r="H28" s="3" t="n">
        <v>16</v>
      </c>
      <c r="I28" s="3" t="n">
        <v>16</v>
      </c>
      <c r="J28" s="3" t="n">
        <v>16</v>
      </c>
      <c r="K28" s="3" t="n">
        <v>16</v>
      </c>
      <c r="L28" s="3" t="n">
        <v>16</v>
      </c>
    </row>
    <row r="29" customFormat="false" ht="15" hidden="false" customHeight="false" outlineLevel="0" collapsed="false">
      <c r="A29" s="0" t="s">
        <v>105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7.2</v>
      </c>
      <c r="D31" s="3" t="n">
        <v>7.4</v>
      </c>
      <c r="E31" s="3" t="n">
        <v>7.5</v>
      </c>
      <c r="F31" s="3" t="n">
        <v>7.5</v>
      </c>
      <c r="G31" s="3" t="n">
        <v>7.5</v>
      </c>
      <c r="H31" s="3" t="n">
        <v>7.5</v>
      </c>
      <c r="I31" s="3" t="n">
        <v>7.5</v>
      </c>
      <c r="J31" s="3" t="n">
        <v>7.5</v>
      </c>
      <c r="K31" s="3" t="n">
        <v>7.5</v>
      </c>
      <c r="L31" s="3" t="n">
        <v>7.5</v>
      </c>
    </row>
    <row r="32" customFormat="false" ht="15" hidden="false" customHeight="false" outlineLevel="0" collapsed="false">
      <c r="A32" s="0" t="s">
        <v>108</v>
      </c>
      <c r="C32" s="3" t="n">
        <v>10.5</v>
      </c>
      <c r="D32" s="3" t="n">
        <v>9.5</v>
      </c>
      <c r="E32" s="3" t="n">
        <v>8.5</v>
      </c>
      <c r="F32" s="3" t="n">
        <v>8</v>
      </c>
      <c r="G32" s="3" t="n">
        <v>8</v>
      </c>
      <c r="H32" s="3" t="n">
        <v>8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109</v>
      </c>
      <c r="C33" s="3" t="n">
        <v>28</v>
      </c>
      <c r="D33" s="3" t="n">
        <v>30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110</v>
      </c>
      <c r="B34" s="3" t="n">
        <v>7</v>
      </c>
    </row>
    <row r="35" customFormat="false" ht="15" hidden="false" customHeight="false" outlineLevel="0" collapsed="false">
      <c r="A35" s="0" t="s">
        <v>111</v>
      </c>
      <c r="B35" s="3" t="n">
        <v>1.5</v>
      </c>
    </row>
    <row r="36" customFormat="false" ht="15" hidden="false" customHeight="false" outlineLevel="0" collapsed="false">
      <c r="A36" s="0" t="s">
        <v>112</v>
      </c>
      <c r="B36" s="3" t="n">
        <v>15</v>
      </c>
    </row>
    <row r="37" customFormat="false" ht="15" hidden="false" customHeight="false" outlineLevel="0" collapsed="false">
      <c r="A37" s="0" t="s">
        <v>113</v>
      </c>
      <c r="B37" s="3" t="n">
        <v>-15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17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104</v>
      </c>
      <c r="C42" s="3" t="n">
        <v>15</v>
      </c>
      <c r="D42" s="3" t="n">
        <v>16</v>
      </c>
      <c r="E42" s="3" t="n">
        <v>17</v>
      </c>
      <c r="F42" s="3" t="n">
        <v>17.5</v>
      </c>
      <c r="G42" s="3" t="n">
        <v>18</v>
      </c>
      <c r="H42" s="3" t="n">
        <v>18.5</v>
      </c>
      <c r="I42" s="3" t="n">
        <v>18.5</v>
      </c>
      <c r="J42" s="3" t="n">
        <v>18.5</v>
      </c>
      <c r="K42" s="3" t="n">
        <v>18.5</v>
      </c>
      <c r="L42" s="3" t="n">
        <v>18.5</v>
      </c>
    </row>
    <row r="43" customFormat="false" ht="15" hidden="false" customHeight="false" outlineLevel="0" collapsed="false">
      <c r="A43" s="0" t="s">
        <v>105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7.2</v>
      </c>
      <c r="D45" s="3" t="n">
        <v>7.4</v>
      </c>
      <c r="E45" s="3" t="n">
        <v>7.5</v>
      </c>
      <c r="F45" s="3" t="n">
        <v>7.5</v>
      </c>
      <c r="G45" s="3" t="n">
        <v>7.5</v>
      </c>
      <c r="H45" s="3" t="n">
        <v>7.5</v>
      </c>
      <c r="I45" s="3" t="n">
        <v>7.5</v>
      </c>
      <c r="J45" s="3" t="n">
        <v>7.5</v>
      </c>
      <c r="K45" s="3" t="n">
        <v>7.5</v>
      </c>
      <c r="L45" s="3" t="n">
        <v>7.5</v>
      </c>
    </row>
    <row r="46" customFormat="false" ht="15" hidden="false" customHeight="false" outlineLevel="0" collapsed="false">
      <c r="A46" s="0" t="s">
        <v>108</v>
      </c>
      <c r="C46" s="3" t="n">
        <v>10.5</v>
      </c>
      <c r="D46" s="3" t="n">
        <v>9.5</v>
      </c>
      <c r="E46" s="3" t="n">
        <v>9</v>
      </c>
      <c r="F46" s="3" t="n">
        <v>8.5</v>
      </c>
      <c r="G46" s="3" t="n">
        <v>8</v>
      </c>
      <c r="H46" s="3" t="n">
        <v>8</v>
      </c>
      <c r="I46" s="3" t="n">
        <v>8</v>
      </c>
      <c r="J46" s="3" t="n">
        <v>8</v>
      </c>
      <c r="K46" s="3" t="n">
        <v>8</v>
      </c>
      <c r="L46" s="3" t="n">
        <v>8</v>
      </c>
    </row>
    <row r="47" customFormat="false" ht="15" hidden="false" customHeight="false" outlineLevel="0" collapsed="false">
      <c r="A47" s="0" t="s">
        <v>109</v>
      </c>
      <c r="C47" s="3" t="n">
        <v>28</v>
      </c>
      <c r="D47" s="3" t="n">
        <v>30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110</v>
      </c>
      <c r="B48" s="3" t="n">
        <v>7</v>
      </c>
    </row>
    <row r="49" customFormat="false" ht="15" hidden="false" customHeight="false" outlineLevel="0" collapsed="false">
      <c r="A49" s="0" t="s">
        <v>111</v>
      </c>
      <c r="B49" s="3" t="n">
        <v>2</v>
      </c>
    </row>
    <row r="50" customFormat="false" ht="15" hidden="false" customHeight="false" outlineLevel="0" collapsed="false">
      <c r="A50" s="0" t="s">
        <v>112</v>
      </c>
      <c r="B50" s="3" t="n">
        <v>15</v>
      </c>
    </row>
    <row r="51" customFormat="false" ht="15" hidden="false" customHeight="false" outlineLevel="0" collapsed="false">
      <c r="A51" s="0" t="s">
        <v>113</v>
      </c>
      <c r="B51" s="3" t="n">
        <v>-15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6</v>
      </c>
      <c r="D5" s="4" t="n">
        <f aca="false">Assumptions!D13</f>
        <v>0</v>
      </c>
      <c r="E5" s="4" t="n">
        <f aca="false">Assumptions!E13</f>
        <v>-1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384247</v>
      </c>
      <c r="C6" s="0" t="n">
        <f aca="false">B6*(1+C5/100)</f>
        <v>407301.82</v>
      </c>
      <c r="D6" s="0" t="n">
        <f aca="false">C6*(1+D5/100)</f>
        <v>407301.82</v>
      </c>
      <c r="E6" s="0" t="n">
        <f aca="false">D6*(1+E5/100)</f>
        <v>403228.8018</v>
      </c>
      <c r="F6" s="0" t="n">
        <f aca="false">E6*(1+F5/100)</f>
        <v>403228.8018</v>
      </c>
      <c r="G6" s="0" t="n">
        <f aca="false">F6*(1+G5/100)</f>
        <v>407261.089818</v>
      </c>
      <c r="H6" s="0" t="n">
        <f aca="false">G6*(1+H5/100)</f>
        <v>411333.70071618</v>
      </c>
      <c r="I6" s="0" t="n">
        <f aca="false">H6*(1+I5/100)</f>
        <v>415447.037723342</v>
      </c>
      <c r="J6" s="0" t="n">
        <f aca="false">I6*(1+J5/100)</f>
        <v>419601.508100575</v>
      </c>
      <c r="K6" s="0" t="n">
        <f aca="false">J6*(1+K5/100)</f>
        <v>423797.523181581</v>
      </c>
      <c r="L6" s="0" t="n">
        <f aca="false">K6*(1+L5/100)</f>
        <v>428035.498413397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12.5</v>
      </c>
      <c r="D7" s="4" t="n">
        <f aca="false">Assumptions!D14</f>
        <v>12</v>
      </c>
      <c r="E7" s="4" t="n">
        <f aca="false">Assumptions!E14</f>
        <v>11.5</v>
      </c>
      <c r="F7" s="4" t="n">
        <f aca="false">Assumptions!F14</f>
        <v>11.5</v>
      </c>
      <c r="G7" s="4" t="n">
        <f aca="false">Assumptions!G14</f>
        <v>12</v>
      </c>
      <c r="H7" s="4" t="n">
        <f aca="false">Assumptions!H14</f>
        <v>12.5</v>
      </c>
      <c r="I7" s="4" t="n">
        <f aca="false">Assumptions!I14</f>
        <v>12.5</v>
      </c>
      <c r="J7" s="4" t="n">
        <f aca="false">Assumptions!J14</f>
        <v>12.5</v>
      </c>
      <c r="K7" s="4" t="n">
        <f aca="false">Assumptions!K14</f>
        <v>12.5</v>
      </c>
      <c r="L7" s="4" t="n">
        <f aca="false">Assumptions!L14</f>
        <v>12.5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50912.7275</v>
      </c>
      <c r="D8" s="0" t="n">
        <f aca="false">D6*D7/100</f>
        <v>48876.2184</v>
      </c>
      <c r="E8" s="0" t="n">
        <f aca="false">E6*E7/100</f>
        <v>46371.312207</v>
      </c>
      <c r="F8" s="0" t="n">
        <f aca="false">F6*F7/100</f>
        <v>46371.312207</v>
      </c>
      <c r="G8" s="0" t="n">
        <f aca="false">G6*G7/100</f>
        <v>48871.33077816</v>
      </c>
      <c r="H8" s="0" t="n">
        <f aca="false">H6*H7/100</f>
        <v>51416.7125895225</v>
      </c>
      <c r="I8" s="0" t="n">
        <f aca="false">I6*I7/100</f>
        <v>51930.8797154177</v>
      </c>
      <c r="J8" s="0" t="n">
        <f aca="false">J6*J7/100</f>
        <v>52450.1885125719</v>
      </c>
      <c r="K8" s="0" t="n">
        <f aca="false">K6*K7/100</f>
        <v>52974.6903976976</v>
      </c>
      <c r="L8" s="0" t="n">
        <f aca="false">L6*L7/100</f>
        <v>53504.4373016746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50912.7275</v>
      </c>
      <c r="D11" s="0" t="n">
        <f aca="false">D8+D10+D24</f>
        <v>48876.2184</v>
      </c>
      <c r="E11" s="0" t="n">
        <f aca="false">E8+E10+E24</f>
        <v>46371.312207</v>
      </c>
      <c r="F11" s="0" t="n">
        <f aca="false">F8+F10+F24</f>
        <v>46371.312207</v>
      </c>
      <c r="G11" s="0" t="n">
        <f aca="false">G8+G10+G24</f>
        <v>48871.33077816</v>
      </c>
      <c r="H11" s="0" t="n">
        <f aca="false">H8+H10+H24</f>
        <v>51416.7125895225</v>
      </c>
      <c r="I11" s="0" t="n">
        <f aca="false">I8+I10+I24</f>
        <v>51930.8797154177</v>
      </c>
      <c r="J11" s="0" t="n">
        <f aca="false">J8+J10+J24</f>
        <v>52450.1885125719</v>
      </c>
      <c r="K11" s="0" t="n">
        <f aca="false">K8+K10+K24</f>
        <v>52974.6903976976</v>
      </c>
      <c r="L11" s="0" t="n">
        <f aca="false">L8+L10+L24</f>
        <v>53504.4373016746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-29325.73104</v>
      </c>
      <c r="D12" s="4" t="n">
        <f aca="false">-D6*Assumptions!D17/100</f>
        <v>-30547.6365</v>
      </c>
      <c r="E12" s="4" t="n">
        <f aca="false">-E6*Assumptions!E17/100</f>
        <v>-31048.6177386</v>
      </c>
      <c r="F12" s="4" t="n">
        <f aca="false">-F6*Assumptions!F17/100</f>
        <v>-31048.6177386</v>
      </c>
      <c r="G12" s="4" t="n">
        <f aca="false">-G6*Assumptions!G17/100</f>
        <v>-30951.842826168</v>
      </c>
      <c r="H12" s="4" t="n">
        <f aca="false">-H6*Assumptions!H17/100</f>
        <v>-30850.0275537135</v>
      </c>
      <c r="I12" s="4" t="n">
        <f aca="false">-I6*Assumptions!I17/100</f>
        <v>-31158.5278292506</v>
      </c>
      <c r="J12" s="4" t="n">
        <f aca="false">-J6*Assumptions!J17/100</f>
        <v>-31470.1131075431</v>
      </c>
      <c r="K12" s="4" t="n">
        <f aca="false">-K6*Assumptions!K17/100</f>
        <v>-31784.8142386186</v>
      </c>
      <c r="L12" s="4" t="n">
        <f aca="false">-L6*Assumptions!L17/100</f>
        <v>-32102.6623810048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21586.99646</v>
      </c>
      <c r="D13" s="0" t="n">
        <f aca="false">D11+D12</f>
        <v>18328.5819</v>
      </c>
      <c r="E13" s="0" t="n">
        <f aca="false">E11+E12</f>
        <v>15322.6944684</v>
      </c>
      <c r="F13" s="0" t="n">
        <f aca="false">F11+F12</f>
        <v>15322.6944684</v>
      </c>
      <c r="G13" s="0" t="n">
        <f aca="false">G11+G12</f>
        <v>17919.487951992</v>
      </c>
      <c r="H13" s="0" t="n">
        <f aca="false">H11+H12</f>
        <v>20566.685035809</v>
      </c>
      <c r="I13" s="0" t="n">
        <f aca="false">I11+I12</f>
        <v>20772.3518861671</v>
      </c>
      <c r="J13" s="0" t="n">
        <f aca="false">J11+J12</f>
        <v>20980.0754050288</v>
      </c>
      <c r="K13" s="0" t="n">
        <f aca="false">K11+K12</f>
        <v>21189.8761590791</v>
      </c>
      <c r="L13" s="0" t="n">
        <f aca="false">L11+L12</f>
        <v>21401.7749206698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28</v>
      </c>
      <c r="D14" s="4" t="n">
        <f aca="false">Assumptions!D19</f>
        <v>30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15542.6374512</v>
      </c>
      <c r="D15" s="0" t="n">
        <f aca="false">D13-MAX(0,D13)*D14/100</f>
        <v>12830.00733</v>
      </c>
      <c r="E15" s="0" t="n">
        <f aca="false">E13-MAX(0,E13)*E14/100</f>
        <v>10572.659183196</v>
      </c>
      <c r="F15" s="0" t="n">
        <f aca="false">F13-MAX(0,F13)*F14/100</f>
        <v>10572.659183196</v>
      </c>
      <c r="G15" s="0" t="n">
        <f aca="false">G13-MAX(0,G13)*G14/100</f>
        <v>12364.4466868745</v>
      </c>
      <c r="H15" s="0" t="n">
        <f aca="false">H13-MAX(0,H13)*H14/100</f>
        <v>14191.0126747082</v>
      </c>
      <c r="I15" s="0" t="n">
        <f aca="false">I13-MAX(0,I13)*I14/100</f>
        <v>14332.9228014553</v>
      </c>
      <c r="J15" s="0" t="n">
        <f aca="false">J13-MAX(0,J13)*J14/100</f>
        <v>14476.2520294698</v>
      </c>
      <c r="K15" s="0" t="n">
        <f aca="false">K13-MAX(0,K13)*K14/100</f>
        <v>14621.0145497645</v>
      </c>
      <c r="L15" s="0" t="n">
        <f aca="false">L13-MAX(0,L13)*L14/100</f>
        <v>14767.2246952622</v>
      </c>
    </row>
    <row r="16" customFormat="false" ht="15" hidden="false" customHeight="false" outlineLevel="0" collapsed="false">
      <c r="A16" s="0" t="s">
        <v>125</v>
      </c>
      <c r="C16" s="0" t="n">
        <f aca="false">-C12</f>
        <v>29325.73104</v>
      </c>
      <c r="D16" s="0" t="n">
        <f aca="false">-D12</f>
        <v>30547.6365</v>
      </c>
      <c r="E16" s="0" t="n">
        <f aca="false">-E12</f>
        <v>31048.6177386</v>
      </c>
      <c r="F16" s="0" t="n">
        <f aca="false">-F12</f>
        <v>31048.6177386</v>
      </c>
      <c r="G16" s="0" t="n">
        <f aca="false">-G12</f>
        <v>30951.842826168</v>
      </c>
      <c r="H16" s="0" t="n">
        <f aca="false">-H12</f>
        <v>30850.0275537135</v>
      </c>
      <c r="I16" s="0" t="n">
        <f aca="false">-I12</f>
        <v>31158.5278292506</v>
      </c>
      <c r="J16" s="0" t="n">
        <f aca="false">-J12</f>
        <v>31470.1131075431</v>
      </c>
      <c r="K16" s="0" t="n">
        <f aca="false">-K12</f>
        <v>31784.8142386186</v>
      </c>
      <c r="L16" s="0" t="n">
        <f aca="false">-L12</f>
        <v>32102.6623810048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-42766.6911</v>
      </c>
      <c r="D17" s="4" t="n">
        <f aca="false">-D6*Assumptions!D18/100</f>
        <v>-36657.1638</v>
      </c>
      <c r="E17" s="4" t="n">
        <f aca="false">-E6*Assumptions!E18/100</f>
        <v>-32258.304144</v>
      </c>
      <c r="F17" s="4" t="n">
        <f aca="false">-F6*Assumptions!F18/100</f>
        <v>-30242.160135</v>
      </c>
      <c r="G17" s="4" t="n">
        <f aca="false">-G6*Assumptions!G18/100</f>
        <v>-28508.27628726</v>
      </c>
      <c r="H17" s="4" t="n">
        <f aca="false">-H6*Assumptions!H18/100</f>
        <v>-28793.3590501326</v>
      </c>
      <c r="I17" s="4" t="n">
        <f aca="false">-I6*Assumptions!I18/100</f>
        <v>-29081.2926406339</v>
      </c>
      <c r="J17" s="4" t="n">
        <f aca="false">-J6*Assumptions!J18/100</f>
        <v>-29372.1055670403</v>
      </c>
      <c r="K17" s="4" t="n">
        <f aca="false">-K6*Assumptions!K18/100</f>
        <v>-29665.8266227107</v>
      </c>
      <c r="L17" s="4" t="n">
        <f aca="false">-L6*Assumptions!L18/100</f>
        <v>-29962.4848889378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-3458.223</v>
      </c>
      <c r="D18" s="4" t="n">
        <f aca="false">(D6-C6)*Assumptions!$B$23/100</f>
        <v>-0</v>
      </c>
      <c r="E18" s="4" t="n">
        <f aca="false">(E6-D6)*Assumptions!$B$23/100</f>
        <v>610.952729999999</v>
      </c>
      <c r="F18" s="4" t="n">
        <f aca="false">(F6-E6)*Assumptions!$B$23/100</f>
        <v>-0</v>
      </c>
      <c r="G18" s="4" t="n">
        <f aca="false">(G6-F6)*Assumptions!$B$23/100</f>
        <v>-604.843202700003</v>
      </c>
      <c r="H18" s="4" t="n">
        <f aca="false">(H6-G6)*Assumptions!$B$23/100</f>
        <v>-610.891634726999</v>
      </c>
      <c r="I18" s="4" t="n">
        <f aca="false">(I6-H6)*Assumptions!$B$23/100</f>
        <v>-617.000551074272</v>
      </c>
      <c r="J18" s="4" t="n">
        <f aca="false">(J6-I6)*Assumptions!$B$23/100</f>
        <v>-623.17055658501</v>
      </c>
      <c r="K18" s="4" t="n">
        <f aca="false">(K6-J6)*Assumptions!$B$23/100</f>
        <v>-629.402262150863</v>
      </c>
      <c r="L18" s="4" t="n">
        <f aca="false">(L6-K6)*Assumptions!$B$23/100</f>
        <v>-635.696284772374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-1356.5456088</v>
      </c>
      <c r="D19" s="0" t="n">
        <f aca="false">D15+D16+D17+D18</f>
        <v>6720.48003</v>
      </c>
      <c r="E19" s="0" t="n">
        <f aca="false">E15+E16+E17+E18</f>
        <v>9973.925507796</v>
      </c>
      <c r="F19" s="0" t="n">
        <f aca="false">F15+F16+F17+F18</f>
        <v>11379.116786796</v>
      </c>
      <c r="G19" s="0" t="n">
        <f aca="false">G15+G16+G17+G18</f>
        <v>14203.1700230825</v>
      </c>
      <c r="H19" s="0" t="n">
        <f aca="false">H15+H16+H17+H18</f>
        <v>15636.7895435621</v>
      </c>
      <c r="I19" s="0" t="n">
        <f aca="false">I15+I16+I17+I18</f>
        <v>15793.1574389977</v>
      </c>
      <c r="J19" s="0" t="n">
        <f aca="false">J15+J16+J17+J18</f>
        <v>15951.0890133877</v>
      </c>
      <c r="K19" s="0" t="n">
        <f aca="false">K15+K16+K17+K18</f>
        <v>16110.5999035216</v>
      </c>
      <c r="L19" s="0" t="n">
        <f aca="false">L15+L16+L17+L18</f>
        <v>16271.7059025568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-1267.79963439253</v>
      </c>
      <c r="D21" s="0" t="n">
        <f aca="false">D19*D20</f>
        <v>5869.92753078871</v>
      </c>
      <c r="E21" s="0" t="n">
        <f aca="false">E19*E20</f>
        <v>8141.69421628139</v>
      </c>
      <c r="F21" s="0" t="n">
        <f aca="false">F19*F20</f>
        <v>8681.07371397629</v>
      </c>
      <c r="G21" s="0" t="n">
        <f aca="false">G19*G20</f>
        <v>10126.6639313145</v>
      </c>
      <c r="H21" s="0" t="n">
        <f aca="false">H19*H20</f>
        <v>10419.453117808</v>
      </c>
      <c r="I21" s="0" t="n">
        <f aca="false">I19*I20</f>
        <v>9835.18471867854</v>
      </c>
      <c r="J21" s="0" t="n">
        <f aca="false">J19*J20</f>
        <v>9283.679033519</v>
      </c>
      <c r="K21" s="0" t="n">
        <f aca="false">K19*K20</f>
        <v>8763.09890079831</v>
      </c>
      <c r="L21" s="0" t="n">
        <f aca="false">L19*L20</f>
        <v>8271.71017738906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78124.6857061613</v>
      </c>
    </row>
    <row r="31" customFormat="false" ht="15" hidden="false" customHeight="false" outlineLevel="0" collapsed="false">
      <c r="A31" s="0" t="s">
        <v>134</v>
      </c>
      <c r="B31" s="0" t="n">
        <f aca="false">L19</f>
        <v>16271.7059025568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273907.049359706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244075.588538352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244075.588538352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124075.652660836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202200.338366997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-3360.66163300286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-38.9863416085992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-1.01276148661493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-38.9863416085992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117388.735439874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-1461.73551579111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13</v>
      </c>
      <c r="D5" s="4" t="n">
        <f aca="false">Assumptions!D27</f>
        <v>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384247</v>
      </c>
      <c r="C6" s="0" t="n">
        <f aca="false">B6*(1+C5/100)</f>
        <v>434199.11</v>
      </c>
      <c r="D6" s="0" t="n">
        <f aca="false">C6*(1+D5/100)</f>
        <v>455909.0655</v>
      </c>
      <c r="E6" s="0" t="n">
        <f aca="false">D6*(1+E5/100)</f>
        <v>474145.42812</v>
      </c>
      <c r="F6" s="0" t="n">
        <f aca="false">E6*(1+F5/100)</f>
        <v>493111.2452448</v>
      </c>
      <c r="G6" s="0" t="n">
        <f aca="false">F6*(1+G5/100)</f>
        <v>510370.138828368</v>
      </c>
      <c r="H6" s="0" t="n">
        <f aca="false">G6*(1+H5/100)</f>
        <v>525681.242993219</v>
      </c>
      <c r="I6" s="0" t="n">
        <f aca="false">H6*(1+I5/100)</f>
        <v>538823.27406805</v>
      </c>
      <c r="J6" s="0" t="n">
        <f aca="false">I6*(1+J5/100)</f>
        <v>549599.739549411</v>
      </c>
      <c r="K6" s="0" t="n">
        <f aca="false">J6*(1+K5/100)</f>
        <v>560591.734340399</v>
      </c>
      <c r="L6" s="0" t="n">
        <f aca="false">K6*(1+L5/100)</f>
        <v>571803.569027207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14</v>
      </c>
      <c r="D7" s="4" t="n">
        <f aca="false">Assumptions!D28</f>
        <v>14.5</v>
      </c>
      <c r="E7" s="4" t="n">
        <f aca="false">Assumptions!E28</f>
        <v>15</v>
      </c>
      <c r="F7" s="4" t="n">
        <f aca="false">Assumptions!F28</f>
        <v>15.5</v>
      </c>
      <c r="G7" s="4" t="n">
        <f aca="false">Assumptions!G28</f>
        <v>15.8</v>
      </c>
      <c r="H7" s="4" t="n">
        <f aca="false">Assumptions!H28</f>
        <v>16</v>
      </c>
      <c r="I7" s="4" t="n">
        <f aca="false">Assumptions!I28</f>
        <v>16</v>
      </c>
      <c r="J7" s="4" t="n">
        <f aca="false">Assumptions!J28</f>
        <v>16</v>
      </c>
      <c r="K7" s="4" t="n">
        <f aca="false">Assumptions!K28</f>
        <v>16</v>
      </c>
      <c r="L7" s="4" t="n">
        <f aca="false">Assumptions!L28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60787.8754</v>
      </c>
      <c r="D8" s="0" t="n">
        <f aca="false">D6*D7/100</f>
        <v>66106.8144975</v>
      </c>
      <c r="E8" s="0" t="n">
        <f aca="false">E6*E7/100</f>
        <v>71121.814218</v>
      </c>
      <c r="F8" s="0" t="n">
        <f aca="false">F6*F7/100</f>
        <v>76432.243012944</v>
      </c>
      <c r="G8" s="0" t="n">
        <f aca="false">G6*G7/100</f>
        <v>80638.4819348822</v>
      </c>
      <c r="H8" s="0" t="n">
        <f aca="false">H6*H7/100</f>
        <v>84108.9988789151</v>
      </c>
      <c r="I8" s="0" t="n">
        <f aca="false">I6*I7/100</f>
        <v>86211.7238508879</v>
      </c>
      <c r="J8" s="0" t="n">
        <f aca="false">J6*J7/100</f>
        <v>87935.9583279057</v>
      </c>
      <c r="K8" s="0" t="n">
        <f aca="false">K6*K7/100</f>
        <v>89694.6774944638</v>
      </c>
      <c r="L8" s="0" t="n">
        <f aca="false">L6*L7/100</f>
        <v>91488.5710443531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60787.8754</v>
      </c>
      <c r="D11" s="0" t="n">
        <f aca="false">D8+D10+D24</f>
        <v>66106.8144975</v>
      </c>
      <c r="E11" s="0" t="n">
        <f aca="false">E8+E10+E24</f>
        <v>71121.814218</v>
      </c>
      <c r="F11" s="0" t="n">
        <f aca="false">F8+F10+F24</f>
        <v>76432.243012944</v>
      </c>
      <c r="G11" s="0" t="n">
        <f aca="false">G8+G10+G24</f>
        <v>80638.4819348822</v>
      </c>
      <c r="H11" s="0" t="n">
        <f aca="false">H8+H10+H24</f>
        <v>84108.9988789151</v>
      </c>
      <c r="I11" s="0" t="n">
        <f aca="false">I8+I10+I24</f>
        <v>86211.7238508879</v>
      </c>
      <c r="J11" s="0" t="n">
        <f aca="false">J8+J10+J24</f>
        <v>87935.9583279057</v>
      </c>
      <c r="K11" s="0" t="n">
        <f aca="false">K8+K10+K24</f>
        <v>89694.6774944638</v>
      </c>
      <c r="L11" s="0" t="n">
        <f aca="false">L8+L10+L24</f>
        <v>91488.5710443531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-31262.33592</v>
      </c>
      <c r="D12" s="4" t="n">
        <f aca="false">-D6*Assumptions!D31/100</f>
        <v>-33737.270847</v>
      </c>
      <c r="E12" s="4" t="n">
        <f aca="false">-E6*Assumptions!E31/100</f>
        <v>-35560.907109</v>
      </c>
      <c r="F12" s="4" t="n">
        <f aca="false">-F6*Assumptions!F31/100</f>
        <v>-36983.34339336</v>
      </c>
      <c r="G12" s="4" t="n">
        <f aca="false">-G6*Assumptions!G31/100</f>
        <v>-38277.7604121276</v>
      </c>
      <c r="H12" s="4" t="n">
        <f aca="false">-H6*Assumptions!H31/100</f>
        <v>-39426.0932244914</v>
      </c>
      <c r="I12" s="4" t="n">
        <f aca="false">-I6*Assumptions!I31/100</f>
        <v>-40411.7455551037</v>
      </c>
      <c r="J12" s="4" t="n">
        <f aca="false">-J6*Assumptions!J31/100</f>
        <v>-41219.9804662058</v>
      </c>
      <c r="K12" s="4" t="n">
        <f aca="false">-K6*Assumptions!K31/100</f>
        <v>-42044.3800755299</v>
      </c>
      <c r="L12" s="4" t="n">
        <f aca="false">-L6*Assumptions!L31/100</f>
        <v>-42885.2676770405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29525.53948</v>
      </c>
      <c r="D13" s="0" t="n">
        <f aca="false">D11+D12</f>
        <v>32369.5436505</v>
      </c>
      <c r="E13" s="0" t="n">
        <f aca="false">E11+E12</f>
        <v>35560.907109</v>
      </c>
      <c r="F13" s="0" t="n">
        <f aca="false">F11+F12</f>
        <v>39448.899619584</v>
      </c>
      <c r="G13" s="0" t="n">
        <f aca="false">G11+G12</f>
        <v>42360.7215227545</v>
      </c>
      <c r="H13" s="0" t="n">
        <f aca="false">H11+H12</f>
        <v>44682.9056544236</v>
      </c>
      <c r="I13" s="0" t="n">
        <f aca="false">I11+I12</f>
        <v>45799.9782957842</v>
      </c>
      <c r="J13" s="0" t="n">
        <f aca="false">J11+J12</f>
        <v>46715.9778616999</v>
      </c>
      <c r="K13" s="0" t="n">
        <f aca="false">K11+K12</f>
        <v>47650.2974189339</v>
      </c>
      <c r="L13" s="0" t="n">
        <f aca="false">L11+L12</f>
        <v>48603.3033673126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28</v>
      </c>
      <c r="D14" s="4" t="n">
        <f aca="false">Assumptions!D33</f>
        <v>30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21258.3884256</v>
      </c>
      <c r="D15" s="0" t="n">
        <f aca="false">D13-MAX(0,D13)*D14/100</f>
        <v>22658.68055535</v>
      </c>
      <c r="E15" s="0" t="n">
        <f aca="false">E13-MAX(0,E13)*E14/100</f>
        <v>24537.02590521</v>
      </c>
      <c r="F15" s="0" t="n">
        <f aca="false">F13-MAX(0,F13)*F14/100</f>
        <v>27219.740737513</v>
      </c>
      <c r="G15" s="0" t="n">
        <f aca="false">G13-MAX(0,G13)*G14/100</f>
        <v>29228.8978507006</v>
      </c>
      <c r="H15" s="0" t="n">
        <f aca="false">H13-MAX(0,H13)*H14/100</f>
        <v>30831.2049015523</v>
      </c>
      <c r="I15" s="0" t="n">
        <f aca="false">I13-MAX(0,I13)*I14/100</f>
        <v>31601.9850240911</v>
      </c>
      <c r="J15" s="0" t="n">
        <f aca="false">J13-MAX(0,J13)*J14/100</f>
        <v>32234.0247245729</v>
      </c>
      <c r="K15" s="0" t="n">
        <f aca="false">K13-MAX(0,K13)*K14/100</f>
        <v>32878.7052190644</v>
      </c>
      <c r="L15" s="0" t="n">
        <f aca="false">L13-MAX(0,L13)*L14/100</f>
        <v>33536.2793234457</v>
      </c>
    </row>
    <row r="16" customFormat="false" ht="15" hidden="false" customHeight="false" outlineLevel="0" collapsed="false">
      <c r="A16" s="0" t="s">
        <v>125</v>
      </c>
      <c r="C16" s="0" t="n">
        <f aca="false">-C12</f>
        <v>31262.33592</v>
      </c>
      <c r="D16" s="0" t="n">
        <f aca="false">-D12</f>
        <v>33737.270847</v>
      </c>
      <c r="E16" s="0" t="n">
        <f aca="false">-E12</f>
        <v>35560.907109</v>
      </c>
      <c r="F16" s="0" t="n">
        <f aca="false">-F12</f>
        <v>36983.34339336</v>
      </c>
      <c r="G16" s="0" t="n">
        <f aca="false">-G12</f>
        <v>38277.7604121276</v>
      </c>
      <c r="H16" s="0" t="n">
        <f aca="false">-H12</f>
        <v>39426.0932244914</v>
      </c>
      <c r="I16" s="0" t="n">
        <f aca="false">-I12</f>
        <v>40411.7455551037</v>
      </c>
      <c r="J16" s="0" t="n">
        <f aca="false">-J12</f>
        <v>41219.9804662058</v>
      </c>
      <c r="K16" s="0" t="n">
        <f aca="false">-K12</f>
        <v>42044.3800755299</v>
      </c>
      <c r="L16" s="0" t="n">
        <f aca="false">-L12</f>
        <v>42885.2676770405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-45590.90655</v>
      </c>
      <c r="D17" s="4" t="n">
        <f aca="false">-D6*Assumptions!D32/100</f>
        <v>-43311.3612225</v>
      </c>
      <c r="E17" s="4" t="n">
        <f aca="false">-E6*Assumptions!E32/100</f>
        <v>-40302.3613902</v>
      </c>
      <c r="F17" s="4" t="n">
        <f aca="false">-F6*Assumptions!F32/100</f>
        <v>-39448.899619584</v>
      </c>
      <c r="G17" s="4" t="n">
        <f aca="false">-G6*Assumptions!G32/100</f>
        <v>-40829.6111062694</v>
      </c>
      <c r="H17" s="4" t="n">
        <f aca="false">-H6*Assumptions!H32/100</f>
        <v>-42054.4994394575</v>
      </c>
      <c r="I17" s="4" t="n">
        <f aca="false">-I6*Assumptions!I32/100</f>
        <v>-43105.861925444</v>
      </c>
      <c r="J17" s="4" t="n">
        <f aca="false">-J6*Assumptions!J32/100</f>
        <v>-43967.9791639528</v>
      </c>
      <c r="K17" s="4" t="n">
        <f aca="false">-K6*Assumptions!K32/100</f>
        <v>-44847.3387472319</v>
      </c>
      <c r="L17" s="4" t="n">
        <f aca="false">-L6*Assumptions!L32/100</f>
        <v>-45744.2855221765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-7492.8165</v>
      </c>
      <c r="D18" s="4" t="n">
        <f aca="false">(D6-C6)*Assumptions!$B$37/100</f>
        <v>-3256.49332500001</v>
      </c>
      <c r="E18" s="4" t="n">
        <f aca="false">(E6-D6)*Assumptions!$B$37/100</f>
        <v>-2735.454393</v>
      </c>
      <c r="F18" s="4" t="n">
        <f aca="false">(F6-E6)*Assumptions!$B$37/100</f>
        <v>-2844.87256872</v>
      </c>
      <c r="G18" s="4" t="n">
        <f aca="false">(G6-F6)*Assumptions!$B$37/100</f>
        <v>-2588.8340375352</v>
      </c>
      <c r="H18" s="4" t="n">
        <f aca="false">(H6-G6)*Assumptions!$B$37/100</f>
        <v>-2296.66562472765</v>
      </c>
      <c r="I18" s="4" t="n">
        <f aca="false">(I6-H6)*Assumptions!$B$37/100</f>
        <v>-1971.30466122457</v>
      </c>
      <c r="J18" s="4" t="n">
        <f aca="false">(J6-I6)*Assumptions!$B$37/100</f>
        <v>-1616.46982220415</v>
      </c>
      <c r="K18" s="4" t="n">
        <f aca="false">(K6-J6)*Assumptions!$B$37/100</f>
        <v>-1648.79921864824</v>
      </c>
      <c r="L18" s="4" t="n">
        <f aca="false">(L6-K6)*Assumptions!$B$37/100</f>
        <v>-1681.77520302119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-562.998704399998</v>
      </c>
      <c r="D19" s="0" t="n">
        <f aca="false">D15+D16+D17+D18</f>
        <v>9828.09685485</v>
      </c>
      <c r="E19" s="0" t="n">
        <f aca="false">E15+E16+E17+E18</f>
        <v>17060.11723101</v>
      </c>
      <c r="F19" s="0" t="n">
        <f aca="false">F15+F16+F17+F18</f>
        <v>21909.311942569</v>
      </c>
      <c r="G19" s="0" t="n">
        <f aca="false">G15+G16+G17+G18</f>
        <v>24088.2131190236</v>
      </c>
      <c r="H19" s="0" t="n">
        <f aca="false">H15+H16+H17+H18</f>
        <v>25906.1330618585</v>
      </c>
      <c r="I19" s="0" t="n">
        <f aca="false">I15+I16+I17+I18</f>
        <v>26936.5639925263</v>
      </c>
      <c r="J19" s="0" t="n">
        <f aca="false">J15+J16+J17+J18</f>
        <v>27869.5562046217</v>
      </c>
      <c r="K19" s="0" t="n">
        <f aca="false">K15+K16+K17+K18</f>
        <v>28426.9473287141</v>
      </c>
      <c r="L19" s="0" t="n">
        <f aca="false">L15+L16+L17+L18</f>
        <v>28995.4862752885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-526.167013457942</v>
      </c>
      <c r="D21" s="0" t="n">
        <f aca="false">D19*D20</f>
        <v>8584.24041824613</v>
      </c>
      <c r="E21" s="0" t="n">
        <f aca="false">E19*E20</f>
        <v>13926.1374751825</v>
      </c>
      <c r="F21" s="0" t="n">
        <f aca="false">F19*F20</f>
        <v>16714.5091802415</v>
      </c>
      <c r="G21" s="0" t="n">
        <f aca="false">G19*G20</f>
        <v>17174.563042321</v>
      </c>
      <c r="H21" s="0" t="n">
        <f aca="false">H19*H20</f>
        <v>17262.3503149253</v>
      </c>
      <c r="I21" s="0" t="n">
        <f aca="false">I19*I20</f>
        <v>16774.7382736035</v>
      </c>
      <c r="J21" s="0" t="n">
        <f aca="false">J19*J20</f>
        <v>16220.3354512769</v>
      </c>
      <c r="K21" s="0" t="n">
        <f aca="false">K19*K20</f>
        <v>15462.3758507499</v>
      </c>
      <c r="L21" s="0" t="n">
        <f aca="false">L19*L20</f>
        <v>14739.8349231448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136332.917916234</v>
      </c>
    </row>
    <row r="31" customFormat="false" ht="15" hidden="false" customHeight="false" outlineLevel="0" collapsed="false">
      <c r="A31" s="0" t="s">
        <v>134</v>
      </c>
      <c r="B31" s="0" t="n">
        <f aca="false">L19</f>
        <v>28995.4862752885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535098.51944396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434932.294129327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434932.294129327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221097.523847172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357430.441763406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151869.441763406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1761.80603198809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-0.423304081182293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1761.80603198809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218003.100514206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-734.64352031818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17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384247</v>
      </c>
      <c r="C6" s="0" t="n">
        <f aca="false">B6*(1+C5/100)</f>
        <v>449568.99</v>
      </c>
      <c r="D6" s="0" t="n">
        <f aca="false">C6*(1+D5/100)</f>
        <v>490030.1991</v>
      </c>
      <c r="E6" s="0" t="n">
        <f aca="false">D6*(1+E5/100)</f>
        <v>529232.615028</v>
      </c>
      <c r="F6" s="0" t="n">
        <f aca="false">E6*(1+F5/100)</f>
        <v>566278.89807996</v>
      </c>
      <c r="G6" s="0" t="n">
        <f aca="false">F6*(1+G5/100)</f>
        <v>600255.631964758</v>
      </c>
      <c r="H6" s="0" t="n">
        <f aca="false">G6*(1+H5/100)</f>
        <v>630268.413562996</v>
      </c>
      <c r="I6" s="0" t="n">
        <f aca="false">H6*(1+I5/100)</f>
        <v>655479.150105516</v>
      </c>
      <c r="J6" s="0" t="n">
        <f aca="false">I6*(1+J5/100)</f>
        <v>675143.524608681</v>
      </c>
      <c r="K6" s="0" t="n">
        <f aca="false">J6*(1+K5/100)</f>
        <v>692022.112723898</v>
      </c>
      <c r="L6" s="0" t="n">
        <f aca="false">K6*(1+L5/100)</f>
        <v>709322.665541995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15</v>
      </c>
      <c r="D7" s="4" t="n">
        <f aca="false">Assumptions!D42</f>
        <v>16</v>
      </c>
      <c r="E7" s="4" t="n">
        <f aca="false">Assumptions!E42</f>
        <v>17</v>
      </c>
      <c r="F7" s="4" t="n">
        <f aca="false">Assumptions!F42</f>
        <v>17.5</v>
      </c>
      <c r="G7" s="4" t="n">
        <f aca="false">Assumptions!G42</f>
        <v>18</v>
      </c>
      <c r="H7" s="4" t="n">
        <f aca="false">Assumptions!H42</f>
        <v>18.5</v>
      </c>
      <c r="I7" s="4" t="n">
        <f aca="false">Assumptions!I42</f>
        <v>18.5</v>
      </c>
      <c r="J7" s="4" t="n">
        <f aca="false">Assumptions!J42</f>
        <v>18.5</v>
      </c>
      <c r="K7" s="4" t="n">
        <f aca="false">Assumptions!K42</f>
        <v>18.5</v>
      </c>
      <c r="L7" s="4" t="n">
        <f aca="false">Assumptions!L42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67435.3485</v>
      </c>
      <c r="D8" s="0" t="n">
        <f aca="false">D6*D7/100</f>
        <v>78404.831856</v>
      </c>
      <c r="E8" s="0" t="n">
        <f aca="false">E6*E7/100</f>
        <v>89969.54455476</v>
      </c>
      <c r="F8" s="0" t="n">
        <f aca="false">F6*F7/100</f>
        <v>99098.807163993</v>
      </c>
      <c r="G8" s="0" t="n">
        <f aca="false">G6*G7/100</f>
        <v>108046.013753656</v>
      </c>
      <c r="H8" s="0" t="n">
        <f aca="false">H6*H7/100</f>
        <v>116599.656509154</v>
      </c>
      <c r="I8" s="0" t="n">
        <f aca="false">I6*I7/100</f>
        <v>121263.64276952</v>
      </c>
      <c r="J8" s="0" t="n">
        <f aca="false">J6*J7/100</f>
        <v>124901.552052606</v>
      </c>
      <c r="K8" s="0" t="n">
        <f aca="false">K6*K7/100</f>
        <v>128024.090853921</v>
      </c>
      <c r="L8" s="0" t="n">
        <f aca="false">L6*L7/100</f>
        <v>131224.693125269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67435.3485</v>
      </c>
      <c r="D11" s="0" t="n">
        <f aca="false">D8+D10+D24</f>
        <v>78404.831856</v>
      </c>
      <c r="E11" s="0" t="n">
        <f aca="false">E8+E10+E24</f>
        <v>89969.54455476</v>
      </c>
      <c r="F11" s="0" t="n">
        <f aca="false">F8+F10+F24</f>
        <v>99098.807163993</v>
      </c>
      <c r="G11" s="0" t="n">
        <f aca="false">G8+G10+G24</f>
        <v>108046.013753656</v>
      </c>
      <c r="H11" s="0" t="n">
        <f aca="false">H8+H10+H24</f>
        <v>116599.656509154</v>
      </c>
      <c r="I11" s="0" t="n">
        <f aca="false">I8+I10+I24</f>
        <v>121263.64276952</v>
      </c>
      <c r="J11" s="0" t="n">
        <f aca="false">J8+J10+J24</f>
        <v>124901.552052606</v>
      </c>
      <c r="K11" s="0" t="n">
        <f aca="false">K8+K10+K24</f>
        <v>128024.090853921</v>
      </c>
      <c r="L11" s="0" t="n">
        <f aca="false">L8+L10+L24</f>
        <v>131224.693125269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-32368.96728</v>
      </c>
      <c r="D12" s="4" t="n">
        <f aca="false">-D6*Assumptions!D45/100</f>
        <v>-36262.2347334</v>
      </c>
      <c r="E12" s="4" t="n">
        <f aca="false">-E6*Assumptions!E45/100</f>
        <v>-39692.4461271</v>
      </c>
      <c r="F12" s="4" t="n">
        <f aca="false">-F6*Assumptions!F45/100</f>
        <v>-42470.917355997</v>
      </c>
      <c r="G12" s="4" t="n">
        <f aca="false">-G6*Assumptions!G45/100</f>
        <v>-45019.1723973568</v>
      </c>
      <c r="H12" s="4" t="n">
        <f aca="false">-H6*Assumptions!H45/100</f>
        <v>-47270.1310172247</v>
      </c>
      <c r="I12" s="4" t="n">
        <f aca="false">-I6*Assumptions!I45/100</f>
        <v>-49160.9362579137</v>
      </c>
      <c r="J12" s="4" t="n">
        <f aca="false">-J6*Assumptions!J45/100</f>
        <v>-50635.7643456511</v>
      </c>
      <c r="K12" s="4" t="n">
        <f aca="false">-K6*Assumptions!K45/100</f>
        <v>-51901.6584542924</v>
      </c>
      <c r="L12" s="4" t="n">
        <f aca="false">-L6*Assumptions!L45/100</f>
        <v>-53199.1999156497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35066.38122</v>
      </c>
      <c r="D13" s="0" t="n">
        <f aca="false">D11+D12</f>
        <v>42142.5971226</v>
      </c>
      <c r="E13" s="0" t="n">
        <f aca="false">E11+E12</f>
        <v>50277.09842766</v>
      </c>
      <c r="F13" s="0" t="n">
        <f aca="false">F11+F12</f>
        <v>56627.889807996</v>
      </c>
      <c r="G13" s="0" t="n">
        <f aca="false">G11+G12</f>
        <v>63026.8413562996</v>
      </c>
      <c r="H13" s="0" t="n">
        <f aca="false">H11+H12</f>
        <v>69329.5254919295</v>
      </c>
      <c r="I13" s="0" t="n">
        <f aca="false">I11+I12</f>
        <v>72102.7065116067</v>
      </c>
      <c r="J13" s="0" t="n">
        <f aca="false">J11+J12</f>
        <v>74265.7877069549</v>
      </c>
      <c r="K13" s="0" t="n">
        <f aca="false">K11+K12</f>
        <v>76122.4323996288</v>
      </c>
      <c r="L13" s="0" t="n">
        <f aca="false">L11+L12</f>
        <v>78025.4932096195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28</v>
      </c>
      <c r="D14" s="4" t="n">
        <f aca="false">Assumptions!D47</f>
        <v>30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25247.7944784</v>
      </c>
      <c r="D15" s="0" t="n">
        <f aca="false">D13-MAX(0,D13)*D14/100</f>
        <v>29499.81798582</v>
      </c>
      <c r="E15" s="0" t="n">
        <f aca="false">E13-MAX(0,E13)*E14/100</f>
        <v>34691.1979150854</v>
      </c>
      <c r="F15" s="0" t="n">
        <f aca="false">F13-MAX(0,F13)*F14/100</f>
        <v>39073.2439675173</v>
      </c>
      <c r="G15" s="0" t="n">
        <f aca="false">G13-MAX(0,G13)*G14/100</f>
        <v>43488.5205358467</v>
      </c>
      <c r="H15" s="0" t="n">
        <f aca="false">H13-MAX(0,H13)*H14/100</f>
        <v>47837.3725894314</v>
      </c>
      <c r="I15" s="0" t="n">
        <f aca="false">I13-MAX(0,I13)*I14/100</f>
        <v>49750.8674930086</v>
      </c>
      <c r="J15" s="0" t="n">
        <f aca="false">J13-MAX(0,J13)*J14/100</f>
        <v>51243.3935177989</v>
      </c>
      <c r="K15" s="0" t="n">
        <f aca="false">K13-MAX(0,K13)*K14/100</f>
        <v>52524.4783557439</v>
      </c>
      <c r="L15" s="0" t="n">
        <f aca="false">L13-MAX(0,L13)*L14/100</f>
        <v>53837.5903146375</v>
      </c>
    </row>
    <row r="16" customFormat="false" ht="15" hidden="false" customHeight="false" outlineLevel="0" collapsed="false">
      <c r="A16" s="0" t="s">
        <v>125</v>
      </c>
      <c r="C16" s="0" t="n">
        <f aca="false">-C12</f>
        <v>32368.96728</v>
      </c>
      <c r="D16" s="0" t="n">
        <f aca="false">-D12</f>
        <v>36262.2347334</v>
      </c>
      <c r="E16" s="0" t="n">
        <f aca="false">-E12</f>
        <v>39692.4461271</v>
      </c>
      <c r="F16" s="0" t="n">
        <f aca="false">-F12</f>
        <v>42470.917355997</v>
      </c>
      <c r="G16" s="0" t="n">
        <f aca="false">-G12</f>
        <v>45019.1723973568</v>
      </c>
      <c r="H16" s="0" t="n">
        <f aca="false">-H12</f>
        <v>47270.1310172247</v>
      </c>
      <c r="I16" s="0" t="n">
        <f aca="false">-I12</f>
        <v>49160.9362579137</v>
      </c>
      <c r="J16" s="0" t="n">
        <f aca="false">-J12</f>
        <v>50635.7643456511</v>
      </c>
      <c r="K16" s="0" t="n">
        <f aca="false">-K12</f>
        <v>51901.6584542924</v>
      </c>
      <c r="L16" s="0" t="n">
        <f aca="false">-L12</f>
        <v>53199.1999156497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-47204.74395</v>
      </c>
      <c r="D17" s="4" t="n">
        <f aca="false">-D6*Assumptions!D46/100</f>
        <v>-46552.8689145</v>
      </c>
      <c r="E17" s="4" t="n">
        <f aca="false">-E6*Assumptions!E46/100</f>
        <v>-47630.93535252</v>
      </c>
      <c r="F17" s="4" t="n">
        <f aca="false">-F6*Assumptions!F46/100</f>
        <v>-48133.7063367966</v>
      </c>
      <c r="G17" s="4" t="n">
        <f aca="false">-G6*Assumptions!G46/100</f>
        <v>-48020.4505571806</v>
      </c>
      <c r="H17" s="4" t="n">
        <f aca="false">-H6*Assumptions!H46/100</f>
        <v>-50421.4730850397</v>
      </c>
      <c r="I17" s="4" t="n">
        <f aca="false">-I6*Assumptions!I46/100</f>
        <v>-52438.3320084413</v>
      </c>
      <c r="J17" s="4" t="n">
        <f aca="false">-J6*Assumptions!J46/100</f>
        <v>-54011.4819686945</v>
      </c>
      <c r="K17" s="4" t="n">
        <f aca="false">-K6*Assumptions!K46/100</f>
        <v>-55361.7690179118</v>
      </c>
      <c r="L17" s="4" t="n">
        <f aca="false">-L6*Assumptions!L46/100</f>
        <v>-56745.8132433596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-9798.2985</v>
      </c>
      <c r="D18" s="4" t="n">
        <f aca="false">(D6-C6)*Assumptions!$B$51/100</f>
        <v>-6069.18136500001</v>
      </c>
      <c r="E18" s="4" t="n">
        <f aca="false">(E6-D6)*Assumptions!$B$51/100</f>
        <v>-5880.36238920001</v>
      </c>
      <c r="F18" s="4" t="n">
        <f aca="false">(F6-E6)*Assumptions!$B$51/100</f>
        <v>-5556.94245779401</v>
      </c>
      <c r="G18" s="4" t="n">
        <f aca="false">(G6-F6)*Assumptions!$B$51/100</f>
        <v>-5096.51008271965</v>
      </c>
      <c r="H18" s="4" t="n">
        <f aca="false">(H6-G6)*Assumptions!$B$51/100</f>
        <v>-4501.91723973569</v>
      </c>
      <c r="I18" s="4" t="n">
        <f aca="false">(I6-H6)*Assumptions!$B$51/100</f>
        <v>-3781.61048137798</v>
      </c>
      <c r="J18" s="4" t="n">
        <f aca="false">(J6-I6)*Assumptions!$B$51/100</f>
        <v>-2949.65617547482</v>
      </c>
      <c r="K18" s="4" t="n">
        <f aca="false">(K6-J6)*Assumptions!$B$51/100</f>
        <v>-2531.78821728254</v>
      </c>
      <c r="L18" s="4" t="n">
        <f aca="false">(L6-K6)*Assumptions!$B$51/100</f>
        <v>-2595.08292271461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613.719308400001</v>
      </c>
      <c r="D19" s="0" t="n">
        <f aca="false">D15+D16+D17+D18</f>
        <v>13140.00243972</v>
      </c>
      <c r="E19" s="0" t="n">
        <f aca="false">E15+E16+E17+E18</f>
        <v>20872.3463004654</v>
      </c>
      <c r="F19" s="0" t="n">
        <f aca="false">F15+F16+F17+F18</f>
        <v>27853.5125289237</v>
      </c>
      <c r="G19" s="0" t="n">
        <f aca="false">G15+G16+G17+G18</f>
        <v>35390.7322933033</v>
      </c>
      <c r="H19" s="0" t="n">
        <f aca="false">H15+H16+H17+H18</f>
        <v>40184.1132818807</v>
      </c>
      <c r="I19" s="0" t="n">
        <f aca="false">I15+I16+I17+I18</f>
        <v>42691.8612611031</v>
      </c>
      <c r="J19" s="0" t="n">
        <f aca="false">J15+J16+J17+J18</f>
        <v>44918.0197192807</v>
      </c>
      <c r="K19" s="0" t="n">
        <f aca="false">K15+K16+K17+K18</f>
        <v>46532.5795748418</v>
      </c>
      <c r="L19" s="0" t="n">
        <f aca="false">L15+L16+L17+L18</f>
        <v>47695.8940642129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573.569447102805</v>
      </c>
      <c r="D21" s="0" t="n">
        <f aca="false">D19*D20</f>
        <v>11476.9870204559</v>
      </c>
      <c r="E21" s="0" t="n">
        <f aca="false">E19*E20</f>
        <v>17038.0519708005</v>
      </c>
      <c r="F21" s="0" t="n">
        <f aca="false">F19*F20</f>
        <v>21249.3113470216</v>
      </c>
      <c r="G21" s="0" t="n">
        <f aca="false">G19*G20</f>
        <v>25233.1030069316</v>
      </c>
      <c r="H21" s="0" t="n">
        <f aca="false">H19*H20</f>
        <v>26776.371406343</v>
      </c>
      <c r="I21" s="0" t="n">
        <f aca="false">I19*I20</f>
        <v>26586.3455809247</v>
      </c>
      <c r="J21" s="0" t="n">
        <f aca="false">J19*J20</f>
        <v>26142.6964356533</v>
      </c>
      <c r="K21" s="0" t="n">
        <f aca="false">K19*K20</f>
        <v>25310.6401602384</v>
      </c>
      <c r="L21" s="0" t="n">
        <f aca="false">L19*L20</f>
        <v>24246.1739852751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204633.250360747</v>
      </c>
    </row>
    <row r="31" customFormat="false" ht="15" hidden="false" customHeight="false" outlineLevel="0" collapsed="false">
      <c r="A31" s="0" t="s">
        <v>134</v>
      </c>
      <c r="B31" s="0" t="n">
        <f aca="false">L19</f>
        <v>47695.8940642129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972996.238909942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715438.410963193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715438.410963193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363692.609779126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568325.860139873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362764.860139873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4208.36022946223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0.377531990004002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4208.36022946223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374229.32265767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206.261498158355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-38.9863416085992</v>
      </c>
      <c r="C4" s="0" t="n">
        <f aca="false">B4/Assumptions!$B$2-1</f>
        <v>-1.01276148661493</v>
      </c>
      <c r="D4" s="4" t="n">
        <f aca="false">Assumptions!$B$24</f>
        <v>0.25</v>
      </c>
      <c r="E4" s="4" t="n">
        <f aca="false">DCF_Bear!$B$43</f>
        <v>-38.9863416085992</v>
      </c>
      <c r="F4" s="4" t="n">
        <f aca="false">DCF_Bear!$B$47</f>
        <v>-1461.73551579111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1761.80603198809</v>
      </c>
      <c r="C5" s="0" t="n">
        <f aca="false">B5/Assumptions!$B$2-1</f>
        <v>-0.423304081182293</v>
      </c>
      <c r="D5" s="4" t="n">
        <f aca="false">Assumptions!$B$38</f>
        <v>0.5</v>
      </c>
      <c r="E5" s="4" t="n">
        <f aca="false">DCF_Base!$B$43</f>
        <v>1761.80603198809</v>
      </c>
      <c r="F5" s="4" t="n">
        <f aca="false">DCF_Base!$B$47</f>
        <v>-734.64352031818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4208.36022946223</v>
      </c>
      <c r="C6" s="0" t="n">
        <f aca="false">B6/Assumptions!$B$2-1</f>
        <v>0.377531990004002</v>
      </c>
      <c r="D6" s="4" t="n">
        <f aca="false">Assumptions!$B$52</f>
        <v>0.25</v>
      </c>
      <c r="E6" s="4" t="n">
        <f aca="false">DCF_Bull!$B$43</f>
        <v>4208.36022946223</v>
      </c>
      <c r="F6" s="4" t="n">
        <f aca="false">DCF_Bull!$B$47</f>
        <v>206.261498158355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1923.24648795745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1923.24648795745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-0.588459939549664</v>
      </c>
    </row>
    <row r="11" customFormat="false" ht="15" hidden="false" customHeight="false" outlineLevel="0" collapsed="false">
      <c r="A11" s="0" t="s">
        <v>161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-681.190264567278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1761.80603198809</v>
      </c>
      <c r="C15" s="3" t="n">
        <v>7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949.024379067671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498.383442732767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144.516017983577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-140.316625655697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-734.64352031818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2493.32030222537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2493.32030222537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2493.32030222537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2493.32030222537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2493.32030222537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2109.91473807775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2109.91473807775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2109.91473807775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2109.91473807775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2109.91473807775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1761.80603198809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1761.80603198809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1761.80603198809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1761.80603198809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1761.80603198809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1196.0905347831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1356.3467914577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1445.37804516581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1445.37804516581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1445.37804516581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706.08415819809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819.962386730707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949.024379067671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1096.52379888135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1157.41805476772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2026-10-30T23:31:22Z</dcterms:created>
  <dc:creator>openpyxl</dc:creator>
  <dc:description/>
  <dc:language>en-NZ</dc:language>
  <cp:lastModifiedBy/>
  <dcterms:modified xsi:type="dcterms:W3CDTF">2026-10-30T23:31:22Z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