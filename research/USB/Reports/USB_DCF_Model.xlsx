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<sst xmlns="http://schemas.openxmlformats.org/spreadsheetml/2006/main" count="389" uniqueCount="175">
  <si>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</si>
  <si>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USB</t>
  </si>
  <si>
    <t xml:space="preserve">Company</t>
  </si>
  <si>
    <t xml:space="preserve">U.S. Bancorp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</si>
  <si>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</si>
  <si>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</si>
  <si>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</si>
  <si>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</si>
  <si>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Finance chart API)</t>
  </si>
  <si>
    <t xml:space="preserve">Balance sheet date</t>
  </si>
  <si>
    <t xml:space="preserve">2026-06-30</t>
  </si>
  <si>
    <t xml:space="preserve">Model</t>
  </si>
  <si>
    <t xml:space="preserve">Bank FCFE at cost of equity (engine route), net_debt = 0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</si>
  <si>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</si>
  <si>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</si>
  <si>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</si>
  <si>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</si>
  <si>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</si>
  <si>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</si>
  <si>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</si>
  <si>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</si>
  <si>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2026-10-02T21:23:06Z</t>
  </si>
  <si>
    <t xml:space="preserve">Drivers file</t>
  </si>
  <si>
    <t xml:space="preserve">USB_Drivers.json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</si>
  <si>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</si>
  <si>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</si>
  <si>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</si>
  <si>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common shareholders can take out: net income to common less the earnings that must be retained to keep CET1 at 10.8% as the balance sheet grows, discounted at the cost of equity. Deposits and wholesale debt are operating funding, so there is no net-debt deduction; preferred dividends and NCI are removed inside the flow.
key_risks_to_valuation: Credit cycle: provision is ~7.6% of revenue today; a 1% NCO year takes ~$2B pre-tax out of one year's earnings (bear case).; Rate path: NII repricing tailwind assumes the fixed-rate book keeps rolling at higher yields; faster Fed cuts compress deposit spreads.; Capital rules: the March-2026 proposals are 'expected to be favorable' but unquantified; AOCI (-$7.1B) inclusion in CET1 under any revived Basel endgame would raise retention needs.; Retention ratio: CET1/revenue 1.646 is backed out of reported ratios (TCE/RWA 9.4%, CET1 10.8%), not a disclosed RWA figure.; Terminal value ~55-65% of value; the 15x FCFE cap and 3% terminal growth carry it.</t>
  </si>
  <si>
    <t xml:space="preserve">Data sources</t>
  </si>
  <si>
    <t xml:space="preserve">price: Yahoo Finance chart API at inputs.price_as_of; 52-week range 45.02-66.08
financials: SEC XBRL companyfacts CIK 36104 (InterestIncomeExpenseNet, NoninterestIncome, pre-tax income, tax, NI to common, preferred carrying value, goodwill/intangibles, diluted shares); Q2-2026 10-Q (usb-20260630.htm, filed 2026-08-06) for CET1 10.8%, TCE/RWA 9.4%, efficiency 57.1%, ROTCE 18.7%, AOCI, BTIG terms, 2026 capital proposals; USB_Metrics.csv for history.
qualitative: Q2-2026 10-Q MD&amp;A; 2025 Investor Day medium-term targets (4-6% revenue growth, 200bp+ operating leverage, 18%+ ROTCE). No USB_Analysis.json existed at build time.</t>
  </si>
  <si>
    <t xml:space="preserve">Scenario narrative: bear</t>
  </si>
  <si>
    <t xml:space="preserve">A 2027-28 US recession: loan growth stalls, Fed cuts compress deposit spreads faster than assets reprice, card and CRE-office losses push provisions to ~1% of loans, and the efficiency programme stalls under BTIG and technology spend. USB stays well-capitalised (no solvency case -- CET1 10.8%, diversified fee base), but earnings power resets lower and the market caps it like a sub-par regional.</t>
  </si>
  <si>
    <t xml:space="preserve">Scenario narrative: base</t>
  </si>
  <si>
    <t xml:space="preserve">USB grinds out the 2025 Investor Day framework: 4-6% revenue growth as fixed-rate securities and swaps keep repricing into NII (NIM 2.79% in Q2-26, rising), payments (Elavon merchant acquiring, card) and the newly acquired BTIG lift fee income, and expense discipline delivers ~200bp of operating leverage until the efficiency ratio settles near 55-56%. Credit stays benign-to-normalising (NCOs ~0.5-0.6%), CET1 is run flat at ~10.8% and everything above the capital needed for growth goes out as dividends and buybacks. Return on tangible common settles ~19%.</t>
  </si>
  <si>
    <t xml:space="preserve">Scenario narrative: bull</t>
  </si>
  <si>
    <t xml:space="preserve">Rate-neutral balance sheet plus continued asset repricing push NII growth above the range; payments re-accelerates as Elavon's integrated-software channel scales; BTIG and the capital-markets build add a durable fee leg; and the March-2026 capital proposals land 'favorable' as management expects, letting USB hold less capital per dollar of RWA. Efficiency reaches ~53-54%, ROTCE ~21%, and the market pays a premium-regional multiple again.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</si>
  <si>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</si>
  <si>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</si>
  <si>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</si>
  <si>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</si>
  <si>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</si>
  <si>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</si>
  <si>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</si>
  <si>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</si>
  <si>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</si>
  <si>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</si>
  <si>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</si>
  <si>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</si>
  <si>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</si>
  <si>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</si>
  <si>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</si>
  <si>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</si>
  <si>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</si>
  <si>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</si>
  <si>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</si>
  <si>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</si>
  <si>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</si>
  <si>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</si>
  <si>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</si>
  <si>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</si>
  <si>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</si>
  <si>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</si>
  <si>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</si>
  <si>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</si>
  <si>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</si>
  <si>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</si>
  <si>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</si>
  <si>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</si>
  <si>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</si>
  <si>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</si>
  <si>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</si>
  <si>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</si>
  <si>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</si>
  <si>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</si>
  <si>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</si>
  <si>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</si>
  <si>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</si>
  <si>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</si>
  <si>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</si>
  <si>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</si>
  <si>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</si>
  <si>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</si>
  <si>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</si>
  <si>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</si>
  <si>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</si>
  <si>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</si>
  <si>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</si>
  <si>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</si>
  <si>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</si>
  <si>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</si>
  <si>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</si>
  <si>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</si>
  <si>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</si>
  <si>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</si>
  <si>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</si>
  <si>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</si>
  <si>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</si>
  <si>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</si>
  <si>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</si>
  <si>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</si>
  <si>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</si>
  <si>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</si>
  <si>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</si>
  <si>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</si>
  <si>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</si>
  <si>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</si>
  <si>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</si>
  <si>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</si>
  <si>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</si>
  <si>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</si>
  <si>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</si>
  <si>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</si>
  <si>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</si>
  <si>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</si>
  <si>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</si>
  <si>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</si>
  <si>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</si>
  <si>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</si>
  <si>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</si>
  <si>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</si>
  <si>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</si>
  <si>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USB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</si>
  <si>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</si>
  <si>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</si>
  <si>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</si>
  <si>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</si>
  <si>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</si>
  <si>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</si>
  <si>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</si>
  <si>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</si>
  <si>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</si>
  <si>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</si>
  <si>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</si>
  <si>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</si>
  <si>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</si>
  <si>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</si>
  <si>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</si>
  <si>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</si>
  <si>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</si>
  <si>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</si>
  <si>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</si>
  <si>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</si>
  <si>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</si>
  <si>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</si>
  <si>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</si>
  <si>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</si>
  <si>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</si>
  <si>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</si>
  <si>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</si>
  <si>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</si>
  <si>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</si>
  <si>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</si>
  <si>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USB owner-FCF component DCF: base case (millions, USD)</t>
  </si>
  <si>
    <t xml:space="preserve">USB owner-FCF component DCF: bull case (millions, USD)</t>
  </si>
  <si>
    <t xml:space="preserve">USB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</si>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</sst>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57.51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21919</v>
      </c>
      <c r="S2" s="0" t="n">
        <v>8639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4403</v>
      </c>
      <c r="K3" s="0" t="n">
        <v>2.45</v>
      </c>
      <c r="L3" s="0" t="n">
        <v>2904</v>
      </c>
      <c r="O3" s="0" t="n">
        <v>21826</v>
      </c>
      <c r="S3" s="0" t="n">
        <v>8884</v>
      </c>
      <c r="T3" s="0" t="n">
        <v>1756</v>
      </c>
      <c r="V3" s="0" t="n">
        <v>1.625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3012</v>
      </c>
      <c r="K4" s="0" t="n">
        <v>1.62</v>
      </c>
      <c r="L4" s="0" t="n">
        <v>5307</v>
      </c>
      <c r="O4" s="0" t="n">
        <v>27033</v>
      </c>
      <c r="P4" s="0" t="n">
        <v>265912</v>
      </c>
      <c r="Q4" s="0" t="n">
        <v>238879</v>
      </c>
      <c r="R4" s="0" t="n">
        <v>38359</v>
      </c>
      <c r="S4" s="0" t="n">
        <v>6859</v>
      </c>
      <c r="T4" s="0" t="n">
        <v>1756</v>
      </c>
      <c r="U4" s="0" t="n">
        <v>85</v>
      </c>
      <c r="V4" s="0" t="n">
        <v>1.7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2237</v>
      </c>
      <c r="K5" s="0" t="n">
        <v>0.97</v>
      </c>
      <c r="L5" s="0" t="n">
        <v>7600</v>
      </c>
      <c r="O5" s="0" t="n">
        <v>26661</v>
      </c>
      <c r="P5" s="0" t="n">
        <v>281176</v>
      </c>
      <c r="Q5" s="0" t="n">
        <v>254515</v>
      </c>
      <c r="R5" s="0" t="n">
        <v>32580</v>
      </c>
      <c r="S5" s="0" t="n">
        <v>6206</v>
      </c>
      <c r="T5" s="0" t="n">
        <v>1900</v>
      </c>
      <c r="U5" s="0" t="n">
        <v>89</v>
      </c>
      <c r="V5" s="0" t="n">
        <v>0.2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3317</v>
      </c>
      <c r="K6" s="0" t="n">
        <v>1.74</v>
      </c>
      <c r="L6" s="0" t="n">
        <v>5241</v>
      </c>
      <c r="O6" s="0" t="n">
        <v>30322</v>
      </c>
      <c r="P6" s="0" t="n">
        <v>307786</v>
      </c>
      <c r="Q6" s="0" t="n">
        <v>277464</v>
      </c>
      <c r="R6" s="0" t="n">
        <v>31537</v>
      </c>
      <c r="S6" s="0" t="n">
        <v>14487</v>
      </c>
      <c r="T6" s="0" t="n">
        <v>1921</v>
      </c>
      <c r="U6" s="0" t="n">
        <v>113</v>
      </c>
      <c r="V6" s="0" t="n">
        <v>0.2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4872</v>
      </c>
      <c r="K7" s="0" t="n">
        <v>2.47</v>
      </c>
      <c r="L7" s="0" t="n">
        <v>9820</v>
      </c>
      <c r="O7" s="0" t="n">
        <v>34971</v>
      </c>
      <c r="P7" s="0" t="n">
        <v>340122</v>
      </c>
      <c r="Q7" s="0" t="n">
        <v>305151</v>
      </c>
      <c r="R7" s="0" t="n">
        <v>31953</v>
      </c>
      <c r="S7" s="0" t="n">
        <v>13962</v>
      </c>
      <c r="T7" s="0" t="n">
        <v>1923</v>
      </c>
      <c r="U7" s="0" t="n">
        <v>118</v>
      </c>
      <c r="V7" s="0" t="n">
        <v>0.5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20288</v>
      </c>
      <c r="I8" s="0" t="n">
        <v>5647</v>
      </c>
      <c r="J8" s="0" t="n">
        <v>27.8341876971609</v>
      </c>
      <c r="K8" s="0" t="n">
        <v>2.85</v>
      </c>
      <c r="L8" s="0" t="n">
        <v>7958</v>
      </c>
      <c r="O8" s="0" t="n">
        <v>40267</v>
      </c>
      <c r="P8" s="0" t="n">
        <v>353855</v>
      </c>
      <c r="Q8" s="0" t="n">
        <v>313588</v>
      </c>
      <c r="R8" s="0" t="n">
        <v>25516</v>
      </c>
      <c r="S8" s="0" t="n">
        <v>8252</v>
      </c>
      <c r="T8" s="0" t="n">
        <v>1900</v>
      </c>
      <c r="U8" s="0" t="n">
        <v>129</v>
      </c>
      <c r="V8" s="0" t="n">
        <v>0.78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19602</v>
      </c>
      <c r="I9" s="0" t="n">
        <v>5836</v>
      </c>
      <c r="J9" s="0" t="n">
        <v>29.7724721967146</v>
      </c>
      <c r="K9" s="0" t="n">
        <v>3.02</v>
      </c>
      <c r="O9" s="0" t="n">
        <v>41807</v>
      </c>
      <c r="P9" s="0" t="n">
        <v>364021</v>
      </c>
      <c r="Q9" s="0" t="n">
        <v>322214</v>
      </c>
      <c r="R9" s="0" t="n">
        <v>20049</v>
      </c>
      <c r="T9" s="0" t="n">
        <v>1849</v>
      </c>
      <c r="U9" s="0" t="n">
        <v>129</v>
      </c>
      <c r="V9" s="0" t="n">
        <v>0.885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20161</v>
      </c>
      <c r="I10" s="0" t="n">
        <v>5908</v>
      </c>
      <c r="J10" s="0" t="n">
        <v>29.3041019790685</v>
      </c>
      <c r="K10" s="0" t="n">
        <v>3.1</v>
      </c>
      <c r="O10" s="0" t="n">
        <v>44168</v>
      </c>
      <c r="P10" s="0" t="n">
        <v>402529</v>
      </c>
      <c r="Q10" s="0" t="n">
        <v>358361</v>
      </c>
      <c r="R10" s="0" t="n">
        <v>32260</v>
      </c>
      <c r="T10" s="0" t="n">
        <v>1813</v>
      </c>
      <c r="U10" s="0" t="n">
        <v>125</v>
      </c>
      <c r="V10" s="0" t="n">
        <v>0.965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20306</v>
      </c>
      <c r="I11" s="0" t="n">
        <v>5933</v>
      </c>
      <c r="J11" s="0" t="n">
        <v>29.2179651334581</v>
      </c>
      <c r="K11" s="0" t="n">
        <v>3.18</v>
      </c>
      <c r="O11" s="0" t="n">
        <v>46817</v>
      </c>
      <c r="P11" s="0" t="n">
        <v>421853</v>
      </c>
      <c r="Q11" s="0" t="n">
        <v>375036</v>
      </c>
      <c r="R11" s="0" t="n">
        <v>32078</v>
      </c>
      <c r="T11" s="0" t="n">
        <v>1772</v>
      </c>
      <c r="U11" s="0" t="n">
        <v>125</v>
      </c>
      <c r="V11" s="0" t="n">
        <v>1.01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21308</v>
      </c>
      <c r="I12" s="0" t="n">
        <v>5944</v>
      </c>
      <c r="J12" s="0" t="n">
        <v>27.8956260559414</v>
      </c>
      <c r="K12" s="0" t="n">
        <v>3.25</v>
      </c>
      <c r="L12" s="0" t="n">
        <v>5336</v>
      </c>
      <c r="O12" s="0" t="n">
        <v>47933</v>
      </c>
      <c r="P12" s="0" t="n">
        <v>445964</v>
      </c>
      <c r="Q12" s="0" t="n">
        <v>398031</v>
      </c>
      <c r="R12" s="0" t="n">
        <v>33323</v>
      </c>
      <c r="T12" s="0" t="n">
        <v>1724</v>
      </c>
      <c r="U12" s="0" t="n">
        <v>150</v>
      </c>
      <c r="V12" s="0" t="n">
        <v>1.07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21902</v>
      </c>
      <c r="I13" s="0" t="n">
        <v>6253</v>
      </c>
      <c r="J13" s="0" t="n">
        <v>28.5499041183454</v>
      </c>
      <c r="K13" s="0" t="n">
        <v>3.53</v>
      </c>
      <c r="L13" s="0" t="n">
        <v>6472</v>
      </c>
      <c r="O13" s="0" t="n">
        <v>49666</v>
      </c>
      <c r="P13" s="0" t="n">
        <v>462040</v>
      </c>
      <c r="Q13" s="0" t="n">
        <v>412374</v>
      </c>
      <c r="R13" s="0" t="n">
        <v>32259</v>
      </c>
      <c r="T13" s="0" t="n">
        <v>1700</v>
      </c>
      <c r="U13" s="0" t="n">
        <v>163</v>
      </c>
      <c r="V13" s="0" t="n">
        <v>1.16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22637</v>
      </c>
      <c r="I14" s="0" t="n">
        <v>7124</v>
      </c>
      <c r="J14" s="0" t="n">
        <v>31.4706012280779</v>
      </c>
      <c r="K14" s="0" t="n">
        <v>4.15</v>
      </c>
      <c r="L14" s="0" t="n">
        <v>10564</v>
      </c>
      <c r="O14" s="0" t="n">
        <v>51657</v>
      </c>
      <c r="P14" s="0" t="n">
        <v>467374</v>
      </c>
      <c r="Q14" s="0" t="n">
        <v>415717</v>
      </c>
      <c r="R14" s="0" t="n">
        <v>41340</v>
      </c>
      <c r="T14" s="0" t="n">
        <v>1638</v>
      </c>
      <c r="U14" s="0" t="n">
        <v>174</v>
      </c>
      <c r="V14" s="0" t="n">
        <v>1.34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I15" s="0" t="n">
        <v>6946</v>
      </c>
      <c r="K15" s="0" t="n">
        <v>4.16</v>
      </c>
      <c r="L15" s="0" t="n">
        <v>4889</v>
      </c>
      <c r="O15" s="0" t="n">
        <v>52483</v>
      </c>
      <c r="P15" s="0" t="n">
        <v>495426</v>
      </c>
      <c r="Q15" s="0" t="n">
        <v>442943</v>
      </c>
      <c r="R15" s="0" t="n">
        <v>40167</v>
      </c>
      <c r="T15" s="0" t="n">
        <v>1583</v>
      </c>
      <c r="U15" s="0" t="n">
        <v>178</v>
      </c>
      <c r="V15" s="0" t="n">
        <v>1.58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I16" s="0" t="n">
        <v>4985</v>
      </c>
      <c r="K16" s="0" t="n">
        <v>3.06</v>
      </c>
      <c r="L16" s="0" t="n">
        <v>3716</v>
      </c>
      <c r="O16" s="0" t="n">
        <v>53725</v>
      </c>
      <c r="P16" s="0" t="n">
        <v>553905</v>
      </c>
      <c r="Q16" s="0" t="n">
        <v>500180</v>
      </c>
      <c r="R16" s="0" t="n">
        <v>41297</v>
      </c>
      <c r="T16" s="0" t="n">
        <v>1510</v>
      </c>
      <c r="U16" s="0" t="n">
        <v>189</v>
      </c>
      <c r="V16" s="0" t="n">
        <v>1.68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I17" s="0" t="n">
        <v>7985</v>
      </c>
      <c r="K17" s="0" t="n">
        <v>5.11</v>
      </c>
      <c r="L17" s="0" t="n">
        <v>9870</v>
      </c>
      <c r="O17" s="0" t="n">
        <v>55387</v>
      </c>
      <c r="P17" s="0" t="n">
        <v>573284</v>
      </c>
      <c r="Q17" s="0" t="n">
        <v>517897</v>
      </c>
      <c r="R17" s="0" t="n">
        <v>32125</v>
      </c>
      <c r="T17" s="0" t="n">
        <v>1500</v>
      </c>
      <c r="U17" s="0" t="n">
        <v>207</v>
      </c>
      <c r="V17" s="0" t="n">
        <v>1.76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24302</v>
      </c>
      <c r="I18" s="0" t="n">
        <v>5838</v>
      </c>
      <c r="J18" s="0" t="n">
        <v>24.0227141799029</v>
      </c>
      <c r="K18" s="0" t="n">
        <v>3.69</v>
      </c>
      <c r="L18" s="0" t="n">
        <v>21119</v>
      </c>
      <c r="O18" s="0" t="n">
        <v>51232</v>
      </c>
      <c r="P18" s="0" t="n">
        <v>674805</v>
      </c>
      <c r="Q18" s="0" t="n">
        <v>623573</v>
      </c>
      <c r="R18" s="0" t="n">
        <v>39829</v>
      </c>
      <c r="T18" s="0" t="n">
        <v>1500</v>
      </c>
      <c r="U18" s="0" t="n">
        <v>202</v>
      </c>
      <c r="V18" s="0" t="n">
        <v>1.88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28144</v>
      </c>
      <c r="I19" s="0" t="n">
        <v>5458</v>
      </c>
      <c r="J19" s="0" t="n">
        <v>19.3931210915293</v>
      </c>
      <c r="K19" s="0" t="n">
        <v>3.27</v>
      </c>
      <c r="L19" s="0" t="n">
        <v>8393</v>
      </c>
      <c r="O19" s="0" t="n">
        <v>55771</v>
      </c>
      <c r="P19" s="0" t="n">
        <v>663491</v>
      </c>
      <c r="Q19" s="0" t="n">
        <v>607720</v>
      </c>
      <c r="T19" s="0" t="n">
        <v>1600</v>
      </c>
      <c r="U19" s="0" t="n">
        <v>224</v>
      </c>
      <c r="V19" s="0" t="n">
        <v>1.93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27455</v>
      </c>
      <c r="I20" s="0" t="n">
        <v>6329</v>
      </c>
      <c r="J20" s="0" t="n">
        <v>23.0522673465671</v>
      </c>
      <c r="K20" s="0" t="n">
        <v>3.79</v>
      </c>
      <c r="L20" s="0" t="n">
        <v>11350</v>
      </c>
      <c r="O20" s="0" t="n">
        <v>59040</v>
      </c>
      <c r="P20" s="0" t="n">
        <v>678318</v>
      </c>
      <c r="Q20" s="0" t="n">
        <v>619278</v>
      </c>
      <c r="T20" s="0" t="n">
        <v>1600</v>
      </c>
      <c r="U20" s="0" t="n">
        <v>232</v>
      </c>
      <c r="V20" s="0" t="n">
        <v>1.98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28656</v>
      </c>
      <c r="I21" s="0" t="n">
        <v>7596</v>
      </c>
      <c r="J21" s="0" t="n">
        <v>26.5075376884422</v>
      </c>
      <c r="K21" s="0" t="n">
        <v>4.62</v>
      </c>
      <c r="L21" s="0" t="n">
        <v>7970</v>
      </c>
      <c r="O21" s="0" t="n">
        <v>65651</v>
      </c>
      <c r="P21" s="0" t="n">
        <v>692345</v>
      </c>
      <c r="Q21" s="0" t="n">
        <v>626694</v>
      </c>
      <c r="T21" s="0" t="n">
        <v>1600</v>
      </c>
      <c r="U21" s="0" t="n">
        <v>235</v>
      </c>
      <c r="V21" s="0" t="n">
        <v>2.04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57.51</v>
      </c>
    </row>
    <row r="3" customFormat="false" ht="15" hidden="false" customHeight="false" outlineLevel="0" collapsed="false">
      <c r="A3" s="0" t="s">
        <v>86</v>
      </c>
      <c r="B3" s="3" t="n">
        <v>1558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-275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29583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3</v>
      </c>
      <c r="D13" s="3" t="n">
        <v>1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33</v>
      </c>
      <c r="D14" s="3" t="n">
        <v>28</v>
      </c>
      <c r="E14" s="3" t="n">
        <v>29.5</v>
      </c>
      <c r="F14" s="3" t="n">
        <v>31.5</v>
      </c>
      <c r="G14" s="3" t="n">
        <v>32.5</v>
      </c>
      <c r="H14" s="3" t="n">
        <v>33</v>
      </c>
      <c r="I14" s="3" t="n">
        <v>33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109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4.79</v>
      </c>
      <c r="D18" s="3" t="n">
        <v>1.63</v>
      </c>
      <c r="E18" s="3" t="n">
        <v>3.23</v>
      </c>
      <c r="F18" s="3" t="n">
        <v>4.79</v>
      </c>
      <c r="G18" s="3" t="n">
        <v>4.79</v>
      </c>
      <c r="H18" s="3" t="n">
        <v>4.79</v>
      </c>
      <c r="I18" s="3" t="n">
        <v>4.79</v>
      </c>
      <c r="J18" s="3" t="n">
        <v>4.01</v>
      </c>
      <c r="K18" s="3" t="n">
        <v>4.01</v>
      </c>
      <c r="L18" s="3" t="n">
        <v>4.01</v>
      </c>
    </row>
    <row r="19" customFormat="false" ht="15" hidden="false" customHeight="false" outlineLevel="0" collapsed="false">
      <c r="A19" s="0" t="s">
        <v>113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114</v>
      </c>
      <c r="B20" s="3" t="n">
        <v>10.5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34.6</v>
      </c>
      <c r="D28" s="3" t="n">
        <v>35.3</v>
      </c>
      <c r="E28" s="3" t="n">
        <v>35.8</v>
      </c>
      <c r="F28" s="3" t="n">
        <v>36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109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7.84</v>
      </c>
      <c r="D32" s="3" t="n">
        <v>7.84</v>
      </c>
      <c r="E32" s="3" t="n">
        <v>7.09</v>
      </c>
      <c r="F32" s="3" t="n">
        <v>7.09</v>
      </c>
      <c r="G32" s="3" t="n">
        <v>6.33</v>
      </c>
      <c r="H32" s="3" t="n">
        <v>6.33</v>
      </c>
      <c r="I32" s="3" t="n">
        <v>5.57</v>
      </c>
      <c r="J32" s="3" t="n">
        <v>5.57</v>
      </c>
      <c r="K32" s="3" t="n">
        <v>4.79</v>
      </c>
      <c r="L32" s="3" t="n">
        <v>4.79</v>
      </c>
    </row>
    <row r="33" customFormat="false" ht="15" hidden="false" customHeight="false" outlineLevel="0" collapsed="false">
      <c r="A33" s="0" t="s">
        <v>113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6</v>
      </c>
      <c r="D41" s="3" t="n">
        <v>6</v>
      </c>
      <c r="E41" s="3" t="n">
        <v>5.5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35</v>
      </c>
      <c r="D42" s="3" t="n">
        <v>36</v>
      </c>
      <c r="E42" s="3" t="n">
        <v>36.8</v>
      </c>
      <c r="F42" s="3" t="n">
        <v>37.3</v>
      </c>
      <c r="G42" s="3" t="n">
        <v>37.5</v>
      </c>
      <c r="H42" s="3" t="n">
        <v>37.5</v>
      </c>
      <c r="I42" s="3" t="n">
        <v>37.5</v>
      </c>
      <c r="J42" s="3" t="n">
        <v>37.5</v>
      </c>
      <c r="K42" s="3" t="n">
        <v>37.5</v>
      </c>
      <c r="L42" s="3" t="n">
        <v>37.5</v>
      </c>
    </row>
    <row r="43" customFormat="false" ht="15" hidden="false" customHeight="false" outlineLevel="0" collapsed="false">
      <c r="A43" s="0" t="s">
        <v>109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9.32</v>
      </c>
      <c r="D46" s="3" t="n">
        <v>9.32</v>
      </c>
      <c r="E46" s="3" t="n">
        <v>8.58</v>
      </c>
      <c r="F46" s="3" t="n">
        <v>7.84</v>
      </c>
      <c r="G46" s="3" t="n">
        <v>7.84</v>
      </c>
      <c r="H46" s="3" t="n">
        <v>7.09</v>
      </c>
      <c r="I46" s="3" t="n">
        <v>6.33</v>
      </c>
      <c r="J46" s="3" t="n">
        <v>6.33</v>
      </c>
      <c r="K46" s="3" t="n">
        <v>5.57</v>
      </c>
      <c r="L46" s="3" t="n">
        <v>5.57</v>
      </c>
    </row>
    <row r="47" customFormat="false" ht="15" hidden="false" customHeight="false" outlineLevel="0" collapsed="false">
      <c r="A47" s="0" t="s">
        <v>113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114</v>
      </c>
      <c r="B48" s="3" t="n">
        <v>9.75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16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29583</v>
      </c>
      <c r="C6" s="0" t="n">
        <f aca="false">B6*(1+C5/100)</f>
        <v>30470.49</v>
      </c>
      <c r="D6" s="0" t="n">
        <f aca="false">C6*(1+D5/100)</f>
        <v>30775.1949</v>
      </c>
      <c r="E6" s="0" t="n">
        <f aca="false">D6*(1+E5/100)</f>
        <v>31390.698798</v>
      </c>
      <c r="F6" s="0" t="n">
        <f aca="false">E6*(1+F5/100)</f>
        <v>32332.41976194</v>
      </c>
      <c r="G6" s="0" t="n">
        <f aca="false">F6*(1+G5/100)</f>
        <v>33302.3923547982</v>
      </c>
      <c r="H6" s="0" t="n">
        <f aca="false">G6*(1+H5/100)</f>
        <v>34301.4641254422</v>
      </c>
      <c r="I6" s="0" t="n">
        <f aca="false">H6*(1+I5/100)</f>
        <v>35330.5080492054</v>
      </c>
      <c r="J6" s="0" t="n">
        <f aca="false">I6*(1+J5/100)</f>
        <v>36213.7707504356</v>
      </c>
      <c r="K6" s="0" t="n">
        <f aca="false">J6*(1+K5/100)</f>
        <v>37119.1150191964</v>
      </c>
      <c r="L6" s="0" t="n">
        <f aca="false">K6*(1+L5/100)</f>
        <v>38047.0928946763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33</v>
      </c>
      <c r="D7" s="4" t="n">
        <f aca="false">Assumptions!D14</f>
        <v>28</v>
      </c>
      <c r="E7" s="4" t="n">
        <f aca="false">Assumptions!E14</f>
        <v>29.5</v>
      </c>
      <c r="F7" s="4" t="n">
        <f aca="false">Assumptions!F14</f>
        <v>31.5</v>
      </c>
      <c r="G7" s="4" t="n">
        <f aca="false">Assumptions!G14</f>
        <v>32.5</v>
      </c>
      <c r="H7" s="4" t="n">
        <f aca="false">Assumptions!H14</f>
        <v>33</v>
      </c>
      <c r="I7" s="4" t="n">
        <f aca="false">Assumptions!I14</f>
        <v>33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10055.2617</v>
      </c>
      <c r="D8" s="0" t="n">
        <f aca="false">D6*D7/100</f>
        <v>8617.054572</v>
      </c>
      <c r="E8" s="0" t="n">
        <f aca="false">E6*E7/100</f>
        <v>9260.25614541</v>
      </c>
      <c r="F8" s="0" t="n">
        <f aca="false">F6*F7/100</f>
        <v>10184.7122250111</v>
      </c>
      <c r="G8" s="0" t="n">
        <f aca="false">G6*G7/100</f>
        <v>10823.2775153094</v>
      </c>
      <c r="H8" s="0" t="n">
        <f aca="false">H6*H7/100</f>
        <v>11319.4831613959</v>
      </c>
      <c r="I8" s="0" t="n">
        <f aca="false">I6*I7/100</f>
        <v>11659.0676562378</v>
      </c>
      <c r="J8" s="0" t="n">
        <f aca="false">J6*J7/100</f>
        <v>11950.5443476437</v>
      </c>
      <c r="K8" s="0" t="n">
        <f aca="false">K6*K7/100</f>
        <v>12249.3079563348</v>
      </c>
      <c r="L8" s="0" t="n">
        <f aca="false">L6*L7/100</f>
        <v>12555.5406552432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-243.76392</v>
      </c>
      <c r="D10" s="0" t="n">
        <f aca="false">-D6*D9/100</f>
        <v>-246.2015592</v>
      </c>
      <c r="E10" s="0" t="n">
        <f aca="false">-E6*E9/100</f>
        <v>-251.125590384</v>
      </c>
      <c r="F10" s="0" t="n">
        <f aca="false">-F6*F9/100</f>
        <v>-258.65935809552</v>
      </c>
      <c r="G10" s="0" t="n">
        <f aca="false">-G6*G9/100</f>
        <v>-266.419138838386</v>
      </c>
      <c r="H10" s="0" t="n">
        <f aca="false">-H6*H9/100</f>
        <v>-274.411713003537</v>
      </c>
      <c r="I10" s="0" t="n">
        <f aca="false">-I6*I9/100</f>
        <v>-282.644064393643</v>
      </c>
      <c r="J10" s="0" t="n">
        <f aca="false">-J6*J9/100</f>
        <v>-289.710166003484</v>
      </c>
      <c r="K10" s="0" t="n">
        <f aca="false">-K6*K9/100</f>
        <v>-296.952920153572</v>
      </c>
      <c r="L10" s="0" t="n">
        <f aca="false">-L6*L9/100</f>
        <v>-304.376743157411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9811.49778</v>
      </c>
      <c r="D11" s="0" t="n">
        <f aca="false">D8+D10+D24</f>
        <v>8370.8530128</v>
      </c>
      <c r="E11" s="0" t="n">
        <f aca="false">E8+E10+E24</f>
        <v>9009.130555026</v>
      </c>
      <c r="F11" s="0" t="n">
        <f aca="false">F8+F10+F24</f>
        <v>9926.05286691558</v>
      </c>
      <c r="G11" s="0" t="n">
        <f aca="false">G8+G10+G24</f>
        <v>10556.858376471</v>
      </c>
      <c r="H11" s="0" t="n">
        <f aca="false">H8+H10+H24</f>
        <v>11045.0714483924</v>
      </c>
      <c r="I11" s="0" t="n">
        <f aca="false">I8+I10+I24</f>
        <v>11376.4235918441</v>
      </c>
      <c r="J11" s="0" t="n">
        <f aca="false">J8+J10+J24</f>
        <v>11660.8341816402</v>
      </c>
      <c r="K11" s="0" t="n">
        <f aca="false">K8+K10+K24</f>
        <v>11952.3550361813</v>
      </c>
      <c r="L11" s="0" t="n">
        <f aca="false">L8+L10+L24</f>
        <v>12251.1639120858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9811.49778</v>
      </c>
      <c r="D13" s="0" t="n">
        <f aca="false">D11+D12</f>
        <v>8370.8530128</v>
      </c>
      <c r="E13" s="0" t="n">
        <f aca="false">E11+E12</f>
        <v>9009.130555026</v>
      </c>
      <c r="F13" s="0" t="n">
        <f aca="false">F11+F12</f>
        <v>9926.05286691558</v>
      </c>
      <c r="G13" s="0" t="n">
        <f aca="false">G11+G12</f>
        <v>10556.858376471</v>
      </c>
      <c r="H13" s="0" t="n">
        <f aca="false">H11+H12</f>
        <v>11045.0714483924</v>
      </c>
      <c r="I13" s="0" t="n">
        <f aca="false">I11+I12</f>
        <v>11376.4235918441</v>
      </c>
      <c r="J13" s="0" t="n">
        <f aca="false">J11+J12</f>
        <v>11660.8341816402</v>
      </c>
      <c r="K13" s="0" t="n">
        <f aca="false">K11+K12</f>
        <v>11952.3550361813</v>
      </c>
      <c r="L13" s="0" t="n">
        <f aca="false">L11+L12</f>
        <v>12251.1639120858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7751.0832462</v>
      </c>
      <c r="D15" s="0" t="n">
        <f aca="false">D13-MAX(0,D13)*D14/100</f>
        <v>6612.973880112</v>
      </c>
      <c r="E15" s="0" t="n">
        <f aca="false">E13-MAX(0,E13)*E14/100</f>
        <v>7117.21313847054</v>
      </c>
      <c r="F15" s="0" t="n">
        <f aca="false">F13-MAX(0,F13)*F14/100</f>
        <v>7841.58176486331</v>
      </c>
      <c r="G15" s="0" t="n">
        <f aca="false">G13-MAX(0,G13)*G14/100</f>
        <v>8339.91811741211</v>
      </c>
      <c r="H15" s="0" t="n">
        <f aca="false">H13-MAX(0,H13)*H14/100</f>
        <v>8725.60644422997</v>
      </c>
      <c r="I15" s="0" t="n">
        <f aca="false">I13-MAX(0,I13)*I14/100</f>
        <v>8987.37463755687</v>
      </c>
      <c r="J15" s="0" t="n">
        <f aca="false">J13-MAX(0,J13)*J14/100</f>
        <v>9212.0590034958</v>
      </c>
      <c r="K15" s="0" t="n">
        <f aca="false">K13-MAX(0,K13)*K14/100</f>
        <v>9442.36047858319</v>
      </c>
      <c r="L15" s="0" t="n">
        <f aca="false">L13-MAX(0,L13)*L14/100</f>
        <v>9678.41949054777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-1459.536471</v>
      </c>
      <c r="D17" s="4" t="n">
        <f aca="false">-D6*Assumptions!D18/100</f>
        <v>-501.63567687</v>
      </c>
      <c r="E17" s="4" t="n">
        <f aca="false">-E6*Assumptions!E18/100</f>
        <v>-1013.9195711754</v>
      </c>
      <c r="F17" s="4" t="n">
        <f aca="false">-F6*Assumptions!F18/100</f>
        <v>-1548.72290659693</v>
      </c>
      <c r="G17" s="4" t="n">
        <f aca="false">-G6*Assumptions!G18/100</f>
        <v>-1595.18459379483</v>
      </c>
      <c r="H17" s="4" t="n">
        <f aca="false">-H6*Assumptions!H18/100</f>
        <v>-1643.04013160868</v>
      </c>
      <c r="I17" s="4" t="n">
        <f aca="false">-I6*Assumptions!I18/100</f>
        <v>-1692.33133555694</v>
      </c>
      <c r="J17" s="4" t="n">
        <f aca="false">-J6*Assumptions!J18/100</f>
        <v>-1452.17220709247</v>
      </c>
      <c r="K17" s="4" t="n">
        <f aca="false">-K6*Assumptions!K18/100</f>
        <v>-1488.47651226978</v>
      </c>
      <c r="L17" s="4" t="n">
        <f aca="false">-L6*Assumptions!L18/100</f>
        <v>-1525.68842507652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6291.5467752</v>
      </c>
      <c r="D19" s="0" t="n">
        <f aca="false">D15+D16+D17+D18</f>
        <v>6111.338203242</v>
      </c>
      <c r="E19" s="0" t="n">
        <f aca="false">E15+E16+E17+E18</f>
        <v>6103.29356729514</v>
      </c>
      <c r="F19" s="0" t="n">
        <f aca="false">F15+F16+F17+F18</f>
        <v>6292.85885826639</v>
      </c>
      <c r="G19" s="0" t="n">
        <f aca="false">G15+G16+G17+G18</f>
        <v>6744.73352361728</v>
      </c>
      <c r="H19" s="0" t="n">
        <f aca="false">H15+H16+H17+H18</f>
        <v>7082.5663126213</v>
      </c>
      <c r="I19" s="0" t="n">
        <f aca="false">I15+I16+I17+I18</f>
        <v>7295.04330199993</v>
      </c>
      <c r="J19" s="0" t="n">
        <f aca="false">J15+J16+J17+J18</f>
        <v>7759.88679640333</v>
      </c>
      <c r="K19" s="0" t="n">
        <f aca="false">K15+K16+K17+K18</f>
        <v>7953.88396631341</v>
      </c>
      <c r="L19" s="0" t="n">
        <f aca="false">L15+L16+L17+L18</f>
        <v>8152.73106547125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5693.70748886878</v>
      </c>
      <c r="D21" s="0" t="n">
        <f aca="false">D19*D20</f>
        <v>5005.08851435638</v>
      </c>
      <c r="E21" s="0" t="n">
        <f aca="false">E19*E20</f>
        <v>4523.52948943489</v>
      </c>
      <c r="F21" s="0" t="n">
        <f aca="false">F19*F20</f>
        <v>4220.83989731476</v>
      </c>
      <c r="G21" s="0" t="n">
        <f aca="false">G19*G20</f>
        <v>4094.052483551</v>
      </c>
      <c r="H21" s="0" t="n">
        <f aca="false">H19*H20</f>
        <v>3890.60357298151</v>
      </c>
      <c r="I21" s="0" t="n">
        <f aca="false">I19*I20</f>
        <v>3626.53545716828</v>
      </c>
      <c r="J21" s="0" t="n">
        <f aca="false">J19*J20</f>
        <v>3491.05878235693</v>
      </c>
      <c r="K21" s="0" t="n">
        <f aca="false">K19*K20</f>
        <v>3238.31244517272</v>
      </c>
      <c r="L21" s="0" t="n">
        <f aca="false">L19*L20</f>
        <v>3003.86448534121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40787.5926165465</v>
      </c>
    </row>
    <row r="31" customFormat="false" ht="15" hidden="false" customHeight="false" outlineLevel="0" collapsed="false">
      <c r="A31" s="0" t="s">
        <v>138</v>
      </c>
      <c r="B31" s="0" t="n">
        <f aca="false">L19</f>
        <v>8152.73106547125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104456.86677635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105985.503851126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104456.86677635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38487.0137184342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79274.6063349807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78999.6063349807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50.7057807028117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-0.118313672355908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1598.20189004717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1436.88682913699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52.6538479166655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66852.3947368642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32.0433622677152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29583</v>
      </c>
      <c r="C6" s="0" t="n">
        <f aca="false">B6*(1+C5/100)</f>
        <v>31062.15</v>
      </c>
      <c r="D6" s="0" t="n">
        <f aca="false">C6*(1+D5/100)</f>
        <v>32615.2575</v>
      </c>
      <c r="E6" s="0" t="n">
        <f aca="false">D6*(1+E5/100)</f>
        <v>34082.9440875</v>
      </c>
      <c r="F6" s="0" t="n">
        <f aca="false">E6*(1+F5/100)</f>
        <v>35616.6765714375</v>
      </c>
      <c r="G6" s="0" t="n">
        <f aca="false">F6*(1+G5/100)</f>
        <v>37041.343634295</v>
      </c>
      <c r="H6" s="0" t="n">
        <f aca="false">G6*(1+H5/100)</f>
        <v>38522.9973796668</v>
      </c>
      <c r="I6" s="0" t="n">
        <f aca="false">H6*(1+I5/100)</f>
        <v>39871.3022879551</v>
      </c>
      <c r="J6" s="0" t="n">
        <f aca="false">I6*(1+J5/100)</f>
        <v>41266.7978680336</v>
      </c>
      <c r="K6" s="0" t="n">
        <f aca="false">J6*(1+K5/100)</f>
        <v>42504.8018040746</v>
      </c>
      <c r="L6" s="0" t="n">
        <f aca="false">K6*(1+L5/100)</f>
        <v>43779.9458581968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34.6</v>
      </c>
      <c r="D7" s="4" t="n">
        <f aca="false">Assumptions!D28</f>
        <v>35.3</v>
      </c>
      <c r="E7" s="4" t="n">
        <f aca="false">Assumptions!E28</f>
        <v>35.8</v>
      </c>
      <c r="F7" s="4" t="n">
        <f aca="false">Assumptions!F28</f>
        <v>36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10747.5039</v>
      </c>
      <c r="D8" s="0" t="n">
        <f aca="false">D6*D7/100</f>
        <v>11513.1858975</v>
      </c>
      <c r="E8" s="0" t="n">
        <f aca="false">E6*E7/100</f>
        <v>12201.693983325</v>
      </c>
      <c r="F8" s="0" t="n">
        <f aca="false">F6*F7/100</f>
        <v>12822.0035657175</v>
      </c>
      <c r="G8" s="0" t="n">
        <f aca="false">G6*G7/100</f>
        <v>13334.8837083462</v>
      </c>
      <c r="H8" s="0" t="n">
        <f aca="false">H6*H7/100</f>
        <v>13868.27905668</v>
      </c>
      <c r="I8" s="0" t="n">
        <f aca="false">I6*I7/100</f>
        <v>14353.6688236639</v>
      </c>
      <c r="J8" s="0" t="n">
        <f aca="false">J6*J7/100</f>
        <v>14856.0472324921</v>
      </c>
      <c r="K8" s="0" t="n">
        <f aca="false">K6*K7/100</f>
        <v>15301.7286494668</v>
      </c>
      <c r="L8" s="0" t="n">
        <f aca="false">L6*L7/100</f>
        <v>15760.7805089509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-248.4972</v>
      </c>
      <c r="D10" s="0" t="n">
        <f aca="false">-D6*D9/100</f>
        <v>-260.92206</v>
      </c>
      <c r="E10" s="0" t="n">
        <f aca="false">-E6*E9/100</f>
        <v>-272.6635527</v>
      </c>
      <c r="F10" s="0" t="n">
        <f aca="false">-F6*F9/100</f>
        <v>-284.9334125715</v>
      </c>
      <c r="G10" s="0" t="n">
        <f aca="false">-G6*G9/100</f>
        <v>-296.33074907436</v>
      </c>
      <c r="H10" s="0" t="n">
        <f aca="false">-H6*H9/100</f>
        <v>-308.183979037334</v>
      </c>
      <c r="I10" s="0" t="n">
        <f aca="false">-I6*I9/100</f>
        <v>-318.970418303641</v>
      </c>
      <c r="J10" s="0" t="n">
        <f aca="false">-J6*J9/100</f>
        <v>-330.134382944269</v>
      </c>
      <c r="K10" s="0" t="n">
        <f aca="false">-K6*K9/100</f>
        <v>-340.038414432597</v>
      </c>
      <c r="L10" s="0" t="n">
        <f aca="false">-L6*L9/100</f>
        <v>-350.239566865575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10499.0067</v>
      </c>
      <c r="D11" s="0" t="n">
        <f aca="false">D8+D10+D24</f>
        <v>11252.2638375</v>
      </c>
      <c r="E11" s="0" t="n">
        <f aca="false">E8+E10+E24</f>
        <v>11929.030430625</v>
      </c>
      <c r="F11" s="0" t="n">
        <f aca="false">F8+F10+F24</f>
        <v>12537.070153146</v>
      </c>
      <c r="G11" s="0" t="n">
        <f aca="false">G8+G10+G24</f>
        <v>13038.5529592718</v>
      </c>
      <c r="H11" s="0" t="n">
        <f aca="false">H8+H10+H24</f>
        <v>13560.0950776427</v>
      </c>
      <c r="I11" s="0" t="n">
        <f aca="false">I8+I10+I24</f>
        <v>14034.6984053602</v>
      </c>
      <c r="J11" s="0" t="n">
        <f aca="false">J8+J10+J24</f>
        <v>14525.9128495478</v>
      </c>
      <c r="K11" s="0" t="n">
        <f aca="false">K8+K10+K24</f>
        <v>14961.6902350343</v>
      </c>
      <c r="L11" s="0" t="n">
        <f aca="false">L8+L10+L24</f>
        <v>15410.5409420853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10499.0067</v>
      </c>
      <c r="D13" s="0" t="n">
        <f aca="false">D11+D12</f>
        <v>11252.2638375</v>
      </c>
      <c r="E13" s="0" t="n">
        <f aca="false">E11+E12</f>
        <v>11929.030430625</v>
      </c>
      <c r="F13" s="0" t="n">
        <f aca="false">F11+F12</f>
        <v>12537.070153146</v>
      </c>
      <c r="G13" s="0" t="n">
        <f aca="false">G11+G12</f>
        <v>13038.5529592718</v>
      </c>
      <c r="H13" s="0" t="n">
        <f aca="false">H11+H12</f>
        <v>13560.0950776427</v>
      </c>
      <c r="I13" s="0" t="n">
        <f aca="false">I11+I12</f>
        <v>14034.6984053602</v>
      </c>
      <c r="J13" s="0" t="n">
        <f aca="false">J11+J12</f>
        <v>14525.9128495478</v>
      </c>
      <c r="K13" s="0" t="n">
        <f aca="false">K11+K12</f>
        <v>14961.6902350343</v>
      </c>
      <c r="L13" s="0" t="n">
        <f aca="false">L11+L12</f>
        <v>15410.5409420853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8399.20536</v>
      </c>
      <c r="D15" s="0" t="n">
        <f aca="false">D13-MAX(0,D13)*D14/100</f>
        <v>9001.81107</v>
      </c>
      <c r="E15" s="0" t="n">
        <f aca="false">E13-MAX(0,E13)*E14/100</f>
        <v>9543.2243445</v>
      </c>
      <c r="F15" s="0" t="n">
        <f aca="false">F13-MAX(0,F13)*F14/100</f>
        <v>10029.6561225168</v>
      </c>
      <c r="G15" s="0" t="n">
        <f aca="false">G13-MAX(0,G13)*G14/100</f>
        <v>10430.8423674175</v>
      </c>
      <c r="H15" s="0" t="n">
        <f aca="false">H13-MAX(0,H13)*H14/100</f>
        <v>10848.0760621142</v>
      </c>
      <c r="I15" s="0" t="n">
        <f aca="false">I13-MAX(0,I13)*I14/100</f>
        <v>11227.7587242882</v>
      </c>
      <c r="J15" s="0" t="n">
        <f aca="false">J13-MAX(0,J13)*J14/100</f>
        <v>11620.7302796383</v>
      </c>
      <c r="K15" s="0" t="n">
        <f aca="false">K13-MAX(0,K13)*K14/100</f>
        <v>11969.3521880274</v>
      </c>
      <c r="L15" s="0" t="n">
        <f aca="false">L13-MAX(0,L13)*L14/100</f>
        <v>12328.4327536682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-2435.27256</v>
      </c>
      <c r="D17" s="4" t="n">
        <f aca="false">-D6*Assumptions!D32/100</f>
        <v>-2557.036188</v>
      </c>
      <c r="E17" s="4" t="n">
        <f aca="false">-E6*Assumptions!E32/100</f>
        <v>-2416.48073580375</v>
      </c>
      <c r="F17" s="4" t="n">
        <f aca="false">-F6*Assumptions!F32/100</f>
        <v>-2525.22236891492</v>
      </c>
      <c r="G17" s="4" t="n">
        <f aca="false">-G6*Assumptions!G32/100</f>
        <v>-2344.71705205087</v>
      </c>
      <c r="H17" s="4" t="n">
        <f aca="false">-H6*Assumptions!H32/100</f>
        <v>-2438.50573413291</v>
      </c>
      <c r="I17" s="4" t="n">
        <f aca="false">-I6*Assumptions!I32/100</f>
        <v>-2220.8315374391</v>
      </c>
      <c r="J17" s="4" t="n">
        <f aca="false">-J6*Assumptions!J32/100</f>
        <v>-2298.56064124947</v>
      </c>
      <c r="K17" s="4" t="n">
        <f aca="false">-K6*Assumptions!K32/100</f>
        <v>-2035.98000641517</v>
      </c>
      <c r="L17" s="4" t="n">
        <f aca="false">-L6*Assumptions!L32/100</f>
        <v>-2097.05940660763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5963.9328</v>
      </c>
      <c r="D19" s="0" t="n">
        <f aca="false">D15+D16+D17+D18</f>
        <v>6444.774882</v>
      </c>
      <c r="E19" s="0" t="n">
        <f aca="false">E15+E16+E17+E18</f>
        <v>7126.74360869625</v>
      </c>
      <c r="F19" s="0" t="n">
        <f aca="false">F15+F16+F17+F18</f>
        <v>7504.43375360188</v>
      </c>
      <c r="G19" s="0" t="n">
        <f aca="false">G15+G16+G17+G18</f>
        <v>8086.1253153666</v>
      </c>
      <c r="H19" s="0" t="n">
        <f aca="false">H15+H16+H17+H18</f>
        <v>8409.57032798126</v>
      </c>
      <c r="I19" s="0" t="n">
        <f aca="false">I15+I16+I17+I18</f>
        <v>9006.92718684907</v>
      </c>
      <c r="J19" s="0" t="n">
        <f aca="false">J15+J16+J17+J18</f>
        <v>9322.16963838878</v>
      </c>
      <c r="K19" s="0" t="n">
        <f aca="false">K15+K16+K17+K18</f>
        <v>9933.37218161223</v>
      </c>
      <c r="L19" s="0" t="n">
        <f aca="false">L15+L16+L17+L18</f>
        <v>10231.3733470606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5421.75709090909</v>
      </c>
      <c r="D21" s="0" t="n">
        <f aca="false">D19*D20</f>
        <v>5326.26023305785</v>
      </c>
      <c r="E21" s="0" t="n">
        <f aca="false">E19*E20</f>
        <v>5354.42795544421</v>
      </c>
      <c r="F21" s="0" t="n">
        <f aca="false">F19*F20</f>
        <v>5125.62922860589</v>
      </c>
      <c r="G21" s="0" t="n">
        <f aca="false">G19*G20</f>
        <v>5020.84762923956</v>
      </c>
      <c r="H21" s="0" t="n">
        <f aca="false">H19*H20</f>
        <v>4746.98321309922</v>
      </c>
      <c r="I21" s="0" t="n">
        <f aca="false">I19*I20</f>
        <v>4621.97780624446</v>
      </c>
      <c r="J21" s="0" t="n">
        <f aca="false">J19*J20</f>
        <v>4348.86093587547</v>
      </c>
      <c r="K21" s="0" t="n">
        <f aca="false">K19*K20</f>
        <v>4212.71948462924</v>
      </c>
      <c r="L21" s="0" t="n">
        <f aca="false">L19*L20</f>
        <v>3944.63733560738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48124.1009127124</v>
      </c>
    </row>
    <row r="31" customFormat="false" ht="15" hidden="false" customHeight="false" outlineLevel="0" collapsed="false">
      <c r="A31" s="0" t="s">
        <v>138</v>
      </c>
      <c r="B31" s="0" t="n">
        <f aca="false">L19</f>
        <v>10231.3733470606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150547.350678177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153470.600205909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150547.350678177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58042.5207953657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106166.621708078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105891.621708078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67.9663810706534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0.1818184849705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1795.90841380096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1986.90700198085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70.3943755608857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87819.2878956035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38.4534919529516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29583</v>
      </c>
      <c r="C6" s="0" t="n">
        <f aca="false">B6*(1+C5/100)</f>
        <v>31357.98</v>
      </c>
      <c r="D6" s="0" t="n">
        <f aca="false">C6*(1+D5/100)</f>
        <v>33239.4588</v>
      </c>
      <c r="E6" s="0" t="n">
        <f aca="false">D6*(1+E5/100)</f>
        <v>35067.629034</v>
      </c>
      <c r="F6" s="0" t="n">
        <f aca="false">E6*(1+F5/100)</f>
        <v>36821.0104857</v>
      </c>
      <c r="G6" s="0" t="n">
        <f aca="false">F6*(1+G5/100)</f>
        <v>38662.061009985</v>
      </c>
      <c r="H6" s="0" t="n">
        <f aca="false">G6*(1+H5/100)</f>
        <v>40401.8537554343</v>
      </c>
      <c r="I6" s="0" t="n">
        <f aca="false">H6*(1+I5/100)</f>
        <v>42017.9279056517</v>
      </c>
      <c r="J6" s="0" t="n">
        <f aca="false">I6*(1+J5/100)</f>
        <v>43698.6450218778</v>
      </c>
      <c r="K6" s="0" t="n">
        <f aca="false">J6*(1+K5/100)</f>
        <v>45228.0975976435</v>
      </c>
      <c r="L6" s="0" t="n">
        <f aca="false">K6*(1+L5/100)</f>
        <v>46811.081013561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35</v>
      </c>
      <c r="D7" s="4" t="n">
        <f aca="false">Assumptions!D42</f>
        <v>36</v>
      </c>
      <c r="E7" s="4" t="n">
        <f aca="false">Assumptions!E42</f>
        <v>36.8</v>
      </c>
      <c r="F7" s="4" t="n">
        <f aca="false">Assumptions!F42</f>
        <v>37.3</v>
      </c>
      <c r="G7" s="4" t="n">
        <f aca="false">Assumptions!G42</f>
        <v>37.5</v>
      </c>
      <c r="H7" s="4" t="n">
        <f aca="false">Assumptions!H42</f>
        <v>37.5</v>
      </c>
      <c r="I7" s="4" t="n">
        <f aca="false">Assumptions!I42</f>
        <v>37.5</v>
      </c>
      <c r="J7" s="4" t="n">
        <f aca="false">Assumptions!J42</f>
        <v>37.5</v>
      </c>
      <c r="K7" s="4" t="n">
        <f aca="false">Assumptions!K42</f>
        <v>37.5</v>
      </c>
      <c r="L7" s="4" t="n">
        <f aca="false">Assumptions!L42</f>
        <v>37.5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10975.293</v>
      </c>
      <c r="D8" s="0" t="n">
        <f aca="false">D6*D7/100</f>
        <v>11966.205168</v>
      </c>
      <c r="E8" s="0" t="n">
        <f aca="false">E6*E7/100</f>
        <v>12904.887484512</v>
      </c>
      <c r="F8" s="0" t="n">
        <f aca="false">F6*F7/100</f>
        <v>13734.2369111661</v>
      </c>
      <c r="G8" s="0" t="n">
        <f aca="false">G6*G7/100</f>
        <v>14498.2728787444</v>
      </c>
      <c r="H8" s="0" t="n">
        <f aca="false">H6*H7/100</f>
        <v>15150.6951582879</v>
      </c>
      <c r="I8" s="0" t="n">
        <f aca="false">I6*I7/100</f>
        <v>15756.7229646194</v>
      </c>
      <c r="J8" s="0" t="n">
        <f aca="false">J6*J7/100</f>
        <v>16386.9918832042</v>
      </c>
      <c r="K8" s="0" t="n">
        <f aca="false">K6*K7/100</f>
        <v>16960.5365991163</v>
      </c>
      <c r="L8" s="0" t="n">
        <f aca="false">L6*L7/100</f>
        <v>17554.1553800854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-250.86384</v>
      </c>
      <c r="D10" s="0" t="n">
        <f aca="false">-D6*D9/100</f>
        <v>-265.9156704</v>
      </c>
      <c r="E10" s="0" t="n">
        <f aca="false">-E6*E9/100</f>
        <v>-280.541032272</v>
      </c>
      <c r="F10" s="0" t="n">
        <f aca="false">-F6*F9/100</f>
        <v>-294.5680838856</v>
      </c>
      <c r="G10" s="0" t="n">
        <f aca="false">-G6*G9/100</f>
        <v>-309.29648807988</v>
      </c>
      <c r="H10" s="0" t="n">
        <f aca="false">-H6*H9/100</f>
        <v>-323.214830043475</v>
      </c>
      <c r="I10" s="0" t="n">
        <f aca="false">-I6*I9/100</f>
        <v>-336.143423245214</v>
      </c>
      <c r="J10" s="0" t="n">
        <f aca="false">-J6*J9/100</f>
        <v>-349.589160175022</v>
      </c>
      <c r="K10" s="0" t="n">
        <f aca="false">-K6*K9/100</f>
        <v>-361.824780781148</v>
      </c>
      <c r="L10" s="0" t="n">
        <f aca="false">-L6*L9/100</f>
        <v>-374.488648108488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10724.42916</v>
      </c>
      <c r="D11" s="0" t="n">
        <f aca="false">D8+D10+D24</f>
        <v>11700.2894976</v>
      </c>
      <c r="E11" s="0" t="n">
        <f aca="false">E8+E10+E24</f>
        <v>12624.34645224</v>
      </c>
      <c r="F11" s="0" t="n">
        <f aca="false">F8+F10+F24</f>
        <v>13439.6688272805</v>
      </c>
      <c r="G11" s="0" t="n">
        <f aca="false">G8+G10+G24</f>
        <v>14188.9763906645</v>
      </c>
      <c r="H11" s="0" t="n">
        <f aca="false">H8+H10+H24</f>
        <v>14827.4803282444</v>
      </c>
      <c r="I11" s="0" t="n">
        <f aca="false">I8+I10+I24</f>
        <v>15420.5795413742</v>
      </c>
      <c r="J11" s="0" t="n">
        <f aca="false">J8+J10+J24</f>
        <v>16037.4027230291</v>
      </c>
      <c r="K11" s="0" t="n">
        <f aca="false">K8+K10+K24</f>
        <v>16598.7118183352</v>
      </c>
      <c r="L11" s="0" t="n">
        <f aca="false">L8+L10+L24</f>
        <v>17179.6667319769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10724.42916</v>
      </c>
      <c r="D13" s="0" t="n">
        <f aca="false">D11+D12</f>
        <v>11700.2894976</v>
      </c>
      <c r="E13" s="0" t="n">
        <f aca="false">E11+E12</f>
        <v>12624.34645224</v>
      </c>
      <c r="F13" s="0" t="n">
        <f aca="false">F11+F12</f>
        <v>13439.6688272805</v>
      </c>
      <c r="G13" s="0" t="n">
        <f aca="false">G11+G12</f>
        <v>14188.9763906645</v>
      </c>
      <c r="H13" s="0" t="n">
        <f aca="false">H11+H12</f>
        <v>14827.4803282444</v>
      </c>
      <c r="I13" s="0" t="n">
        <f aca="false">I11+I12</f>
        <v>15420.5795413742</v>
      </c>
      <c r="J13" s="0" t="n">
        <f aca="false">J11+J12</f>
        <v>16037.4027230291</v>
      </c>
      <c r="K13" s="0" t="n">
        <f aca="false">K11+K12</f>
        <v>16598.7118183352</v>
      </c>
      <c r="L13" s="0" t="n">
        <f aca="false">L11+L12</f>
        <v>17179.6667319769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8579.543328</v>
      </c>
      <c r="D15" s="0" t="n">
        <f aca="false">D13-MAX(0,D13)*D14/100</f>
        <v>9360.23159808</v>
      </c>
      <c r="E15" s="0" t="n">
        <f aca="false">E13-MAX(0,E13)*E14/100</f>
        <v>10099.477161792</v>
      </c>
      <c r="F15" s="0" t="n">
        <f aca="false">F13-MAX(0,F13)*F14/100</f>
        <v>10751.7350618244</v>
      </c>
      <c r="G15" s="0" t="n">
        <f aca="false">G13-MAX(0,G13)*G14/100</f>
        <v>11351.1811125316</v>
      </c>
      <c r="H15" s="0" t="n">
        <f aca="false">H13-MAX(0,H13)*H14/100</f>
        <v>11861.9842625955</v>
      </c>
      <c r="I15" s="0" t="n">
        <f aca="false">I13-MAX(0,I13)*I14/100</f>
        <v>12336.4636330993</v>
      </c>
      <c r="J15" s="0" t="n">
        <f aca="false">J13-MAX(0,J13)*J14/100</f>
        <v>12829.9221784233</v>
      </c>
      <c r="K15" s="0" t="n">
        <f aca="false">K13-MAX(0,K13)*K14/100</f>
        <v>13278.9694546681</v>
      </c>
      <c r="L15" s="0" t="n">
        <f aca="false">L13-MAX(0,L13)*L14/100</f>
        <v>13743.7333855815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-2922.563736</v>
      </c>
      <c r="D17" s="4" t="n">
        <f aca="false">-D6*Assumptions!D46/100</f>
        <v>-3097.91756016</v>
      </c>
      <c r="E17" s="4" t="n">
        <f aca="false">-E6*Assumptions!E46/100</f>
        <v>-3008.8025711172</v>
      </c>
      <c r="F17" s="4" t="n">
        <f aca="false">-F6*Assumptions!F46/100</f>
        <v>-2886.76722207888</v>
      </c>
      <c r="G17" s="4" t="n">
        <f aca="false">-G6*Assumptions!G46/100</f>
        <v>-3031.10558318283</v>
      </c>
      <c r="H17" s="4" t="n">
        <f aca="false">-H6*Assumptions!H46/100</f>
        <v>-2864.49143126029</v>
      </c>
      <c r="I17" s="4" t="n">
        <f aca="false">-I6*Assumptions!I46/100</f>
        <v>-2659.73483642775</v>
      </c>
      <c r="J17" s="4" t="n">
        <f aca="false">-J6*Assumptions!J46/100</f>
        <v>-2766.12422988486</v>
      </c>
      <c r="K17" s="4" t="n">
        <f aca="false">-K6*Assumptions!K46/100</f>
        <v>-2519.20503618874</v>
      </c>
      <c r="L17" s="4" t="n">
        <f aca="false">-L6*Assumptions!L46/100</f>
        <v>-2607.37721245535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5656.979592</v>
      </c>
      <c r="D19" s="0" t="n">
        <f aca="false">D15+D16+D17+D18</f>
        <v>6262.31403792</v>
      </c>
      <c r="E19" s="0" t="n">
        <f aca="false">E15+E16+E17+E18</f>
        <v>7090.6745906748</v>
      </c>
      <c r="F19" s="0" t="n">
        <f aca="false">F15+F16+F17+F18</f>
        <v>7864.96783974552</v>
      </c>
      <c r="G19" s="0" t="n">
        <f aca="false">G15+G16+G17+G18</f>
        <v>8320.07552934877</v>
      </c>
      <c r="H19" s="0" t="n">
        <f aca="false">H15+H16+H17+H18</f>
        <v>8997.49283133523</v>
      </c>
      <c r="I19" s="0" t="n">
        <f aca="false">I15+I16+I17+I18</f>
        <v>9676.72879667159</v>
      </c>
      <c r="J19" s="0" t="n">
        <f aca="false">J15+J16+J17+J18</f>
        <v>10063.7979485385</v>
      </c>
      <c r="K19" s="0" t="n">
        <f aca="false">K15+K16+K17+K18</f>
        <v>10759.7644184794</v>
      </c>
      <c r="L19" s="0" t="n">
        <f aca="false">L15+L16+L17+L18</f>
        <v>11136.3561731262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5154.42331845103</v>
      </c>
      <c r="D21" s="0" t="n">
        <f aca="false">D19*D20</f>
        <v>5199.07143522087</v>
      </c>
      <c r="E21" s="0" t="n">
        <f aca="false">E19*E20</f>
        <v>5363.81719519246</v>
      </c>
      <c r="F21" s="0" t="n">
        <f aca="false">F19*F20</f>
        <v>5420.99286228599</v>
      </c>
      <c r="G21" s="0" t="n">
        <f aca="false">G19*G20</f>
        <v>5225.2205265719</v>
      </c>
      <c r="H21" s="0" t="n">
        <f aca="false">H19*H20</f>
        <v>5148.66145080744</v>
      </c>
      <c r="I21" s="0" t="n">
        <f aca="false">I19*I20</f>
        <v>5045.41468764803</v>
      </c>
      <c r="J21" s="0" t="n">
        <f aca="false">J19*J20</f>
        <v>4781.07633271431</v>
      </c>
      <c r="K21" s="0" t="n">
        <f aca="false">K19*K20</f>
        <v>4657.59800928008</v>
      </c>
      <c r="L21" s="0" t="n">
        <f aca="false">L19*L20</f>
        <v>4392.35894269238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9.75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50388.6347608645</v>
      </c>
    </row>
    <row r="31" customFormat="false" ht="15" hidden="false" customHeight="false" outlineLevel="0" collapsed="false">
      <c r="A31" s="0" t="s">
        <v>138</v>
      </c>
      <c r="B31" s="0" t="n">
        <f aca="false">L19</f>
        <v>11136.3561731262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184418.058226969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178181.698770019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178181.698770019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70277.7430830781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120666.377843943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120391.377843943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77.2730281411698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0.343645072877236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1889.47076055209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2445.98450074774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80.0557337004123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100227.205558136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41.1286706053311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50.7057807028117</v>
      </c>
      <c r="C4" s="0" t="n">
        <f aca="false">B4/Assumptions!$B$2-1</f>
        <v>-0.118313672355908</v>
      </c>
      <c r="D4" s="4" t="n">
        <f aca="false">Assumptions!$B$24</f>
        <v>0.2</v>
      </c>
      <c r="E4" s="4" t="n">
        <f aca="false">DCF_Bear!$B$43</f>
        <v>52.6538479166655</v>
      </c>
      <c r="F4" s="4" t="n">
        <f aca="false">DCF_Bear!$B$47</f>
        <v>32.0433622677152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67.9663810706534</v>
      </c>
      <c r="C5" s="0" t="n">
        <f aca="false">B5/Assumptions!$B$2-1</f>
        <v>0.1818184849705</v>
      </c>
      <c r="D5" s="4" t="n">
        <f aca="false">Assumptions!$B$38</f>
        <v>0.55</v>
      </c>
      <c r="E5" s="4" t="n">
        <f aca="false">DCF_Base!$B$43</f>
        <v>70.3943755608857</v>
      </c>
      <c r="F5" s="4" t="n">
        <f aca="false">DCF_Base!$B$47</f>
        <v>38.4534919529516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77.2730281411698</v>
      </c>
      <c r="C6" s="0" t="n">
        <f aca="false">B6/Assumptions!$B$2-1</f>
        <v>0.343645072877236</v>
      </c>
      <c r="D6" s="4" t="n">
        <f aca="false">Assumptions!$B$52</f>
        <v>0.25</v>
      </c>
      <c r="E6" s="4" t="n">
        <f aca="false">DCF_Bull!$B$43</f>
        <v>80.0557337004123</v>
      </c>
      <c r="F6" s="4" t="n">
        <f aca="false">DCF_Bull!$B$47</f>
        <v>41.1286706053311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66.8409227647142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69.2616095669233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0.139598951940862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-385.465924637539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37.8402606789992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73.8375236882022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67.9663810706534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59.0761811730162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52.178850218048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38.4534919529516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79.4836041095472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79.4836041095472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79.4836041095472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79.4836041095472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79.4836041095472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72.6486801146144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73.8375236882022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73.8375236882022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73.8375236882022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73.8375236882022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62.993085328438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65.3139566748052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67.9663810706534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68.6897695422484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68.6897695422484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55.5106258962961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57.1885342618114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59.0761811730162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61.2155143390482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63.6604665287991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49.5476023231119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50.7939829049238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52.178850218048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53.7266430974222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55.4679100867182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2026-10-02T21:23:06Z</dcterms:created>
  <dc:creator>openpyxl</dc:creator>
  <dc:description/>
  <dc:language>en-NZ</dc:language>
  <cp:lastModifiedBy/>
  <dcterms:modified xsi:type="dcterms:W3CDTF">2026-10-02T21:23:06Z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