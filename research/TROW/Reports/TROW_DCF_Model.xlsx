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<sst xmlns="http://schemas.openxmlformats.org/spreadsheetml/2006/main" count="389" uniqueCount="174">
  <si>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</si>
  <si>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TROW</t>
  </si>
  <si>
    <t xml:space="preserve">Company</t>
  </si>
  <si>
    <t xml:space="preserve">T. Rowe Price 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</si>
  <si>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</si>
  <si>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</si>
  <si>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</si>
  <si>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</si>
  <si>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</si>
  <si>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</si>
  <si>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</si>
  <si>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</si>
  <si>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</si>
  <si>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</si>
  <si>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</si>
  <si>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</si>
  <si>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</si>
  <si>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</si>
  <si>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</si>
  <si>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</si>
  <si>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</si>
  <si>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2026-10-02T09:46:41Z</t>
  </si>
  <si>
    <t xml:space="preserve">Drivers file</t>
  </si>
  <si>
    <t xml:space="preserve">TROW_Drivers.json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</si>
  <si>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</si>
  <si>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</si>
  <si>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</si>
  <si>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TROW is valued as a debt-free fee-stream operating business: adjusted operating income (excluding consolidated funds, deferred-comp marks and acquisition amortization) built up to adjusted EBITDA, SBC fully expensed, capex at ~3.6% of revenue, discounted at a 10% cost of equity. The ~$30/share of attributable cash and investments is added separately and all income on it is excluded from the flows. The market price sits close to a no-growth value of the fee stream plus the investment portfolio, i.e. it already discounts a slow melt; the debate is whether outflows and fee compression outrun market appreciation.
key_risks_to_valuation: Equity-market drawdown: revenue tracks AUM with roughly one-quarter lag, and costs are sticky in the short run; Net outflows accelerate (equity mutual funds, target-date recordkeeper/default-option losses); Effective fee rate decline faster than the ~1-1.5%/yr assumed; OHA private-credit losses or valuation marks on the $751M affiliated-fund and seed exposure; Bridge relies on carrying values of seed/private-fund/UTI investments, not a realisation value net of tax</t>
  </si>
  <si>
    <t xml:space="preserve">Data sources</t>
  </si>
  <si>
    <t xml:space="preserve">price: Yahoo Finance chart API at inputs.price_as_of; 52-week range 85.22-122.00
financials: SEC XBRL companyfacts (CIK 1113169) for the Metrics.csv history; FY2025 10-K (0001628280-26-008002) for cash flow statement, attributable OCF, non-GAAP opex and D&amp;A; Q2-2026 10-Q (0001628280-26-051335) for the liquidity/investments table, H1-26 adjusted opex, AUM and share count
qualitative: TROW_Analysis.json (Q2-2026 earnings call guidance: adjusted opex +4-7% FY26, tax rate 24-27%, H2 flows weaker)</t>
  </si>
  <si>
    <t xml:space="preserve">Scenario narrative: bear</t>
  </si>
  <si>
    <t xml:space="preserve">A ~20% equity drawdown in 2027 hits a business that is ~60% equity-beta through AUM, while net outflows accelerate (equity redemptions plus a recordkeeper or plan-sponsor default-option loss in target-date, the concentration risk flagged in the analysis). Revenue falls 10% and never recovers its trend as fee compression and passive share gains continue (-1%/yr), and costs prove sticky so adjusted EBITDA margin compresses to ~35%. Terminal growth zero: a melting active franchise, cash-generative but shrinking.</t>
  </si>
  <si>
    <t xml:space="preserve">Scenario narrative: base</t>
  </si>
  <si>
    <t xml:space="preserve">Active-to-passive keeps bleeding the equity mutual-fund franchise (H1-26 net outflows $20.2B, management guiding H2 flows 'meaningfully more challenging'), target-date (~33% of AUM, $622B) stays roughly flow-neutral-to-positive, and ETFs/SMAs/OHA alternatives grow but are too small to turn aggregate flows. Market appreciation roughly offsets outflows plus fee-rate decay, so revenue grows ~2% a year after a market-driven FY26, and the expense program holds adjusted operating margin in the mid-30s rather than defending the 36-37% of 2026. The dividend and buyback are funded comfortably from ~$2B of owner FCF.</t>
  </si>
  <si>
    <t xml:space="preserve">Scenario narrative: bull</t>
  </si>
  <si>
    <t xml:space="preserve">Flows turn: the ETF platform (~$30B, $4.4B Q2 inflows), SMAs and OHA's wealth-channel credit products (OFLEX, the Goldman private-markets fund) scale while equity outflows moderate as relative performance recovers; target-date keeps compounding with the DC market. Fee-rate decline slows as alternatives (higher fee) offset CIT mix shift, revenue grows 4-6% for five years, and operating leverage on a restructured cost base lifts adjusted EBITDA margin to ~45%, close to the pre-2022 run-rate.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</si>
  <si>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</si>
  <si>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</si>
  <si>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</si>
  <si>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</si>
  <si>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</si>
  <si>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</si>
  <si>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</si>
  <si>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</si>
  <si>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</si>
  <si>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</si>
  <si>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</si>
  <si>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</si>
  <si>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</si>
  <si>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</si>
  <si>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</si>
  <si>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</si>
  <si>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</si>
  <si>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</si>
  <si>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</si>
  <si>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</si>
  <si>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</si>
  <si>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</si>
  <si>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</si>
  <si>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</si>
  <si>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</si>
  <si>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</si>
  <si>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</si>
  <si>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</si>
  <si>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</si>
  <si>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</si>
  <si>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</si>
  <si>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</si>
  <si>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</si>
  <si>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</si>
  <si>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</si>
  <si>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</si>
  <si>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</si>
  <si>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</si>
  <si>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</si>
  <si>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</si>
  <si>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</si>
  <si>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</si>
  <si>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</si>
  <si>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</si>
  <si>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</si>
  <si>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</si>
  <si>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</si>
  <si>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</si>
  <si>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</si>
  <si>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</si>
  <si>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</si>
  <si>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</si>
  <si>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</si>
  <si>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</si>
  <si>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</si>
  <si>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</si>
  <si>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</si>
  <si>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</si>
  <si>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</si>
  <si>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</si>
  <si>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</si>
  <si>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</si>
  <si>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</si>
  <si>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</si>
  <si>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</si>
  <si>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</si>
  <si>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</si>
  <si>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</si>
  <si>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</si>
  <si>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</si>
  <si>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</si>
  <si>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</si>
  <si>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</si>
  <si>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</si>
  <si>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</si>
  <si>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</si>
  <si>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</si>
  <si>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</si>
  <si>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</si>
  <si>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</si>
  <si>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</si>
  <si>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</si>
  <si>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</si>
  <si>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</si>
  <si>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TROW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</si>
  <si>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</si>
  <si>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</si>
  <si>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</si>
  <si>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</si>
  <si>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</si>
  <si>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</si>
  <si>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</si>
  <si>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</si>
  <si>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</si>
  <si>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</si>
  <si>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</si>
  <si>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</si>
  <si>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</si>
  <si>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</si>
  <si>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</si>
  <si>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</si>
  <si>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</si>
  <si>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</si>
  <si>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</si>
  <si>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</si>
  <si>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</si>
  <si>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</si>
  <si>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</si>
  <si>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</si>
  <si>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</si>
  <si>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</si>
  <si>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</si>
  <si>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</si>
  <si>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</si>
  <si>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</si>
  <si>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TROW owner-FCF component DCF: base case (millions, USD)</t>
  </si>
  <si>
    <t xml:space="preserve">TROW owner-FCF component DCF: bull case (millions, USD)</t>
  </si>
  <si>
    <t xml:space="preserve">TROW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</si>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</sst>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105.83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2426.9</v>
      </c>
      <c r="S2" s="0" t="n">
        <v>733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2233.1</v>
      </c>
      <c r="D3" s="0" t="n">
        <v>2228.3</v>
      </c>
      <c r="E3" s="0" t="n">
        <v>99.7850521696297</v>
      </c>
      <c r="F3" s="0" t="n">
        <v>996.4</v>
      </c>
      <c r="G3" s="0" t="n">
        <v>44.6195871210425</v>
      </c>
      <c r="I3" s="0" t="n">
        <v>670.6</v>
      </c>
      <c r="J3" s="0" t="n">
        <v>30.0300031346559</v>
      </c>
      <c r="K3" s="0" t="n">
        <v>2.53</v>
      </c>
      <c r="L3" s="0" t="n">
        <v>758</v>
      </c>
      <c r="M3" s="0" t="n">
        <v>145.6</v>
      </c>
      <c r="N3" s="0" t="n">
        <v>612.4</v>
      </c>
      <c r="O3" s="0" t="n">
        <v>2777.1</v>
      </c>
      <c r="S3" s="0" t="n">
        <v>785.1</v>
      </c>
      <c r="T3" s="0" t="n">
        <v>279.1</v>
      </c>
      <c r="U3" s="0" t="n">
        <v>79.8</v>
      </c>
      <c r="V3" s="0" t="n">
        <v>0.75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2121.3</v>
      </c>
      <c r="D4" s="0" t="n">
        <v>2116.3</v>
      </c>
      <c r="E4" s="0" t="n">
        <v>99.7642954791873</v>
      </c>
      <c r="F4" s="0" t="n">
        <v>848.5</v>
      </c>
      <c r="G4" s="0" t="n">
        <v>39.9990571819168</v>
      </c>
      <c r="I4" s="0" t="n">
        <v>490.8</v>
      </c>
      <c r="J4" s="0" t="n">
        <v>23.1367557629755</v>
      </c>
      <c r="K4" s="0" t="n">
        <v>1.89</v>
      </c>
      <c r="L4" s="0" t="n">
        <v>741.8</v>
      </c>
      <c r="M4" s="0" t="n">
        <v>144.1</v>
      </c>
      <c r="N4" s="0" t="n">
        <v>597.7</v>
      </c>
      <c r="O4" s="0" t="n">
        <v>2488.8</v>
      </c>
      <c r="P4" s="0" t="n">
        <v>2819.4</v>
      </c>
      <c r="Q4" s="0" t="n">
        <v>330.6</v>
      </c>
      <c r="S4" s="0" t="n">
        <v>619.1</v>
      </c>
      <c r="T4" s="0" t="n">
        <v>256.856</v>
      </c>
      <c r="U4" s="0" t="n">
        <v>85.5</v>
      </c>
      <c r="V4" s="0" t="n">
        <v>0.96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1871.9</v>
      </c>
      <c r="D5" s="0" t="n">
        <v>1867.4</v>
      </c>
      <c r="E5" s="0" t="n">
        <v>99.7596025428709</v>
      </c>
      <c r="F5" s="0" t="n">
        <v>701.6</v>
      </c>
      <c r="G5" s="0" t="n">
        <v>37.4806346492868</v>
      </c>
      <c r="I5" s="0" t="n">
        <v>433.6</v>
      </c>
      <c r="J5" s="0" t="n">
        <v>23.1636305358192</v>
      </c>
      <c r="K5" s="0" t="n">
        <v>1.69</v>
      </c>
      <c r="L5" s="0" t="n">
        <v>535.6</v>
      </c>
      <c r="M5" s="0" t="n">
        <v>133.9</v>
      </c>
      <c r="N5" s="0" t="n">
        <v>401.7</v>
      </c>
      <c r="O5" s="0" t="n">
        <v>2882.2</v>
      </c>
      <c r="P5" s="0" t="n">
        <v>3210.3</v>
      </c>
      <c r="Q5" s="0" t="n">
        <v>328.1</v>
      </c>
      <c r="S5" s="0" t="n">
        <v>743.3</v>
      </c>
      <c r="T5" s="0" t="n">
        <v>258.534</v>
      </c>
      <c r="U5" s="0" t="n">
        <v>89.1</v>
      </c>
      <c r="V5" s="0" t="n">
        <v>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2370.7</v>
      </c>
      <c r="D6" s="0" t="n">
        <v>2367.2</v>
      </c>
      <c r="E6" s="0" t="n">
        <v>99.8523642805922</v>
      </c>
      <c r="F6" s="0" t="n">
        <v>1036.5</v>
      </c>
      <c r="G6" s="0" t="n">
        <v>43.7212637617581</v>
      </c>
      <c r="I6" s="0" t="n">
        <v>672.2</v>
      </c>
      <c r="J6" s="0" t="n">
        <v>28.3544944531151</v>
      </c>
      <c r="K6" s="0" t="n">
        <v>2.6</v>
      </c>
      <c r="L6" s="0" t="n">
        <v>732.8</v>
      </c>
      <c r="M6" s="0" t="n">
        <v>118</v>
      </c>
      <c r="N6" s="0" t="n">
        <v>614.8</v>
      </c>
      <c r="O6" s="0" t="n">
        <v>3296.5</v>
      </c>
      <c r="P6" s="0" t="n">
        <v>3642</v>
      </c>
      <c r="Q6" s="0" t="n">
        <v>345.5</v>
      </c>
      <c r="S6" s="0" t="n">
        <v>813.1</v>
      </c>
      <c r="T6" s="0" t="n">
        <v>258.76</v>
      </c>
      <c r="U6" s="0" t="n">
        <v>89.5</v>
      </c>
      <c r="V6" s="0" t="n">
        <v>1.08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2747.1</v>
      </c>
      <c r="F7" s="0" t="n">
        <v>1226.9</v>
      </c>
      <c r="I7" s="0" t="n">
        <v>773.2</v>
      </c>
      <c r="K7" s="0" t="n">
        <v>3.01</v>
      </c>
      <c r="L7" s="0" t="n">
        <v>948.4</v>
      </c>
      <c r="M7" s="0" t="n">
        <v>82.3</v>
      </c>
      <c r="N7" s="0" t="n">
        <v>866.1</v>
      </c>
      <c r="O7" s="0" t="n">
        <v>3420.7</v>
      </c>
      <c r="P7" s="0" t="n">
        <v>3770.3</v>
      </c>
      <c r="Q7" s="0" t="n">
        <v>349.6</v>
      </c>
      <c r="S7" s="0" t="n">
        <v>897.9</v>
      </c>
      <c r="T7" s="0" t="n">
        <v>253.272</v>
      </c>
      <c r="U7" s="0" t="n">
        <v>98.7</v>
      </c>
      <c r="V7" s="0" t="n">
        <v>1.24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F8" s="0" t="n">
        <v>1364.3</v>
      </c>
      <c r="I8" s="0" t="n">
        <v>883.6</v>
      </c>
      <c r="K8" s="0" t="n">
        <v>3.47</v>
      </c>
      <c r="L8" s="0" t="n">
        <v>902.8</v>
      </c>
      <c r="M8" s="0" t="n">
        <v>76.9</v>
      </c>
      <c r="N8" s="0" t="n">
        <v>825.9</v>
      </c>
      <c r="O8" s="0" t="n">
        <v>3846.1</v>
      </c>
      <c r="P8" s="0" t="n">
        <v>4202.8</v>
      </c>
      <c r="Q8" s="0" t="n">
        <v>356.7</v>
      </c>
      <c r="S8" s="0" t="n">
        <v>879.1</v>
      </c>
      <c r="T8" s="0" t="n">
        <v>257.018</v>
      </c>
      <c r="U8" s="0" t="n">
        <v>104.1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F9" s="0" t="n">
        <v>1637.4</v>
      </c>
      <c r="I9" s="0" t="n">
        <v>1047.7</v>
      </c>
      <c r="K9" s="0" t="n">
        <v>4.02</v>
      </c>
      <c r="L9" s="0" t="n">
        <v>1233.2</v>
      </c>
      <c r="M9" s="0" t="n">
        <v>105.8</v>
      </c>
      <c r="N9" s="0" t="n">
        <v>1127.4</v>
      </c>
      <c r="O9" s="0" t="n">
        <v>4818.1</v>
      </c>
      <c r="P9" s="0" t="n">
        <v>5033.1</v>
      </c>
      <c r="Q9" s="0" t="n">
        <v>215</v>
      </c>
      <c r="S9" s="0" t="n">
        <v>1398</v>
      </c>
      <c r="T9" s="0" t="n">
        <v>266.3</v>
      </c>
      <c r="U9" s="0" t="n">
        <v>114.6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F10" s="0" t="n">
        <v>1890.9</v>
      </c>
      <c r="I10" s="0" t="n">
        <v>1229.6</v>
      </c>
      <c r="K10" s="0" t="n">
        <v>4.68</v>
      </c>
      <c r="L10" s="0" t="n">
        <v>1343.9</v>
      </c>
      <c r="M10" s="0" t="n">
        <v>126.2</v>
      </c>
      <c r="N10" s="0" t="n">
        <v>1217.7</v>
      </c>
      <c r="O10" s="0" t="n">
        <v>5395.2</v>
      </c>
      <c r="P10" s="0" t="n">
        <v>5644.4</v>
      </c>
      <c r="Q10" s="0" t="n">
        <v>249.2</v>
      </c>
      <c r="S10" s="0" t="n">
        <v>1506.1</v>
      </c>
      <c r="T10" s="0" t="n">
        <v>267.4</v>
      </c>
      <c r="U10" s="0" t="n">
        <v>133.4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F11" s="0" t="n">
        <v>1898.9</v>
      </c>
      <c r="I11" s="0" t="n">
        <v>1223</v>
      </c>
      <c r="K11" s="0" t="n">
        <v>4.74</v>
      </c>
      <c r="L11" s="0" t="n">
        <v>1530.5</v>
      </c>
      <c r="M11" s="0" t="n">
        <v>151.3</v>
      </c>
      <c r="N11" s="0" t="n">
        <v>1379.2</v>
      </c>
      <c r="O11" s="0" t="n">
        <v>4762</v>
      </c>
      <c r="P11" s="0" t="n">
        <v>5106.9</v>
      </c>
      <c r="Q11" s="0" t="n">
        <v>344.9</v>
      </c>
      <c r="S11" s="0" t="n">
        <v>1172.3</v>
      </c>
      <c r="T11" s="0" t="n">
        <v>260.9</v>
      </c>
      <c r="U11" s="0" t="n">
        <v>149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4284.8</v>
      </c>
      <c r="F12" s="0" t="n">
        <v>1733.4</v>
      </c>
      <c r="G12" s="0" t="n">
        <v>40.4546303211352</v>
      </c>
      <c r="I12" s="0" t="n">
        <v>1254</v>
      </c>
      <c r="J12" s="0" t="n">
        <v>29.2662434652726</v>
      </c>
      <c r="K12" s="0" t="n">
        <v>4.85</v>
      </c>
      <c r="L12" s="0" t="n">
        <v>170.5</v>
      </c>
      <c r="M12" s="0" t="n">
        <v>148.3</v>
      </c>
      <c r="N12" s="0" t="n">
        <v>22.2</v>
      </c>
      <c r="O12" s="0" t="n">
        <v>5008.6</v>
      </c>
      <c r="P12" s="0" t="n">
        <v>6225</v>
      </c>
      <c r="Q12" s="0" t="n">
        <v>529.2</v>
      </c>
      <c r="S12" s="0" t="n">
        <v>1204.9</v>
      </c>
      <c r="T12" s="0" t="n">
        <v>250.3</v>
      </c>
      <c r="U12" s="0" t="n">
        <v>161.6</v>
      </c>
      <c r="V12" s="0" t="n">
        <v>2.16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4854.9</v>
      </c>
      <c r="F13" s="0" t="n">
        <v>2108.8</v>
      </c>
      <c r="G13" s="0" t="n">
        <v>43.436528043832</v>
      </c>
      <c r="I13" s="0" t="n">
        <v>1581.2</v>
      </c>
      <c r="J13" s="0" t="n">
        <v>32.5691569342314</v>
      </c>
      <c r="K13" s="0" t="n">
        <v>6.07</v>
      </c>
      <c r="L13" s="0" t="n">
        <v>229.5</v>
      </c>
      <c r="M13" s="0" t="n">
        <v>186.1</v>
      </c>
      <c r="N13" s="0" t="n">
        <v>43.4</v>
      </c>
      <c r="O13" s="0" t="n">
        <v>5824.4</v>
      </c>
      <c r="P13" s="0" t="n">
        <v>7535.4</v>
      </c>
      <c r="Q13" s="0" t="n">
        <v>718.2</v>
      </c>
      <c r="S13" s="0" t="n">
        <v>1902.7</v>
      </c>
      <c r="T13" s="0" t="n">
        <v>245.111</v>
      </c>
      <c r="U13" s="0" t="n">
        <v>152</v>
      </c>
      <c r="V13" s="0" t="n">
        <v>2.28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5372.6</v>
      </c>
      <c r="F14" s="0" t="n">
        <v>2361.4</v>
      </c>
      <c r="G14" s="0" t="n">
        <v>43.9526486245021</v>
      </c>
      <c r="I14" s="0" t="n">
        <v>1837.5</v>
      </c>
      <c r="J14" s="0" t="n">
        <v>34.2013177977143</v>
      </c>
      <c r="K14" s="0" t="n">
        <v>7.41</v>
      </c>
      <c r="L14" s="0" t="n">
        <v>1619.9</v>
      </c>
      <c r="M14" s="0" t="n">
        <v>168.5</v>
      </c>
      <c r="N14" s="0" t="n">
        <v>1451.4</v>
      </c>
      <c r="O14" s="0" t="n">
        <v>6124.3</v>
      </c>
      <c r="P14" s="0" t="n">
        <v>7689.3</v>
      </c>
      <c r="Q14" s="0" t="n">
        <v>824.7</v>
      </c>
      <c r="S14" s="0" t="n">
        <v>1425.2</v>
      </c>
      <c r="T14" s="0" t="n">
        <v>246.9</v>
      </c>
      <c r="U14" s="0" t="n">
        <v>197.1</v>
      </c>
      <c r="V14" s="0" t="n">
        <v>2.8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5617.9</v>
      </c>
      <c r="F15" s="0" t="n">
        <v>2387</v>
      </c>
      <c r="G15" s="0" t="n">
        <v>42.4891863507717</v>
      </c>
      <c r="I15" s="0" t="n">
        <v>2248.9</v>
      </c>
      <c r="J15" s="0" t="n">
        <v>40.0309724274195</v>
      </c>
      <c r="K15" s="0" t="n">
        <v>8.82</v>
      </c>
      <c r="L15" s="0" t="n">
        <v>1522.7</v>
      </c>
      <c r="M15" s="0" t="n">
        <v>204.6</v>
      </c>
      <c r="N15" s="0" t="n">
        <v>1318.1</v>
      </c>
      <c r="O15" s="0" t="n">
        <v>7102.1</v>
      </c>
      <c r="P15" s="0" t="n">
        <v>9330.4</v>
      </c>
      <c r="Q15" s="0" t="n">
        <v>1107.3</v>
      </c>
      <c r="S15" s="0" t="n">
        <v>1781.8</v>
      </c>
      <c r="T15" s="0" t="n">
        <v>238.6</v>
      </c>
      <c r="U15" s="0" t="n">
        <v>206.6</v>
      </c>
      <c r="V15" s="0" t="n">
        <v>3.04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6206.7</v>
      </c>
      <c r="F16" s="0" t="n">
        <v>2745.7</v>
      </c>
      <c r="G16" s="0" t="n">
        <v>44.2376786376013</v>
      </c>
      <c r="I16" s="0" t="n">
        <v>2523.3</v>
      </c>
      <c r="J16" s="0" t="n">
        <v>40.6544540577118</v>
      </c>
      <c r="K16" s="0" t="n">
        <v>10.08</v>
      </c>
      <c r="L16" s="0" t="n">
        <v>1918.9</v>
      </c>
      <c r="M16" s="0" t="n">
        <v>214.6</v>
      </c>
      <c r="N16" s="0" t="n">
        <v>1704.3</v>
      </c>
      <c r="O16" s="0" t="n">
        <v>7707</v>
      </c>
      <c r="P16" s="0" t="n">
        <v>10659</v>
      </c>
      <c r="Q16" s="0" t="n">
        <v>1390.3</v>
      </c>
      <c r="S16" s="0" t="n">
        <v>2151.7</v>
      </c>
      <c r="T16" s="0" t="n">
        <v>231.2</v>
      </c>
      <c r="U16" s="0" t="n">
        <v>246.2</v>
      </c>
      <c r="V16" s="0" t="n">
        <v>3.6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7671.9</v>
      </c>
      <c r="F17" s="0" t="n">
        <v>3710</v>
      </c>
      <c r="G17" s="0" t="n">
        <v>48.3582945554556</v>
      </c>
      <c r="I17" s="0" t="n">
        <v>3098.5</v>
      </c>
      <c r="J17" s="0" t="n">
        <v>40.3876484312882</v>
      </c>
      <c r="K17" s="0" t="n">
        <v>13.25</v>
      </c>
      <c r="L17" s="0" t="n">
        <v>3452</v>
      </c>
      <c r="M17" s="0" t="n">
        <v>239.1</v>
      </c>
      <c r="N17" s="0" t="n">
        <v>3212.9</v>
      </c>
      <c r="O17" s="0" t="n">
        <v>9271.4</v>
      </c>
      <c r="P17" s="0" t="n">
        <v>12509</v>
      </c>
      <c r="Q17" s="0" t="n">
        <v>2255.3</v>
      </c>
      <c r="S17" s="0" t="n">
        <v>1523.1</v>
      </c>
      <c r="T17" s="0" t="n">
        <v>228.8</v>
      </c>
      <c r="U17" s="0" t="n">
        <v>274.6</v>
      </c>
      <c r="V17" s="0" t="n">
        <v>4.32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6488.4</v>
      </c>
      <c r="F18" s="0" t="n">
        <v>2373.7</v>
      </c>
      <c r="G18" s="0" t="n">
        <v>36.5837494605758</v>
      </c>
      <c r="I18" s="0" t="n">
        <v>1557.9</v>
      </c>
      <c r="J18" s="0" t="n">
        <v>24.0105418901424</v>
      </c>
      <c r="K18" s="0" t="n">
        <v>6.73</v>
      </c>
      <c r="L18" s="0" t="n">
        <v>2359.4</v>
      </c>
      <c r="M18" s="0" t="n">
        <v>237.6</v>
      </c>
      <c r="N18" s="0" t="n">
        <v>2121.8</v>
      </c>
      <c r="O18" s="0" t="n">
        <v>9030.2</v>
      </c>
      <c r="P18" s="0" t="n">
        <v>11643.3</v>
      </c>
      <c r="Q18" s="0" t="n">
        <v>1956.4</v>
      </c>
      <c r="S18" s="0" t="n">
        <v>1755.6</v>
      </c>
      <c r="T18" s="0" t="n">
        <v>227.1</v>
      </c>
      <c r="U18" s="0" t="n">
        <v>285.4</v>
      </c>
      <c r="V18" s="0" t="n">
        <v>4.8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6460.5</v>
      </c>
      <c r="F19" s="0" t="n">
        <v>1986.2</v>
      </c>
      <c r="G19" s="0" t="n">
        <v>30.7437504837087</v>
      </c>
      <c r="I19" s="0" t="n">
        <v>1835.7</v>
      </c>
      <c r="J19" s="0" t="n">
        <v>28.414209426515</v>
      </c>
      <c r="K19" s="0" t="n">
        <v>7.78</v>
      </c>
      <c r="L19" s="0" t="n">
        <v>1219.1</v>
      </c>
      <c r="M19" s="0" t="n">
        <v>307.9</v>
      </c>
      <c r="N19" s="0" t="n">
        <v>911.2</v>
      </c>
      <c r="O19" s="0" t="n">
        <v>9697.1</v>
      </c>
      <c r="P19" s="0" t="n">
        <v>12278.8</v>
      </c>
      <c r="Q19" s="0" t="n">
        <v>1987.6</v>
      </c>
      <c r="S19" s="0" t="n">
        <v>2066.6</v>
      </c>
      <c r="T19" s="0" t="n">
        <v>224.8</v>
      </c>
      <c r="U19" s="0" t="n">
        <v>265.6</v>
      </c>
      <c r="V19" s="0" t="n">
        <v>4.88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7093.6</v>
      </c>
      <c r="F20" s="0" t="n">
        <v>2333.3</v>
      </c>
      <c r="G20" s="0" t="n">
        <v>32.8930303372054</v>
      </c>
      <c r="I20" s="0" t="n">
        <v>2135.8</v>
      </c>
      <c r="J20" s="0" t="n">
        <v>30.1088304950942</v>
      </c>
      <c r="K20" s="0" t="n">
        <v>9.18</v>
      </c>
      <c r="L20" s="0" t="n">
        <v>1685.6</v>
      </c>
      <c r="M20" s="0" t="n">
        <v>423.4</v>
      </c>
      <c r="N20" s="0" t="n">
        <v>1262.2</v>
      </c>
      <c r="O20" s="0" t="n">
        <v>10506.1</v>
      </c>
      <c r="P20" s="0" t="n">
        <v>13472</v>
      </c>
      <c r="Q20" s="0" t="n">
        <v>2021.9</v>
      </c>
      <c r="S20" s="0" t="n">
        <v>2649.8</v>
      </c>
      <c r="T20" s="0" t="n">
        <v>223.3</v>
      </c>
      <c r="U20" s="0" t="n">
        <v>247.3</v>
      </c>
      <c r="V20" s="0" t="n">
        <v>4.96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7314.8</v>
      </c>
      <c r="F21" s="0" t="n">
        <v>2188.8</v>
      </c>
      <c r="G21" s="0" t="n">
        <v>29.9228960463717</v>
      </c>
      <c r="I21" s="0" t="n">
        <v>2208.3</v>
      </c>
      <c r="J21" s="0" t="n">
        <v>30.1894788647673</v>
      </c>
      <c r="K21" s="0" t="n">
        <v>9.26</v>
      </c>
      <c r="L21" s="0" t="n">
        <v>1753.4</v>
      </c>
      <c r="M21" s="0" t="n">
        <v>274.2</v>
      </c>
      <c r="N21" s="0" t="n">
        <v>1479.2</v>
      </c>
      <c r="O21" s="0" t="n">
        <v>11017.2</v>
      </c>
      <c r="P21" s="0" t="n">
        <v>14341.8</v>
      </c>
      <c r="Q21" s="0" t="n">
        <v>2288.6</v>
      </c>
      <c r="S21" s="0" t="n">
        <v>3378.2</v>
      </c>
      <c r="T21" s="0" t="n">
        <v>220.3</v>
      </c>
      <c r="U21" s="0" t="n">
        <v>216.9</v>
      </c>
      <c r="V21" s="0" t="n">
        <v>5.08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105.83</v>
      </c>
    </row>
    <row r="3" customFormat="false" ht="15" hidden="false" customHeight="false" outlineLevel="0" collapsed="false">
      <c r="A3" s="0" t="s">
        <v>86</v>
      </c>
      <c r="B3" s="3" t="n">
        <v>214.2</v>
      </c>
    </row>
    <row r="4" customFormat="false" ht="15" hidden="false" customHeight="false" outlineLevel="0" collapsed="false">
      <c r="A4" s="0" t="s">
        <v>87</v>
      </c>
      <c r="B4" s="3" t="n">
        <v>-4392.3</v>
      </c>
    </row>
    <row r="5" customFormat="false" ht="15" hidden="false" customHeight="false" outlineLevel="0" collapsed="false">
      <c r="A5" s="0" t="s">
        <v>88</v>
      </c>
      <c r="B5" s="3" t="n">
        <v>2043.9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7314.8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-10</v>
      </c>
      <c r="E13" s="3" t="n">
        <v>0</v>
      </c>
      <c r="F13" s="3" t="n">
        <v>1</v>
      </c>
      <c r="G13" s="3" t="n">
        <v>0</v>
      </c>
      <c r="H13" s="3" t="n">
        <v>-1</v>
      </c>
      <c r="I13" s="3" t="n">
        <v>-1</v>
      </c>
      <c r="J13" s="3" t="n">
        <v>-1</v>
      </c>
      <c r="K13" s="3" t="n">
        <v>-1</v>
      </c>
      <c r="L13" s="3" t="n">
        <v>-1</v>
      </c>
    </row>
    <row r="14" customFormat="false" ht="15" hidden="false" customHeight="false" outlineLevel="0" collapsed="false">
      <c r="A14" s="0" t="s">
        <v>107</v>
      </c>
      <c r="C14" s="3" t="n">
        <v>42</v>
      </c>
      <c r="D14" s="3" t="n">
        <v>37</v>
      </c>
      <c r="E14" s="3" t="n">
        <v>36.5</v>
      </c>
      <c r="F14" s="3" t="n">
        <v>36</v>
      </c>
      <c r="G14" s="3" t="n">
        <v>35.5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108</v>
      </c>
      <c r="C15" s="3" t="n">
        <v>2.7</v>
      </c>
      <c r="D15" s="3" t="n">
        <v>2.9</v>
      </c>
      <c r="E15" s="3" t="n">
        <v>2.9</v>
      </c>
      <c r="F15" s="3" t="n">
        <v>2.9</v>
      </c>
      <c r="G15" s="3" t="n">
        <v>2.9</v>
      </c>
      <c r="H15" s="3" t="n">
        <v>2.9</v>
      </c>
      <c r="I15" s="3" t="n">
        <v>2.9</v>
      </c>
      <c r="J15" s="3" t="n">
        <v>2.9</v>
      </c>
      <c r="K15" s="3" t="n">
        <v>2.9</v>
      </c>
      <c r="L15" s="3" t="n">
        <v>2.9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3.8</v>
      </c>
      <c r="D17" s="3" t="n">
        <v>4</v>
      </c>
      <c r="E17" s="3" t="n">
        <v>4</v>
      </c>
      <c r="F17" s="3" t="n">
        <v>3.9</v>
      </c>
      <c r="G17" s="3" t="n">
        <v>3.9</v>
      </c>
      <c r="H17" s="3" t="n">
        <v>3.8</v>
      </c>
      <c r="I17" s="3" t="n">
        <v>3.8</v>
      </c>
      <c r="J17" s="3" t="n">
        <v>3.8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111</v>
      </c>
      <c r="C18" s="3" t="n">
        <v>3.6</v>
      </c>
      <c r="D18" s="3" t="n">
        <v>3.6</v>
      </c>
      <c r="E18" s="3" t="n">
        <v>3.6</v>
      </c>
      <c r="F18" s="3" t="n">
        <v>3.6</v>
      </c>
      <c r="G18" s="3" t="n">
        <v>3.6</v>
      </c>
      <c r="H18" s="3" t="n">
        <v>3.6</v>
      </c>
      <c r="I18" s="3" t="n">
        <v>3.6</v>
      </c>
      <c r="J18" s="3" t="n">
        <v>3.6</v>
      </c>
      <c r="K18" s="3" t="n">
        <v>3.6</v>
      </c>
      <c r="L18" s="3" t="n">
        <v>3.6</v>
      </c>
    </row>
    <row r="19" customFormat="false" ht="15" hidden="false" customHeight="false" outlineLevel="0" collapsed="false">
      <c r="A19" s="0" t="s">
        <v>112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0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</v>
      </c>
      <c r="D27" s="3" t="n">
        <v>2</v>
      </c>
      <c r="E27" s="3" t="n">
        <v>2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42.3</v>
      </c>
      <c r="D28" s="3" t="n">
        <v>42</v>
      </c>
      <c r="E28" s="3" t="n">
        <v>41.7</v>
      </c>
      <c r="F28" s="3" t="n">
        <v>41.4</v>
      </c>
      <c r="G28" s="3" t="n">
        <v>41</v>
      </c>
      <c r="H28" s="3" t="n">
        <v>41</v>
      </c>
      <c r="I28" s="3" t="n">
        <v>41</v>
      </c>
      <c r="J28" s="3" t="n">
        <v>41</v>
      </c>
      <c r="K28" s="3" t="n">
        <v>41</v>
      </c>
      <c r="L28" s="3" t="n">
        <v>41</v>
      </c>
    </row>
    <row r="29" customFormat="false" ht="15" hidden="false" customHeight="false" outlineLevel="0" collapsed="false">
      <c r="A29" s="0" t="s">
        <v>108</v>
      </c>
      <c r="C29" s="3" t="n">
        <v>2.7</v>
      </c>
      <c r="D29" s="3" t="n">
        <v>2.7</v>
      </c>
      <c r="E29" s="3" t="n">
        <v>2.7</v>
      </c>
      <c r="F29" s="3" t="n">
        <v>2.7</v>
      </c>
      <c r="G29" s="3" t="n">
        <v>2.7</v>
      </c>
      <c r="H29" s="3" t="n">
        <v>2.7</v>
      </c>
      <c r="I29" s="3" t="n">
        <v>2.7</v>
      </c>
      <c r="J29" s="3" t="n">
        <v>2.7</v>
      </c>
      <c r="K29" s="3" t="n">
        <v>2.7</v>
      </c>
      <c r="L29" s="3" t="n">
        <v>2.7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3.8</v>
      </c>
      <c r="D31" s="3" t="n">
        <v>3.8</v>
      </c>
      <c r="E31" s="3" t="n">
        <v>3.7</v>
      </c>
      <c r="F31" s="3" t="n">
        <v>3.7</v>
      </c>
      <c r="G31" s="3" t="n">
        <v>3.6</v>
      </c>
      <c r="H31" s="3" t="n">
        <v>3.6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111</v>
      </c>
      <c r="C32" s="3" t="n">
        <v>3.6</v>
      </c>
      <c r="D32" s="3" t="n">
        <v>3.6</v>
      </c>
      <c r="E32" s="3" t="n">
        <v>3.6</v>
      </c>
      <c r="F32" s="3" t="n">
        <v>3.6</v>
      </c>
      <c r="G32" s="3" t="n">
        <v>3.6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112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1.5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</v>
      </c>
      <c r="D41" s="3" t="n">
        <v>6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42.5</v>
      </c>
      <c r="D42" s="3" t="n">
        <v>43</v>
      </c>
      <c r="E42" s="3" t="n">
        <v>43.6</v>
      </c>
      <c r="F42" s="3" t="n">
        <v>44.2</v>
      </c>
      <c r="G42" s="3" t="n">
        <v>45</v>
      </c>
      <c r="H42" s="3" t="n">
        <v>45</v>
      </c>
      <c r="I42" s="3" t="n">
        <v>45</v>
      </c>
      <c r="J42" s="3" t="n">
        <v>45</v>
      </c>
      <c r="K42" s="3" t="n">
        <v>45</v>
      </c>
      <c r="L42" s="3" t="n">
        <v>45</v>
      </c>
    </row>
    <row r="43" customFormat="false" ht="15" hidden="false" customHeight="false" outlineLevel="0" collapsed="false">
      <c r="A43" s="0" t="s">
        <v>108</v>
      </c>
      <c r="C43" s="3" t="n">
        <v>2.7</v>
      </c>
      <c r="D43" s="3" t="n">
        <v>2.7</v>
      </c>
      <c r="E43" s="3" t="n">
        <v>2.7</v>
      </c>
      <c r="F43" s="3" t="n">
        <v>2.7</v>
      </c>
      <c r="G43" s="3" t="n">
        <v>2.7</v>
      </c>
      <c r="H43" s="3" t="n">
        <v>2.7</v>
      </c>
      <c r="I43" s="3" t="n">
        <v>2.7</v>
      </c>
      <c r="J43" s="3" t="n">
        <v>2.7</v>
      </c>
      <c r="K43" s="3" t="n">
        <v>2.7</v>
      </c>
      <c r="L43" s="3" t="n">
        <v>2.7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3.8</v>
      </c>
      <c r="D45" s="3" t="n">
        <v>3.8</v>
      </c>
      <c r="E45" s="3" t="n">
        <v>3.7</v>
      </c>
      <c r="F45" s="3" t="n">
        <v>3.7</v>
      </c>
      <c r="G45" s="3" t="n">
        <v>3.6</v>
      </c>
      <c r="H45" s="3" t="n">
        <v>3.6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111</v>
      </c>
      <c r="C46" s="3" t="n">
        <v>3.6</v>
      </c>
      <c r="D46" s="3" t="n">
        <v>3.6</v>
      </c>
      <c r="E46" s="3" t="n">
        <v>3.6</v>
      </c>
      <c r="F46" s="3" t="n">
        <v>3.6</v>
      </c>
      <c r="G46" s="3" t="n">
        <v>3.6</v>
      </c>
      <c r="H46" s="3" t="n">
        <v>3.6</v>
      </c>
      <c r="I46" s="3" t="n">
        <v>3.6</v>
      </c>
      <c r="J46" s="3" t="n">
        <v>3.6</v>
      </c>
      <c r="K46" s="3" t="n">
        <v>3.6</v>
      </c>
      <c r="L46" s="3" t="n">
        <v>3.6</v>
      </c>
    </row>
    <row r="47" customFormat="false" ht="15" hidden="false" customHeight="false" outlineLevel="0" collapsed="false">
      <c r="A47" s="0" t="s">
        <v>112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13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-10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0</v>
      </c>
      <c r="H5" s="4" t="n">
        <f aca="false">Assumptions!H13</f>
        <v>-1</v>
      </c>
      <c r="I5" s="4" t="n">
        <f aca="false">Assumptions!I13</f>
        <v>-1</v>
      </c>
      <c r="J5" s="4" t="n">
        <f aca="false">Assumptions!J13</f>
        <v>-1</v>
      </c>
      <c r="K5" s="4" t="n">
        <f aca="false">Assumptions!K13</f>
        <v>-1</v>
      </c>
      <c r="L5" s="4" t="n">
        <f aca="false">Assumptions!L13</f>
        <v>-1</v>
      </c>
    </row>
    <row r="6" customFormat="false" ht="15" hidden="false" customHeight="false" outlineLevel="0" collapsed="false">
      <c r="A6" s="0" t="s">
        <v>37</v>
      </c>
      <c r="B6" s="3" t="n">
        <v>7314.8</v>
      </c>
      <c r="C6" s="0" t="n">
        <f aca="false">B6*(1+C5/100)</f>
        <v>7607.392</v>
      </c>
      <c r="D6" s="0" t="n">
        <f aca="false">C6*(1+D5/100)</f>
        <v>6846.6528</v>
      </c>
      <c r="E6" s="0" t="n">
        <f aca="false">D6*(1+E5/100)</f>
        <v>6846.6528</v>
      </c>
      <c r="F6" s="0" t="n">
        <f aca="false">E6*(1+F5/100)</f>
        <v>6915.119328</v>
      </c>
      <c r="G6" s="0" t="n">
        <f aca="false">F6*(1+G5/100)</f>
        <v>6915.119328</v>
      </c>
      <c r="H6" s="0" t="n">
        <f aca="false">G6*(1+H5/100)</f>
        <v>6845.96813472</v>
      </c>
      <c r="I6" s="0" t="n">
        <f aca="false">H6*(1+I5/100)</f>
        <v>6777.5084533728</v>
      </c>
      <c r="J6" s="0" t="n">
        <f aca="false">I6*(1+J5/100)</f>
        <v>6709.73336883907</v>
      </c>
      <c r="K6" s="0" t="n">
        <f aca="false">J6*(1+K5/100)</f>
        <v>6642.63603515068</v>
      </c>
      <c r="L6" s="0" t="n">
        <f aca="false">K6*(1+L5/100)</f>
        <v>6576.20967479918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42</v>
      </c>
      <c r="D7" s="4" t="n">
        <f aca="false">Assumptions!D14</f>
        <v>37</v>
      </c>
      <c r="E7" s="4" t="n">
        <f aca="false">Assumptions!E14</f>
        <v>36.5</v>
      </c>
      <c r="F7" s="4" t="n">
        <f aca="false">Assumptions!F14</f>
        <v>36</v>
      </c>
      <c r="G7" s="4" t="n">
        <f aca="false">Assumptions!G14</f>
        <v>35.5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3195.10464</v>
      </c>
      <c r="D8" s="0" t="n">
        <f aca="false">D6*D7/100</f>
        <v>2533.261536</v>
      </c>
      <c r="E8" s="0" t="n">
        <f aca="false">E6*E7/100</f>
        <v>2499.028272</v>
      </c>
      <c r="F8" s="0" t="n">
        <f aca="false">F6*F7/100</f>
        <v>2489.44295808</v>
      </c>
      <c r="G8" s="0" t="n">
        <f aca="false">G6*G7/100</f>
        <v>2454.86736144</v>
      </c>
      <c r="H8" s="0" t="n">
        <f aca="false">H6*H7/100</f>
        <v>2396.088847152</v>
      </c>
      <c r="I8" s="0" t="n">
        <f aca="false">I6*I7/100</f>
        <v>2372.12795868048</v>
      </c>
      <c r="J8" s="0" t="n">
        <f aca="false">J6*J7/100</f>
        <v>2348.40667909368</v>
      </c>
      <c r="K8" s="0" t="n">
        <f aca="false">K6*K7/100</f>
        <v>2324.92261230274</v>
      </c>
      <c r="L8" s="0" t="n">
        <f aca="false">L6*L7/100</f>
        <v>2301.67338617971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2.7</v>
      </c>
      <c r="D9" s="4" t="n">
        <f aca="false">Assumptions!D15</f>
        <v>2.9</v>
      </c>
      <c r="E9" s="4" t="n">
        <f aca="false">Assumptions!E15</f>
        <v>2.9</v>
      </c>
      <c r="F9" s="4" t="n">
        <f aca="false">Assumptions!F15</f>
        <v>2.9</v>
      </c>
      <c r="G9" s="4" t="n">
        <f aca="false">Assumptions!G15</f>
        <v>2.9</v>
      </c>
      <c r="H9" s="4" t="n">
        <f aca="false">Assumptions!H15</f>
        <v>2.9</v>
      </c>
      <c r="I9" s="4" t="n">
        <f aca="false">Assumptions!I15</f>
        <v>2.9</v>
      </c>
      <c r="J9" s="4" t="n">
        <f aca="false">Assumptions!J15</f>
        <v>2.9</v>
      </c>
      <c r="K9" s="4" t="n">
        <f aca="false">Assumptions!K15</f>
        <v>2.9</v>
      </c>
      <c r="L9" s="4" t="n">
        <f aca="false">Assumptions!L15</f>
        <v>2.9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-205.399584</v>
      </c>
      <c r="D10" s="0" t="n">
        <f aca="false">-D6*D9/100</f>
        <v>-198.5529312</v>
      </c>
      <c r="E10" s="0" t="n">
        <f aca="false">-E6*E9/100</f>
        <v>-198.5529312</v>
      </c>
      <c r="F10" s="0" t="n">
        <f aca="false">-F6*F9/100</f>
        <v>-200.538460512</v>
      </c>
      <c r="G10" s="0" t="n">
        <f aca="false">-G6*G9/100</f>
        <v>-200.538460512</v>
      </c>
      <c r="H10" s="0" t="n">
        <f aca="false">-H6*H9/100</f>
        <v>-198.53307590688</v>
      </c>
      <c r="I10" s="0" t="n">
        <f aca="false">-I6*I9/100</f>
        <v>-196.547745147811</v>
      </c>
      <c r="J10" s="0" t="n">
        <f aca="false">-J6*J9/100</f>
        <v>-194.582267696333</v>
      </c>
      <c r="K10" s="0" t="n">
        <f aca="false">-K6*K9/100</f>
        <v>-192.63644501937</v>
      </c>
      <c r="L10" s="0" t="n">
        <f aca="false">-L6*L9/100</f>
        <v>-190.710080569176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2989.705056</v>
      </c>
      <c r="D11" s="0" t="n">
        <f aca="false">D8+D10+D24</f>
        <v>2334.7086048</v>
      </c>
      <c r="E11" s="0" t="n">
        <f aca="false">E8+E10+E24</f>
        <v>2300.4753408</v>
      </c>
      <c r="F11" s="0" t="n">
        <f aca="false">F8+F10+F24</f>
        <v>2288.904497568</v>
      </c>
      <c r="G11" s="0" t="n">
        <f aca="false">G8+G10+G24</f>
        <v>2254.328900928</v>
      </c>
      <c r="H11" s="0" t="n">
        <f aca="false">H8+H10+H24</f>
        <v>2197.55577124512</v>
      </c>
      <c r="I11" s="0" t="n">
        <f aca="false">I8+I10+I24</f>
        <v>2175.58021353267</v>
      </c>
      <c r="J11" s="0" t="n">
        <f aca="false">J8+J10+J24</f>
        <v>2153.82441139734</v>
      </c>
      <c r="K11" s="0" t="n">
        <f aca="false">K8+K10+K24</f>
        <v>2132.28616728337</v>
      </c>
      <c r="L11" s="0" t="n">
        <f aca="false">L8+L10+L24</f>
        <v>2110.96330561054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-289.080896</v>
      </c>
      <c r="D12" s="4" t="n">
        <f aca="false">-D6*Assumptions!D17/100</f>
        <v>-273.866112</v>
      </c>
      <c r="E12" s="4" t="n">
        <f aca="false">-E6*Assumptions!E17/100</f>
        <v>-273.866112</v>
      </c>
      <c r="F12" s="4" t="n">
        <f aca="false">-F6*Assumptions!F17/100</f>
        <v>-269.689653792</v>
      </c>
      <c r="G12" s="4" t="n">
        <f aca="false">-G6*Assumptions!G17/100</f>
        <v>-269.689653792</v>
      </c>
      <c r="H12" s="4" t="n">
        <f aca="false">-H6*Assumptions!H17/100</f>
        <v>-260.14678911936</v>
      </c>
      <c r="I12" s="4" t="n">
        <f aca="false">-I6*Assumptions!I17/100</f>
        <v>-257.545321228166</v>
      </c>
      <c r="J12" s="4" t="n">
        <f aca="false">-J6*Assumptions!J17/100</f>
        <v>-254.969868015885</v>
      </c>
      <c r="K12" s="4" t="n">
        <f aca="false">-K6*Assumptions!K17/100</f>
        <v>-252.420169335726</v>
      </c>
      <c r="L12" s="4" t="n">
        <f aca="false">-L6*Assumptions!L17/100</f>
        <v>-249.895967642369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2700.62416</v>
      </c>
      <c r="D13" s="0" t="n">
        <f aca="false">D11+D12</f>
        <v>2060.8424928</v>
      </c>
      <c r="E13" s="0" t="n">
        <f aca="false">E11+E12</f>
        <v>2026.6092288</v>
      </c>
      <c r="F13" s="0" t="n">
        <f aca="false">F11+F12</f>
        <v>2019.214843776</v>
      </c>
      <c r="G13" s="0" t="n">
        <f aca="false">G11+G12</f>
        <v>1984.639247136</v>
      </c>
      <c r="H13" s="0" t="n">
        <f aca="false">H11+H12</f>
        <v>1937.40898212576</v>
      </c>
      <c r="I13" s="0" t="n">
        <f aca="false">I11+I12</f>
        <v>1918.0348923045</v>
      </c>
      <c r="J13" s="0" t="n">
        <f aca="false">J11+J12</f>
        <v>1898.85454338146</v>
      </c>
      <c r="K13" s="0" t="n">
        <f aca="false">K11+K12</f>
        <v>1879.86599794764</v>
      </c>
      <c r="L13" s="0" t="n">
        <f aca="false">L11+L12</f>
        <v>1861.06733796817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2025.46812</v>
      </c>
      <c r="D15" s="0" t="n">
        <f aca="false">D13-MAX(0,D13)*D14/100</f>
        <v>1545.6318696</v>
      </c>
      <c r="E15" s="0" t="n">
        <f aca="false">E13-MAX(0,E13)*E14/100</f>
        <v>1519.9569216</v>
      </c>
      <c r="F15" s="0" t="n">
        <f aca="false">F13-MAX(0,F13)*F14/100</f>
        <v>1514.411132832</v>
      </c>
      <c r="G15" s="0" t="n">
        <f aca="false">G13-MAX(0,G13)*G14/100</f>
        <v>1488.479435352</v>
      </c>
      <c r="H15" s="0" t="n">
        <f aca="false">H13-MAX(0,H13)*H14/100</f>
        <v>1453.05673659432</v>
      </c>
      <c r="I15" s="0" t="n">
        <f aca="false">I13-MAX(0,I13)*I14/100</f>
        <v>1438.52616922838</v>
      </c>
      <c r="J15" s="0" t="n">
        <f aca="false">J13-MAX(0,J13)*J14/100</f>
        <v>1424.14090753609</v>
      </c>
      <c r="K15" s="0" t="n">
        <f aca="false">K13-MAX(0,K13)*K14/100</f>
        <v>1409.89949846073</v>
      </c>
      <c r="L15" s="0" t="n">
        <f aca="false">L13-MAX(0,L13)*L14/100</f>
        <v>1395.80050347613</v>
      </c>
    </row>
    <row r="16" customFormat="false" ht="15" hidden="false" customHeight="false" outlineLevel="0" collapsed="false">
      <c r="A16" s="0" t="s">
        <v>128</v>
      </c>
      <c r="C16" s="0" t="n">
        <f aca="false">-C12</f>
        <v>289.080896</v>
      </c>
      <c r="D16" s="0" t="n">
        <f aca="false">-D12</f>
        <v>273.866112</v>
      </c>
      <c r="E16" s="0" t="n">
        <f aca="false">-E12</f>
        <v>273.866112</v>
      </c>
      <c r="F16" s="0" t="n">
        <f aca="false">-F12</f>
        <v>269.689653792</v>
      </c>
      <c r="G16" s="0" t="n">
        <f aca="false">-G12</f>
        <v>269.689653792</v>
      </c>
      <c r="H16" s="0" t="n">
        <f aca="false">-H12</f>
        <v>260.14678911936</v>
      </c>
      <c r="I16" s="0" t="n">
        <f aca="false">-I12</f>
        <v>257.545321228166</v>
      </c>
      <c r="J16" s="0" t="n">
        <f aca="false">-J12</f>
        <v>254.969868015885</v>
      </c>
      <c r="K16" s="0" t="n">
        <f aca="false">-K12</f>
        <v>252.420169335726</v>
      </c>
      <c r="L16" s="0" t="n">
        <f aca="false">-L12</f>
        <v>249.895967642369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-273.866112</v>
      </c>
      <c r="D17" s="4" t="n">
        <f aca="false">-D6*Assumptions!D18/100</f>
        <v>-246.4795008</v>
      </c>
      <c r="E17" s="4" t="n">
        <f aca="false">-E6*Assumptions!E18/100</f>
        <v>-246.4795008</v>
      </c>
      <c r="F17" s="4" t="n">
        <f aca="false">-F6*Assumptions!F18/100</f>
        <v>-248.944295808</v>
      </c>
      <c r="G17" s="4" t="n">
        <f aca="false">-G6*Assumptions!G18/100</f>
        <v>-248.944295808</v>
      </c>
      <c r="H17" s="4" t="n">
        <f aca="false">-H6*Assumptions!H18/100</f>
        <v>-246.45485284992</v>
      </c>
      <c r="I17" s="4" t="n">
        <f aca="false">-I6*Assumptions!I18/100</f>
        <v>-243.990304321421</v>
      </c>
      <c r="J17" s="4" t="n">
        <f aca="false">-J6*Assumptions!J18/100</f>
        <v>-241.550401278207</v>
      </c>
      <c r="K17" s="4" t="n">
        <f aca="false">-K6*Assumptions!K18/100</f>
        <v>-239.134897265425</v>
      </c>
      <c r="L17" s="4" t="n">
        <f aca="false">-L6*Assumptions!L18/100</f>
        <v>-236.74354829277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2040.682904</v>
      </c>
      <c r="D19" s="0" t="n">
        <f aca="false">D15+D16+D17+D18</f>
        <v>1573.0184808</v>
      </c>
      <c r="E19" s="0" t="n">
        <f aca="false">E15+E16+E17+E18</f>
        <v>1547.3435328</v>
      </c>
      <c r="F19" s="0" t="n">
        <f aca="false">F15+F16+F17+F18</f>
        <v>1535.156490816</v>
      </c>
      <c r="G19" s="0" t="n">
        <f aca="false">G15+G16+G17+G18</f>
        <v>1509.224793336</v>
      </c>
      <c r="H19" s="0" t="n">
        <f aca="false">H15+H16+H17+H18</f>
        <v>1466.74867286376</v>
      </c>
      <c r="I19" s="0" t="n">
        <f aca="false">I15+I16+I17+I18</f>
        <v>1452.08118613512</v>
      </c>
      <c r="J19" s="0" t="n">
        <f aca="false">J15+J16+J17+J18</f>
        <v>1437.56037427377</v>
      </c>
      <c r="K19" s="0" t="n">
        <f aca="false">K15+K16+K17+K18</f>
        <v>1423.18477053103</v>
      </c>
      <c r="L19" s="0" t="n">
        <f aca="false">L15+L16+L17+L18</f>
        <v>1408.95292282572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1855.16627636364</v>
      </c>
      <c r="D21" s="0" t="n">
        <f aca="false">D19*D20</f>
        <v>1300.01527338843</v>
      </c>
      <c r="E21" s="0" t="n">
        <f aca="false">E19*E20</f>
        <v>1162.54209827198</v>
      </c>
      <c r="F21" s="0" t="n">
        <f aca="false">F19*F20</f>
        <v>1048.53253931835</v>
      </c>
      <c r="G21" s="0" t="n">
        <f aca="false">G19*G20</f>
        <v>937.109855471869</v>
      </c>
      <c r="H21" s="0" t="n">
        <f aca="false">H19*H20</f>
        <v>827.941387772569</v>
      </c>
      <c r="I21" s="0" t="n">
        <f aca="false">I19*I20</f>
        <v>745.147248995311</v>
      </c>
      <c r="J21" s="0" t="n">
        <f aca="false">J19*J20</f>
        <v>670.63252409578</v>
      </c>
      <c r="K21" s="0" t="n">
        <f aca="false">K19*K20</f>
        <v>603.569271686202</v>
      </c>
      <c r="L21" s="0" t="n">
        <f aca="false">L19*L20</f>
        <v>543.212344517582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9693.86881988171</v>
      </c>
    </row>
    <row r="31" customFormat="false" ht="15" hidden="false" customHeight="false" outlineLevel="0" collapsed="false">
      <c r="A31" s="0" t="s">
        <v>137</v>
      </c>
      <c r="B31" s="0" t="n">
        <f aca="false">L19</f>
        <v>1408.95292282572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14089.5292282572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14089.5292282572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14089.5292282572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5432.12344517582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15125.9922650575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21562.1922650575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100.663829435376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-0.0488157475633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1220.40958508002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735.269917900111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109.79398584518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9393.01948550482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78.2922916208925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7314.8</v>
      </c>
      <c r="C6" s="0" t="n">
        <f aca="false">B6*(1+C5/100)</f>
        <v>7680.54</v>
      </c>
      <c r="D6" s="0" t="n">
        <f aca="false">C6*(1+D5/100)</f>
        <v>7834.1508</v>
      </c>
      <c r="E6" s="0" t="n">
        <f aca="false">D6*(1+E5/100)</f>
        <v>7990.833816</v>
      </c>
      <c r="F6" s="0" t="n">
        <f aca="false">E6*(1+F5/100)</f>
        <v>8150.65049232</v>
      </c>
      <c r="G6" s="0" t="n">
        <f aca="false">F6*(1+G5/100)</f>
        <v>8313.6635021664</v>
      </c>
      <c r="H6" s="0" t="n">
        <f aca="false">G6*(1+H5/100)</f>
        <v>8479.93677220973</v>
      </c>
      <c r="I6" s="0" t="n">
        <f aca="false">H6*(1+I5/100)</f>
        <v>8649.53550765392</v>
      </c>
      <c r="J6" s="0" t="n">
        <f aca="false">I6*(1+J5/100)</f>
        <v>8822.526217807</v>
      </c>
      <c r="K6" s="0" t="n">
        <f aca="false">J6*(1+K5/100)</f>
        <v>8998.97674216314</v>
      </c>
      <c r="L6" s="0" t="n">
        <f aca="false">K6*(1+L5/100)</f>
        <v>9178.95627700641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42.3</v>
      </c>
      <c r="D7" s="4" t="n">
        <f aca="false">Assumptions!D28</f>
        <v>42</v>
      </c>
      <c r="E7" s="4" t="n">
        <f aca="false">Assumptions!E28</f>
        <v>41.7</v>
      </c>
      <c r="F7" s="4" t="n">
        <f aca="false">Assumptions!F28</f>
        <v>41.4</v>
      </c>
      <c r="G7" s="4" t="n">
        <f aca="false">Assumptions!G28</f>
        <v>41</v>
      </c>
      <c r="H7" s="4" t="n">
        <f aca="false">Assumptions!H28</f>
        <v>41</v>
      </c>
      <c r="I7" s="4" t="n">
        <f aca="false">Assumptions!I28</f>
        <v>41</v>
      </c>
      <c r="J7" s="4" t="n">
        <f aca="false">Assumptions!J28</f>
        <v>41</v>
      </c>
      <c r="K7" s="4" t="n">
        <f aca="false">Assumptions!K28</f>
        <v>41</v>
      </c>
      <c r="L7" s="4" t="n">
        <f aca="false">Assumptions!L28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3248.86842</v>
      </c>
      <c r="D8" s="0" t="n">
        <f aca="false">D6*D7/100</f>
        <v>3290.343336</v>
      </c>
      <c r="E8" s="0" t="n">
        <f aca="false">E6*E7/100</f>
        <v>3332.177701272</v>
      </c>
      <c r="F8" s="0" t="n">
        <f aca="false">F6*F7/100</f>
        <v>3374.36930382048</v>
      </c>
      <c r="G8" s="0" t="n">
        <f aca="false">G6*G7/100</f>
        <v>3408.60203588822</v>
      </c>
      <c r="H8" s="0" t="n">
        <f aca="false">H6*H7/100</f>
        <v>3476.77407660599</v>
      </c>
      <c r="I8" s="0" t="n">
        <f aca="false">I6*I7/100</f>
        <v>3546.30955813811</v>
      </c>
      <c r="J8" s="0" t="n">
        <f aca="false">J6*J7/100</f>
        <v>3617.23574930087</v>
      </c>
      <c r="K8" s="0" t="n">
        <f aca="false">K6*K7/100</f>
        <v>3689.58046428689</v>
      </c>
      <c r="L8" s="0" t="n">
        <f aca="false">L6*L7/100</f>
        <v>3763.37207357263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2.7</v>
      </c>
      <c r="D9" s="4" t="n">
        <f aca="false">Assumptions!D29</f>
        <v>2.7</v>
      </c>
      <c r="E9" s="4" t="n">
        <f aca="false">Assumptions!E29</f>
        <v>2.7</v>
      </c>
      <c r="F9" s="4" t="n">
        <f aca="false">Assumptions!F29</f>
        <v>2.7</v>
      </c>
      <c r="G9" s="4" t="n">
        <f aca="false">Assumptions!G29</f>
        <v>2.7</v>
      </c>
      <c r="H9" s="4" t="n">
        <f aca="false">Assumptions!H29</f>
        <v>2.7</v>
      </c>
      <c r="I9" s="4" t="n">
        <f aca="false">Assumptions!I29</f>
        <v>2.7</v>
      </c>
      <c r="J9" s="4" t="n">
        <f aca="false">Assumptions!J29</f>
        <v>2.7</v>
      </c>
      <c r="K9" s="4" t="n">
        <f aca="false">Assumptions!K29</f>
        <v>2.7</v>
      </c>
      <c r="L9" s="4" t="n">
        <f aca="false">Assumptions!L29</f>
        <v>2.7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-207.37458</v>
      </c>
      <c r="D10" s="0" t="n">
        <f aca="false">-D6*D9/100</f>
        <v>-211.5220716</v>
      </c>
      <c r="E10" s="0" t="n">
        <f aca="false">-E6*E9/100</f>
        <v>-215.752513032</v>
      </c>
      <c r="F10" s="0" t="n">
        <f aca="false">-F6*F9/100</f>
        <v>-220.06756329264</v>
      </c>
      <c r="G10" s="0" t="n">
        <f aca="false">-G6*G9/100</f>
        <v>-224.468914558493</v>
      </c>
      <c r="H10" s="0" t="n">
        <f aca="false">-H6*H9/100</f>
        <v>-228.958292849663</v>
      </c>
      <c r="I10" s="0" t="n">
        <f aca="false">-I6*I9/100</f>
        <v>-233.537458706656</v>
      </c>
      <c r="J10" s="0" t="n">
        <f aca="false">-J6*J9/100</f>
        <v>-238.208207880789</v>
      </c>
      <c r="K10" s="0" t="n">
        <f aca="false">-K6*K9/100</f>
        <v>-242.972372038405</v>
      </c>
      <c r="L10" s="0" t="n">
        <f aca="false">-L6*L9/100</f>
        <v>-247.831819479173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3041.49384</v>
      </c>
      <c r="D11" s="0" t="n">
        <f aca="false">D8+D10+D24</f>
        <v>3078.8212644</v>
      </c>
      <c r="E11" s="0" t="n">
        <f aca="false">E8+E10+E24</f>
        <v>3116.42518824</v>
      </c>
      <c r="F11" s="0" t="n">
        <f aca="false">F8+F10+F24</f>
        <v>3154.30174052784</v>
      </c>
      <c r="G11" s="0" t="n">
        <f aca="false">G8+G10+G24</f>
        <v>3184.13312132973</v>
      </c>
      <c r="H11" s="0" t="n">
        <f aca="false">H8+H10+H24</f>
        <v>3247.81578375633</v>
      </c>
      <c r="I11" s="0" t="n">
        <f aca="false">I8+I10+I24</f>
        <v>3312.77209943145</v>
      </c>
      <c r="J11" s="0" t="n">
        <f aca="false">J8+J10+J24</f>
        <v>3379.02754142008</v>
      </c>
      <c r="K11" s="0" t="n">
        <f aca="false">K8+K10+K24</f>
        <v>3446.60809224848</v>
      </c>
      <c r="L11" s="0" t="n">
        <f aca="false">L8+L10+L24</f>
        <v>3515.54025409345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-291.86052</v>
      </c>
      <c r="D12" s="4" t="n">
        <f aca="false">-D6*Assumptions!D31/100</f>
        <v>-297.6977304</v>
      </c>
      <c r="E12" s="4" t="n">
        <f aca="false">-E6*Assumptions!E31/100</f>
        <v>-295.660851192</v>
      </c>
      <c r="F12" s="4" t="n">
        <f aca="false">-F6*Assumptions!F31/100</f>
        <v>-301.57406821584</v>
      </c>
      <c r="G12" s="4" t="n">
        <f aca="false">-G6*Assumptions!G31/100</f>
        <v>-299.29188607799</v>
      </c>
      <c r="H12" s="4" t="n">
        <f aca="false">-H6*Assumptions!H31/100</f>
        <v>-305.27772379955</v>
      </c>
      <c r="I12" s="4" t="n">
        <f aca="false">-I6*Assumptions!I31/100</f>
        <v>-311.383278275541</v>
      </c>
      <c r="J12" s="4" t="n">
        <f aca="false">-J6*Assumptions!J31/100</f>
        <v>-317.610943841052</v>
      </c>
      <c r="K12" s="4" t="n">
        <f aca="false">-K6*Assumptions!K31/100</f>
        <v>-323.963162717873</v>
      </c>
      <c r="L12" s="4" t="n">
        <f aca="false">-L6*Assumptions!L31/100</f>
        <v>-330.442425972231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2749.63332</v>
      </c>
      <c r="D13" s="0" t="n">
        <f aca="false">D11+D12</f>
        <v>2781.123534</v>
      </c>
      <c r="E13" s="0" t="n">
        <f aca="false">E11+E12</f>
        <v>2820.764337048</v>
      </c>
      <c r="F13" s="0" t="n">
        <f aca="false">F11+F12</f>
        <v>2852.727672312</v>
      </c>
      <c r="G13" s="0" t="n">
        <f aca="false">G11+G12</f>
        <v>2884.84123525174</v>
      </c>
      <c r="H13" s="0" t="n">
        <f aca="false">H11+H12</f>
        <v>2942.53805995678</v>
      </c>
      <c r="I13" s="0" t="n">
        <f aca="false">I11+I12</f>
        <v>3001.38882115591</v>
      </c>
      <c r="J13" s="0" t="n">
        <f aca="false">J11+J12</f>
        <v>3061.41659757903</v>
      </c>
      <c r="K13" s="0" t="n">
        <f aca="false">K11+K12</f>
        <v>3122.64492953061</v>
      </c>
      <c r="L13" s="0" t="n">
        <f aca="false">L11+L12</f>
        <v>3185.09782812122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2062.22499</v>
      </c>
      <c r="D15" s="0" t="n">
        <f aca="false">D13-MAX(0,D13)*D14/100</f>
        <v>2085.8426505</v>
      </c>
      <c r="E15" s="0" t="n">
        <f aca="false">E13-MAX(0,E13)*E14/100</f>
        <v>2115.573252786</v>
      </c>
      <c r="F15" s="0" t="n">
        <f aca="false">F13-MAX(0,F13)*F14/100</f>
        <v>2139.545754234</v>
      </c>
      <c r="G15" s="0" t="n">
        <f aca="false">G13-MAX(0,G13)*G14/100</f>
        <v>2163.63092643881</v>
      </c>
      <c r="H15" s="0" t="n">
        <f aca="false">H13-MAX(0,H13)*H14/100</f>
        <v>2206.90354496758</v>
      </c>
      <c r="I15" s="0" t="n">
        <f aca="false">I13-MAX(0,I13)*I14/100</f>
        <v>2251.04161586693</v>
      </c>
      <c r="J15" s="0" t="n">
        <f aca="false">J13-MAX(0,J13)*J14/100</f>
        <v>2296.06244818427</v>
      </c>
      <c r="K15" s="0" t="n">
        <f aca="false">K13-MAX(0,K13)*K14/100</f>
        <v>2341.98369714796</v>
      </c>
      <c r="L15" s="0" t="n">
        <f aca="false">L13-MAX(0,L13)*L14/100</f>
        <v>2388.82337109092</v>
      </c>
    </row>
    <row r="16" customFormat="false" ht="15" hidden="false" customHeight="false" outlineLevel="0" collapsed="false">
      <c r="A16" s="0" t="s">
        <v>128</v>
      </c>
      <c r="C16" s="0" t="n">
        <f aca="false">-C12</f>
        <v>291.86052</v>
      </c>
      <c r="D16" s="0" t="n">
        <f aca="false">-D12</f>
        <v>297.6977304</v>
      </c>
      <c r="E16" s="0" t="n">
        <f aca="false">-E12</f>
        <v>295.660851192</v>
      </c>
      <c r="F16" s="0" t="n">
        <f aca="false">-F12</f>
        <v>301.57406821584</v>
      </c>
      <c r="G16" s="0" t="n">
        <f aca="false">-G12</f>
        <v>299.29188607799</v>
      </c>
      <c r="H16" s="0" t="n">
        <f aca="false">-H12</f>
        <v>305.27772379955</v>
      </c>
      <c r="I16" s="0" t="n">
        <f aca="false">-I12</f>
        <v>311.383278275541</v>
      </c>
      <c r="J16" s="0" t="n">
        <f aca="false">-J12</f>
        <v>317.610943841052</v>
      </c>
      <c r="K16" s="0" t="n">
        <f aca="false">-K12</f>
        <v>323.963162717873</v>
      </c>
      <c r="L16" s="0" t="n">
        <f aca="false">-L12</f>
        <v>330.442425972231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-276.49944</v>
      </c>
      <c r="D17" s="4" t="n">
        <f aca="false">-D6*Assumptions!D32/100</f>
        <v>-282.0294288</v>
      </c>
      <c r="E17" s="4" t="n">
        <f aca="false">-E6*Assumptions!E32/100</f>
        <v>-287.670017376</v>
      </c>
      <c r="F17" s="4" t="n">
        <f aca="false">-F6*Assumptions!F32/100</f>
        <v>-293.42341772352</v>
      </c>
      <c r="G17" s="4" t="n">
        <f aca="false">-G6*Assumptions!G32/100</f>
        <v>-299.29188607799</v>
      </c>
      <c r="H17" s="4" t="n">
        <f aca="false">-H6*Assumptions!H32/100</f>
        <v>-305.27772379955</v>
      </c>
      <c r="I17" s="4" t="n">
        <f aca="false">-I6*Assumptions!I32/100</f>
        <v>-311.383278275541</v>
      </c>
      <c r="J17" s="4" t="n">
        <f aca="false">-J6*Assumptions!J32/100</f>
        <v>-317.610943841052</v>
      </c>
      <c r="K17" s="4" t="n">
        <f aca="false">-K6*Assumptions!K32/100</f>
        <v>-323.963162717873</v>
      </c>
      <c r="L17" s="4" t="n">
        <f aca="false">-L6*Assumptions!L32/100</f>
        <v>-330.442425972231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2077.58607</v>
      </c>
      <c r="D19" s="0" t="n">
        <f aca="false">D15+D16+D17+D18</f>
        <v>2101.5109521</v>
      </c>
      <c r="E19" s="0" t="n">
        <f aca="false">E15+E16+E17+E18</f>
        <v>2123.564086602</v>
      </c>
      <c r="F19" s="0" t="n">
        <f aca="false">F15+F16+F17+F18</f>
        <v>2147.69640472632</v>
      </c>
      <c r="G19" s="0" t="n">
        <f aca="false">G15+G16+G17+G18</f>
        <v>2163.63092643881</v>
      </c>
      <c r="H19" s="0" t="n">
        <f aca="false">H15+H16+H17+H18</f>
        <v>2206.90354496758</v>
      </c>
      <c r="I19" s="0" t="n">
        <f aca="false">I15+I16+I17+I18</f>
        <v>2251.04161586693</v>
      </c>
      <c r="J19" s="0" t="n">
        <f aca="false">J15+J16+J17+J18</f>
        <v>2296.06244818427</v>
      </c>
      <c r="K19" s="0" t="n">
        <f aca="false">K15+K16+K17+K18</f>
        <v>2341.98369714796</v>
      </c>
      <c r="L19" s="0" t="n">
        <f aca="false">L15+L16+L17+L18</f>
        <v>2388.82337109092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1888.71460909091</v>
      </c>
      <c r="D21" s="0" t="n">
        <f aca="false">D19*D20</f>
        <v>1736.78591082645</v>
      </c>
      <c r="E21" s="0" t="n">
        <f aca="false">E19*E20</f>
        <v>1595.46512892712</v>
      </c>
      <c r="F21" s="0" t="n">
        <f aca="false">F19*F20</f>
        <v>1466.90554246726</v>
      </c>
      <c r="G21" s="0" t="n">
        <f aca="false">G19*G20</f>
        <v>1343.44457745609</v>
      </c>
      <c r="H21" s="0" t="n">
        <f aca="false">H19*H20</f>
        <v>1245.73951727746</v>
      </c>
      <c r="I21" s="0" t="n">
        <f aca="false">I19*I20</f>
        <v>1155.14027965728</v>
      </c>
      <c r="J21" s="0" t="n">
        <f aca="false">J19*J20</f>
        <v>1071.13007750039</v>
      </c>
      <c r="K21" s="0" t="n">
        <f aca="false">K19*K20</f>
        <v>993.229708227635</v>
      </c>
      <c r="L21" s="0" t="n">
        <f aca="false">L19*L20</f>
        <v>920.994820356534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13417.5501717871</v>
      </c>
    </row>
    <row r="31" customFormat="false" ht="15" hidden="false" customHeight="false" outlineLevel="0" collapsed="false">
      <c r="A31" s="0" t="s">
        <v>137</v>
      </c>
      <c r="B31" s="0" t="n">
        <f aca="false">L19</f>
        <v>2388.82337109092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28525.3614312621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28665.880453091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28525.3614312621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10997.7616783751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24415.3118501622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30851.5118501622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144.031334501224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0.360968860448117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1373.92108993185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1140.9781568343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155.77222734327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17960.4127530169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101.673566701843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7314.8</v>
      </c>
      <c r="C6" s="0" t="n">
        <f aca="false">B6*(1+C5/100)</f>
        <v>7753.688</v>
      </c>
      <c r="D6" s="0" t="n">
        <f aca="false">C6*(1+D5/100)</f>
        <v>8218.90928</v>
      </c>
      <c r="E6" s="0" t="n">
        <f aca="false">D6*(1+E5/100)</f>
        <v>8629.854744</v>
      </c>
      <c r="F6" s="0" t="n">
        <f aca="false">E6*(1+F5/100)</f>
        <v>9061.3474812</v>
      </c>
      <c r="G6" s="0" t="n">
        <f aca="false">F6*(1+G5/100)</f>
        <v>9469.108117854</v>
      </c>
      <c r="H6" s="0" t="n">
        <f aca="false">G6*(1+H5/100)</f>
        <v>9847.87244256816</v>
      </c>
      <c r="I6" s="0" t="n">
        <f aca="false">H6*(1+I5/100)</f>
        <v>10192.547978058</v>
      </c>
      <c r="J6" s="0" t="n">
        <f aca="false">I6*(1+J5/100)</f>
        <v>10498.3244173998</v>
      </c>
      <c r="K6" s="0" t="n">
        <f aca="false">J6*(1+K5/100)</f>
        <v>10813.2741499218</v>
      </c>
      <c r="L6" s="0" t="n">
        <f aca="false">K6*(1+L5/100)</f>
        <v>11137.6723744194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42.5</v>
      </c>
      <c r="D7" s="4" t="n">
        <f aca="false">Assumptions!D42</f>
        <v>43</v>
      </c>
      <c r="E7" s="4" t="n">
        <f aca="false">Assumptions!E42</f>
        <v>43.6</v>
      </c>
      <c r="F7" s="4" t="n">
        <f aca="false">Assumptions!F42</f>
        <v>44.2</v>
      </c>
      <c r="G7" s="4" t="n">
        <f aca="false">Assumptions!G42</f>
        <v>45</v>
      </c>
      <c r="H7" s="4" t="n">
        <f aca="false">Assumptions!H42</f>
        <v>45</v>
      </c>
      <c r="I7" s="4" t="n">
        <f aca="false">Assumptions!I42</f>
        <v>45</v>
      </c>
      <c r="J7" s="4" t="n">
        <f aca="false">Assumptions!J42</f>
        <v>45</v>
      </c>
      <c r="K7" s="4" t="n">
        <f aca="false">Assumptions!K42</f>
        <v>45</v>
      </c>
      <c r="L7" s="4" t="n">
        <f aca="false">Assumptions!L42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3295.3174</v>
      </c>
      <c r="D8" s="0" t="n">
        <f aca="false">D6*D7/100</f>
        <v>3534.1309904</v>
      </c>
      <c r="E8" s="0" t="n">
        <f aca="false">E6*E7/100</f>
        <v>3762.616668384</v>
      </c>
      <c r="F8" s="0" t="n">
        <f aca="false">F6*F7/100</f>
        <v>4005.1155866904</v>
      </c>
      <c r="G8" s="0" t="n">
        <f aca="false">G6*G7/100</f>
        <v>4261.0986530343</v>
      </c>
      <c r="H8" s="0" t="n">
        <f aca="false">H6*H7/100</f>
        <v>4431.54259915567</v>
      </c>
      <c r="I8" s="0" t="n">
        <f aca="false">I6*I7/100</f>
        <v>4586.64659012612</v>
      </c>
      <c r="J8" s="0" t="n">
        <f aca="false">J6*J7/100</f>
        <v>4724.24598782991</v>
      </c>
      <c r="K8" s="0" t="n">
        <f aca="false">K6*K7/100</f>
        <v>4865.9733674648</v>
      </c>
      <c r="L8" s="0" t="n">
        <f aca="false">L6*L7/100</f>
        <v>5011.95256848875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2.7</v>
      </c>
      <c r="D9" s="4" t="n">
        <f aca="false">Assumptions!D43</f>
        <v>2.7</v>
      </c>
      <c r="E9" s="4" t="n">
        <f aca="false">Assumptions!E43</f>
        <v>2.7</v>
      </c>
      <c r="F9" s="4" t="n">
        <f aca="false">Assumptions!F43</f>
        <v>2.7</v>
      </c>
      <c r="G9" s="4" t="n">
        <f aca="false">Assumptions!G43</f>
        <v>2.7</v>
      </c>
      <c r="H9" s="4" t="n">
        <f aca="false">Assumptions!H43</f>
        <v>2.7</v>
      </c>
      <c r="I9" s="4" t="n">
        <f aca="false">Assumptions!I43</f>
        <v>2.7</v>
      </c>
      <c r="J9" s="4" t="n">
        <f aca="false">Assumptions!J43</f>
        <v>2.7</v>
      </c>
      <c r="K9" s="4" t="n">
        <f aca="false">Assumptions!K43</f>
        <v>2.7</v>
      </c>
      <c r="L9" s="4" t="n">
        <f aca="false">Assumptions!L43</f>
        <v>2.7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-209.349576</v>
      </c>
      <c r="D10" s="0" t="n">
        <f aca="false">-D6*D9/100</f>
        <v>-221.91055056</v>
      </c>
      <c r="E10" s="0" t="n">
        <f aca="false">-E6*E9/100</f>
        <v>-233.006078088</v>
      </c>
      <c r="F10" s="0" t="n">
        <f aca="false">-F6*F9/100</f>
        <v>-244.6563819924</v>
      </c>
      <c r="G10" s="0" t="n">
        <f aca="false">-G6*G9/100</f>
        <v>-255.665919182058</v>
      </c>
      <c r="H10" s="0" t="n">
        <f aca="false">-H6*H9/100</f>
        <v>-265.89255594934</v>
      </c>
      <c r="I10" s="0" t="n">
        <f aca="false">-I6*I9/100</f>
        <v>-275.198795407567</v>
      </c>
      <c r="J10" s="0" t="n">
        <f aca="false">-J6*J9/100</f>
        <v>-283.454759269794</v>
      </c>
      <c r="K10" s="0" t="n">
        <f aca="false">-K6*K9/100</f>
        <v>-291.958402047888</v>
      </c>
      <c r="L10" s="0" t="n">
        <f aca="false">-L6*L9/100</f>
        <v>-300.717154109325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3085.967824</v>
      </c>
      <c r="D11" s="0" t="n">
        <f aca="false">D8+D10+D24</f>
        <v>3312.22043984</v>
      </c>
      <c r="E11" s="0" t="n">
        <f aca="false">E8+E10+E24</f>
        <v>3529.610590296</v>
      </c>
      <c r="F11" s="0" t="n">
        <f aca="false">F8+F10+F24</f>
        <v>3760.459204698</v>
      </c>
      <c r="G11" s="0" t="n">
        <f aca="false">G8+G10+G24</f>
        <v>4005.43273385224</v>
      </c>
      <c r="H11" s="0" t="n">
        <f aca="false">H8+H10+H24</f>
        <v>4165.65004320633</v>
      </c>
      <c r="I11" s="0" t="n">
        <f aca="false">I8+I10+I24</f>
        <v>4311.44779471855</v>
      </c>
      <c r="J11" s="0" t="n">
        <f aca="false">J8+J10+J24</f>
        <v>4440.79122856011</v>
      </c>
      <c r="K11" s="0" t="n">
        <f aca="false">K8+K10+K24</f>
        <v>4574.01496541692</v>
      </c>
      <c r="L11" s="0" t="n">
        <f aca="false">L8+L10+L24</f>
        <v>4711.23541437942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-294.640144</v>
      </c>
      <c r="D12" s="4" t="n">
        <f aca="false">-D6*Assumptions!D45/100</f>
        <v>-312.31855264</v>
      </c>
      <c r="E12" s="4" t="n">
        <f aca="false">-E6*Assumptions!E45/100</f>
        <v>-319.304625528</v>
      </c>
      <c r="F12" s="4" t="n">
        <f aca="false">-F6*Assumptions!F45/100</f>
        <v>-335.2698568044</v>
      </c>
      <c r="G12" s="4" t="n">
        <f aca="false">-G6*Assumptions!G45/100</f>
        <v>-340.887892242744</v>
      </c>
      <c r="H12" s="4" t="n">
        <f aca="false">-H6*Assumptions!H45/100</f>
        <v>-354.523407932454</v>
      </c>
      <c r="I12" s="4" t="n">
        <f aca="false">-I6*Assumptions!I45/100</f>
        <v>-366.93172721009</v>
      </c>
      <c r="J12" s="4" t="n">
        <f aca="false">-J6*Assumptions!J45/100</f>
        <v>-377.939679026392</v>
      </c>
      <c r="K12" s="4" t="n">
        <f aca="false">-K6*Assumptions!K45/100</f>
        <v>-389.277869397184</v>
      </c>
      <c r="L12" s="4" t="n">
        <f aca="false">-L6*Assumptions!L45/100</f>
        <v>-400.9562054791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2791.32768</v>
      </c>
      <c r="D13" s="0" t="n">
        <f aca="false">D11+D12</f>
        <v>2999.9018872</v>
      </c>
      <c r="E13" s="0" t="n">
        <f aca="false">E11+E12</f>
        <v>3210.305964768</v>
      </c>
      <c r="F13" s="0" t="n">
        <f aca="false">F11+F12</f>
        <v>3425.1893478936</v>
      </c>
      <c r="G13" s="0" t="n">
        <f aca="false">G11+G12</f>
        <v>3664.5448416095</v>
      </c>
      <c r="H13" s="0" t="n">
        <f aca="false">H11+H12</f>
        <v>3811.12663527388</v>
      </c>
      <c r="I13" s="0" t="n">
        <f aca="false">I11+I12</f>
        <v>3944.51606750846</v>
      </c>
      <c r="J13" s="0" t="n">
        <f aca="false">J11+J12</f>
        <v>4062.85154953372</v>
      </c>
      <c r="K13" s="0" t="n">
        <f aca="false">K11+K12</f>
        <v>4184.73709601973</v>
      </c>
      <c r="L13" s="0" t="n">
        <f aca="false">L11+L12</f>
        <v>4310.27920890032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2093.49576</v>
      </c>
      <c r="D15" s="0" t="n">
        <f aca="false">D13-MAX(0,D13)*D14/100</f>
        <v>2249.9264154</v>
      </c>
      <c r="E15" s="0" t="n">
        <f aca="false">E13-MAX(0,E13)*E14/100</f>
        <v>2407.729473576</v>
      </c>
      <c r="F15" s="0" t="n">
        <f aca="false">F13-MAX(0,F13)*F14/100</f>
        <v>2568.8920109202</v>
      </c>
      <c r="G15" s="0" t="n">
        <f aca="false">G13-MAX(0,G13)*G14/100</f>
        <v>2748.40863120713</v>
      </c>
      <c r="H15" s="0" t="n">
        <f aca="false">H13-MAX(0,H13)*H14/100</f>
        <v>2858.34497645541</v>
      </c>
      <c r="I15" s="0" t="n">
        <f aca="false">I13-MAX(0,I13)*I14/100</f>
        <v>2958.38705063135</v>
      </c>
      <c r="J15" s="0" t="n">
        <f aca="false">J13-MAX(0,J13)*J14/100</f>
        <v>3047.13866215029</v>
      </c>
      <c r="K15" s="0" t="n">
        <f aca="false">K13-MAX(0,K13)*K14/100</f>
        <v>3138.5528220148</v>
      </c>
      <c r="L15" s="0" t="n">
        <f aca="false">L13-MAX(0,L13)*L14/100</f>
        <v>3232.70940667524</v>
      </c>
    </row>
    <row r="16" customFormat="false" ht="15" hidden="false" customHeight="false" outlineLevel="0" collapsed="false">
      <c r="A16" s="0" t="s">
        <v>128</v>
      </c>
      <c r="C16" s="0" t="n">
        <f aca="false">-C12</f>
        <v>294.640144</v>
      </c>
      <c r="D16" s="0" t="n">
        <f aca="false">-D12</f>
        <v>312.31855264</v>
      </c>
      <c r="E16" s="0" t="n">
        <f aca="false">-E12</f>
        <v>319.304625528</v>
      </c>
      <c r="F16" s="0" t="n">
        <f aca="false">-F12</f>
        <v>335.2698568044</v>
      </c>
      <c r="G16" s="0" t="n">
        <f aca="false">-G12</f>
        <v>340.887892242744</v>
      </c>
      <c r="H16" s="0" t="n">
        <f aca="false">-H12</f>
        <v>354.523407932454</v>
      </c>
      <c r="I16" s="0" t="n">
        <f aca="false">-I12</f>
        <v>366.93172721009</v>
      </c>
      <c r="J16" s="0" t="n">
        <f aca="false">-J12</f>
        <v>377.939679026392</v>
      </c>
      <c r="K16" s="0" t="n">
        <f aca="false">-K12</f>
        <v>389.277869397184</v>
      </c>
      <c r="L16" s="0" t="n">
        <f aca="false">-L12</f>
        <v>400.9562054791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-279.132768</v>
      </c>
      <c r="D17" s="4" t="n">
        <f aca="false">-D6*Assumptions!D46/100</f>
        <v>-295.88073408</v>
      </c>
      <c r="E17" s="4" t="n">
        <f aca="false">-E6*Assumptions!E46/100</f>
        <v>-310.674770784</v>
      </c>
      <c r="F17" s="4" t="n">
        <f aca="false">-F6*Assumptions!F46/100</f>
        <v>-326.2085093232</v>
      </c>
      <c r="G17" s="4" t="n">
        <f aca="false">-G6*Assumptions!G46/100</f>
        <v>-340.887892242744</v>
      </c>
      <c r="H17" s="4" t="n">
        <f aca="false">-H6*Assumptions!H46/100</f>
        <v>-354.523407932454</v>
      </c>
      <c r="I17" s="4" t="n">
        <f aca="false">-I6*Assumptions!I46/100</f>
        <v>-366.93172721009</v>
      </c>
      <c r="J17" s="4" t="n">
        <f aca="false">-J6*Assumptions!J46/100</f>
        <v>-377.939679026392</v>
      </c>
      <c r="K17" s="4" t="n">
        <f aca="false">-K6*Assumptions!K46/100</f>
        <v>-389.277869397184</v>
      </c>
      <c r="L17" s="4" t="n">
        <f aca="false">-L6*Assumptions!L46/100</f>
        <v>-400.9562054791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2109.003136</v>
      </c>
      <c r="D19" s="0" t="n">
        <f aca="false">D15+D16+D17+D18</f>
        <v>2266.36423396</v>
      </c>
      <c r="E19" s="0" t="n">
        <f aca="false">E15+E16+E17+E18</f>
        <v>2416.35932832</v>
      </c>
      <c r="F19" s="0" t="n">
        <f aca="false">F15+F16+F17+F18</f>
        <v>2577.9533584014</v>
      </c>
      <c r="G19" s="0" t="n">
        <f aca="false">G15+G16+G17+G18</f>
        <v>2748.40863120713</v>
      </c>
      <c r="H19" s="0" t="n">
        <f aca="false">H15+H16+H17+H18</f>
        <v>2858.34497645541</v>
      </c>
      <c r="I19" s="0" t="n">
        <f aca="false">I15+I16+I17+I18</f>
        <v>2958.38705063135</v>
      </c>
      <c r="J19" s="0" t="n">
        <f aca="false">J15+J16+J17+J18</f>
        <v>3047.13866215029</v>
      </c>
      <c r="K19" s="0" t="n">
        <f aca="false">K15+K16+K17+K18</f>
        <v>3138.5528220148</v>
      </c>
      <c r="L19" s="0" t="n">
        <f aca="false">L15+L16+L17+L18</f>
        <v>3232.70940667524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1917.27557818182</v>
      </c>
      <c r="D21" s="0" t="n">
        <f aca="false">D19*D20</f>
        <v>1873.02829252893</v>
      </c>
      <c r="E21" s="0" t="n">
        <f aca="false">E19*E20</f>
        <v>1815.44652766341</v>
      </c>
      <c r="F21" s="0" t="n">
        <f aca="false">F19*F20</f>
        <v>1760.77683109173</v>
      </c>
      <c r="G21" s="0" t="n">
        <f aca="false">G19*G20</f>
        <v>1706.54552359633</v>
      </c>
      <c r="H21" s="0" t="n">
        <f aca="false">H19*H20</f>
        <v>1613.46122230926</v>
      </c>
      <c r="I21" s="0" t="n">
        <f aca="false">I19*I20</f>
        <v>1518.12033190007</v>
      </c>
      <c r="J21" s="0" t="n">
        <f aca="false">J19*J20</f>
        <v>1421.51267441552</v>
      </c>
      <c r="K21" s="0" t="n">
        <f aca="false">K19*K20</f>
        <v>1331.05277695272</v>
      </c>
      <c r="L21" s="0" t="n">
        <f aca="false">L19*L20</f>
        <v>1246.34941841936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16203.5691770591</v>
      </c>
    </row>
    <row r="31" customFormat="false" ht="15" hidden="false" customHeight="false" outlineLevel="0" collapsed="false">
      <c r="A31" s="0" t="s">
        <v>137</v>
      </c>
      <c r="B31" s="0" t="n">
        <f aca="false">L19</f>
        <v>3232.70940667524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44180.3618912283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42025.2222867782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42025.2222867782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16202.5424394517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32406.1116165108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38842.3116165109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181.336655539266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0.713471185290242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1537.92987532567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1584.50623737035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195.913854944943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26508.217134737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121.385176212118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100.663829435376</v>
      </c>
      <c r="C4" s="0" t="n">
        <f aca="false">B4/Assumptions!$B$2-1</f>
        <v>-0.0488157475633</v>
      </c>
      <c r="D4" s="4" t="n">
        <f aca="false">Assumptions!$B$24</f>
        <v>0.25</v>
      </c>
      <c r="E4" s="4" t="n">
        <f aca="false">DCF_Bear!$B$43</f>
        <v>109.79398584518</v>
      </c>
      <c r="F4" s="4" t="n">
        <f aca="false">DCF_Bear!$B$47</f>
        <v>78.2922916208925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144.031334501224</v>
      </c>
      <c r="C5" s="0" t="n">
        <f aca="false">B5/Assumptions!$B$2-1</f>
        <v>0.360968860448117</v>
      </c>
      <c r="D5" s="4" t="n">
        <f aca="false">Assumptions!$B$38</f>
        <v>0.5</v>
      </c>
      <c r="E5" s="4" t="n">
        <f aca="false">DCF_Base!$B$43</f>
        <v>155.77222734327</v>
      </c>
      <c r="F5" s="4" t="n">
        <f aca="false">DCF_Base!$B$47</f>
        <v>101.673566701843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181.336655539266</v>
      </c>
      <c r="C6" s="0" t="n">
        <f aca="false">B6/Assumptions!$B$2-1</f>
        <v>0.713471185290242</v>
      </c>
      <c r="D6" s="4" t="n">
        <f aca="false">Assumptions!$B$52</f>
        <v>0.25</v>
      </c>
      <c r="E6" s="4" t="n">
        <f aca="false">DCF_Bull!$B$43</f>
        <v>195.913854944943</v>
      </c>
      <c r="F6" s="4" t="n">
        <f aca="false">DCF_Bull!$B$47</f>
        <v>121.385176212118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142.515788494273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154.313073869166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0.257415609048446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-310.96805178882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100.756150309174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152.074190117393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144.031334501224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131.984249428801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122.236084387972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101.673566701843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160.593326535241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160.593326535241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160.593326535241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160.593326535241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160.593326535241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151.242863039033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152.074190117393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152.074190117393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152.074190117393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152.074190117393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138.174163879213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140.940050006274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144.031334501224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144.284257778084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144.284257778084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127.613611206947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129.689664362328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131.984249428801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134.53378839155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137.152233812751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118.905539974939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120.49511799025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122.236084387972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124.151147425467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126.267796045855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2026-10-02T09:46:41Z</dcterms:created>
  <dc:creator>openpyxl</dc:creator>
  <dc:description/>
  <dc:language>en-NZ</dc:language>
  <cp:lastModifiedBy/>
  <dcterms:modified xsi:type="dcterms:W3CDTF">2026-10-02T09:46:41Z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