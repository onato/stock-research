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arnings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/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64" fontId="2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4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" t="inlineStr">
        <is>
          <t>AMP Limited (AMP.AX) valuation model</t>
        </is>
      </c>
      <c r="B1" t="inlineStr"/>
    </row>
    <row r="2">
      <c r="A2" s="1" t="inlineStr">
        <is>
          <t>Version</t>
        </is>
      </c>
      <c r="B2" t="inlineStr">
        <is>
          <t>v1.0 fresh build, 2026-09-21. Supersedes nothing (first valuation of this ticker).</t>
        </is>
      </c>
    </row>
    <row r="3">
      <c r="A3" s="1" t="inlineStr">
        <is>
          <t>Built by</t>
        </is>
      </c>
      <c r="B3" t="inlineStr">
        <is>
          <t>dcf-analyst agent (Claude Fable 5.1) on 2026-09-21 at the request of the research-stock orchestrator.</t>
        </is>
      </c>
    </row>
    <row r="4">
      <c r="A4" s="1" t="inlineStr">
        <is>
          <t>Model</t>
        </is>
      </c>
      <c r="B4" t="inlineStr">
        <is>
          <t>Distributable Underlying NPAT at AUD cost of equity, built per segment and summed; terminal = MAX(0, MIN(Gordon, exit-P/E cap)). NOT an owner-FCF DCF: AMP Bank makes OCF/FCF meaningless.</t>
        </is>
      </c>
    </row>
    <row r="5">
      <c r="A5" s="1" t="inlineStr">
        <is>
          <t>Why no net debt</t>
        </is>
      </c>
      <c r="B5" t="inlineStr">
        <is>
          <t>Interest-bearing liabilities (A$28.8bn) are bank deposits, wholesale funding and sub-debt, plus A$480m corporate MTNs whose interest is already inside Partnerships &amp; Group NPAT. Flows are post-interest, so nothing is deducted. The bridge ADDS the CET1 surplus and the PV of the net DTA.</t>
        </is>
      </c>
    </row>
    <row r="6">
      <c r="A6" s="1" t="inlineStr">
        <is>
          <t>Price</t>
        </is>
      </c>
      <c r="B6" t="inlineStr">
        <is>
          <t>A$2.55, ASX regular close 2026-09-21 (Yahoo regularMarketTime 06:10:30Z). This is the 52-week high (1.14-2.55). Refresh at each use.</t>
        </is>
      </c>
    </row>
    <row r="7">
      <c r="A7" s="1" t="inlineStr">
        <is>
          <t>Balance sheet</t>
        </is>
      </c>
      <c r="B7" t="inlineStr">
        <is>
          <t>30 June 2026 half-year report: shares on issue 2,432.8m (note 4.1), CET1 surplus A$322m and net DTA A$418m (note 4.3), equity A$3,696m.</t>
        </is>
      </c>
    </row>
    <row r="8">
      <c r="A8" s="1" t="inlineStr">
        <is>
          <t>Share count</t>
        </is>
      </c>
      <c r="B8" t="inlineStr">
        <is>
          <t>Fully diluted 2,475.7m = 2,432.8m issued - 2.1m treasury + ~45m dilutive rights (FY25 diluted 2,577m vs basic 2,532m). Held flat: SBC is expensed inside underlying NPAT.</t>
        </is>
      </c>
    </row>
    <row r="9">
      <c r="A9" s="1" t="inlineStr">
        <is>
          <t>Earnings base</t>
        </is>
      </c>
      <c r="B9" t="inlineStr">
        <is>
          <t>TTM to 30-Jun-2026 underlying NPAT A$328m = FY25 285 - 1H25 131 + 1H26 174, by segment (Actuals tab). Statutory TTM A$189m.</t>
        </is>
      </c>
    </row>
    <row r="10">
      <c r="A10" s="1" t="inlineStr">
        <is>
          <t>Guidance used</t>
        </is>
      </c>
      <c r="B10" t="inlineStr">
        <is>
          <t>1H26 results (6-Aug-2026): Platforms margin 40-41bps FY26, S&amp;I 60-61bps, bank NIM ~1.25% flat, GO deposits target A$2.0bn, buyback up to A$300m CY2026 (second A$150m tranche), 3.0c interim dividend.</t>
        </is>
      </c>
    </row>
    <row r="11">
      <c r="A11" s="1" t="inlineStr">
        <is>
          <t>Cost of equity</t>
        </is>
      </c>
      <c r="B11" t="inlineStr">
        <is>
          <t>10.5% AUD: ~4.4% AGB 10yr + ~1.1 beta x 5.5% ERP. One rate for all scenarios (risk charged once, in the flows).</t>
        </is>
      </c>
    </row>
    <row r="12">
      <c r="A12" s="1" t="inlineStr">
        <is>
          <t>Drivers</t>
        </is>
      </c>
      <c r="B12" t="inlineStr">
        <is>
          <t>Scenario driver paths (segment growth, below-the-line %, retention %, g, cap, weights) are the dcf-analyst agent's judgment set 2026-09-21 from the FY25 annual report, 1H26 report and AMP.AX_Analysis.json. Weights 25/50/25.</t>
        </is>
      </c>
    </row>
    <row r="13">
      <c r="A13" s="1" t="inlineStr">
        <is>
          <t>Refresh after next print</t>
        </is>
      </c>
      <c r="B13" t="inlineStr">
        <is>
          <t>FY26 result (Feb 2027): TTM segment NPAT, below-the-line items, CET1 surplus, DTA, share count after the 2H26 buyback, dividend, and the price.</t>
        </is>
      </c>
    </row>
    <row r="14">
      <c r="A14" s="1" t="inlineStr">
        <is>
          <t>Engine mapping</t>
        </is>
      </c>
      <c r="B14" t="inlineStr">
        <is>
          <t>The JSON also carries owner-FCF component fields so the dashboard rebuilds the same number: revenue is a total-revenue proxy, EBITDA margin = (underlying pre-tax + SBC)/revenue, 30% tax returns underlying NPAT, capex slot = leakage + retention.</t>
        </is>
      </c>
    </row>
    <row r="15">
      <c r="A15" s="1" t="inlineStr">
        <is>
          <t>Colour legend</t>
        </is>
      </c>
      <c r="B15" t="inlineStr">
        <is>
          <t>Blue = hardcoded input; yellow fill = key driver lever; black = formula; green = cross-sheet link.</t>
        </is>
      </c>
    </row>
    <row r="16">
      <c r="A16" s="1" t="inlineStr">
        <is>
          <t>Staleness</t>
        </is>
      </c>
      <c r="B16" t="inlineStr">
        <is>
          <t>All figures go stale: price daily, balance sheet each half. Do not act on this file without refreshing the Assumptions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11" max="11"/>
  </cols>
  <sheetData>
    <row r="1">
      <c r="A1" t="inlineStr">
        <is>
          <t>Reported history (A$m unless stated). Sources: AMP annual reports FY2020-FY2025, half-year reports 1H25/1H26 (Extracted/*.txt).</t>
        </is>
      </c>
    </row>
    <row r="3">
      <c r="A3" s="1" t="inlineStr">
        <is>
          <t>Metric</t>
        </is>
      </c>
      <c r="B3" s="1" t="inlineStr">
        <is>
          <t>FY2020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  <c r="G3" s="1" t="inlineStr">
        <is>
          <t>FY2025</t>
        </is>
      </c>
      <c r="H3" s="1" t="inlineStr">
        <is>
          <t>1H2025</t>
        </is>
      </c>
      <c r="I3" s="1" t="inlineStr">
        <is>
          <t>1H2026</t>
        </is>
      </c>
      <c r="J3" s="1" t="inlineStr">
        <is>
          <t>TTM Jun-26</t>
        </is>
      </c>
      <c r="K3" s="1" t="inlineStr">
        <is>
          <t>Source / note</t>
        </is>
      </c>
    </row>
    <row r="4">
      <c r="A4" t="inlineStr">
        <is>
          <t>Underlying NPAT</t>
        </is>
      </c>
      <c r="B4" s="2" t="n">
        <v>295</v>
      </c>
      <c r="C4" s="2" t="n">
        <v>356</v>
      </c>
      <c r="D4" s="2" t="n">
        <v>184</v>
      </c>
      <c r="E4" s="2" t="n">
        <v>210</v>
      </c>
      <c r="F4" s="2" t="n">
        <v>236</v>
      </c>
      <c r="G4" s="2" t="n">
        <v>285</v>
      </c>
      <c r="H4" s="2" t="n">
        <v>131</v>
      </c>
      <c r="I4" s="2" t="n">
        <v>174</v>
      </c>
      <c r="J4">
        <f>G4-H4+I4</f>
        <v/>
      </c>
      <c r="K4" t="inlineStr">
        <is>
          <t>kpis UnderlyingNPAT; FY24/1H25 restated for cost allocation</t>
        </is>
      </c>
    </row>
    <row r="5">
      <c r="A5" t="inlineStr">
        <is>
          <t xml:space="preserve">  Platforms</t>
        </is>
      </c>
      <c r="F5" s="2" t="n">
        <v>97</v>
      </c>
      <c r="G5" s="2" t="n">
        <v>106</v>
      </c>
      <c r="H5" s="2" t="n">
        <v>53</v>
      </c>
      <c r="I5" s="2" t="n">
        <v>61</v>
      </c>
      <c r="J5">
        <f>G5-H5+I5</f>
        <v/>
      </c>
      <c r="K5" t="inlineStr">
        <is>
          <t>FY25 AR p15; 1H26 directors' report</t>
        </is>
      </c>
    </row>
    <row r="6">
      <c r="A6" t="inlineStr">
        <is>
          <t xml:space="preserve">  Superannuation &amp; Investments</t>
        </is>
      </c>
      <c r="F6" s="2" t="n">
        <v>54</v>
      </c>
      <c r="G6" s="2" t="n">
        <v>62</v>
      </c>
      <c r="H6" s="2" t="n">
        <v>27</v>
      </c>
      <c r="I6" s="2" t="n">
        <v>32</v>
      </c>
      <c r="J6">
        <f>G6-H6+I6</f>
        <v/>
      </c>
      <c r="K6" t="inlineStr"/>
    </row>
    <row r="7">
      <c r="A7" t="inlineStr">
        <is>
          <t xml:space="preserve">  NZ Wealth Management</t>
        </is>
      </c>
      <c r="F7" s="2" t="n">
        <v>37</v>
      </c>
      <c r="G7" s="2" t="n">
        <v>39</v>
      </c>
      <c r="H7" s="2" t="n">
        <v>19</v>
      </c>
      <c r="I7" s="2" t="n">
        <v>18</v>
      </c>
      <c r="J7">
        <f>G7-H7+I7</f>
        <v/>
      </c>
      <c r="K7" t="inlineStr"/>
    </row>
    <row r="8">
      <c r="A8" t="inlineStr">
        <is>
          <t xml:space="preserve">  AMP Bank</t>
        </is>
      </c>
      <c r="F8" s="2" t="n">
        <v>61</v>
      </c>
      <c r="G8" s="2" t="n">
        <v>55</v>
      </c>
      <c r="H8" s="2" t="n">
        <v>30</v>
      </c>
      <c r="I8" s="2" t="n">
        <v>20</v>
      </c>
      <c r="J8">
        <f>G8-H8+I8</f>
        <v/>
      </c>
      <c r="K8" t="inlineStr">
        <is>
          <t>FY25 incl. GO loss -10; 1H26 GO investment</t>
        </is>
      </c>
    </row>
    <row r="9">
      <c r="A9" t="inlineStr">
        <is>
          <t xml:space="preserve">  Partnerships &amp; Group</t>
        </is>
      </c>
      <c r="F9" s="2" t="n">
        <v>-13</v>
      </c>
      <c r="G9" s="2" t="n">
        <v>23</v>
      </c>
      <c r="H9" s="2" t="n">
        <v>2</v>
      </c>
      <c r="I9" s="2" t="n">
        <v>43</v>
      </c>
      <c r="J9">
        <f>G9-H9+I9</f>
        <v/>
      </c>
      <c r="K9" t="inlineStr">
        <is>
          <t>China partnerships 72 FY25, 56 1H26</t>
        </is>
      </c>
    </row>
    <row r="10">
      <c r="A10" t="inlineStr">
        <is>
          <t>Statutory NPAT attributable</t>
        </is>
      </c>
      <c r="B10" s="2" t="n">
        <v>177</v>
      </c>
      <c r="C10" s="2" t="n">
        <v>-252</v>
      </c>
      <c r="D10" s="2" t="n">
        <v>387</v>
      </c>
      <c r="E10" s="2" t="n">
        <v>265</v>
      </c>
      <c r="F10" s="2" t="n">
        <v>150</v>
      </c>
      <c r="G10" s="2" t="n">
        <v>133</v>
      </c>
      <c r="H10" s="2" t="n">
        <v>98</v>
      </c>
      <c r="I10" s="2" t="n">
        <v>154</v>
      </c>
      <c r="J10">
        <f>G10-H10+I10</f>
        <v/>
      </c>
      <c r="K10" t="inlineStr">
        <is>
          <t>core_metrics net_income</t>
        </is>
      </c>
    </row>
    <row r="11">
      <c r="A11" t="inlineStr">
        <is>
          <t>Below-the-line items</t>
        </is>
      </c>
      <c r="B11" s="2" t="n">
        <v>-118</v>
      </c>
      <c r="C11" s="2" t="n">
        <v>-608</v>
      </c>
      <c r="D11" s="2" t="n">
        <v>203</v>
      </c>
      <c r="E11" s="2" t="n">
        <v>55</v>
      </c>
      <c r="F11" s="2" t="n">
        <v>-87</v>
      </c>
      <c r="G11" s="2" t="n">
        <v>-152</v>
      </c>
      <c r="H11" s="2" t="n">
        <v>-33</v>
      </c>
      <c r="I11" s="2" t="n">
        <v>-20</v>
      </c>
      <c r="J11">
        <f>G11-H11+I11</f>
        <v/>
      </c>
      <c r="K11" t="inlineStr">
        <is>
          <t>statutory - underlying; FY22-23 positive on disposal gains</t>
        </is>
      </c>
    </row>
    <row r="12">
      <c r="A12" t="inlineStr">
        <is>
          <t>Total revenue (proxy)</t>
        </is>
      </c>
      <c r="B12" s="2" t="n">
        <v>3427</v>
      </c>
      <c r="C12" s="2" t="n">
        <v>3297</v>
      </c>
      <c r="D12" s="2" t="n">
        <v>2369</v>
      </c>
      <c r="E12" s="2" t="n">
        <v>2976</v>
      </c>
      <c r="F12" s="2" t="n">
        <v>2869</v>
      </c>
      <c r="G12" s="2" t="n">
        <v>2811</v>
      </c>
      <c r="H12" s="2" t="n">
        <v>1376</v>
      </c>
      <c r="I12" s="2" t="n">
        <v>1425</v>
      </c>
      <c r="J12">
        <f>G12-H12+I12</f>
        <v/>
      </c>
      <c r="K12" t="inlineStr">
        <is>
          <t>core_metrics revenue; includes gross bank interest</t>
        </is>
      </c>
    </row>
    <row r="13">
      <c r="A13" t="inlineStr">
        <is>
          <t>Operating cash flow</t>
        </is>
      </c>
      <c r="B13" s="2" t="n">
        <v>-5410</v>
      </c>
      <c r="C13" s="2" t="n">
        <v>1689</v>
      </c>
      <c r="D13" s="2" t="n">
        <v>2566</v>
      </c>
      <c r="E13" s="2" t="n">
        <v>-105</v>
      </c>
      <c r="F13" s="2" t="n">
        <v>216</v>
      </c>
      <c r="G13" s="2" t="n">
        <v>-1375</v>
      </c>
      <c r="H13" s="2" t="n">
        <v>-192</v>
      </c>
      <c r="I13" s="2" t="n">
        <v>-1181</v>
      </c>
      <c r="K13" t="inlineStr">
        <is>
          <t>MEANINGLESS for valuation: loan/deposit movements</t>
        </is>
      </c>
    </row>
    <row r="14">
      <c r="A14" t="inlineStr">
        <is>
          <t>Cash tax paid</t>
        </is>
      </c>
      <c r="B14" s="2" t="n">
        <v>417</v>
      </c>
      <c r="E14" s="2" t="n">
        <v>-20</v>
      </c>
      <c r="F14" s="2" t="n">
        <v>-69</v>
      </c>
      <c r="G14" s="2" t="n">
        <v>18</v>
      </c>
      <c r="H14" s="2" t="n">
        <v>11</v>
      </c>
      <c r="I14" s="2" t="n">
        <v>7</v>
      </c>
      <c r="K14" t="inlineStr">
        <is>
          <t>kpis CashTaxesPaid, sign as paid; DTA utilisation keeps it low</t>
        </is>
      </c>
    </row>
    <row r="15">
      <c r="A15" t="inlineStr">
        <is>
          <t>Share-based payment expense</t>
        </is>
      </c>
      <c r="B15" s="2" t="n">
        <v>22</v>
      </c>
      <c r="C15" s="2" t="n">
        <v>17</v>
      </c>
      <c r="D15" s="2" t="n">
        <v>11</v>
      </c>
      <c r="E15" s="2" t="n">
        <v>9</v>
      </c>
      <c r="F15" s="2" t="n">
        <v>7</v>
      </c>
      <c r="G15" s="2" t="n">
        <v>11</v>
      </c>
      <c r="H15" s="2" t="n">
        <v>10</v>
      </c>
      <c r="I15" s="2" t="n">
        <v>21</v>
      </c>
      <c r="J15">
        <f>G15-H15+I15</f>
        <v/>
      </c>
      <c r="K15" t="inlineStr">
        <is>
          <t>statement of changes in equity</t>
        </is>
      </c>
    </row>
    <row r="16">
      <c r="A16" t="inlineStr">
        <is>
          <t>Share buy-backs</t>
        </is>
      </c>
      <c r="B16" s="2" t="n">
        <v>0</v>
      </c>
      <c r="C16" s="2" t="n">
        <v>196</v>
      </c>
      <c r="D16" s="2" t="n">
        <v>267</v>
      </c>
      <c r="E16" s="2" t="n">
        <v>338</v>
      </c>
      <c r="F16" s="2" t="n">
        <v>244</v>
      </c>
      <c r="G16" s="2" t="n">
        <v>0</v>
      </c>
      <c r="H16" s="2" t="n">
        <v>0</v>
      </c>
      <c r="I16" s="2" t="n">
        <v>150</v>
      </c>
      <c r="K16" t="inlineStr">
        <is>
          <t>cash flow statement, actual outflow</t>
        </is>
      </c>
    </row>
    <row r="17">
      <c r="A17" t="inlineStr">
        <is>
          <t>Dividends paid</t>
        </is>
      </c>
      <c r="B17" s="2" t="n">
        <v>360</v>
      </c>
      <c r="C17" s="2" t="n">
        <v>0</v>
      </c>
      <c r="D17" s="2" t="n">
        <v>0</v>
      </c>
      <c r="E17" s="2" t="n">
        <v>145</v>
      </c>
      <c r="F17" s="2" t="n">
        <v>106</v>
      </c>
      <c r="G17" s="2" t="n">
        <v>76</v>
      </c>
      <c r="H17" s="2" t="n">
        <v>25</v>
      </c>
      <c r="I17" s="2" t="n">
        <v>51</v>
      </c>
      <c r="K17" t="inlineStr">
        <is>
          <t>cash flow statement</t>
        </is>
      </c>
    </row>
    <row r="18">
      <c r="A18" t="inlineStr">
        <is>
          <t>Shares on issue (m)</t>
        </is>
      </c>
      <c r="B18" s="2" t="n">
        <v>3428</v>
      </c>
      <c r="C18" s="2" t="n">
        <v>3335</v>
      </c>
      <c r="D18" s="2" t="n">
        <v>3213</v>
      </c>
      <c r="E18" s="2" t="n">
        <v>2860</v>
      </c>
      <c r="F18" s="2" t="n">
        <v>2625</v>
      </c>
      <c r="G18" s="2" t="n">
        <v>2530</v>
      </c>
      <c r="H18" s="2" t="n">
        <v>2532</v>
      </c>
      <c r="I18" s="2" t="n">
        <v>2433</v>
      </c>
      <c r="K18" t="inlineStr">
        <is>
          <t>period end; 1H26 after 98.9m buyback</t>
        </is>
      </c>
    </row>
    <row r="19">
      <c r="A19" t="inlineStr">
        <is>
          <t>Shareholders' equity</t>
        </is>
      </c>
      <c r="B19" s="2" t="n">
        <v>4282</v>
      </c>
      <c r="C19" s="2" t="n">
        <v>3983</v>
      </c>
      <c r="D19" s="2" t="n">
        <v>4171</v>
      </c>
      <c r="E19" s="2" t="n">
        <v>3874</v>
      </c>
      <c r="F19" s="2" t="n">
        <v>3652</v>
      </c>
      <c r="G19" s="2" t="n">
        <v>3744</v>
      </c>
      <c r="H19" s="2" t="n">
        <v>3735</v>
      </c>
      <c r="I19" s="2" t="n">
        <v>3696</v>
      </c>
      <c r="K19" t="inlineStr">
        <is>
          <t>core_metrics</t>
        </is>
      </c>
    </row>
    <row r="20">
      <c r="A20" t="inlineStr">
        <is>
          <t>Underlying EPS (cents)</t>
        </is>
      </c>
      <c r="B20" s="2" t="n">
        <v>8.6</v>
      </c>
      <c r="C20" s="2" t="n">
        <v>10.7</v>
      </c>
      <c r="D20" s="2" t="n">
        <v>5.7</v>
      </c>
      <c r="E20" s="2" t="n">
        <v>7.3</v>
      </c>
      <c r="F20" s="2" t="n">
        <v>9</v>
      </c>
      <c r="G20" s="2" t="n">
        <v>11.3</v>
      </c>
      <c r="H20" s="2" t="n">
        <v>5.2</v>
      </c>
      <c r="I20" s="2" t="n">
        <v>6.9</v>
      </c>
      <c r="J20">
        <f>G20-H20+I20</f>
        <v/>
      </c>
      <c r="K20" t="inlineStr">
        <is>
          <t>FY20-23 derived NPAT/shares; FY24+ reported</t>
        </is>
      </c>
    </row>
    <row r="21">
      <c r="A21" t="inlineStr">
        <is>
          <t>Underlying ROE %</t>
        </is>
      </c>
      <c r="F21" s="2" t="n">
        <v>6.4</v>
      </c>
      <c r="G21" s="2" t="n">
        <v>8</v>
      </c>
      <c r="H21" s="2" t="n">
        <v>7.4</v>
      </c>
      <c r="I21" s="2" t="n">
        <v>9.800000000000001</v>
      </c>
      <c r="K21" t="inlineStr">
        <is>
          <t>reported</t>
        </is>
      </c>
    </row>
    <row r="22">
      <c r="A22" t="inlineStr">
        <is>
          <t>Total AUM (A$bn)</t>
        </is>
      </c>
      <c r="F22" s="2" t="n">
        <v>148.4</v>
      </c>
      <c r="G22" s="2" t="n">
        <v>161.7</v>
      </c>
      <c r="H22" s="2" t="n">
        <v>153.9</v>
      </c>
      <c r="I22" s="2" t="n">
        <v>167.6</v>
      </c>
      <c r="K22" t="inlineStr">
        <is>
          <t>kpis TotalAUM</t>
        </is>
      </c>
    </row>
    <row r="23">
      <c r="A23" t="inlineStr">
        <is>
          <t>AMP Bank loans</t>
        </is>
      </c>
      <c r="F23" s="2" t="n">
        <v>23274</v>
      </c>
      <c r="G23" s="2" t="n">
        <v>24098</v>
      </c>
      <c r="H23" s="2" t="n">
        <v>23521</v>
      </c>
      <c r="I23" s="2" t="n">
        <v>23734</v>
      </c>
      <c r="K23" t="inlineStr">
        <is>
          <t>gross loans</t>
        </is>
      </c>
    </row>
    <row r="24">
      <c r="A24" t="inlineStr">
        <is>
          <t>CET1 surplus capital</t>
        </is>
      </c>
      <c r="F24" s="2" t="n">
        <v>139</v>
      </c>
      <c r="G24" s="2" t="n">
        <v>287</v>
      </c>
      <c r="I24" s="2" t="n">
        <v>322</v>
      </c>
      <c r="K24" t="inlineStr">
        <is>
          <t>capital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60" customWidth="1" min="3" max="3"/>
  </cols>
  <sheetData>
    <row r="1">
      <c r="A1" t="inlineStr">
        <is>
          <t>Global inputs (blue) and scenario levers (yellow). Every DCF tab links here.</t>
        </is>
      </c>
    </row>
    <row r="3">
      <c r="A3" t="inlineStr">
        <is>
          <t>Share price (A$)</t>
        </is>
      </c>
      <c r="B3" s="2" t="n">
        <v>2.55</v>
      </c>
      <c r="C3" t="inlineStr">
        <is>
          <t>ASX close 2026-09-21 06:10:30Z</t>
        </is>
      </c>
    </row>
    <row r="4">
      <c r="A4" t="inlineStr">
        <is>
          <t>Diluted shares (m)</t>
        </is>
      </c>
      <c r="B4" s="2" t="n">
        <v>2475.7</v>
      </c>
      <c r="C4" t="inlineStr">
        <is>
          <t>2,432.8 issued - 2.1 treasury + 45 dilutive, 30-Jun-2026</t>
        </is>
      </c>
    </row>
    <row r="5">
      <c r="A5" t="inlineStr">
        <is>
          <t>CET1 surplus capital (A$m)</t>
        </is>
      </c>
      <c r="B5" s="2" t="n">
        <v>322</v>
      </c>
      <c r="C5" t="inlineStr">
        <is>
          <t>30-Jun-2026, note 4.3</t>
        </is>
      </c>
    </row>
    <row r="6">
      <c r="A6" t="inlineStr">
        <is>
          <t>Net DTA at PV (A$m)</t>
        </is>
      </c>
      <c r="B6" s="2" t="n">
        <v>300</v>
      </c>
      <c r="C6" t="inlineStr">
        <is>
          <t>A$418m face, ~4yr utilisation, haircut to 300</t>
        </is>
      </c>
    </row>
    <row r="7">
      <c r="A7" t="inlineStr">
        <is>
          <t>Net distributable capital added (A$m)</t>
        </is>
      </c>
      <c r="B7" s="3">
        <f>B5+B6</f>
        <v/>
      </c>
      <c r="C7" t="inlineStr">
        <is>
          <t>enters the bridge as net cash; no debt deducted</t>
        </is>
      </c>
    </row>
    <row r="8">
      <c r="A8" t="inlineStr">
        <is>
          <t>Cost of equity</t>
        </is>
      </c>
      <c r="B8" s="2" t="n">
        <v>0.105</v>
      </c>
      <c r="C8" t="inlineStr">
        <is>
          <t>AUD: 4.4% rf + 1.1 x 5.5% ERP; same for all scenarios</t>
        </is>
      </c>
    </row>
    <row r="9">
      <c r="A9" t="inlineStr">
        <is>
          <t>Hurdle rate</t>
        </is>
      </c>
      <c r="B9" s="2" t="n">
        <v>0.15</v>
      </c>
      <c r="C9" t="inlineStr">
        <is>
          <t>entry-price IRR</t>
        </is>
      </c>
    </row>
    <row r="10">
      <c r="A10" t="inlineStr">
        <is>
          <t>SBC TTM (A$m)</t>
        </is>
      </c>
      <c r="B10" s="2" t="n">
        <v>22</v>
      </c>
      <c r="C10" t="inlineStr">
        <is>
          <t>expensed in underlying NPAT; street memo adds back</t>
        </is>
      </c>
    </row>
    <row r="11">
      <c r="A11" t="inlineStr">
        <is>
          <t>Revenue proxy TTM (A$m)</t>
        </is>
      </c>
      <c r="B11" s="2" t="n">
        <v>2860</v>
      </c>
      <c r="C11" t="inlineStr">
        <is>
          <t>engine scaler only</t>
        </is>
      </c>
    </row>
    <row r="12">
      <c r="A12" t="inlineStr">
        <is>
          <t>Tax rate (mapping)</t>
        </is>
      </c>
      <c r="B12" s="2" t="n">
        <v>0.3</v>
      </c>
      <c r="C12" t="inlineStr">
        <is>
          <t>engine mapping only</t>
        </is>
      </c>
    </row>
    <row r="14">
      <c r="A14" s="1" t="inlineStr">
        <is>
          <t>Scenario levers</t>
        </is>
      </c>
    </row>
    <row r="15">
      <c r="B15" s="1" t="inlineStr">
        <is>
          <t>Bear</t>
        </is>
      </c>
      <c r="C15" s="1" t="inlineStr">
        <is>
          <t>Base</t>
        </is>
      </c>
      <c r="D15" s="1" t="inlineStr">
        <is>
          <t>Bull</t>
        </is>
      </c>
    </row>
    <row r="16">
      <c r="A16" t="inlineStr">
        <is>
          <t>Terminal growth</t>
        </is>
      </c>
      <c r="B16" s="4" t="n">
        <v>0.015</v>
      </c>
      <c r="C16" s="4" t="n">
        <v>0.025</v>
      </c>
      <c r="D16" s="4" t="n">
        <v>0.03</v>
      </c>
    </row>
    <row r="17">
      <c r="A17" t="inlineStr">
        <is>
          <t>Exit P/E cap (x distributable)</t>
        </is>
      </c>
      <c r="B17" s="4" t="n">
        <v>12</v>
      </c>
      <c r="C17" s="4" t="n">
        <v>15</v>
      </c>
      <c r="D17" s="4" t="n">
        <v>15</v>
      </c>
    </row>
    <row r="18">
      <c r="A18" t="inlineStr">
        <is>
          <t>Probability weight</t>
        </is>
      </c>
      <c r="B18" s="4" t="n">
        <v>0.25</v>
      </c>
      <c r="C18" s="4" t="n">
        <v>0.5</v>
      </c>
      <c r="D18" s="4" t="n">
        <v>0.25</v>
      </c>
    </row>
    <row r="19">
      <c r="A19" t="inlineStr">
        <is>
          <t>Revenue proxy growth %/yr</t>
        </is>
      </c>
      <c r="B19" s="4" t="n">
        <v>0.01</v>
      </c>
      <c r="C19" s="4" t="n">
        <v>0.04</v>
      </c>
      <c r="D19" s="4" t="n">
        <v>0.06</v>
      </c>
    </row>
    <row r="20">
      <c r="A20" t="inlineStr">
        <is>
          <t>Weights check (must be 1.0)</t>
        </is>
      </c>
      <c r="B20">
        <f>SUM(B18:D18)</f>
        <v/>
      </c>
    </row>
    <row r="22">
      <c r="A22" s="1" t="inlineStr">
        <is>
          <t>Scenario narratives</t>
        </is>
      </c>
    </row>
    <row r="23" ht="110" customHeight="1">
      <c r="A23" t="inlineStr">
        <is>
          <t>Bear</t>
        </is>
      </c>
      <c r="B23" s="5" t="inlineStr">
        <is>
          <t>An equity-market drawdown plus fee caps stall Platforms at ~3% and put S&amp;I back into net outflows; NIM pressure and a failed GO scale-up hold the bank at $43-50m; China partnership earnings halve on regulatory or repatriation constraints (they were 32% of 1H26 underlying NPAT); a new remediation/litigation cycle keeps below-the-line items at 15-20% of NPAT; mega super funds use DBFO Tranche 2 to take retirement flows from adviser platforms; new CEO Blair Vernon's strategy reset consumes capital. g 1.5%, 12x cap.</t>
        </is>
      </c>
    </row>
    <row r="24" ht="110" customHeight="1">
      <c r="A24" t="inlineStr">
        <is>
          <t>Base</t>
        </is>
      </c>
      <c r="B24" s="5" t="inlineStr">
        <is>
          <t>Platforms (North) keeps compounding on adviser activations and managed-portfolio flows (~$3bn/half net inflows, AUM +10-11%/yr) with ~2bps/yr fee-margin compression (FY26 guided 40-41bps vs 42bps FY25), so NPAT grows ~10% fading to 3%. S&amp;I has just reached cashflow break-even; growth is market beta net of fee caps. NZ Wealth tracks KiwiSaver contributions. AMP Bank absorbs GO start-up losses through 2027 then recovers to ~$66-70m by Y3-4 (NIM guided flat ~1.25%, GO deposits scaling toward the $2bn target, ROC back to 5-6%). Partnerships &amp; Group steps down in Y1 (surplus-capital interest stripped, buyback cash gone, China partnership growth slows from the 107% 1H26 spike to ~10%) then grows 3-4%. Below-the-line items persist at 10% of underlying NPAT for two years then settle at 5% - AMP has never had a clean statutory year outside disposal gains. 10% of statutory profit retained for bank capital. CoE 10.5%, g 2.5%, 15x cap (Gordon at 12.8x binds).</t>
        </is>
      </c>
    </row>
    <row r="25" ht="110" customHeight="1">
      <c r="A25" t="inlineStr">
        <is>
          <t>Bull</t>
        </is>
      </c>
      <c r="B25" s="5" t="inlineStr">
        <is>
          <t>North wins platform share faster (AUM +13%, margin compression slower as managed portfolios scale), S&amp;I turns to sustained net inflows, AMP Bank GO reaches breakeven by Y2 and the bank's ROC rises toward 7%, China's CLPC keeps compounding at 10%+ as the pension market opens, cost-out delivers a cost-to-income ratio under 55%, and remediation finally fades to 3% of NPAT. g 3.0%, 15x cap.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Bear case: segment underlying NPAT -&gt; distributable earnings -&gt; value. A$m. Drivers in yellow.</t>
        </is>
      </c>
    </row>
    <row r="3">
      <c r="A3" t="inlineStr">
        <is>
          <t>Year</t>
        </is>
      </c>
      <c r="B3" t="inlineStr">
        <is>
          <t>TTM Jun-26A</t>
        </is>
      </c>
      <c r="C3" t="inlineStr">
        <is>
          <t>Y1E</t>
        </is>
      </c>
      <c r="D3" t="inlineStr">
        <is>
          <t>Y2E</t>
        </is>
      </c>
      <c r="E3" t="inlineStr">
        <is>
          <t>Y3E</t>
        </is>
      </c>
      <c r="F3" t="inlineStr">
        <is>
          <t>Y4E</t>
        </is>
      </c>
      <c r="G3" t="inlineStr">
        <is>
          <t>Y5E</t>
        </is>
      </c>
      <c r="H3" t="inlineStr">
        <is>
          <t>Y6E</t>
        </is>
      </c>
      <c r="I3" t="inlineStr">
        <is>
          <t>Y7E</t>
        </is>
      </c>
      <c r="J3" t="inlineStr">
        <is>
          <t>Y8E</t>
        </is>
      </c>
      <c r="K3" t="inlineStr">
        <is>
          <t>Y9E</t>
        </is>
      </c>
      <c r="L3" t="inlineStr">
        <is>
          <t>Y10E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Platforms NPAT growth %</t>
        </is>
      </c>
      <c r="C5" s="6" t="n">
        <v>0.03</v>
      </c>
      <c r="D5" s="6" t="n">
        <v>0.02</v>
      </c>
      <c r="E5" s="6" t="n">
        <v>0.03</v>
      </c>
      <c r="F5" s="6" t="n">
        <v>0.03</v>
      </c>
      <c r="G5" s="6" t="n">
        <v>0.03</v>
      </c>
      <c r="H5" s="6" t="n">
        <v>0.03</v>
      </c>
      <c r="I5" s="6" t="n">
        <v>0.03</v>
      </c>
      <c r="J5" s="6" t="n">
        <v>0.03</v>
      </c>
      <c r="K5" s="6" t="n">
        <v>0.03</v>
      </c>
      <c r="L5" s="6" t="n">
        <v>0.03</v>
      </c>
    </row>
    <row r="6">
      <c r="A6" t="inlineStr">
        <is>
          <t>Superannuation &amp; Investments NPAT growth %</t>
        </is>
      </c>
      <c r="C6" s="6" t="n">
        <v>-0.02</v>
      </c>
      <c r="D6" s="6" t="n">
        <v>-0.02</v>
      </c>
      <c r="E6" s="6" t="n">
        <v>0</v>
      </c>
      <c r="F6" s="6" t="n">
        <v>0.01</v>
      </c>
      <c r="G6" s="6" t="n">
        <v>0.01</v>
      </c>
      <c r="H6" s="6" t="n">
        <v>0.02</v>
      </c>
      <c r="I6" s="6" t="n">
        <v>0.02</v>
      </c>
      <c r="J6" s="6" t="n">
        <v>0.02</v>
      </c>
      <c r="K6" s="6" t="n">
        <v>0.02</v>
      </c>
      <c r="L6" s="6" t="n">
        <v>0.02</v>
      </c>
    </row>
    <row r="7">
      <c r="A7" t="inlineStr">
        <is>
          <t>NZ Wealth Management NPAT growth %</t>
        </is>
      </c>
      <c r="C7" s="6" t="n">
        <v>0</v>
      </c>
      <c r="D7" s="6" t="n">
        <v>0.01</v>
      </c>
      <c r="E7" s="6" t="n">
        <v>0.01</v>
      </c>
      <c r="F7" s="6" t="n">
        <v>0.02</v>
      </c>
      <c r="G7" s="6" t="n">
        <v>0.02</v>
      </c>
      <c r="H7" s="6" t="n">
        <v>0.02</v>
      </c>
      <c r="I7" s="6" t="n">
        <v>0.02</v>
      </c>
      <c r="J7" s="6" t="n">
        <v>0.02</v>
      </c>
      <c r="K7" s="6" t="n">
        <v>0.02</v>
      </c>
      <c r="L7" s="6" t="n">
        <v>0.02</v>
      </c>
    </row>
    <row r="8">
      <c r="A8" t="inlineStr">
        <is>
          <t>AMP Bank NPAT growth %</t>
        </is>
      </c>
      <c r="C8" s="6" t="n">
        <v>-0.05</v>
      </c>
      <c r="D8" s="6" t="n">
        <v>0</v>
      </c>
      <c r="E8" s="6" t="n">
        <v>0.05</v>
      </c>
      <c r="F8" s="6" t="n">
        <v>0.05</v>
      </c>
      <c r="G8" s="6" t="n">
        <v>0.03</v>
      </c>
      <c r="H8" s="6" t="n">
        <v>0.03</v>
      </c>
      <c r="I8" s="6" t="n">
        <v>0.03</v>
      </c>
      <c r="J8" s="6" t="n">
        <v>0.03</v>
      </c>
      <c r="K8" s="6" t="n">
        <v>0.03</v>
      </c>
      <c r="L8" s="6" t="n">
        <v>0.03</v>
      </c>
    </row>
    <row r="9">
      <c r="A9" t="inlineStr">
        <is>
          <t>Partnerships &amp; Group NPAT growth %</t>
        </is>
      </c>
      <c r="C9" s="6" t="n">
        <v>-0.4</v>
      </c>
      <c r="D9" s="6" t="n">
        <v>0</v>
      </c>
      <c r="E9" s="6" t="n">
        <v>0.02</v>
      </c>
      <c r="F9" s="6" t="n">
        <v>0.02</v>
      </c>
      <c r="G9" s="6" t="n">
        <v>0.02</v>
      </c>
      <c r="H9" s="6" t="n">
        <v>0.02</v>
      </c>
      <c r="I9" s="6" t="n">
        <v>0.02</v>
      </c>
      <c r="J9" s="6" t="n">
        <v>0.02</v>
      </c>
      <c r="K9" s="6" t="n">
        <v>0.02</v>
      </c>
      <c r="L9" s="6" t="n">
        <v>0.02</v>
      </c>
    </row>
    <row r="10">
      <c r="A10" t="inlineStr">
        <is>
          <t>Platforms underlying NPAT</t>
        </is>
      </c>
      <c r="B10" s="7">
        <f>Actuals!J5</f>
        <v/>
      </c>
      <c r="C10">
        <f>B10*(1+C5)</f>
        <v/>
      </c>
      <c r="D10">
        <f>C10*(1+D5)</f>
        <v/>
      </c>
      <c r="E10">
        <f>D10*(1+E5)</f>
        <v/>
      </c>
      <c r="F10">
        <f>E10*(1+F5)</f>
        <v/>
      </c>
      <c r="G10">
        <f>F10*(1+G5)</f>
        <v/>
      </c>
      <c r="H10">
        <f>G10*(1+H5)</f>
        <v/>
      </c>
      <c r="I10">
        <f>H10*(1+I5)</f>
        <v/>
      </c>
      <c r="J10">
        <f>I10*(1+J5)</f>
        <v/>
      </c>
      <c r="K10">
        <f>J10*(1+K5)</f>
        <v/>
      </c>
      <c r="L10">
        <f>K10*(1+L5)</f>
        <v/>
      </c>
    </row>
    <row r="11">
      <c r="A11" t="inlineStr">
        <is>
          <t>Superannuation &amp; Investments underlying NPAT</t>
        </is>
      </c>
      <c r="B11" s="7">
        <f>Actuals!J6</f>
        <v/>
      </c>
      <c r="C11">
        <f>B11*(1+C6)</f>
        <v/>
      </c>
      <c r="D11">
        <f>C11*(1+D6)</f>
        <v/>
      </c>
      <c r="E11">
        <f>D11*(1+E6)</f>
        <v/>
      </c>
      <c r="F11">
        <f>E11*(1+F6)</f>
        <v/>
      </c>
      <c r="G11">
        <f>F11*(1+G6)</f>
        <v/>
      </c>
      <c r="H11">
        <f>G11*(1+H6)</f>
        <v/>
      </c>
      <c r="I11">
        <f>H11*(1+I6)</f>
        <v/>
      </c>
      <c r="J11">
        <f>I11*(1+J6)</f>
        <v/>
      </c>
      <c r="K11">
        <f>J11*(1+K6)</f>
        <v/>
      </c>
      <c r="L11">
        <f>K11*(1+L6)</f>
        <v/>
      </c>
    </row>
    <row r="12">
      <c r="A12" t="inlineStr">
        <is>
          <t>NZ Wealth Management underlying NPAT</t>
        </is>
      </c>
      <c r="B12" s="7">
        <f>Actuals!J7</f>
        <v/>
      </c>
      <c r="C12">
        <f>B12*(1+C7)</f>
        <v/>
      </c>
      <c r="D12">
        <f>C12*(1+D7)</f>
        <v/>
      </c>
      <c r="E12">
        <f>D12*(1+E7)</f>
        <v/>
      </c>
      <c r="F12">
        <f>E12*(1+F7)</f>
        <v/>
      </c>
      <c r="G12">
        <f>F12*(1+G7)</f>
        <v/>
      </c>
      <c r="H12">
        <f>G12*(1+H7)</f>
        <v/>
      </c>
      <c r="I12">
        <f>H12*(1+I7)</f>
        <v/>
      </c>
      <c r="J12">
        <f>I12*(1+J7)</f>
        <v/>
      </c>
      <c r="K12">
        <f>J12*(1+K7)</f>
        <v/>
      </c>
      <c r="L12">
        <f>K12*(1+L7)</f>
        <v/>
      </c>
    </row>
    <row r="13">
      <c r="A13" t="inlineStr">
        <is>
          <t>AMP Bank underlying NPAT</t>
        </is>
      </c>
      <c r="B13" s="7">
        <f>Actuals!J8</f>
        <v/>
      </c>
      <c r="C13">
        <f>B13*(1+C8)</f>
        <v/>
      </c>
      <c r="D13">
        <f>C13*(1+D8)</f>
        <v/>
      </c>
      <c r="E13">
        <f>D13*(1+E8)</f>
        <v/>
      </c>
      <c r="F13">
        <f>E13*(1+F8)</f>
        <v/>
      </c>
      <c r="G13">
        <f>F13*(1+G8)</f>
        <v/>
      </c>
      <c r="H13">
        <f>G13*(1+H8)</f>
        <v/>
      </c>
      <c r="I13">
        <f>H13*(1+I8)</f>
        <v/>
      </c>
      <c r="J13">
        <f>I13*(1+J8)</f>
        <v/>
      </c>
      <c r="K13">
        <f>J13*(1+K8)</f>
        <v/>
      </c>
      <c r="L13">
        <f>K13*(1+L8)</f>
        <v/>
      </c>
    </row>
    <row r="14">
      <c r="A14" t="inlineStr">
        <is>
          <t>Partnerships &amp; Group underlying NPAT</t>
        </is>
      </c>
      <c r="B14" s="7">
        <f>Actuals!J9</f>
        <v/>
      </c>
      <c r="C14">
        <f>B14*(1+C9)</f>
        <v/>
      </c>
      <c r="D14">
        <f>C14*(1+D9)</f>
        <v/>
      </c>
      <c r="E14">
        <f>D14*(1+E9)</f>
        <v/>
      </c>
      <c r="F14">
        <f>E14*(1+F9)</f>
        <v/>
      </c>
      <c r="G14">
        <f>F14*(1+G9)</f>
        <v/>
      </c>
      <c r="H14">
        <f>G14*(1+H9)</f>
        <v/>
      </c>
      <c r="I14">
        <f>H14*(1+I9)</f>
        <v/>
      </c>
      <c r="J14">
        <f>I14*(1+J9)</f>
        <v/>
      </c>
      <c r="K14">
        <f>J14*(1+K9)</f>
        <v/>
      </c>
      <c r="L14">
        <f>K14*(1+L9)</f>
        <v/>
      </c>
    </row>
    <row r="15">
      <c r="A15" s="1" t="inlineStr">
        <is>
          <t>Underlying NPAT (group)</t>
        </is>
      </c>
      <c r="B15">
        <f>SUM(B10:B14)</f>
        <v/>
      </c>
      <c r="C15">
        <f>SUM(C10:C14)</f>
        <v/>
      </c>
      <c r="D15">
        <f>SUM(D10:D14)</f>
        <v/>
      </c>
      <c r="E15">
        <f>SUM(E10:E14)</f>
        <v/>
      </c>
      <c r="F15">
        <f>SUM(F10:F14)</f>
        <v/>
      </c>
      <c r="G15">
        <f>SUM(G10:G14)</f>
        <v/>
      </c>
      <c r="H15">
        <f>SUM(H10:H14)</f>
        <v/>
      </c>
      <c r="I15">
        <f>SUM(I10:I14)</f>
        <v/>
      </c>
      <c r="J15">
        <f>SUM(J10:J14)</f>
        <v/>
      </c>
      <c r="K15">
        <f>SUM(K10:K14)</f>
        <v/>
      </c>
      <c r="L15">
        <f>SUM(L10:L14)</f>
        <v/>
      </c>
    </row>
    <row r="16">
      <c r="A16" t="inlineStr">
        <is>
          <t>Below-the-line items % of underlying NPAT</t>
        </is>
      </c>
      <c r="C16" s="6" t="n">
        <v>0.2</v>
      </c>
      <c r="D16" s="6" t="n">
        <v>0.2</v>
      </c>
      <c r="E16" s="6" t="n">
        <v>0.15</v>
      </c>
      <c r="F16" s="6" t="n">
        <v>0.12</v>
      </c>
      <c r="G16" s="6" t="n">
        <v>0.1</v>
      </c>
      <c r="H16" s="6" t="n">
        <v>0.1</v>
      </c>
      <c r="I16" s="6" t="n">
        <v>0.1</v>
      </c>
      <c r="J16" s="6" t="n">
        <v>0.1</v>
      </c>
      <c r="K16" s="6" t="n">
        <v>0.1</v>
      </c>
      <c r="L16" s="6" t="n">
        <v>0.1</v>
      </c>
    </row>
    <row r="17">
      <c r="A17" t="inlineStr">
        <is>
          <t>Below-the-line items (simplification, remediation, litigation)</t>
        </is>
      </c>
      <c r="C17">
        <f>-C15*C16</f>
        <v/>
      </c>
      <c r="D17">
        <f>-D15*D16</f>
        <v/>
      </c>
      <c r="E17">
        <f>-E15*E16</f>
        <v/>
      </c>
      <c r="F17">
        <f>-F15*F16</f>
        <v/>
      </c>
      <c r="G17">
        <f>-G15*G16</f>
        <v/>
      </c>
      <c r="H17">
        <f>-H15*H16</f>
        <v/>
      </c>
      <c r="I17">
        <f>-I15*I16</f>
        <v/>
      </c>
      <c r="J17">
        <f>-J15*J16</f>
        <v/>
      </c>
      <c r="K17">
        <f>-K15*K16</f>
        <v/>
      </c>
      <c r="L17">
        <f>-L15*L16</f>
        <v/>
      </c>
    </row>
    <row r="18">
      <c r="A18" t="inlineStr">
        <is>
          <t>Statutory NPAT proxy</t>
        </is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Capital retained % of statutory NPAT</t>
        </is>
      </c>
      <c r="C19" s="6" t="n">
        <v>0.12</v>
      </c>
      <c r="D19" s="6" t="n">
        <v>0.12</v>
      </c>
      <c r="E19" s="6" t="n">
        <v>0.12</v>
      </c>
      <c r="F19" s="6" t="n">
        <v>0.12</v>
      </c>
      <c r="G19" s="6" t="n">
        <v>0.12</v>
      </c>
      <c r="H19" s="6" t="n">
        <v>0.12</v>
      </c>
      <c r="I19" s="6" t="n">
        <v>0.12</v>
      </c>
      <c r="J19" s="6" t="n">
        <v>0.12</v>
      </c>
      <c r="K19" s="6" t="n">
        <v>0.12</v>
      </c>
      <c r="L19" s="6" t="n">
        <v>0.12</v>
      </c>
    </row>
    <row r="20">
      <c r="A20" t="inlineStr">
        <is>
          <t>Capital retained for growth</t>
        </is>
      </c>
      <c r="C20">
        <f>-C18*C19</f>
        <v/>
      </c>
      <c r="D20">
        <f>-D18*D19</f>
        <v/>
      </c>
      <c r="E20">
        <f>-E18*E19</f>
        <v/>
      </c>
      <c r="F20">
        <f>-F18*F19</f>
        <v/>
      </c>
      <c r="G20">
        <f>-G18*G19</f>
        <v/>
      </c>
      <c r="H20">
        <f>-H18*H19</f>
        <v/>
      </c>
      <c r="I20">
        <f>-I18*I19</f>
        <v/>
      </c>
      <c r="J20">
        <f>-J18*J19</f>
        <v/>
      </c>
      <c r="K20">
        <f>-K18*K19</f>
        <v/>
      </c>
      <c r="L20">
        <f>-L18*L19</f>
        <v/>
      </c>
    </row>
    <row r="21">
      <c r="A21" s="1" t="inlineStr">
        <is>
          <t>Distributable earnings</t>
        </is>
      </c>
      <c r="C21">
        <f>C18+C20</f>
        <v/>
      </c>
      <c r="D21">
        <f>D18+D20</f>
        <v/>
      </c>
      <c r="E21">
        <f>E18+E20</f>
        <v/>
      </c>
      <c r="F21">
        <f>F18+F20</f>
        <v/>
      </c>
      <c r="G21">
        <f>G18+G20</f>
        <v/>
      </c>
      <c r="H21">
        <f>H18+H20</f>
        <v/>
      </c>
      <c r="I21">
        <f>I18+I20</f>
        <v/>
      </c>
      <c r="J21">
        <f>J18+J20</f>
        <v/>
      </c>
      <c r="K21">
        <f>K18+K20</f>
        <v/>
      </c>
      <c r="L21">
        <f>L18+L20</f>
        <v/>
      </c>
    </row>
    <row r="22">
      <c r="A22" t="inlineStr">
        <is>
          <t>Discount factor at cost of equity</t>
        </is>
      </c>
      <c r="C22">
        <f>1/(1+Assumptions!$B$8)^C4</f>
        <v/>
      </c>
      <c r="D22">
        <f>1/(1+Assumptions!$B$8)^D4</f>
        <v/>
      </c>
      <c r="E22">
        <f>1/(1+Assumptions!$B$8)^E4</f>
        <v/>
      </c>
      <c r="F22">
        <f>1/(1+Assumptions!$B$8)^F4</f>
        <v/>
      </c>
      <c r="G22">
        <f>1/(1+Assumptions!$B$8)^G4</f>
        <v/>
      </c>
      <c r="H22">
        <f>1/(1+Assumptions!$B$8)^H4</f>
        <v/>
      </c>
      <c r="I22">
        <f>1/(1+Assumptions!$B$8)^I4</f>
        <v/>
      </c>
      <c r="J22">
        <f>1/(1+Assumptions!$B$8)^J4</f>
        <v/>
      </c>
      <c r="K22">
        <f>1/(1+Assumptions!$B$8)^K4</f>
        <v/>
      </c>
      <c r="L22">
        <f>1/(1+Assumptions!$B$8)^L4</f>
        <v/>
      </c>
    </row>
    <row r="23">
      <c r="A23" t="inlineStr">
        <is>
          <t>PV of distributable earnings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revenue proxy (engine scaler)</t>
        </is>
      </c>
      <c r="B25" s="7">
        <f>Assumptions!B11</f>
        <v/>
      </c>
      <c r="C25">
        <f>B25*(1+Assumptions!B$19)</f>
        <v/>
      </c>
      <c r="D25">
        <f>C25*(1+Assumptions!B$19)</f>
        <v/>
      </c>
      <c r="E25">
        <f>D25*(1+Assumptions!B$19)</f>
        <v/>
      </c>
      <c r="F25">
        <f>E25*(1+Assumptions!B$19)</f>
        <v/>
      </c>
      <c r="G25">
        <f>F25*(1+Assumptions!B$19)</f>
        <v/>
      </c>
      <c r="H25">
        <f>G25*(1+Assumptions!B$19)</f>
        <v/>
      </c>
      <c r="I25">
        <f>H25*(1+Assumptions!B$19)</f>
        <v/>
      </c>
      <c r="J25">
        <f>I25*(1+Assumptions!B$19)</f>
        <v/>
      </c>
      <c r="K25">
        <f>J25*(1+Assumptions!B$19)</f>
        <v/>
      </c>
      <c r="L25">
        <f>K25*(1+Assumptions!B$19)</f>
        <v/>
      </c>
    </row>
    <row r="26">
      <c r="A26" t="inlineStr">
        <is>
          <t>Memo: SBC expensed inside NPAT (street add-back)</t>
        </is>
      </c>
      <c r="B26" s="7">
        <f>Assumptions!B10</f>
        <v/>
      </c>
      <c r="C26">
        <f>C25*Assumptions!$B$10/Assumptions!$B$11</f>
        <v/>
      </c>
      <c r="D26">
        <f>D25*Assumptions!$B$10/Assumptions!$B$11</f>
        <v/>
      </c>
      <c r="E26">
        <f>E25*Assumptions!$B$10/Assumptions!$B$11</f>
        <v/>
      </c>
      <c r="F26">
        <f>F25*Assumptions!$B$10/Assumptions!$B$11</f>
        <v/>
      </c>
      <c r="G26">
        <f>G25*Assumptions!$B$10/Assumptions!$B$11</f>
        <v/>
      </c>
      <c r="H26">
        <f>H25*Assumptions!$B$10/Assumptions!$B$11</f>
        <v/>
      </c>
      <c r="I26">
        <f>I25*Assumptions!$B$10/Assumptions!$B$11</f>
        <v/>
      </c>
      <c r="J26">
        <f>J25*Assumptions!$B$10/Assumptions!$B$11</f>
        <v/>
      </c>
      <c r="K26">
        <f>K25*Assumptions!$B$10/Assumptions!$B$11</f>
        <v/>
      </c>
      <c r="L26">
        <f>L25*Assumptions!$B$10/Assumptions!$B$11</f>
        <v/>
      </c>
    </row>
    <row r="28">
      <c r="A28" t="inlineStr">
        <is>
          <t>Sum of PV, years 1-10</t>
        </is>
      </c>
      <c r="B28">
        <f>SUM(C23:L23)</f>
        <v/>
      </c>
    </row>
    <row r="29">
      <c r="A29" t="inlineStr">
        <is>
          <t>Terminal growth</t>
        </is>
      </c>
      <c r="B29" s="8">
        <f>Assumptions!B16</f>
        <v/>
      </c>
    </row>
    <row r="30">
      <c r="A30" t="inlineStr">
        <is>
          <t>Terminal distributable earnings (Y10 x (1+g))</t>
        </is>
      </c>
      <c r="B30">
        <f>L21*(1+B29)</f>
        <v/>
      </c>
    </row>
    <row r="31">
      <c r="A31" t="inlineStr">
        <is>
          <t>Gordon terminal value</t>
        </is>
      </c>
      <c r="B31">
        <f>B30/(Assumptions!B8-B29)</f>
        <v/>
      </c>
    </row>
    <row r="32">
      <c r="A32" t="inlineStr">
        <is>
          <t>Exit P/E cap x Y10 distributable</t>
        </is>
      </c>
      <c r="B32">
        <f>Assumptions!B17*L21</f>
        <v/>
      </c>
    </row>
    <row r="33">
      <c r="A33" t="inlineStr">
        <is>
          <t>Terminal value used = MAX(0,MIN(Gordon,cap))</t>
        </is>
      </c>
      <c r="B33">
        <f>MAX(0,MIN(B31,B32))</f>
        <v/>
      </c>
    </row>
    <row r="34">
      <c r="A34" t="inlineStr">
        <is>
          <t>Implied exit multiple on Y10 distributable</t>
        </is>
      </c>
      <c r="B34">
        <f>B33/L21</f>
        <v/>
      </c>
    </row>
    <row r="35">
      <c r="A35" t="inlineStr">
        <is>
          <t>PV of terminal value</t>
        </is>
      </c>
      <c r="B35">
        <f>B33*L22</f>
        <v/>
      </c>
    </row>
    <row r="36">
      <c r="A36" t="inlineStr">
        <is>
          <t>Value of earnings stream (EV-equivalent)</t>
        </is>
      </c>
      <c r="B36">
        <f>B28+B35</f>
        <v/>
      </c>
    </row>
    <row r="37">
      <c r="A37" t="inlineStr">
        <is>
          <t>Add: CET1 surplus + DTA PV</t>
        </is>
      </c>
      <c r="B37" s="7">
        <f>Assumptions!B7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7">
        <f>Assumptions!B4</f>
        <v/>
      </c>
    </row>
    <row r="40">
      <c r="A40" s="1" t="inlineStr">
        <is>
          <t>Value per share (A$)</t>
        </is>
      </c>
      <c r="B40" s="9">
        <f>B38/B39</f>
        <v/>
      </c>
    </row>
    <row r="41">
      <c r="A41" t="inlineStr">
        <is>
          <t>Upside vs price</t>
        </is>
      </c>
      <c r="B41" s="10">
        <f>B40/Assumptions!B3-1</f>
        <v/>
      </c>
    </row>
    <row r="42">
      <c r="A42" t="inlineStr">
        <is>
          <t>Terminal % of value</t>
        </is>
      </c>
      <c r="B42" s="10">
        <f>B35/B36</f>
        <v/>
      </c>
    </row>
    <row r="44">
      <c r="A44" t="inlineStr">
        <is>
          <t>Street memo: PV of explicit SBC</t>
        </is>
      </c>
      <c r="B44">
        <f>SUMPRODUCT(C26:L26/(1+Assumptions!$B$8)^C4:L4)</f>
        <v/>
      </c>
    </row>
    <row r="45">
      <c r="A45" t="inlineStr">
        <is>
          <t>Street memo: PV of terminal SBC</t>
        </is>
      </c>
      <c r="B45">
        <f>L26*(1+B29)/(Assumptions!B8-B29)*L22</f>
        <v/>
      </c>
    </row>
    <row r="46">
      <c r="A46" t="inlineStr">
        <is>
          <t>Street value per share (SBC as non-cash)</t>
        </is>
      </c>
      <c r="B46">
        <f>(B38+B44+B45)/B39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Base case: segment underlying NPAT -&gt; distributable earnings -&gt; value. A$m. Drivers in yellow.</t>
        </is>
      </c>
    </row>
    <row r="3">
      <c r="A3" t="inlineStr">
        <is>
          <t>Year</t>
        </is>
      </c>
      <c r="B3" t="inlineStr">
        <is>
          <t>TTM Jun-26A</t>
        </is>
      </c>
      <c r="C3" t="inlineStr">
        <is>
          <t>Y1E</t>
        </is>
      </c>
      <c r="D3" t="inlineStr">
        <is>
          <t>Y2E</t>
        </is>
      </c>
      <c r="E3" t="inlineStr">
        <is>
          <t>Y3E</t>
        </is>
      </c>
      <c r="F3" t="inlineStr">
        <is>
          <t>Y4E</t>
        </is>
      </c>
      <c r="G3" t="inlineStr">
        <is>
          <t>Y5E</t>
        </is>
      </c>
      <c r="H3" t="inlineStr">
        <is>
          <t>Y6E</t>
        </is>
      </c>
      <c r="I3" t="inlineStr">
        <is>
          <t>Y7E</t>
        </is>
      </c>
      <c r="J3" t="inlineStr">
        <is>
          <t>Y8E</t>
        </is>
      </c>
      <c r="K3" t="inlineStr">
        <is>
          <t>Y9E</t>
        </is>
      </c>
      <c r="L3" t="inlineStr">
        <is>
          <t>Y10E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Platforms NPAT growth %</t>
        </is>
      </c>
      <c r="C5" s="6" t="n">
        <v>0.1</v>
      </c>
      <c r="D5" s="6" t="n">
        <v>0.09</v>
      </c>
      <c r="E5" s="6" t="n">
        <v>0.08</v>
      </c>
      <c r="F5" s="6" t="n">
        <v>0.07000000000000001</v>
      </c>
      <c r="G5" s="6" t="n">
        <v>0.06</v>
      </c>
      <c r="H5" s="6" t="n">
        <v>0.05</v>
      </c>
      <c r="I5" s="6" t="n">
        <v>0.05</v>
      </c>
      <c r="J5" s="6" t="n">
        <v>0.04</v>
      </c>
      <c r="K5" s="6" t="n">
        <v>0.04</v>
      </c>
      <c r="L5" s="6" t="n">
        <v>0.03</v>
      </c>
    </row>
    <row r="6">
      <c r="A6" t="inlineStr">
        <is>
          <t>Superannuation &amp; Investments NPAT growth %</t>
        </is>
      </c>
      <c r="C6" s="6" t="n">
        <v>0.05</v>
      </c>
      <c r="D6" s="6" t="n">
        <v>0.04</v>
      </c>
      <c r="E6" s="6" t="n">
        <v>0.04</v>
      </c>
      <c r="F6" s="6" t="n">
        <v>0.03</v>
      </c>
      <c r="G6" s="6" t="n">
        <v>0.03</v>
      </c>
      <c r="H6" s="6" t="n">
        <v>0.03</v>
      </c>
      <c r="I6" s="6" t="n">
        <v>0.03</v>
      </c>
      <c r="J6" s="6" t="n">
        <v>0.03</v>
      </c>
      <c r="K6" s="6" t="n">
        <v>0.03</v>
      </c>
      <c r="L6" s="6" t="n">
        <v>0.03</v>
      </c>
    </row>
    <row r="7">
      <c r="A7" t="inlineStr">
        <is>
          <t>NZ Wealth Management NPAT growth %</t>
        </is>
      </c>
      <c r="C7" s="6" t="n">
        <v>0.02</v>
      </c>
      <c r="D7" s="6" t="n">
        <v>0.03</v>
      </c>
      <c r="E7" s="6" t="n">
        <v>0.03</v>
      </c>
      <c r="F7" s="6" t="n">
        <v>0.03</v>
      </c>
      <c r="G7" s="6" t="n">
        <v>0.03</v>
      </c>
      <c r="H7" s="6" t="n">
        <v>0.03</v>
      </c>
      <c r="I7" s="6" t="n">
        <v>0.03</v>
      </c>
      <c r="J7" s="6" t="n">
        <v>0.03</v>
      </c>
      <c r="K7" s="6" t="n">
        <v>0.03</v>
      </c>
      <c r="L7" s="6" t="n">
        <v>0.03</v>
      </c>
    </row>
    <row r="8">
      <c r="A8" t="inlineStr">
        <is>
          <t>AMP Bank NPAT growth %</t>
        </is>
      </c>
      <c r="C8" s="6" t="n">
        <v>0.07000000000000001</v>
      </c>
      <c r="D8" s="6" t="n">
        <v>0.21</v>
      </c>
      <c r="E8" s="6" t="n">
        <v>0.14</v>
      </c>
      <c r="F8" s="6" t="n">
        <v>0.06</v>
      </c>
      <c r="G8" s="6" t="n">
        <v>0.03</v>
      </c>
      <c r="H8" s="6" t="n">
        <v>0.03</v>
      </c>
      <c r="I8" s="6" t="n">
        <v>0.03</v>
      </c>
      <c r="J8" s="6" t="n">
        <v>0.03</v>
      </c>
      <c r="K8" s="6" t="n">
        <v>0.03</v>
      </c>
      <c r="L8" s="6" t="n">
        <v>0.03</v>
      </c>
    </row>
    <row r="9">
      <c r="A9" t="inlineStr">
        <is>
          <t>Partnerships &amp; Group NPAT growth %</t>
        </is>
      </c>
      <c r="C9" s="6" t="n">
        <v>-0.14</v>
      </c>
      <c r="D9" s="6" t="n">
        <v>0.04</v>
      </c>
      <c r="E9" s="6" t="n">
        <v>0.04</v>
      </c>
      <c r="F9" s="6" t="n">
        <v>0.04</v>
      </c>
      <c r="G9" s="6" t="n">
        <v>0.04</v>
      </c>
      <c r="H9" s="6" t="n">
        <v>0.03</v>
      </c>
      <c r="I9" s="6" t="n">
        <v>0.03</v>
      </c>
      <c r="J9" s="6" t="n">
        <v>0.03</v>
      </c>
      <c r="K9" s="6" t="n">
        <v>0.03</v>
      </c>
      <c r="L9" s="6" t="n">
        <v>0.03</v>
      </c>
    </row>
    <row r="10">
      <c r="A10" t="inlineStr">
        <is>
          <t>Platforms underlying NPAT</t>
        </is>
      </c>
      <c r="B10" s="7">
        <f>Actuals!J5</f>
        <v/>
      </c>
      <c r="C10">
        <f>B10*(1+C5)</f>
        <v/>
      </c>
      <c r="D10">
        <f>C10*(1+D5)</f>
        <v/>
      </c>
      <c r="E10">
        <f>D10*(1+E5)</f>
        <v/>
      </c>
      <c r="F10">
        <f>E10*(1+F5)</f>
        <v/>
      </c>
      <c r="G10">
        <f>F10*(1+G5)</f>
        <v/>
      </c>
      <c r="H10">
        <f>G10*(1+H5)</f>
        <v/>
      </c>
      <c r="I10">
        <f>H10*(1+I5)</f>
        <v/>
      </c>
      <c r="J10">
        <f>I10*(1+J5)</f>
        <v/>
      </c>
      <c r="K10">
        <f>J10*(1+K5)</f>
        <v/>
      </c>
      <c r="L10">
        <f>K10*(1+L5)</f>
        <v/>
      </c>
    </row>
    <row r="11">
      <c r="A11" t="inlineStr">
        <is>
          <t>Superannuation &amp; Investments underlying NPAT</t>
        </is>
      </c>
      <c r="B11" s="7">
        <f>Actuals!J6</f>
        <v/>
      </c>
      <c r="C11">
        <f>B11*(1+C6)</f>
        <v/>
      </c>
      <c r="D11">
        <f>C11*(1+D6)</f>
        <v/>
      </c>
      <c r="E11">
        <f>D11*(1+E6)</f>
        <v/>
      </c>
      <c r="F11">
        <f>E11*(1+F6)</f>
        <v/>
      </c>
      <c r="G11">
        <f>F11*(1+G6)</f>
        <v/>
      </c>
      <c r="H11">
        <f>G11*(1+H6)</f>
        <v/>
      </c>
      <c r="I11">
        <f>H11*(1+I6)</f>
        <v/>
      </c>
      <c r="J11">
        <f>I11*(1+J6)</f>
        <v/>
      </c>
      <c r="K11">
        <f>J11*(1+K6)</f>
        <v/>
      </c>
      <c r="L11">
        <f>K11*(1+L6)</f>
        <v/>
      </c>
    </row>
    <row r="12">
      <c r="A12" t="inlineStr">
        <is>
          <t>NZ Wealth Management underlying NPAT</t>
        </is>
      </c>
      <c r="B12" s="7">
        <f>Actuals!J7</f>
        <v/>
      </c>
      <c r="C12">
        <f>B12*(1+C7)</f>
        <v/>
      </c>
      <c r="D12">
        <f>C12*(1+D7)</f>
        <v/>
      </c>
      <c r="E12">
        <f>D12*(1+E7)</f>
        <v/>
      </c>
      <c r="F12">
        <f>E12*(1+F7)</f>
        <v/>
      </c>
      <c r="G12">
        <f>F12*(1+G7)</f>
        <v/>
      </c>
      <c r="H12">
        <f>G12*(1+H7)</f>
        <v/>
      </c>
      <c r="I12">
        <f>H12*(1+I7)</f>
        <v/>
      </c>
      <c r="J12">
        <f>I12*(1+J7)</f>
        <v/>
      </c>
      <c r="K12">
        <f>J12*(1+K7)</f>
        <v/>
      </c>
      <c r="L12">
        <f>K12*(1+L7)</f>
        <v/>
      </c>
    </row>
    <row r="13">
      <c r="A13" t="inlineStr">
        <is>
          <t>AMP Bank underlying NPAT</t>
        </is>
      </c>
      <c r="B13" s="7">
        <f>Actuals!J8</f>
        <v/>
      </c>
      <c r="C13">
        <f>B13*(1+C8)</f>
        <v/>
      </c>
      <c r="D13">
        <f>C13*(1+D8)</f>
        <v/>
      </c>
      <c r="E13">
        <f>D13*(1+E8)</f>
        <v/>
      </c>
      <c r="F13">
        <f>E13*(1+F8)</f>
        <v/>
      </c>
      <c r="G13">
        <f>F13*(1+G8)</f>
        <v/>
      </c>
      <c r="H13">
        <f>G13*(1+H8)</f>
        <v/>
      </c>
      <c r="I13">
        <f>H13*(1+I8)</f>
        <v/>
      </c>
      <c r="J13">
        <f>I13*(1+J8)</f>
        <v/>
      </c>
      <c r="K13">
        <f>J13*(1+K8)</f>
        <v/>
      </c>
      <c r="L13">
        <f>K13*(1+L8)</f>
        <v/>
      </c>
    </row>
    <row r="14">
      <c r="A14" t="inlineStr">
        <is>
          <t>Partnerships &amp; Group underlying NPAT</t>
        </is>
      </c>
      <c r="B14" s="7">
        <f>Actuals!J9</f>
        <v/>
      </c>
      <c r="C14">
        <f>B14*(1+C9)</f>
        <v/>
      </c>
      <c r="D14">
        <f>C14*(1+D9)</f>
        <v/>
      </c>
      <c r="E14">
        <f>D14*(1+E9)</f>
        <v/>
      </c>
      <c r="F14">
        <f>E14*(1+F9)</f>
        <v/>
      </c>
      <c r="G14">
        <f>F14*(1+G9)</f>
        <v/>
      </c>
      <c r="H14">
        <f>G14*(1+H9)</f>
        <v/>
      </c>
      <c r="I14">
        <f>H14*(1+I9)</f>
        <v/>
      </c>
      <c r="J14">
        <f>I14*(1+J9)</f>
        <v/>
      </c>
      <c r="K14">
        <f>J14*(1+K9)</f>
        <v/>
      </c>
      <c r="L14">
        <f>K14*(1+L9)</f>
        <v/>
      </c>
    </row>
    <row r="15">
      <c r="A15" s="1" t="inlineStr">
        <is>
          <t>Underlying NPAT (group)</t>
        </is>
      </c>
      <c r="B15">
        <f>SUM(B10:B14)</f>
        <v/>
      </c>
      <c r="C15">
        <f>SUM(C10:C14)</f>
        <v/>
      </c>
      <c r="D15">
        <f>SUM(D10:D14)</f>
        <v/>
      </c>
      <c r="E15">
        <f>SUM(E10:E14)</f>
        <v/>
      </c>
      <c r="F15">
        <f>SUM(F10:F14)</f>
        <v/>
      </c>
      <c r="G15">
        <f>SUM(G10:G14)</f>
        <v/>
      </c>
      <c r="H15">
        <f>SUM(H10:H14)</f>
        <v/>
      </c>
      <c r="I15">
        <f>SUM(I10:I14)</f>
        <v/>
      </c>
      <c r="J15">
        <f>SUM(J10:J14)</f>
        <v/>
      </c>
      <c r="K15">
        <f>SUM(K10:K14)</f>
        <v/>
      </c>
      <c r="L15">
        <f>SUM(L10:L14)</f>
        <v/>
      </c>
    </row>
    <row r="16">
      <c r="A16" t="inlineStr">
        <is>
          <t>Below-the-line items % of underlying NPAT</t>
        </is>
      </c>
      <c r="C16" s="6" t="n">
        <v>0.1</v>
      </c>
      <c r="D16" s="6" t="n">
        <v>0.1</v>
      </c>
      <c r="E16" s="6" t="n">
        <v>0.07000000000000001</v>
      </c>
      <c r="F16" s="6" t="n">
        <v>0.07000000000000001</v>
      </c>
      <c r="G16" s="6" t="n">
        <v>0.07000000000000001</v>
      </c>
      <c r="H16" s="6" t="n">
        <v>0.05</v>
      </c>
      <c r="I16" s="6" t="n">
        <v>0.05</v>
      </c>
      <c r="J16" s="6" t="n">
        <v>0.05</v>
      </c>
      <c r="K16" s="6" t="n">
        <v>0.05</v>
      </c>
      <c r="L16" s="6" t="n">
        <v>0.05</v>
      </c>
    </row>
    <row r="17">
      <c r="A17" t="inlineStr">
        <is>
          <t>Below-the-line items (simplification, remediation, litigation)</t>
        </is>
      </c>
      <c r="C17">
        <f>-C15*C16</f>
        <v/>
      </c>
      <c r="D17">
        <f>-D15*D16</f>
        <v/>
      </c>
      <c r="E17">
        <f>-E15*E16</f>
        <v/>
      </c>
      <c r="F17">
        <f>-F15*F16</f>
        <v/>
      </c>
      <c r="G17">
        <f>-G15*G16</f>
        <v/>
      </c>
      <c r="H17">
        <f>-H15*H16</f>
        <v/>
      </c>
      <c r="I17">
        <f>-I15*I16</f>
        <v/>
      </c>
      <c r="J17">
        <f>-J15*J16</f>
        <v/>
      </c>
      <c r="K17">
        <f>-K15*K16</f>
        <v/>
      </c>
      <c r="L17">
        <f>-L15*L16</f>
        <v/>
      </c>
    </row>
    <row r="18">
      <c r="A18" t="inlineStr">
        <is>
          <t>Statutory NPAT proxy</t>
        </is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Capital retained % of statutory NPAT</t>
        </is>
      </c>
      <c r="C19" s="6" t="n">
        <v>0.1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</v>
      </c>
      <c r="I19" s="6" t="n">
        <v>0.1</v>
      </c>
      <c r="J19" s="6" t="n">
        <v>0.1</v>
      </c>
      <c r="K19" s="6" t="n">
        <v>0.1</v>
      </c>
      <c r="L19" s="6" t="n">
        <v>0.1</v>
      </c>
    </row>
    <row r="20">
      <c r="A20" t="inlineStr">
        <is>
          <t>Capital retained for growth</t>
        </is>
      </c>
      <c r="C20">
        <f>-C18*C19</f>
        <v/>
      </c>
      <c r="D20">
        <f>-D18*D19</f>
        <v/>
      </c>
      <c r="E20">
        <f>-E18*E19</f>
        <v/>
      </c>
      <c r="F20">
        <f>-F18*F19</f>
        <v/>
      </c>
      <c r="G20">
        <f>-G18*G19</f>
        <v/>
      </c>
      <c r="H20">
        <f>-H18*H19</f>
        <v/>
      </c>
      <c r="I20">
        <f>-I18*I19</f>
        <v/>
      </c>
      <c r="J20">
        <f>-J18*J19</f>
        <v/>
      </c>
      <c r="K20">
        <f>-K18*K19</f>
        <v/>
      </c>
      <c r="L20">
        <f>-L18*L19</f>
        <v/>
      </c>
    </row>
    <row r="21">
      <c r="A21" s="1" t="inlineStr">
        <is>
          <t>Distributable earnings</t>
        </is>
      </c>
      <c r="C21">
        <f>C18+C20</f>
        <v/>
      </c>
      <c r="D21">
        <f>D18+D20</f>
        <v/>
      </c>
      <c r="E21">
        <f>E18+E20</f>
        <v/>
      </c>
      <c r="F21">
        <f>F18+F20</f>
        <v/>
      </c>
      <c r="G21">
        <f>G18+G20</f>
        <v/>
      </c>
      <c r="H21">
        <f>H18+H20</f>
        <v/>
      </c>
      <c r="I21">
        <f>I18+I20</f>
        <v/>
      </c>
      <c r="J21">
        <f>J18+J20</f>
        <v/>
      </c>
      <c r="K21">
        <f>K18+K20</f>
        <v/>
      </c>
      <c r="L21">
        <f>L18+L20</f>
        <v/>
      </c>
    </row>
    <row r="22">
      <c r="A22" t="inlineStr">
        <is>
          <t>Discount factor at cost of equity</t>
        </is>
      </c>
      <c r="C22">
        <f>1/(1+Assumptions!$B$8)^C4</f>
        <v/>
      </c>
      <c r="D22">
        <f>1/(1+Assumptions!$B$8)^D4</f>
        <v/>
      </c>
      <c r="E22">
        <f>1/(1+Assumptions!$B$8)^E4</f>
        <v/>
      </c>
      <c r="F22">
        <f>1/(1+Assumptions!$B$8)^F4</f>
        <v/>
      </c>
      <c r="G22">
        <f>1/(1+Assumptions!$B$8)^G4</f>
        <v/>
      </c>
      <c r="H22">
        <f>1/(1+Assumptions!$B$8)^H4</f>
        <v/>
      </c>
      <c r="I22">
        <f>1/(1+Assumptions!$B$8)^I4</f>
        <v/>
      </c>
      <c r="J22">
        <f>1/(1+Assumptions!$B$8)^J4</f>
        <v/>
      </c>
      <c r="K22">
        <f>1/(1+Assumptions!$B$8)^K4</f>
        <v/>
      </c>
      <c r="L22">
        <f>1/(1+Assumptions!$B$8)^L4</f>
        <v/>
      </c>
    </row>
    <row r="23">
      <c r="A23" t="inlineStr">
        <is>
          <t>PV of distributable earnings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revenue proxy (engine scaler)</t>
        </is>
      </c>
      <c r="B25" s="7">
        <f>Assumptions!B11</f>
        <v/>
      </c>
      <c r="C25">
        <f>B25*(1+Assumptions!C$19)</f>
        <v/>
      </c>
      <c r="D25">
        <f>C25*(1+Assumptions!C$19)</f>
        <v/>
      </c>
      <c r="E25">
        <f>D25*(1+Assumptions!C$19)</f>
        <v/>
      </c>
      <c r="F25">
        <f>E25*(1+Assumptions!C$19)</f>
        <v/>
      </c>
      <c r="G25">
        <f>F25*(1+Assumptions!C$19)</f>
        <v/>
      </c>
      <c r="H25">
        <f>G25*(1+Assumptions!C$19)</f>
        <v/>
      </c>
      <c r="I25">
        <f>H25*(1+Assumptions!C$19)</f>
        <v/>
      </c>
      <c r="J25">
        <f>I25*(1+Assumptions!C$19)</f>
        <v/>
      </c>
      <c r="K25">
        <f>J25*(1+Assumptions!C$19)</f>
        <v/>
      </c>
      <c r="L25">
        <f>K25*(1+Assumptions!C$19)</f>
        <v/>
      </c>
    </row>
    <row r="26">
      <c r="A26" t="inlineStr">
        <is>
          <t>Memo: SBC expensed inside NPAT (street add-back)</t>
        </is>
      </c>
      <c r="B26" s="7">
        <f>Assumptions!B10</f>
        <v/>
      </c>
      <c r="C26">
        <f>C25*Assumptions!$B$10/Assumptions!$B$11</f>
        <v/>
      </c>
      <c r="D26">
        <f>D25*Assumptions!$B$10/Assumptions!$B$11</f>
        <v/>
      </c>
      <c r="E26">
        <f>E25*Assumptions!$B$10/Assumptions!$B$11</f>
        <v/>
      </c>
      <c r="F26">
        <f>F25*Assumptions!$B$10/Assumptions!$B$11</f>
        <v/>
      </c>
      <c r="G26">
        <f>G25*Assumptions!$B$10/Assumptions!$B$11</f>
        <v/>
      </c>
      <c r="H26">
        <f>H25*Assumptions!$B$10/Assumptions!$B$11</f>
        <v/>
      </c>
      <c r="I26">
        <f>I25*Assumptions!$B$10/Assumptions!$B$11</f>
        <v/>
      </c>
      <c r="J26">
        <f>J25*Assumptions!$B$10/Assumptions!$B$11</f>
        <v/>
      </c>
      <c r="K26">
        <f>K25*Assumptions!$B$10/Assumptions!$B$11</f>
        <v/>
      </c>
      <c r="L26">
        <f>L25*Assumptions!$B$10/Assumptions!$B$11</f>
        <v/>
      </c>
    </row>
    <row r="28">
      <c r="A28" t="inlineStr">
        <is>
          <t>Sum of PV, years 1-10</t>
        </is>
      </c>
      <c r="B28">
        <f>SUM(C23:L23)</f>
        <v/>
      </c>
    </row>
    <row r="29">
      <c r="A29" t="inlineStr">
        <is>
          <t>Terminal growth</t>
        </is>
      </c>
      <c r="B29" s="8">
        <f>Assumptions!C16</f>
        <v/>
      </c>
    </row>
    <row r="30">
      <c r="A30" t="inlineStr">
        <is>
          <t>Terminal distributable earnings (Y10 x (1+g))</t>
        </is>
      </c>
      <c r="B30">
        <f>L21*(1+B29)</f>
        <v/>
      </c>
    </row>
    <row r="31">
      <c r="A31" t="inlineStr">
        <is>
          <t>Gordon terminal value</t>
        </is>
      </c>
      <c r="B31">
        <f>B30/(Assumptions!B8-B29)</f>
        <v/>
      </c>
    </row>
    <row r="32">
      <c r="A32" t="inlineStr">
        <is>
          <t>Exit P/E cap x Y10 distributable</t>
        </is>
      </c>
      <c r="B32">
        <f>Assumptions!C17*L21</f>
        <v/>
      </c>
    </row>
    <row r="33">
      <c r="A33" t="inlineStr">
        <is>
          <t>Terminal value used = MAX(0,MIN(Gordon,cap))</t>
        </is>
      </c>
      <c r="B33">
        <f>MAX(0,MIN(B31,B32))</f>
        <v/>
      </c>
    </row>
    <row r="34">
      <c r="A34" t="inlineStr">
        <is>
          <t>Implied exit multiple on Y10 distributable</t>
        </is>
      </c>
      <c r="B34">
        <f>B33/L21</f>
        <v/>
      </c>
    </row>
    <row r="35">
      <c r="A35" t="inlineStr">
        <is>
          <t>PV of terminal value</t>
        </is>
      </c>
      <c r="B35">
        <f>B33*L22</f>
        <v/>
      </c>
    </row>
    <row r="36">
      <c r="A36" t="inlineStr">
        <is>
          <t>Value of earnings stream (EV-equivalent)</t>
        </is>
      </c>
      <c r="B36">
        <f>B28+B35</f>
        <v/>
      </c>
    </row>
    <row r="37">
      <c r="A37" t="inlineStr">
        <is>
          <t>Add: CET1 surplus + DTA PV</t>
        </is>
      </c>
      <c r="B37" s="7">
        <f>Assumptions!B7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7">
        <f>Assumptions!B4</f>
        <v/>
      </c>
    </row>
    <row r="40">
      <c r="A40" s="1" t="inlineStr">
        <is>
          <t>Value per share (A$)</t>
        </is>
      </c>
      <c r="B40" s="9">
        <f>B38/B39</f>
        <v/>
      </c>
    </row>
    <row r="41">
      <c r="A41" t="inlineStr">
        <is>
          <t>Upside vs price</t>
        </is>
      </c>
      <c r="B41" s="10">
        <f>B40/Assumptions!B3-1</f>
        <v/>
      </c>
    </row>
    <row r="42">
      <c r="A42" t="inlineStr">
        <is>
          <t>Terminal % of value</t>
        </is>
      </c>
      <c r="B42" s="10">
        <f>B35/B36</f>
        <v/>
      </c>
    </row>
    <row r="44">
      <c r="A44" t="inlineStr">
        <is>
          <t>Street memo: PV of explicit SBC</t>
        </is>
      </c>
      <c r="B44">
        <f>SUMPRODUCT(C26:L26/(1+Assumptions!$B$8)^C4:L4)</f>
        <v/>
      </c>
    </row>
    <row r="45">
      <c r="A45" t="inlineStr">
        <is>
          <t>Street memo: PV of terminal SBC</t>
        </is>
      </c>
      <c r="B45">
        <f>L26*(1+B29)/(Assumptions!B8-B29)*L22</f>
        <v/>
      </c>
    </row>
    <row r="46">
      <c r="A46" t="inlineStr">
        <is>
          <t>Street value per share (SBC as non-cash)</t>
        </is>
      </c>
      <c r="B46">
        <f>(B38+B44+B45)/B39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Bull case: segment underlying NPAT -&gt; distributable earnings -&gt; value. A$m. Drivers in yellow.</t>
        </is>
      </c>
    </row>
    <row r="3">
      <c r="A3" t="inlineStr">
        <is>
          <t>Year</t>
        </is>
      </c>
      <c r="B3" t="inlineStr">
        <is>
          <t>TTM Jun-26A</t>
        </is>
      </c>
      <c r="C3" t="inlineStr">
        <is>
          <t>Y1E</t>
        </is>
      </c>
      <c r="D3" t="inlineStr">
        <is>
          <t>Y2E</t>
        </is>
      </c>
      <c r="E3" t="inlineStr">
        <is>
          <t>Y3E</t>
        </is>
      </c>
      <c r="F3" t="inlineStr">
        <is>
          <t>Y4E</t>
        </is>
      </c>
      <c r="G3" t="inlineStr">
        <is>
          <t>Y5E</t>
        </is>
      </c>
      <c r="H3" t="inlineStr">
        <is>
          <t>Y6E</t>
        </is>
      </c>
      <c r="I3" t="inlineStr">
        <is>
          <t>Y7E</t>
        </is>
      </c>
      <c r="J3" t="inlineStr">
        <is>
          <t>Y8E</t>
        </is>
      </c>
      <c r="K3" t="inlineStr">
        <is>
          <t>Y9E</t>
        </is>
      </c>
      <c r="L3" t="inlineStr">
        <is>
          <t>Y10E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Platforms NPAT growth %</t>
        </is>
      </c>
      <c r="C5" s="6" t="n">
        <v>0.13</v>
      </c>
      <c r="D5" s="6" t="n">
        <v>0.12</v>
      </c>
      <c r="E5" s="6" t="n">
        <v>0.11</v>
      </c>
      <c r="F5" s="6" t="n">
        <v>0.1</v>
      </c>
      <c r="G5" s="6" t="n">
        <v>0.09</v>
      </c>
      <c r="H5" s="6" t="n">
        <v>0.08</v>
      </c>
      <c r="I5" s="6" t="n">
        <v>0.07000000000000001</v>
      </c>
      <c r="J5" s="6" t="n">
        <v>0.06</v>
      </c>
      <c r="K5" s="6" t="n">
        <v>0.05</v>
      </c>
      <c r="L5" s="6" t="n">
        <v>0.04</v>
      </c>
    </row>
    <row r="6">
      <c r="A6" t="inlineStr">
        <is>
          <t>Superannuation &amp; Investments NPAT growth %</t>
        </is>
      </c>
      <c r="C6" s="6" t="n">
        <v>0.07000000000000001</v>
      </c>
      <c r="D6" s="6" t="n">
        <v>0.06</v>
      </c>
      <c r="E6" s="6" t="n">
        <v>0.05</v>
      </c>
      <c r="F6" s="6" t="n">
        <v>0.05</v>
      </c>
      <c r="G6" s="6" t="n">
        <v>0.04</v>
      </c>
      <c r="H6" s="6" t="n">
        <v>0.04</v>
      </c>
      <c r="I6" s="6" t="n">
        <v>0.04</v>
      </c>
      <c r="J6" s="6" t="n">
        <v>0.03</v>
      </c>
      <c r="K6" s="6" t="n">
        <v>0.03</v>
      </c>
      <c r="L6" s="6" t="n">
        <v>0.03</v>
      </c>
    </row>
    <row r="7">
      <c r="A7" t="inlineStr">
        <is>
          <t>NZ Wealth Management NPAT growth %</t>
        </is>
      </c>
      <c r="C7" s="6" t="n">
        <v>0.04</v>
      </c>
      <c r="D7" s="6" t="n">
        <v>0.04</v>
      </c>
      <c r="E7" s="6" t="n">
        <v>0.04</v>
      </c>
      <c r="F7" s="6" t="n">
        <v>0.04</v>
      </c>
      <c r="G7" s="6" t="n">
        <v>0.04</v>
      </c>
      <c r="H7" s="6" t="n">
        <v>0.03</v>
      </c>
      <c r="I7" s="6" t="n">
        <v>0.03</v>
      </c>
      <c r="J7" s="6" t="n">
        <v>0.03</v>
      </c>
      <c r="K7" s="6" t="n">
        <v>0.03</v>
      </c>
      <c r="L7" s="6" t="n">
        <v>0.03</v>
      </c>
    </row>
    <row r="8">
      <c r="A8" t="inlineStr">
        <is>
          <t>AMP Bank NPAT growth %</t>
        </is>
      </c>
      <c r="C8" s="6" t="n">
        <v>0.15</v>
      </c>
      <c r="D8" s="6" t="n">
        <v>0.3</v>
      </c>
      <c r="E8" s="6" t="n">
        <v>0.2</v>
      </c>
      <c r="F8" s="6" t="n">
        <v>0.1</v>
      </c>
      <c r="G8" s="6" t="n">
        <v>0.05</v>
      </c>
      <c r="H8" s="6" t="n">
        <v>0.04</v>
      </c>
      <c r="I8" s="6" t="n">
        <v>0.04</v>
      </c>
      <c r="J8" s="6" t="n">
        <v>0.04</v>
      </c>
      <c r="K8" s="6" t="n">
        <v>0.04</v>
      </c>
      <c r="L8" s="6" t="n">
        <v>0.04</v>
      </c>
    </row>
    <row r="9">
      <c r="A9" t="inlineStr">
        <is>
          <t>Partnerships &amp; Group NPAT growth %</t>
        </is>
      </c>
      <c r="C9" s="6" t="n">
        <v>-0.05</v>
      </c>
      <c r="D9" s="6" t="n">
        <v>0.12</v>
      </c>
      <c r="E9" s="6" t="n">
        <v>0.1</v>
      </c>
      <c r="F9" s="6" t="n">
        <v>0.08</v>
      </c>
      <c r="G9" s="6" t="n">
        <v>0.06</v>
      </c>
      <c r="H9" s="6" t="n">
        <v>0.05</v>
      </c>
      <c r="I9" s="6" t="n">
        <v>0.04</v>
      </c>
      <c r="J9" s="6" t="n">
        <v>0.04</v>
      </c>
      <c r="K9" s="6" t="n">
        <v>0.04</v>
      </c>
      <c r="L9" s="6" t="n">
        <v>0.04</v>
      </c>
    </row>
    <row r="10">
      <c r="A10" t="inlineStr">
        <is>
          <t>Platforms underlying NPAT</t>
        </is>
      </c>
      <c r="B10" s="7">
        <f>Actuals!J5</f>
        <v/>
      </c>
      <c r="C10">
        <f>B10*(1+C5)</f>
        <v/>
      </c>
      <c r="D10">
        <f>C10*(1+D5)</f>
        <v/>
      </c>
      <c r="E10">
        <f>D10*(1+E5)</f>
        <v/>
      </c>
      <c r="F10">
        <f>E10*(1+F5)</f>
        <v/>
      </c>
      <c r="G10">
        <f>F10*(1+G5)</f>
        <v/>
      </c>
      <c r="H10">
        <f>G10*(1+H5)</f>
        <v/>
      </c>
      <c r="I10">
        <f>H10*(1+I5)</f>
        <v/>
      </c>
      <c r="J10">
        <f>I10*(1+J5)</f>
        <v/>
      </c>
      <c r="K10">
        <f>J10*(1+K5)</f>
        <v/>
      </c>
      <c r="L10">
        <f>K10*(1+L5)</f>
        <v/>
      </c>
    </row>
    <row r="11">
      <c r="A11" t="inlineStr">
        <is>
          <t>Superannuation &amp; Investments underlying NPAT</t>
        </is>
      </c>
      <c r="B11" s="7">
        <f>Actuals!J6</f>
        <v/>
      </c>
      <c r="C11">
        <f>B11*(1+C6)</f>
        <v/>
      </c>
      <c r="D11">
        <f>C11*(1+D6)</f>
        <v/>
      </c>
      <c r="E11">
        <f>D11*(1+E6)</f>
        <v/>
      </c>
      <c r="F11">
        <f>E11*(1+F6)</f>
        <v/>
      </c>
      <c r="G11">
        <f>F11*(1+G6)</f>
        <v/>
      </c>
      <c r="H11">
        <f>G11*(1+H6)</f>
        <v/>
      </c>
      <c r="I11">
        <f>H11*(1+I6)</f>
        <v/>
      </c>
      <c r="J11">
        <f>I11*(1+J6)</f>
        <v/>
      </c>
      <c r="K11">
        <f>J11*(1+K6)</f>
        <v/>
      </c>
      <c r="L11">
        <f>K11*(1+L6)</f>
        <v/>
      </c>
    </row>
    <row r="12">
      <c r="A12" t="inlineStr">
        <is>
          <t>NZ Wealth Management underlying NPAT</t>
        </is>
      </c>
      <c r="B12" s="7">
        <f>Actuals!J7</f>
        <v/>
      </c>
      <c r="C12">
        <f>B12*(1+C7)</f>
        <v/>
      </c>
      <c r="D12">
        <f>C12*(1+D7)</f>
        <v/>
      </c>
      <c r="E12">
        <f>D12*(1+E7)</f>
        <v/>
      </c>
      <c r="F12">
        <f>E12*(1+F7)</f>
        <v/>
      </c>
      <c r="G12">
        <f>F12*(1+G7)</f>
        <v/>
      </c>
      <c r="H12">
        <f>G12*(1+H7)</f>
        <v/>
      </c>
      <c r="I12">
        <f>H12*(1+I7)</f>
        <v/>
      </c>
      <c r="J12">
        <f>I12*(1+J7)</f>
        <v/>
      </c>
      <c r="K12">
        <f>J12*(1+K7)</f>
        <v/>
      </c>
      <c r="L12">
        <f>K12*(1+L7)</f>
        <v/>
      </c>
    </row>
    <row r="13">
      <c r="A13" t="inlineStr">
        <is>
          <t>AMP Bank underlying NPAT</t>
        </is>
      </c>
      <c r="B13" s="7">
        <f>Actuals!J8</f>
        <v/>
      </c>
      <c r="C13">
        <f>B13*(1+C8)</f>
        <v/>
      </c>
      <c r="D13">
        <f>C13*(1+D8)</f>
        <v/>
      </c>
      <c r="E13">
        <f>D13*(1+E8)</f>
        <v/>
      </c>
      <c r="F13">
        <f>E13*(1+F8)</f>
        <v/>
      </c>
      <c r="G13">
        <f>F13*(1+G8)</f>
        <v/>
      </c>
      <c r="H13">
        <f>G13*(1+H8)</f>
        <v/>
      </c>
      <c r="I13">
        <f>H13*(1+I8)</f>
        <v/>
      </c>
      <c r="J13">
        <f>I13*(1+J8)</f>
        <v/>
      </c>
      <c r="K13">
        <f>J13*(1+K8)</f>
        <v/>
      </c>
      <c r="L13">
        <f>K13*(1+L8)</f>
        <v/>
      </c>
    </row>
    <row r="14">
      <c r="A14" t="inlineStr">
        <is>
          <t>Partnerships &amp; Group underlying NPAT</t>
        </is>
      </c>
      <c r="B14" s="7">
        <f>Actuals!J9</f>
        <v/>
      </c>
      <c r="C14">
        <f>B14*(1+C9)</f>
        <v/>
      </c>
      <c r="D14">
        <f>C14*(1+D9)</f>
        <v/>
      </c>
      <c r="E14">
        <f>D14*(1+E9)</f>
        <v/>
      </c>
      <c r="F14">
        <f>E14*(1+F9)</f>
        <v/>
      </c>
      <c r="G14">
        <f>F14*(1+G9)</f>
        <v/>
      </c>
      <c r="H14">
        <f>G14*(1+H9)</f>
        <v/>
      </c>
      <c r="I14">
        <f>H14*(1+I9)</f>
        <v/>
      </c>
      <c r="J14">
        <f>I14*(1+J9)</f>
        <v/>
      </c>
      <c r="K14">
        <f>J14*(1+K9)</f>
        <v/>
      </c>
      <c r="L14">
        <f>K14*(1+L9)</f>
        <v/>
      </c>
    </row>
    <row r="15">
      <c r="A15" s="1" t="inlineStr">
        <is>
          <t>Underlying NPAT (group)</t>
        </is>
      </c>
      <c r="B15">
        <f>SUM(B10:B14)</f>
        <v/>
      </c>
      <c r="C15">
        <f>SUM(C10:C14)</f>
        <v/>
      </c>
      <c r="D15">
        <f>SUM(D10:D14)</f>
        <v/>
      </c>
      <c r="E15">
        <f>SUM(E10:E14)</f>
        <v/>
      </c>
      <c r="F15">
        <f>SUM(F10:F14)</f>
        <v/>
      </c>
      <c r="G15">
        <f>SUM(G10:G14)</f>
        <v/>
      </c>
      <c r="H15">
        <f>SUM(H10:H14)</f>
        <v/>
      </c>
      <c r="I15">
        <f>SUM(I10:I14)</f>
        <v/>
      </c>
      <c r="J15">
        <f>SUM(J10:J14)</f>
        <v/>
      </c>
      <c r="K15">
        <f>SUM(K10:K14)</f>
        <v/>
      </c>
      <c r="L15">
        <f>SUM(L10:L14)</f>
        <v/>
      </c>
    </row>
    <row r="16">
      <c r="A16" t="inlineStr">
        <is>
          <t>Below-the-line items % of underlying NPAT</t>
        </is>
      </c>
      <c r="C16" s="6" t="n">
        <v>0.06</v>
      </c>
      <c r="D16" s="6" t="n">
        <v>0.05</v>
      </c>
      <c r="E16" s="6" t="n">
        <v>0.04</v>
      </c>
      <c r="F16" s="6" t="n">
        <v>0.03</v>
      </c>
      <c r="G16" s="6" t="n">
        <v>0.03</v>
      </c>
      <c r="H16" s="6" t="n">
        <v>0.03</v>
      </c>
      <c r="I16" s="6" t="n">
        <v>0.03</v>
      </c>
      <c r="J16" s="6" t="n">
        <v>0.03</v>
      </c>
      <c r="K16" s="6" t="n">
        <v>0.03</v>
      </c>
      <c r="L16" s="6" t="n">
        <v>0.03</v>
      </c>
    </row>
    <row r="17">
      <c r="A17" t="inlineStr">
        <is>
          <t>Below-the-line items (simplification, remediation, litigation)</t>
        </is>
      </c>
      <c r="C17">
        <f>-C15*C16</f>
        <v/>
      </c>
      <c r="D17">
        <f>-D15*D16</f>
        <v/>
      </c>
      <c r="E17">
        <f>-E15*E16</f>
        <v/>
      </c>
      <c r="F17">
        <f>-F15*F16</f>
        <v/>
      </c>
      <c r="G17">
        <f>-G15*G16</f>
        <v/>
      </c>
      <c r="H17">
        <f>-H15*H16</f>
        <v/>
      </c>
      <c r="I17">
        <f>-I15*I16</f>
        <v/>
      </c>
      <c r="J17">
        <f>-J15*J16</f>
        <v/>
      </c>
      <c r="K17">
        <f>-K15*K16</f>
        <v/>
      </c>
      <c r="L17">
        <f>-L15*L16</f>
        <v/>
      </c>
    </row>
    <row r="18">
      <c r="A18" t="inlineStr">
        <is>
          <t>Statutory NPAT proxy</t>
        </is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Capital retained % of statutory NPAT</t>
        </is>
      </c>
      <c r="C19" s="6" t="n">
        <v>0.08</v>
      </c>
      <c r="D19" s="6" t="n">
        <v>0.08</v>
      </c>
      <c r="E19" s="6" t="n">
        <v>0.08</v>
      </c>
      <c r="F19" s="6" t="n">
        <v>0.08</v>
      </c>
      <c r="G19" s="6" t="n">
        <v>0.08</v>
      </c>
      <c r="H19" s="6" t="n">
        <v>0.08</v>
      </c>
      <c r="I19" s="6" t="n">
        <v>0.08</v>
      </c>
      <c r="J19" s="6" t="n">
        <v>0.08</v>
      </c>
      <c r="K19" s="6" t="n">
        <v>0.08</v>
      </c>
      <c r="L19" s="6" t="n">
        <v>0.08</v>
      </c>
    </row>
    <row r="20">
      <c r="A20" t="inlineStr">
        <is>
          <t>Capital retained for growth</t>
        </is>
      </c>
      <c r="C20">
        <f>-C18*C19</f>
        <v/>
      </c>
      <c r="D20">
        <f>-D18*D19</f>
        <v/>
      </c>
      <c r="E20">
        <f>-E18*E19</f>
        <v/>
      </c>
      <c r="F20">
        <f>-F18*F19</f>
        <v/>
      </c>
      <c r="G20">
        <f>-G18*G19</f>
        <v/>
      </c>
      <c r="H20">
        <f>-H18*H19</f>
        <v/>
      </c>
      <c r="I20">
        <f>-I18*I19</f>
        <v/>
      </c>
      <c r="J20">
        <f>-J18*J19</f>
        <v/>
      </c>
      <c r="K20">
        <f>-K18*K19</f>
        <v/>
      </c>
      <c r="L20">
        <f>-L18*L19</f>
        <v/>
      </c>
    </row>
    <row r="21">
      <c r="A21" s="1" t="inlineStr">
        <is>
          <t>Distributable earnings</t>
        </is>
      </c>
      <c r="C21">
        <f>C18+C20</f>
        <v/>
      </c>
      <c r="D21">
        <f>D18+D20</f>
        <v/>
      </c>
      <c r="E21">
        <f>E18+E20</f>
        <v/>
      </c>
      <c r="F21">
        <f>F18+F20</f>
        <v/>
      </c>
      <c r="G21">
        <f>G18+G20</f>
        <v/>
      </c>
      <c r="H21">
        <f>H18+H20</f>
        <v/>
      </c>
      <c r="I21">
        <f>I18+I20</f>
        <v/>
      </c>
      <c r="J21">
        <f>J18+J20</f>
        <v/>
      </c>
      <c r="K21">
        <f>K18+K20</f>
        <v/>
      </c>
      <c r="L21">
        <f>L18+L20</f>
        <v/>
      </c>
    </row>
    <row r="22">
      <c r="A22" t="inlineStr">
        <is>
          <t>Discount factor at cost of equity</t>
        </is>
      </c>
      <c r="C22">
        <f>1/(1+Assumptions!$B$8)^C4</f>
        <v/>
      </c>
      <c r="D22">
        <f>1/(1+Assumptions!$B$8)^D4</f>
        <v/>
      </c>
      <c r="E22">
        <f>1/(1+Assumptions!$B$8)^E4</f>
        <v/>
      </c>
      <c r="F22">
        <f>1/(1+Assumptions!$B$8)^F4</f>
        <v/>
      </c>
      <c r="G22">
        <f>1/(1+Assumptions!$B$8)^G4</f>
        <v/>
      </c>
      <c r="H22">
        <f>1/(1+Assumptions!$B$8)^H4</f>
        <v/>
      </c>
      <c r="I22">
        <f>1/(1+Assumptions!$B$8)^I4</f>
        <v/>
      </c>
      <c r="J22">
        <f>1/(1+Assumptions!$B$8)^J4</f>
        <v/>
      </c>
      <c r="K22">
        <f>1/(1+Assumptions!$B$8)^K4</f>
        <v/>
      </c>
      <c r="L22">
        <f>1/(1+Assumptions!$B$8)^L4</f>
        <v/>
      </c>
    </row>
    <row r="23">
      <c r="A23" t="inlineStr">
        <is>
          <t>PV of distributable earnings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revenue proxy (engine scaler)</t>
        </is>
      </c>
      <c r="B25" s="7">
        <f>Assumptions!B11</f>
        <v/>
      </c>
      <c r="C25">
        <f>B25*(1+Assumptions!D$19)</f>
        <v/>
      </c>
      <c r="D25">
        <f>C25*(1+Assumptions!D$19)</f>
        <v/>
      </c>
      <c r="E25">
        <f>D25*(1+Assumptions!D$19)</f>
        <v/>
      </c>
      <c r="F25">
        <f>E25*(1+Assumptions!D$19)</f>
        <v/>
      </c>
      <c r="G25">
        <f>F25*(1+Assumptions!D$19)</f>
        <v/>
      </c>
      <c r="H25">
        <f>G25*(1+Assumptions!D$19)</f>
        <v/>
      </c>
      <c r="I25">
        <f>H25*(1+Assumptions!D$19)</f>
        <v/>
      </c>
      <c r="J25">
        <f>I25*(1+Assumptions!D$19)</f>
        <v/>
      </c>
      <c r="K25">
        <f>J25*(1+Assumptions!D$19)</f>
        <v/>
      </c>
      <c r="L25">
        <f>K25*(1+Assumptions!D$19)</f>
        <v/>
      </c>
    </row>
    <row r="26">
      <c r="A26" t="inlineStr">
        <is>
          <t>Memo: SBC expensed inside NPAT (street add-back)</t>
        </is>
      </c>
      <c r="B26" s="7">
        <f>Assumptions!B10</f>
        <v/>
      </c>
      <c r="C26">
        <f>C25*Assumptions!$B$10/Assumptions!$B$11</f>
        <v/>
      </c>
      <c r="D26">
        <f>D25*Assumptions!$B$10/Assumptions!$B$11</f>
        <v/>
      </c>
      <c r="E26">
        <f>E25*Assumptions!$B$10/Assumptions!$B$11</f>
        <v/>
      </c>
      <c r="F26">
        <f>F25*Assumptions!$B$10/Assumptions!$B$11</f>
        <v/>
      </c>
      <c r="G26">
        <f>G25*Assumptions!$B$10/Assumptions!$B$11</f>
        <v/>
      </c>
      <c r="H26">
        <f>H25*Assumptions!$B$10/Assumptions!$B$11</f>
        <v/>
      </c>
      <c r="I26">
        <f>I25*Assumptions!$B$10/Assumptions!$B$11</f>
        <v/>
      </c>
      <c r="J26">
        <f>J25*Assumptions!$B$10/Assumptions!$B$11</f>
        <v/>
      </c>
      <c r="K26">
        <f>K25*Assumptions!$B$10/Assumptions!$B$11</f>
        <v/>
      </c>
      <c r="L26">
        <f>L25*Assumptions!$B$10/Assumptions!$B$11</f>
        <v/>
      </c>
    </row>
    <row r="28">
      <c r="A28" t="inlineStr">
        <is>
          <t>Sum of PV, years 1-10</t>
        </is>
      </c>
      <c r="B28">
        <f>SUM(C23:L23)</f>
        <v/>
      </c>
    </row>
    <row r="29">
      <c r="A29" t="inlineStr">
        <is>
          <t>Terminal growth</t>
        </is>
      </c>
      <c r="B29" s="8">
        <f>Assumptions!D16</f>
        <v/>
      </c>
    </row>
    <row r="30">
      <c r="A30" t="inlineStr">
        <is>
          <t>Terminal distributable earnings (Y10 x (1+g))</t>
        </is>
      </c>
      <c r="B30">
        <f>L21*(1+B29)</f>
        <v/>
      </c>
    </row>
    <row r="31">
      <c r="A31" t="inlineStr">
        <is>
          <t>Gordon terminal value</t>
        </is>
      </c>
      <c r="B31">
        <f>B30/(Assumptions!B8-B29)</f>
        <v/>
      </c>
    </row>
    <row r="32">
      <c r="A32" t="inlineStr">
        <is>
          <t>Exit P/E cap x Y10 distributable</t>
        </is>
      </c>
      <c r="B32">
        <f>Assumptions!D17*L21</f>
        <v/>
      </c>
    </row>
    <row r="33">
      <c r="A33" t="inlineStr">
        <is>
          <t>Terminal value used = MAX(0,MIN(Gordon,cap))</t>
        </is>
      </c>
      <c r="B33">
        <f>MAX(0,MIN(B31,B32))</f>
        <v/>
      </c>
    </row>
    <row r="34">
      <c r="A34" t="inlineStr">
        <is>
          <t>Implied exit multiple on Y10 distributable</t>
        </is>
      </c>
      <c r="B34">
        <f>B33/L21</f>
        <v/>
      </c>
    </row>
    <row r="35">
      <c r="A35" t="inlineStr">
        <is>
          <t>PV of terminal value</t>
        </is>
      </c>
      <c r="B35">
        <f>B33*L22</f>
        <v/>
      </c>
    </row>
    <row r="36">
      <c r="A36" t="inlineStr">
        <is>
          <t>Value of earnings stream (EV-equivalent)</t>
        </is>
      </c>
      <c r="B36">
        <f>B28+B35</f>
        <v/>
      </c>
    </row>
    <row r="37">
      <c r="A37" t="inlineStr">
        <is>
          <t>Add: CET1 surplus + DTA PV</t>
        </is>
      </c>
      <c r="B37" s="7">
        <f>Assumptions!B7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7">
        <f>Assumptions!B4</f>
        <v/>
      </c>
    </row>
    <row r="40">
      <c r="A40" s="1" t="inlineStr">
        <is>
          <t>Value per share (A$)</t>
        </is>
      </c>
      <c r="B40" s="9">
        <f>B38/B39</f>
        <v/>
      </c>
    </row>
    <row r="41">
      <c r="A41" t="inlineStr">
        <is>
          <t>Upside vs price</t>
        </is>
      </c>
      <c r="B41" s="10">
        <f>B40/Assumptions!B3-1</f>
        <v/>
      </c>
    </row>
    <row r="42">
      <c r="A42" t="inlineStr">
        <is>
          <t>Terminal % of value</t>
        </is>
      </c>
      <c r="B42" s="10">
        <f>B35/B36</f>
        <v/>
      </c>
    </row>
    <row r="44">
      <c r="A44" t="inlineStr">
        <is>
          <t>Street memo: PV of explicit SBC</t>
        </is>
      </c>
      <c r="B44">
        <f>SUMPRODUCT(C26:L26/(1+Assumptions!$B$8)^C4:L4)</f>
        <v/>
      </c>
    </row>
    <row r="45">
      <c r="A45" t="inlineStr">
        <is>
          <t>Street memo: PV of terminal SBC</t>
        </is>
      </c>
      <c r="B45">
        <f>L26*(1+B29)/(Assumptions!B8-B29)*L22</f>
        <v/>
      </c>
    </row>
    <row r="46">
      <c r="A46" t="inlineStr">
        <is>
          <t>Street value per share (SBC as non-cash)</t>
        </is>
      </c>
      <c r="B46">
        <f>(B38+B44+B45)/B39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Underlying vs statutory reconciliation, replacing the owner-FCF FCF_Quality tab: reported FCF is not a valuation input for a bank-inclusive group.</t>
        </is>
      </c>
    </row>
    <row r="3">
      <c r="A3" s="1" t="inlineStr">
        <is>
          <t>Metric</t>
        </is>
      </c>
      <c r="B3" s="1" t="inlineStr">
        <is>
          <t>FY2020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  <c r="G3" s="1" t="inlineStr">
        <is>
          <t>FY2025</t>
        </is>
      </c>
      <c r="H3" s="1" t="inlineStr">
        <is>
          <t>1H2025</t>
        </is>
      </c>
      <c r="I3" s="1" t="inlineStr">
        <is>
          <t>1H2026</t>
        </is>
      </c>
      <c r="J3" s="1" t="inlineStr">
        <is>
          <t>TTM Jun-26</t>
        </is>
      </c>
    </row>
    <row r="4">
      <c r="A4" t="inlineStr">
        <is>
          <t>Underlying NPAT</t>
        </is>
      </c>
      <c r="B4" s="7">
        <f>Actuals!B4</f>
        <v/>
      </c>
      <c r="C4" s="7">
        <f>Actuals!C4</f>
        <v/>
      </c>
      <c r="D4" s="7">
        <f>Actuals!D4</f>
        <v/>
      </c>
      <c r="E4" s="7">
        <f>Actuals!E4</f>
        <v/>
      </c>
      <c r="F4" s="7">
        <f>Actuals!F4</f>
        <v/>
      </c>
      <c r="G4" s="7">
        <f>Actuals!G4</f>
        <v/>
      </c>
      <c r="H4" s="7">
        <f>Actuals!H4</f>
        <v/>
      </c>
      <c r="I4" s="7">
        <f>Actuals!I4</f>
        <v/>
      </c>
      <c r="J4" s="7">
        <f>Actuals!J4</f>
        <v/>
      </c>
    </row>
    <row r="5">
      <c r="A5" t="inlineStr">
        <is>
          <t>Below-the-line items</t>
        </is>
      </c>
      <c r="B5" s="7">
        <f>Actuals!B11</f>
        <v/>
      </c>
      <c r="C5" s="7">
        <f>Actuals!C11</f>
        <v/>
      </c>
      <c r="D5" s="7">
        <f>Actuals!D11</f>
        <v/>
      </c>
      <c r="E5" s="7">
        <f>Actuals!E11</f>
        <v/>
      </c>
      <c r="F5" s="7">
        <f>Actuals!F11</f>
        <v/>
      </c>
      <c r="G5" s="7">
        <f>Actuals!G11</f>
        <v/>
      </c>
      <c r="H5" s="7">
        <f>Actuals!H11</f>
        <v/>
      </c>
      <c r="I5" s="7">
        <f>Actuals!I11</f>
        <v/>
      </c>
      <c r="J5" s="7">
        <f>Actuals!J11</f>
        <v/>
      </c>
    </row>
    <row r="6">
      <c r="A6" t="inlineStr">
        <is>
          <t>Statutory NPAT</t>
        </is>
      </c>
      <c r="B6" s="7">
        <f>Actuals!B10</f>
        <v/>
      </c>
      <c r="C6" s="7">
        <f>Actuals!C10</f>
        <v/>
      </c>
      <c r="D6" s="7">
        <f>Actuals!D10</f>
        <v/>
      </c>
      <c r="E6" s="7">
        <f>Actuals!E10</f>
        <v/>
      </c>
      <c r="F6" s="7">
        <f>Actuals!F10</f>
        <v/>
      </c>
      <c r="G6" s="7">
        <f>Actuals!G10</f>
        <v/>
      </c>
      <c r="H6" s="7">
        <f>Actuals!H10</f>
        <v/>
      </c>
      <c r="I6" s="7">
        <f>Actuals!I10</f>
        <v/>
      </c>
      <c r="J6" s="7">
        <f>Actuals!J10</f>
        <v/>
      </c>
    </row>
    <row r="7">
      <c r="A7" t="inlineStr">
        <is>
          <t>Leakage % of underlying</t>
        </is>
      </c>
      <c r="B7" s="8">
        <f>IF(Actuals!B4=0,"",-Actuals!B11/Actuals!B4)</f>
        <v/>
      </c>
      <c r="C7" s="8">
        <f>IF(Actuals!C4=0,"",-Actuals!C11/Actuals!C4)</f>
        <v/>
      </c>
      <c r="D7" s="8">
        <f>IF(Actuals!D4=0,"",-Actuals!D11/Actuals!D4)</f>
        <v/>
      </c>
      <c r="E7" s="8">
        <f>IF(Actuals!E4=0,"",-Actuals!E11/Actuals!E4)</f>
        <v/>
      </c>
      <c r="F7" s="8">
        <f>IF(Actuals!F4=0,"",-Actuals!F11/Actuals!F4)</f>
        <v/>
      </c>
      <c r="G7" s="8">
        <f>IF(Actuals!G4=0,"",-Actuals!G11/Actuals!G4)</f>
        <v/>
      </c>
      <c r="H7" s="8">
        <f>IF(Actuals!H4=0,"",-Actuals!H11/Actuals!H4)</f>
        <v/>
      </c>
      <c r="I7" s="8">
        <f>IF(Actuals!I4=0,"",-Actuals!I11/Actuals!I4)</f>
        <v/>
      </c>
      <c r="J7" s="8">
        <f>IF(Actuals!J4=0,"",-Actuals!J11/Actuals!J4)</f>
        <v/>
      </c>
    </row>
    <row r="8">
      <c r="A8" t="inlineStr">
        <is>
          <t>Statutory / underlying conversion</t>
        </is>
      </c>
      <c r="B8" s="8">
        <f>IF(Actuals!B4=0,"",Actuals!B10/Actuals!B4)</f>
        <v/>
      </c>
      <c r="C8" s="8">
        <f>IF(Actuals!C4=0,"",Actuals!C10/Actuals!C4)</f>
        <v/>
      </c>
      <c r="D8" s="8">
        <f>IF(Actuals!D4=0,"",Actuals!D10/Actuals!D4)</f>
        <v/>
      </c>
      <c r="E8" s="8">
        <f>IF(Actuals!E4=0,"",Actuals!E10/Actuals!E4)</f>
        <v/>
      </c>
      <c r="F8" s="8">
        <f>IF(Actuals!F4=0,"",Actuals!F10/Actuals!F4)</f>
        <v/>
      </c>
      <c r="G8" s="8">
        <f>IF(Actuals!G4=0,"",Actuals!G10/Actuals!G4)</f>
        <v/>
      </c>
      <c r="H8" s="8">
        <f>IF(Actuals!H4=0,"",Actuals!H10/Actuals!H4)</f>
        <v/>
      </c>
      <c r="I8" s="8">
        <f>IF(Actuals!I4=0,"",Actuals!I10/Actuals!I4)</f>
        <v/>
      </c>
      <c r="J8" s="8">
        <f>IF(Actuals!J4=0,"",Actuals!J10/Actuals!J4)</f>
        <v/>
      </c>
    </row>
    <row r="9">
      <c r="A9" t="inlineStr">
        <is>
          <t>Memo: OCF (loan/deposit driven, not earnings)</t>
        </is>
      </c>
      <c r="B9" s="7">
        <f>Actuals!B13</f>
        <v/>
      </c>
      <c r="C9" s="7">
        <f>Actuals!C13</f>
        <v/>
      </c>
      <c r="D9" s="7">
        <f>Actuals!D13</f>
        <v/>
      </c>
      <c r="E9" s="7">
        <f>Actuals!E13</f>
        <v/>
      </c>
      <c r="F9" s="7">
        <f>Actuals!F13</f>
        <v/>
      </c>
      <c r="G9" s="7">
        <f>Actuals!G13</f>
        <v/>
      </c>
      <c r="H9" s="7">
        <f>Actuals!H13</f>
        <v/>
      </c>
      <c r="I9" s="7">
        <f>Actuals!I13</f>
        <v/>
      </c>
      <c r="J9" s="7">
        <f>Actuals!J13</f>
        <v/>
      </c>
    </row>
    <row r="10">
      <c r="A10" t="inlineStr">
        <is>
          <t>Memo: cash tax paid vs ~30% of underlying pre-tax</t>
        </is>
      </c>
      <c r="B10" s="8">
        <f>Actuals!B14</f>
        <v/>
      </c>
      <c r="C10" s="8">
        <f>Actuals!C14</f>
        <v/>
      </c>
      <c r="D10" s="8">
        <f>Actuals!D14</f>
        <v/>
      </c>
      <c r="E10" s="8">
        <f>Actuals!E14</f>
        <v/>
      </c>
      <c r="F10" s="8">
        <f>Actuals!F14</f>
        <v/>
      </c>
      <c r="G10" s="8">
        <f>Actuals!G14</f>
        <v/>
      </c>
      <c r="H10" s="8">
        <f>Actuals!H14</f>
        <v/>
      </c>
      <c r="I10" s="8">
        <f>Actuals!I14</f>
        <v/>
      </c>
      <c r="J10" s="8">
        <f>Actuals!J14</f>
        <v/>
      </c>
    </row>
    <row r="11">
      <c r="A11" t="inlineStr">
        <is>
          <t>Memo: SBC expensed</t>
        </is>
      </c>
      <c r="B11" s="7">
        <f>Actuals!B15</f>
        <v/>
      </c>
      <c r="C11" s="7">
        <f>Actuals!C15</f>
        <v/>
      </c>
      <c r="D11" s="7">
        <f>Actuals!D15</f>
        <v/>
      </c>
      <c r="E11" s="7">
        <f>Actuals!E15</f>
        <v/>
      </c>
      <c r="F11" s="7">
        <f>Actuals!F15</f>
        <v/>
      </c>
      <c r="G11" s="7">
        <f>Actuals!G15</f>
        <v/>
      </c>
      <c r="H11" s="7">
        <f>Actuals!H15</f>
        <v/>
      </c>
      <c r="I11" s="7">
        <f>Actuals!I15</f>
        <v/>
      </c>
      <c r="J11" s="7">
        <f>Actuals!J15</f>
        <v/>
      </c>
    </row>
    <row r="12">
      <c r="A12" t="inlineStr">
        <is>
          <t>Memo: buybacks + dividends paid</t>
        </is>
      </c>
      <c r="B12" s="7">
        <f>Actuals!B16+Actuals!B17</f>
        <v/>
      </c>
      <c r="C12" s="7">
        <f>Actuals!C16+Actuals!C17</f>
        <v/>
      </c>
      <c r="D12" s="7">
        <f>Actuals!D16+Actuals!D17</f>
        <v/>
      </c>
      <c r="E12" s="7">
        <f>Actuals!E16+Actuals!E17</f>
        <v/>
      </c>
      <c r="F12" s="7">
        <f>Actuals!F16+Actuals!F17</f>
        <v/>
      </c>
      <c r="G12" s="7">
        <f>Actuals!G16+Actuals!G17</f>
        <v/>
      </c>
      <c r="H12" s="7">
        <f>Actuals!H16+Actuals!H17</f>
        <v/>
      </c>
      <c r="I12" s="7">
        <f>Actuals!I16+Actuals!I17</f>
        <v/>
      </c>
      <c r="J12" s="7">
        <f>Actuals!J16+Actuals!J17</f>
        <v/>
      </c>
    </row>
    <row r="14">
      <c r="A14" t="inlineStr">
        <is>
          <t>Reading: statutory has been below underlying in every year except the FY22-23 disposal-gain years; the model charges 10% -&gt; 5% of underlying NPAT (base) as a persistent below-the-line leakage rather than treating underlying as fully distributable.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Summary - all cells are formulas over the DCF tabs and Assumptions.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value/share</t>
        </is>
      </c>
      <c r="F3" s="1" t="inlineStr">
        <is>
          <t>Entry price @15% hurdle</t>
        </is>
      </c>
    </row>
    <row r="4">
      <c r="A4" t="inlineStr">
        <is>
          <t>Bear</t>
        </is>
      </c>
      <c r="B4" s="11">
        <f>DCF_Bear!B40</f>
        <v/>
      </c>
      <c r="C4" s="10">
        <f>B4/Assumptions!B3-1</f>
        <v/>
      </c>
      <c r="D4" s="7">
        <f>Assumptions!B18</f>
        <v/>
      </c>
      <c r="E4" s="11">
        <f>DCF_Bear!B46</f>
        <v/>
      </c>
      <c r="F4" s="12">
        <f>(SUMPRODUCT(DCF_Bear!$C$21:$L$21/(1+Assumptions!$B$9)^DCF_Bear!$C$4:$L$4)+MAX(0,MIN(DCF_Bear!$L$21*(1+Assumptions!B$16)/(Assumptions!$B$9-Assumptions!B$16),Assumptions!B$17*DCF_Bear!$L$21))/(1+Assumptions!$B$9)^10+Assumptions!$B$7)/Assumptions!$B$4</f>
        <v/>
      </c>
    </row>
    <row r="5">
      <c r="A5" t="inlineStr">
        <is>
          <t>Base</t>
        </is>
      </c>
      <c r="B5" s="11">
        <f>DCF_Base!B40</f>
        <v/>
      </c>
      <c r="C5" s="10">
        <f>B5/Assumptions!B3-1</f>
        <v/>
      </c>
      <c r="D5" s="7">
        <f>Assumptions!C18</f>
        <v/>
      </c>
      <c r="E5" s="11">
        <f>DCF_Base!B46</f>
        <v/>
      </c>
      <c r="F5" s="12">
        <f>(SUMPRODUCT(DCF_Base!$C$21:$L$21/(1+Assumptions!$B$9)^DCF_Base!$C$4:$L$4)+MAX(0,MIN(DCF_Base!$L$21*(1+Assumptions!C$16)/(Assumptions!$B$9-Assumptions!C$16),Assumptions!C$17*DCF_Base!$L$21))/(1+Assumptions!$B$9)^10+Assumptions!$B$7)/Assumptions!$B$4</f>
        <v/>
      </c>
    </row>
    <row r="6">
      <c r="A6" t="inlineStr">
        <is>
          <t>Bull</t>
        </is>
      </c>
      <c r="B6" s="11">
        <f>DCF_Bull!B40</f>
        <v/>
      </c>
      <c r="C6" s="10">
        <f>B6/Assumptions!B3-1</f>
        <v/>
      </c>
      <c r="D6" s="7">
        <f>Assumptions!D18</f>
        <v/>
      </c>
      <c r="E6" s="11">
        <f>DCF_Bull!B46</f>
        <v/>
      </c>
      <c r="F6" s="12">
        <f>(SUMPRODUCT(DCF_Bull!$C$21:$L$21/(1+Assumptions!$B$9)^DCF_Bull!$C$4:$L$4)+MAX(0,MIN(DCF_Bull!$L$21*(1+Assumptions!D$16)/(Assumptions!$B$9-Assumptions!D$16),Assumptions!D$17*DCF_Bull!$L$21))/(1+Assumptions!$B$9)^10+Assumptions!$B$7)/Assumptions!$B$4</f>
        <v/>
      </c>
    </row>
    <row r="8">
      <c r="A8" s="1" t="inlineStr">
        <is>
          <t>Probability-weighted value per share</t>
        </is>
      </c>
      <c r="B8" s="9">
        <f>SUMPRODUCT(B4:B6,D4:D6)</f>
        <v/>
      </c>
    </row>
    <row r="9">
      <c r="A9" t="inlineStr">
        <is>
          <t>Current price</t>
        </is>
      </c>
      <c r="B9" s="7">
        <f>Assumptions!B3</f>
        <v/>
      </c>
    </row>
    <row r="10">
      <c r="A10" t="inlineStr">
        <is>
          <t>Margin of safety (1 - price/weighted)</t>
        </is>
      </c>
      <c r="B10" s="10">
        <f>1-B9/B8</f>
        <v/>
      </c>
    </row>
    <row r="11">
      <c r="A11" t="inlineStr">
        <is>
          <t>Street weighted value per share</t>
        </is>
      </c>
      <c r="B11" s="12">
        <f>SUMPRODUCT(E4:E6,D4:D6)</f>
        <v/>
      </c>
    </row>
    <row r="12">
      <c r="A12" t="inlineStr">
        <is>
          <t>Band position (price-house)/(street-house)</t>
        </is>
      </c>
      <c r="B12" s="10">
        <f>IF(B11=B8,"n/a",(B9-B8)/(B11-B8))</f>
        <v/>
      </c>
    </row>
    <row r="13">
      <c r="A13" s="1" t="inlineStr">
        <is>
          <t>Weighted entry price @15% hurdle (buy-below)</t>
        </is>
      </c>
      <c r="B13" s="9">
        <f>SUMPRODUCT(F4:F6,D4:D6)</f>
        <v/>
      </c>
    </row>
    <row r="14">
      <c r="A14" t="inlineStr">
        <is>
          <t>Entry discount vs price</t>
        </is>
      </c>
      <c r="B14" s="10">
        <f>B13/B9-1</f>
        <v/>
      </c>
    </row>
    <row r="16">
      <c r="A16" s="1" t="inlineStr">
        <is>
          <t>Required-return table (base case; TV rebuilt at each rate)</t>
        </is>
      </c>
    </row>
    <row r="17">
      <c r="A17" t="inlineStr">
        <is>
          <t>Required return</t>
        </is>
      </c>
      <c r="B17" t="inlineStr">
        <is>
          <t>Value per share</t>
        </is>
      </c>
    </row>
    <row r="18">
      <c r="A18" s="13" t="n">
        <v>0.09</v>
      </c>
      <c r="B18" s="12">
        <f>(SUMPRODUCT(DCF_Base!$C$21:$L$21/(1+$A18)^DCF_Base!$C$4:$L$4)+MAX(0,MIN(DCF_Base!$L$21*(1+Assumptions!C$16)/($A18-Assumptions!C$16),Assumptions!C$17*DCF_Base!$L$21))/(1+$A18)^10+Assumptions!$B$7)/Assumptions!$B$4</f>
        <v/>
      </c>
    </row>
    <row r="19">
      <c r="A19" s="13" t="n">
        <v>0.1</v>
      </c>
      <c r="B19" s="12">
        <f>(SUMPRODUCT(DCF_Base!$C$21:$L$21/(1+$A19)^DCF_Base!$C$4:$L$4)+MAX(0,MIN(DCF_Base!$L$21*(1+Assumptions!C$16)/($A19-Assumptions!C$16),Assumptions!C$17*DCF_Base!$L$21))/(1+$A19)^10+Assumptions!$B$7)/Assumptions!$B$4</f>
        <v/>
      </c>
    </row>
    <row r="20">
      <c r="A20" s="10">
        <f>Assumptions!B8</f>
        <v/>
      </c>
      <c r="B20" s="12">
        <f>(SUMPRODUCT(DCF_Base!$C$21:$L$21/(1+$A20)^DCF_Base!$C$4:$L$4)+MAX(0,MIN(DCF_Base!$L$21*(1+Assumptions!C$16)/($A20-Assumptions!C$16),Assumptions!C$17*DCF_Base!$L$21))/(1+$A20)^10+Assumptions!$B$7)/Assumptions!$B$4</f>
        <v/>
      </c>
    </row>
    <row r="21">
      <c r="A21" s="13" t="n">
        <v>0.11</v>
      </c>
      <c r="B21" s="12">
        <f>(SUMPRODUCT(DCF_Base!$C$21:$L$21/(1+$A21)^DCF_Base!$C$4:$L$4)+MAX(0,MIN(DCF_Base!$L$21*(1+Assumptions!C$16)/($A21-Assumptions!C$16),Assumptions!C$17*DCF_Base!$L$21))/(1+$A21)^10+Assumptions!$B$7)/Assumptions!$B$4</f>
        <v/>
      </c>
    </row>
    <row r="22">
      <c r="A22" s="13" t="n">
        <v>0.12</v>
      </c>
      <c r="B22" s="12">
        <f>(SUMPRODUCT(DCF_Base!$C$21:$L$21/(1+$A22)^DCF_Base!$C$4:$L$4)+MAX(0,MIN(DCF_Base!$L$21*(1+Assumptions!C$16)/($A22-Assumptions!C$16),Assumptions!C$17*DCF_Base!$L$21))/(1+$A22)^10+Assumptions!$B$7)/Assumptions!$B$4</f>
        <v/>
      </c>
    </row>
    <row r="23">
      <c r="A23" s="10">
        <f>Assumptions!B9</f>
        <v/>
      </c>
      <c r="B23" s="12">
        <f>(SUMPRODUCT(DCF_Base!$C$21:$L$21/(1+$A23)^DCF_Base!$C$4:$L$4)+MAX(0,MIN(DCF_Base!$L$21*(1+Assumptions!C$16)/($A23-Assumptions!C$16),Assumptions!C$17*DCF_Base!$L$21))/(1+$A23)^10+Assumptions!$B$7)/Assumptions!$B$4</f>
        <v/>
      </c>
    </row>
    <row r="26">
      <c r="A26" s="1" t="inlineStr">
        <is>
          <t>Sensitivity: base-case value per share, cost of equity (rows) x terminal growth (cols)</t>
        </is>
      </c>
    </row>
    <row r="27">
      <c r="B27" s="13" t="n">
        <v>0.015</v>
      </c>
      <c r="C27" s="13" t="n">
        <v>0.02</v>
      </c>
      <c r="D27" s="13" t="n">
        <v>0.025</v>
      </c>
      <c r="E27" s="13" t="n">
        <v>0.03</v>
      </c>
      <c r="F27" s="13" t="n">
        <v>0.035</v>
      </c>
    </row>
    <row r="28">
      <c r="A28" s="13" t="n">
        <v>0.08500000000000001</v>
      </c>
      <c r="B28" s="12">
        <f>IF($A28&gt;B$27,(SUMPRODUCT(DCF_Base!$C$21:$L$21/(1+$A28)^DCF_Base!$C$4:$L$4)+MAX(0,MIN(DCF_Base!$L$21*(1+B$27)/($A28-B$27),Assumptions!$C$17*DCF_Base!$L$21))/(1+$A28)^10+Assumptions!$B$7)/Assumptions!$B$4,"n/a")</f>
        <v/>
      </c>
      <c r="C28" s="12">
        <f>IF($A28&gt;C$27,(SUMPRODUCT(DCF_Base!$C$21:$L$21/(1+$A28)^DCF_Base!$C$4:$L$4)+MAX(0,MIN(DCF_Base!$L$21*(1+C$27)/($A28-C$27),Assumptions!$C$17*DCF_Base!$L$21))/(1+$A28)^10+Assumptions!$B$7)/Assumptions!$B$4,"n/a")</f>
        <v/>
      </c>
      <c r="D28" s="12">
        <f>IF($A28&gt;D$27,(SUMPRODUCT(DCF_Base!$C$21:$L$21/(1+$A28)^DCF_Base!$C$4:$L$4)+MAX(0,MIN(DCF_Base!$L$21*(1+D$27)/($A28-D$27),Assumptions!$C$17*DCF_Base!$L$21))/(1+$A28)^10+Assumptions!$B$7)/Assumptions!$B$4,"n/a")</f>
        <v/>
      </c>
      <c r="E28" s="12">
        <f>IF($A28&gt;E$27,(SUMPRODUCT(DCF_Base!$C$21:$L$21/(1+$A28)^DCF_Base!$C$4:$L$4)+MAX(0,MIN(DCF_Base!$L$21*(1+E$27)/($A28-E$27),Assumptions!$C$17*DCF_Base!$L$21))/(1+$A28)^10+Assumptions!$B$7)/Assumptions!$B$4,"n/a")</f>
        <v/>
      </c>
      <c r="F28" s="12">
        <f>IF($A28&gt;F$27,(SUMPRODUCT(DCF_Base!$C$21:$L$21/(1+$A28)^DCF_Base!$C$4:$L$4)+MAX(0,MIN(DCF_Base!$L$21*(1+F$27)/($A28-F$27),Assumptions!$C$17*DCF_Base!$L$21))/(1+$A28)^10+Assumptions!$B$7)/Assumptions!$B$4,"n/a")</f>
        <v/>
      </c>
    </row>
    <row r="29">
      <c r="A29" s="13" t="n">
        <v>0.095</v>
      </c>
      <c r="B29" s="12">
        <f>IF($A29&gt;B$27,(SUMPRODUCT(DCF_Base!$C$21:$L$21/(1+$A29)^DCF_Base!$C$4:$L$4)+MAX(0,MIN(DCF_Base!$L$21*(1+B$27)/($A29-B$27),Assumptions!$C$17*DCF_Base!$L$21))/(1+$A29)^10+Assumptions!$B$7)/Assumptions!$B$4,"n/a")</f>
        <v/>
      </c>
      <c r="C29" s="12">
        <f>IF($A29&gt;C$27,(SUMPRODUCT(DCF_Base!$C$21:$L$21/(1+$A29)^DCF_Base!$C$4:$L$4)+MAX(0,MIN(DCF_Base!$L$21*(1+C$27)/($A29-C$27),Assumptions!$C$17*DCF_Base!$L$21))/(1+$A29)^10+Assumptions!$B$7)/Assumptions!$B$4,"n/a")</f>
        <v/>
      </c>
      <c r="D29" s="12">
        <f>IF($A29&gt;D$27,(SUMPRODUCT(DCF_Base!$C$21:$L$21/(1+$A29)^DCF_Base!$C$4:$L$4)+MAX(0,MIN(DCF_Base!$L$21*(1+D$27)/($A29-D$27),Assumptions!$C$17*DCF_Base!$L$21))/(1+$A29)^10+Assumptions!$B$7)/Assumptions!$B$4,"n/a")</f>
        <v/>
      </c>
      <c r="E29" s="12">
        <f>IF($A29&gt;E$27,(SUMPRODUCT(DCF_Base!$C$21:$L$21/(1+$A29)^DCF_Base!$C$4:$L$4)+MAX(0,MIN(DCF_Base!$L$21*(1+E$27)/($A29-E$27),Assumptions!$C$17*DCF_Base!$L$21))/(1+$A29)^10+Assumptions!$B$7)/Assumptions!$B$4,"n/a")</f>
        <v/>
      </c>
      <c r="F29" s="12">
        <f>IF($A29&gt;F$27,(SUMPRODUCT(DCF_Base!$C$21:$L$21/(1+$A29)^DCF_Base!$C$4:$L$4)+MAX(0,MIN(DCF_Base!$L$21*(1+F$27)/($A29-F$27),Assumptions!$C$17*DCF_Base!$L$21))/(1+$A29)^10+Assumptions!$B$7)/Assumptions!$B$4,"n/a")</f>
        <v/>
      </c>
    </row>
    <row r="30">
      <c r="A30" s="13" t="n">
        <v>0.105</v>
      </c>
      <c r="B30" s="12">
        <f>IF($A30&gt;B$27,(SUMPRODUCT(DCF_Base!$C$21:$L$21/(1+$A30)^DCF_Base!$C$4:$L$4)+MAX(0,MIN(DCF_Base!$L$21*(1+B$27)/($A30-B$27),Assumptions!$C$17*DCF_Base!$L$21))/(1+$A30)^10+Assumptions!$B$7)/Assumptions!$B$4,"n/a")</f>
        <v/>
      </c>
      <c r="C30" s="12">
        <f>IF($A30&gt;C$27,(SUMPRODUCT(DCF_Base!$C$21:$L$21/(1+$A30)^DCF_Base!$C$4:$L$4)+MAX(0,MIN(DCF_Base!$L$21*(1+C$27)/($A30-C$27),Assumptions!$C$17*DCF_Base!$L$21))/(1+$A30)^10+Assumptions!$B$7)/Assumptions!$B$4,"n/a")</f>
        <v/>
      </c>
      <c r="D30" s="9">
        <f>IF($A30&gt;D$27,(SUMPRODUCT(DCF_Base!$C$21:$L$21/(1+$A30)^DCF_Base!$C$4:$L$4)+MAX(0,MIN(DCF_Base!$L$21*(1+D$27)/($A30-D$27),Assumptions!$C$17*DCF_Base!$L$21))/(1+$A30)^10+Assumptions!$B$7)/Assumptions!$B$4,"n/a")</f>
        <v/>
      </c>
      <c r="E30" s="12">
        <f>IF($A30&gt;E$27,(SUMPRODUCT(DCF_Base!$C$21:$L$21/(1+$A30)^DCF_Base!$C$4:$L$4)+MAX(0,MIN(DCF_Base!$L$21*(1+E$27)/($A30-E$27),Assumptions!$C$17*DCF_Base!$L$21))/(1+$A30)^10+Assumptions!$B$7)/Assumptions!$B$4,"n/a")</f>
        <v/>
      </c>
      <c r="F30" s="12">
        <f>IF($A30&gt;F$27,(SUMPRODUCT(DCF_Base!$C$21:$L$21/(1+$A30)^DCF_Base!$C$4:$L$4)+MAX(0,MIN(DCF_Base!$L$21*(1+F$27)/($A30-F$27),Assumptions!$C$17*DCF_Base!$L$21))/(1+$A30)^10+Assumptions!$B$7)/Assumptions!$B$4,"n/a")</f>
        <v/>
      </c>
    </row>
    <row r="31">
      <c r="A31" s="13" t="n">
        <v>0.115</v>
      </c>
      <c r="B31" s="12">
        <f>IF($A31&gt;B$27,(SUMPRODUCT(DCF_Base!$C$21:$L$21/(1+$A31)^DCF_Base!$C$4:$L$4)+MAX(0,MIN(DCF_Base!$L$21*(1+B$27)/($A31-B$27),Assumptions!$C$17*DCF_Base!$L$21))/(1+$A31)^10+Assumptions!$B$7)/Assumptions!$B$4,"n/a")</f>
        <v/>
      </c>
      <c r="C31" s="12">
        <f>IF($A31&gt;C$27,(SUMPRODUCT(DCF_Base!$C$21:$L$21/(1+$A31)^DCF_Base!$C$4:$L$4)+MAX(0,MIN(DCF_Base!$L$21*(1+C$27)/($A31-C$27),Assumptions!$C$17*DCF_Base!$L$21))/(1+$A31)^10+Assumptions!$B$7)/Assumptions!$B$4,"n/a")</f>
        <v/>
      </c>
      <c r="D31" s="12">
        <f>IF($A31&gt;D$27,(SUMPRODUCT(DCF_Base!$C$21:$L$21/(1+$A31)^DCF_Base!$C$4:$L$4)+MAX(0,MIN(DCF_Base!$L$21*(1+D$27)/($A31-D$27),Assumptions!$C$17*DCF_Base!$L$21))/(1+$A31)^10+Assumptions!$B$7)/Assumptions!$B$4,"n/a")</f>
        <v/>
      </c>
      <c r="E31" s="12">
        <f>IF($A31&gt;E$27,(SUMPRODUCT(DCF_Base!$C$21:$L$21/(1+$A31)^DCF_Base!$C$4:$L$4)+MAX(0,MIN(DCF_Base!$L$21*(1+E$27)/($A31-E$27),Assumptions!$C$17*DCF_Base!$L$21))/(1+$A31)^10+Assumptions!$B$7)/Assumptions!$B$4,"n/a")</f>
        <v/>
      </c>
      <c r="F31" s="12">
        <f>IF($A31&gt;F$27,(SUMPRODUCT(DCF_Base!$C$21:$L$21/(1+$A31)^DCF_Base!$C$4:$L$4)+MAX(0,MIN(DCF_Base!$L$21*(1+F$27)/($A31-F$27),Assumptions!$C$17*DCF_Base!$L$21))/(1+$A31)^10+Assumptions!$B$7)/Assumptions!$B$4,"n/a")</f>
        <v/>
      </c>
    </row>
    <row r="32">
      <c r="A32" s="13" t="n">
        <v>0.125</v>
      </c>
      <c r="B32" s="12">
        <f>IF($A32&gt;B$27,(SUMPRODUCT(DCF_Base!$C$21:$L$21/(1+$A32)^DCF_Base!$C$4:$L$4)+MAX(0,MIN(DCF_Base!$L$21*(1+B$27)/($A32-B$27),Assumptions!$C$17*DCF_Base!$L$21))/(1+$A32)^10+Assumptions!$B$7)/Assumptions!$B$4,"n/a")</f>
        <v/>
      </c>
      <c r="C32" s="12">
        <f>IF($A32&gt;C$27,(SUMPRODUCT(DCF_Base!$C$21:$L$21/(1+$A32)^DCF_Base!$C$4:$L$4)+MAX(0,MIN(DCF_Base!$L$21*(1+C$27)/($A32-C$27),Assumptions!$C$17*DCF_Base!$L$21))/(1+$A32)^10+Assumptions!$B$7)/Assumptions!$B$4,"n/a")</f>
        <v/>
      </c>
      <c r="D32" s="12">
        <f>IF($A32&gt;D$27,(SUMPRODUCT(DCF_Base!$C$21:$L$21/(1+$A32)^DCF_Base!$C$4:$L$4)+MAX(0,MIN(DCF_Base!$L$21*(1+D$27)/($A32-D$27),Assumptions!$C$17*DCF_Base!$L$21))/(1+$A32)^10+Assumptions!$B$7)/Assumptions!$B$4,"n/a")</f>
        <v/>
      </c>
      <c r="E32" s="12">
        <f>IF($A32&gt;E$27,(SUMPRODUCT(DCF_Base!$C$21:$L$21/(1+$A32)^DCF_Base!$C$4:$L$4)+MAX(0,MIN(DCF_Base!$L$21*(1+E$27)/($A32-E$27),Assumptions!$C$17*DCF_Base!$L$21))/(1+$A32)^10+Assumptions!$B$7)/Assumptions!$B$4,"n/a")</f>
        <v/>
      </c>
      <c r="F32" s="12">
        <f>IF($A32&gt;F$27,(SUMPRODUCT(DCF_Base!$C$21:$L$21/(1+$A32)^DCF_Base!$C$4:$L$4)+MAX(0,MIN(DCF_Base!$L$21*(1+F$27)/($A32-F$27),Assumptions!$C$17*DCF_Base!$L$21))/(1+$A32)^10+Assumptions!$B$7)/Assumptions!$B$4,"n/a")</f>
        <v/>
      </c>
    </row>
    <row r="34">
      <c r="A34" t="inlineStr">
        <is>
          <t>Sanity: price / TTM underlying EPS</t>
        </is>
      </c>
      <c r="B34" s="14">
        <f>Assumptions!B3/(Actuals!J20/100)</f>
        <v/>
      </c>
    </row>
    <row r="35">
      <c r="A35" t="inlineStr">
        <is>
          <t>Sanity: price / book (30-Jun-2026)</t>
        </is>
      </c>
      <c r="B35" s="15">
        <f>Assumptions!B3*(Actuals!I18-2.1)/Actuals!I19</f>
        <v/>
      </c>
    </row>
    <row r="36">
      <c r="A36" t="inlineStr">
        <is>
          <t>Sanity: house base IV / TTM underlying NPAT (implied P/E)</t>
        </is>
      </c>
      <c r="B36" s="14">
        <f>DCF_Base!B38/Actuals!J4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2026-09-21T10:05:12Z</dcterms:created>
  <dcterms:modified xsi:type="dcterms:W3CDTF">2026-09-21T10:05:12Z</dcterms:modified>
</cp:coreProperties>
</file>