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_Info" sheetId="1" state="visible" r:id="rId3"/>
    <sheet name="Reconciliation" sheetId="2" state="visible" r:id="rId4"/>
    <sheet name="Actuals" sheetId="3" state="visible" r:id="rId5"/>
    <sheet name="Assumptions" sheetId="4" state="visible" r:id="rId6"/>
    <sheet name="DCF_Bear" sheetId="5" state="visible" r:id="rId7"/>
    <sheet name="DCF_Base" sheetId="6" state="visible" r:id="rId8"/>
    <sheet name="DCF_Bull" sheetId="7" state="visible" r:id="rId9"/>
    <sheet name="Valuatio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<sst xmlns="http://schemas.openxmlformats.org/spreadsheetml/2006/main" count="394" uniqueCount="197">
  <si>
    <t xml:space="preserve">Ticker</t>
  </si>
  <si>
    <t xml:space="preserve">SKO.NZ</t>
  </si>
  <si>
    <t xml:space="preserve">Company</t>
  </si>
  <si>
    <t xml:space="preserve">Serko Limited</t>
  </si>
  <si>
    <t xml:space="preserve">Valuation date</t>
  </si>
  <si>
    <t xml:space="preserve">2026-09-26</t>
  </si>
  <si>
    <t xml:space="preserve">Current price</t>
  </si>
  <si>
    <t xml:space="preserve">Price as of</t>
  </si>
  <si>
    <t xml:space="preserve">2026-09-25T05:00:32Z NZX regular close (Yahoo Finance chart API)</t>
  </si>
  <si>
    <t xml:space="preserve">Balance sheet date</t>
  </si>
  <si>
    <t xml:space="preserve">2026-03-31</t>
  </si>
  <si>
    <t xml:space="preserve">Model</t>
  </si>
  <si>
    <t xml:space="preserve">revenue x normalizing owner-FCF-margin DCF (component build, 10-year explicit horizon, engine route)</t>
  </si>
  <si>
    <t xml:space="preserve">Currency (model)</t>
  </si>
  <si>
    <t xml:space="preserve">NZD</t>
  </si>
  <si>
    <t xml:space="preserve">Currency (quote)</t>
  </si>
  <si>
    <t xml:space="preserve">Units</t>
  </si>
  <si>
    <t xml:space="preserve">millions</t>
  </si>
  <si>
    <t xml:space="preserve">Engine</t>
  </si>
  <si>
    <t xml:space="preserve">dcf_engine v1</t>
  </si>
  <si>
    <t xml:space="preserve">Built at</t>
  </si>
  <si>
    <t xml:space="preserve">2026-09-25T15:37:22Z</t>
  </si>
  <si>
    <t xml:space="preserve">Drivers file</t>
  </si>
  <si>
    <t xml:space="preserve">SKO.NZ_Drivers.json</t>
  </si>
  <si>
    <t xml:space="preserve">Convention</t>
  </si>
  <si>
    <t xml:space="preserve">Percents stored as percents; formulas divide by 100. Blue = input, green = link, black = formula.</t>
  </si>
  <si>
    <t xml:space="preserve">Methodology</t>
  </si>
  <si>
    <t xml:space="preserve">summary: Revenue x normalizing owner-FCF-margin DCF, 10-year explicit horizon, component-built, probability-weighted across three scenarios. THIS IS EXPLICITLY NOT A TRAILING-FCF DCF, because Serko has no trailing FCF to discount: on the house owner-FCF basis (reported FCF less SBC, less interest income, less IFRS-16 lease principal) the company generated NEGATIVE free cash flow in ALL TEN years FY2017-FY2026, and FY2026 owner FCF (-NZ$13.02m, -10.9% of revenue) WIDENED from FY2025. Growing a negative base by any positive rate produces a more negative number; growing it by a negative rate produces a spurious positive. Neither is a valuation. Value is instead built from the one line that is genuinely compounding -- revenue, up NZ$46.5m -&gt; 68.8 -&gt; 88.5 -&gt; 119.4m over FY2023-26 -- multiplied by a cash margin allowed to normalise over an explicit ten-year path, with every component (EBITDA margin, SBC, D&amp;A, tax, capex, working capital, lease cost) modelled separately. The central question: Serko is a growth company approaching breakeven whose largest revenue stream is contractually programmed to become LESS profitable as it grows -- the Booking.com revenue share steps down with volume (roughly 50% below 4.3m completed room nights, ~40% blended at 6m, ~32% at 8.6m), and Serko hit 4.3m in FY2026, permanently exiting the top tier. Q1 FY2027 is the proof: room nights +39%, revenue per room night -11%. The Booking.com contract expiry (31-Mar-2029, inside the forecast horizon, terminable for convenience on 12 months' notice, non-exclusive) is handled as an explicit dated event in the cash flows rather than buried in a discount-rate premium: BEAR (35%) assumes non-renewal/material repricing with a 45% FY2030 revenue collapse as the 61% supplier-commissions line runs off; BASE (45%) assumes renewal on worse economics; BULL (20%) assumes renewal on acceptable terms plus Serko.ai and the US wedge landing. As at 26-Sep-2026 the underlying facts are unchanged from the 28-Aug-2026 build -- only price (NZ$1.465 -&gt; NZ$1.33, a fresh 52-week low reached on no company-specific news) and the confirmed share count (124.882m -&gt; 126.139m per the 22-Sep Capital Change Notice) have moved.
key_risks_to_valuation: Booking.com contract: 61% of revenue, expires 31-Mar-2029, 12-month mutual termination for convenience, NON-EXCLUSIVE, take rate steps down with volume.; Customer concentration: two customers = 71% of FY2026 revenue (NZ$84.9m of 119.4m).; Ten consecutive years of negative owner FCF; breakeven pushed out to FY2029-FY2030 by management.; FY2027 guided spend (NZ$132-140m) EXCEEDS guided income (NZ$128-134m) at every point -- operating leverage reverses; reaffirmed 29-Jul-2026, no update since.; Management missed 3 of 5 FY2026 scorecard KPIs: B4B CRN threshold, platform capabilities, North American contracted ARR.; AI disintermediation risk sharpening: Navan's 'AI room intelligence mapper' and SAP Concur's Joule AI agents both sit in the same booking/content layer Serko occupies (trade press, Sep-2026).; SBC of NZ$7.246m exceeds EBITDAFI of NZ$6.5m -- the headline profit metric is smaller than the equity cost it ignores.; Continued share-price de-rating to fresh 52-week lows through Sep-2026 on no adverse company-specific news, widening the gap to sell-side consensus (~NZ$3.10-3.44) to over 130% -- a market that has stopped crediting the Serko 2030 aspiration, not a single dislocation.</t>
  </si>
  <si>
    <t xml:space="preserve">Data sources</t>
  </si>
  <si>
    <t xml:space="preserve">metrics: research/SKO.NZ/Reports/SKO.NZ_Metrics.csv (12 periods FY2017-FY2026 + H1 FY2025/FY2026)
kpis: research/SKO.NZ/Reports/SKO.NZ.duckdb kpis table -- TotalCashAndDeposits, SupplierCommissionsRevenue, TravelPlatformBookingRevenue, InterestIncome, CapitalisedDevelopmentCosts, Depreciation, ShortTermDeposits
qualitative: research/SKO.NZ/Reports/SKO.NZ_Analysis.json (refreshed 2026-09-26)
filings: research/SKO.NZ/Extracted/SKO.NZ_Annual_FY2026.txt (cash flow statement line 1265ff; lease principal line 1295; SBC note 17 line 2487ff; EPS/share note line 2444ff; FY26 scorecard line 5590ff)
price: Yahoo Finance chart API, NZX regular close at inputs.price_as_of; 52-week range 1.125-3.28</t>
  </si>
  <si>
    <t xml:space="preserve">Scenario narrative: bear</t>
  </si>
  <si>
    <t xml:space="preserve">THE BOOKING.COM CLIFF. The contract expires 31 March 2029 and is terminable on 12 months' notice by either side, so notice could be served as early as FY2028. Booking Holdings in-sources the SME business-travel layer it already brands as its own. Supplier commissions, 61% of revenue, run off through FY2030 (modelled as a 45% revenue collapse in that year). What remains is Zeno in Australasia -- entrenched but mature -- plus a declining GetThere. Serko.ai has no revenue. Owner FCF stays negative throughout and terminal value hits the zero floor; equity value is negative.</t>
  </si>
  <si>
    <t xml:space="preserve">Scenario narrative: base</t>
  </si>
  <si>
    <t xml:space="preserve">RENEWED, BUT ON WORSE TERMS. Booking.com renews in 2029 because the relationship works for both sides, but prices it to its own advantage -- Serko is non-exclusive and replaceable, and the volume tiers already ratchet the take rate down from ~48.7% toward 40% at 6m room nights. Volume keeps compounding at 15-20%; revenue grows at roughly half that as the take rate erodes, starting from the guided +8.4% in FY2027 when spend exceeds income and operating leverage goes BACKWARDS exactly as management guides. The cost optimisation programme and the roll-off of the FY2022-24 capitalised-development amortisation wave then let margins expand slowly. Owner FCF crosses zero around FY2032 -- two to three years later than management's own FY2029-30 inflection, because management's framing excludes SBC and lease principal. Terminal owner-FCF margin ~5.0%. Equity value is essentially the cash.</t>
  </si>
  <si>
    <t xml:space="preserve">Scenario narrative: bull</t>
  </si>
  <si>
    <t xml:space="preserve">THE AI OPERATING LAYER LANDS. Serko.ai converts from closed beta into a commercial product with a new pricing model, monetising two decades of proprietary corporate booking behaviour and supplier connectivity that a generic LLM wrapper cannot synthesise. The US corporate wedge -- management sizes USD$16-24bn of accommodation spend in the target industries -- converts well beyond the two customers signed to date, feeding volume into the Booking.com engine Serko already operates. Booking.com renews on acceptable terms because Serko has become harder to replace. Revenue compounds mid-to-high teens toward the NZ$250m FY2030 aspiration, and the cost-optimisation programme delivers real operating leverage to a 27.5% EBITDA margin.</t>
  </si>
  <si>
    <t xml:space="preserve">Item</t>
  </si>
  <si>
    <t xml:space="preserve">Value</t>
  </si>
  <si>
    <t xml:space="preserve">Note</t>
  </si>
  <si>
    <t xml:space="preserve">Prior valuation_date</t>
  </si>
  <si>
    <t xml:space="preserve">2026-08-28</t>
  </si>
  <si>
    <t xml:space="preserve">Prior price_then</t>
  </si>
  <si>
    <t xml:space="preserve">Prior bear</t>
  </si>
  <si>
    <t xml:space="preserve">Prior base</t>
  </si>
  <si>
    <t xml:space="preserve">Prior bull</t>
  </si>
  <si>
    <t xml:space="preserve">Prior weighted</t>
  </si>
  <si>
    <t xml:space="preserve">New valuation_date</t>
  </si>
  <si>
    <t xml:space="preserve">New price_then</t>
  </si>
  <si>
    <t xml:space="preserve">New bear</t>
  </si>
  <si>
    <t xml:space="preserve">New base</t>
  </si>
  <si>
    <t xml:space="preserve">New bull</t>
  </si>
  <si>
    <t xml:space="preserve">New weighted</t>
  </si>
  <si>
    <t xml:space="preserve">Bridge</t>
  </si>
  <si>
    <t xml:space="preserve">Prior weighted IV</t>
  </si>
  <si>
    <t xml:space="preserve">Share count 124.882m -&gt; 126.139m (22-Sep Capital Change Notice: 2,146,013 new RSU-scheme shares issued), ~1.0% more shares over the same equity value</t>
  </si>
  <si>
    <t xml:space="preserve">All growth/margin/SBC/D&amp;A/capex/WC/tax driver paths, WACC (17.5%), terminal growth and cap multiples, and scenario weights (35/45/20) held UNCHANGED -- 26-Sep Analysis.json refresh confirms no new evidence on Booking.com contract terms, FY2027 guidance, or the FY2029-30 inflection framing</t>
  </si>
  <si>
    <t xml:space="preserve">New weighted IV</t>
  </si>
  <si>
    <t xml:space="preserve">ties to probability_weighted.weighted_iv once the engine rebuilds; the ~0.4 cent move is entirely the share-count dilution from the 22-Sep RSU issuance, not a driver change</t>
  </si>
  <si>
    <t xml:space="preserve">Period</t>
  </si>
  <si>
    <t xml:space="preserve">Revenue</t>
  </si>
  <si>
    <t xml:space="preserve">CostOfRevenue</t>
  </si>
  <si>
    <t xml:space="preserve">GrossProfit</t>
  </si>
  <si>
    <t xml:space="preserve">GrossMargin</t>
  </si>
  <si>
    <t xml:space="preserve">OperatingIncome</t>
  </si>
  <si>
    <t xml:space="preserve">OperatingMargin</t>
  </si>
  <si>
    <t xml:space="preserve">EBITDA</t>
  </si>
  <si>
    <t xml:space="preserve">NetIncome</t>
  </si>
  <si>
    <t xml:space="preserve">NetMargin</t>
  </si>
  <si>
    <t xml:space="preserve">EPS</t>
  </si>
  <si>
    <t xml:space="preserve">OperatingCashFlow</t>
  </si>
  <si>
    <t xml:space="preserve">CapEx</t>
  </si>
  <si>
    <t xml:space="preserve">FreeCashFlow</t>
  </si>
  <si>
    <t xml:space="preserve">ShareholdersEquity</t>
  </si>
  <si>
    <t xml:space="preserve">TotalAssets</t>
  </si>
  <si>
    <t xml:space="preserve">TotalLiabilities</t>
  </si>
  <si>
    <t xml:space="preserve">TotalDebt</t>
  </si>
  <si>
    <t xml:space="preserve">CashAndEquivalents</t>
  </si>
  <si>
    <t xml:space="preserve">SharesOutstanding</t>
  </si>
  <si>
    <t xml:space="preserve">StockBasedComp</t>
  </si>
  <si>
    <t xml:space="preserve">DividendPerShare</t>
  </si>
  <si>
    <t xml:space="preserve">EBITDABeforeSignificant</t>
  </si>
  <si>
    <t xml:space="preserve">RevenueContinuing</t>
  </si>
  <si>
    <t xml:space="preserve">EBITDAContinuingBeforeSignificant</t>
  </si>
  <si>
    <t xml:space="preserve">EBITContinuingBeforeSignificant</t>
  </si>
  <si>
    <t xml:space="preserve">Currency</t>
  </si>
  <si>
    <t xml:space="preserve">CapitalisedDevelopmentCosts</t>
  </si>
  <si>
    <t xml:space="preserve">EBITDAFI</t>
  </si>
  <si>
    <t xml:space="preserve">ExpensePlatformRevenue</t>
  </si>
  <si>
    <t xml:space="preserve">NetTangibleAssetsPerShare</t>
  </si>
  <si>
    <t xml:space="preserve">OtherRevenue</t>
  </si>
  <si>
    <t xml:space="preserve">ServicesRevenue</t>
  </si>
  <si>
    <t xml:space="preserve">ShortTermDeposits</t>
  </si>
  <si>
    <t xml:space="preserve">SupplierCommissionsRevenue</t>
  </si>
  <si>
    <t xml:space="preserve">TotalCashAndDeposits</t>
  </si>
  <si>
    <t xml:space="preserve">TotalIncome</t>
  </si>
  <si>
    <t xml:space="preserve">TravelPlatformBookingRevenue</t>
  </si>
  <si>
    <t xml:space="preserve">FY2017</t>
  </si>
  <si>
    <t xml:space="preserve">FY2018</t>
  </si>
  <si>
    <t xml:space="preserve">FY2019</t>
  </si>
  <si>
    <t xml:space="preserve">FY2020</t>
  </si>
  <si>
    <t xml:space="preserve">FY2021</t>
  </si>
  <si>
    <t xml:space="preserve">FY2022</t>
  </si>
  <si>
    <t xml:space="preserve">FY2023</t>
  </si>
  <si>
    <t xml:space="preserve">FY2024</t>
  </si>
  <si>
    <t xml:space="preserve">FY2025</t>
  </si>
  <si>
    <t xml:space="preserve">FY2026</t>
  </si>
  <si>
    <t xml:space="preserve">Input</t>
  </si>
  <si>
    <t xml:space="preserve">Current price (quote currency)</t>
  </si>
  <si>
    <t xml:space="preserve">Shares, final projected (m)</t>
  </si>
  <si>
    <t xml:space="preserve">Net debt (m, model currency)</t>
  </si>
  <si>
    <t xml:space="preserve">Equity bridge total (m, + adds)</t>
  </si>
  <si>
    <t xml:space="preserve">Hurdle rate (%)</t>
  </si>
  <si>
    <t xml:space="preserve">Base revenue FY0 (m)</t>
  </si>
  <si>
    <t xml:space="preserve">FY0</t>
  </si>
  <si>
    <t xml:space="preserve">Currency / units</t>
  </si>
  <si>
    <t xml:space="preserve">NZD millions</t>
  </si>
  <si>
    <t xml:space="preserve">FX rate (model -&gt; quote)</t>
  </si>
  <si>
    <t xml:space="preserve">BEAR</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</si>
  <si>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</si>
  <si>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</si>
  <si>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</si>
  <si>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</si>
  <si>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</si>
  <si>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</si>
  <si>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</si>
  <si>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</si>
  <si>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</si>
  <si>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FY2036</t>
  </si>
  <si>
    <t xml:space="preserve">Revenue growth (%)</t>
  </si>
  <si>
    <t xml:space="preserve">EBITDA margin (%)</t>
  </si>
  <si>
    <t xml:space="preserve">SBC (% of revenue)</t>
  </si>
  <si>
    <t xml:space="preserve">Lease cost (% of revenue)</t>
  </si>
  <si>
    <t xml:space="preserve">D&amp;A (% of revenue)</t>
  </si>
  <si>
    <t xml:space="preserve">Capex (% of revenue)</t>
  </si>
  <si>
    <t xml:space="preserve">Cash tax rate (%)</t>
  </si>
  <si>
    <t xml:space="preserve">WACC (%)</t>
  </si>
  <si>
    <t xml:space="preserve">Terminal growth (%)</t>
  </si>
  <si>
    <t xml:space="preserve">Terminal cap multiple (x FCF)</t>
  </si>
  <si>
    <t xml:space="preserve">Working-capital capture (% of revenue change)</t>
  </si>
  <si>
    <t xml:space="preserve">Scenario weight</t>
  </si>
  <si>
    <t xml:space="preserve">BASE</t>
  </si>
  <si>
    <t xml:space="preserve">BULL</t>
  </si>
  <si>
    <t xml:space="preserve">SKO.NZ owner-FCF component DCF: bear case (millions, NZD)</t>
  </si>
  <si>
    <t xml:space="preserve">Line</t>
  </si>
  <si>
    <t xml:space="preserve">Year index (discount exponent)</t>
  </si>
  <si>
    <t xml:space="preserve">SBC charge</t>
  </si>
  <si>
    <t xml:space="preserve">Owner EBITDA (after SBC and leases)</t>
  </si>
  <si>
    <t xml:space="preserve">D&amp;A</t>
  </si>
  <si>
    <t xml:space="preserve">EBIT</t>
  </si>
  <si>
    <t xml:space="preserve">NOPAT</t>
  </si>
  <si>
    <t xml:space="preserve">D&amp;A add-back</t>
  </si>
  <si>
    <t xml:space="preserve">Capex</t>
  </si>
  <si>
    <t xml:space="preserve">Working capital</t>
  </si>
  <si>
    <t xml:space="preserve">Unlevered owner FCF</t>
  </si>
  <si>
    <t xml:space="preserve">Discount factor</t>
  </si>
  <si>
    <t xml:space="preserve">PV of FCF</t>
  </si>
  <si>
    <t xml:space="preserve">Lease cost</t>
  </si>
  <si>
    <t xml:space="preserve">Valuation</t>
  </si>
  <si>
    <t xml:space="preserve">Sum of PV of FCF</t>
  </si>
  <si>
    <t xml:space="preserve">Terminal-year FCF</t>
  </si>
  <si>
    <t xml:space="preserve">Gordon terminal value</t>
  </si>
  <si>
    <t xml:space="preserve">Cap terminal value</t>
  </si>
  <si>
    <t xml:space="preserve">Terminal value used: MAX(0,MIN(Gordon,cap))</t>
  </si>
  <si>
    <t xml:space="preserve">PV of terminal value</t>
  </si>
  <si>
    <t xml:space="preserve">Enterprise value</t>
  </si>
  <si>
    <t xml:space="preserve">Equity value (EV + bridge - net debt)</t>
  </si>
  <si>
    <t xml:space="preserve">Value per share (quote currency)</t>
  </si>
  <si>
    <t xml:space="preserve">Upside vs price</t>
  </si>
  <si>
    <t xml:space="preserve">Street memo: PV of explicit-period SBC</t>
  </si>
  <si>
    <t xml:space="preserve">Street memo: PV of terminal SBC (Gordon)</t>
  </si>
  <si>
    <t xml:space="preserve">Street value per share</t>
  </si>
  <si>
    <t xml:space="preserve">Terminal value at hurdle: MAX(0,MIN(Gordon@hurdle,cap))</t>
  </si>
  <si>
    <t xml:space="preserve">Hurdle entry price (quote currency)</t>
  </si>
  <si>
    <t xml:space="preserve">SKO.NZ owner-FCF component DCF: base case (millions, NZD)</t>
  </si>
  <si>
    <t xml:space="preserve">SKO.NZ owner-FCF component DCF: bull case (millions, NZD)</t>
  </si>
  <si>
    <t xml:space="preserve">SKO.NZ valuation summary</t>
  </si>
  <si>
    <t xml:space="preserve">Scenario</t>
  </si>
  <si>
    <t xml:space="preserve">Value per share</t>
  </si>
  <si>
    <t xml:space="preserve">Weight</t>
  </si>
  <si>
    <t xml:space="preserve">Hurdle entry price</t>
  </si>
  <si>
    <t xml:space="preserve">Bear</t>
  </si>
  <si>
    <t xml:space="preserve">Base</t>
  </si>
  <si>
    <t xml:space="preserve">Bull</t>
  </si>
  <si>
    <t xml:space="preserve">Probability-weighted value per share</t>
  </si>
  <si>
    <t xml:space="preserve">Street weighted value per share</t>
  </si>
  <si>
    <t xml:space="preserve">Margin of safety (1 - price/weighted)</t>
  </si>
  <si>
    <t xml:space="preserve">Band position (%; 0 = house, 100 = street)</t>
  </si>
  <si>
    <t xml:space="preserve">Weighted 15% hurdle entry price</t>
  </si>
  <si>
    <t xml:space="preserve">Required-return table (base case; each row rebuilds its own terminal value)</t>
  </si>
  <si>
    <t xml:space="preserve">Rate (%)</t>
  </si>
  <si>
    <t xml:space="preserve">Value per share at 9%</t>
  </si>
  <si>
    <t xml:space="preserve">Value per share at 10%</t>
  </si>
  <si>
    <t xml:space="preserve">Value per share at 11%</t>
  </si>
  <si>
    <t xml:space="preserve">Value per share at 12%</t>
  </si>
  <si>
    <t xml:space="preserve">Value per share at 15%</t>
  </si>
  <si>
    <t xml:space="preserve">Value per share at 17.5% (WACC)</t>
  </si>
  <si>
    <t xml:space="preserve">Sensitivity: value per share, rows WACC (%) x columns terminal growth (%)</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</si>
</sst>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rgb="FF0000FF"/>
      <name val="Cambria"/>
      <family val="0"/>
      <charset val="1"/>
    </font>
    <font>
      <sz val="11"/>
      <color rgb="FF008000"/>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0" t="s">
        <v>0</v>
      </c>
      <c r="B1" s="0" t="s">
        <v>1</v>
      </c>
    </row>
    <row r="2" customFormat="false" ht="15" hidden="false" customHeight="false" outlineLevel="0" collapsed="false">
      <c r="A2" s="0" t="s">
        <v>2</v>
      </c>
      <c r="B2" s="0" t="s">
        <v>3</v>
      </c>
    </row>
    <row r="3" customFormat="false" ht="15" hidden="false" customHeight="false" outlineLevel="0" collapsed="false">
      <c r="A3" s="0" t="s">
        <v>4</v>
      </c>
      <c r="B3" s="0" t="s">
        <v>5</v>
      </c>
    </row>
    <row r="4" customFormat="false" ht="15" hidden="false" customHeight="false" outlineLevel="0" collapsed="false">
      <c r="A4" s="0" t="s">
        <v>6</v>
      </c>
      <c r="B4" s="0" t="n">
        <v>1.33</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14</v>
      </c>
    </row>
    <row r="10" customFormat="false" ht="15" hidden="false" customHeight="false" outlineLevel="0" collapsed="false">
      <c r="A10" s="0" t="s">
        <v>16</v>
      </c>
      <c r="B10" s="0" t="s">
        <v>17</v>
      </c>
    </row>
    <row r="11" customFormat="false" ht="15" hidden="false" customHeight="false" outlineLevel="0" collapsed="false">
      <c r="A11" s="0" t="s">
        <v>18</v>
      </c>
      <c r="B11" s="0" t="s">
        <v>19</v>
      </c>
    </row>
    <row r="12" customFormat="false" ht="15" hidden="false" customHeight="false" outlineLevel="0" collapsed="false">
      <c r="A12" s="0" t="s">
        <v>20</v>
      </c>
      <c r="B12" s="0" t="s">
        <v>21</v>
      </c>
    </row>
    <row r="13" customFormat="false" ht="15" hidden="false" customHeight="false" outlineLevel="0" collapsed="false">
      <c r="A13" s="0" t="s">
        <v>22</v>
      </c>
      <c r="B13" s="0" t="s">
        <v>23</v>
      </c>
    </row>
    <row r="14" customFormat="false" ht="15" hidden="false" customHeight="false" outlineLevel="0" collapsed="false">
      <c r="A14" s="0" t="s">
        <v>24</v>
      </c>
      <c r="B14" s="0" t="s">
        <v>25</v>
      </c>
    </row>
    <row r="15" customFormat="false" ht="23.85" hidden="false" customHeight="false" outlineLevel="0" collapsed="false">
      <c r="A15" s="0" t="s">
        <v>26</v>
      </c>
      <c r="B15" s="1" t="s">
        <v>27</v>
      </c>
    </row>
    <row r="16" customFormat="false" ht="57.45" hidden="false" customHeight="false" outlineLevel="0" collapsed="false">
      <c r="A16" s="0" t="s">
        <v>28</v>
      </c>
      <c r="B16" s="1" t="s">
        <v>29</v>
      </c>
    </row>
    <row r="17" customFormat="false" ht="15" hidden="false" customHeight="false" outlineLevel="0" collapsed="false">
      <c r="A17" s="0" t="s">
        <v>30</v>
      </c>
      <c r="B17" s="0" t="s">
        <v>31</v>
      </c>
    </row>
    <row r="18" customFormat="false" ht="15" hidden="false" customHeight="false" outlineLevel="0" collapsed="false">
      <c r="A18" s="0" t="s">
        <v>32</v>
      </c>
      <c r="B18" s="0" t="s">
        <v>33</v>
      </c>
    </row>
    <row r="19" customFormat="false" ht="15" hidden="false" customHeight="false" outlineLevel="0" collapsed="false">
      <c r="A19" s="0" t="s">
        <v>34</v>
      </c>
      <c r="B19" s="0"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s>
  <sheetData>
    <row r="1" customFormat="false" ht="15" hidden="false" customHeight="false" outlineLevel="0" collapsed="false">
      <c r="A1" s="2" t="s">
        <v>36</v>
      </c>
      <c r="B1" s="2" t="s">
        <v>37</v>
      </c>
      <c r="C1" s="2" t="s">
        <v>38</v>
      </c>
    </row>
    <row r="2" customFormat="false" ht="15" hidden="false" customHeight="false" outlineLevel="0" collapsed="false">
      <c r="A2" s="0" t="s">
        <v>39</v>
      </c>
      <c r="B2" s="0" t="s">
        <v>40</v>
      </c>
    </row>
    <row r="3" customFormat="false" ht="15" hidden="false" customHeight="false" outlineLevel="0" collapsed="false">
      <c r="A3" s="0" t="s">
        <v>41</v>
      </c>
      <c r="B3" s="0" t="n">
        <v>1.465</v>
      </c>
    </row>
    <row r="4" customFormat="false" ht="15" hidden="false" customHeight="false" outlineLevel="0" collapsed="false">
      <c r="A4" s="0" t="s">
        <v>42</v>
      </c>
      <c r="B4" s="0" t="n">
        <v>-0.105</v>
      </c>
    </row>
    <row r="5" customFormat="false" ht="15" hidden="false" customHeight="false" outlineLevel="0" collapsed="false">
      <c r="A5" s="0" t="s">
        <v>43</v>
      </c>
      <c r="B5" s="0" t="n">
        <v>0.42</v>
      </c>
    </row>
    <row r="6" customFormat="false" ht="15" hidden="false" customHeight="false" outlineLevel="0" collapsed="false">
      <c r="A6" s="0" t="s">
        <v>44</v>
      </c>
      <c r="B6" s="0" t="n">
        <v>1.332</v>
      </c>
    </row>
    <row r="7" customFormat="false" ht="15" hidden="false" customHeight="false" outlineLevel="0" collapsed="false">
      <c r="A7" s="0" t="s">
        <v>45</v>
      </c>
      <c r="B7" s="0" t="n">
        <v>0.419</v>
      </c>
    </row>
    <row r="8" customFormat="false" ht="15" hidden="false" customHeight="false" outlineLevel="0" collapsed="false">
      <c r="A8" s="0" t="s">
        <v>46</v>
      </c>
      <c r="B8" s="0" t="s">
        <v>5</v>
      </c>
    </row>
    <row r="9" customFormat="false" ht="15" hidden="false" customHeight="false" outlineLevel="0" collapsed="false">
      <c r="A9" s="0" t="s">
        <v>47</v>
      </c>
      <c r="B9" s="0" t="n">
        <v>1.33</v>
      </c>
    </row>
    <row r="10" customFormat="false" ht="15" hidden="false" customHeight="false" outlineLevel="0" collapsed="false">
      <c r="A10" s="0" t="s">
        <v>48</v>
      </c>
      <c r="B10" s="0" t="n">
        <v>-0.1</v>
      </c>
    </row>
    <row r="11" customFormat="false" ht="15" hidden="false" customHeight="false" outlineLevel="0" collapsed="false">
      <c r="A11" s="0" t="s">
        <v>49</v>
      </c>
      <c r="B11" s="0" t="n">
        <v>0.42</v>
      </c>
    </row>
    <row r="12" customFormat="false" ht="15" hidden="false" customHeight="false" outlineLevel="0" collapsed="false">
      <c r="A12" s="0" t="s">
        <v>50</v>
      </c>
      <c r="B12" s="0" t="n">
        <v>1.32</v>
      </c>
    </row>
    <row r="13" customFormat="false" ht="15" hidden="false" customHeight="false" outlineLevel="0" collapsed="false">
      <c r="A13" s="0" t="s">
        <v>51</v>
      </c>
      <c r="B13" s="0" t="n">
        <v>0.41</v>
      </c>
    </row>
    <row r="15" customFormat="false" ht="15" hidden="false" customHeight="false" outlineLevel="0" collapsed="false">
      <c r="A15" s="2" t="s">
        <v>52</v>
      </c>
    </row>
    <row r="16" customFormat="false" ht="15" hidden="false" customHeight="false" outlineLevel="0" collapsed="false">
      <c r="A16" s="0" t="s">
        <v>53</v>
      </c>
      <c r="B16" s="0" t="n">
        <v>0.419</v>
      </c>
    </row>
    <row r="17" customFormat="false" ht="15" hidden="false" customHeight="false" outlineLevel="0" collapsed="false">
      <c r="A17" s="0" t="s">
        <v>54</v>
      </c>
      <c r="B17" s="0" t="n">
        <v>-0.004</v>
      </c>
    </row>
    <row r="18" customFormat="false" ht="15" hidden="false" customHeight="false" outlineLevel="0" collapsed="false">
      <c r="A18" s="0" t="s">
        <v>55</v>
      </c>
      <c r="B18" s="0" t="n">
        <v>0</v>
      </c>
    </row>
    <row r="19" customFormat="false" ht="15" hidden="false" customHeight="false" outlineLevel="0" collapsed="false">
      <c r="A19" s="0" t="s">
        <v>56</v>
      </c>
      <c r="B19" s="0" t="n">
        <v>0.415</v>
      </c>
      <c r="C19" s="0"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 t="s">
        <v>58</v>
      </c>
      <c r="B1" s="2" t="s">
        <v>59</v>
      </c>
      <c r="C1" s="2" t="s">
        <v>60</v>
      </c>
      <c r="D1" s="2" t="s">
        <v>61</v>
      </c>
      <c r="E1" s="2" t="s">
        <v>62</v>
      </c>
      <c r="F1" s="2" t="s">
        <v>63</v>
      </c>
      <c r="G1" s="2" t="s">
        <v>64</v>
      </c>
      <c r="H1" s="2" t="s">
        <v>65</v>
      </c>
      <c r="I1" s="2" t="s">
        <v>66</v>
      </c>
      <c r="J1" s="2" t="s">
        <v>67</v>
      </c>
      <c r="K1" s="2" t="s">
        <v>68</v>
      </c>
      <c r="L1" s="2" t="s">
        <v>69</v>
      </c>
      <c r="M1" s="2" t="s">
        <v>70</v>
      </c>
      <c r="N1" s="2" t="s">
        <v>71</v>
      </c>
      <c r="O1" s="2" t="s">
        <v>72</v>
      </c>
      <c r="P1" s="2" t="s">
        <v>73</v>
      </c>
      <c r="Q1" s="2" t="s">
        <v>74</v>
      </c>
      <c r="R1" s="2" t="s">
        <v>75</v>
      </c>
      <c r="S1" s="2" t="s">
        <v>76</v>
      </c>
      <c r="T1" s="2" t="s">
        <v>77</v>
      </c>
      <c r="U1" s="2" t="s">
        <v>78</v>
      </c>
      <c r="V1" s="2" t="s">
        <v>79</v>
      </c>
      <c r="W1" s="2" t="s">
        <v>80</v>
      </c>
      <c r="X1" s="2" t="s">
        <v>81</v>
      </c>
      <c r="Y1" s="2" t="s">
        <v>82</v>
      </c>
      <c r="Z1" s="2" t="s">
        <v>83</v>
      </c>
      <c r="AA1" s="2" t="s">
        <v>16</v>
      </c>
      <c r="AB1" s="2" t="s">
        <v>84</v>
      </c>
      <c r="AC1" s="2" t="s">
        <v>85</v>
      </c>
      <c r="AD1" s="2" t="s">
        <v>86</v>
      </c>
      <c r="AE1" s="2" t="s">
        <v>87</v>
      </c>
      <c r="AF1" s="2" t="s">
        <v>88</v>
      </c>
      <c r="AG1" s="2" t="s">
        <v>89</v>
      </c>
      <c r="AH1" s="2" t="s">
        <v>90</v>
      </c>
      <c r="AI1" s="2" t="s">
        <v>91</v>
      </c>
      <c r="AJ1" s="2" t="s">
        <v>92</v>
      </c>
      <c r="AK1" s="2" t="s">
        <v>93</v>
      </c>
      <c r="AL1" s="2" t="s">
        <v>94</v>
      </c>
      <c r="AM1" s="2" t="s">
        <v>95</v>
      </c>
    </row>
    <row r="2" customFormat="false" ht="15" hidden="false" customHeight="false" outlineLevel="0" collapsed="false">
      <c r="A2" s="0" t="s">
        <v>96</v>
      </c>
      <c r="B2" s="0" t="n">
        <v>14.277</v>
      </c>
      <c r="F2" s="0" t="n">
        <v>-3.394</v>
      </c>
      <c r="G2" s="0" t="n">
        <v>-23.8</v>
      </c>
      <c r="H2" s="0" t="n">
        <v>-3.394</v>
      </c>
      <c r="I2" s="0" t="n">
        <v>-3.45</v>
      </c>
      <c r="J2" s="0" t="n">
        <v>-24.2</v>
      </c>
      <c r="K2" s="0" t="n">
        <v>-0.05</v>
      </c>
      <c r="L2" s="0" t="n">
        <v>-1.595</v>
      </c>
      <c r="M2" s="0" t="n">
        <v>-1.038</v>
      </c>
      <c r="N2" s="0" t="n">
        <v>-2.633</v>
      </c>
      <c r="O2" s="0" t="n">
        <v>6.276</v>
      </c>
      <c r="P2" s="0" t="n">
        <v>10.219</v>
      </c>
      <c r="Q2" s="0" t="n">
        <v>3.943</v>
      </c>
      <c r="R2" s="0" t="n">
        <v>0.653</v>
      </c>
      <c r="S2" s="0" t="n">
        <v>4.451</v>
      </c>
      <c r="T2" s="0" t="n">
        <v>74.894</v>
      </c>
      <c r="U2" s="0" t="n">
        <v>0.133</v>
      </c>
      <c r="AA2" s="0" t="s">
        <v>17</v>
      </c>
      <c r="AB2" s="0" t="s">
        <v>14</v>
      </c>
      <c r="AC2" s="0" t="n">
        <v>0.791</v>
      </c>
      <c r="AK2" s="0" t="n">
        <v>4.451</v>
      </c>
      <c r="AL2" s="0" t="n">
        <v>15.369</v>
      </c>
    </row>
    <row r="3" customFormat="false" ht="15" hidden="false" customHeight="false" outlineLevel="0" collapsed="false">
      <c r="A3" s="0" t="s">
        <v>97</v>
      </c>
      <c r="B3" s="0" t="n">
        <v>18.279</v>
      </c>
      <c r="F3" s="0" t="n">
        <v>1.589</v>
      </c>
      <c r="G3" s="0" t="n">
        <v>8.7</v>
      </c>
      <c r="H3" s="0" t="n">
        <v>1.589</v>
      </c>
      <c r="I3" s="0" t="n">
        <v>1.832</v>
      </c>
      <c r="J3" s="0" t="n">
        <v>10</v>
      </c>
      <c r="K3" s="0" t="n">
        <v>0.03</v>
      </c>
      <c r="L3" s="0" t="n">
        <v>1.416</v>
      </c>
      <c r="M3" s="0" t="n">
        <v>-0.519</v>
      </c>
      <c r="N3" s="0" t="n">
        <v>0.897</v>
      </c>
      <c r="O3" s="0" t="n">
        <v>8.344</v>
      </c>
      <c r="P3" s="0" t="n">
        <v>11.973</v>
      </c>
      <c r="Q3" s="0" t="n">
        <v>3.629</v>
      </c>
      <c r="R3" s="0" t="n">
        <v>0.555</v>
      </c>
      <c r="S3" s="0" t="n">
        <v>5.232</v>
      </c>
      <c r="T3" s="0" t="n">
        <v>74.894</v>
      </c>
      <c r="U3" s="0" t="n">
        <v>0.288</v>
      </c>
      <c r="AA3" s="0" t="s">
        <v>17</v>
      </c>
      <c r="AB3" s="0" t="s">
        <v>14</v>
      </c>
      <c r="AC3" s="0" t="n">
        <v>0.327</v>
      </c>
      <c r="AE3" s="0" t="n">
        <v>1.539</v>
      </c>
      <c r="AG3" s="0" t="n">
        <v>0.334</v>
      </c>
      <c r="AH3" s="0" t="n">
        <v>1.835</v>
      </c>
      <c r="AJ3" s="0" t="n">
        <v>1.288</v>
      </c>
      <c r="AK3" s="0" t="n">
        <v>5.232</v>
      </c>
      <c r="AL3" s="0" t="n">
        <v>19.273</v>
      </c>
      <c r="AM3" s="0" t="n">
        <v>13.283</v>
      </c>
    </row>
    <row r="4" customFormat="false" ht="15" hidden="false" customHeight="false" outlineLevel="0" collapsed="false">
      <c r="A4" s="0" t="s">
        <v>98</v>
      </c>
      <c r="B4" s="0" t="n">
        <v>23.361</v>
      </c>
      <c r="F4" s="0" t="n">
        <v>1.256</v>
      </c>
      <c r="G4" s="0" t="n">
        <v>5.4</v>
      </c>
      <c r="H4" s="0" t="n">
        <v>1.256</v>
      </c>
      <c r="I4" s="0" t="n">
        <v>1.633</v>
      </c>
      <c r="J4" s="0" t="n">
        <v>7</v>
      </c>
      <c r="K4" s="0" t="n">
        <v>0.02</v>
      </c>
      <c r="L4" s="0" t="n">
        <v>3.647</v>
      </c>
      <c r="M4" s="0" t="n">
        <v>-7.279</v>
      </c>
      <c r="N4" s="0" t="n">
        <v>-3.632</v>
      </c>
      <c r="O4" s="0" t="n">
        <v>26.235</v>
      </c>
      <c r="P4" s="0" t="n">
        <v>33.412</v>
      </c>
      <c r="Q4" s="0" t="n">
        <v>7.177</v>
      </c>
      <c r="R4" s="0" t="n">
        <v>0.203</v>
      </c>
      <c r="S4" s="0" t="n">
        <v>15.732</v>
      </c>
      <c r="T4" s="0" t="n">
        <v>80.923</v>
      </c>
      <c r="U4" s="0" t="n">
        <v>0.576</v>
      </c>
      <c r="AA4" s="0" t="s">
        <v>17</v>
      </c>
      <c r="AB4" s="0" t="s">
        <v>14</v>
      </c>
      <c r="AC4" s="0" t="n">
        <v>6.813</v>
      </c>
      <c r="AE4" s="0" t="n">
        <v>2.71</v>
      </c>
      <c r="AG4" s="0" t="n">
        <v>0.467</v>
      </c>
      <c r="AH4" s="0" t="n">
        <v>2.698</v>
      </c>
      <c r="AJ4" s="0" t="n">
        <v>1.538</v>
      </c>
      <c r="AK4" s="0" t="n">
        <v>15.732</v>
      </c>
      <c r="AL4" s="0" t="n">
        <v>24.576</v>
      </c>
      <c r="AM4" s="0" t="n">
        <v>15.948</v>
      </c>
    </row>
    <row r="5" customFormat="false" ht="15" hidden="false" customHeight="false" outlineLevel="0" collapsed="false">
      <c r="A5" s="0" t="s">
        <v>99</v>
      </c>
      <c r="B5" s="0" t="n">
        <v>25.869</v>
      </c>
      <c r="F5" s="0" t="n">
        <v>-10.301</v>
      </c>
      <c r="G5" s="0" t="n">
        <v>-39.8</v>
      </c>
      <c r="H5" s="0" t="n">
        <v>-7.145</v>
      </c>
      <c r="I5" s="0" t="n">
        <v>-9.364</v>
      </c>
      <c r="J5" s="0" t="n">
        <v>-36.2</v>
      </c>
      <c r="K5" s="0" t="n">
        <v>-0.1</v>
      </c>
      <c r="L5" s="0" t="n">
        <v>-3.789</v>
      </c>
      <c r="M5" s="0" t="n">
        <v>-11.812</v>
      </c>
      <c r="N5" s="0" t="n">
        <v>-15.601</v>
      </c>
      <c r="O5" s="0" t="n">
        <v>63.784</v>
      </c>
      <c r="P5" s="0" t="n">
        <v>73.352</v>
      </c>
      <c r="Q5" s="0" t="n">
        <v>9.568</v>
      </c>
      <c r="R5" s="0" t="n">
        <v>0.15</v>
      </c>
      <c r="S5" s="0" t="n">
        <v>42.391</v>
      </c>
      <c r="T5" s="0" t="n">
        <v>92.739</v>
      </c>
      <c r="U5" s="0" t="n">
        <v>0.959</v>
      </c>
      <c r="AA5" s="0" t="s">
        <v>17</v>
      </c>
      <c r="AB5" s="0" t="s">
        <v>14</v>
      </c>
      <c r="AC5" s="0" t="n">
        <v>11.018</v>
      </c>
      <c r="AE5" s="0" t="n">
        <v>5.831</v>
      </c>
      <c r="AG5" s="0" t="n">
        <v>0.485</v>
      </c>
      <c r="AH5" s="0" t="n">
        <v>1.819</v>
      </c>
      <c r="AJ5" s="0" t="n">
        <v>1.427</v>
      </c>
      <c r="AK5" s="0" t="n">
        <v>42.391</v>
      </c>
      <c r="AL5" s="0" t="n">
        <v>26.791</v>
      </c>
      <c r="AM5" s="0" t="n">
        <v>16.307</v>
      </c>
    </row>
    <row r="6" customFormat="false" ht="15" hidden="false" customHeight="false" outlineLevel="0" collapsed="false">
      <c r="A6" s="0" t="s">
        <v>100</v>
      </c>
      <c r="B6" s="0" t="n">
        <v>12.42</v>
      </c>
      <c r="F6" s="0" t="n">
        <v>-27.958</v>
      </c>
      <c r="G6" s="0" t="n">
        <v>-225.1</v>
      </c>
      <c r="H6" s="0" t="n">
        <v>-22.325</v>
      </c>
      <c r="I6" s="0" t="n">
        <v>-29.389</v>
      </c>
      <c r="J6" s="0" t="n">
        <v>-236.6</v>
      </c>
      <c r="K6" s="0" t="n">
        <v>-0.3</v>
      </c>
      <c r="L6" s="0" t="n">
        <v>-18.042</v>
      </c>
      <c r="M6" s="0" t="n">
        <v>-7.79</v>
      </c>
      <c r="N6" s="0" t="n">
        <v>-25.832</v>
      </c>
      <c r="O6" s="0" t="n">
        <v>102.528</v>
      </c>
      <c r="P6" s="0" t="n">
        <v>111.309</v>
      </c>
      <c r="Q6" s="0" t="n">
        <v>8.781</v>
      </c>
      <c r="R6" s="0" t="n">
        <v>0.09</v>
      </c>
      <c r="S6" s="0" t="n">
        <v>34.919</v>
      </c>
      <c r="T6" s="0" t="n">
        <v>107.822</v>
      </c>
      <c r="U6" s="0" t="n">
        <v>3.184</v>
      </c>
      <c r="AA6" s="0" t="s">
        <v>17</v>
      </c>
      <c r="AB6" s="0" t="s">
        <v>14</v>
      </c>
      <c r="AC6" s="0" t="n">
        <v>7.231</v>
      </c>
      <c r="AE6" s="0" t="n">
        <v>3.997</v>
      </c>
      <c r="AG6" s="0" t="n">
        <v>0.386</v>
      </c>
      <c r="AH6" s="0" t="n">
        <v>1.145</v>
      </c>
      <c r="AI6" s="0" t="n">
        <v>45</v>
      </c>
      <c r="AJ6" s="0" t="n">
        <v>0.538</v>
      </c>
      <c r="AK6" s="0" t="n">
        <v>79.919</v>
      </c>
      <c r="AL6" s="0" t="n">
        <v>16.896</v>
      </c>
      <c r="AM6" s="0" t="n">
        <v>6.354</v>
      </c>
    </row>
    <row r="7" customFormat="false" ht="15" hidden="false" customHeight="false" outlineLevel="0" collapsed="false">
      <c r="A7" s="0" t="s">
        <v>101</v>
      </c>
      <c r="B7" s="0" t="n">
        <v>17.855</v>
      </c>
      <c r="F7" s="0" t="n">
        <v>-36.183</v>
      </c>
      <c r="G7" s="0" t="n">
        <v>-202.6</v>
      </c>
      <c r="H7" s="0" t="n">
        <v>-28.145</v>
      </c>
      <c r="I7" s="0" t="n">
        <v>-35.959</v>
      </c>
      <c r="J7" s="0" t="n">
        <v>-201.4</v>
      </c>
      <c r="K7" s="0" t="n">
        <v>-0.33</v>
      </c>
      <c r="L7" s="0" t="n">
        <v>-18.456</v>
      </c>
      <c r="M7" s="0" t="n">
        <v>-16.094</v>
      </c>
      <c r="N7" s="0" t="n">
        <v>-34.55</v>
      </c>
      <c r="O7" s="0" t="n">
        <v>150.881</v>
      </c>
      <c r="P7" s="0" t="n">
        <v>167.191</v>
      </c>
      <c r="Q7" s="0" t="n">
        <v>16.31</v>
      </c>
      <c r="R7" s="0" t="n">
        <v>0.028</v>
      </c>
      <c r="S7" s="0" t="n">
        <v>34.513</v>
      </c>
      <c r="T7" s="0" t="n">
        <v>119.921</v>
      </c>
      <c r="U7" s="0" t="n">
        <v>4.095</v>
      </c>
      <c r="AA7" s="0" t="s">
        <v>17</v>
      </c>
      <c r="AB7" s="0" t="s">
        <v>14</v>
      </c>
      <c r="AC7" s="0" t="n">
        <v>15.32</v>
      </c>
      <c r="AE7" s="0" t="n">
        <v>4.039</v>
      </c>
      <c r="AG7" s="0" t="n">
        <v>0.32</v>
      </c>
      <c r="AH7" s="0" t="n">
        <v>1.007</v>
      </c>
      <c r="AI7" s="0" t="n">
        <v>90</v>
      </c>
      <c r="AJ7" s="0" t="n">
        <v>3.447</v>
      </c>
      <c r="AK7" s="0" t="n">
        <v>124.513</v>
      </c>
      <c r="AL7" s="0" t="n">
        <v>18.874</v>
      </c>
      <c r="AM7" s="0" t="n">
        <v>9.042</v>
      </c>
    </row>
    <row r="8" customFormat="false" ht="15" hidden="false" customHeight="false" outlineLevel="0" collapsed="false">
      <c r="A8" s="0" t="s">
        <v>102</v>
      </c>
      <c r="B8" s="0" t="n">
        <v>46.492</v>
      </c>
      <c r="F8" s="0" t="n">
        <v>-34.794</v>
      </c>
      <c r="G8" s="0" t="n">
        <v>-74.8</v>
      </c>
      <c r="H8" s="0" t="n">
        <v>-21.754</v>
      </c>
      <c r="I8" s="0" t="n">
        <v>-30.54</v>
      </c>
      <c r="J8" s="0" t="n">
        <v>-65.7</v>
      </c>
      <c r="K8" s="0" t="n">
        <v>-0.26</v>
      </c>
      <c r="L8" s="0" t="n">
        <v>-22.326</v>
      </c>
      <c r="M8" s="0" t="n">
        <v>-14.014</v>
      </c>
      <c r="N8" s="0" t="n">
        <v>-36.34</v>
      </c>
      <c r="O8" s="0" t="n">
        <v>125.93</v>
      </c>
      <c r="P8" s="0" t="n">
        <v>140.916</v>
      </c>
      <c r="Q8" s="0" t="n">
        <v>14.986</v>
      </c>
      <c r="R8" s="0" t="n">
        <v>0</v>
      </c>
      <c r="S8" s="0" t="n">
        <v>15.244</v>
      </c>
      <c r="T8" s="0" t="n">
        <v>120.443</v>
      </c>
      <c r="U8" s="0" t="n">
        <v>6.008</v>
      </c>
      <c r="AA8" s="0" t="s">
        <v>17</v>
      </c>
      <c r="AB8" s="0" t="s">
        <v>14</v>
      </c>
      <c r="AC8" s="0" t="n">
        <v>13.551</v>
      </c>
      <c r="AE8" s="0" t="n">
        <v>4.96</v>
      </c>
      <c r="AF8" s="0" t="n">
        <v>76.26</v>
      </c>
      <c r="AG8" s="0" t="n">
        <v>0.331</v>
      </c>
      <c r="AH8" s="0" t="n">
        <v>1.555</v>
      </c>
      <c r="AI8" s="0" t="n">
        <v>72.5</v>
      </c>
      <c r="AJ8" s="0" t="n">
        <v>23.363</v>
      </c>
      <c r="AK8" s="0" t="n">
        <v>87.744</v>
      </c>
      <c r="AL8" s="0" t="n">
        <v>48.025</v>
      </c>
      <c r="AM8" s="0" t="n">
        <v>16.283</v>
      </c>
    </row>
    <row r="9" customFormat="false" ht="15" hidden="false" customHeight="false" outlineLevel="0" collapsed="false">
      <c r="A9" s="0" t="s">
        <v>103</v>
      </c>
      <c r="B9" s="0" t="n">
        <v>68.761</v>
      </c>
      <c r="F9" s="0" t="n">
        <v>-18.55</v>
      </c>
      <c r="G9" s="0" t="n">
        <v>-27</v>
      </c>
      <c r="H9" s="0" t="n">
        <v>-1.577</v>
      </c>
      <c r="I9" s="0" t="n">
        <v>-15.879</v>
      </c>
      <c r="J9" s="0" t="n">
        <v>-23.1</v>
      </c>
      <c r="K9" s="0" t="n">
        <v>-0.13</v>
      </c>
      <c r="L9" s="0" t="n">
        <v>5.895</v>
      </c>
      <c r="M9" s="0" t="n">
        <v>-11.425</v>
      </c>
      <c r="N9" s="0" t="n">
        <v>-5.53</v>
      </c>
      <c r="O9" s="0" t="n">
        <v>115.726</v>
      </c>
      <c r="P9" s="0" t="n">
        <v>130.14</v>
      </c>
      <c r="Q9" s="0" t="n">
        <v>14.414</v>
      </c>
      <c r="R9" s="0" t="n">
        <v>0</v>
      </c>
      <c r="S9" s="0" t="n">
        <v>14.139</v>
      </c>
      <c r="T9" s="0" t="n">
        <v>121.846</v>
      </c>
      <c r="U9" s="0" t="n">
        <v>5.048</v>
      </c>
      <c r="AA9" s="0" t="s">
        <v>17</v>
      </c>
      <c r="AB9" s="0" t="s">
        <v>14</v>
      </c>
      <c r="AC9" s="0" t="n">
        <v>11.193</v>
      </c>
      <c r="AE9" s="0" t="n">
        <v>5.291</v>
      </c>
      <c r="AF9" s="0" t="n">
        <v>68.75</v>
      </c>
      <c r="AG9" s="0" t="n">
        <v>0.325</v>
      </c>
      <c r="AH9" s="0" t="n">
        <v>1</v>
      </c>
      <c r="AI9" s="0" t="n">
        <v>66.5</v>
      </c>
      <c r="AJ9" s="0" t="n">
        <v>42.93</v>
      </c>
      <c r="AK9" s="0" t="n">
        <v>80.639</v>
      </c>
      <c r="AL9" s="0" t="n">
        <v>71.185</v>
      </c>
      <c r="AM9" s="0" t="n">
        <v>19.215</v>
      </c>
    </row>
    <row r="10" customFormat="false" ht="15" hidden="false" customHeight="false" outlineLevel="0" collapsed="false">
      <c r="A10" s="0" t="s">
        <v>104</v>
      </c>
      <c r="B10" s="0" t="n">
        <v>88.482</v>
      </c>
      <c r="F10" s="0" t="n">
        <v>-17.157</v>
      </c>
      <c r="G10" s="0" t="n">
        <v>-19.4</v>
      </c>
      <c r="H10" s="0" t="n">
        <v>2.75</v>
      </c>
      <c r="I10" s="0" t="n">
        <v>-21.962</v>
      </c>
      <c r="J10" s="0" t="n">
        <v>-24.8</v>
      </c>
      <c r="K10" s="0" t="n">
        <v>-0.18</v>
      </c>
      <c r="L10" s="0" t="n">
        <v>4.822</v>
      </c>
      <c r="M10" s="0" t="n">
        <v>-6.218</v>
      </c>
      <c r="N10" s="0" t="n">
        <v>-1.396</v>
      </c>
      <c r="O10" s="0" t="n">
        <v>99.938</v>
      </c>
      <c r="P10" s="0" t="n">
        <v>126.34</v>
      </c>
      <c r="Q10" s="0" t="n">
        <v>26.402</v>
      </c>
      <c r="R10" s="0" t="n">
        <v>0</v>
      </c>
      <c r="S10" s="0" t="n">
        <v>16.404</v>
      </c>
      <c r="T10" s="0" t="n">
        <v>123.126</v>
      </c>
      <c r="U10" s="0" t="n">
        <v>5.429</v>
      </c>
      <c r="AA10" s="0" t="s">
        <v>17</v>
      </c>
      <c r="AB10" s="0" t="s">
        <v>14</v>
      </c>
      <c r="AC10" s="0" t="n">
        <v>4.982</v>
      </c>
      <c r="AE10" s="0" t="n">
        <v>5.336</v>
      </c>
      <c r="AF10" s="0" t="n">
        <v>57.03</v>
      </c>
      <c r="AG10" s="0" t="n">
        <v>0.329</v>
      </c>
      <c r="AH10" s="0" t="n">
        <v>1.204</v>
      </c>
      <c r="AI10" s="0" t="n">
        <v>45</v>
      </c>
      <c r="AJ10" s="0" t="n">
        <v>54.333</v>
      </c>
      <c r="AK10" s="0" t="n">
        <v>61.404</v>
      </c>
      <c r="AL10" s="0" t="n">
        <v>90.461</v>
      </c>
      <c r="AM10" s="0" t="n">
        <v>27.28</v>
      </c>
    </row>
    <row r="11" customFormat="false" ht="15" hidden="false" customHeight="false" outlineLevel="0" collapsed="false">
      <c r="A11" s="0" t="s">
        <v>105</v>
      </c>
      <c r="B11" s="0" t="n">
        <v>119.391</v>
      </c>
      <c r="F11" s="0" t="n">
        <v>-11.482</v>
      </c>
      <c r="G11" s="0" t="n">
        <v>-9.6</v>
      </c>
      <c r="H11" s="0" t="n">
        <v>6.531</v>
      </c>
      <c r="I11" s="0" t="n">
        <v>-17.737</v>
      </c>
      <c r="J11" s="0" t="n">
        <v>-14.9</v>
      </c>
      <c r="K11" s="0" t="n">
        <v>-0.14</v>
      </c>
      <c r="L11" s="0" t="n">
        <v>7.03</v>
      </c>
      <c r="M11" s="0" t="n">
        <v>-9.92</v>
      </c>
      <c r="N11" s="0" t="n">
        <v>-2.89</v>
      </c>
      <c r="O11" s="0" t="n">
        <v>88.663</v>
      </c>
      <c r="P11" s="0" t="n">
        <v>115.979</v>
      </c>
      <c r="Q11" s="0" t="n">
        <v>27.316</v>
      </c>
      <c r="R11" s="0" t="n">
        <v>0</v>
      </c>
      <c r="S11" s="0" t="n">
        <v>14.146</v>
      </c>
      <c r="T11" s="0" t="n">
        <v>124.882</v>
      </c>
      <c r="U11" s="0" t="n">
        <v>7.246</v>
      </c>
      <c r="AA11" s="0" t="s">
        <v>17</v>
      </c>
      <c r="AB11" s="0" t="s">
        <v>14</v>
      </c>
      <c r="AC11" s="0" t="n">
        <v>8.596</v>
      </c>
      <c r="AE11" s="0" t="n">
        <v>4.237</v>
      </c>
      <c r="AF11" s="0" t="n">
        <v>53.92</v>
      </c>
      <c r="AG11" s="0" t="n">
        <v>0.339</v>
      </c>
      <c r="AH11" s="0" t="n">
        <v>2.375</v>
      </c>
      <c r="AI11" s="0" t="n">
        <v>40</v>
      </c>
      <c r="AJ11" s="0" t="n">
        <v>73.387</v>
      </c>
      <c r="AK11" s="0" t="n">
        <v>54.146</v>
      </c>
      <c r="AL11" s="0" t="n">
        <v>120.879</v>
      </c>
      <c r="AM11" s="0" t="n">
        <v>39.053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s>
  <sheetData>
    <row r="1" customFormat="false" ht="15" hidden="false" customHeight="false" outlineLevel="0" collapsed="false">
      <c r="A1" s="2" t="s">
        <v>106</v>
      </c>
      <c r="B1" s="2" t="s">
        <v>37</v>
      </c>
    </row>
    <row r="2" customFormat="false" ht="15" hidden="false" customHeight="false" outlineLevel="0" collapsed="false">
      <c r="A2" s="0" t="s">
        <v>107</v>
      </c>
      <c r="B2" s="3" t="n">
        <v>1.33</v>
      </c>
    </row>
    <row r="3" customFormat="false" ht="15" hidden="false" customHeight="false" outlineLevel="0" collapsed="false">
      <c r="A3" s="0" t="s">
        <v>108</v>
      </c>
      <c r="B3" s="3" t="n">
        <v>126.139</v>
      </c>
    </row>
    <row r="4" customFormat="false" ht="15" hidden="false" customHeight="false" outlineLevel="0" collapsed="false">
      <c r="A4" s="0" t="s">
        <v>109</v>
      </c>
      <c r="B4" s="3" t="n">
        <v>-54.146</v>
      </c>
    </row>
    <row r="5" customFormat="false" ht="15" hidden="false" customHeight="false" outlineLevel="0" collapsed="false">
      <c r="A5" s="0" t="s">
        <v>110</v>
      </c>
      <c r="B5" s="3" t="n">
        <v>0</v>
      </c>
    </row>
    <row r="6" customFormat="false" ht="15" hidden="false" customHeight="false" outlineLevel="0" collapsed="false">
      <c r="A6" s="0" t="s">
        <v>111</v>
      </c>
      <c r="B6" s="3" t="n">
        <v>15</v>
      </c>
    </row>
    <row r="7" customFormat="false" ht="15" hidden="false" customHeight="false" outlineLevel="0" collapsed="false">
      <c r="A7" s="0" t="s">
        <v>112</v>
      </c>
      <c r="B7" s="3" t="n">
        <v>119.391</v>
      </c>
    </row>
    <row r="8" customFormat="false" ht="15" hidden="false" customHeight="false" outlineLevel="0" collapsed="false">
      <c r="A8" s="0" t="s">
        <v>113</v>
      </c>
      <c r="B8" s="3" t="s">
        <v>105</v>
      </c>
    </row>
    <row r="9" customFormat="false" ht="15" hidden="false" customHeight="false" outlineLevel="0" collapsed="false">
      <c r="A9" s="0" t="s">
        <v>114</v>
      </c>
      <c r="B9" s="3" t="s">
        <v>115</v>
      </c>
    </row>
    <row r="10" customFormat="false" ht="15" hidden="false" customHeight="false" outlineLevel="0" collapsed="false">
      <c r="A10" s="0" t="s">
        <v>116</v>
      </c>
      <c r="B10" s="3" t="n">
        <v>1</v>
      </c>
    </row>
    <row r="12" customFormat="false" ht="15" hidden="false" customHeight="false" outlineLevel="0" collapsed="false">
      <c r="A12" s="2" t="s">
        <v>117</v>
      </c>
      <c r="C12" s="2" t="s">
        <v>118</v>
      </c>
      <c r="D12" s="2" t="s">
        <v>119</v>
      </c>
      <c r="E12" s="2" t="s">
        <v>120</v>
      </c>
      <c r="F12" s="2" t="s">
        <v>121</v>
      </c>
      <c r="G12" s="2" t="s">
        <v>122</v>
      </c>
      <c r="H12" s="2" t="s">
        <v>123</v>
      </c>
      <c r="I12" s="2" t="s">
        <v>124</v>
      </c>
      <c r="J12" s="2" t="s">
        <v>125</v>
      </c>
      <c r="K12" s="2" t="s">
        <v>126</v>
      </c>
      <c r="L12" s="2" t="s">
        <v>127</v>
      </c>
    </row>
    <row r="13" customFormat="false" ht="15" hidden="false" customHeight="false" outlineLevel="0" collapsed="false">
      <c r="A13" s="0" t="s">
        <v>128</v>
      </c>
      <c r="C13" s="3" t="n">
        <v>5</v>
      </c>
      <c r="D13" s="3" t="n">
        <v>4</v>
      </c>
      <c r="E13" s="3" t="n">
        <v>2</v>
      </c>
      <c r="F13" s="3" t="n">
        <v>-45</v>
      </c>
      <c r="G13" s="3" t="n">
        <v>-8</v>
      </c>
      <c r="H13" s="3" t="n">
        <v>-2</v>
      </c>
      <c r="I13" s="3" t="n">
        <v>0</v>
      </c>
      <c r="J13" s="3" t="n">
        <v>1</v>
      </c>
      <c r="K13" s="3" t="n">
        <v>1</v>
      </c>
      <c r="L13" s="3" t="n">
        <v>1</v>
      </c>
    </row>
    <row r="14" customFormat="false" ht="15" hidden="false" customHeight="false" outlineLevel="0" collapsed="false">
      <c r="A14" s="0" t="s">
        <v>129</v>
      </c>
      <c r="C14" s="3" t="n">
        <v>1</v>
      </c>
      <c r="D14" s="3" t="n">
        <v>1.5</v>
      </c>
      <c r="E14" s="3" t="n">
        <v>2</v>
      </c>
      <c r="F14" s="3" t="n">
        <v>-8</v>
      </c>
      <c r="G14" s="3" t="n">
        <v>0</v>
      </c>
      <c r="H14" s="3" t="n">
        <v>3</v>
      </c>
      <c r="I14" s="3" t="n">
        <v>5</v>
      </c>
      <c r="J14" s="3" t="n">
        <v>6.5</v>
      </c>
      <c r="K14" s="3" t="n">
        <v>7.5</v>
      </c>
      <c r="L14" s="3" t="n">
        <v>8</v>
      </c>
    </row>
    <row r="15" customFormat="false" ht="15" hidden="false" customHeight="false" outlineLevel="0" collapsed="false">
      <c r="A15" s="0" t="s">
        <v>130</v>
      </c>
      <c r="C15" s="3" t="n">
        <v>6</v>
      </c>
      <c r="D15" s="3" t="n">
        <v>6</v>
      </c>
      <c r="E15" s="3" t="n">
        <v>6</v>
      </c>
      <c r="F15" s="3" t="n">
        <v>7</v>
      </c>
      <c r="G15" s="3" t="n">
        <v>6.5</v>
      </c>
      <c r="H15" s="3" t="n">
        <v>6</v>
      </c>
      <c r="I15" s="3" t="n">
        <v>5.5</v>
      </c>
      <c r="J15" s="3" t="n">
        <v>5.5</v>
      </c>
      <c r="K15" s="3" t="n">
        <v>5.5</v>
      </c>
      <c r="L15" s="3" t="n">
        <v>5.5</v>
      </c>
    </row>
    <row r="16" customFormat="false" ht="15" hidden="false" customHeight="false" outlineLevel="0" collapsed="false">
      <c r="A16" s="0" t="s">
        <v>131</v>
      </c>
      <c r="C16" s="3" t="n">
        <v>1.1</v>
      </c>
      <c r="D16" s="3" t="n">
        <v>1.1</v>
      </c>
      <c r="E16" s="3" t="n">
        <v>1.1</v>
      </c>
      <c r="F16" s="3" t="n">
        <v>1.5</v>
      </c>
      <c r="G16" s="3" t="n">
        <v>1.3</v>
      </c>
      <c r="H16" s="3" t="n">
        <v>1.2</v>
      </c>
      <c r="I16" s="3" t="n">
        <v>1.1</v>
      </c>
      <c r="J16" s="3" t="n">
        <v>1.1</v>
      </c>
      <c r="K16" s="3" t="n">
        <v>1.1</v>
      </c>
      <c r="L16" s="3" t="n">
        <v>1.1</v>
      </c>
    </row>
    <row r="17" customFormat="false" ht="15" hidden="false" customHeight="false" outlineLevel="0" collapsed="false">
      <c r="A17" s="0" t="s">
        <v>132</v>
      </c>
      <c r="C17" s="3" t="n">
        <v>13.5</v>
      </c>
      <c r="D17" s="3" t="n">
        <v>13</v>
      </c>
      <c r="E17" s="3" t="n">
        <v>12.5</v>
      </c>
      <c r="F17" s="3" t="n">
        <v>16</v>
      </c>
      <c r="G17" s="3" t="n">
        <v>13</v>
      </c>
      <c r="H17" s="3" t="n">
        <v>11</v>
      </c>
      <c r="I17" s="3" t="n">
        <v>10</v>
      </c>
      <c r="J17" s="3" t="n">
        <v>9.5</v>
      </c>
      <c r="K17" s="3" t="n">
        <v>9</v>
      </c>
      <c r="L17" s="3" t="n">
        <v>9</v>
      </c>
    </row>
    <row r="18" customFormat="false" ht="15" hidden="false" customHeight="false" outlineLevel="0" collapsed="false">
      <c r="A18" s="0" t="s">
        <v>133</v>
      </c>
      <c r="C18" s="3" t="n">
        <v>9</v>
      </c>
      <c r="D18" s="3" t="n">
        <v>9</v>
      </c>
      <c r="E18" s="3" t="n">
        <v>9</v>
      </c>
      <c r="F18" s="3" t="n">
        <v>10</v>
      </c>
      <c r="G18" s="3" t="n">
        <v>9</v>
      </c>
      <c r="H18" s="3" t="n">
        <v>8.5</v>
      </c>
      <c r="I18" s="3" t="n">
        <v>8</v>
      </c>
      <c r="J18" s="3" t="n">
        <v>8</v>
      </c>
      <c r="K18" s="3" t="n">
        <v>8</v>
      </c>
      <c r="L18" s="3" t="n">
        <v>8</v>
      </c>
    </row>
    <row r="19" customFormat="false" ht="15" hidden="false" customHeight="false" outlineLevel="0" collapsed="false">
      <c r="A19" s="0" t="s">
        <v>134</v>
      </c>
      <c r="C19" s="3" t="n">
        <v>0</v>
      </c>
      <c r="D19" s="3" t="n">
        <v>0</v>
      </c>
      <c r="E19" s="3" t="n">
        <v>0</v>
      </c>
      <c r="F19" s="3" t="n">
        <v>0</v>
      </c>
      <c r="G19" s="3" t="n">
        <v>0</v>
      </c>
      <c r="H19" s="3" t="n">
        <v>0</v>
      </c>
      <c r="I19" s="3" t="n">
        <v>0</v>
      </c>
      <c r="J19" s="3" t="n">
        <v>0</v>
      </c>
      <c r="K19" s="3" t="n">
        <v>0</v>
      </c>
      <c r="L19" s="3" t="n">
        <v>0</v>
      </c>
    </row>
    <row r="20" customFormat="false" ht="15" hidden="false" customHeight="false" outlineLevel="0" collapsed="false">
      <c r="A20" s="0" t="s">
        <v>135</v>
      </c>
      <c r="B20" s="3" t="n">
        <v>17.5</v>
      </c>
    </row>
    <row r="21" customFormat="false" ht="15" hidden="false" customHeight="false" outlineLevel="0" collapsed="false">
      <c r="A21" s="0" t="s">
        <v>136</v>
      </c>
      <c r="B21" s="3" t="n">
        <v>1</v>
      </c>
    </row>
    <row r="22" customFormat="false" ht="15" hidden="false" customHeight="false" outlineLevel="0" collapsed="false">
      <c r="A22" s="0" t="s">
        <v>137</v>
      </c>
      <c r="B22" s="3" t="n">
        <v>8</v>
      </c>
    </row>
    <row r="23" customFormat="false" ht="15" hidden="false" customHeight="false" outlineLevel="0" collapsed="false">
      <c r="A23" s="0" t="s">
        <v>138</v>
      </c>
      <c r="B23" s="3" t="n">
        <v>8</v>
      </c>
    </row>
    <row r="24" customFormat="false" ht="15" hidden="false" customHeight="false" outlineLevel="0" collapsed="false">
      <c r="A24" s="0" t="s">
        <v>139</v>
      </c>
      <c r="B24" s="3" t="n">
        <v>0.35</v>
      </c>
    </row>
    <row r="26" customFormat="false" ht="15" hidden="false" customHeight="false" outlineLevel="0" collapsed="false">
      <c r="A26" s="2" t="s">
        <v>140</v>
      </c>
      <c r="C26" s="2" t="s">
        <v>118</v>
      </c>
      <c r="D26" s="2" t="s">
        <v>119</v>
      </c>
      <c r="E26" s="2" t="s">
        <v>120</v>
      </c>
      <c r="F26" s="2" t="s">
        <v>121</v>
      </c>
      <c r="G26" s="2" t="s">
        <v>122</v>
      </c>
      <c r="H26" s="2" t="s">
        <v>123</v>
      </c>
      <c r="I26" s="2" t="s">
        <v>124</v>
      </c>
      <c r="J26" s="2" t="s">
        <v>125</v>
      </c>
      <c r="K26" s="2" t="s">
        <v>126</v>
      </c>
      <c r="L26" s="2" t="s">
        <v>127</v>
      </c>
    </row>
    <row r="27" customFormat="false" ht="15" hidden="false" customHeight="false" outlineLevel="0" collapsed="false">
      <c r="A27" s="0" t="s">
        <v>128</v>
      </c>
      <c r="C27" s="3" t="n">
        <v>8.4</v>
      </c>
      <c r="D27" s="3" t="n">
        <v>10</v>
      </c>
      <c r="E27" s="3" t="n">
        <v>12</v>
      </c>
      <c r="F27" s="3" t="n">
        <v>9</v>
      </c>
      <c r="G27" s="3" t="n">
        <v>8</v>
      </c>
      <c r="H27" s="3" t="n">
        <v>7</v>
      </c>
      <c r="I27" s="3" t="n">
        <v>6</v>
      </c>
      <c r="J27" s="3" t="n">
        <v>5</v>
      </c>
      <c r="K27" s="3" t="n">
        <v>4.5</v>
      </c>
      <c r="L27" s="3" t="n">
        <v>4</v>
      </c>
    </row>
    <row r="28" customFormat="false" ht="15" hidden="false" customHeight="false" outlineLevel="0" collapsed="false">
      <c r="A28" s="0" t="s">
        <v>129</v>
      </c>
      <c r="C28" s="3" t="n">
        <v>3.5</v>
      </c>
      <c r="D28" s="3" t="n">
        <v>5.5</v>
      </c>
      <c r="E28" s="3" t="n">
        <v>8</v>
      </c>
      <c r="F28" s="3" t="n">
        <v>10.5</v>
      </c>
      <c r="G28" s="3" t="n">
        <v>13</v>
      </c>
      <c r="H28" s="3" t="n">
        <v>15</v>
      </c>
      <c r="I28" s="3" t="n">
        <v>16.5</v>
      </c>
      <c r="J28" s="3" t="n">
        <v>17.5</v>
      </c>
      <c r="K28" s="3" t="n">
        <v>18</v>
      </c>
      <c r="L28" s="3" t="n">
        <v>18.5</v>
      </c>
    </row>
    <row r="29" customFormat="false" ht="15" hidden="false" customHeight="false" outlineLevel="0" collapsed="false">
      <c r="A29" s="0" t="s">
        <v>130</v>
      </c>
      <c r="C29" s="3" t="n">
        <v>6</v>
      </c>
      <c r="D29" s="3" t="n">
        <v>5.8</v>
      </c>
      <c r="E29" s="3" t="n">
        <v>5.6</v>
      </c>
      <c r="F29" s="3" t="n">
        <v>5.4</v>
      </c>
      <c r="G29" s="3" t="n">
        <v>5.2</v>
      </c>
      <c r="H29" s="3" t="n">
        <v>5</v>
      </c>
      <c r="I29" s="3" t="n">
        <v>4.8</v>
      </c>
      <c r="J29" s="3" t="n">
        <v>4.6</v>
      </c>
      <c r="K29" s="3" t="n">
        <v>4.5</v>
      </c>
      <c r="L29" s="3" t="n">
        <v>4.4</v>
      </c>
    </row>
    <row r="30" customFormat="false" ht="15" hidden="false" customHeight="false" outlineLevel="0" collapsed="false">
      <c r="A30" s="0" t="s">
        <v>131</v>
      </c>
      <c r="C30" s="3" t="n">
        <v>1.1</v>
      </c>
      <c r="D30" s="3" t="n">
        <v>1.1</v>
      </c>
      <c r="E30" s="3" t="n">
        <v>1.1</v>
      </c>
      <c r="F30" s="3" t="n">
        <v>1</v>
      </c>
      <c r="G30" s="3" t="n">
        <v>1</v>
      </c>
      <c r="H30" s="3" t="n">
        <v>1</v>
      </c>
      <c r="I30" s="3" t="n">
        <v>1</v>
      </c>
      <c r="J30" s="3" t="n">
        <v>1</v>
      </c>
      <c r="K30" s="3" t="n">
        <v>1</v>
      </c>
      <c r="L30" s="3" t="n">
        <v>1</v>
      </c>
    </row>
    <row r="31" customFormat="false" ht="15" hidden="false" customHeight="false" outlineLevel="0" collapsed="false">
      <c r="A31" s="0" t="s">
        <v>132</v>
      </c>
      <c r="C31" s="3" t="n">
        <v>13</v>
      </c>
      <c r="D31" s="3" t="n">
        <v>12</v>
      </c>
      <c r="E31" s="3" t="n">
        <v>11</v>
      </c>
      <c r="F31" s="3" t="n">
        <v>10</v>
      </c>
      <c r="G31" s="3" t="n">
        <v>9.5</v>
      </c>
      <c r="H31" s="3" t="n">
        <v>9</v>
      </c>
      <c r="I31" s="3" t="n">
        <v>8.5</v>
      </c>
      <c r="J31" s="3" t="n">
        <v>8</v>
      </c>
      <c r="K31" s="3" t="n">
        <v>8</v>
      </c>
      <c r="L31" s="3" t="n">
        <v>8</v>
      </c>
    </row>
    <row r="32" customFormat="false" ht="15" hidden="false" customHeight="false" outlineLevel="0" collapsed="false">
      <c r="A32" s="0" t="s">
        <v>133</v>
      </c>
      <c r="C32" s="3" t="n">
        <v>8.5</v>
      </c>
      <c r="D32" s="3" t="n">
        <v>8.2</v>
      </c>
      <c r="E32" s="3" t="n">
        <v>8</v>
      </c>
      <c r="F32" s="3" t="n">
        <v>7.8</v>
      </c>
      <c r="G32" s="3" t="n">
        <v>7.5</v>
      </c>
      <c r="H32" s="3" t="n">
        <v>7.2</v>
      </c>
      <c r="I32" s="3" t="n">
        <v>7</v>
      </c>
      <c r="J32" s="3" t="n">
        <v>7</v>
      </c>
      <c r="K32" s="3" t="n">
        <v>7</v>
      </c>
      <c r="L32" s="3" t="n">
        <v>7</v>
      </c>
    </row>
    <row r="33" customFormat="false" ht="15" hidden="false" customHeight="false" outlineLevel="0" collapsed="false">
      <c r="A33" s="0" t="s">
        <v>134</v>
      </c>
      <c r="C33" s="3" t="n">
        <v>0</v>
      </c>
      <c r="D33" s="3" t="n">
        <v>0</v>
      </c>
      <c r="E33" s="3" t="n">
        <v>0</v>
      </c>
      <c r="F33" s="3" t="n">
        <v>0</v>
      </c>
      <c r="G33" s="3" t="n">
        <v>3</v>
      </c>
      <c r="H33" s="3" t="n">
        <v>8</v>
      </c>
      <c r="I33" s="3" t="n">
        <v>14</v>
      </c>
      <c r="J33" s="3" t="n">
        <v>20</v>
      </c>
      <c r="K33" s="3" t="n">
        <v>25</v>
      </c>
      <c r="L33" s="3" t="n">
        <v>28</v>
      </c>
    </row>
    <row r="34" customFormat="false" ht="15" hidden="false" customHeight="false" outlineLevel="0" collapsed="false">
      <c r="A34" s="0" t="s">
        <v>135</v>
      </c>
      <c r="B34" s="3" t="n">
        <v>17.5</v>
      </c>
    </row>
    <row r="35" customFormat="false" ht="15" hidden="false" customHeight="false" outlineLevel="0" collapsed="false">
      <c r="A35" s="0" t="s">
        <v>136</v>
      </c>
      <c r="B35" s="3" t="n">
        <v>2.5</v>
      </c>
    </row>
    <row r="36" customFormat="false" ht="15" hidden="false" customHeight="false" outlineLevel="0" collapsed="false">
      <c r="A36" s="0" t="s">
        <v>137</v>
      </c>
      <c r="B36" s="3" t="n">
        <v>12</v>
      </c>
    </row>
    <row r="37" customFormat="false" ht="15" hidden="false" customHeight="false" outlineLevel="0" collapsed="false">
      <c r="A37" s="0" t="s">
        <v>138</v>
      </c>
      <c r="B37" s="3" t="n">
        <v>8</v>
      </c>
    </row>
    <row r="38" customFormat="false" ht="15" hidden="false" customHeight="false" outlineLevel="0" collapsed="false">
      <c r="A38" s="0" t="s">
        <v>139</v>
      </c>
      <c r="B38" s="3" t="n">
        <v>0.45</v>
      </c>
    </row>
    <row r="40" customFormat="false" ht="15" hidden="false" customHeight="false" outlineLevel="0" collapsed="false">
      <c r="A40" s="2" t="s">
        <v>141</v>
      </c>
      <c r="C40" s="2" t="s">
        <v>118</v>
      </c>
      <c r="D40" s="2" t="s">
        <v>119</v>
      </c>
      <c r="E40" s="2" t="s">
        <v>120</v>
      </c>
      <c r="F40" s="2" t="s">
        <v>121</v>
      </c>
      <c r="G40" s="2" t="s">
        <v>122</v>
      </c>
      <c r="H40" s="2" t="s">
        <v>123</v>
      </c>
      <c r="I40" s="2" t="s">
        <v>124</v>
      </c>
      <c r="J40" s="2" t="s">
        <v>125</v>
      </c>
      <c r="K40" s="2" t="s">
        <v>126</v>
      </c>
      <c r="L40" s="2" t="s">
        <v>127</v>
      </c>
    </row>
    <row r="41" customFormat="false" ht="15" hidden="false" customHeight="false" outlineLevel="0" collapsed="false">
      <c r="A41" s="0" t="s">
        <v>128</v>
      </c>
      <c r="C41" s="3" t="n">
        <v>11</v>
      </c>
      <c r="D41" s="3" t="n">
        <v>16</v>
      </c>
      <c r="E41" s="3" t="n">
        <v>18</v>
      </c>
      <c r="F41" s="3" t="n">
        <v>16</v>
      </c>
      <c r="G41" s="3" t="n">
        <v>14</v>
      </c>
      <c r="H41" s="3" t="n">
        <v>12</v>
      </c>
      <c r="I41" s="3" t="n">
        <v>10</v>
      </c>
      <c r="J41" s="3" t="n">
        <v>8</v>
      </c>
      <c r="K41" s="3" t="n">
        <v>6.5</v>
      </c>
      <c r="L41" s="3" t="n">
        <v>5.5</v>
      </c>
    </row>
    <row r="42" customFormat="false" ht="15" hidden="false" customHeight="false" outlineLevel="0" collapsed="false">
      <c r="A42" s="0" t="s">
        <v>129</v>
      </c>
      <c r="C42" s="3" t="n">
        <v>5</v>
      </c>
      <c r="D42" s="3" t="n">
        <v>9</v>
      </c>
      <c r="E42" s="3" t="n">
        <v>13</v>
      </c>
      <c r="F42" s="3" t="n">
        <v>17</v>
      </c>
      <c r="G42" s="3" t="n">
        <v>20.5</v>
      </c>
      <c r="H42" s="3" t="n">
        <v>23</v>
      </c>
      <c r="I42" s="3" t="n">
        <v>25</v>
      </c>
      <c r="J42" s="3" t="n">
        <v>26</v>
      </c>
      <c r="K42" s="3" t="n">
        <v>27</v>
      </c>
      <c r="L42" s="3" t="n">
        <v>27.5</v>
      </c>
    </row>
    <row r="43" customFormat="false" ht="15" hidden="false" customHeight="false" outlineLevel="0" collapsed="false">
      <c r="A43" s="0" t="s">
        <v>130</v>
      </c>
      <c r="C43" s="3" t="n">
        <v>6</v>
      </c>
      <c r="D43" s="3" t="n">
        <v>5.7</v>
      </c>
      <c r="E43" s="3" t="n">
        <v>5.4</v>
      </c>
      <c r="F43" s="3" t="n">
        <v>5.1</v>
      </c>
      <c r="G43" s="3" t="n">
        <v>4.8</v>
      </c>
      <c r="H43" s="3" t="n">
        <v>4.5</v>
      </c>
      <c r="I43" s="3" t="n">
        <v>4.3</v>
      </c>
      <c r="J43" s="3" t="n">
        <v>4.1</v>
      </c>
      <c r="K43" s="3" t="n">
        <v>4</v>
      </c>
      <c r="L43" s="3" t="n">
        <v>4</v>
      </c>
    </row>
    <row r="44" customFormat="false" ht="15" hidden="false" customHeight="false" outlineLevel="0" collapsed="false">
      <c r="A44" s="0" t="s">
        <v>131</v>
      </c>
      <c r="C44" s="3" t="n">
        <v>1.1</v>
      </c>
      <c r="D44" s="3" t="n">
        <v>1</v>
      </c>
      <c r="E44" s="3" t="n">
        <v>1</v>
      </c>
      <c r="F44" s="3" t="n">
        <v>1</v>
      </c>
      <c r="G44" s="3" t="n">
        <v>1</v>
      </c>
      <c r="H44" s="3" t="n">
        <v>1</v>
      </c>
      <c r="I44" s="3" t="n">
        <v>1</v>
      </c>
      <c r="J44" s="3" t="n">
        <v>1</v>
      </c>
      <c r="K44" s="3" t="n">
        <v>1</v>
      </c>
      <c r="L44" s="3" t="n">
        <v>1</v>
      </c>
    </row>
    <row r="45" customFormat="false" ht="15" hidden="false" customHeight="false" outlineLevel="0" collapsed="false">
      <c r="A45" s="0" t="s">
        <v>132</v>
      </c>
      <c r="C45" s="3" t="n">
        <v>12.5</v>
      </c>
      <c r="D45" s="3" t="n">
        <v>11.5</v>
      </c>
      <c r="E45" s="3" t="n">
        <v>10.5</v>
      </c>
      <c r="F45" s="3" t="n">
        <v>9.5</v>
      </c>
      <c r="G45" s="3" t="n">
        <v>9</v>
      </c>
      <c r="H45" s="3" t="n">
        <v>8.5</v>
      </c>
      <c r="I45" s="3" t="n">
        <v>8</v>
      </c>
      <c r="J45" s="3" t="n">
        <v>8</v>
      </c>
      <c r="K45" s="3" t="n">
        <v>8</v>
      </c>
      <c r="L45" s="3" t="n">
        <v>8</v>
      </c>
    </row>
    <row r="46" customFormat="false" ht="15" hidden="false" customHeight="false" outlineLevel="0" collapsed="false">
      <c r="A46" s="0" t="s">
        <v>133</v>
      </c>
      <c r="C46" s="3" t="n">
        <v>8.5</v>
      </c>
      <c r="D46" s="3" t="n">
        <v>8</v>
      </c>
      <c r="E46" s="3" t="n">
        <v>7.8</v>
      </c>
      <c r="F46" s="3" t="n">
        <v>7.5</v>
      </c>
      <c r="G46" s="3" t="n">
        <v>7.2</v>
      </c>
      <c r="H46" s="3" t="n">
        <v>7</v>
      </c>
      <c r="I46" s="3" t="n">
        <v>7</v>
      </c>
      <c r="J46" s="3" t="n">
        <v>7</v>
      </c>
      <c r="K46" s="3" t="n">
        <v>7</v>
      </c>
      <c r="L46" s="3" t="n">
        <v>7</v>
      </c>
    </row>
    <row r="47" customFormat="false" ht="15" hidden="false" customHeight="false" outlineLevel="0" collapsed="false">
      <c r="A47" s="0" t="s">
        <v>134</v>
      </c>
      <c r="C47" s="3" t="n">
        <v>0</v>
      </c>
      <c r="D47" s="3" t="n">
        <v>0</v>
      </c>
      <c r="E47" s="3" t="n">
        <v>0</v>
      </c>
      <c r="F47" s="3" t="n">
        <v>0</v>
      </c>
      <c r="G47" s="3" t="n">
        <v>0</v>
      </c>
      <c r="H47" s="3" t="n">
        <v>5</v>
      </c>
      <c r="I47" s="3" t="n">
        <v>12</v>
      </c>
      <c r="J47" s="3" t="n">
        <v>18</v>
      </c>
      <c r="K47" s="3" t="n">
        <v>24</v>
      </c>
      <c r="L47" s="3" t="n">
        <v>28</v>
      </c>
    </row>
    <row r="48" customFormat="false" ht="15" hidden="false" customHeight="false" outlineLevel="0" collapsed="false">
      <c r="A48" s="0" t="s">
        <v>135</v>
      </c>
      <c r="B48" s="3" t="n">
        <v>17.5</v>
      </c>
    </row>
    <row r="49" customFormat="false" ht="15" hidden="false" customHeight="false" outlineLevel="0" collapsed="false">
      <c r="A49" s="0" t="s">
        <v>136</v>
      </c>
      <c r="B49" s="3" t="n">
        <v>3</v>
      </c>
    </row>
    <row r="50" customFormat="false" ht="15" hidden="false" customHeight="false" outlineLevel="0" collapsed="false">
      <c r="A50" s="0" t="s">
        <v>137</v>
      </c>
      <c r="B50" s="3" t="n">
        <v>14</v>
      </c>
    </row>
    <row r="51" customFormat="false" ht="15" hidden="false" customHeight="false" outlineLevel="0" collapsed="false">
      <c r="A51" s="0" t="s">
        <v>138</v>
      </c>
      <c r="B51" s="3" t="n">
        <v>10</v>
      </c>
    </row>
    <row r="52" customFormat="false" ht="15" hidden="false" customHeight="false" outlineLevel="0" collapsed="false">
      <c r="A52" s="0" t="s">
        <v>139</v>
      </c>
      <c r="B52" s="3" t="n">
        <v>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142</v>
      </c>
    </row>
    <row r="3" customFormat="false" ht="15" hidden="false" customHeight="false" outlineLevel="0" collapsed="false">
      <c r="A3" s="0" t="s">
        <v>143</v>
      </c>
      <c r="B3" s="0" t="s">
        <v>105</v>
      </c>
      <c r="C3" s="2" t="s">
        <v>118</v>
      </c>
      <c r="D3" s="2" t="s">
        <v>119</v>
      </c>
      <c r="E3" s="2" t="s">
        <v>120</v>
      </c>
      <c r="F3" s="2" t="s">
        <v>121</v>
      </c>
      <c r="G3" s="2" t="s">
        <v>122</v>
      </c>
      <c r="H3" s="2" t="s">
        <v>123</v>
      </c>
      <c r="I3" s="2" t="s">
        <v>124</v>
      </c>
      <c r="J3" s="2" t="s">
        <v>125</v>
      </c>
      <c r="K3" s="2" t="s">
        <v>126</v>
      </c>
      <c r="L3" s="2" t="s">
        <v>127</v>
      </c>
    </row>
    <row r="4" customFormat="false" ht="15" hidden="false" customHeight="false" outlineLevel="0" collapsed="false">
      <c r="A4" s="0" t="s">
        <v>144</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128</v>
      </c>
      <c r="C5" s="4" t="n">
        <f aca="false">Assumptions!C13</f>
        <v>5</v>
      </c>
      <c r="D5" s="4" t="n">
        <f aca="false">Assumptions!D13</f>
        <v>4</v>
      </c>
      <c r="E5" s="4" t="n">
        <f aca="false">Assumptions!E13</f>
        <v>2</v>
      </c>
      <c r="F5" s="4" t="n">
        <f aca="false">Assumptions!F13</f>
        <v>-45</v>
      </c>
      <c r="G5" s="4" t="n">
        <f aca="false">Assumptions!G13</f>
        <v>-8</v>
      </c>
      <c r="H5" s="4" t="n">
        <f aca="false">Assumptions!H13</f>
        <v>-2</v>
      </c>
      <c r="I5" s="4" t="n">
        <f aca="false">Assumptions!I13</f>
        <v>0</v>
      </c>
      <c r="J5" s="4" t="n">
        <f aca="false">Assumptions!J13</f>
        <v>1</v>
      </c>
      <c r="K5" s="4" t="n">
        <f aca="false">Assumptions!K13</f>
        <v>1</v>
      </c>
      <c r="L5" s="4" t="n">
        <f aca="false">Assumptions!L13</f>
        <v>1</v>
      </c>
    </row>
    <row r="6" customFormat="false" ht="15" hidden="false" customHeight="false" outlineLevel="0" collapsed="false">
      <c r="A6" s="0" t="s">
        <v>59</v>
      </c>
      <c r="B6" s="3" t="n">
        <v>119.391</v>
      </c>
      <c r="C6" s="0" t="n">
        <f aca="false">B6*(1+C5/100)</f>
        <v>125.36055</v>
      </c>
      <c r="D6" s="0" t="n">
        <f aca="false">C6*(1+D5/100)</f>
        <v>130.374972</v>
      </c>
      <c r="E6" s="0" t="n">
        <f aca="false">D6*(1+E5/100)</f>
        <v>132.98247144</v>
      </c>
      <c r="F6" s="0" t="n">
        <f aca="false">E6*(1+F5/100)</f>
        <v>73.140359292</v>
      </c>
      <c r="G6" s="0" t="n">
        <f aca="false">F6*(1+G5/100)</f>
        <v>67.28913054864</v>
      </c>
      <c r="H6" s="0" t="n">
        <f aca="false">G6*(1+H5/100)</f>
        <v>65.9433479376672</v>
      </c>
      <c r="I6" s="0" t="n">
        <f aca="false">H6*(1+I5/100)</f>
        <v>65.9433479376672</v>
      </c>
      <c r="J6" s="0" t="n">
        <f aca="false">I6*(1+J5/100)</f>
        <v>66.6027814170439</v>
      </c>
      <c r="K6" s="0" t="n">
        <f aca="false">J6*(1+K5/100)</f>
        <v>67.2688092312143</v>
      </c>
      <c r="L6" s="0" t="n">
        <f aca="false">K6*(1+L5/100)</f>
        <v>67.9414973235265</v>
      </c>
    </row>
    <row r="7" customFormat="false" ht="15" hidden="false" customHeight="false" outlineLevel="0" collapsed="false">
      <c r="A7" s="0" t="s">
        <v>129</v>
      </c>
      <c r="C7" s="4" t="n">
        <f aca="false">Assumptions!C14</f>
        <v>1</v>
      </c>
      <c r="D7" s="4" t="n">
        <f aca="false">Assumptions!D14</f>
        <v>1.5</v>
      </c>
      <c r="E7" s="4" t="n">
        <f aca="false">Assumptions!E14</f>
        <v>2</v>
      </c>
      <c r="F7" s="4" t="n">
        <f aca="false">Assumptions!F14</f>
        <v>-8</v>
      </c>
      <c r="G7" s="4" t="n">
        <f aca="false">Assumptions!G14</f>
        <v>0</v>
      </c>
      <c r="H7" s="4" t="n">
        <f aca="false">Assumptions!H14</f>
        <v>3</v>
      </c>
      <c r="I7" s="4" t="n">
        <f aca="false">Assumptions!I14</f>
        <v>5</v>
      </c>
      <c r="J7" s="4" t="n">
        <f aca="false">Assumptions!J14</f>
        <v>6.5</v>
      </c>
      <c r="K7" s="4" t="n">
        <f aca="false">Assumptions!K14</f>
        <v>7.5</v>
      </c>
      <c r="L7" s="4" t="n">
        <f aca="false">Assumptions!L14</f>
        <v>8</v>
      </c>
    </row>
    <row r="8" customFormat="false" ht="15" hidden="false" customHeight="false" outlineLevel="0" collapsed="false">
      <c r="A8" s="0" t="s">
        <v>65</v>
      </c>
      <c r="C8" s="0" t="n">
        <f aca="false">C6*C7/100</f>
        <v>1.2536055</v>
      </c>
      <c r="D8" s="0" t="n">
        <f aca="false">D6*D7/100</f>
        <v>1.95562458</v>
      </c>
      <c r="E8" s="0" t="n">
        <f aca="false">E6*E7/100</f>
        <v>2.6596494288</v>
      </c>
      <c r="F8" s="0" t="n">
        <f aca="false">F6*F7/100</f>
        <v>-5.85122874336</v>
      </c>
      <c r="G8" s="0" t="n">
        <f aca="false">G6*G7/100</f>
        <v>0</v>
      </c>
      <c r="H8" s="0" t="n">
        <f aca="false">H6*H7/100</f>
        <v>1.97830043813002</v>
      </c>
      <c r="I8" s="0" t="n">
        <f aca="false">I6*I7/100</f>
        <v>3.29716739688336</v>
      </c>
      <c r="J8" s="0" t="n">
        <f aca="false">J6*J7/100</f>
        <v>4.32918079210785</v>
      </c>
      <c r="K8" s="0" t="n">
        <f aca="false">K6*K7/100</f>
        <v>5.04516069234107</v>
      </c>
      <c r="L8" s="0" t="n">
        <f aca="false">L6*L7/100</f>
        <v>5.43531978588212</v>
      </c>
    </row>
    <row r="9" customFormat="false" ht="15" hidden="false" customHeight="false" outlineLevel="0" collapsed="false">
      <c r="A9" s="0" t="s">
        <v>130</v>
      </c>
      <c r="C9" s="4" t="n">
        <f aca="false">Assumptions!C15</f>
        <v>6</v>
      </c>
      <c r="D9" s="4" t="n">
        <f aca="false">Assumptions!D15</f>
        <v>6</v>
      </c>
      <c r="E9" s="4" t="n">
        <f aca="false">Assumptions!E15</f>
        <v>6</v>
      </c>
      <c r="F9" s="4" t="n">
        <f aca="false">Assumptions!F15</f>
        <v>7</v>
      </c>
      <c r="G9" s="4" t="n">
        <f aca="false">Assumptions!G15</f>
        <v>6.5</v>
      </c>
      <c r="H9" s="4" t="n">
        <f aca="false">Assumptions!H15</f>
        <v>6</v>
      </c>
      <c r="I9" s="4" t="n">
        <f aca="false">Assumptions!I15</f>
        <v>5.5</v>
      </c>
      <c r="J9" s="4" t="n">
        <f aca="false">Assumptions!J15</f>
        <v>5.5</v>
      </c>
      <c r="K9" s="4" t="n">
        <f aca="false">Assumptions!K15</f>
        <v>5.5</v>
      </c>
      <c r="L9" s="4" t="n">
        <f aca="false">Assumptions!L15</f>
        <v>5.5</v>
      </c>
    </row>
    <row r="10" customFormat="false" ht="15" hidden="false" customHeight="false" outlineLevel="0" collapsed="false">
      <c r="A10" s="0" t="s">
        <v>145</v>
      </c>
      <c r="C10" s="0" t="n">
        <f aca="false">-C6*C9/100</f>
        <v>-7.521633</v>
      </c>
      <c r="D10" s="0" t="n">
        <f aca="false">-D6*D9/100</f>
        <v>-7.82249832</v>
      </c>
      <c r="E10" s="0" t="n">
        <f aca="false">-E6*E9/100</f>
        <v>-7.9789482864</v>
      </c>
      <c r="F10" s="0" t="n">
        <f aca="false">-F6*F9/100</f>
        <v>-5.11982515044</v>
      </c>
      <c r="G10" s="0" t="n">
        <f aca="false">-G6*G9/100</f>
        <v>-4.3737934856616</v>
      </c>
      <c r="H10" s="0" t="n">
        <f aca="false">-H6*H9/100</f>
        <v>-3.95660087626003</v>
      </c>
      <c r="I10" s="0" t="n">
        <f aca="false">-I6*I9/100</f>
        <v>-3.6268841365717</v>
      </c>
      <c r="J10" s="0" t="n">
        <f aca="false">-J6*J9/100</f>
        <v>-3.66315297793741</v>
      </c>
      <c r="K10" s="0" t="n">
        <f aca="false">-K6*K9/100</f>
        <v>-3.69978450771679</v>
      </c>
      <c r="L10" s="0" t="n">
        <f aca="false">-L6*L9/100</f>
        <v>-3.73678235279396</v>
      </c>
    </row>
    <row r="11" customFormat="false" ht="15" hidden="false" customHeight="false" outlineLevel="0" collapsed="false">
      <c r="A11" s="0" t="s">
        <v>146</v>
      </c>
      <c r="C11" s="0" t="n">
        <f aca="false">C8+C10+C24</f>
        <v>-7.64699355</v>
      </c>
      <c r="D11" s="0" t="n">
        <f aca="false">D8+D10+D24</f>
        <v>-7.300998432</v>
      </c>
      <c r="E11" s="0" t="n">
        <f aca="false">E8+E10+E24</f>
        <v>-6.78210604344</v>
      </c>
      <c r="F11" s="0" t="n">
        <f aca="false">F8+F10+F24</f>
        <v>-12.06815928318</v>
      </c>
      <c r="G11" s="0" t="n">
        <f aca="false">G8+G10+G24</f>
        <v>-5.24855218279392</v>
      </c>
      <c r="H11" s="0" t="n">
        <f aca="false">H8+H10+H24</f>
        <v>-2.76962061338202</v>
      </c>
      <c r="I11" s="0" t="n">
        <f aca="false">I8+I10+I24</f>
        <v>-1.05509356700268</v>
      </c>
      <c r="J11" s="0" t="n">
        <f aca="false">J8+J10+J24</f>
        <v>-0.066602781417044</v>
      </c>
      <c r="K11" s="0" t="n">
        <f aca="false">K8+K10+K24</f>
        <v>0.605419283080929</v>
      </c>
      <c r="L11" s="0" t="n">
        <f aca="false">L8+L10+L24</f>
        <v>0.951180962529371</v>
      </c>
    </row>
    <row r="12" customFormat="false" ht="15" hidden="false" customHeight="false" outlineLevel="0" collapsed="false">
      <c r="A12" s="0" t="s">
        <v>147</v>
      </c>
      <c r="C12" s="4" t="n">
        <f aca="false">-C6*Assumptions!C17/100</f>
        <v>-16.92367425</v>
      </c>
      <c r="D12" s="4" t="n">
        <f aca="false">-D6*Assumptions!D17/100</f>
        <v>-16.94874636</v>
      </c>
      <c r="E12" s="4" t="n">
        <f aca="false">-E6*Assumptions!E17/100</f>
        <v>-16.62280893</v>
      </c>
      <c r="F12" s="4" t="n">
        <f aca="false">-F6*Assumptions!F17/100</f>
        <v>-11.70245748672</v>
      </c>
      <c r="G12" s="4" t="n">
        <f aca="false">-G6*Assumptions!G17/100</f>
        <v>-8.7475869713232</v>
      </c>
      <c r="H12" s="4" t="n">
        <f aca="false">-H6*Assumptions!H17/100</f>
        <v>-7.25376827314339</v>
      </c>
      <c r="I12" s="4" t="n">
        <f aca="false">-I6*Assumptions!I17/100</f>
        <v>-6.59433479376672</v>
      </c>
      <c r="J12" s="4" t="n">
        <f aca="false">-J6*Assumptions!J17/100</f>
        <v>-6.32726423461917</v>
      </c>
      <c r="K12" s="4" t="n">
        <f aca="false">-K6*Assumptions!K17/100</f>
        <v>-6.05419283080929</v>
      </c>
      <c r="L12" s="4" t="n">
        <f aca="false">-L6*Assumptions!L17/100</f>
        <v>-6.11473475911738</v>
      </c>
    </row>
    <row r="13" customFormat="false" ht="15" hidden="false" customHeight="false" outlineLevel="0" collapsed="false">
      <c r="A13" s="0" t="s">
        <v>148</v>
      </c>
      <c r="C13" s="0" t="n">
        <f aca="false">C11+C12</f>
        <v>-24.5706678</v>
      </c>
      <c r="D13" s="0" t="n">
        <f aca="false">D11+D12</f>
        <v>-24.249744792</v>
      </c>
      <c r="E13" s="0" t="n">
        <f aca="false">E11+E12</f>
        <v>-23.40491497344</v>
      </c>
      <c r="F13" s="0" t="n">
        <f aca="false">F11+F12</f>
        <v>-23.7706167699</v>
      </c>
      <c r="G13" s="0" t="n">
        <f aca="false">G11+G12</f>
        <v>-13.9961391541171</v>
      </c>
      <c r="H13" s="0" t="n">
        <f aca="false">H11+H12</f>
        <v>-10.0233888865254</v>
      </c>
      <c r="I13" s="0" t="n">
        <f aca="false">I11+I12</f>
        <v>-7.6494283607694</v>
      </c>
      <c r="J13" s="0" t="n">
        <f aca="false">J11+J12</f>
        <v>-6.39386701603621</v>
      </c>
      <c r="K13" s="0" t="n">
        <f aca="false">K11+K12</f>
        <v>-5.44877354772836</v>
      </c>
      <c r="L13" s="0" t="n">
        <f aca="false">L11+L12</f>
        <v>-5.16355379658801</v>
      </c>
    </row>
    <row r="14" customFormat="false" ht="15" hidden="false" customHeight="false" outlineLevel="0" collapsed="false">
      <c r="A14" s="0" t="s">
        <v>134</v>
      </c>
      <c r="C14" s="4" t="n">
        <f aca="false">Assumptions!C19</f>
        <v>0</v>
      </c>
      <c r="D14" s="4" t="n">
        <f aca="false">Assumptions!D19</f>
        <v>0</v>
      </c>
      <c r="E14" s="4" t="n">
        <f aca="false">Assumptions!E19</f>
        <v>0</v>
      </c>
      <c r="F14" s="4" t="n">
        <f aca="false">Assumptions!F19</f>
        <v>0</v>
      </c>
      <c r="G14" s="4" t="n">
        <f aca="false">Assumptions!G19</f>
        <v>0</v>
      </c>
      <c r="H14" s="4" t="n">
        <f aca="false">Assumptions!H19</f>
        <v>0</v>
      </c>
      <c r="I14" s="4" t="n">
        <f aca="false">Assumptions!I19</f>
        <v>0</v>
      </c>
      <c r="J14" s="4" t="n">
        <f aca="false">Assumptions!J19</f>
        <v>0</v>
      </c>
      <c r="K14" s="4" t="n">
        <f aca="false">Assumptions!K19</f>
        <v>0</v>
      </c>
      <c r="L14" s="4" t="n">
        <f aca="false">Assumptions!L19</f>
        <v>0</v>
      </c>
    </row>
    <row r="15" customFormat="false" ht="15" hidden="false" customHeight="false" outlineLevel="0" collapsed="false">
      <c r="A15" s="0" t="s">
        <v>149</v>
      </c>
      <c r="C15" s="0" t="n">
        <f aca="false">C13-MAX(0,C13)*C14/100</f>
        <v>-24.5706678</v>
      </c>
      <c r="D15" s="0" t="n">
        <f aca="false">D13-MAX(0,D13)*D14/100</f>
        <v>-24.249744792</v>
      </c>
      <c r="E15" s="0" t="n">
        <f aca="false">E13-MAX(0,E13)*E14/100</f>
        <v>-23.40491497344</v>
      </c>
      <c r="F15" s="0" t="n">
        <f aca="false">F13-MAX(0,F13)*F14/100</f>
        <v>-23.7706167699</v>
      </c>
      <c r="G15" s="0" t="n">
        <f aca="false">G13-MAX(0,G13)*G14/100</f>
        <v>-13.9961391541171</v>
      </c>
      <c r="H15" s="0" t="n">
        <f aca="false">H13-MAX(0,H13)*H14/100</f>
        <v>-10.0233888865254</v>
      </c>
      <c r="I15" s="0" t="n">
        <f aca="false">I13-MAX(0,I13)*I14/100</f>
        <v>-7.6494283607694</v>
      </c>
      <c r="J15" s="0" t="n">
        <f aca="false">J13-MAX(0,J13)*J14/100</f>
        <v>-6.39386701603621</v>
      </c>
      <c r="K15" s="0" t="n">
        <f aca="false">K13-MAX(0,K13)*K14/100</f>
        <v>-5.44877354772836</v>
      </c>
      <c r="L15" s="0" t="n">
        <f aca="false">L13-MAX(0,L13)*L14/100</f>
        <v>-5.16355379658801</v>
      </c>
    </row>
    <row r="16" customFormat="false" ht="15" hidden="false" customHeight="false" outlineLevel="0" collapsed="false">
      <c r="A16" s="0" t="s">
        <v>150</v>
      </c>
      <c r="C16" s="0" t="n">
        <f aca="false">-C12</f>
        <v>16.92367425</v>
      </c>
      <c r="D16" s="0" t="n">
        <f aca="false">-D12</f>
        <v>16.94874636</v>
      </c>
      <c r="E16" s="0" t="n">
        <f aca="false">-E12</f>
        <v>16.62280893</v>
      </c>
      <c r="F16" s="0" t="n">
        <f aca="false">-F12</f>
        <v>11.70245748672</v>
      </c>
      <c r="G16" s="0" t="n">
        <f aca="false">-G12</f>
        <v>8.7475869713232</v>
      </c>
      <c r="H16" s="0" t="n">
        <f aca="false">-H12</f>
        <v>7.25376827314339</v>
      </c>
      <c r="I16" s="0" t="n">
        <f aca="false">-I12</f>
        <v>6.59433479376672</v>
      </c>
      <c r="J16" s="0" t="n">
        <f aca="false">-J12</f>
        <v>6.32726423461917</v>
      </c>
      <c r="K16" s="0" t="n">
        <f aca="false">-K12</f>
        <v>6.05419283080929</v>
      </c>
      <c r="L16" s="0" t="n">
        <f aca="false">-L12</f>
        <v>6.11473475911738</v>
      </c>
    </row>
    <row r="17" customFormat="false" ht="15" hidden="false" customHeight="false" outlineLevel="0" collapsed="false">
      <c r="A17" s="0" t="s">
        <v>151</v>
      </c>
      <c r="C17" s="4" t="n">
        <f aca="false">-C6*Assumptions!C18/100</f>
        <v>-11.2824495</v>
      </c>
      <c r="D17" s="4" t="n">
        <f aca="false">-D6*Assumptions!D18/100</f>
        <v>-11.73374748</v>
      </c>
      <c r="E17" s="4" t="n">
        <f aca="false">-E6*Assumptions!E18/100</f>
        <v>-11.9684224296</v>
      </c>
      <c r="F17" s="4" t="n">
        <f aca="false">-F6*Assumptions!F18/100</f>
        <v>-7.3140359292</v>
      </c>
      <c r="G17" s="4" t="n">
        <f aca="false">-G6*Assumptions!G18/100</f>
        <v>-6.0560217493776</v>
      </c>
      <c r="H17" s="4" t="n">
        <f aca="false">-H6*Assumptions!H18/100</f>
        <v>-5.60518457470171</v>
      </c>
      <c r="I17" s="4" t="n">
        <f aca="false">-I6*Assumptions!I18/100</f>
        <v>-5.27546783501338</v>
      </c>
      <c r="J17" s="4" t="n">
        <f aca="false">-J6*Assumptions!J18/100</f>
        <v>-5.32822251336351</v>
      </c>
      <c r="K17" s="4" t="n">
        <f aca="false">-K6*Assumptions!K18/100</f>
        <v>-5.38150473849715</v>
      </c>
      <c r="L17" s="4" t="n">
        <f aca="false">-L6*Assumptions!L18/100</f>
        <v>-5.43531978588212</v>
      </c>
    </row>
    <row r="18" customFormat="false" ht="15" hidden="false" customHeight="false" outlineLevel="0" collapsed="false">
      <c r="A18" s="0" t="s">
        <v>152</v>
      </c>
      <c r="C18" s="4" t="n">
        <f aca="false">(C6-B6)*Assumptions!$B$23/100</f>
        <v>0.477564000000001</v>
      </c>
      <c r="D18" s="4" t="n">
        <f aca="false">(D6-C6)*Assumptions!$B$23/100</f>
        <v>0.40115376</v>
      </c>
      <c r="E18" s="4" t="n">
        <f aca="false">(E6-D6)*Assumptions!$B$23/100</f>
        <v>0.2085999552</v>
      </c>
      <c r="F18" s="4" t="n">
        <f aca="false">(F6-E6)*Assumptions!$B$23/100</f>
        <v>-4.78736897184</v>
      </c>
      <c r="G18" s="4" t="n">
        <f aca="false">(G6-F6)*Assumptions!$B$23/100</f>
        <v>-0.4680982994688</v>
      </c>
      <c r="H18" s="4" t="n">
        <f aca="false">(H6-G6)*Assumptions!$B$23/100</f>
        <v>-0.107662608877824</v>
      </c>
      <c r="I18" s="4" t="n">
        <f aca="false">(I6-H6)*Assumptions!$B$23/100</f>
        <v>0</v>
      </c>
      <c r="J18" s="4" t="n">
        <f aca="false">(J6-I6)*Assumptions!$B$23/100</f>
        <v>0.0527546783501339</v>
      </c>
      <c r="K18" s="4" t="n">
        <f aca="false">(K6-J6)*Assumptions!$B$23/100</f>
        <v>0.0532822251336347</v>
      </c>
      <c r="L18" s="4" t="n">
        <f aca="false">(L6-K6)*Assumptions!$B$23/100</f>
        <v>0.0538150473849714</v>
      </c>
    </row>
    <row r="19" customFormat="false" ht="15" hidden="false" customHeight="false" outlineLevel="0" collapsed="false">
      <c r="A19" s="0" t="s">
        <v>153</v>
      </c>
      <c r="C19" s="0" t="n">
        <f aca="false">C15+C16+C17+C18</f>
        <v>-18.45187905</v>
      </c>
      <c r="D19" s="0" t="n">
        <f aca="false">D15+D16+D17+D18</f>
        <v>-18.633592152</v>
      </c>
      <c r="E19" s="0" t="n">
        <f aca="false">E15+E16+E17+E18</f>
        <v>-18.54192851784</v>
      </c>
      <c r="F19" s="0" t="n">
        <f aca="false">F15+F16+F17+F18</f>
        <v>-24.16956418422</v>
      </c>
      <c r="G19" s="0" t="n">
        <f aca="false">G15+G16+G17+G18</f>
        <v>-11.7726722316403</v>
      </c>
      <c r="H19" s="0" t="n">
        <f aca="false">H15+H16+H17+H18</f>
        <v>-8.48246779696156</v>
      </c>
      <c r="I19" s="0" t="n">
        <f aca="false">I15+I16+I17+I18</f>
        <v>-6.33056140201605</v>
      </c>
      <c r="J19" s="0" t="n">
        <f aca="false">J15+J16+J17+J18</f>
        <v>-5.34207061643042</v>
      </c>
      <c r="K19" s="0" t="n">
        <f aca="false">K15+K16+K17+K18</f>
        <v>-4.72280323028258</v>
      </c>
      <c r="L19" s="0" t="n">
        <f aca="false">L15+L16+L17+L18</f>
        <v>-4.43032377596778</v>
      </c>
    </row>
    <row r="20" customFormat="false" ht="15" hidden="false" customHeight="false" outlineLevel="0" collapsed="false">
      <c r="A20" s="0" t="s">
        <v>154</v>
      </c>
      <c r="C20" s="0" t="n">
        <f aca="false">1/(1+$B$27/100)^C4</f>
        <v>0.851063829787234</v>
      </c>
      <c r="D20" s="0" t="n">
        <f aca="false">1/(1+$B$27/100)^D4</f>
        <v>0.724309642372114</v>
      </c>
      <c r="E20" s="0" t="n">
        <f aca="false">1/(1+$B$27/100)^E4</f>
        <v>0.616433738189033</v>
      </c>
      <c r="F20" s="0" t="n">
        <f aca="false">1/(1+$B$27/100)^F4</f>
        <v>0.52462445803322</v>
      </c>
      <c r="G20" s="0" t="n">
        <f aca="false">1/(1+$B$27/100)^G4</f>
        <v>0.446488900453804</v>
      </c>
      <c r="H20" s="0" t="n">
        <f aca="false">1/(1+$B$27/100)^H4</f>
        <v>0.379990553577706</v>
      </c>
      <c r="I20" s="0" t="n">
        <f aca="false">1/(1+$B$27/100)^I4</f>
        <v>0.323396215810813</v>
      </c>
      <c r="J20" s="0" t="n">
        <f aca="false">1/(1+$B$27/100)^J4</f>
        <v>0.27523082196665</v>
      </c>
      <c r="K20" s="0" t="n">
        <f aca="false">1/(1+$B$27/100)^K4</f>
        <v>0.234238997418425</v>
      </c>
      <c r="L20" s="0" t="n">
        <f aca="false">1/(1+$B$27/100)^L4</f>
        <v>0.199352338228447</v>
      </c>
    </row>
    <row r="21" customFormat="false" ht="15" hidden="false" customHeight="false" outlineLevel="0" collapsed="false">
      <c r="A21" s="0" t="s">
        <v>155</v>
      </c>
      <c r="C21" s="0" t="n">
        <f aca="false">C19*C20</f>
        <v>-15.7037268510638</v>
      </c>
      <c r="D21" s="0" t="n">
        <f aca="false">D19*D20</f>
        <v>-13.496490467723</v>
      </c>
      <c r="E21" s="0" t="n">
        <f aca="false">E19*E20</f>
        <v>-11.429870309486</v>
      </c>
      <c r="F21" s="0" t="n">
        <f aca="false">F19*F20</f>
        <v>-12.6799445110455</v>
      </c>
      <c r="G21" s="0" t="n">
        <f aca="false">G19*G20</f>
        <v>-5.25636748010812</v>
      </c>
      <c r="H21" s="0" t="n">
        <f aca="false">H19*H20</f>
        <v>-3.22325763387248</v>
      </c>
      <c r="I21" s="0" t="n">
        <f aca="false">I19*I20</f>
        <v>-2.04727960136999</v>
      </c>
      <c r="J21" s="0" t="n">
        <f aca="false">J19*J20</f>
        <v>-1.47030248676403</v>
      </c>
      <c r="K21" s="0" t="n">
        <f aca="false">K19*K20</f>
        <v>-1.10626469366589</v>
      </c>
      <c r="L21" s="0" t="n">
        <f aca="false">L19*L20</f>
        <v>-0.883195403848258</v>
      </c>
    </row>
    <row r="23" customFormat="false" ht="15" hidden="false" customHeight="false" outlineLevel="0" collapsed="false">
      <c r="A23" s="0" t="s">
        <v>131</v>
      </c>
      <c r="C23" s="4" t="n">
        <f aca="false">Assumptions!C16</f>
        <v>1.1</v>
      </c>
      <c r="D23" s="4" t="n">
        <f aca="false">Assumptions!D16</f>
        <v>1.1</v>
      </c>
      <c r="E23" s="4" t="n">
        <f aca="false">Assumptions!E16</f>
        <v>1.1</v>
      </c>
      <c r="F23" s="4" t="n">
        <f aca="false">Assumptions!F16</f>
        <v>1.5</v>
      </c>
      <c r="G23" s="4" t="n">
        <f aca="false">Assumptions!G16</f>
        <v>1.3</v>
      </c>
      <c r="H23" s="4" t="n">
        <f aca="false">Assumptions!H16</f>
        <v>1.2</v>
      </c>
      <c r="I23" s="4" t="n">
        <f aca="false">Assumptions!I16</f>
        <v>1.1</v>
      </c>
      <c r="J23" s="4" t="n">
        <f aca="false">Assumptions!J16</f>
        <v>1.1</v>
      </c>
      <c r="K23" s="4" t="n">
        <f aca="false">Assumptions!K16</f>
        <v>1.1</v>
      </c>
      <c r="L23" s="4" t="n">
        <f aca="false">Assumptions!L16</f>
        <v>1.1</v>
      </c>
    </row>
    <row r="24" customFormat="false" ht="15" hidden="false" customHeight="false" outlineLevel="0" collapsed="false">
      <c r="A24" s="0" t="s">
        <v>156</v>
      </c>
      <c r="C24" s="0" t="n">
        <f aca="false">-C6*C23/100</f>
        <v>-1.37896605</v>
      </c>
      <c r="D24" s="0" t="n">
        <f aca="false">-D6*D23/100</f>
        <v>-1.434124692</v>
      </c>
      <c r="E24" s="0" t="n">
        <f aca="false">-E6*E23/100</f>
        <v>-1.46280718584</v>
      </c>
      <c r="F24" s="0" t="n">
        <f aca="false">-F6*F23/100</f>
        <v>-1.09710538938</v>
      </c>
      <c r="G24" s="0" t="n">
        <f aca="false">-G6*G23/100</f>
        <v>-0.87475869713232</v>
      </c>
      <c r="H24" s="0" t="n">
        <f aca="false">-H6*H23/100</f>
        <v>-0.791320175252007</v>
      </c>
      <c r="I24" s="0" t="n">
        <f aca="false">-I6*I23/100</f>
        <v>-0.72537682731434</v>
      </c>
      <c r="J24" s="0" t="n">
        <f aca="false">-J6*J23/100</f>
        <v>-0.732630595587483</v>
      </c>
      <c r="K24" s="0" t="n">
        <f aca="false">-K6*K23/100</f>
        <v>-0.739956901543358</v>
      </c>
      <c r="L24" s="0" t="n">
        <f aca="false">-L6*L23/100</f>
        <v>-0.747356470558791</v>
      </c>
    </row>
    <row r="26" customFormat="false" ht="15" hidden="false" customHeight="false" outlineLevel="0" collapsed="false">
      <c r="A26" s="2" t="s">
        <v>157</v>
      </c>
    </row>
    <row r="27" customFormat="false" ht="15" hidden="false" customHeight="false" outlineLevel="0" collapsed="false">
      <c r="A27" s="0" t="s">
        <v>135</v>
      </c>
      <c r="B27" s="4" t="n">
        <f aca="false">Assumptions!$B$20</f>
        <v>17.5</v>
      </c>
    </row>
    <row r="28" customFormat="false" ht="15" hidden="false" customHeight="false" outlineLevel="0" collapsed="false">
      <c r="A28" s="0" t="s">
        <v>136</v>
      </c>
      <c r="B28" s="4" t="n">
        <f aca="false">Assumptions!$B$21</f>
        <v>1</v>
      </c>
    </row>
    <row r="29" customFormat="false" ht="15" hidden="false" customHeight="false" outlineLevel="0" collapsed="false">
      <c r="A29" s="0" t="s">
        <v>137</v>
      </c>
      <c r="B29" s="4" t="n">
        <f aca="false">Assumptions!$B$22</f>
        <v>8</v>
      </c>
    </row>
    <row r="30" customFormat="false" ht="15" hidden="false" customHeight="false" outlineLevel="0" collapsed="false">
      <c r="A30" s="0" t="s">
        <v>158</v>
      </c>
      <c r="B30" s="0" t="n">
        <f aca="false">SUM(C21:L21)</f>
        <v>-67.296699438947</v>
      </c>
    </row>
    <row r="31" customFormat="false" ht="15" hidden="false" customHeight="false" outlineLevel="0" collapsed="false">
      <c r="A31" s="0" t="s">
        <v>159</v>
      </c>
      <c r="B31" s="0" t="n">
        <f aca="false">L19</f>
        <v>-4.43032377596778</v>
      </c>
    </row>
    <row r="32" customFormat="false" ht="15" hidden="false" customHeight="false" outlineLevel="0" collapsed="false">
      <c r="A32" s="0" t="s">
        <v>160</v>
      </c>
      <c r="B32" s="0" t="n">
        <f aca="false">IF(B27&gt;B28,B31*(1+B28/100)/((B27-B28)/100),B31*B29)</f>
        <v>-27.1189515983482</v>
      </c>
    </row>
    <row r="33" customFormat="false" ht="15" hidden="false" customHeight="false" outlineLevel="0" collapsed="false">
      <c r="A33" s="0" t="s">
        <v>161</v>
      </c>
      <c r="B33" s="0" t="n">
        <f aca="false">B31*B29</f>
        <v>-35.4425902077422</v>
      </c>
    </row>
    <row r="34" customFormat="false" ht="15" hidden="false" customHeight="false" outlineLevel="0" collapsed="false">
      <c r="A34" s="0" t="s">
        <v>162</v>
      </c>
      <c r="B34" s="0" t="n">
        <f aca="false">MAX(0,MIN(B32,B33))</f>
        <v>0</v>
      </c>
    </row>
    <row r="35" customFormat="false" ht="15" hidden="false" customHeight="false" outlineLevel="0" collapsed="false">
      <c r="A35" s="0" t="s">
        <v>163</v>
      </c>
      <c r="B35" s="0" t="n">
        <f aca="false">B34/(1+B27/100)^L4</f>
        <v>0</v>
      </c>
    </row>
    <row r="36" customFormat="false" ht="15" hidden="false" customHeight="false" outlineLevel="0" collapsed="false">
      <c r="A36" s="0" t="s">
        <v>164</v>
      </c>
      <c r="B36" s="0" t="n">
        <f aca="false">B30+B35</f>
        <v>-67.296699438947</v>
      </c>
    </row>
    <row r="37" customFormat="false" ht="15" hidden="false" customHeight="false" outlineLevel="0" collapsed="false">
      <c r="A37" s="0" t="s">
        <v>165</v>
      </c>
      <c r="B37" s="0" t="n">
        <f aca="false">B36+Assumptions!$B$5-Assumptions!$B$4</f>
        <v>-13.150699438947</v>
      </c>
    </row>
    <row r="38" customFormat="false" ht="15" hidden="false" customHeight="false" outlineLevel="0" collapsed="false">
      <c r="A38" s="0" t="s">
        <v>166</v>
      </c>
      <c r="B38" s="0" t="n">
        <f aca="false">B37/Assumptions!$B$3*Assumptions!$B$10</f>
        <v>-0.104255618317468</v>
      </c>
    </row>
    <row r="39" customFormat="false" ht="15" hidden="false" customHeight="false" outlineLevel="0" collapsed="false">
      <c r="A39" s="0" t="s">
        <v>167</v>
      </c>
      <c r="B39" s="4" t="n">
        <f aca="false">B38/Assumptions!$B$2-1</f>
        <v>-1.07838768294546</v>
      </c>
    </row>
    <row r="41" customFormat="false" ht="15" hidden="false" customHeight="false" outlineLevel="0" collapsed="false">
      <c r="A41" s="0" t="s">
        <v>168</v>
      </c>
      <c r="B41" s="0" t="n">
        <f aca="false">SUMPRODUCT(-C10:L10/(1+$B$27/100)^C4:L4)</f>
        <v>26.9208036863987</v>
      </c>
    </row>
    <row r="42" customFormat="false" ht="15" hidden="false" customHeight="false" outlineLevel="0" collapsed="false">
      <c r="A42" s="0" t="s">
        <v>169</v>
      </c>
      <c r="B42" s="0" t="n">
        <f aca="false">IF(B27&gt;B28,-L10*(1+B28/100)/((B27-B28)/100),-L10*20)/(1+B27/100)^L4</f>
        <v>4.55991310590955</v>
      </c>
    </row>
    <row r="43" customFormat="false" ht="15" hidden="false" customHeight="false" outlineLevel="0" collapsed="false">
      <c r="A43" s="0" t="s">
        <v>170</v>
      </c>
      <c r="B43" s="0" t="n">
        <f aca="false">(B37+B41+B42)/Assumptions!$B$3*Assumptions!$B$10</f>
        <v>0.145316019259398</v>
      </c>
    </row>
    <row r="45" customFormat="false" ht="15" hidden="false" customHeight="false" outlineLevel="0" collapsed="false">
      <c r="A45" s="0" t="s">
        <v>111</v>
      </c>
      <c r="B45" s="4" t="n">
        <f aca="false">Assumptions!$B$6</f>
        <v>15</v>
      </c>
    </row>
    <row r="46" customFormat="false" ht="15" hidden="false" customHeight="false" outlineLevel="0" collapsed="false">
      <c r="A46" s="0" t="s">
        <v>171</v>
      </c>
      <c r="B46" s="0" t="n">
        <f aca="false">MAX(0,MIN(IF(B45&gt;B28,B31*(1+B28/100)/((B45-B28)/100),B31*B29),B31*B29))</f>
        <v>0</v>
      </c>
    </row>
    <row r="47" customFormat="false" ht="15" hidden="false" customHeight="false" outlineLevel="0" collapsed="false">
      <c r="A47" s="0" t="s">
        <v>172</v>
      </c>
      <c r="B47" s="0" t="n">
        <f aca="false">(SUMPRODUCT(C19:L19/(1+B45/100)^C4:L4)+B46/(1+B45/100)^L4+Assumptions!$B$5-Assumptions!$B$4)/Assumptions!$B$3*Assumptions!$B$10</f>
        <v>-0.143362345662128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173</v>
      </c>
    </row>
    <row r="3" customFormat="false" ht="15" hidden="false" customHeight="false" outlineLevel="0" collapsed="false">
      <c r="A3" s="0" t="s">
        <v>143</v>
      </c>
      <c r="B3" s="0" t="s">
        <v>105</v>
      </c>
      <c r="C3" s="2" t="s">
        <v>118</v>
      </c>
      <c r="D3" s="2" t="s">
        <v>119</v>
      </c>
      <c r="E3" s="2" t="s">
        <v>120</v>
      </c>
      <c r="F3" s="2" t="s">
        <v>121</v>
      </c>
      <c r="G3" s="2" t="s">
        <v>122</v>
      </c>
      <c r="H3" s="2" t="s">
        <v>123</v>
      </c>
      <c r="I3" s="2" t="s">
        <v>124</v>
      </c>
      <c r="J3" s="2" t="s">
        <v>125</v>
      </c>
      <c r="K3" s="2" t="s">
        <v>126</v>
      </c>
      <c r="L3" s="2" t="s">
        <v>127</v>
      </c>
    </row>
    <row r="4" customFormat="false" ht="15" hidden="false" customHeight="false" outlineLevel="0" collapsed="false">
      <c r="A4" s="0" t="s">
        <v>144</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128</v>
      </c>
      <c r="C5" s="4" t="n">
        <f aca="false">Assumptions!C27</f>
        <v>8.4</v>
      </c>
      <c r="D5" s="4" t="n">
        <f aca="false">Assumptions!D27</f>
        <v>10</v>
      </c>
      <c r="E5" s="4" t="n">
        <f aca="false">Assumptions!E27</f>
        <v>12</v>
      </c>
      <c r="F5" s="4" t="n">
        <f aca="false">Assumptions!F27</f>
        <v>9</v>
      </c>
      <c r="G5" s="4" t="n">
        <f aca="false">Assumptions!G27</f>
        <v>8</v>
      </c>
      <c r="H5" s="4" t="n">
        <f aca="false">Assumptions!H27</f>
        <v>7</v>
      </c>
      <c r="I5" s="4" t="n">
        <f aca="false">Assumptions!I27</f>
        <v>6</v>
      </c>
      <c r="J5" s="4" t="n">
        <f aca="false">Assumptions!J27</f>
        <v>5</v>
      </c>
      <c r="K5" s="4" t="n">
        <f aca="false">Assumptions!K27</f>
        <v>4.5</v>
      </c>
      <c r="L5" s="4" t="n">
        <f aca="false">Assumptions!L27</f>
        <v>4</v>
      </c>
    </row>
    <row r="6" customFormat="false" ht="15" hidden="false" customHeight="false" outlineLevel="0" collapsed="false">
      <c r="A6" s="0" t="s">
        <v>59</v>
      </c>
      <c r="B6" s="3" t="n">
        <v>119.391</v>
      </c>
      <c r="C6" s="0" t="n">
        <f aca="false">B6*(1+C5/100)</f>
        <v>129.419844</v>
      </c>
      <c r="D6" s="0" t="n">
        <f aca="false">C6*(1+D5/100)</f>
        <v>142.3618284</v>
      </c>
      <c r="E6" s="0" t="n">
        <f aca="false">D6*(1+E5/100)</f>
        <v>159.445247808</v>
      </c>
      <c r="F6" s="0" t="n">
        <f aca="false">E6*(1+F5/100)</f>
        <v>173.79532011072</v>
      </c>
      <c r="G6" s="0" t="n">
        <f aca="false">F6*(1+G5/100)</f>
        <v>187.698945719578</v>
      </c>
      <c r="H6" s="0" t="n">
        <f aca="false">G6*(1+H5/100)</f>
        <v>200.837871919948</v>
      </c>
      <c r="I6" s="0" t="n">
        <f aca="false">H6*(1+I5/100)</f>
        <v>212.888144235145</v>
      </c>
      <c r="J6" s="0" t="n">
        <f aca="false">I6*(1+J5/100)</f>
        <v>223.532551446902</v>
      </c>
      <c r="K6" s="0" t="n">
        <f aca="false">J6*(1+K5/100)</f>
        <v>233.591516262013</v>
      </c>
      <c r="L6" s="0" t="n">
        <f aca="false">K6*(1+L5/100)</f>
        <v>242.935176912493</v>
      </c>
    </row>
    <row r="7" customFormat="false" ht="15" hidden="false" customHeight="false" outlineLevel="0" collapsed="false">
      <c r="A7" s="0" t="s">
        <v>129</v>
      </c>
      <c r="C7" s="4" t="n">
        <f aca="false">Assumptions!C28</f>
        <v>3.5</v>
      </c>
      <c r="D7" s="4" t="n">
        <f aca="false">Assumptions!D28</f>
        <v>5.5</v>
      </c>
      <c r="E7" s="4" t="n">
        <f aca="false">Assumptions!E28</f>
        <v>8</v>
      </c>
      <c r="F7" s="4" t="n">
        <f aca="false">Assumptions!F28</f>
        <v>10.5</v>
      </c>
      <c r="G7" s="4" t="n">
        <f aca="false">Assumptions!G28</f>
        <v>13</v>
      </c>
      <c r="H7" s="4" t="n">
        <f aca="false">Assumptions!H28</f>
        <v>15</v>
      </c>
      <c r="I7" s="4" t="n">
        <f aca="false">Assumptions!I28</f>
        <v>16.5</v>
      </c>
      <c r="J7" s="4" t="n">
        <f aca="false">Assumptions!J28</f>
        <v>17.5</v>
      </c>
      <c r="K7" s="4" t="n">
        <f aca="false">Assumptions!K28</f>
        <v>18</v>
      </c>
      <c r="L7" s="4" t="n">
        <f aca="false">Assumptions!L28</f>
        <v>18.5</v>
      </c>
    </row>
    <row r="8" customFormat="false" ht="15" hidden="false" customHeight="false" outlineLevel="0" collapsed="false">
      <c r="A8" s="0" t="s">
        <v>65</v>
      </c>
      <c r="C8" s="0" t="n">
        <f aca="false">C6*C7/100</f>
        <v>4.52969454</v>
      </c>
      <c r="D8" s="0" t="n">
        <f aca="false">D6*D7/100</f>
        <v>7.829900562</v>
      </c>
      <c r="E8" s="0" t="n">
        <f aca="false">E6*E7/100</f>
        <v>12.75561982464</v>
      </c>
      <c r="F8" s="0" t="n">
        <f aca="false">F6*F7/100</f>
        <v>18.2485086116256</v>
      </c>
      <c r="G8" s="0" t="n">
        <f aca="false">G6*G7/100</f>
        <v>24.4008629435451</v>
      </c>
      <c r="H8" s="0" t="n">
        <f aca="false">H6*H7/100</f>
        <v>30.1256807879922</v>
      </c>
      <c r="I8" s="0" t="n">
        <f aca="false">I6*I7/100</f>
        <v>35.1265437987989</v>
      </c>
      <c r="J8" s="0" t="n">
        <f aca="false">J6*J7/100</f>
        <v>39.1181965032079</v>
      </c>
      <c r="K8" s="0" t="n">
        <f aca="false">K6*K7/100</f>
        <v>42.0464729271623</v>
      </c>
      <c r="L8" s="0" t="n">
        <f aca="false">L6*L7/100</f>
        <v>44.9430077288113</v>
      </c>
    </row>
    <row r="9" customFormat="false" ht="15" hidden="false" customHeight="false" outlineLevel="0" collapsed="false">
      <c r="A9" s="0" t="s">
        <v>130</v>
      </c>
      <c r="C9" s="4" t="n">
        <f aca="false">Assumptions!C29</f>
        <v>6</v>
      </c>
      <c r="D9" s="4" t="n">
        <f aca="false">Assumptions!D29</f>
        <v>5.8</v>
      </c>
      <c r="E9" s="4" t="n">
        <f aca="false">Assumptions!E29</f>
        <v>5.6</v>
      </c>
      <c r="F9" s="4" t="n">
        <f aca="false">Assumptions!F29</f>
        <v>5.4</v>
      </c>
      <c r="G9" s="4" t="n">
        <f aca="false">Assumptions!G29</f>
        <v>5.2</v>
      </c>
      <c r="H9" s="4" t="n">
        <f aca="false">Assumptions!H29</f>
        <v>5</v>
      </c>
      <c r="I9" s="4" t="n">
        <f aca="false">Assumptions!I29</f>
        <v>4.8</v>
      </c>
      <c r="J9" s="4" t="n">
        <f aca="false">Assumptions!J29</f>
        <v>4.6</v>
      </c>
      <c r="K9" s="4" t="n">
        <f aca="false">Assumptions!K29</f>
        <v>4.5</v>
      </c>
      <c r="L9" s="4" t="n">
        <f aca="false">Assumptions!L29</f>
        <v>4.4</v>
      </c>
    </row>
    <row r="10" customFormat="false" ht="15" hidden="false" customHeight="false" outlineLevel="0" collapsed="false">
      <c r="A10" s="0" t="s">
        <v>145</v>
      </c>
      <c r="C10" s="0" t="n">
        <f aca="false">-C6*C9/100</f>
        <v>-7.76519064</v>
      </c>
      <c r="D10" s="0" t="n">
        <f aca="false">-D6*D9/100</f>
        <v>-8.2569860472</v>
      </c>
      <c r="E10" s="0" t="n">
        <f aca="false">-E6*E9/100</f>
        <v>-8.928933877248</v>
      </c>
      <c r="F10" s="0" t="n">
        <f aca="false">-F6*F9/100</f>
        <v>-9.38494728597888</v>
      </c>
      <c r="G10" s="0" t="n">
        <f aca="false">-G6*G9/100</f>
        <v>-9.76034517741804</v>
      </c>
      <c r="H10" s="0" t="n">
        <f aca="false">-H6*H9/100</f>
        <v>-10.0418935959974</v>
      </c>
      <c r="I10" s="0" t="n">
        <f aca="false">-I6*I9/100</f>
        <v>-10.218630923287</v>
      </c>
      <c r="J10" s="0" t="n">
        <f aca="false">-J6*J9/100</f>
        <v>-10.2824973665575</v>
      </c>
      <c r="K10" s="0" t="n">
        <f aca="false">-K6*K9/100</f>
        <v>-10.5116182317906</v>
      </c>
      <c r="L10" s="0" t="n">
        <f aca="false">-L6*L9/100</f>
        <v>-10.6891477841497</v>
      </c>
    </row>
    <row r="11" customFormat="false" ht="15" hidden="false" customHeight="false" outlineLevel="0" collapsed="false">
      <c r="A11" s="0" t="s">
        <v>146</v>
      </c>
      <c r="C11" s="0" t="n">
        <f aca="false">C8+C10+C24</f>
        <v>-4.659114384</v>
      </c>
      <c r="D11" s="0" t="n">
        <f aca="false">D8+D10+D24</f>
        <v>-1.9930655976</v>
      </c>
      <c r="E11" s="0" t="n">
        <f aca="false">E8+E10+E24</f>
        <v>2.072788221504</v>
      </c>
      <c r="F11" s="0" t="n">
        <f aca="false">F8+F10+F24</f>
        <v>7.12560812453952</v>
      </c>
      <c r="G11" s="0" t="n">
        <f aca="false">G8+G10+G24</f>
        <v>12.7635283089313</v>
      </c>
      <c r="H11" s="0" t="n">
        <f aca="false">H8+H10+H24</f>
        <v>18.0754084727953</v>
      </c>
      <c r="I11" s="0" t="n">
        <f aca="false">I8+I10+I24</f>
        <v>22.7790314331605</v>
      </c>
      <c r="J11" s="0" t="n">
        <f aca="false">J8+J10+J24</f>
        <v>26.6003736221814</v>
      </c>
      <c r="K11" s="0" t="n">
        <f aca="false">K8+K10+K24</f>
        <v>29.1989395327516</v>
      </c>
      <c r="L11" s="0" t="n">
        <f aca="false">L8+L10+L24</f>
        <v>31.8245081755366</v>
      </c>
    </row>
    <row r="12" customFormat="false" ht="15" hidden="false" customHeight="false" outlineLevel="0" collapsed="false">
      <c r="A12" s="0" t="s">
        <v>147</v>
      </c>
      <c r="C12" s="4" t="n">
        <f aca="false">-C6*Assumptions!C31/100</f>
        <v>-16.82457972</v>
      </c>
      <c r="D12" s="4" t="n">
        <f aca="false">-D6*Assumptions!D31/100</f>
        <v>-17.083419408</v>
      </c>
      <c r="E12" s="4" t="n">
        <f aca="false">-E6*Assumptions!E31/100</f>
        <v>-17.53897725888</v>
      </c>
      <c r="F12" s="4" t="n">
        <f aca="false">-F6*Assumptions!F31/100</f>
        <v>-17.379532011072</v>
      </c>
      <c r="G12" s="4" t="n">
        <f aca="false">-G6*Assumptions!G31/100</f>
        <v>-17.8313998433599</v>
      </c>
      <c r="H12" s="4" t="n">
        <f aca="false">-H6*Assumptions!H31/100</f>
        <v>-18.0754084727953</v>
      </c>
      <c r="I12" s="4" t="n">
        <f aca="false">-I6*Assumptions!I31/100</f>
        <v>-18.0954922599873</v>
      </c>
      <c r="J12" s="4" t="n">
        <f aca="false">-J6*Assumptions!J31/100</f>
        <v>-17.8826041157522</v>
      </c>
      <c r="K12" s="4" t="n">
        <f aca="false">-K6*Assumptions!K31/100</f>
        <v>-18.687321300961</v>
      </c>
      <c r="L12" s="4" t="n">
        <f aca="false">-L6*Assumptions!L31/100</f>
        <v>-19.4348141529995</v>
      </c>
    </row>
    <row r="13" customFormat="false" ht="15" hidden="false" customHeight="false" outlineLevel="0" collapsed="false">
      <c r="A13" s="0" t="s">
        <v>148</v>
      </c>
      <c r="C13" s="0" t="n">
        <f aca="false">C11+C12</f>
        <v>-21.483694104</v>
      </c>
      <c r="D13" s="0" t="n">
        <f aca="false">D11+D12</f>
        <v>-19.0764850056</v>
      </c>
      <c r="E13" s="0" t="n">
        <f aca="false">E11+E12</f>
        <v>-15.466189037376</v>
      </c>
      <c r="F13" s="0" t="n">
        <f aca="false">F11+F12</f>
        <v>-10.2539238865325</v>
      </c>
      <c r="G13" s="0" t="n">
        <f aca="false">G11+G12</f>
        <v>-5.0678715344286</v>
      </c>
      <c r="H13" s="0" t="n">
        <f aca="false">H11+H12</f>
        <v>0</v>
      </c>
      <c r="I13" s="0" t="n">
        <f aca="false">I11+I12</f>
        <v>4.6835391731732</v>
      </c>
      <c r="J13" s="0" t="n">
        <f aca="false">J11+J12</f>
        <v>8.71776950642919</v>
      </c>
      <c r="K13" s="0" t="n">
        <f aca="false">K11+K12</f>
        <v>10.5116182317906</v>
      </c>
      <c r="L13" s="0" t="n">
        <f aca="false">L11+L12</f>
        <v>12.3896940225372</v>
      </c>
    </row>
    <row r="14" customFormat="false" ht="15" hidden="false" customHeight="false" outlineLevel="0" collapsed="false">
      <c r="A14" s="0" t="s">
        <v>134</v>
      </c>
      <c r="C14" s="4" t="n">
        <f aca="false">Assumptions!C33</f>
        <v>0</v>
      </c>
      <c r="D14" s="4" t="n">
        <f aca="false">Assumptions!D33</f>
        <v>0</v>
      </c>
      <c r="E14" s="4" t="n">
        <f aca="false">Assumptions!E33</f>
        <v>0</v>
      </c>
      <c r="F14" s="4" t="n">
        <f aca="false">Assumptions!F33</f>
        <v>0</v>
      </c>
      <c r="G14" s="4" t="n">
        <f aca="false">Assumptions!G33</f>
        <v>3</v>
      </c>
      <c r="H14" s="4" t="n">
        <f aca="false">Assumptions!H33</f>
        <v>8</v>
      </c>
      <c r="I14" s="4" t="n">
        <f aca="false">Assumptions!I33</f>
        <v>14</v>
      </c>
      <c r="J14" s="4" t="n">
        <f aca="false">Assumptions!J33</f>
        <v>20</v>
      </c>
      <c r="K14" s="4" t="n">
        <f aca="false">Assumptions!K33</f>
        <v>25</v>
      </c>
      <c r="L14" s="4" t="n">
        <f aca="false">Assumptions!L33</f>
        <v>28</v>
      </c>
    </row>
    <row r="15" customFormat="false" ht="15" hidden="false" customHeight="false" outlineLevel="0" collapsed="false">
      <c r="A15" s="0" t="s">
        <v>149</v>
      </c>
      <c r="C15" s="0" t="n">
        <f aca="false">C13-MAX(0,C13)*C14/100</f>
        <v>-21.483694104</v>
      </c>
      <c r="D15" s="0" t="n">
        <f aca="false">D13-MAX(0,D13)*D14/100</f>
        <v>-19.0764850056</v>
      </c>
      <c r="E15" s="0" t="n">
        <f aca="false">E13-MAX(0,E13)*E14/100</f>
        <v>-15.466189037376</v>
      </c>
      <c r="F15" s="0" t="n">
        <f aca="false">F13-MAX(0,F13)*F14/100</f>
        <v>-10.2539238865325</v>
      </c>
      <c r="G15" s="0" t="n">
        <f aca="false">G13-MAX(0,G13)*G14/100</f>
        <v>-5.0678715344286</v>
      </c>
      <c r="H15" s="0" t="n">
        <f aca="false">H13-MAX(0,H13)*H14/100</f>
        <v>0</v>
      </c>
      <c r="I15" s="0" t="n">
        <f aca="false">I13-MAX(0,I13)*I14/100</f>
        <v>4.02784368892895</v>
      </c>
      <c r="J15" s="0" t="n">
        <f aca="false">J13-MAX(0,J13)*J14/100</f>
        <v>6.97421560514335</v>
      </c>
      <c r="K15" s="0" t="n">
        <f aca="false">K13-MAX(0,K13)*K14/100</f>
        <v>7.88371367384294</v>
      </c>
      <c r="L15" s="0" t="n">
        <f aca="false">L13-MAX(0,L13)*L14/100</f>
        <v>8.92057969622676</v>
      </c>
    </row>
    <row r="16" customFormat="false" ht="15" hidden="false" customHeight="false" outlineLevel="0" collapsed="false">
      <c r="A16" s="0" t="s">
        <v>150</v>
      </c>
      <c r="C16" s="0" t="n">
        <f aca="false">-C12</f>
        <v>16.82457972</v>
      </c>
      <c r="D16" s="0" t="n">
        <f aca="false">-D12</f>
        <v>17.083419408</v>
      </c>
      <c r="E16" s="0" t="n">
        <f aca="false">-E12</f>
        <v>17.53897725888</v>
      </c>
      <c r="F16" s="0" t="n">
        <f aca="false">-F12</f>
        <v>17.379532011072</v>
      </c>
      <c r="G16" s="0" t="n">
        <f aca="false">-G12</f>
        <v>17.8313998433599</v>
      </c>
      <c r="H16" s="0" t="n">
        <f aca="false">-H12</f>
        <v>18.0754084727953</v>
      </c>
      <c r="I16" s="0" t="n">
        <f aca="false">-I12</f>
        <v>18.0954922599873</v>
      </c>
      <c r="J16" s="0" t="n">
        <f aca="false">-J12</f>
        <v>17.8826041157522</v>
      </c>
      <c r="K16" s="0" t="n">
        <f aca="false">-K12</f>
        <v>18.687321300961</v>
      </c>
      <c r="L16" s="0" t="n">
        <f aca="false">-L12</f>
        <v>19.4348141529995</v>
      </c>
    </row>
    <row r="17" customFormat="false" ht="15" hidden="false" customHeight="false" outlineLevel="0" collapsed="false">
      <c r="A17" s="0" t="s">
        <v>151</v>
      </c>
      <c r="C17" s="4" t="n">
        <f aca="false">-C6*Assumptions!C32/100</f>
        <v>-11.00068674</v>
      </c>
      <c r="D17" s="4" t="n">
        <f aca="false">-D6*Assumptions!D32/100</f>
        <v>-11.6736699288</v>
      </c>
      <c r="E17" s="4" t="n">
        <f aca="false">-E6*Assumptions!E32/100</f>
        <v>-12.75561982464</v>
      </c>
      <c r="F17" s="4" t="n">
        <f aca="false">-F6*Assumptions!F32/100</f>
        <v>-13.5560349686362</v>
      </c>
      <c r="G17" s="4" t="n">
        <f aca="false">-G6*Assumptions!G32/100</f>
        <v>-14.0774209289683</v>
      </c>
      <c r="H17" s="4" t="n">
        <f aca="false">-H6*Assumptions!H32/100</f>
        <v>-14.4603267782363</v>
      </c>
      <c r="I17" s="4" t="n">
        <f aca="false">-I6*Assumptions!I32/100</f>
        <v>-14.9021700964602</v>
      </c>
      <c r="J17" s="4" t="n">
        <f aca="false">-J6*Assumptions!J32/100</f>
        <v>-15.6472786012832</v>
      </c>
      <c r="K17" s="4" t="n">
        <f aca="false">-K6*Assumptions!K32/100</f>
        <v>-16.3514061383409</v>
      </c>
      <c r="L17" s="4" t="n">
        <f aca="false">-L6*Assumptions!L32/100</f>
        <v>-17.0054623838745</v>
      </c>
    </row>
    <row r="18" customFormat="false" ht="15" hidden="false" customHeight="false" outlineLevel="0" collapsed="false">
      <c r="A18" s="0" t="s">
        <v>152</v>
      </c>
      <c r="C18" s="4" t="n">
        <f aca="false">(C6-B6)*Assumptions!$B$37/100</f>
        <v>0.802307520000001</v>
      </c>
      <c r="D18" s="4" t="n">
        <f aca="false">(D6-C6)*Assumptions!$B$37/100</f>
        <v>1.035358752</v>
      </c>
      <c r="E18" s="4" t="n">
        <f aca="false">(E6-D6)*Assumptions!$B$37/100</f>
        <v>1.36667355264</v>
      </c>
      <c r="F18" s="4" t="n">
        <f aca="false">(F6-E6)*Assumptions!$B$37/100</f>
        <v>1.1480057842176</v>
      </c>
      <c r="G18" s="4" t="n">
        <f aca="false">(G6-F6)*Assumptions!$B$37/100</f>
        <v>1.11229004870861</v>
      </c>
      <c r="H18" s="4" t="n">
        <f aca="false">(H6-G6)*Assumptions!$B$37/100</f>
        <v>1.05111409602964</v>
      </c>
      <c r="I18" s="4" t="n">
        <f aca="false">(I6-H6)*Assumptions!$B$37/100</f>
        <v>0.964021785215753</v>
      </c>
      <c r="J18" s="4" t="n">
        <f aca="false">(J6-I6)*Assumptions!$B$37/100</f>
        <v>0.85155257694058</v>
      </c>
      <c r="K18" s="4" t="n">
        <f aca="false">(K6-J6)*Assumptions!$B$37/100</f>
        <v>0.804717185208847</v>
      </c>
      <c r="L18" s="4" t="n">
        <f aca="false">(L6-K6)*Assumptions!$B$37/100</f>
        <v>0.747492852038442</v>
      </c>
    </row>
    <row r="19" customFormat="false" ht="15" hidden="false" customHeight="false" outlineLevel="0" collapsed="false">
      <c r="A19" s="0" t="s">
        <v>153</v>
      </c>
      <c r="C19" s="0" t="n">
        <f aca="false">C15+C16+C17+C18</f>
        <v>-14.857493604</v>
      </c>
      <c r="D19" s="0" t="n">
        <f aca="false">D15+D16+D17+D18</f>
        <v>-12.6313767744</v>
      </c>
      <c r="E19" s="0" t="n">
        <f aca="false">E15+E16+E17+E18</f>
        <v>-9.316158050496</v>
      </c>
      <c r="F19" s="0" t="n">
        <f aca="false">F15+F16+F17+F18</f>
        <v>-5.28242105987904</v>
      </c>
      <c r="G19" s="0" t="n">
        <f aca="false">G15+G16+G17+G18</f>
        <v>-0.201602571328433</v>
      </c>
      <c r="H19" s="0" t="n">
        <f aca="false">H15+H16+H17+H18</f>
        <v>4.66619579058871</v>
      </c>
      <c r="I19" s="0" t="n">
        <f aca="false">I15+I16+I17+I18</f>
        <v>8.18518763767187</v>
      </c>
      <c r="J19" s="0" t="n">
        <f aca="false">J15+J16+J17+J18</f>
        <v>10.061093696553</v>
      </c>
      <c r="K19" s="0" t="n">
        <f aca="false">K15+K16+K17+K18</f>
        <v>11.0243460216719</v>
      </c>
      <c r="L19" s="0" t="n">
        <f aca="false">L15+L16+L17+L18</f>
        <v>12.0974243173901</v>
      </c>
    </row>
    <row r="20" customFormat="false" ht="15" hidden="false" customHeight="false" outlineLevel="0" collapsed="false">
      <c r="A20" s="0" t="s">
        <v>154</v>
      </c>
      <c r="C20" s="0" t="n">
        <f aca="false">1/(1+$B$27/100)^C4</f>
        <v>0.851063829787234</v>
      </c>
      <c r="D20" s="0" t="n">
        <f aca="false">1/(1+$B$27/100)^D4</f>
        <v>0.724309642372114</v>
      </c>
      <c r="E20" s="0" t="n">
        <f aca="false">1/(1+$B$27/100)^E4</f>
        <v>0.616433738189033</v>
      </c>
      <c r="F20" s="0" t="n">
        <f aca="false">1/(1+$B$27/100)^F4</f>
        <v>0.52462445803322</v>
      </c>
      <c r="G20" s="0" t="n">
        <f aca="false">1/(1+$B$27/100)^G4</f>
        <v>0.446488900453804</v>
      </c>
      <c r="H20" s="0" t="n">
        <f aca="false">1/(1+$B$27/100)^H4</f>
        <v>0.379990553577706</v>
      </c>
      <c r="I20" s="0" t="n">
        <f aca="false">1/(1+$B$27/100)^I4</f>
        <v>0.323396215810813</v>
      </c>
      <c r="J20" s="0" t="n">
        <f aca="false">1/(1+$B$27/100)^J4</f>
        <v>0.27523082196665</v>
      </c>
      <c r="K20" s="0" t="n">
        <f aca="false">1/(1+$B$27/100)^K4</f>
        <v>0.234238997418425</v>
      </c>
      <c r="L20" s="0" t="n">
        <f aca="false">1/(1+$B$27/100)^L4</f>
        <v>0.199352338228447</v>
      </c>
    </row>
    <row r="21" customFormat="false" ht="15" hidden="false" customHeight="false" outlineLevel="0" collapsed="false">
      <c r="A21" s="0" t="s">
        <v>155</v>
      </c>
      <c r="C21" s="0" t="n">
        <f aca="false">C19*C20</f>
        <v>-12.6446754076596</v>
      </c>
      <c r="D21" s="0" t="n">
        <f aca="false">D19*D20</f>
        <v>-9.14902799413309</v>
      </c>
      <c r="E21" s="0" t="n">
        <f aca="false">E19*E20</f>
        <v>-5.74279413262711</v>
      </c>
      <c r="F21" s="0" t="n">
        <f aca="false">F19*F20</f>
        <v>-2.77128728564231</v>
      </c>
      <c r="G21" s="0" t="n">
        <f aca="false">G19*G20</f>
        <v>-0.0900133104010918</v>
      </c>
      <c r="H21" s="0" t="n">
        <f aca="false">H19*H20</f>
        <v>1.77311032156776</v>
      </c>
      <c r="I21" s="0" t="n">
        <f aca="false">I19*I20</f>
        <v>2.64705870772453</v>
      </c>
      <c r="J21" s="0" t="n">
        <f aca="false">J19*J20</f>
        <v>2.76912308798575</v>
      </c>
      <c r="K21" s="0" t="n">
        <f aca="false">K19*K20</f>
        <v>2.58233175931023</v>
      </c>
      <c r="L21" s="0" t="n">
        <f aca="false">L19*L20</f>
        <v>2.4116498242134</v>
      </c>
    </row>
    <row r="23" customFormat="false" ht="15" hidden="false" customHeight="false" outlineLevel="0" collapsed="false">
      <c r="A23" s="0" t="s">
        <v>131</v>
      </c>
      <c r="C23" s="4" t="n">
        <f aca="false">Assumptions!C30</f>
        <v>1.1</v>
      </c>
      <c r="D23" s="4" t="n">
        <f aca="false">Assumptions!D30</f>
        <v>1.1</v>
      </c>
      <c r="E23" s="4" t="n">
        <f aca="false">Assumptions!E30</f>
        <v>1.1</v>
      </c>
      <c r="F23" s="4" t="n">
        <f aca="false">Assumptions!F30</f>
        <v>1</v>
      </c>
      <c r="G23" s="4" t="n">
        <f aca="false">Assumptions!G30</f>
        <v>1</v>
      </c>
      <c r="H23" s="4" t="n">
        <f aca="false">Assumptions!H30</f>
        <v>1</v>
      </c>
      <c r="I23" s="4" t="n">
        <f aca="false">Assumptions!I30</f>
        <v>1</v>
      </c>
      <c r="J23" s="4" t="n">
        <f aca="false">Assumptions!J30</f>
        <v>1</v>
      </c>
      <c r="K23" s="4" t="n">
        <f aca="false">Assumptions!K30</f>
        <v>1</v>
      </c>
      <c r="L23" s="4" t="n">
        <f aca="false">Assumptions!L30</f>
        <v>1</v>
      </c>
    </row>
    <row r="24" customFormat="false" ht="15" hidden="false" customHeight="false" outlineLevel="0" collapsed="false">
      <c r="A24" s="0" t="s">
        <v>156</v>
      </c>
      <c r="C24" s="0" t="n">
        <f aca="false">-C6*C23/100</f>
        <v>-1.423618284</v>
      </c>
      <c r="D24" s="0" t="n">
        <f aca="false">-D6*D23/100</f>
        <v>-1.5659801124</v>
      </c>
      <c r="E24" s="0" t="n">
        <f aca="false">-E6*E23/100</f>
        <v>-1.753897725888</v>
      </c>
      <c r="F24" s="0" t="n">
        <f aca="false">-F6*F23/100</f>
        <v>-1.7379532011072</v>
      </c>
      <c r="G24" s="0" t="n">
        <f aca="false">-G6*G23/100</f>
        <v>-1.87698945719578</v>
      </c>
      <c r="H24" s="0" t="n">
        <f aca="false">-H6*H23/100</f>
        <v>-2.00837871919948</v>
      </c>
      <c r="I24" s="0" t="n">
        <f aca="false">-I6*I23/100</f>
        <v>-2.12888144235145</v>
      </c>
      <c r="J24" s="0" t="n">
        <f aca="false">-J6*J23/100</f>
        <v>-2.23532551446902</v>
      </c>
      <c r="K24" s="0" t="n">
        <f aca="false">-K6*K23/100</f>
        <v>-2.33591516262013</v>
      </c>
      <c r="L24" s="0" t="n">
        <f aca="false">-L6*L23/100</f>
        <v>-2.42935176912493</v>
      </c>
    </row>
    <row r="26" customFormat="false" ht="15" hidden="false" customHeight="false" outlineLevel="0" collapsed="false">
      <c r="A26" s="2" t="s">
        <v>157</v>
      </c>
    </row>
    <row r="27" customFormat="false" ht="15" hidden="false" customHeight="false" outlineLevel="0" collapsed="false">
      <c r="A27" s="0" t="s">
        <v>135</v>
      </c>
      <c r="B27" s="4" t="n">
        <f aca="false">Assumptions!$B$34</f>
        <v>17.5</v>
      </c>
    </row>
    <row r="28" customFormat="false" ht="15" hidden="false" customHeight="false" outlineLevel="0" collapsed="false">
      <c r="A28" s="0" t="s">
        <v>136</v>
      </c>
      <c r="B28" s="4" t="n">
        <f aca="false">Assumptions!$B$35</f>
        <v>2.5</v>
      </c>
    </row>
    <row r="29" customFormat="false" ht="15" hidden="false" customHeight="false" outlineLevel="0" collapsed="false">
      <c r="A29" s="0" t="s">
        <v>137</v>
      </c>
      <c r="B29" s="4" t="n">
        <f aca="false">Assumptions!$B$36</f>
        <v>12</v>
      </c>
    </row>
    <row r="30" customFormat="false" ht="15" hidden="false" customHeight="false" outlineLevel="0" collapsed="false">
      <c r="A30" s="0" t="s">
        <v>158</v>
      </c>
      <c r="B30" s="0" t="n">
        <f aca="false">SUM(C21:L21)</f>
        <v>-18.2145244296615</v>
      </c>
    </row>
    <row r="31" customFormat="false" ht="15" hidden="false" customHeight="false" outlineLevel="0" collapsed="false">
      <c r="A31" s="0" t="s">
        <v>159</v>
      </c>
      <c r="B31" s="0" t="n">
        <f aca="false">L19</f>
        <v>12.0974243173901</v>
      </c>
    </row>
    <row r="32" customFormat="false" ht="15" hidden="false" customHeight="false" outlineLevel="0" collapsed="false">
      <c r="A32" s="0" t="s">
        <v>160</v>
      </c>
      <c r="B32" s="0" t="n">
        <f aca="false">IF(B27&gt;B28,B31*(1+B28/100)/((B27-B28)/100),B31*B29)</f>
        <v>82.6657328354992</v>
      </c>
    </row>
    <row r="33" customFormat="false" ht="15" hidden="false" customHeight="false" outlineLevel="0" collapsed="false">
      <c r="A33" s="0" t="s">
        <v>161</v>
      </c>
      <c r="B33" s="0" t="n">
        <f aca="false">B31*B29</f>
        <v>145.169091808682</v>
      </c>
    </row>
    <row r="34" customFormat="false" ht="15" hidden="false" customHeight="false" outlineLevel="0" collapsed="false">
      <c r="A34" s="0" t="s">
        <v>162</v>
      </c>
      <c r="B34" s="0" t="n">
        <f aca="false">MAX(0,MIN(B32,B33))</f>
        <v>82.6657328354992</v>
      </c>
    </row>
    <row r="35" customFormat="false" ht="15" hidden="false" customHeight="false" outlineLevel="0" collapsed="false">
      <c r="A35" s="0" t="s">
        <v>163</v>
      </c>
      <c r="B35" s="0" t="n">
        <f aca="false">B34/(1+B27/100)^L4</f>
        <v>16.4796071321249</v>
      </c>
    </row>
    <row r="36" customFormat="false" ht="15" hidden="false" customHeight="false" outlineLevel="0" collapsed="false">
      <c r="A36" s="0" t="s">
        <v>164</v>
      </c>
      <c r="B36" s="0" t="n">
        <f aca="false">B30+B35</f>
        <v>-1.73491729753663</v>
      </c>
    </row>
    <row r="37" customFormat="false" ht="15" hidden="false" customHeight="false" outlineLevel="0" collapsed="false">
      <c r="A37" s="0" t="s">
        <v>165</v>
      </c>
      <c r="B37" s="0" t="n">
        <f aca="false">B36+Assumptions!$B$5-Assumptions!$B$4</f>
        <v>52.4110827024634</v>
      </c>
    </row>
    <row r="38" customFormat="false" ht="15" hidden="false" customHeight="false" outlineLevel="0" collapsed="false">
      <c r="A38" s="0" t="s">
        <v>166</v>
      </c>
      <c r="B38" s="0" t="n">
        <f aca="false">B37/Assumptions!$B$3*Assumptions!$B$10</f>
        <v>0.415502601911093</v>
      </c>
    </row>
    <row r="39" customFormat="false" ht="15" hidden="false" customHeight="false" outlineLevel="0" collapsed="false">
      <c r="A39" s="0" t="s">
        <v>167</v>
      </c>
      <c r="B39" s="4" t="n">
        <f aca="false">B38/Assumptions!$B$2-1</f>
        <v>-0.687592028638276</v>
      </c>
    </row>
    <row r="41" customFormat="false" ht="15" hidden="false" customHeight="false" outlineLevel="0" collapsed="false">
      <c r="A41" s="0" t="s">
        <v>168</v>
      </c>
      <c r="B41" s="0" t="n">
        <f aca="false">SUMPRODUCT(-C10:L10/(1+$B$27/100)^C4:L4)</f>
        <v>41.9185312541489</v>
      </c>
    </row>
    <row r="42" customFormat="false" ht="15" hidden="false" customHeight="false" outlineLevel="0" collapsed="false">
      <c r="A42" s="0" t="s">
        <v>169</v>
      </c>
      <c r="B42" s="0" t="n">
        <f aca="false">IF(B27&gt;B28,-L10*(1+B28/100)/((B27-B28)/100),-L10*20)/(1+B27/100)^L4</f>
        <v>14.5611951303377</v>
      </c>
    </row>
    <row r="43" customFormat="false" ht="15" hidden="false" customHeight="false" outlineLevel="0" collapsed="false">
      <c r="A43" s="0" t="s">
        <v>170</v>
      </c>
      <c r="B43" s="0" t="n">
        <f aca="false">(B37+B41+B42)/Assumptions!$B$3*Assumptions!$B$10</f>
        <v>0.863260443534117</v>
      </c>
    </row>
    <row r="45" customFormat="false" ht="15" hidden="false" customHeight="false" outlineLevel="0" collapsed="false">
      <c r="A45" s="0" t="s">
        <v>111</v>
      </c>
      <c r="B45" s="4" t="n">
        <f aca="false">Assumptions!$B$6</f>
        <v>15</v>
      </c>
    </row>
    <row r="46" customFormat="false" ht="15" hidden="false" customHeight="false" outlineLevel="0" collapsed="false">
      <c r="A46" s="0" t="s">
        <v>171</v>
      </c>
      <c r="B46" s="0" t="n">
        <f aca="false">MAX(0,MIN(IF(B45&gt;B28,B31*(1+B28/100)/((B45-B28)/100),B31*B29),B31*B29))</f>
        <v>99.1988794025991</v>
      </c>
    </row>
    <row r="47" customFormat="false" ht="15" hidden="false" customHeight="false" outlineLevel="0" collapsed="false">
      <c r="A47" s="0" t="s">
        <v>172</v>
      </c>
      <c r="B47" s="0" t="n">
        <f aca="false">(SUMPRODUCT(C19:L19/(1+B45/100)^C4:L4)+B46/(1+B45/100)^L4+Assumptions!$B$5-Assumptions!$B$4)/Assumptions!$B$3*Assumptions!$B$10</f>
        <v>0.487218760780908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174</v>
      </c>
    </row>
    <row r="3" customFormat="false" ht="15" hidden="false" customHeight="false" outlineLevel="0" collapsed="false">
      <c r="A3" s="0" t="s">
        <v>143</v>
      </c>
      <c r="B3" s="0" t="s">
        <v>105</v>
      </c>
      <c r="C3" s="2" t="s">
        <v>118</v>
      </c>
      <c r="D3" s="2" t="s">
        <v>119</v>
      </c>
      <c r="E3" s="2" t="s">
        <v>120</v>
      </c>
      <c r="F3" s="2" t="s">
        <v>121</v>
      </c>
      <c r="G3" s="2" t="s">
        <v>122</v>
      </c>
      <c r="H3" s="2" t="s">
        <v>123</v>
      </c>
      <c r="I3" s="2" t="s">
        <v>124</v>
      </c>
      <c r="J3" s="2" t="s">
        <v>125</v>
      </c>
      <c r="K3" s="2" t="s">
        <v>126</v>
      </c>
      <c r="L3" s="2" t="s">
        <v>127</v>
      </c>
    </row>
    <row r="4" customFormat="false" ht="15" hidden="false" customHeight="false" outlineLevel="0" collapsed="false">
      <c r="A4" s="0" t="s">
        <v>144</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128</v>
      </c>
      <c r="C5" s="4" t="n">
        <f aca="false">Assumptions!C41</f>
        <v>11</v>
      </c>
      <c r="D5" s="4" t="n">
        <f aca="false">Assumptions!D41</f>
        <v>16</v>
      </c>
      <c r="E5" s="4" t="n">
        <f aca="false">Assumptions!E41</f>
        <v>18</v>
      </c>
      <c r="F5" s="4" t="n">
        <f aca="false">Assumptions!F41</f>
        <v>16</v>
      </c>
      <c r="G5" s="4" t="n">
        <f aca="false">Assumptions!G41</f>
        <v>14</v>
      </c>
      <c r="H5" s="4" t="n">
        <f aca="false">Assumptions!H41</f>
        <v>12</v>
      </c>
      <c r="I5" s="4" t="n">
        <f aca="false">Assumptions!I41</f>
        <v>10</v>
      </c>
      <c r="J5" s="4" t="n">
        <f aca="false">Assumptions!J41</f>
        <v>8</v>
      </c>
      <c r="K5" s="4" t="n">
        <f aca="false">Assumptions!K41</f>
        <v>6.5</v>
      </c>
      <c r="L5" s="4" t="n">
        <f aca="false">Assumptions!L41</f>
        <v>5.5</v>
      </c>
    </row>
    <row r="6" customFormat="false" ht="15" hidden="false" customHeight="false" outlineLevel="0" collapsed="false">
      <c r="A6" s="0" t="s">
        <v>59</v>
      </c>
      <c r="B6" s="3" t="n">
        <v>119.391</v>
      </c>
      <c r="C6" s="0" t="n">
        <f aca="false">B6*(1+C5/100)</f>
        <v>132.52401</v>
      </c>
      <c r="D6" s="0" t="n">
        <f aca="false">C6*(1+D5/100)</f>
        <v>153.7278516</v>
      </c>
      <c r="E6" s="0" t="n">
        <f aca="false">D6*(1+E5/100)</f>
        <v>181.398864888</v>
      </c>
      <c r="F6" s="0" t="n">
        <f aca="false">E6*(1+F5/100)</f>
        <v>210.42268327008</v>
      </c>
      <c r="G6" s="0" t="n">
        <f aca="false">F6*(1+G5/100)</f>
        <v>239.881858927891</v>
      </c>
      <c r="H6" s="0" t="n">
        <f aca="false">G6*(1+H5/100)</f>
        <v>268.667681999238</v>
      </c>
      <c r="I6" s="0" t="n">
        <f aca="false">H6*(1+I5/100)</f>
        <v>295.534450199162</v>
      </c>
      <c r="J6" s="0" t="n">
        <f aca="false">I6*(1+J5/100)</f>
        <v>319.177206215095</v>
      </c>
      <c r="K6" s="0" t="n">
        <f aca="false">J6*(1+K5/100)</f>
        <v>339.923724619076</v>
      </c>
      <c r="L6" s="0" t="n">
        <f aca="false">K6*(1+L5/100)</f>
        <v>358.619529473125</v>
      </c>
    </row>
    <row r="7" customFormat="false" ht="15" hidden="false" customHeight="false" outlineLevel="0" collapsed="false">
      <c r="A7" s="0" t="s">
        <v>129</v>
      </c>
      <c r="C7" s="4" t="n">
        <f aca="false">Assumptions!C42</f>
        <v>5</v>
      </c>
      <c r="D7" s="4" t="n">
        <f aca="false">Assumptions!D42</f>
        <v>9</v>
      </c>
      <c r="E7" s="4" t="n">
        <f aca="false">Assumptions!E42</f>
        <v>13</v>
      </c>
      <c r="F7" s="4" t="n">
        <f aca="false">Assumptions!F42</f>
        <v>17</v>
      </c>
      <c r="G7" s="4" t="n">
        <f aca="false">Assumptions!G42</f>
        <v>20.5</v>
      </c>
      <c r="H7" s="4" t="n">
        <f aca="false">Assumptions!H42</f>
        <v>23</v>
      </c>
      <c r="I7" s="4" t="n">
        <f aca="false">Assumptions!I42</f>
        <v>25</v>
      </c>
      <c r="J7" s="4" t="n">
        <f aca="false">Assumptions!J42</f>
        <v>26</v>
      </c>
      <c r="K7" s="4" t="n">
        <f aca="false">Assumptions!K42</f>
        <v>27</v>
      </c>
      <c r="L7" s="4" t="n">
        <f aca="false">Assumptions!L42</f>
        <v>27.5</v>
      </c>
    </row>
    <row r="8" customFormat="false" ht="15" hidden="false" customHeight="false" outlineLevel="0" collapsed="false">
      <c r="A8" s="0" t="s">
        <v>65</v>
      </c>
      <c r="C8" s="0" t="n">
        <f aca="false">C6*C7/100</f>
        <v>6.6262005</v>
      </c>
      <c r="D8" s="0" t="n">
        <f aca="false">D6*D7/100</f>
        <v>13.835506644</v>
      </c>
      <c r="E8" s="0" t="n">
        <f aca="false">E6*E7/100</f>
        <v>23.58185243544</v>
      </c>
      <c r="F8" s="0" t="n">
        <f aca="false">F6*F7/100</f>
        <v>35.7718561559136</v>
      </c>
      <c r="G8" s="0" t="n">
        <f aca="false">G6*G7/100</f>
        <v>49.1757810802177</v>
      </c>
      <c r="H8" s="0" t="n">
        <f aca="false">H6*H7/100</f>
        <v>61.7935668598248</v>
      </c>
      <c r="I8" s="0" t="n">
        <f aca="false">I6*I7/100</f>
        <v>73.8836125497905</v>
      </c>
      <c r="J8" s="0" t="n">
        <f aca="false">J6*J7/100</f>
        <v>82.9860736159247</v>
      </c>
      <c r="K8" s="0" t="n">
        <f aca="false">K6*K7/100</f>
        <v>91.7794056471506</v>
      </c>
      <c r="L8" s="0" t="n">
        <f aca="false">L6*L7/100</f>
        <v>98.6203706051095</v>
      </c>
    </row>
    <row r="9" customFormat="false" ht="15" hidden="false" customHeight="false" outlineLevel="0" collapsed="false">
      <c r="A9" s="0" t="s">
        <v>130</v>
      </c>
      <c r="C9" s="4" t="n">
        <f aca="false">Assumptions!C43</f>
        <v>6</v>
      </c>
      <c r="D9" s="4" t="n">
        <f aca="false">Assumptions!D43</f>
        <v>5.7</v>
      </c>
      <c r="E9" s="4" t="n">
        <f aca="false">Assumptions!E43</f>
        <v>5.4</v>
      </c>
      <c r="F9" s="4" t="n">
        <f aca="false">Assumptions!F43</f>
        <v>5.1</v>
      </c>
      <c r="G9" s="4" t="n">
        <f aca="false">Assumptions!G43</f>
        <v>4.8</v>
      </c>
      <c r="H9" s="4" t="n">
        <f aca="false">Assumptions!H43</f>
        <v>4.5</v>
      </c>
      <c r="I9" s="4" t="n">
        <f aca="false">Assumptions!I43</f>
        <v>4.3</v>
      </c>
      <c r="J9" s="4" t="n">
        <f aca="false">Assumptions!J43</f>
        <v>4.1</v>
      </c>
      <c r="K9" s="4" t="n">
        <f aca="false">Assumptions!K43</f>
        <v>4</v>
      </c>
      <c r="L9" s="4" t="n">
        <f aca="false">Assumptions!L43</f>
        <v>4</v>
      </c>
    </row>
    <row r="10" customFormat="false" ht="15" hidden="false" customHeight="false" outlineLevel="0" collapsed="false">
      <c r="A10" s="0" t="s">
        <v>145</v>
      </c>
      <c r="C10" s="0" t="n">
        <f aca="false">-C6*C9/100</f>
        <v>-7.9514406</v>
      </c>
      <c r="D10" s="0" t="n">
        <f aca="false">-D6*D9/100</f>
        <v>-8.7624875412</v>
      </c>
      <c r="E10" s="0" t="n">
        <f aca="false">-E6*E9/100</f>
        <v>-9.795538703952</v>
      </c>
      <c r="F10" s="0" t="n">
        <f aca="false">-F6*F9/100</f>
        <v>-10.7315568467741</v>
      </c>
      <c r="G10" s="0" t="n">
        <f aca="false">-G6*G9/100</f>
        <v>-11.5143292285388</v>
      </c>
      <c r="H10" s="0" t="n">
        <f aca="false">-H6*H9/100</f>
        <v>-12.0900456899657</v>
      </c>
      <c r="I10" s="0" t="n">
        <f aca="false">-I6*I9/100</f>
        <v>-12.707981358564</v>
      </c>
      <c r="J10" s="0" t="n">
        <f aca="false">-J6*J9/100</f>
        <v>-13.0862654548189</v>
      </c>
      <c r="K10" s="0" t="n">
        <f aca="false">-K6*K9/100</f>
        <v>-13.596948984763</v>
      </c>
      <c r="L10" s="0" t="n">
        <f aca="false">-L6*L9/100</f>
        <v>-14.344781178925</v>
      </c>
    </row>
    <row r="11" customFormat="false" ht="15" hidden="false" customHeight="false" outlineLevel="0" collapsed="false">
      <c r="A11" s="0" t="s">
        <v>146</v>
      </c>
      <c r="C11" s="0" t="n">
        <f aca="false">C8+C10+C24</f>
        <v>-2.78300421</v>
      </c>
      <c r="D11" s="0" t="n">
        <f aca="false">D8+D10+D24</f>
        <v>3.5357405868</v>
      </c>
      <c r="E11" s="0" t="n">
        <f aca="false">E8+E10+E24</f>
        <v>11.972325082608</v>
      </c>
      <c r="F11" s="0" t="n">
        <f aca="false">F8+F10+F24</f>
        <v>22.9360724764387</v>
      </c>
      <c r="G11" s="0" t="n">
        <f aca="false">G8+G10+G24</f>
        <v>35.2626332624</v>
      </c>
      <c r="H11" s="0" t="n">
        <f aca="false">H8+H10+H24</f>
        <v>47.0168443498667</v>
      </c>
      <c r="I11" s="0" t="n">
        <f aca="false">I8+I10+I24</f>
        <v>58.2202866892349</v>
      </c>
      <c r="J11" s="0" t="n">
        <f aca="false">J8+J10+J24</f>
        <v>66.7080360989549</v>
      </c>
      <c r="K11" s="0" t="n">
        <f aca="false">K8+K10+K24</f>
        <v>74.7832194161967</v>
      </c>
      <c r="L11" s="0" t="n">
        <f aca="false">L8+L10+L24</f>
        <v>80.6893941314532</v>
      </c>
    </row>
    <row r="12" customFormat="false" ht="15" hidden="false" customHeight="false" outlineLevel="0" collapsed="false">
      <c r="A12" s="0" t="s">
        <v>147</v>
      </c>
      <c r="C12" s="4" t="n">
        <f aca="false">-C6*Assumptions!C45/100</f>
        <v>-16.56550125</v>
      </c>
      <c r="D12" s="4" t="n">
        <f aca="false">-D6*Assumptions!D45/100</f>
        <v>-17.678702934</v>
      </c>
      <c r="E12" s="4" t="n">
        <f aca="false">-E6*Assumptions!E45/100</f>
        <v>-19.04688081324</v>
      </c>
      <c r="F12" s="4" t="n">
        <f aca="false">-F6*Assumptions!F45/100</f>
        <v>-19.9901549106576</v>
      </c>
      <c r="G12" s="4" t="n">
        <f aca="false">-G6*Assumptions!G45/100</f>
        <v>-21.5893673035102</v>
      </c>
      <c r="H12" s="4" t="n">
        <f aca="false">-H6*Assumptions!H45/100</f>
        <v>-22.8367529699352</v>
      </c>
      <c r="I12" s="4" t="n">
        <f aca="false">-I6*Assumptions!I45/100</f>
        <v>-23.642756015933</v>
      </c>
      <c r="J12" s="4" t="n">
        <f aca="false">-J6*Assumptions!J45/100</f>
        <v>-25.5341764972076</v>
      </c>
      <c r="K12" s="4" t="n">
        <f aca="false">-K6*Assumptions!K45/100</f>
        <v>-27.1938979695261</v>
      </c>
      <c r="L12" s="4" t="n">
        <f aca="false">-L6*Assumptions!L45/100</f>
        <v>-28.68956235785</v>
      </c>
    </row>
    <row r="13" customFormat="false" ht="15" hidden="false" customHeight="false" outlineLevel="0" collapsed="false">
      <c r="A13" s="0" t="s">
        <v>148</v>
      </c>
      <c r="C13" s="0" t="n">
        <f aca="false">C11+C12</f>
        <v>-19.34850546</v>
      </c>
      <c r="D13" s="0" t="n">
        <f aca="false">D11+D12</f>
        <v>-14.1429623472</v>
      </c>
      <c r="E13" s="0" t="n">
        <f aca="false">E11+E12</f>
        <v>-7.074555730632</v>
      </c>
      <c r="F13" s="0" t="n">
        <f aca="false">F11+F12</f>
        <v>2.94591756578112</v>
      </c>
      <c r="G13" s="0" t="n">
        <f aca="false">G11+G12</f>
        <v>13.6732659588898</v>
      </c>
      <c r="H13" s="0" t="n">
        <f aca="false">H11+H12</f>
        <v>24.1800913799314</v>
      </c>
      <c r="I13" s="0" t="n">
        <f aca="false">I11+I12</f>
        <v>34.577530673302</v>
      </c>
      <c r="J13" s="0" t="n">
        <f aca="false">J11+J12</f>
        <v>41.1738596017473</v>
      </c>
      <c r="K13" s="0" t="n">
        <f aca="false">K11+K12</f>
        <v>47.5893214466707</v>
      </c>
      <c r="L13" s="0" t="n">
        <f aca="false">L11+L12</f>
        <v>51.9998317736032</v>
      </c>
    </row>
    <row r="14" customFormat="false" ht="15" hidden="false" customHeight="false" outlineLevel="0" collapsed="false">
      <c r="A14" s="0" t="s">
        <v>134</v>
      </c>
      <c r="C14" s="4" t="n">
        <f aca="false">Assumptions!C47</f>
        <v>0</v>
      </c>
      <c r="D14" s="4" t="n">
        <f aca="false">Assumptions!D47</f>
        <v>0</v>
      </c>
      <c r="E14" s="4" t="n">
        <f aca="false">Assumptions!E47</f>
        <v>0</v>
      </c>
      <c r="F14" s="4" t="n">
        <f aca="false">Assumptions!F47</f>
        <v>0</v>
      </c>
      <c r="G14" s="4" t="n">
        <f aca="false">Assumptions!G47</f>
        <v>0</v>
      </c>
      <c r="H14" s="4" t="n">
        <f aca="false">Assumptions!H47</f>
        <v>5</v>
      </c>
      <c r="I14" s="4" t="n">
        <f aca="false">Assumptions!I47</f>
        <v>12</v>
      </c>
      <c r="J14" s="4" t="n">
        <f aca="false">Assumptions!J47</f>
        <v>18</v>
      </c>
      <c r="K14" s="4" t="n">
        <f aca="false">Assumptions!K47</f>
        <v>24</v>
      </c>
      <c r="L14" s="4" t="n">
        <f aca="false">Assumptions!L47</f>
        <v>28</v>
      </c>
    </row>
    <row r="15" customFormat="false" ht="15" hidden="false" customHeight="false" outlineLevel="0" collapsed="false">
      <c r="A15" s="0" t="s">
        <v>149</v>
      </c>
      <c r="C15" s="0" t="n">
        <f aca="false">C13-MAX(0,C13)*C14/100</f>
        <v>-19.34850546</v>
      </c>
      <c r="D15" s="0" t="n">
        <f aca="false">D13-MAX(0,D13)*D14/100</f>
        <v>-14.1429623472</v>
      </c>
      <c r="E15" s="0" t="n">
        <f aca="false">E13-MAX(0,E13)*E14/100</f>
        <v>-7.074555730632</v>
      </c>
      <c r="F15" s="0" t="n">
        <f aca="false">F13-MAX(0,F13)*F14/100</f>
        <v>2.94591756578112</v>
      </c>
      <c r="G15" s="0" t="n">
        <f aca="false">G13-MAX(0,G13)*G14/100</f>
        <v>13.6732659588898</v>
      </c>
      <c r="H15" s="0" t="n">
        <f aca="false">H13-MAX(0,H13)*H14/100</f>
        <v>22.9710868109349</v>
      </c>
      <c r="I15" s="0" t="n">
        <f aca="false">I13-MAX(0,I13)*I14/100</f>
        <v>30.4282269925057</v>
      </c>
      <c r="J15" s="0" t="n">
        <f aca="false">J13-MAX(0,J13)*J14/100</f>
        <v>33.7625648734328</v>
      </c>
      <c r="K15" s="0" t="n">
        <f aca="false">K13-MAX(0,K13)*K14/100</f>
        <v>36.1678842994697</v>
      </c>
      <c r="L15" s="0" t="n">
        <f aca="false">L13-MAX(0,L13)*L14/100</f>
        <v>37.4398788769943</v>
      </c>
    </row>
    <row r="16" customFormat="false" ht="15" hidden="false" customHeight="false" outlineLevel="0" collapsed="false">
      <c r="A16" s="0" t="s">
        <v>150</v>
      </c>
      <c r="C16" s="0" t="n">
        <f aca="false">-C12</f>
        <v>16.56550125</v>
      </c>
      <c r="D16" s="0" t="n">
        <f aca="false">-D12</f>
        <v>17.678702934</v>
      </c>
      <c r="E16" s="0" t="n">
        <f aca="false">-E12</f>
        <v>19.04688081324</v>
      </c>
      <c r="F16" s="0" t="n">
        <f aca="false">-F12</f>
        <v>19.9901549106576</v>
      </c>
      <c r="G16" s="0" t="n">
        <f aca="false">-G12</f>
        <v>21.5893673035102</v>
      </c>
      <c r="H16" s="0" t="n">
        <f aca="false">-H12</f>
        <v>22.8367529699352</v>
      </c>
      <c r="I16" s="0" t="n">
        <f aca="false">-I12</f>
        <v>23.642756015933</v>
      </c>
      <c r="J16" s="0" t="n">
        <f aca="false">-J12</f>
        <v>25.5341764972076</v>
      </c>
      <c r="K16" s="0" t="n">
        <f aca="false">-K12</f>
        <v>27.1938979695261</v>
      </c>
      <c r="L16" s="0" t="n">
        <f aca="false">-L12</f>
        <v>28.68956235785</v>
      </c>
    </row>
    <row r="17" customFormat="false" ht="15" hidden="false" customHeight="false" outlineLevel="0" collapsed="false">
      <c r="A17" s="0" t="s">
        <v>151</v>
      </c>
      <c r="C17" s="4" t="n">
        <f aca="false">-C6*Assumptions!C46/100</f>
        <v>-11.26454085</v>
      </c>
      <c r="D17" s="4" t="n">
        <f aca="false">-D6*Assumptions!D46/100</f>
        <v>-12.298228128</v>
      </c>
      <c r="E17" s="4" t="n">
        <f aca="false">-E6*Assumptions!E46/100</f>
        <v>-14.149111461264</v>
      </c>
      <c r="F17" s="4" t="n">
        <f aca="false">-F6*Assumptions!F46/100</f>
        <v>-15.781701245256</v>
      </c>
      <c r="G17" s="4" t="n">
        <f aca="false">-G6*Assumptions!G46/100</f>
        <v>-17.2714938428082</v>
      </c>
      <c r="H17" s="4" t="n">
        <f aca="false">-H6*Assumptions!H46/100</f>
        <v>-18.8067377399467</v>
      </c>
      <c r="I17" s="4" t="n">
        <f aca="false">-I6*Assumptions!I46/100</f>
        <v>-20.6874115139413</v>
      </c>
      <c r="J17" s="4" t="n">
        <f aca="false">-J6*Assumptions!J46/100</f>
        <v>-22.3424044350567</v>
      </c>
      <c r="K17" s="4" t="n">
        <f aca="false">-K6*Assumptions!K46/100</f>
        <v>-23.7946607233353</v>
      </c>
      <c r="L17" s="4" t="n">
        <f aca="false">-L6*Assumptions!L46/100</f>
        <v>-25.1033670631188</v>
      </c>
    </row>
    <row r="18" customFormat="false" ht="15" hidden="false" customHeight="false" outlineLevel="0" collapsed="false">
      <c r="A18" s="0" t="s">
        <v>152</v>
      </c>
      <c r="C18" s="4" t="n">
        <f aca="false">(C6-B6)*Assumptions!$B$51/100</f>
        <v>1.313301</v>
      </c>
      <c r="D18" s="4" t="n">
        <f aca="false">(D6-C6)*Assumptions!$B$51/100</f>
        <v>2.12038416</v>
      </c>
      <c r="E18" s="4" t="n">
        <f aca="false">(E6-D6)*Assumptions!$B$51/100</f>
        <v>2.7671013288</v>
      </c>
      <c r="F18" s="4" t="n">
        <f aca="false">(F6-E6)*Assumptions!$B$51/100</f>
        <v>2.902381838208</v>
      </c>
      <c r="G18" s="4" t="n">
        <f aca="false">(G6-F6)*Assumptions!$B$51/100</f>
        <v>2.94591756578112</v>
      </c>
      <c r="H18" s="4" t="n">
        <f aca="false">(H6-G6)*Assumptions!$B$51/100</f>
        <v>2.8785823071347</v>
      </c>
      <c r="I18" s="4" t="n">
        <f aca="false">(I6-H6)*Assumptions!$B$51/100</f>
        <v>2.68667681999239</v>
      </c>
      <c r="J18" s="4" t="n">
        <f aca="false">(J6-I6)*Assumptions!$B$51/100</f>
        <v>2.3642756015933</v>
      </c>
      <c r="K18" s="4" t="n">
        <f aca="false">(K6-J6)*Assumptions!$B$51/100</f>
        <v>2.07465184039812</v>
      </c>
      <c r="L18" s="4" t="n">
        <f aca="false">(L6-K6)*Assumptions!$B$51/100</f>
        <v>1.86958048540492</v>
      </c>
    </row>
    <row r="19" customFormat="false" ht="15" hidden="false" customHeight="false" outlineLevel="0" collapsed="false">
      <c r="A19" s="0" t="s">
        <v>153</v>
      </c>
      <c r="C19" s="0" t="n">
        <f aca="false">C15+C16+C17+C18</f>
        <v>-12.73424406</v>
      </c>
      <c r="D19" s="0" t="n">
        <f aca="false">D15+D16+D17+D18</f>
        <v>-6.6421033812</v>
      </c>
      <c r="E19" s="0" t="n">
        <f aca="false">E15+E16+E17+E18</f>
        <v>0.590314950144001</v>
      </c>
      <c r="F19" s="0" t="n">
        <f aca="false">F15+F16+F17+F18</f>
        <v>10.0567530693907</v>
      </c>
      <c r="G19" s="0" t="n">
        <f aca="false">G15+G16+G17+G18</f>
        <v>20.937056985373</v>
      </c>
      <c r="H19" s="0" t="n">
        <f aca="false">H15+H16+H17+H18</f>
        <v>29.8796843480581</v>
      </c>
      <c r="I19" s="0" t="n">
        <f aca="false">I15+I16+I17+I18</f>
        <v>36.0702483144897</v>
      </c>
      <c r="J19" s="0" t="n">
        <f aca="false">J15+J16+J17+J18</f>
        <v>39.318612537177</v>
      </c>
      <c r="K19" s="0" t="n">
        <f aca="false">K15+K16+K17+K18</f>
        <v>41.6417733860586</v>
      </c>
      <c r="L19" s="0" t="n">
        <f aca="false">L15+L16+L17+L18</f>
        <v>42.8956546571305</v>
      </c>
    </row>
    <row r="20" customFormat="false" ht="15" hidden="false" customHeight="false" outlineLevel="0" collapsed="false">
      <c r="A20" s="0" t="s">
        <v>154</v>
      </c>
      <c r="C20" s="0" t="n">
        <f aca="false">1/(1+$B$27/100)^C4</f>
        <v>0.851063829787234</v>
      </c>
      <c r="D20" s="0" t="n">
        <f aca="false">1/(1+$B$27/100)^D4</f>
        <v>0.724309642372114</v>
      </c>
      <c r="E20" s="0" t="n">
        <f aca="false">1/(1+$B$27/100)^E4</f>
        <v>0.616433738189033</v>
      </c>
      <c r="F20" s="0" t="n">
        <f aca="false">1/(1+$B$27/100)^F4</f>
        <v>0.52462445803322</v>
      </c>
      <c r="G20" s="0" t="n">
        <f aca="false">1/(1+$B$27/100)^G4</f>
        <v>0.446488900453804</v>
      </c>
      <c r="H20" s="0" t="n">
        <f aca="false">1/(1+$B$27/100)^H4</f>
        <v>0.379990553577706</v>
      </c>
      <c r="I20" s="0" t="n">
        <f aca="false">1/(1+$B$27/100)^I4</f>
        <v>0.323396215810813</v>
      </c>
      <c r="J20" s="0" t="n">
        <f aca="false">1/(1+$B$27/100)^J4</f>
        <v>0.27523082196665</v>
      </c>
      <c r="K20" s="0" t="n">
        <f aca="false">1/(1+$B$27/100)^K4</f>
        <v>0.234238997418425</v>
      </c>
      <c r="L20" s="0" t="n">
        <f aca="false">1/(1+$B$27/100)^L4</f>
        <v>0.199352338228447</v>
      </c>
    </row>
    <row r="21" customFormat="false" ht="15" hidden="false" customHeight="false" outlineLevel="0" collapsed="false">
      <c r="A21" s="0" t="s">
        <v>155</v>
      </c>
      <c r="C21" s="0" t="n">
        <f aca="false">C19*C20</f>
        <v>-10.8376545191489</v>
      </c>
      <c r="D21" s="0" t="n">
        <f aca="false">D19*D20</f>
        <v>-4.81093952463558</v>
      </c>
      <c r="E21" s="0" t="n">
        <f aca="false">E19*E20</f>
        <v>0.363890051426139</v>
      </c>
      <c r="F21" s="0" t="n">
        <f aca="false">F19*F20</f>
        <v>5.27601862860303</v>
      </c>
      <c r="G21" s="0" t="n">
        <f aca="false">G19*G20</f>
        <v>9.34816355213781</v>
      </c>
      <c r="H21" s="0" t="n">
        <f aca="false">H19*H20</f>
        <v>11.3539977961457</v>
      </c>
      <c r="I21" s="0" t="n">
        <f aca="false">I19*I20</f>
        <v>11.6649818082623</v>
      </c>
      <c r="J21" s="0" t="n">
        <f aca="false">J19*J20</f>
        <v>10.8216940471954</v>
      </c>
      <c r="K21" s="0" t="n">
        <f aca="false">K19*K20</f>
        <v>9.75412724867562</v>
      </c>
      <c r="L21" s="0" t="n">
        <f aca="false">L19*L20</f>
        <v>8.55134905573892</v>
      </c>
    </row>
    <row r="23" customFormat="false" ht="15" hidden="false" customHeight="false" outlineLevel="0" collapsed="false">
      <c r="A23" s="0" t="s">
        <v>131</v>
      </c>
      <c r="C23" s="4" t="n">
        <f aca="false">Assumptions!C44</f>
        <v>1.1</v>
      </c>
      <c r="D23" s="4" t="n">
        <f aca="false">Assumptions!D44</f>
        <v>1</v>
      </c>
      <c r="E23" s="4" t="n">
        <f aca="false">Assumptions!E44</f>
        <v>1</v>
      </c>
      <c r="F23" s="4" t="n">
        <f aca="false">Assumptions!F44</f>
        <v>1</v>
      </c>
      <c r="G23" s="4" t="n">
        <f aca="false">Assumptions!G44</f>
        <v>1</v>
      </c>
      <c r="H23" s="4" t="n">
        <f aca="false">Assumptions!H44</f>
        <v>1</v>
      </c>
      <c r="I23" s="4" t="n">
        <f aca="false">Assumptions!I44</f>
        <v>1</v>
      </c>
      <c r="J23" s="4" t="n">
        <f aca="false">Assumptions!J44</f>
        <v>1</v>
      </c>
      <c r="K23" s="4" t="n">
        <f aca="false">Assumptions!K44</f>
        <v>1</v>
      </c>
      <c r="L23" s="4" t="n">
        <f aca="false">Assumptions!L44</f>
        <v>1</v>
      </c>
    </row>
    <row r="24" customFormat="false" ht="15" hidden="false" customHeight="false" outlineLevel="0" collapsed="false">
      <c r="A24" s="0" t="s">
        <v>156</v>
      </c>
      <c r="C24" s="0" t="n">
        <f aca="false">-C6*C23/100</f>
        <v>-1.45776411</v>
      </c>
      <c r="D24" s="0" t="n">
        <f aca="false">-D6*D23/100</f>
        <v>-1.537278516</v>
      </c>
      <c r="E24" s="0" t="n">
        <f aca="false">-E6*E23/100</f>
        <v>-1.81398864888</v>
      </c>
      <c r="F24" s="0" t="n">
        <f aca="false">-F6*F23/100</f>
        <v>-2.1042268327008</v>
      </c>
      <c r="G24" s="0" t="n">
        <f aca="false">-G6*G23/100</f>
        <v>-2.39881858927891</v>
      </c>
      <c r="H24" s="0" t="n">
        <f aca="false">-H6*H23/100</f>
        <v>-2.68667681999238</v>
      </c>
      <c r="I24" s="0" t="n">
        <f aca="false">-I6*I23/100</f>
        <v>-2.95534450199162</v>
      </c>
      <c r="J24" s="0" t="n">
        <f aca="false">-J6*J23/100</f>
        <v>-3.19177206215095</v>
      </c>
      <c r="K24" s="0" t="n">
        <f aca="false">-K6*K23/100</f>
        <v>-3.39923724619076</v>
      </c>
      <c r="L24" s="0" t="n">
        <f aca="false">-L6*L23/100</f>
        <v>-3.58619529473125</v>
      </c>
    </row>
    <row r="26" customFormat="false" ht="15" hidden="false" customHeight="false" outlineLevel="0" collapsed="false">
      <c r="A26" s="2" t="s">
        <v>157</v>
      </c>
    </row>
    <row r="27" customFormat="false" ht="15" hidden="false" customHeight="false" outlineLevel="0" collapsed="false">
      <c r="A27" s="0" t="s">
        <v>135</v>
      </c>
      <c r="B27" s="4" t="n">
        <f aca="false">Assumptions!$B$48</f>
        <v>17.5</v>
      </c>
    </row>
    <row r="28" customFormat="false" ht="15" hidden="false" customHeight="false" outlineLevel="0" collapsed="false">
      <c r="A28" s="0" t="s">
        <v>136</v>
      </c>
      <c r="B28" s="4" t="n">
        <f aca="false">Assumptions!$B$49</f>
        <v>3</v>
      </c>
    </row>
    <row r="29" customFormat="false" ht="15" hidden="false" customHeight="false" outlineLevel="0" collapsed="false">
      <c r="A29" s="0" t="s">
        <v>137</v>
      </c>
      <c r="B29" s="4" t="n">
        <f aca="false">Assumptions!$B$50</f>
        <v>14</v>
      </c>
    </row>
    <row r="30" customFormat="false" ht="15" hidden="false" customHeight="false" outlineLevel="0" collapsed="false">
      <c r="A30" s="0" t="s">
        <v>158</v>
      </c>
      <c r="B30" s="0" t="n">
        <f aca="false">SUM(C21:L21)</f>
        <v>51.4856281444005</v>
      </c>
    </row>
    <row r="31" customFormat="false" ht="15" hidden="false" customHeight="false" outlineLevel="0" collapsed="false">
      <c r="A31" s="0" t="s">
        <v>159</v>
      </c>
      <c r="B31" s="0" t="n">
        <f aca="false">L19</f>
        <v>42.8956546571305</v>
      </c>
    </row>
    <row r="32" customFormat="false" ht="15" hidden="false" customHeight="false" outlineLevel="0" collapsed="false">
      <c r="A32" s="0" t="s">
        <v>160</v>
      </c>
      <c r="B32" s="0" t="n">
        <f aca="false">IF(B27&gt;B28,B31*(1+B28/100)/((B27-B28)/100),B31*B29)</f>
        <v>304.707064116168</v>
      </c>
    </row>
    <row r="33" customFormat="false" ht="15" hidden="false" customHeight="false" outlineLevel="0" collapsed="false">
      <c r="A33" s="0" t="s">
        <v>161</v>
      </c>
      <c r="B33" s="0" t="n">
        <f aca="false">B31*B29</f>
        <v>600.539165199826</v>
      </c>
    </row>
    <row r="34" customFormat="false" ht="15" hidden="false" customHeight="false" outlineLevel="0" collapsed="false">
      <c r="A34" s="0" t="s">
        <v>162</v>
      </c>
      <c r="B34" s="0" t="n">
        <f aca="false">MAX(0,MIN(B32,B33))</f>
        <v>304.707064116168</v>
      </c>
    </row>
    <row r="35" customFormat="false" ht="15" hidden="false" customHeight="false" outlineLevel="0" collapsed="false">
      <c r="A35" s="0" t="s">
        <v>163</v>
      </c>
      <c r="B35" s="0" t="n">
        <f aca="false">B34/(1+B27/100)^L4</f>
        <v>60.7440657062834</v>
      </c>
    </row>
    <row r="36" customFormat="false" ht="15" hidden="false" customHeight="false" outlineLevel="0" collapsed="false">
      <c r="A36" s="0" t="s">
        <v>164</v>
      </c>
      <c r="B36" s="0" t="n">
        <f aca="false">B30+B35</f>
        <v>112.229693850684</v>
      </c>
    </row>
    <row r="37" customFormat="false" ht="15" hidden="false" customHeight="false" outlineLevel="0" collapsed="false">
      <c r="A37" s="0" t="s">
        <v>165</v>
      </c>
      <c r="B37" s="0" t="n">
        <f aca="false">B36+Assumptions!$B$5-Assumptions!$B$4</f>
        <v>166.375693850684</v>
      </c>
    </row>
    <row r="38" customFormat="false" ht="15" hidden="false" customHeight="false" outlineLevel="0" collapsed="false">
      <c r="A38" s="0" t="s">
        <v>166</v>
      </c>
      <c r="B38" s="0" t="n">
        <f aca="false">B37/Assumptions!$B$3*Assumptions!$B$10</f>
        <v>1.31898694179186</v>
      </c>
    </row>
    <row r="39" customFormat="false" ht="15" hidden="false" customHeight="false" outlineLevel="0" collapsed="false">
      <c r="A39" s="0" t="s">
        <v>167</v>
      </c>
      <c r="B39" s="4" t="n">
        <f aca="false">B38/Assumptions!$B$2-1</f>
        <v>-0.00828049489333571</v>
      </c>
    </row>
    <row r="41" customFormat="false" ht="15" hidden="false" customHeight="false" outlineLevel="0" collapsed="false">
      <c r="A41" s="0" t="s">
        <v>168</v>
      </c>
      <c r="B41" s="0" t="n">
        <f aca="false">SUMPRODUCT(-C10:L10/(1+$B$27/100)^C4:L4)</f>
        <v>48.2734568403776</v>
      </c>
    </row>
    <row r="42" customFormat="false" ht="15" hidden="false" customHeight="false" outlineLevel="0" collapsed="false">
      <c r="A42" s="0" t="s">
        <v>169</v>
      </c>
      <c r="B42" s="0" t="n">
        <f aca="false">IF(B27&gt;B28,-L10*(1+B28/100)/((B27-B28)/100),-L10*20)/(1+B27/100)^L4</f>
        <v>20.3134871687996</v>
      </c>
    </row>
    <row r="43" customFormat="false" ht="15" hidden="false" customHeight="false" outlineLevel="0" collapsed="false">
      <c r="A43" s="0" t="s">
        <v>170</v>
      </c>
      <c r="B43" s="0" t="n">
        <f aca="false">(B37+B41+B42)/Assumptions!$B$3*Assumptions!$B$10</f>
        <v>1.86272792601702</v>
      </c>
    </row>
    <row r="45" customFormat="false" ht="15" hidden="false" customHeight="false" outlineLevel="0" collapsed="false">
      <c r="A45" s="0" t="s">
        <v>111</v>
      </c>
      <c r="B45" s="4" t="n">
        <f aca="false">Assumptions!$B$6</f>
        <v>15</v>
      </c>
    </row>
    <row r="46" customFormat="false" ht="15" hidden="false" customHeight="false" outlineLevel="0" collapsed="false">
      <c r="A46" s="0" t="s">
        <v>171</v>
      </c>
      <c r="B46" s="0" t="n">
        <f aca="false">MAX(0,MIN(IF(B45&gt;B28,B31*(1+B28/100)/((B45-B28)/100),B31*B29),B31*B29))</f>
        <v>368.187702473703</v>
      </c>
    </row>
    <row r="47" customFormat="false" ht="15" hidden="false" customHeight="false" outlineLevel="0" collapsed="false">
      <c r="A47" s="0" t="s">
        <v>172</v>
      </c>
      <c r="B47" s="0" t="n">
        <f aca="false">(SUMPRODUCT(C19:L19/(1+B45/100)^C4:L4)+B46/(1+B45/100)^L4+Assumptions!$B$5-Assumptions!$B$4)/Assumptions!$B$3*Assumptions!$B$10</f>
        <v>1.6440584500275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0"/>
  </cols>
  <sheetData>
    <row r="1" customFormat="false" ht="15" hidden="false" customHeight="false" outlineLevel="0" collapsed="false">
      <c r="A1" s="2" t="s">
        <v>175</v>
      </c>
    </row>
    <row r="3" customFormat="false" ht="15" hidden="false" customHeight="false" outlineLevel="0" collapsed="false">
      <c r="A3" s="2" t="s">
        <v>176</v>
      </c>
      <c r="B3" s="2" t="s">
        <v>177</v>
      </c>
      <c r="C3" s="2" t="s">
        <v>167</v>
      </c>
      <c r="D3" s="2" t="s">
        <v>178</v>
      </c>
      <c r="E3" s="2" t="s">
        <v>170</v>
      </c>
      <c r="F3" s="2" t="s">
        <v>179</v>
      </c>
    </row>
    <row r="4" customFormat="false" ht="15" hidden="false" customHeight="false" outlineLevel="0" collapsed="false">
      <c r="A4" s="0" t="s">
        <v>180</v>
      </c>
      <c r="B4" s="4" t="n">
        <f aca="false">DCF_Bear!$B$38</f>
        <v>-0.104255618317468</v>
      </c>
      <c r="C4" s="0" t="n">
        <f aca="false">B4/Assumptions!$B$2-1</f>
        <v>-1.07838768294546</v>
      </c>
      <c r="D4" s="4" t="n">
        <f aca="false">Assumptions!$B$24</f>
        <v>0.35</v>
      </c>
      <c r="E4" s="4" t="n">
        <f aca="false">DCF_Bear!$B$43</f>
        <v>0.145316019259398</v>
      </c>
      <c r="F4" s="4" t="n">
        <f aca="false">DCF_Bear!$B$47</f>
        <v>-0.143362345662128</v>
      </c>
    </row>
    <row r="5" customFormat="false" ht="15" hidden="false" customHeight="false" outlineLevel="0" collapsed="false">
      <c r="A5" s="0" t="s">
        <v>181</v>
      </c>
      <c r="B5" s="4" t="n">
        <f aca="false">DCF_Base!$B$38</f>
        <v>0.415502601911093</v>
      </c>
      <c r="C5" s="0" t="n">
        <f aca="false">B5/Assumptions!$B$2-1</f>
        <v>-0.687592028638276</v>
      </c>
      <c r="D5" s="4" t="n">
        <f aca="false">Assumptions!$B$38</f>
        <v>0.45</v>
      </c>
      <c r="E5" s="4" t="n">
        <f aca="false">DCF_Base!$B$43</f>
        <v>0.863260443534117</v>
      </c>
      <c r="F5" s="4" t="n">
        <f aca="false">DCF_Base!$B$47</f>
        <v>0.487218760780908</v>
      </c>
    </row>
    <row r="6" customFormat="false" ht="15" hidden="false" customHeight="false" outlineLevel="0" collapsed="false">
      <c r="A6" s="0" t="s">
        <v>182</v>
      </c>
      <c r="B6" s="4" t="n">
        <f aca="false">DCF_Bull!$B$38</f>
        <v>1.31898694179186</v>
      </c>
      <c r="C6" s="0" t="n">
        <f aca="false">B6/Assumptions!$B$2-1</f>
        <v>-0.00828049489333571</v>
      </c>
      <c r="D6" s="4" t="n">
        <f aca="false">Assumptions!$B$52</f>
        <v>0.2</v>
      </c>
      <c r="E6" s="4" t="n">
        <f aca="false">DCF_Bull!$B$43</f>
        <v>1.86272792601702</v>
      </c>
      <c r="F6" s="4" t="n">
        <f aca="false">DCF_Bull!$B$47</f>
        <v>1.6440584500275</v>
      </c>
    </row>
    <row r="8" customFormat="false" ht="15" hidden="false" customHeight="false" outlineLevel="0" collapsed="false">
      <c r="A8" s="0" t="s">
        <v>183</v>
      </c>
      <c r="B8" s="0" t="n">
        <f aca="false">SUMPRODUCT(B4:B6,D4:D6)</f>
        <v>0.414284092807251</v>
      </c>
    </row>
    <row r="9" customFormat="false" ht="15" hidden="false" customHeight="false" outlineLevel="0" collapsed="false">
      <c r="A9" s="0" t="s">
        <v>184</v>
      </c>
      <c r="B9" s="0" t="n">
        <f aca="false">SUMPRODUCT(E4:E6,D4:D6)</f>
        <v>0.811873391534546</v>
      </c>
    </row>
    <row r="10" customFormat="false" ht="15" hidden="false" customHeight="false" outlineLevel="0" collapsed="false">
      <c r="A10" s="0" t="s">
        <v>185</v>
      </c>
      <c r="B10" s="0" t="n">
        <f aca="false">1-Assumptions!$B$2/B8</f>
        <v>-2.21035739264745</v>
      </c>
    </row>
    <row r="11" customFormat="false" ht="15" hidden="false" customHeight="false" outlineLevel="0" collapsed="false">
      <c r="A11" s="0" t="s">
        <v>186</v>
      </c>
      <c r="B11" s="0" t="n">
        <f aca="false">IF(ABS(B9-B8)&gt;0.01*ABS(B8),(Assumptions!$B$2-B8)/(B9-B8)*100,"n/a")</f>
        <v>230.31704075638</v>
      </c>
    </row>
    <row r="12" customFormat="false" ht="15" hidden="false" customHeight="false" outlineLevel="0" collapsed="false">
      <c r="A12" s="0" t="s">
        <v>187</v>
      </c>
      <c r="B12" s="0" t="n">
        <f aca="false">SUMPRODUCT(F4:F6,D4:D6)</f>
        <v>0.497883311375164</v>
      </c>
    </row>
    <row r="14" customFormat="false" ht="15" hidden="false" customHeight="false" outlineLevel="0" collapsed="false">
      <c r="A14" s="2" t="s">
        <v>188</v>
      </c>
      <c r="C14" s="0" t="s">
        <v>189</v>
      </c>
    </row>
    <row r="15" customFormat="false" ht="15" hidden="false" customHeight="false" outlineLevel="0" collapsed="false">
      <c r="A15" s="0" t="s">
        <v>190</v>
      </c>
      <c r="B15" s="0" t="n">
        <f aca="false">(SUMPRODUCT(DCF_Base!$C$19:$L$19/(1+$C$15/100)^DCF_Base!$C$4:$L$4)+MAX(0,MIN(IF($C$15&gt;DCF_Base!$B$28,DCF_Base!$L$19*(1+DCF_Base!$B$28/100)/(($C$15-DCF_Base!$B$28)/100),DCF_Base!$L$19*DCF_Base!$B$29),DCF_Base!$L$19*DCF_Base!$B$29))/(1+$C$15/100)^DCF_Base!$L$4+Assumptions!$B$5-Assumptions!$B$4)/Assumptions!$B$3*Assumptions!$B$10</f>
        <v>0.813649039497328</v>
      </c>
      <c r="C15" s="3" t="n">
        <v>9</v>
      </c>
    </row>
    <row r="16" customFormat="false" ht="15" hidden="false" customHeight="false" outlineLevel="0" collapsed="false">
      <c r="A16" s="0" t="s">
        <v>191</v>
      </c>
      <c r="B16" s="0" t="n">
        <f aca="false">(SUMPRODUCT(DCF_Base!$C$19:$L$19/(1+$C$16/100)^DCF_Base!$C$4:$L$4)+MAX(0,MIN(IF($C$16&gt;DCF_Base!$B$28,DCF_Base!$L$19*(1+DCF_Base!$B$28/100)/(($C$16-DCF_Base!$B$28)/100),DCF_Base!$L$19*DCF_Base!$B$29),DCF_Base!$L$19*DCF_Base!$B$29))/(1+$C$16/100)^DCF_Base!$L$4+Assumptions!$B$5-Assumptions!$B$4)/Assumptions!$B$3*Assumptions!$B$10</f>
        <v>0.763473521331581</v>
      </c>
      <c r="C16" s="3" t="n">
        <v>10</v>
      </c>
    </row>
    <row r="17" customFormat="false" ht="15" hidden="false" customHeight="false" outlineLevel="0" collapsed="false">
      <c r="A17" s="0" t="s">
        <v>192</v>
      </c>
      <c r="B17" s="0" t="n">
        <f aca="false">(SUMPRODUCT(DCF_Base!$C$19:$L$19/(1+$C$17/100)^DCF_Base!$C$4:$L$4)+MAX(0,MIN(IF($C$17&gt;DCF_Base!$B$28,DCF_Base!$L$19*(1+DCF_Base!$B$28/100)/(($C$17-DCF_Base!$B$28)/100),DCF_Base!$L$19*DCF_Base!$B$29),DCF_Base!$L$19*DCF_Base!$B$29))/(1+$C$17/100)^DCF_Base!$L$4+Assumptions!$B$5-Assumptions!$B$4)/Assumptions!$B$3*Assumptions!$B$10</f>
        <v>0.718233267282389</v>
      </c>
      <c r="C17" s="3" t="n">
        <v>11</v>
      </c>
    </row>
    <row r="18" customFormat="false" ht="15" hidden="false" customHeight="false" outlineLevel="0" collapsed="false">
      <c r="A18" s="0" t="s">
        <v>193</v>
      </c>
      <c r="B18" s="0" t="n">
        <f aca="false">(SUMPRODUCT(DCF_Base!$C$19:$L$19/(1+$C$18/100)^DCF_Base!$C$4:$L$4)+MAX(0,MIN(IF($C$18&gt;DCF_Base!$B$28,DCF_Base!$L$19*(1+DCF_Base!$B$28/100)/(($C$18-DCF_Base!$B$28)/100),DCF_Base!$L$19*DCF_Base!$B$29),DCF_Base!$L$19*DCF_Base!$B$29))/(1+$C$18/100)^DCF_Base!$L$4+Assumptions!$B$5-Assumptions!$B$4)/Assumptions!$B$3*Assumptions!$B$10</f>
        <v>0.640042736833846</v>
      </c>
      <c r="C18" s="3" t="n">
        <v>12</v>
      </c>
    </row>
    <row r="19" customFormat="false" ht="15" hidden="false" customHeight="false" outlineLevel="0" collapsed="false">
      <c r="A19" s="0" t="s">
        <v>194</v>
      </c>
      <c r="B19" s="0" t="n">
        <f aca="false">(SUMPRODUCT(DCF_Base!$C$19:$L$19/(1+$C$19/100)^DCF_Base!$C$4:$L$4)+MAX(0,MIN(IF($C$19&gt;DCF_Base!$B$28,DCF_Base!$L$19*(1+DCF_Base!$B$28/100)/(($C$19-DCF_Base!$B$28)/100),DCF_Base!$L$19*DCF_Base!$B$29),DCF_Base!$L$19*DCF_Base!$B$29))/(1+$C$19/100)^DCF_Base!$L$4+Assumptions!$B$5-Assumptions!$B$4)/Assumptions!$B$3*Assumptions!$B$10</f>
        <v>0.487218760780908</v>
      </c>
      <c r="C19" s="3" t="n">
        <v>15</v>
      </c>
    </row>
    <row r="20" customFormat="false" ht="15" hidden="false" customHeight="false" outlineLevel="0" collapsed="false">
      <c r="A20" s="0" t="s">
        <v>195</v>
      </c>
      <c r="B20" s="0" t="n">
        <f aca="false">(SUMPRODUCT(DCF_Base!$C$19:$L$19/(1+$C$20/100)^DCF_Base!$C$4:$L$4)+MAX(0,MIN(IF($C$20&gt;DCF_Base!$B$28,DCF_Base!$L$19*(1+DCF_Base!$B$28/100)/(($C$20-DCF_Base!$B$28)/100),DCF_Base!$L$19*DCF_Base!$B$29),DCF_Base!$L$19*DCF_Base!$B$29))/(1+$C$20/100)^DCF_Base!$L$4+Assumptions!$B$5-Assumptions!$B$4)/Assumptions!$B$3*Assumptions!$B$10</f>
        <v>0.415502601911093</v>
      </c>
      <c r="C20" s="3" t="n">
        <v>17.5</v>
      </c>
    </row>
    <row r="22" customFormat="false" ht="15" hidden="false" customHeight="false" outlineLevel="0" collapsed="false">
      <c r="A22" s="2" t="s">
        <v>196</v>
      </c>
    </row>
    <row r="23" customFormat="false" ht="15" hidden="false" customHeight="false" outlineLevel="0" collapsed="false">
      <c r="B23" s="3" t="n">
        <v>1.5</v>
      </c>
      <c r="C23" s="3" t="n">
        <v>2</v>
      </c>
      <c r="D23" s="3" t="n">
        <v>2.5</v>
      </c>
      <c r="E23" s="3" t="n">
        <v>3</v>
      </c>
      <c r="F23" s="3" t="n">
        <v>3.5</v>
      </c>
    </row>
    <row r="24" customFormat="false" ht="15" hidden="false" customHeight="false" outlineLevel="0" collapsed="false">
      <c r="A24" s="3" t="n">
        <v>15.5</v>
      </c>
      <c r="B24" s="0" t="n">
        <f aca="false">(SUMPRODUCT(DCF_Base!$C$19:$L$19/(1+$A$24/100)^DCF_Base!$C$4:$L$4)+MAX(0,MIN(IF($A$24&gt;$B$23,DCF_Base!$L$19*(1+$B$23/100)/(($A$24-$B$23)/100),DCF_Base!$L$19*DCF_Base!$B$29),DCF_Base!$L$19*DCF_Base!$B$29))/(1+$A$24/100)^DCF_Base!$L$4+Assumptions!$B$5-Assumptions!$B$4)/Assumptions!$B$3*Assumptions!$B$10</f>
        <v>0.455567227272718</v>
      </c>
      <c r="C24" s="0" t="n">
        <f aca="false">(SUMPRODUCT(DCF_Base!$C$19:$L$19/(1+$A$24/100)^DCF_Base!$C$4:$L$4)+MAX(0,MIN(IF($A$24&gt;$C$23,DCF_Base!$L$19*(1+$C$23/100)/(($A$24-$C$23)/100),DCF_Base!$L$19*DCF_Base!$B$29),DCF_Base!$L$19*DCF_Base!$B$29))/(1+$A$24/100)^DCF_Base!$L$4+Assumptions!$B$5-Assumptions!$B$4)/Assumptions!$B$3*Assumptions!$B$10</f>
        <v>0.462503303737101</v>
      </c>
      <c r="D24" s="0" t="n">
        <f aca="false">(SUMPRODUCT(DCF_Base!$C$19:$L$19/(1+$A$24/100)^DCF_Base!$C$4:$L$4)+MAX(0,MIN(IF($A$24&gt;$D$23,DCF_Base!$L$19*(1+$D$23/100)/(($A$24-$D$23)/100),DCF_Base!$L$19*DCF_Base!$B$29),DCF_Base!$L$19*DCF_Base!$B$29))/(1+$A$24/100)^DCF_Base!$L$4+Assumptions!$B$5-Assumptions!$B$4)/Assumptions!$B$3*Assumptions!$B$10</f>
        <v>0.469972924544898</v>
      </c>
      <c r="E24" s="0" t="n">
        <f aca="false">(SUMPRODUCT(DCF_Base!$C$19:$L$19/(1+$A$24/100)^DCF_Base!$C$4:$L$4)+MAX(0,MIN(IF($A$24&gt;$E$23,DCF_Base!$L$19*(1+$E$23/100)/(($A$24-$E$23)/100),DCF_Base!$L$19*DCF_Base!$B$29),DCF_Base!$L$19*DCF_Base!$B$29))/(1+$A$24/100)^DCF_Base!$L$4+Assumptions!$B$5-Assumptions!$B$4)/Assumptions!$B$3*Assumptions!$B$10</f>
        <v>0.478040115017319</v>
      </c>
      <c r="F24" s="0" t="n">
        <f aca="false">(SUMPRODUCT(DCF_Base!$C$19:$L$19/(1+$A$24/100)^DCF_Base!$C$4:$L$4)+MAX(0,MIN(IF($A$24&gt;$F$23,DCF_Base!$L$19*(1+$F$23/100)/(($A$24-$F$23)/100),DCF_Base!$L$19*DCF_Base!$B$29),DCF_Base!$L$19*DCF_Base!$B$29))/(1+$A$24/100)^DCF_Base!$L$4+Assumptions!$B$5-Assumptions!$B$4)/Assumptions!$B$3*Assumptions!$B$10</f>
        <v>0.486779571362442</v>
      </c>
    </row>
    <row r="25" customFormat="false" ht="15" hidden="false" customHeight="false" outlineLevel="0" collapsed="false">
      <c r="A25" s="3" t="n">
        <v>16.5</v>
      </c>
      <c r="B25" s="0" t="n">
        <f aca="false">(SUMPRODUCT(DCF_Base!$C$19:$L$19/(1+$A$25/100)^DCF_Base!$C$4:$L$4)+MAX(0,MIN(IF($A$25&gt;$B$23,DCF_Base!$L$19*(1+$B$23/100)/(($A$25-$B$23)/100),DCF_Base!$L$19*DCF_Base!$B$29),DCF_Base!$L$19*DCF_Base!$B$29))/(1+$A$25/100)^DCF_Base!$L$4+Assumptions!$B$5-Assumptions!$B$4)/Assumptions!$B$3*Assumptions!$B$10</f>
        <v>0.428613089121006</v>
      </c>
      <c r="C25" s="0" t="n">
        <f aca="false">(SUMPRODUCT(DCF_Base!$C$19:$L$19/(1+$A$25/100)^DCF_Base!$C$4:$L$4)+MAX(0,MIN(IF($A$25&gt;$C$23,DCF_Base!$L$19*(1+$C$23/100)/(($A$25-$C$23)/100),DCF_Base!$L$19*DCF_Base!$B$29),DCF_Base!$L$19*DCF_Base!$B$29))/(1+$A$25/100)^DCF_Base!$L$4+Assumptions!$B$5-Assumptions!$B$4)/Assumptions!$B$3*Assumptions!$B$10</f>
        <v>0.434190349815166</v>
      </c>
      <c r="D25" s="0" t="n">
        <f aca="false">(SUMPRODUCT(DCF_Base!$C$19:$L$19/(1+$A$25/100)^DCF_Base!$C$4:$L$4)+MAX(0,MIN(IF($A$25&gt;$D$23,DCF_Base!$L$19*(1+$D$23/100)/(($A$25-$D$23)/100),DCF_Base!$L$19*DCF_Base!$B$29),DCF_Base!$L$19*DCF_Base!$B$29))/(1+$A$25/100)^DCF_Base!$L$4+Assumptions!$B$5-Assumptions!$B$4)/Assumptions!$B$3*Assumptions!$B$10</f>
        <v>0.440165986273195</v>
      </c>
      <c r="E25" s="0" t="n">
        <f aca="false">(SUMPRODUCT(DCF_Base!$C$19:$L$19/(1+$A$25/100)^DCF_Base!$C$4:$L$4)+MAX(0,MIN(IF($A$25&gt;$E$23,DCF_Base!$L$19*(1+$E$23/100)/(($A$25-$E$23)/100),DCF_Base!$L$19*DCF_Base!$B$29),DCF_Base!$L$19*DCF_Base!$B$29))/(1+$A$25/100)^DCF_Base!$L$4+Assumptions!$B$5-Assumptions!$B$4)/Assumptions!$B$3*Assumptions!$B$10</f>
        <v>0.446584262468856</v>
      </c>
      <c r="F25" s="0" t="n">
        <f aca="false">(SUMPRODUCT(DCF_Base!$C$19:$L$19/(1+$A$25/100)^DCF_Base!$C$4:$L$4)+MAX(0,MIN(IF($A$25&gt;$F$23,DCF_Base!$L$19*(1+$F$23/100)/(($A$25-$F$23)/100),DCF_Base!$L$19*DCF_Base!$B$29),DCF_Base!$L$19*DCF_Base!$B$29))/(1+$A$25/100)^DCF_Base!$L$4+Assumptions!$B$5-Assumptions!$B$4)/Assumptions!$B$3*Assumptions!$B$10</f>
        <v>0.453496252218028</v>
      </c>
    </row>
    <row r="26" customFormat="false" ht="15" hidden="false" customHeight="false" outlineLevel="0" collapsed="false">
      <c r="A26" s="3" t="n">
        <v>17.5</v>
      </c>
      <c r="B26" s="0" t="n">
        <f aca="false">(SUMPRODUCT(DCF_Base!$C$19:$L$19/(1+$A$26/100)^DCF_Base!$C$4:$L$4)+MAX(0,MIN(IF($A$26&gt;$B$23,DCF_Base!$L$19*(1+$B$23/100)/(($A$26-$B$23)/100),DCF_Base!$L$19*DCF_Base!$B$29),DCF_Base!$L$19*DCF_Base!$B$29))/(1+$A$26/100)^DCF_Base!$L$4+Assumptions!$B$5-Assumptions!$B$4)/Assumptions!$B$3*Assumptions!$B$10</f>
        <v>0.406142264824457</v>
      </c>
      <c r="C26" s="0" t="n">
        <f aca="false">(SUMPRODUCT(DCF_Base!$C$19:$L$19/(1+$A$26/100)^DCF_Base!$C$4:$L$4)+MAX(0,MIN(IF($A$26&gt;$C$23,DCF_Base!$L$19*(1+$C$23/100)/(($A$26-$C$23)/100),DCF_Base!$L$19*DCF_Base!$B$29),DCF_Base!$L$19*DCF_Base!$B$29))/(1+$A$26/100)^DCF_Base!$L$4+Assumptions!$B$5-Assumptions!$B$4)/Assumptions!$B$3*Assumptions!$B$10</f>
        <v>0.410671460188959</v>
      </c>
      <c r="D26" s="0" t="n">
        <f aca="false">(SUMPRODUCT(DCF_Base!$C$19:$L$19/(1+$A$26/100)^DCF_Base!$C$4:$L$4)+MAX(0,MIN(IF($A$26&gt;$D$23,DCF_Base!$L$19*(1+$D$23/100)/(($A$26-$D$23)/100),DCF_Base!$L$19*DCF_Base!$B$29),DCF_Base!$L$19*DCF_Base!$B$29))/(1+$A$26/100)^DCF_Base!$L$4+Assumptions!$B$5-Assumptions!$B$4)/Assumptions!$B$3*Assumptions!$B$10</f>
        <v>0.415502601911093</v>
      </c>
      <c r="E26" s="0" t="n">
        <f aca="false">(SUMPRODUCT(DCF_Base!$C$19:$L$19/(1+$A$26/100)^DCF_Base!$C$4:$L$4)+MAX(0,MIN(IF($A$26&gt;$E$23,DCF_Base!$L$19*(1+$E$23/100)/(($A$26-$E$23)/100),DCF_Base!$L$19*DCF_Base!$B$29),DCF_Base!$L$19*DCF_Base!$B$29))/(1+$A$26/100)^DCF_Base!$L$4+Assumptions!$B$5-Assumptions!$B$4)/Assumptions!$B$3*Assumptions!$B$10</f>
        <v>0.420666925820961</v>
      </c>
      <c r="F26" s="0" t="n">
        <f aca="false">(SUMPRODUCT(DCF_Base!$C$19:$L$19/(1+$A$26/100)^DCF_Base!$C$4:$L$4)+MAX(0,MIN(IF($A$26&gt;$F$23,DCF_Base!$L$19*(1+$F$23/100)/(($A$26-$F$23)/100),DCF_Base!$L$19*DCF_Base!$B$29),DCF_Base!$L$19*DCF_Base!$B$29))/(1+$A$26/100)^DCF_Base!$L$4+Assumptions!$B$5-Assumptions!$B$4)/Assumptions!$B$3*Assumptions!$B$10</f>
        <v>0.426200130010105</v>
      </c>
    </row>
    <row r="27" customFormat="false" ht="15" hidden="false" customHeight="false" outlineLevel="0" collapsed="false">
      <c r="A27" s="3" t="n">
        <v>18.5</v>
      </c>
      <c r="B27" s="0" t="n">
        <f aca="false">(SUMPRODUCT(DCF_Base!$C$19:$L$19/(1+$A$27/100)^DCF_Base!$C$4:$L$4)+MAX(0,MIN(IF($A$27&gt;$B$23,DCF_Base!$L$19*(1+$B$23/100)/(($A$27-$B$23)/100),DCF_Base!$L$19*DCF_Base!$B$29),DCF_Base!$L$19*DCF_Base!$B$29))/(1+$A$27/100)^DCF_Base!$L$4+Assumptions!$B$5-Assumptions!$B$4)/Assumptions!$B$3*Assumptions!$B$10</f>
        <v>0.387300673291549</v>
      </c>
      <c r="C27" s="0" t="n">
        <f aca="false">(SUMPRODUCT(DCF_Base!$C$19:$L$19/(1+$A$27/100)^DCF_Base!$C$4:$L$4)+MAX(0,MIN(IF($A$27&gt;$C$23,DCF_Base!$L$19*(1+$C$23/100)/(($A$27-$C$23)/100),DCF_Base!$L$19*DCF_Base!$B$29),DCF_Base!$L$19*DCF_Base!$B$29))/(1+$A$27/100)^DCF_Base!$L$4+Assumptions!$B$5-Assumptions!$B$4)/Assumptions!$B$3*Assumptions!$B$10</f>
        <v>0.391011028732702</v>
      </c>
      <c r="D27" s="0" t="n">
        <f aca="false">(SUMPRODUCT(DCF_Base!$C$19:$L$19/(1+$A$27/100)^DCF_Base!$C$4:$L$4)+MAX(0,MIN(IF($A$27&gt;$D$23,DCF_Base!$L$19*(1+$D$23/100)/(($A$27-$D$23)/100),DCF_Base!$L$19*DCF_Base!$B$29),DCF_Base!$L$19*DCF_Base!$B$29))/(1+$A$27/100)^DCF_Base!$L$4+Assumptions!$B$5-Assumptions!$B$4)/Assumptions!$B$3*Assumptions!$B$10</f>
        <v>0.394953281388928</v>
      </c>
      <c r="E27" s="0" t="n">
        <f aca="false">(SUMPRODUCT(DCF_Base!$C$19:$L$19/(1+$A$27/100)^DCF_Base!$C$4:$L$4)+MAX(0,MIN(IF($A$27&gt;$E$23,DCF_Base!$L$19*(1+$E$23/100)/(($A$27-$E$23)/100),DCF_Base!$L$19*DCF_Base!$B$29),DCF_Base!$L$19*DCF_Base!$B$29))/(1+$A$27/100)^DCF_Base!$L$4+Assumptions!$B$5-Assumptions!$B$4)/Assumptions!$B$3*Assumptions!$B$10</f>
        <v>0.3991498729262</v>
      </c>
      <c r="F27" s="0" t="n">
        <f aca="false">(SUMPRODUCT(DCF_Base!$C$19:$L$19/(1+$A$27/100)^DCF_Base!$C$4:$L$4)+MAX(0,MIN(IF($A$27&gt;$F$23,DCF_Base!$L$19*(1+$F$23/100)/(($A$27-$F$23)/100),DCF_Base!$L$19*DCF_Base!$B$29),DCF_Base!$L$19*DCF_Base!$B$29))/(1+$A$27/100)^DCF_Base!$L$4+Assumptions!$B$5-Assumptions!$B$4)/Assumptions!$B$3*Assumptions!$B$10</f>
        <v>0.403626237232624</v>
      </c>
    </row>
    <row r="28" customFormat="false" ht="15" hidden="false" customHeight="false" outlineLevel="0" collapsed="false">
      <c r="A28" s="3" t="n">
        <v>19.5</v>
      </c>
      <c r="B28" s="0" t="n">
        <f aca="false">(SUMPRODUCT(DCF_Base!$C$19:$L$19/(1+$A$28/100)^DCF_Base!$C$4:$L$4)+MAX(0,MIN(IF($A$28&gt;$B$23,DCF_Base!$L$19*(1+$B$23/100)/(($A$28-$B$23)/100),DCF_Base!$L$19*DCF_Base!$B$29),DCF_Base!$L$19*DCF_Base!$B$29))/(1+$A$28/100)^DCF_Base!$L$4+Assumptions!$B$5-Assumptions!$B$4)/Assumptions!$B$3*Assumptions!$B$10</f>
        <v>0.371428269476945</v>
      </c>
      <c r="C28" s="0" t="n">
        <f aca="false">(SUMPRODUCT(DCF_Base!$C$19:$L$19/(1+$A$28/100)^DCF_Base!$C$4:$L$4)+MAX(0,MIN(IF($A$28&gt;$C$23,DCF_Base!$L$19*(1+$C$23/100)/(($A$28-$C$23)/100),DCF_Base!$L$19*DCF_Base!$B$29),DCF_Base!$L$19*DCF_Base!$B$29))/(1+$A$28/100)^DCF_Base!$L$4+Assumptions!$B$5-Assumptions!$B$4)/Assumptions!$B$3*Assumptions!$B$10</f>
        <v>0.374491585715521</v>
      </c>
      <c r="D28" s="0" t="n">
        <f aca="false">(SUMPRODUCT(DCF_Base!$C$19:$L$19/(1+$A$28/100)^DCF_Base!$C$4:$L$4)+MAX(0,MIN(IF($A$28&gt;$D$23,DCF_Base!$L$19*(1+$D$23/100)/(($A$28-$D$23)/100),DCF_Base!$L$19*DCF_Base!$B$29),DCF_Base!$L$19*DCF_Base!$B$29))/(1+$A$28/100)^DCF_Base!$L$4+Assumptions!$B$5-Assumptions!$B$4)/Assumptions!$B$3*Assumptions!$B$10</f>
        <v>0.377735097026954</v>
      </c>
      <c r="E28" s="0" t="n">
        <f aca="false">(SUMPRODUCT(DCF_Base!$C$19:$L$19/(1+$A$28/100)^DCF_Base!$C$4:$L$4)+MAX(0,MIN(IF($A$28&gt;$E$23,DCF_Base!$L$19*(1+$E$23/100)/(($A$28-$E$23)/100),DCF_Base!$L$19*DCF_Base!$B$29),DCF_Base!$L$19*DCF_Base!$B$29))/(1+$A$28/100)^DCF_Base!$L$4+Assumptions!$B$5-Assumptions!$B$4)/Assumptions!$B$3*Assumptions!$B$10</f>
        <v>0.381175184781504</v>
      </c>
      <c r="F28" s="0" t="n">
        <f aca="false">(SUMPRODUCT(DCF_Base!$C$19:$L$19/(1+$A$28/100)^DCF_Base!$C$4:$L$4)+MAX(0,MIN(IF($A$28&gt;$F$23,DCF_Base!$L$19*(1+$F$23/100)/(($A$28-$F$23)/100),DCF_Base!$L$19*DCF_Base!$B$29),DCF_Base!$L$19*DCF_Base!$B$29))/(1+$A$28/100)^DCF_Base!$L$4+Assumptions!$B$5-Assumptions!$B$4)/Assumptions!$B$3*Assumptions!$B$10</f>
        <v>0.384830278020714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2026-09-25T15:37:22Z</dcterms:created>
  <dc:creator>openpyxl</dc:creator>
  <dc:description/>
  <dc:language>en-NZ</dc:language>
  <cp:lastModifiedBy/>
  <dcterms:modified xsi:type="dcterms:W3CDTF">2026-09-25T15:37:22Z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