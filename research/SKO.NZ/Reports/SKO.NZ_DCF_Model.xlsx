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Actuals" sheetId="2" state="visible" r:id="rId2"/>
    <sheet xmlns:r="http://schemas.openxmlformats.org/officeDocument/2006/relationships" name="Assumptions" sheetId="3" state="visible" r:id="rId3"/>
    <sheet xmlns:r="http://schemas.openxmlformats.org/officeDocument/2006/relationships" name="DCF_Bear" sheetId="4" state="visible" r:id="rId4"/>
    <sheet xmlns:r="http://schemas.openxmlformats.org/officeDocument/2006/relationships" name="DCF_Base" sheetId="5" state="visible" r:id="rId5"/>
    <sheet xmlns:r="http://schemas.openxmlformats.org/officeDocument/2006/relationships" name="DCF_Bull" sheetId="6" state="visible" r:id="rId6"/>
    <sheet xmlns:r="http://schemas.openxmlformats.org/officeDocument/2006/relationships" name="FCF_Quality" sheetId="7" state="visible" r:id="rId7"/>
    <sheet xmlns:r="http://schemas.openxmlformats.org/officeDocument/2006/relationships" name="Valuation"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
    <numFmt numFmtId="168" formatCode="0.0000"/>
  </numFmts>
  <fonts count="8">
    <font>
      <name val="Calibri"/>
      <family val="2"/>
      <color theme="1"/>
      <sz val="11"/>
      <scheme val="minor"/>
    </font>
    <font>
      <b val="1"/>
    </font>
    <font>
      <b val="1"/>
      <sz val="13"/>
    </font>
    <font>
      <b val="1"/>
      <color rgb="00FFFFFF"/>
    </font>
    <font>
      <b val="1"/>
      <color rgb="000000CC"/>
    </font>
    <font>
      <b val="1"/>
      <sz val="12"/>
    </font>
    <font>
      <color rgb="00008000"/>
    </font>
    <font>
      <b val="1"/>
      <sz val="14"/>
    </font>
  </fonts>
  <fills count="5">
    <fill>
      <patternFill/>
    </fill>
    <fill>
      <patternFill patternType="gray125"/>
    </fill>
    <fill>
      <patternFill patternType="solid">
        <fgColor rgb="00305496"/>
      </patternFill>
    </fill>
    <fill>
      <patternFill patternType="solid">
        <fgColor rgb="00C6EFCE"/>
      </patternFill>
    </fill>
    <fill>
      <patternFill patternType="solid">
        <fgColor rgb="00FFF2CC"/>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164" fontId="4" fillId="0" borderId="0" pivotButton="0" quotePrefix="0" xfId="0"/>
    <xf numFmtId="164" fontId="0" fillId="3" borderId="0" pivotButton="0" quotePrefix="0" xfId="0"/>
    <xf numFmtId="165" fontId="0" fillId="0" borderId="0" pivotButton="0" quotePrefix="0" xfId="0"/>
    <xf numFmtId="165" fontId="4" fillId="4" borderId="0" pivotButton="0" quotePrefix="0" xfId="0"/>
    <xf numFmtId="164" fontId="4" fillId="4" borderId="0" pivotButton="0" quotePrefix="0" xfId="0"/>
    <xf numFmtId="166" fontId="4" fillId="4" borderId="0" pivotButton="0" quotePrefix="0" xfId="0"/>
    <xf numFmtId="0" fontId="5" fillId="0" borderId="0" pivotButton="0" quotePrefix="0" xfId="0"/>
    <xf numFmtId="167" fontId="4" fillId="4" borderId="0" pivotButton="0" quotePrefix="0" xfId="0"/>
    <xf numFmtId="165" fontId="0" fillId="3" borderId="0" pivotButton="0" quotePrefix="0" xfId="0"/>
    <xf numFmtId="164" fontId="0" fillId="0" borderId="0" pivotButton="0" quotePrefix="0" xfId="0"/>
    <xf numFmtId="165" fontId="4" fillId="0" borderId="0" pivotButton="0" quotePrefix="0" xfId="0"/>
    <xf numFmtId="164" fontId="6" fillId="0" borderId="0" pivotButton="0" quotePrefix="0" xfId="0"/>
    <xf numFmtId="164" fontId="1" fillId="3" borderId="0" pivotButton="0" quotePrefix="0" xfId="0"/>
    <xf numFmtId="168" fontId="6" fillId="0" borderId="0" pivotButton="0" quotePrefix="0" xfId="0"/>
    <xf numFmtId="165" fontId="6" fillId="0" borderId="0" pivotButton="0" quotePrefix="0" xfId="0"/>
    <xf numFmtId="167" fontId="6" fillId="0" borderId="0" pivotButton="0" quotePrefix="0" xfId="0"/>
    <xf numFmtId="167" fontId="0" fillId="0" borderId="0" pivotButton="0" quotePrefix="0" xfId="0"/>
    <xf numFmtId="166" fontId="5" fillId="3" borderId="0" pivotButton="0" quotePrefix="0" xfId="0"/>
    <xf numFmtId="166" fontId="1" fillId="4" borderId="0" pivotButton="0" quotePrefix="0" xfId="0"/>
    <xf numFmtId="0" fontId="7" fillId="0" borderId="0" pivotButton="0" quotePrefix="0" xfId="0"/>
    <xf numFmtId="166" fontId="6" fillId="0" borderId="0" pivotButton="0" quotePrefix="0" xfId="0"/>
    <xf numFmtId="166" fontId="0" fillId="4" borderId="0" pivotButton="0" quotePrefix="0" xfId="0"/>
    <xf numFmtId="166" fontId="0" fillId="0" borderId="0" pivotButton="0" quotePrefix="0" xfId="0"/>
    <xf numFmtId="166" fontId="1" fillId="3" borderId="0" pivotButton="0" quotePrefix="0" xfId="0"/>
    <xf numFmtId="165" fontId="3" fillId="2" borderId="0" pivotButton="0" quotePrefix="0" xfId="0"/>
    <xf numFmtId="166"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18" customWidth="1" min="2" max="2"/>
  </cols>
  <sheetData>
    <row r="1" ht="15" customHeight="1">
      <c r="A1" s="1" t="inlineStr">
        <is>
          <t>SKO.NZ - Serko Limited DCF model</t>
        </is>
      </c>
      <c r="B1" s="2" t="inlineStr"/>
    </row>
    <row r="2" ht="15" customHeight="1">
      <c r="A2" s="1" t="inlineStr">
        <is>
          <t>Version</t>
        </is>
      </c>
      <c r="B2" s="2" t="inlineStr">
        <is>
          <t>v1.0 - initial build. Supersedes nothing; no prior DCF existed for this ticker.</t>
        </is>
      </c>
    </row>
    <row r="3" ht="15" customHeight="1">
      <c r="A3" s="1" t="inlineStr">
        <is>
          <t>Built by</t>
        </is>
      </c>
      <c r="B3" s="2" t="inlineStr">
        <is>
          <t>dcf-analyst agent (Claude Opus 5) on 2026-08-28, at the user request to value SKO.NZ.</t>
        </is>
      </c>
    </row>
    <row r="4" ht="30" customHeight="1">
      <c r="A4" s="1" t="inlineStr">
        <is>
          <t>Model type</t>
        </is>
      </c>
      <c r="B4" s="2" t="inlineStr">
        <is>
          <t>Revenue x normalizing owner-FCF-margin DCF, component-built, 10-year explicit horizon, 3 scenarios probability-weighted.</t>
        </is>
      </c>
    </row>
    <row r="5" ht="60" customHeight="1">
      <c r="A5" s="1" t="inlineStr">
        <is>
          <t>WHY NOT a trailing-FCF DCF</t>
        </is>
      </c>
      <c r="B5" s="2" t="inlineStr">
        <is>
          <t>Owner FCF (reported FCF less SBC, less interest income, less IFRS-16 lease principal) is NEGATIVE in all ten years FY2017-FY2026. FY2026 owner FCF -NZ$13.02m (-10.9% of revenue), WIDER than FY2025 -NZ$11.45m. There is no positive base cash flow to grow, so value is built from revenue x a margin that normalises over the explicit horizon.</t>
        </is>
      </c>
    </row>
    <row r="6" ht="30" customHeight="1">
      <c r="A6" s="1" t="inlineStr">
        <is>
          <t>Price anchor</t>
        </is>
      </c>
      <c r="B6" s="2" t="inlineStr">
        <is>
          <t>NZ$1.465, Yahoo Finance NZX regular close 2026-08-28T02:13:17Z. 52-week range NZ$1.27-3.28. GOES STALE - refresh before use.</t>
        </is>
      </c>
    </row>
    <row r="7" ht="30" customHeight="1">
      <c r="A7" s="1" t="inlineStr">
        <is>
          <t>Balance sheet anchor</t>
        </is>
      </c>
      <c r="B7" s="2" t="inlineStr">
        <is>
          <t>As at 2026-03-31 (FY2026 annual report). Net cash NZ$54.146m = cash at bank 14.146 + short-term deposits 40.0. Zero interest-bearing debt.</t>
        </is>
      </c>
    </row>
    <row r="8" ht="30" customHeight="1">
      <c r="A8" s="1" t="inlineStr">
        <is>
          <t>Share count</t>
        </is>
      </c>
      <c r="B8" s="2" t="inlineStr">
        <is>
          <t>124.882m issued ordinary shares at 31-Mar-2026. Zero options outstanding, so issued = fully diluted. Held FLAT because SBC is expensed.</t>
        </is>
      </c>
    </row>
    <row r="9" ht="45" customHeight="1">
      <c r="A9" s="1" t="inlineStr">
        <is>
          <t>Lease treatment</t>
        </is>
      </c>
      <c r="B9" s="2" t="inlineStr">
        <is>
          <t>Treatment (B): IFRS-16 lease principal deducted INSIDE the flows as an operating cost (lease_cost_pct row), and lease liabilities of NZ$6.934m EXCLUDED from net debt. Charged once, never both. Lease cost sits inside EBIT so it is tax-deductible.</t>
        </is>
      </c>
    </row>
    <row r="10" ht="45" customHeight="1">
      <c r="A10" s="1" t="inlineStr">
        <is>
          <t>SBC treatment</t>
        </is>
      </c>
      <c r="B10" s="2" t="inlineStr">
        <is>
          <t>NZ$7.246m FY2026 expensed in the flows AND share count held flat - charged exactly once. Some SBC is additionally capitalised into development costs, so true economic SBC is slightly higher; the model does not quantify that, making it marginally generous.</t>
        </is>
      </c>
    </row>
    <row r="11" ht="30" customHeight="1">
      <c r="A11" s="1" t="inlineStr">
        <is>
          <t>Interest income</t>
        </is>
      </c>
      <c r="B11" s="2" t="inlineStr">
        <is>
          <t>NZ$1.540m stripped from the flows because net cash is added back in the bridge. Counting both double-counts the cash pile.</t>
        </is>
      </c>
    </row>
    <row r="12" ht="45" customHeight="1">
      <c r="A12" s="1" t="inlineStr">
        <is>
          <t>Risk charged once</t>
        </is>
      </c>
      <c r="B12" s="2" t="inlineStr">
        <is>
          <t>Structural risk (illiquidity, loss-making, FX) sits in the WACC. Booking.com contract risk sits in the FLOWS via the bear scenario. A SINGLE WACC is used across all three scenarios - no per-scenario discount-rate differences.</t>
        </is>
      </c>
    </row>
    <row r="13" ht="45" customHeight="1">
      <c r="A13" s="1" t="inlineStr">
        <is>
          <t>Scenario judgment</t>
        </is>
      </c>
      <c r="B13" s="2" t="inlineStr">
        <is>
          <t>Driver paths set by the dcf-analyst agent on 2026-08-28 from FY2026 annual report actuals, FY2027 company guidance, and the Q1 FY2027 trading update. Weights 35 bear / 45 base / 20 bull - deliberately more bearish than the 15/50/35 house default.</t>
        </is>
      </c>
    </row>
    <row r="14" ht="30" customHeight="1">
      <c r="A14" s="1" t="inlineStr">
        <is>
          <t>Refresh after next print</t>
        </is>
      </c>
      <c r="B14" s="2" t="inlineStr">
        <is>
          <t>FY2027 interim (Nov-2026): check H1 revenue vs the NZ$128-134m FY guide, whether spend still exceeds income, the ARPCRN trend, cash and deposits, and ANY disclosure on the Booking.com contract beyond 31-Mar-2029.</t>
        </is>
      </c>
    </row>
    <row r="15" ht="30" customHeight="1">
      <c r="A15" s="1" t="inlineStr">
        <is>
          <t>Colour legend</t>
        </is>
      </c>
      <c r="B15" s="2" t="inlineStr">
        <is>
          <t>BLUE = hardcoded input. YELLOW fill = key lever (the four driver rows). BLACK = formula. GREEN = cross-sheet link.</t>
        </is>
      </c>
    </row>
    <row r="16" ht="15" customHeight="1">
      <c r="A16" s="1" t="inlineStr">
        <is>
          <t>Caveat</t>
        </is>
      </c>
      <c r="B16" s="2" t="inlineStr">
        <is>
          <t>These figures go stale. Re-anchor price, balance sheet and guidance before relying on any number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3" t="inlineStr">
        <is>
          <t>Serko - reported history (NZD millions)</t>
        </is>
      </c>
    </row>
    <row r="3">
      <c r="A3" s="4" t="inlineStr">
        <is>
          <t>NZD millions</t>
        </is>
      </c>
      <c r="B3" s="4" t="inlineStr">
        <is>
          <t>FY2017</t>
        </is>
      </c>
      <c r="C3" s="4" t="inlineStr">
        <is>
          <t>FY2018</t>
        </is>
      </c>
      <c r="D3" s="4" t="inlineStr">
        <is>
          <t>FY2019</t>
        </is>
      </c>
      <c r="E3" s="4" t="inlineStr">
        <is>
          <t>FY2020</t>
        </is>
      </c>
      <c r="F3" s="4" t="inlineStr">
        <is>
          <t>FY2021</t>
        </is>
      </c>
      <c r="G3" s="4" t="inlineStr">
        <is>
          <t>FY2022</t>
        </is>
      </c>
      <c r="H3" s="4" t="inlineStr">
        <is>
          <t>FY2023</t>
        </is>
      </c>
      <c r="I3" s="4" t="inlineStr">
        <is>
          <t>FY2024</t>
        </is>
      </c>
      <c r="J3" s="4" t="inlineStr">
        <is>
          <t>FY2025</t>
        </is>
      </c>
      <c r="K3" s="4" t="inlineStr">
        <is>
          <t>FY2026</t>
        </is>
      </c>
    </row>
    <row r="4">
      <c r="A4" s="1" t="inlineStr">
        <is>
          <t>Revenue</t>
        </is>
      </c>
      <c r="B4" s="5" t="n">
        <v>14.277</v>
      </c>
      <c r="C4" s="5" t="n">
        <v>18.279</v>
      </c>
      <c r="D4" s="5" t="n">
        <v>23.361</v>
      </c>
      <c r="E4" s="5" t="n">
        <v>25.869</v>
      </c>
      <c r="F4" s="5" t="n">
        <v>12.42</v>
      </c>
      <c r="G4" s="5" t="n">
        <v>17.855</v>
      </c>
      <c r="H4" s="5" t="n">
        <v>46.492</v>
      </c>
      <c r="I4" s="5" t="n">
        <v>68.761</v>
      </c>
      <c r="J4" s="5" t="n">
        <v>88.482</v>
      </c>
      <c r="K4" s="5" t="n">
        <v>119.391</v>
      </c>
    </row>
    <row r="5">
      <c r="A5" s="1" t="inlineStr">
        <is>
          <t>EBITDA (reported)</t>
        </is>
      </c>
      <c r="B5" s="5" t="n">
        <v>-3.394</v>
      </c>
      <c r="C5" s="5" t="n">
        <v>1.589</v>
      </c>
      <c r="D5" s="5" t="n">
        <v>1.256</v>
      </c>
      <c r="E5" s="5" t="n">
        <v>-7.145</v>
      </c>
      <c r="F5" s="5" t="n">
        <v>-22.325</v>
      </c>
      <c r="G5" s="5" t="n">
        <v>-28.145</v>
      </c>
      <c r="H5" s="5" t="n">
        <v>-21.754</v>
      </c>
      <c r="I5" s="5" t="n">
        <v>-1.577</v>
      </c>
      <c r="J5" s="5" t="n">
        <v>2.75</v>
      </c>
      <c r="K5" s="5" t="n">
        <v>6.531</v>
      </c>
    </row>
    <row r="6">
      <c r="A6" s="1" t="inlineStr">
        <is>
          <t>Net profit / (loss)</t>
        </is>
      </c>
      <c r="B6" s="5" t="n">
        <v>-3.45</v>
      </c>
      <c r="C6" s="5" t="n">
        <v>1.832</v>
      </c>
      <c r="D6" s="5" t="n">
        <v>1.633</v>
      </c>
      <c r="E6" s="5" t="n">
        <v>-9.364000000000001</v>
      </c>
      <c r="F6" s="5" t="n">
        <v>-29.389</v>
      </c>
      <c r="G6" s="5" t="n">
        <v>-35.959</v>
      </c>
      <c r="H6" s="5" t="n">
        <v>-30.54</v>
      </c>
      <c r="I6" s="5" t="n">
        <v>-15.879</v>
      </c>
      <c r="J6" s="5" t="n">
        <v>-21.962</v>
      </c>
      <c r="K6" s="5" t="n">
        <v>-17.737</v>
      </c>
    </row>
    <row r="7">
      <c r="A7" s="1" t="inlineStr">
        <is>
          <t>Operating cash flow</t>
        </is>
      </c>
      <c r="B7" s="5" t="n">
        <v>-1.595</v>
      </c>
      <c r="C7" s="5" t="n">
        <v>1.416</v>
      </c>
      <c r="D7" s="5" t="n">
        <v>3.647</v>
      </c>
      <c r="E7" s="5" t="n">
        <v>-3.789</v>
      </c>
      <c r="F7" s="5" t="n">
        <v>-18.042</v>
      </c>
      <c r="G7" s="5" t="n">
        <v>-18.456</v>
      </c>
      <c r="H7" s="5" t="n">
        <v>-22.326</v>
      </c>
      <c r="I7" s="5" t="n">
        <v>5.895</v>
      </c>
      <c r="J7" s="5" t="n">
        <v>4.822</v>
      </c>
      <c r="K7" s="5" t="n">
        <v>7.03</v>
      </c>
    </row>
    <row r="8">
      <c r="A8" s="1" t="inlineStr">
        <is>
          <t>Capex (PPE + capitalised dev)</t>
        </is>
      </c>
      <c r="B8" s="5" t="n">
        <v>-1.038</v>
      </c>
      <c r="C8" s="5" t="n">
        <v>-0.519</v>
      </c>
      <c r="D8" s="5" t="n">
        <v>-7.279</v>
      </c>
      <c r="E8" s="5" t="n">
        <v>-11.812</v>
      </c>
      <c r="F8" s="5" t="n">
        <v>-7.79</v>
      </c>
      <c r="G8" s="5" t="n">
        <v>-16.094</v>
      </c>
      <c r="H8" s="5" t="n">
        <v>-14.014</v>
      </c>
      <c r="I8" s="5" t="n">
        <v>-11.425</v>
      </c>
      <c r="J8" s="5" t="n">
        <v>-6.218</v>
      </c>
      <c r="K8" s="5" t="n">
        <v>-9.92</v>
      </c>
    </row>
    <row r="9">
      <c r="A9" s="1" t="inlineStr">
        <is>
          <t>Reported free cash flow</t>
        </is>
      </c>
      <c r="B9" s="5" t="n">
        <v>-2.633</v>
      </c>
      <c r="C9" s="5" t="n">
        <v>0.897</v>
      </c>
      <c r="D9" s="5" t="n">
        <v>-3.632</v>
      </c>
      <c r="E9" s="5" t="n">
        <v>-15.601</v>
      </c>
      <c r="F9" s="5" t="n">
        <v>-25.832</v>
      </c>
      <c r="G9" s="5" t="n">
        <v>-34.55</v>
      </c>
      <c r="H9" s="5" t="n">
        <v>-36.34</v>
      </c>
      <c r="I9" s="5" t="n">
        <v>-5.53</v>
      </c>
      <c r="J9" s="5" t="n">
        <v>-1.396</v>
      </c>
      <c r="K9" s="5" t="n">
        <v>-2.89</v>
      </c>
    </row>
    <row r="10">
      <c r="A10" s="1" t="inlineStr">
        <is>
          <t>Share-based payments</t>
        </is>
      </c>
      <c r="B10" s="5" t="n">
        <v>0.133</v>
      </c>
      <c r="C10" s="5" t="n">
        <v>0.288</v>
      </c>
      <c r="D10" s="5" t="n">
        <v>0.576</v>
      </c>
      <c r="E10" s="5" t="n">
        <v>0.959</v>
      </c>
      <c r="F10" s="5" t="n">
        <v>3.184</v>
      </c>
      <c r="G10" s="5" t="n">
        <v>4.095</v>
      </c>
      <c r="H10" s="5" t="n">
        <v>6.008</v>
      </c>
      <c r="I10" s="5" t="n">
        <v>5.048</v>
      </c>
      <c r="J10" s="5" t="n">
        <v>5.429</v>
      </c>
      <c r="K10" s="5" t="n">
        <v>7.246</v>
      </c>
    </row>
    <row r="11">
      <c r="A11" s="1" t="inlineStr">
        <is>
          <t>Interest income</t>
        </is>
      </c>
      <c r="B11" s="5" t="n">
        <v>0.142</v>
      </c>
      <c r="C11" s="5" t="n">
        <v>0.475</v>
      </c>
      <c r="D11" s="5" t="n">
        <v>0.36</v>
      </c>
      <c r="E11" s="5" t="n">
        <v>1.137</v>
      </c>
      <c r="F11" s="5" t="n">
        <v>0.38</v>
      </c>
      <c r="G11" s="5" t="n">
        <v>0.696</v>
      </c>
      <c r="H11" s="5" t="n">
        <v>2.878</v>
      </c>
      <c r="I11" s="5" t="n">
        <v>4.167</v>
      </c>
      <c r="J11" s="5" t="n">
        <v>3.47</v>
      </c>
      <c r="K11" s="5" t="n">
        <v>1.54</v>
      </c>
    </row>
    <row r="12">
      <c r="A12" s="1" t="inlineStr">
        <is>
          <t>IFRS-16 lease principal</t>
        </is>
      </c>
      <c r="B12" s="5" t="n">
        <v>0</v>
      </c>
      <c r="C12" s="5" t="n">
        <v>0</v>
      </c>
      <c r="D12" s="5" t="n">
        <v>0</v>
      </c>
      <c r="E12" s="5" t="n">
        <v>0.6</v>
      </c>
      <c r="F12" s="5" t="n">
        <v>0.9</v>
      </c>
      <c r="G12" s="5" t="n">
        <v>1</v>
      </c>
      <c r="H12" s="5" t="n">
        <v>1.1</v>
      </c>
      <c r="I12" s="5" t="n">
        <v>1.1</v>
      </c>
      <c r="J12" s="5" t="n">
        <v>1.159</v>
      </c>
      <c r="K12" s="5" t="n">
        <v>1.344</v>
      </c>
    </row>
    <row r="13">
      <c r="A13" s="1" t="inlineStr">
        <is>
          <t>Shareholders equity</t>
        </is>
      </c>
      <c r="B13" s="5" t="n">
        <v>6.276</v>
      </c>
      <c r="C13" s="5" t="n">
        <v>8.343999999999999</v>
      </c>
      <c r="D13" s="5" t="n">
        <v>26.235</v>
      </c>
      <c r="E13" s="5" t="n">
        <v>63.784</v>
      </c>
      <c r="F13" s="5" t="n">
        <v>102.528</v>
      </c>
      <c r="G13" s="5" t="n">
        <v>150.881</v>
      </c>
      <c r="H13" s="5" t="n">
        <v>125.93</v>
      </c>
      <c r="I13" s="5" t="n">
        <v>115.726</v>
      </c>
      <c r="J13" s="5" t="n">
        <v>99.938</v>
      </c>
      <c r="K13" s="5" t="n">
        <v>88.663</v>
      </c>
    </row>
    <row r="14">
      <c r="A14" s="1" t="inlineStr">
        <is>
          <t>Shares outstanding (m)</t>
        </is>
      </c>
      <c r="B14" s="5" t="n">
        <v>74.89400000000001</v>
      </c>
      <c r="C14" s="5" t="n">
        <v>74.89400000000001</v>
      </c>
      <c r="D14" s="5" t="n">
        <v>80.923</v>
      </c>
      <c r="E14" s="5" t="n">
        <v>92.739</v>
      </c>
      <c r="F14" s="5" t="n">
        <v>107.822</v>
      </c>
      <c r="G14" s="5" t="n">
        <v>119.921</v>
      </c>
      <c r="H14" s="5" t="n">
        <v>120.443</v>
      </c>
      <c r="I14" s="5" t="n">
        <v>121.846</v>
      </c>
      <c r="J14" s="5" t="n">
        <v>123.126</v>
      </c>
      <c r="K14" s="5" t="n">
        <v>124.882</v>
      </c>
    </row>
    <row r="15">
      <c r="A15" s="1" t="inlineStr">
        <is>
          <t>OWNER FCF (reported less SBC, interest, lease)</t>
        </is>
      </c>
      <c r="B15" s="6">
        <f>B9-B10-B11-B12</f>
        <v/>
      </c>
      <c r="C15" s="6">
        <f>C9-C10-C11-C12</f>
        <v/>
      </c>
      <c r="D15" s="6">
        <f>D9-D10-D11-D12</f>
        <v/>
      </c>
      <c r="E15" s="6">
        <f>E9-E10-E11-E12</f>
        <v/>
      </c>
      <c r="F15" s="6">
        <f>F9-F10-F11-F12</f>
        <v/>
      </c>
      <c r="G15" s="6">
        <f>G9-G10-G11-G12</f>
        <v/>
      </c>
      <c r="H15" s="6">
        <f>H9-H10-H11-H12</f>
        <v/>
      </c>
      <c r="I15" s="6">
        <f>I9-I10-I11-I12</f>
        <v/>
      </c>
      <c r="J15" s="6">
        <f>J9-J10-J11-J12</f>
        <v/>
      </c>
      <c r="K15" s="6">
        <f>K9-K10-K11-K12</f>
        <v/>
      </c>
    </row>
    <row r="16">
      <c r="A16" s="1" t="inlineStr">
        <is>
          <t>Owner FCF margin</t>
        </is>
      </c>
      <c r="B16" s="7">
        <f>B15/B4</f>
        <v/>
      </c>
      <c r="C16" s="7">
        <f>C15/C4</f>
        <v/>
      </c>
      <c r="D16" s="7">
        <f>D15/D4</f>
        <v/>
      </c>
      <c r="E16" s="7">
        <f>E15/E4</f>
        <v/>
      </c>
      <c r="F16" s="7">
        <f>F15/F4</f>
        <v/>
      </c>
      <c r="G16" s="7">
        <f>G15/G4</f>
        <v/>
      </c>
      <c r="H16" s="7">
        <f>H15/H4</f>
        <v/>
      </c>
      <c r="I16" s="7">
        <f>I15/I4</f>
        <v/>
      </c>
      <c r="J16" s="7">
        <f>J15/J4</f>
        <v/>
      </c>
      <c r="K16" s="7">
        <f>K15/K4</f>
        <v/>
      </c>
    </row>
    <row r="18">
      <c r="A18" t="inlineStr">
        <is>
          <t>Source: SKO.NZ_Metrics.csv, derived from the FY2017-FY2026 annual reports.</t>
        </is>
      </c>
    </row>
    <row r="19">
      <c r="A19" t="inlineStr">
        <is>
          <t>Owner FCF is NEGATIVE in all ten years - the reason this model is not a trailing-FCF DCF.</t>
        </is>
      </c>
    </row>
    <row r="20">
      <c r="A20" t="inlineStr">
        <is>
          <t>Lease principal FY2026 NZ$1.344m and FY2025 NZ$1.159m are from the cash flow statement (financing). Earlier years estimated.</t>
        </is>
      </c>
    </row>
    <row r="21">
      <c r="A21" t="inlineStr">
        <is>
          <t>FY2027 guidance: total income NZ$128-134m, total spend NZ$132-140m - spend EXCEEDS income at every point.</t>
        </is>
      </c>
    </row>
    <row r="22">
      <c r="A22" t="inlineStr">
        <is>
          <t>FY2030 aspiration (NOT guidance): revenue NZ$250m, FCF NZ$100m.</t>
        </is>
      </c>
    </row>
    <row r="23">
      <c r="A23" t="inlineStr">
        <is>
          <t>Management missed 3 of 5 FY2026 scorecard KPIs: B4B CRN threshold 4.360m not met, platform capabilities, North American ARR.</t>
        </is>
      </c>
    </row>
    <row r="24">
      <c r="A24" t="inlineStr">
        <is>
          <t>Two customers = 71% of FY2026 revenue (NZ$84.9m). Booking.com contract expires 31-Mar-2029, 12-month mutual termination, non-exclusive.</t>
        </is>
      </c>
    </row>
    <row r="25">
      <c r="A25" t="inlineStr">
        <is>
          <t>Net cash NZ$54.146m = cash at bank 14.146 + short-term deposits 40.0. Zero interest-bearing debt. Lease liabilities 6.934 (NOT in net debt).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6" customWidth="1" min="1" max="1"/>
    <col width="14" customWidth="1" min="2" max="2"/>
    <col width="78" customWidth="1" min="3" max="3"/>
  </cols>
  <sheetData>
    <row r="1">
      <c r="A1" s="3" t="inlineStr">
        <is>
          <t>Global assumptions</t>
        </is>
      </c>
    </row>
    <row r="3" ht="30" customHeight="1">
      <c r="A3" s="1" t="inlineStr">
        <is>
          <t>WACC</t>
        </is>
      </c>
      <c r="B3" s="8" t="n">
        <v>0.175</v>
      </c>
      <c r="C3" s="2" t="inlineStr">
        <is>
          <t>Cost of equity; zero interest-bearing debt so WACC = CoE. NZD-built: 4.5% NZ 10yr + 9.0% ERPxbeta + 2.0% small-cap illiquidity + 1.5% loss-making + 0.5% EUR/NZD mismatch.</t>
        </is>
      </c>
    </row>
    <row r="4" ht="30" customHeight="1">
      <c r="A4" s="1" t="inlineStr">
        <is>
          <t>Working capital capture - reference only (per-scenario values below)</t>
        </is>
      </c>
      <c r="B4" s="8" t="n">
        <v>0.08</v>
      </c>
      <c r="C4" s="2" t="inlineStr">
        <is>
          <t>Applied to the CHANGE in revenue, not the level. Low at 8% - Serko has minimal deferred revenue (NZ$1.9m) and is not a prepaid subscription model. The DCF tabs read the PER-SCENARIO value from column E of the scenario table below (bull uses 10%), not this cell.</t>
        </is>
      </c>
    </row>
    <row r="5" ht="30" customHeight="1">
      <c r="A5" s="1" t="inlineStr">
        <is>
          <t>Net cash (NZ$m)</t>
        </is>
      </c>
      <c r="B5" s="9" t="n">
        <v>54.146</v>
      </c>
      <c r="C5" s="2" t="inlineStr">
        <is>
          <t>Cash at bank 14.146 + short-term deposits 40.0 at 2026-03-31. Zero debt. Lease liabilities EXCLUDED (treatment B).</t>
        </is>
      </c>
    </row>
    <row r="6" ht="30" customHeight="1">
      <c r="A6" s="1" t="inlineStr">
        <is>
          <t>Net debt (NZ$m)</t>
        </is>
      </c>
      <c r="B6" s="9" t="n">
        <v>-54.146</v>
      </c>
      <c r="C6" s="2" t="inlineStr">
        <is>
          <t>Negative = net cash. Used in the equity bridge.</t>
        </is>
      </c>
    </row>
    <row r="7" ht="30" customHeight="1">
      <c r="A7" s="1" t="inlineStr">
        <is>
          <t>Diluted shares (m)</t>
        </is>
      </c>
      <c r="B7" s="9" t="n">
        <v>124.882</v>
      </c>
      <c r="C7" s="2" t="inlineStr">
        <is>
          <t>Issued ordinary shares at 31-Mar-2026; zero options outstanding. Held FLAT because SBC is expensed.</t>
        </is>
      </c>
    </row>
    <row r="8" ht="30" customHeight="1">
      <c r="A8" s="1" t="inlineStr">
        <is>
          <t>Current price (NZ$)</t>
        </is>
      </c>
      <c r="B8" s="10" t="n">
        <v>1.465</v>
      </c>
      <c r="C8" s="2" t="inlineStr">
        <is>
          <t>NZX regular close 2026-08-28T02:13:17Z. Goes stale.</t>
        </is>
      </c>
    </row>
    <row r="9" ht="30" customHeight="1">
      <c r="A9" s="1" t="inlineStr">
        <is>
          <t>Hurdle rate for entry price</t>
        </is>
      </c>
      <c r="B9" s="8" t="n">
        <v>0.15</v>
      </c>
      <c r="C9" s="2" t="inlineStr">
        <is>
          <t>Required IRR for the buy-below price.</t>
        </is>
      </c>
    </row>
    <row r="11">
      <c r="A11" s="11" t="inlineStr">
        <is>
          <t>Per-scenario</t>
        </is>
      </c>
    </row>
    <row r="12">
      <c r="A12" s="4" t="inlineStr">
        <is>
          <t>Scenario</t>
        </is>
      </c>
      <c r="B12" s="4" t="inlineStr">
        <is>
          <t>Terminal growth</t>
        </is>
      </c>
      <c r="C12" s="4" t="inlineStr">
        <is>
          <t>TV cap multiple</t>
        </is>
      </c>
      <c r="D12" s="4" t="inlineStr">
        <is>
          <t>Probability weight</t>
        </is>
      </c>
      <c r="E12" s="4" t="inlineStr">
        <is>
          <t>WC capture % of rev change</t>
        </is>
      </c>
    </row>
    <row r="13">
      <c r="A13" s="1" t="inlineStr">
        <is>
          <t>Bear</t>
        </is>
      </c>
      <c r="B13" s="8" t="n">
        <v>0.01</v>
      </c>
      <c r="C13" s="12" t="n">
        <v>8</v>
      </c>
      <c r="D13" s="8" t="n">
        <v>0.35</v>
      </c>
      <c r="E13" s="8" t="n">
        <v>0.08</v>
      </c>
    </row>
    <row r="14">
      <c r="A14" s="1" t="inlineStr">
        <is>
          <t>Base</t>
        </is>
      </c>
      <c r="B14" s="8" t="n">
        <v>0.025</v>
      </c>
      <c r="C14" s="12" t="n">
        <v>12</v>
      </c>
      <c r="D14" s="8" t="n">
        <v>0.45</v>
      </c>
      <c r="E14" s="8" t="n">
        <v>0.08</v>
      </c>
    </row>
    <row r="15">
      <c r="A15" s="1" t="inlineStr">
        <is>
          <t>Bull</t>
        </is>
      </c>
      <c r="B15" s="8" t="n">
        <v>0.03</v>
      </c>
      <c r="C15" s="12" t="n">
        <v>14</v>
      </c>
      <c r="D15" s="8" t="n">
        <v>0.2</v>
      </c>
      <c r="E15" s="8" t="n">
        <v>0.1</v>
      </c>
    </row>
    <row r="16">
      <c r="A16" s="1" t="inlineStr">
        <is>
          <t>Weights check (must be 100%)</t>
        </is>
      </c>
      <c r="D16" s="13">
        <f>SUM(D13:D15)</f>
        <v/>
      </c>
    </row>
    <row r="18">
      <c r="A18" s="11" t="inlineStr">
        <is>
          <t>Scenario narratives</t>
        </is>
      </c>
    </row>
    <row r="19" ht="150" customHeight="1">
      <c r="A19" s="1" t="inlineStr">
        <is>
          <t>Bear</t>
        </is>
      </c>
      <c r="C19" s="2" t="inlineStr">
        <is>
          <t>THE BOOKING.COM CLIFF. The contract expires 31 March 2029 and is terminable on 12 months' notice by either side, so notice could be served as early as FY2028. Booking Holdings in-sources the SME business-travel layer it already brands as its own -- it has the capability, the customer relationship and the brand, and Serko's own COO came from Booking Holdings. Supplier commissions, 61% of revenue, run off through FY2030 (modelled as a 45% revenue collapse in that year). What remains is Zeno in Australasia -- a genuinely entrenched but MATURE business growing online bookings 1.3% a year -- plus GetThere, which management already guides to DECLINE. Serko.ai has no revenue. The residual business is subscale against its cost base, so owner FCF stays negative throughout and terminal value hits the zero floor. Equity value is negative: the NZ$54m cash pile is consumed before the rump stabilises.</t>
        </is>
      </c>
    </row>
    <row r="20" ht="150" customHeight="1">
      <c r="A20" s="1" t="inlineStr">
        <is>
          <t>Base</t>
        </is>
      </c>
      <c r="C20" s="2" t="inlineStr">
        <is>
          <t>RENEWED, BUT ON WORSE TERMS. Booking.com renews in 2029 because the relationship works for both sides, but prices it to its own advantage -- Serko is non-exclusive and replaceable, and the volume tiers already ratchet the take rate down from ~48.7% toward 40% at 6m room nights. Volume keeps compounding at 15-20%; revenue grows at roughly half that as the take rate erodes, starting from the guided +8.4% in FY2027 when spend exceeds income and operating leverage goes BACKWARDS exactly as management guides. The cost optimisation programme and the roll-off of the FY2022-24 capitalised-development amortisation wave then let margins expand slowly. Owner FCF crosses zero around FY2032 -- two to three years later than management's own FY2029-30 inflection, because management's framing excludes SBC and lease principal. Terminal owner-FCF margin 5.0%. Equity value is essentially the cash.</t>
        </is>
      </c>
    </row>
    <row r="21" ht="150" customHeight="1">
      <c r="A21" s="1" t="inlineStr">
        <is>
          <t>Bull</t>
        </is>
      </c>
      <c r="C21" s="2" t="inlineStr">
        <is>
          <t>THE AI OPERATING LAYER LANDS. Serko.ai converts from closed beta into a commercial product with a new pricing model, monetising two decades of proprietary corporate booking behaviour and supplier connectivity that a generic LLM wrapper cannot synthesise. The US corporate wedge -- management sizes USD$16-24bn of accommodation spend in the target industries -- converts well beyond the two customers signed to date, feeding volume into the Booking.com engine Serko already operates. Booking.com renews on acceptable terms because Serko has become harder to replace. Revenue compounds mid-to-high teens toward the NZ$250m FY2030 aspiration, and the cost-optimisation programme delivers real operating leverage to a 27.5% EBITDA margin. Even so, this lands at NZ$1.33 -- BELOW the current price, which is the single most telling output of the model.</t>
        </is>
      </c>
    </row>
    <row r="22" ht="150" customHeight="1">
      <c r="A22" s="1" t="inlineStr">
        <is>
          <t>Weights rationale</t>
        </is>
      </c>
      <c r="C22" s="2" t="inlineStr">
        <is>
          <t>35% bear / 45% base / 20% bull -- materially more bearish than the 15/50/35 house default, and deliberately so. BEAR raised to 35% because the Booking.com contract (61% of revenue, 71% concentration with one other customer) expires 31-Mar-2029 INSIDE the forecast window, is terminable by either side on 12 months' notice, and is NON-EXCLUSIVE -- so an adverse outcome is a specifically-dated contractual event, not a tail risk. Management also missed three of five FY2026 scorecard KPIs, including the B4B CRN threshold (4.360m target, not met) and North American contracted ARR. BULL cut to 20% because it requires three independent things to go right at once: Serko.ai commercialising from closed beta, the US corporate wedge converting beyond the two customers signed to date, AND Booking.com renewing on acceptable terms. BASE at 45% is the residual: contract renewed but on worse economics, consistent with the take-rate step-down already visible in Q1 FY2027 (CRNs +39%, revenue per room night -11%).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3" t="inlineStr">
        <is>
          <t>BEAR case - component owner-FCF build (NZD millions)</t>
        </is>
      </c>
    </row>
    <row r="3">
      <c r="A3" s="1" t="inlineStr">
        <is>
          <t>Year</t>
        </is>
      </c>
      <c r="B3" s="4" t="inlineStr">
        <is>
          <t>FY2026A</t>
        </is>
      </c>
      <c r="C3" s="4" t="inlineStr">
        <is>
          <t>FY2027E</t>
        </is>
      </c>
      <c r="D3" s="4" t="inlineStr">
        <is>
          <t>FY2028E</t>
        </is>
      </c>
      <c r="E3" s="4" t="inlineStr">
        <is>
          <t>FY2029E</t>
        </is>
      </c>
      <c r="F3" s="4" t="inlineStr">
        <is>
          <t>FY2030E</t>
        </is>
      </c>
      <c r="G3" s="4" t="inlineStr">
        <is>
          <t>FY2031E</t>
        </is>
      </c>
      <c r="H3" s="4" t="inlineStr">
        <is>
          <t>FY2032E</t>
        </is>
      </c>
      <c r="I3" s="4" t="inlineStr">
        <is>
          <t>FY2033E</t>
        </is>
      </c>
      <c r="J3" s="4" t="inlineStr">
        <is>
          <t>FY2034E</t>
        </is>
      </c>
      <c r="K3" s="4" t="inlineStr">
        <is>
          <t>FY2035E</t>
        </is>
      </c>
      <c r="L3" s="4" t="inlineStr">
        <is>
          <t>FY2036E</t>
        </is>
      </c>
    </row>
    <row r="4">
      <c r="A4" s="1" t="inlineStr">
        <is>
          <t>Year index</t>
        </is>
      </c>
      <c r="B4" t="n">
        <v>0</v>
      </c>
      <c r="C4" t="n">
        <v>1</v>
      </c>
      <c r="D4" t="n">
        <v>2</v>
      </c>
      <c r="E4" t="n">
        <v>3</v>
      </c>
      <c r="F4" t="n">
        <v>4</v>
      </c>
      <c r="G4" t="n">
        <v>5</v>
      </c>
      <c r="H4" t="n">
        <v>6</v>
      </c>
      <c r="I4" t="n">
        <v>7</v>
      </c>
      <c r="J4" t="n">
        <v>8</v>
      </c>
      <c r="K4" t="n">
        <v>9</v>
      </c>
      <c r="L4" t="n">
        <v>10</v>
      </c>
    </row>
    <row r="5">
      <c r="A5" s="1" t="inlineStr">
        <is>
          <t>Revenue growth YoY  [DRIVER]</t>
        </is>
      </c>
      <c r="C5" s="8" t="n">
        <v>0.05</v>
      </c>
      <c r="D5" s="8" t="n">
        <v>0.04</v>
      </c>
      <c r="E5" s="8" t="n">
        <v>0.02</v>
      </c>
      <c r="F5" s="8" t="n">
        <v>-0.45</v>
      </c>
      <c r="G5" s="8" t="n">
        <v>-0.08</v>
      </c>
      <c r="H5" s="8" t="n">
        <v>-0.02</v>
      </c>
      <c r="I5" s="8" t="n">
        <v>0</v>
      </c>
      <c r="J5" s="8" t="n">
        <v>0.01</v>
      </c>
      <c r="K5" s="8" t="n">
        <v>0.01</v>
      </c>
      <c r="L5" s="8" t="n">
        <v>0.01</v>
      </c>
    </row>
    <row r="6">
      <c r="A6" s="1" t="inlineStr">
        <is>
          <t>Revenue</t>
        </is>
      </c>
      <c r="B6" s="5" t="n">
        <v>119.391</v>
      </c>
      <c r="C6" s="14">
        <f>B6*(1+C5)</f>
        <v/>
      </c>
      <c r="D6" s="14">
        <f>C6*(1+D5)</f>
        <v/>
      </c>
      <c r="E6" s="14">
        <f>D6*(1+E5)</f>
        <v/>
      </c>
      <c r="F6" s="14">
        <f>E6*(1+F5)</f>
        <v/>
      </c>
      <c r="G6" s="14">
        <f>F6*(1+G5)</f>
        <v/>
      </c>
      <c r="H6" s="14">
        <f>G6*(1+H5)</f>
        <v/>
      </c>
      <c r="I6" s="14">
        <f>H6*(1+I5)</f>
        <v/>
      </c>
      <c r="J6" s="14">
        <f>I6*(1+J5)</f>
        <v/>
      </c>
      <c r="K6" s="14">
        <f>J6*(1+K5)</f>
        <v/>
      </c>
      <c r="L6" s="14">
        <f>K6*(1+L5)</f>
        <v/>
      </c>
    </row>
    <row r="7">
      <c r="A7" s="1" t="inlineStr">
        <is>
          <t>Adj EBITDA margin  [DRIVER]</t>
        </is>
      </c>
      <c r="C7" s="8" t="n">
        <v>0.01</v>
      </c>
      <c r="D7" s="8" t="n">
        <v>0.015</v>
      </c>
      <c r="E7" s="8" t="n">
        <v>0.02</v>
      </c>
      <c r="F7" s="8" t="n">
        <v>-0.08</v>
      </c>
      <c r="G7" s="8" t="n">
        <v>0</v>
      </c>
      <c r="H7" s="8" t="n">
        <v>0.03</v>
      </c>
      <c r="I7" s="8" t="n">
        <v>0.05</v>
      </c>
      <c r="J7" s="8" t="n">
        <v>0.065</v>
      </c>
      <c r="K7" s="8" t="n">
        <v>0.075</v>
      </c>
      <c r="L7" s="8" t="n">
        <v>0.08</v>
      </c>
    </row>
    <row r="8">
      <c r="A8" s="1" t="inlineStr">
        <is>
          <t>Adjusted EBITDA</t>
        </is>
      </c>
      <c r="C8" s="14">
        <f>C6*C7</f>
        <v/>
      </c>
      <c r="D8" s="14">
        <f>D6*D7</f>
        <v/>
      </c>
      <c r="E8" s="14">
        <f>E6*E7</f>
        <v/>
      </c>
      <c r="F8" s="14">
        <f>F6*F7</f>
        <v/>
      </c>
      <c r="G8" s="14">
        <f>G6*G7</f>
        <v/>
      </c>
      <c r="H8" s="14">
        <f>H6*H7</f>
        <v/>
      </c>
      <c r="I8" s="14">
        <f>I6*I7</f>
        <v/>
      </c>
      <c r="J8" s="14">
        <f>J6*J7</f>
        <v/>
      </c>
      <c r="K8" s="14">
        <f>K6*K7</f>
        <v/>
      </c>
      <c r="L8" s="14">
        <f>L6*L7</f>
        <v/>
      </c>
    </row>
    <row r="9">
      <c r="A9" s="1" t="inlineStr">
        <is>
          <t>SBC % of revenue  [DRIVER]</t>
        </is>
      </c>
      <c r="C9" s="8" t="n">
        <v>0.06</v>
      </c>
      <c r="D9" s="8" t="n">
        <v>0.06</v>
      </c>
      <c r="E9" s="8" t="n">
        <v>0.06</v>
      </c>
      <c r="F9" s="8" t="n">
        <v>0.07000000000000001</v>
      </c>
      <c r="G9" s="8" t="n">
        <v>0.065</v>
      </c>
      <c r="H9" s="8" t="n">
        <v>0.06</v>
      </c>
      <c r="I9" s="8" t="n">
        <v>0.055</v>
      </c>
      <c r="J9" s="8" t="n">
        <v>0.055</v>
      </c>
      <c r="K9" s="8" t="n">
        <v>0.055</v>
      </c>
      <c r="L9" s="8" t="n">
        <v>0.055</v>
      </c>
    </row>
    <row r="10">
      <c r="A10" s="1" t="inlineStr">
        <is>
          <t>less SBC</t>
        </is>
      </c>
      <c r="C10" s="14">
        <f>-C6*C9</f>
        <v/>
      </c>
      <c r="D10" s="14">
        <f>-D6*D9</f>
        <v/>
      </c>
      <c r="E10" s="14">
        <f>-E6*E9</f>
        <v/>
      </c>
      <c r="F10" s="14">
        <f>-F6*F9</f>
        <v/>
      </c>
      <c r="G10" s="14">
        <f>-G6*G9</f>
        <v/>
      </c>
      <c r="H10" s="14">
        <f>-H6*H9</f>
        <v/>
      </c>
      <c r="I10" s="14">
        <f>-I6*I9</f>
        <v/>
      </c>
      <c r="J10" s="14">
        <f>-J6*J9</f>
        <v/>
      </c>
      <c r="K10" s="14">
        <f>-K6*K9</f>
        <v/>
      </c>
      <c r="L10" s="14">
        <f>-L6*L9</f>
        <v/>
      </c>
    </row>
    <row r="11">
      <c r="A11" s="1" t="inlineStr">
        <is>
          <t>Lease cost % of revenue (IFRS-16 principal)</t>
        </is>
      </c>
      <c r="C11" s="15" t="n">
        <v>0.011</v>
      </c>
      <c r="D11" s="15" t="n">
        <v>0.011</v>
      </c>
      <c r="E11" s="15" t="n">
        <v>0.011</v>
      </c>
      <c r="F11" s="15" t="n">
        <v>0.015</v>
      </c>
      <c r="G11" s="15" t="n">
        <v>0.013</v>
      </c>
      <c r="H11" s="15" t="n">
        <v>0.012</v>
      </c>
      <c r="I11" s="15" t="n">
        <v>0.011</v>
      </c>
      <c r="J11" s="15" t="n">
        <v>0.011</v>
      </c>
      <c r="K11" s="15" t="n">
        <v>0.011</v>
      </c>
      <c r="L11" s="15" t="n">
        <v>0.011</v>
      </c>
    </row>
    <row r="12">
      <c r="A12" s="1" t="inlineStr">
        <is>
          <t>less lease cost</t>
        </is>
      </c>
      <c r="C12" s="14">
        <f>-C6*C11</f>
        <v/>
      </c>
      <c r="D12" s="14">
        <f>-D6*D11</f>
        <v/>
      </c>
      <c r="E12" s="14">
        <f>-E6*E11</f>
        <v/>
      </c>
      <c r="F12" s="14">
        <f>-F6*F11</f>
        <v/>
      </c>
      <c r="G12" s="14">
        <f>-G6*G11</f>
        <v/>
      </c>
      <c r="H12" s="14">
        <f>-H6*H11</f>
        <v/>
      </c>
      <c r="I12" s="14">
        <f>-I6*I11</f>
        <v/>
      </c>
      <c r="J12" s="14">
        <f>-J6*J11</f>
        <v/>
      </c>
      <c r="K12" s="14">
        <f>-K6*K11</f>
        <v/>
      </c>
      <c r="L12" s="14">
        <f>-L6*L11</f>
        <v/>
      </c>
    </row>
    <row r="13">
      <c r="A13" s="1" t="inlineStr">
        <is>
          <t>D&amp;A % of revenue</t>
        </is>
      </c>
      <c r="C13" s="15" t="n">
        <v>0.135</v>
      </c>
      <c r="D13" s="15" t="n">
        <v>0.13</v>
      </c>
      <c r="E13" s="15" t="n">
        <v>0.125</v>
      </c>
      <c r="F13" s="15" t="n">
        <v>0.16</v>
      </c>
      <c r="G13" s="15" t="n">
        <v>0.13</v>
      </c>
      <c r="H13" s="15" t="n">
        <v>0.11</v>
      </c>
      <c r="I13" s="15" t="n">
        <v>0.1</v>
      </c>
      <c r="J13" s="15" t="n">
        <v>0.095</v>
      </c>
      <c r="K13" s="15" t="n">
        <v>0.09</v>
      </c>
      <c r="L13" s="15" t="n">
        <v>0.09</v>
      </c>
    </row>
    <row r="14">
      <c r="A14" s="1" t="inlineStr">
        <is>
          <t>less D&amp;A</t>
        </is>
      </c>
      <c r="C14" s="14">
        <f>-C6*C13</f>
        <v/>
      </c>
      <c r="D14" s="14">
        <f>-D6*D13</f>
        <v/>
      </c>
      <c r="E14" s="14">
        <f>-E6*E13</f>
        <v/>
      </c>
      <c r="F14" s="14">
        <f>-F6*F13</f>
        <v/>
      </c>
      <c r="G14" s="14">
        <f>-G6*G13</f>
        <v/>
      </c>
      <c r="H14" s="14">
        <f>-H6*H13</f>
        <v/>
      </c>
      <c r="I14" s="14">
        <f>-I6*I13</f>
        <v/>
      </c>
      <c r="J14" s="14">
        <f>-J6*J13</f>
        <v/>
      </c>
      <c r="K14" s="14">
        <f>-K6*K13</f>
        <v/>
      </c>
      <c r="L14" s="14">
        <f>-L6*L13</f>
        <v/>
      </c>
    </row>
    <row r="15">
      <c r="A15" s="1" t="inlineStr">
        <is>
          <t>EBIT (SBC and lease expensed)</t>
        </is>
      </c>
      <c r="C15" s="14">
        <f>C8+C10+C12+C14</f>
        <v/>
      </c>
      <c r="D15" s="14">
        <f>D8+D10+D12+D14</f>
        <v/>
      </c>
      <c r="E15" s="14">
        <f>E8+E10+E12+E14</f>
        <v/>
      </c>
      <c r="F15" s="14">
        <f>F8+F10+F12+F14</f>
        <v/>
      </c>
      <c r="G15" s="14">
        <f>G8+G10+G12+G14</f>
        <v/>
      </c>
      <c r="H15" s="14">
        <f>H8+H10+H12+H14</f>
        <v/>
      </c>
      <c r="I15" s="14">
        <f>I8+I10+I12+I14</f>
        <v/>
      </c>
      <c r="J15" s="14">
        <f>J8+J10+J12+J14</f>
        <v/>
      </c>
      <c r="K15" s="14">
        <f>K8+K10+K12+K14</f>
        <v/>
      </c>
      <c r="L15" s="14">
        <f>L8+L10+L12+L14</f>
        <v/>
      </c>
    </row>
    <row r="16">
      <c r="A16" s="1" t="inlineStr">
        <is>
          <t>Cash tax rate  [DRIVER]</t>
        </is>
      </c>
      <c r="C16" s="8" t="n">
        <v>0</v>
      </c>
      <c r="D16" s="8" t="n">
        <v>0</v>
      </c>
      <c r="E16" s="8" t="n">
        <v>0</v>
      </c>
      <c r="F16" s="8" t="n">
        <v>0</v>
      </c>
      <c r="G16" s="8" t="n">
        <v>0</v>
      </c>
      <c r="H16" s="8" t="n">
        <v>0</v>
      </c>
      <c r="I16" s="8" t="n">
        <v>0</v>
      </c>
      <c r="J16" s="8" t="n">
        <v>0</v>
      </c>
      <c r="K16" s="8" t="n">
        <v>0</v>
      </c>
      <c r="L16" s="8" t="n">
        <v>0</v>
      </c>
    </row>
    <row r="17">
      <c r="A17" s="1" t="inlineStr">
        <is>
          <t>NOPAT (tax on positive EBIT only)</t>
        </is>
      </c>
      <c r="C17" s="14">
        <f>C15-MAX(0,C15)*C16</f>
        <v/>
      </c>
      <c r="D17" s="14">
        <f>D15-MAX(0,D15)*D16</f>
        <v/>
      </c>
      <c r="E17" s="14">
        <f>E15-MAX(0,E15)*E16</f>
        <v/>
      </c>
      <c r="F17" s="14">
        <f>F15-MAX(0,F15)*F16</f>
        <v/>
      </c>
      <c r="G17" s="14">
        <f>G15-MAX(0,G15)*G16</f>
        <v/>
      </c>
      <c r="H17" s="14">
        <f>H15-MAX(0,H15)*H16</f>
        <v/>
      </c>
      <c r="I17" s="14">
        <f>I15-MAX(0,I15)*I16</f>
        <v/>
      </c>
      <c r="J17" s="14">
        <f>J15-MAX(0,J15)*J16</f>
        <v/>
      </c>
      <c r="K17" s="14">
        <f>K15-MAX(0,K15)*K16</f>
        <v/>
      </c>
      <c r="L17" s="14">
        <f>L15-MAX(0,L15)*L16</f>
        <v/>
      </c>
    </row>
    <row r="18">
      <c r="A18" s="1" t="inlineStr">
        <is>
          <t>add back D&amp;A</t>
        </is>
      </c>
      <c r="C18" s="14">
        <f>-C14</f>
        <v/>
      </c>
      <c r="D18" s="14">
        <f>-D14</f>
        <v/>
      </c>
      <c r="E18" s="14">
        <f>-E14</f>
        <v/>
      </c>
      <c r="F18" s="14">
        <f>-F14</f>
        <v/>
      </c>
      <c r="G18" s="14">
        <f>-G14</f>
        <v/>
      </c>
      <c r="H18" s="14">
        <f>-H14</f>
        <v/>
      </c>
      <c r="I18" s="14">
        <f>-I14</f>
        <v/>
      </c>
      <c r="J18" s="14">
        <f>-J14</f>
        <v/>
      </c>
      <c r="K18" s="14">
        <f>-K14</f>
        <v/>
      </c>
      <c r="L18" s="14">
        <f>-L14</f>
        <v/>
      </c>
    </row>
    <row r="19">
      <c r="A19" s="1" t="inlineStr">
        <is>
          <t>Capex % of revenue</t>
        </is>
      </c>
      <c r="C19" s="15" t="n">
        <v>0.09</v>
      </c>
      <c r="D19" s="15" t="n">
        <v>0.09</v>
      </c>
      <c r="E19" s="15" t="n">
        <v>0.09</v>
      </c>
      <c r="F19" s="15" t="n">
        <v>0.1</v>
      </c>
      <c r="G19" s="15" t="n">
        <v>0.09</v>
      </c>
      <c r="H19" s="15" t="n">
        <v>0.08500000000000001</v>
      </c>
      <c r="I19" s="15" t="n">
        <v>0.08</v>
      </c>
      <c r="J19" s="15" t="n">
        <v>0.08</v>
      </c>
      <c r="K19" s="15" t="n">
        <v>0.08</v>
      </c>
      <c r="L19" s="15" t="n">
        <v>0.08</v>
      </c>
    </row>
    <row r="20">
      <c r="A20" s="1" t="inlineStr">
        <is>
          <t>less capex</t>
        </is>
      </c>
      <c r="C20" s="14">
        <f>-C6*C19</f>
        <v/>
      </c>
      <c r="D20" s="14">
        <f>-D6*D19</f>
        <v/>
      </c>
      <c r="E20" s="14">
        <f>-E6*E19</f>
        <v/>
      </c>
      <c r="F20" s="14">
        <f>-F6*F19</f>
        <v/>
      </c>
      <c r="G20" s="14">
        <f>-G6*G19</f>
        <v/>
      </c>
      <c r="H20" s="14">
        <f>-H6*H19</f>
        <v/>
      </c>
      <c r="I20" s="14">
        <f>-I6*I19</f>
        <v/>
      </c>
      <c r="J20" s="14">
        <f>-J6*J19</f>
        <v/>
      </c>
      <c r="K20" s="14">
        <f>-K6*K19</f>
        <v/>
      </c>
      <c r="L20" s="14">
        <f>-L6*L19</f>
        <v/>
      </c>
    </row>
    <row r="21">
      <c r="A21" s="1" t="inlineStr">
        <is>
          <t>add working capital (on revenue CHANGE)</t>
        </is>
      </c>
      <c r="C21" s="16">
        <f>Assumptions!$E$13*(C6-B6)</f>
        <v/>
      </c>
      <c r="D21" s="16">
        <f>Assumptions!$E$13*(D6-C6)</f>
        <v/>
      </c>
      <c r="E21" s="16">
        <f>Assumptions!$E$13*(E6-D6)</f>
        <v/>
      </c>
      <c r="F21" s="16">
        <f>Assumptions!$E$13*(F6-E6)</f>
        <v/>
      </c>
      <c r="G21" s="16">
        <f>Assumptions!$E$13*(G6-F6)</f>
        <v/>
      </c>
      <c r="H21" s="16">
        <f>Assumptions!$E$13*(H6-G6)</f>
        <v/>
      </c>
      <c r="I21" s="16">
        <f>Assumptions!$E$13*(I6-H6)</f>
        <v/>
      </c>
      <c r="J21" s="16">
        <f>Assumptions!$E$13*(J6-I6)</f>
        <v/>
      </c>
      <c r="K21" s="16">
        <f>Assumptions!$E$13*(K6-J6)</f>
        <v/>
      </c>
      <c r="L21" s="16">
        <f>Assumptions!$E$13*(L6-K6)</f>
        <v/>
      </c>
    </row>
    <row r="22">
      <c r="A22" s="1" t="inlineStr">
        <is>
          <t>UNLEVERED OWNER FCF</t>
        </is>
      </c>
      <c r="C22" s="17">
        <f>C17+C18+C20+C21</f>
        <v/>
      </c>
      <c r="D22" s="17">
        <f>D17+D18+D20+D21</f>
        <v/>
      </c>
      <c r="E22" s="17">
        <f>E17+E18+E20+E21</f>
        <v/>
      </c>
      <c r="F22" s="17">
        <f>F17+F18+F20+F21</f>
        <v/>
      </c>
      <c r="G22" s="17">
        <f>G17+G18+G20+G21</f>
        <v/>
      </c>
      <c r="H22" s="17">
        <f>H17+H18+H20+H21</f>
        <v/>
      </c>
      <c r="I22" s="17">
        <f>I17+I18+I20+I21</f>
        <v/>
      </c>
      <c r="J22" s="17">
        <f>J17+J18+J20+J21</f>
        <v/>
      </c>
      <c r="K22" s="17">
        <f>K17+K18+K20+K21</f>
        <v/>
      </c>
      <c r="L22" s="17">
        <f>L17+L18+L20+L21</f>
        <v/>
      </c>
    </row>
    <row r="23">
      <c r="A23" s="1" t="inlineStr">
        <is>
          <t>Discount factor</t>
        </is>
      </c>
      <c r="C23" s="18">
        <f>1/(1+Assumptions!$B3)^C4</f>
        <v/>
      </c>
      <c r="D23" s="18">
        <f>1/(1+Assumptions!$B3)^D4</f>
        <v/>
      </c>
      <c r="E23" s="18">
        <f>1/(1+Assumptions!$B3)^E4</f>
        <v/>
      </c>
      <c r="F23" s="18">
        <f>1/(1+Assumptions!$B3)^F4</f>
        <v/>
      </c>
      <c r="G23" s="18">
        <f>1/(1+Assumptions!$B3)^G4</f>
        <v/>
      </c>
      <c r="H23" s="18">
        <f>1/(1+Assumptions!$B3)^H4</f>
        <v/>
      </c>
      <c r="I23" s="18">
        <f>1/(1+Assumptions!$B3)^I4</f>
        <v/>
      </c>
      <c r="J23" s="18">
        <f>1/(1+Assumptions!$B3)^J4</f>
        <v/>
      </c>
      <c r="K23" s="18">
        <f>1/(1+Assumptions!$B3)^K4</f>
        <v/>
      </c>
      <c r="L23" s="18">
        <f>1/(1+Assumptions!$B3)^L4</f>
        <v/>
      </c>
    </row>
    <row r="24">
      <c r="A24" s="1" t="inlineStr">
        <is>
          <t>PV of FCF</t>
        </is>
      </c>
      <c r="C24" s="14">
        <f>C22*C23</f>
        <v/>
      </c>
      <c r="D24" s="14">
        <f>D22*D23</f>
        <v/>
      </c>
      <c r="E24" s="14">
        <f>E22*E23</f>
        <v/>
      </c>
      <c r="F24" s="14">
        <f>F22*F23</f>
        <v/>
      </c>
      <c r="G24" s="14">
        <f>G22*G23</f>
        <v/>
      </c>
      <c r="H24" s="14">
        <f>H22*H23</f>
        <v/>
      </c>
      <c r="I24" s="14">
        <f>I22*I23</f>
        <v/>
      </c>
      <c r="J24" s="14">
        <f>J22*J23</f>
        <v/>
      </c>
      <c r="K24" s="14">
        <f>K22*K23</f>
        <v/>
      </c>
      <c r="L24" s="14">
        <f>L22*L23</f>
        <v/>
      </c>
    </row>
    <row r="26">
      <c r="A26" s="1" t="inlineStr">
        <is>
          <t>Memo: FCF before SBC (company-style)</t>
        </is>
      </c>
      <c r="C26" s="14">
        <f>C22-C10</f>
        <v/>
      </c>
      <c r="D26" s="14">
        <f>D22-D10</f>
        <v/>
      </c>
      <c r="E26" s="14">
        <f>E22-E10</f>
        <v/>
      </c>
      <c r="F26" s="14">
        <f>F22-F10</f>
        <v/>
      </c>
      <c r="G26" s="14">
        <f>G22-G10</f>
        <v/>
      </c>
      <c r="H26" s="14">
        <f>H22-H10</f>
        <v/>
      </c>
      <c r="I26" s="14">
        <f>I22-I10</f>
        <v/>
      </c>
      <c r="J26" s="14">
        <f>J22-J10</f>
        <v/>
      </c>
      <c r="K26" s="14">
        <f>K22-K10</f>
        <v/>
      </c>
      <c r="L26" s="14">
        <f>L22-L10</f>
        <v/>
      </c>
    </row>
    <row r="27">
      <c r="A27" s="1" t="inlineStr">
        <is>
          <t>Memo: implied owner-FCF margin</t>
        </is>
      </c>
      <c r="C27" s="7">
        <f>C22/C6</f>
        <v/>
      </c>
      <c r="D27" s="7">
        <f>D22/D6</f>
        <v/>
      </c>
      <c r="E27" s="7">
        <f>E22/E6</f>
        <v/>
      </c>
      <c r="F27" s="7">
        <f>F22/F6</f>
        <v/>
      </c>
      <c r="G27" s="7">
        <f>G22/G6</f>
        <v/>
      </c>
      <c r="H27" s="7">
        <f>H22/H6</f>
        <v/>
      </c>
      <c r="I27" s="7">
        <f>I22/I6</f>
        <v/>
      </c>
      <c r="J27" s="7">
        <f>J22/J6</f>
        <v/>
      </c>
      <c r="K27" s="7">
        <f>K22/K6</f>
        <v/>
      </c>
      <c r="L27" s="7">
        <f>L22/L6</f>
        <v/>
      </c>
    </row>
    <row r="29">
      <c r="A29" s="1" t="inlineStr">
        <is>
          <t>Sum of PV of FCF</t>
        </is>
      </c>
      <c r="B29" s="14">
        <f>SUM(C24:L24)</f>
        <v/>
      </c>
    </row>
    <row r="30">
      <c r="A30" s="1" t="inlineStr">
        <is>
          <t>Terminal growth</t>
        </is>
      </c>
      <c r="B30" s="19">
        <f>Assumptions!$B$13</f>
        <v/>
      </c>
    </row>
    <row r="31">
      <c r="A31" s="1" t="inlineStr">
        <is>
          <t>TV cap multiple</t>
        </is>
      </c>
      <c r="B31" s="20">
        <f>Assumptions!$C$13</f>
        <v/>
      </c>
    </row>
    <row r="32">
      <c r="A32" s="1" t="inlineStr">
        <is>
          <t>Terminal year FCF x (1+g)</t>
        </is>
      </c>
      <c r="B32" s="14">
        <f>L22*(1+B30)</f>
        <v/>
      </c>
    </row>
    <row r="33">
      <c r="A33" s="1" t="inlineStr">
        <is>
          <t>Gordon terminal value</t>
        </is>
      </c>
      <c r="B33" s="14">
        <f>IF(Assumptions!$B3&gt;B30,B32/(Assumptions!$B3-B30),B32*B31)</f>
        <v/>
      </c>
    </row>
    <row r="34">
      <c r="A34" s="1" t="inlineStr">
        <is>
          <t>Cap terminal value</t>
        </is>
      </c>
      <c r="B34" s="14">
        <f>B31*L22</f>
        <v/>
      </c>
    </row>
    <row r="35">
      <c r="A35" s="1" t="inlineStr">
        <is>
          <t>TV used  = MAX(0, MIN(Gordon, cap))</t>
        </is>
      </c>
      <c r="B35" s="14">
        <f>MAX(0,MIN(B33,B34))</f>
        <v/>
      </c>
    </row>
    <row r="36">
      <c r="A36" s="1" t="inlineStr">
        <is>
          <t>Implied exit multiple</t>
        </is>
      </c>
      <c r="B36" s="21">
        <f>IFERROR(B35/L22,0)</f>
        <v/>
      </c>
    </row>
    <row r="37">
      <c r="A37" s="1" t="inlineStr">
        <is>
          <t>PV of terminal value</t>
        </is>
      </c>
      <c r="B37" s="14">
        <f>B35*L23</f>
        <v/>
      </c>
    </row>
    <row r="38">
      <c r="A38" s="1" t="inlineStr">
        <is>
          <t>Enterprise value</t>
        </is>
      </c>
      <c r="B38" s="14">
        <f>B29+B37</f>
        <v/>
      </c>
    </row>
    <row r="39">
      <c r="A39" s="1" t="inlineStr">
        <is>
          <t>less net debt (add net cash)</t>
        </is>
      </c>
      <c r="B39" s="16">
        <f>-Assumptions!$B6</f>
        <v/>
      </c>
    </row>
    <row r="40">
      <c r="A40" s="1" t="inlineStr">
        <is>
          <t>Equity value</t>
        </is>
      </c>
      <c r="B40" s="14">
        <f>B38+B39</f>
        <v/>
      </c>
    </row>
    <row r="41">
      <c r="A41" s="1" t="inlineStr">
        <is>
          <t>Diluted shares (m)</t>
        </is>
      </c>
      <c r="B41" s="16">
        <f>Assumptions!$B7</f>
        <v/>
      </c>
    </row>
    <row r="42">
      <c r="A42" s="1" t="inlineStr">
        <is>
          <t>VALUE PER SHARE</t>
        </is>
      </c>
      <c r="B42" s="22">
        <f>B40/B41</f>
        <v/>
      </c>
    </row>
    <row r="43">
      <c r="A43" s="1" t="inlineStr">
        <is>
          <t>Upside vs current price</t>
        </is>
      </c>
      <c r="B43" s="7">
        <f>B42/Assumptions!$B8-1</f>
        <v/>
      </c>
    </row>
    <row r="45">
      <c r="A45" s="11" t="inlineStr">
        <is>
          <t>Street basis memo (SBC treated as non-cash)</t>
        </is>
      </c>
    </row>
    <row r="46">
      <c r="A46" s="1" t="inlineStr">
        <is>
          <t>PV of explicit-period SBC</t>
        </is>
      </c>
      <c r="B46" s="14">
        <f>SUMPRODUCT(-C10:L10,C23:L23)</f>
        <v/>
      </c>
    </row>
    <row r="47">
      <c r="A47" s="1" t="inlineStr">
        <is>
          <t>PV of terminal SBC</t>
        </is>
      </c>
      <c r="B47" s="14">
        <f>IF(Assumptions!$B3&gt;B30,(-L10*(1+B30)/(Assumptions!$B3-B30))*L23,0)</f>
        <v/>
      </c>
    </row>
    <row r="48">
      <c r="A48" s="1" t="inlineStr">
        <is>
          <t>STREET VALUE PER SHARE</t>
        </is>
      </c>
      <c r="B48" s="23">
        <f>(B40+B46+B47)/B41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3" t="inlineStr">
        <is>
          <t>BASE case - component owner-FCF build (NZD millions)</t>
        </is>
      </c>
    </row>
    <row r="3">
      <c r="A3" s="1" t="inlineStr">
        <is>
          <t>Year</t>
        </is>
      </c>
      <c r="B3" s="4" t="inlineStr">
        <is>
          <t>FY2026A</t>
        </is>
      </c>
      <c r="C3" s="4" t="inlineStr">
        <is>
          <t>FY2027E</t>
        </is>
      </c>
      <c r="D3" s="4" t="inlineStr">
        <is>
          <t>FY2028E</t>
        </is>
      </c>
      <c r="E3" s="4" t="inlineStr">
        <is>
          <t>FY2029E</t>
        </is>
      </c>
      <c r="F3" s="4" t="inlineStr">
        <is>
          <t>FY2030E</t>
        </is>
      </c>
      <c r="G3" s="4" t="inlineStr">
        <is>
          <t>FY2031E</t>
        </is>
      </c>
      <c r="H3" s="4" t="inlineStr">
        <is>
          <t>FY2032E</t>
        </is>
      </c>
      <c r="I3" s="4" t="inlineStr">
        <is>
          <t>FY2033E</t>
        </is>
      </c>
      <c r="J3" s="4" t="inlineStr">
        <is>
          <t>FY2034E</t>
        </is>
      </c>
      <c r="K3" s="4" t="inlineStr">
        <is>
          <t>FY2035E</t>
        </is>
      </c>
      <c r="L3" s="4" t="inlineStr">
        <is>
          <t>FY2036E</t>
        </is>
      </c>
    </row>
    <row r="4">
      <c r="A4" s="1" t="inlineStr">
        <is>
          <t>Year index</t>
        </is>
      </c>
      <c r="B4" t="n">
        <v>0</v>
      </c>
      <c r="C4" t="n">
        <v>1</v>
      </c>
      <c r="D4" t="n">
        <v>2</v>
      </c>
      <c r="E4" t="n">
        <v>3</v>
      </c>
      <c r="F4" t="n">
        <v>4</v>
      </c>
      <c r="G4" t="n">
        <v>5</v>
      </c>
      <c r="H4" t="n">
        <v>6</v>
      </c>
      <c r="I4" t="n">
        <v>7</v>
      </c>
      <c r="J4" t="n">
        <v>8</v>
      </c>
      <c r="K4" t="n">
        <v>9</v>
      </c>
      <c r="L4" t="n">
        <v>10</v>
      </c>
    </row>
    <row r="5">
      <c r="A5" s="1" t="inlineStr">
        <is>
          <t>Revenue growth YoY  [DRIVER]</t>
        </is>
      </c>
      <c r="C5" s="8" t="n">
        <v>0.08400000000000001</v>
      </c>
      <c r="D5" s="8" t="n">
        <v>0.1</v>
      </c>
      <c r="E5" s="8" t="n">
        <v>0.12</v>
      </c>
      <c r="F5" s="8" t="n">
        <v>0.09</v>
      </c>
      <c r="G5" s="8" t="n">
        <v>0.08</v>
      </c>
      <c r="H5" s="8" t="n">
        <v>0.07000000000000001</v>
      </c>
      <c r="I5" s="8" t="n">
        <v>0.06</v>
      </c>
      <c r="J5" s="8" t="n">
        <v>0.05</v>
      </c>
      <c r="K5" s="8" t="n">
        <v>0.045</v>
      </c>
      <c r="L5" s="8" t="n">
        <v>0.04</v>
      </c>
    </row>
    <row r="6">
      <c r="A6" s="1" t="inlineStr">
        <is>
          <t>Revenue</t>
        </is>
      </c>
      <c r="B6" s="5" t="n">
        <v>119.391</v>
      </c>
      <c r="C6" s="14">
        <f>B6*(1+C5)</f>
        <v/>
      </c>
      <c r="D6" s="14">
        <f>C6*(1+D5)</f>
        <v/>
      </c>
      <c r="E6" s="14">
        <f>D6*(1+E5)</f>
        <v/>
      </c>
      <c r="F6" s="14">
        <f>E6*(1+F5)</f>
        <v/>
      </c>
      <c r="G6" s="14">
        <f>F6*(1+G5)</f>
        <v/>
      </c>
      <c r="H6" s="14">
        <f>G6*(1+H5)</f>
        <v/>
      </c>
      <c r="I6" s="14">
        <f>H6*(1+I5)</f>
        <v/>
      </c>
      <c r="J6" s="14">
        <f>I6*(1+J5)</f>
        <v/>
      </c>
      <c r="K6" s="14">
        <f>J6*(1+K5)</f>
        <v/>
      </c>
      <c r="L6" s="14">
        <f>K6*(1+L5)</f>
        <v/>
      </c>
    </row>
    <row r="7">
      <c r="A7" s="1" t="inlineStr">
        <is>
          <t>Adj EBITDA margin  [DRIVER]</t>
        </is>
      </c>
      <c r="C7" s="8" t="n">
        <v>0.035</v>
      </c>
      <c r="D7" s="8" t="n">
        <v>0.055</v>
      </c>
      <c r="E7" s="8" t="n">
        <v>0.08</v>
      </c>
      <c r="F7" s="8" t="n">
        <v>0.105</v>
      </c>
      <c r="G7" s="8" t="n">
        <v>0.13</v>
      </c>
      <c r="H7" s="8" t="n">
        <v>0.15</v>
      </c>
      <c r="I7" s="8" t="n">
        <v>0.165</v>
      </c>
      <c r="J7" s="8" t="n">
        <v>0.175</v>
      </c>
      <c r="K7" s="8" t="n">
        <v>0.18</v>
      </c>
      <c r="L7" s="8" t="n">
        <v>0.185</v>
      </c>
    </row>
    <row r="8">
      <c r="A8" s="1" t="inlineStr">
        <is>
          <t>Adjusted EBITDA</t>
        </is>
      </c>
      <c r="C8" s="14">
        <f>C6*C7</f>
        <v/>
      </c>
      <c r="D8" s="14">
        <f>D6*D7</f>
        <v/>
      </c>
      <c r="E8" s="14">
        <f>E6*E7</f>
        <v/>
      </c>
      <c r="F8" s="14">
        <f>F6*F7</f>
        <v/>
      </c>
      <c r="G8" s="14">
        <f>G6*G7</f>
        <v/>
      </c>
      <c r="H8" s="14">
        <f>H6*H7</f>
        <v/>
      </c>
      <c r="I8" s="14">
        <f>I6*I7</f>
        <v/>
      </c>
      <c r="J8" s="14">
        <f>J6*J7</f>
        <v/>
      </c>
      <c r="K8" s="14">
        <f>K6*K7</f>
        <v/>
      </c>
      <c r="L8" s="14">
        <f>L6*L7</f>
        <v/>
      </c>
    </row>
    <row r="9">
      <c r="A9" s="1" t="inlineStr">
        <is>
          <t>SBC % of revenue  [DRIVER]</t>
        </is>
      </c>
      <c r="C9" s="8" t="n">
        <v>0.06</v>
      </c>
      <c r="D9" s="8" t="n">
        <v>0.058</v>
      </c>
      <c r="E9" s="8" t="n">
        <v>0.05599999999999999</v>
      </c>
      <c r="F9" s="8" t="n">
        <v>0.05400000000000001</v>
      </c>
      <c r="G9" s="8" t="n">
        <v>0.052</v>
      </c>
      <c r="H9" s="8" t="n">
        <v>0.05</v>
      </c>
      <c r="I9" s="8" t="n">
        <v>0.048</v>
      </c>
      <c r="J9" s="8" t="n">
        <v>0.046</v>
      </c>
      <c r="K9" s="8" t="n">
        <v>0.045</v>
      </c>
      <c r="L9" s="8" t="n">
        <v>0.044</v>
      </c>
    </row>
    <row r="10">
      <c r="A10" s="1" t="inlineStr">
        <is>
          <t>less SBC</t>
        </is>
      </c>
      <c r="C10" s="14">
        <f>-C6*C9</f>
        <v/>
      </c>
      <c r="D10" s="14">
        <f>-D6*D9</f>
        <v/>
      </c>
      <c r="E10" s="14">
        <f>-E6*E9</f>
        <v/>
      </c>
      <c r="F10" s="14">
        <f>-F6*F9</f>
        <v/>
      </c>
      <c r="G10" s="14">
        <f>-G6*G9</f>
        <v/>
      </c>
      <c r="H10" s="14">
        <f>-H6*H9</f>
        <v/>
      </c>
      <c r="I10" s="14">
        <f>-I6*I9</f>
        <v/>
      </c>
      <c r="J10" s="14">
        <f>-J6*J9</f>
        <v/>
      </c>
      <c r="K10" s="14">
        <f>-K6*K9</f>
        <v/>
      </c>
      <c r="L10" s="14">
        <f>-L6*L9</f>
        <v/>
      </c>
    </row>
    <row r="11">
      <c r="A11" s="1" t="inlineStr">
        <is>
          <t>Lease cost % of revenue (IFRS-16 principal)</t>
        </is>
      </c>
      <c r="C11" s="15" t="n">
        <v>0.011</v>
      </c>
      <c r="D11" s="15" t="n">
        <v>0.011</v>
      </c>
      <c r="E11" s="15" t="n">
        <v>0.011</v>
      </c>
      <c r="F11" s="15" t="n">
        <v>0.01</v>
      </c>
      <c r="G11" s="15" t="n">
        <v>0.01</v>
      </c>
      <c r="H11" s="15" t="n">
        <v>0.01</v>
      </c>
      <c r="I11" s="15" t="n">
        <v>0.01</v>
      </c>
      <c r="J11" s="15" t="n">
        <v>0.01</v>
      </c>
      <c r="K11" s="15" t="n">
        <v>0.01</v>
      </c>
      <c r="L11" s="15" t="n">
        <v>0.01</v>
      </c>
    </row>
    <row r="12">
      <c r="A12" s="1" t="inlineStr">
        <is>
          <t>less lease cost</t>
        </is>
      </c>
      <c r="C12" s="14">
        <f>-C6*C11</f>
        <v/>
      </c>
      <c r="D12" s="14">
        <f>-D6*D11</f>
        <v/>
      </c>
      <c r="E12" s="14">
        <f>-E6*E11</f>
        <v/>
      </c>
      <c r="F12" s="14">
        <f>-F6*F11</f>
        <v/>
      </c>
      <c r="G12" s="14">
        <f>-G6*G11</f>
        <v/>
      </c>
      <c r="H12" s="14">
        <f>-H6*H11</f>
        <v/>
      </c>
      <c r="I12" s="14">
        <f>-I6*I11</f>
        <v/>
      </c>
      <c r="J12" s="14">
        <f>-J6*J11</f>
        <v/>
      </c>
      <c r="K12" s="14">
        <f>-K6*K11</f>
        <v/>
      </c>
      <c r="L12" s="14">
        <f>-L6*L11</f>
        <v/>
      </c>
    </row>
    <row r="13">
      <c r="A13" s="1" t="inlineStr">
        <is>
          <t>D&amp;A % of revenue</t>
        </is>
      </c>
      <c r="C13" s="15" t="n">
        <v>0.13</v>
      </c>
      <c r="D13" s="15" t="n">
        <v>0.12</v>
      </c>
      <c r="E13" s="15" t="n">
        <v>0.11</v>
      </c>
      <c r="F13" s="15" t="n">
        <v>0.1</v>
      </c>
      <c r="G13" s="15" t="n">
        <v>0.095</v>
      </c>
      <c r="H13" s="15" t="n">
        <v>0.09</v>
      </c>
      <c r="I13" s="15" t="n">
        <v>0.08500000000000001</v>
      </c>
      <c r="J13" s="15" t="n">
        <v>0.08</v>
      </c>
      <c r="K13" s="15" t="n">
        <v>0.08</v>
      </c>
      <c r="L13" s="15" t="n">
        <v>0.08</v>
      </c>
    </row>
    <row r="14">
      <c r="A14" s="1" t="inlineStr">
        <is>
          <t>less D&amp;A</t>
        </is>
      </c>
      <c r="C14" s="14">
        <f>-C6*C13</f>
        <v/>
      </c>
      <c r="D14" s="14">
        <f>-D6*D13</f>
        <v/>
      </c>
      <c r="E14" s="14">
        <f>-E6*E13</f>
        <v/>
      </c>
      <c r="F14" s="14">
        <f>-F6*F13</f>
        <v/>
      </c>
      <c r="G14" s="14">
        <f>-G6*G13</f>
        <v/>
      </c>
      <c r="H14" s="14">
        <f>-H6*H13</f>
        <v/>
      </c>
      <c r="I14" s="14">
        <f>-I6*I13</f>
        <v/>
      </c>
      <c r="J14" s="14">
        <f>-J6*J13</f>
        <v/>
      </c>
      <c r="K14" s="14">
        <f>-K6*K13</f>
        <v/>
      </c>
      <c r="L14" s="14">
        <f>-L6*L13</f>
        <v/>
      </c>
    </row>
    <row r="15">
      <c r="A15" s="1" t="inlineStr">
        <is>
          <t>EBIT (SBC and lease expensed)</t>
        </is>
      </c>
      <c r="C15" s="14">
        <f>C8+C10+C12+C14</f>
        <v/>
      </c>
      <c r="D15" s="14">
        <f>D8+D10+D12+D14</f>
        <v/>
      </c>
      <c r="E15" s="14">
        <f>E8+E10+E12+E14</f>
        <v/>
      </c>
      <c r="F15" s="14">
        <f>F8+F10+F12+F14</f>
        <v/>
      </c>
      <c r="G15" s="14">
        <f>G8+G10+G12+G14</f>
        <v/>
      </c>
      <c r="H15" s="14">
        <f>H8+H10+H12+H14</f>
        <v/>
      </c>
      <c r="I15" s="14">
        <f>I8+I10+I12+I14</f>
        <v/>
      </c>
      <c r="J15" s="14">
        <f>J8+J10+J12+J14</f>
        <v/>
      </c>
      <c r="K15" s="14">
        <f>K8+K10+K12+K14</f>
        <v/>
      </c>
      <c r="L15" s="14">
        <f>L8+L10+L12+L14</f>
        <v/>
      </c>
    </row>
    <row r="16">
      <c r="A16" s="1" t="inlineStr">
        <is>
          <t>Cash tax rate  [DRIVER]</t>
        </is>
      </c>
      <c r="C16" s="8" t="n">
        <v>0</v>
      </c>
      <c r="D16" s="8" t="n">
        <v>0</v>
      </c>
      <c r="E16" s="8" t="n">
        <v>0</v>
      </c>
      <c r="F16" s="8" t="n">
        <v>0</v>
      </c>
      <c r="G16" s="8" t="n">
        <v>0.03</v>
      </c>
      <c r="H16" s="8" t="n">
        <v>0.08</v>
      </c>
      <c r="I16" s="8" t="n">
        <v>0.14</v>
      </c>
      <c r="J16" s="8" t="n">
        <v>0.2</v>
      </c>
      <c r="K16" s="8" t="n">
        <v>0.25</v>
      </c>
      <c r="L16" s="8" t="n">
        <v>0.28</v>
      </c>
    </row>
    <row r="17">
      <c r="A17" s="1" t="inlineStr">
        <is>
          <t>NOPAT (tax on positive EBIT only)</t>
        </is>
      </c>
      <c r="C17" s="14">
        <f>C15-MAX(0,C15)*C16</f>
        <v/>
      </c>
      <c r="D17" s="14">
        <f>D15-MAX(0,D15)*D16</f>
        <v/>
      </c>
      <c r="E17" s="14">
        <f>E15-MAX(0,E15)*E16</f>
        <v/>
      </c>
      <c r="F17" s="14">
        <f>F15-MAX(0,F15)*F16</f>
        <v/>
      </c>
      <c r="G17" s="14">
        <f>G15-MAX(0,G15)*G16</f>
        <v/>
      </c>
      <c r="H17" s="14">
        <f>H15-MAX(0,H15)*H16</f>
        <v/>
      </c>
      <c r="I17" s="14">
        <f>I15-MAX(0,I15)*I16</f>
        <v/>
      </c>
      <c r="J17" s="14">
        <f>J15-MAX(0,J15)*J16</f>
        <v/>
      </c>
      <c r="K17" s="14">
        <f>K15-MAX(0,K15)*K16</f>
        <v/>
      </c>
      <c r="L17" s="14">
        <f>L15-MAX(0,L15)*L16</f>
        <v/>
      </c>
    </row>
    <row r="18">
      <c r="A18" s="1" t="inlineStr">
        <is>
          <t>add back D&amp;A</t>
        </is>
      </c>
      <c r="C18" s="14">
        <f>-C14</f>
        <v/>
      </c>
      <c r="D18" s="14">
        <f>-D14</f>
        <v/>
      </c>
      <c r="E18" s="14">
        <f>-E14</f>
        <v/>
      </c>
      <c r="F18" s="14">
        <f>-F14</f>
        <v/>
      </c>
      <c r="G18" s="14">
        <f>-G14</f>
        <v/>
      </c>
      <c r="H18" s="14">
        <f>-H14</f>
        <v/>
      </c>
      <c r="I18" s="14">
        <f>-I14</f>
        <v/>
      </c>
      <c r="J18" s="14">
        <f>-J14</f>
        <v/>
      </c>
      <c r="K18" s="14">
        <f>-K14</f>
        <v/>
      </c>
      <c r="L18" s="14">
        <f>-L14</f>
        <v/>
      </c>
    </row>
    <row r="19">
      <c r="A19" s="1" t="inlineStr">
        <is>
          <t>Capex % of revenue</t>
        </is>
      </c>
      <c r="C19" s="15" t="n">
        <v>0.08500000000000001</v>
      </c>
      <c r="D19" s="15" t="n">
        <v>0.08199999999999999</v>
      </c>
      <c r="E19" s="15" t="n">
        <v>0.08</v>
      </c>
      <c r="F19" s="15" t="n">
        <v>0.078</v>
      </c>
      <c r="G19" s="15" t="n">
        <v>0.075</v>
      </c>
      <c r="H19" s="15" t="n">
        <v>0.07200000000000001</v>
      </c>
      <c r="I19" s="15" t="n">
        <v>0.07000000000000001</v>
      </c>
      <c r="J19" s="15" t="n">
        <v>0.07000000000000001</v>
      </c>
      <c r="K19" s="15" t="n">
        <v>0.07000000000000001</v>
      </c>
      <c r="L19" s="15" t="n">
        <v>0.07000000000000001</v>
      </c>
    </row>
    <row r="20">
      <c r="A20" s="1" t="inlineStr">
        <is>
          <t>less capex</t>
        </is>
      </c>
      <c r="C20" s="14">
        <f>-C6*C19</f>
        <v/>
      </c>
      <c r="D20" s="14">
        <f>-D6*D19</f>
        <v/>
      </c>
      <c r="E20" s="14">
        <f>-E6*E19</f>
        <v/>
      </c>
      <c r="F20" s="14">
        <f>-F6*F19</f>
        <v/>
      </c>
      <c r="G20" s="14">
        <f>-G6*G19</f>
        <v/>
      </c>
      <c r="H20" s="14">
        <f>-H6*H19</f>
        <v/>
      </c>
      <c r="I20" s="14">
        <f>-I6*I19</f>
        <v/>
      </c>
      <c r="J20" s="14">
        <f>-J6*J19</f>
        <v/>
      </c>
      <c r="K20" s="14">
        <f>-K6*K19</f>
        <v/>
      </c>
      <c r="L20" s="14">
        <f>-L6*L19</f>
        <v/>
      </c>
    </row>
    <row r="21">
      <c r="A21" s="1" t="inlineStr">
        <is>
          <t>add working capital (on revenue CHANGE)</t>
        </is>
      </c>
      <c r="C21" s="16">
        <f>Assumptions!$E$14*(C6-B6)</f>
        <v/>
      </c>
      <c r="D21" s="16">
        <f>Assumptions!$E$14*(D6-C6)</f>
        <v/>
      </c>
      <c r="E21" s="16">
        <f>Assumptions!$E$14*(E6-D6)</f>
        <v/>
      </c>
      <c r="F21" s="16">
        <f>Assumptions!$E$14*(F6-E6)</f>
        <v/>
      </c>
      <c r="G21" s="16">
        <f>Assumptions!$E$14*(G6-F6)</f>
        <v/>
      </c>
      <c r="H21" s="16">
        <f>Assumptions!$E$14*(H6-G6)</f>
        <v/>
      </c>
      <c r="I21" s="16">
        <f>Assumptions!$E$14*(I6-H6)</f>
        <v/>
      </c>
      <c r="J21" s="16">
        <f>Assumptions!$E$14*(J6-I6)</f>
        <v/>
      </c>
      <c r="K21" s="16">
        <f>Assumptions!$E$14*(K6-J6)</f>
        <v/>
      </c>
      <c r="L21" s="16">
        <f>Assumptions!$E$14*(L6-K6)</f>
        <v/>
      </c>
    </row>
    <row r="22">
      <c r="A22" s="1" t="inlineStr">
        <is>
          <t>UNLEVERED OWNER FCF</t>
        </is>
      </c>
      <c r="C22" s="17">
        <f>C17+C18+C20+C21</f>
        <v/>
      </c>
      <c r="D22" s="17">
        <f>D17+D18+D20+D21</f>
        <v/>
      </c>
      <c r="E22" s="17">
        <f>E17+E18+E20+E21</f>
        <v/>
      </c>
      <c r="F22" s="17">
        <f>F17+F18+F20+F21</f>
        <v/>
      </c>
      <c r="G22" s="17">
        <f>G17+G18+G20+G21</f>
        <v/>
      </c>
      <c r="H22" s="17">
        <f>H17+H18+H20+H21</f>
        <v/>
      </c>
      <c r="I22" s="17">
        <f>I17+I18+I20+I21</f>
        <v/>
      </c>
      <c r="J22" s="17">
        <f>J17+J18+J20+J21</f>
        <v/>
      </c>
      <c r="K22" s="17">
        <f>K17+K18+K20+K21</f>
        <v/>
      </c>
      <c r="L22" s="17">
        <f>L17+L18+L20+L21</f>
        <v/>
      </c>
    </row>
    <row r="23">
      <c r="A23" s="1" t="inlineStr">
        <is>
          <t>Discount factor</t>
        </is>
      </c>
      <c r="C23" s="18">
        <f>1/(1+Assumptions!$B3)^C4</f>
        <v/>
      </c>
      <c r="D23" s="18">
        <f>1/(1+Assumptions!$B3)^D4</f>
        <v/>
      </c>
      <c r="E23" s="18">
        <f>1/(1+Assumptions!$B3)^E4</f>
        <v/>
      </c>
      <c r="F23" s="18">
        <f>1/(1+Assumptions!$B3)^F4</f>
        <v/>
      </c>
      <c r="G23" s="18">
        <f>1/(1+Assumptions!$B3)^G4</f>
        <v/>
      </c>
      <c r="H23" s="18">
        <f>1/(1+Assumptions!$B3)^H4</f>
        <v/>
      </c>
      <c r="I23" s="18">
        <f>1/(1+Assumptions!$B3)^I4</f>
        <v/>
      </c>
      <c r="J23" s="18">
        <f>1/(1+Assumptions!$B3)^J4</f>
        <v/>
      </c>
      <c r="K23" s="18">
        <f>1/(1+Assumptions!$B3)^K4</f>
        <v/>
      </c>
      <c r="L23" s="18">
        <f>1/(1+Assumptions!$B3)^L4</f>
        <v/>
      </c>
    </row>
    <row r="24">
      <c r="A24" s="1" t="inlineStr">
        <is>
          <t>PV of FCF</t>
        </is>
      </c>
      <c r="C24" s="14">
        <f>C22*C23</f>
        <v/>
      </c>
      <c r="D24" s="14">
        <f>D22*D23</f>
        <v/>
      </c>
      <c r="E24" s="14">
        <f>E22*E23</f>
        <v/>
      </c>
      <c r="F24" s="14">
        <f>F22*F23</f>
        <v/>
      </c>
      <c r="G24" s="14">
        <f>G22*G23</f>
        <v/>
      </c>
      <c r="H24" s="14">
        <f>H22*H23</f>
        <v/>
      </c>
      <c r="I24" s="14">
        <f>I22*I23</f>
        <v/>
      </c>
      <c r="J24" s="14">
        <f>J22*J23</f>
        <v/>
      </c>
      <c r="K24" s="14">
        <f>K22*K23</f>
        <v/>
      </c>
      <c r="L24" s="14">
        <f>L22*L23</f>
        <v/>
      </c>
    </row>
    <row r="26">
      <c r="A26" s="1" t="inlineStr">
        <is>
          <t>Memo: FCF before SBC (company-style)</t>
        </is>
      </c>
      <c r="C26" s="14">
        <f>C22-C10</f>
        <v/>
      </c>
      <c r="D26" s="14">
        <f>D22-D10</f>
        <v/>
      </c>
      <c r="E26" s="14">
        <f>E22-E10</f>
        <v/>
      </c>
      <c r="F26" s="14">
        <f>F22-F10</f>
        <v/>
      </c>
      <c r="G26" s="14">
        <f>G22-G10</f>
        <v/>
      </c>
      <c r="H26" s="14">
        <f>H22-H10</f>
        <v/>
      </c>
      <c r="I26" s="14">
        <f>I22-I10</f>
        <v/>
      </c>
      <c r="J26" s="14">
        <f>J22-J10</f>
        <v/>
      </c>
      <c r="K26" s="14">
        <f>K22-K10</f>
        <v/>
      </c>
      <c r="L26" s="14">
        <f>L22-L10</f>
        <v/>
      </c>
    </row>
    <row r="27">
      <c r="A27" s="1" t="inlineStr">
        <is>
          <t>Memo: implied owner-FCF margin</t>
        </is>
      </c>
      <c r="C27" s="7">
        <f>C22/C6</f>
        <v/>
      </c>
      <c r="D27" s="7">
        <f>D22/D6</f>
        <v/>
      </c>
      <c r="E27" s="7">
        <f>E22/E6</f>
        <v/>
      </c>
      <c r="F27" s="7">
        <f>F22/F6</f>
        <v/>
      </c>
      <c r="G27" s="7">
        <f>G22/G6</f>
        <v/>
      </c>
      <c r="H27" s="7">
        <f>H22/H6</f>
        <v/>
      </c>
      <c r="I27" s="7">
        <f>I22/I6</f>
        <v/>
      </c>
      <c r="J27" s="7">
        <f>J22/J6</f>
        <v/>
      </c>
      <c r="K27" s="7">
        <f>K22/K6</f>
        <v/>
      </c>
      <c r="L27" s="7">
        <f>L22/L6</f>
        <v/>
      </c>
    </row>
    <row r="29">
      <c r="A29" s="1" t="inlineStr">
        <is>
          <t>Sum of PV of FCF</t>
        </is>
      </c>
      <c r="B29" s="14">
        <f>SUM(C24:L24)</f>
        <v/>
      </c>
    </row>
    <row r="30">
      <c r="A30" s="1" t="inlineStr">
        <is>
          <t>Terminal growth</t>
        </is>
      </c>
      <c r="B30" s="19">
        <f>Assumptions!$B$14</f>
        <v/>
      </c>
    </row>
    <row r="31">
      <c r="A31" s="1" t="inlineStr">
        <is>
          <t>TV cap multiple</t>
        </is>
      </c>
      <c r="B31" s="20">
        <f>Assumptions!$C$14</f>
        <v/>
      </c>
    </row>
    <row r="32">
      <c r="A32" s="1" t="inlineStr">
        <is>
          <t>Terminal year FCF x (1+g)</t>
        </is>
      </c>
      <c r="B32" s="14">
        <f>L22*(1+B30)</f>
        <v/>
      </c>
    </row>
    <row r="33">
      <c r="A33" s="1" t="inlineStr">
        <is>
          <t>Gordon terminal value</t>
        </is>
      </c>
      <c r="B33" s="14">
        <f>IF(Assumptions!$B3&gt;B30,B32/(Assumptions!$B3-B30),B32*B31)</f>
        <v/>
      </c>
    </row>
    <row r="34">
      <c r="A34" s="1" t="inlineStr">
        <is>
          <t>Cap terminal value</t>
        </is>
      </c>
      <c r="B34" s="14">
        <f>B31*L22</f>
        <v/>
      </c>
    </row>
    <row r="35">
      <c r="A35" s="1" t="inlineStr">
        <is>
          <t>TV used  = MAX(0, MIN(Gordon, cap))</t>
        </is>
      </c>
      <c r="B35" s="14">
        <f>MAX(0,MIN(B33,B34))</f>
        <v/>
      </c>
    </row>
    <row r="36">
      <c r="A36" s="1" t="inlineStr">
        <is>
          <t>Implied exit multiple</t>
        </is>
      </c>
      <c r="B36" s="21">
        <f>IFERROR(B35/L22,0)</f>
        <v/>
      </c>
    </row>
    <row r="37">
      <c r="A37" s="1" t="inlineStr">
        <is>
          <t>PV of terminal value</t>
        </is>
      </c>
      <c r="B37" s="14">
        <f>B35*L23</f>
        <v/>
      </c>
    </row>
    <row r="38">
      <c r="A38" s="1" t="inlineStr">
        <is>
          <t>Enterprise value</t>
        </is>
      </c>
      <c r="B38" s="14">
        <f>B29+B37</f>
        <v/>
      </c>
    </row>
    <row r="39">
      <c r="A39" s="1" t="inlineStr">
        <is>
          <t>less net debt (add net cash)</t>
        </is>
      </c>
      <c r="B39" s="16">
        <f>-Assumptions!$B6</f>
        <v/>
      </c>
    </row>
    <row r="40">
      <c r="A40" s="1" t="inlineStr">
        <is>
          <t>Equity value</t>
        </is>
      </c>
      <c r="B40" s="14">
        <f>B38+B39</f>
        <v/>
      </c>
    </row>
    <row r="41">
      <c r="A41" s="1" t="inlineStr">
        <is>
          <t>Diluted shares (m)</t>
        </is>
      </c>
      <c r="B41" s="16">
        <f>Assumptions!$B7</f>
        <v/>
      </c>
    </row>
    <row r="42">
      <c r="A42" s="1" t="inlineStr">
        <is>
          <t>VALUE PER SHARE</t>
        </is>
      </c>
      <c r="B42" s="22">
        <f>B40/B41</f>
        <v/>
      </c>
    </row>
    <row r="43">
      <c r="A43" s="1" t="inlineStr">
        <is>
          <t>Upside vs current price</t>
        </is>
      </c>
      <c r="B43" s="7">
        <f>B42/Assumptions!$B8-1</f>
        <v/>
      </c>
    </row>
    <row r="45">
      <c r="A45" s="11" t="inlineStr">
        <is>
          <t>Street basis memo (SBC treated as non-cash)</t>
        </is>
      </c>
    </row>
    <row r="46">
      <c r="A46" s="1" t="inlineStr">
        <is>
          <t>PV of explicit-period SBC</t>
        </is>
      </c>
      <c r="B46" s="14">
        <f>SUMPRODUCT(-C10:L10,C23:L23)</f>
        <v/>
      </c>
    </row>
    <row r="47">
      <c r="A47" s="1" t="inlineStr">
        <is>
          <t>PV of terminal SBC</t>
        </is>
      </c>
      <c r="B47" s="14">
        <f>IF(Assumptions!$B3&gt;B30,(-L10*(1+B30)/(Assumptions!$B3-B30))*L23,0)</f>
        <v/>
      </c>
    </row>
    <row r="48">
      <c r="A48" s="1" t="inlineStr">
        <is>
          <t>STREET VALUE PER SHARE</t>
        </is>
      </c>
      <c r="B48" s="23">
        <f>(B40+B46+B47)/B41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3" t="inlineStr">
        <is>
          <t>BULL case - component owner-FCF build (NZD millions)</t>
        </is>
      </c>
    </row>
    <row r="3">
      <c r="A3" s="1" t="inlineStr">
        <is>
          <t>Year</t>
        </is>
      </c>
      <c r="B3" s="4" t="inlineStr">
        <is>
          <t>FY2026A</t>
        </is>
      </c>
      <c r="C3" s="4" t="inlineStr">
        <is>
          <t>FY2027E</t>
        </is>
      </c>
      <c r="D3" s="4" t="inlineStr">
        <is>
          <t>FY2028E</t>
        </is>
      </c>
      <c r="E3" s="4" t="inlineStr">
        <is>
          <t>FY2029E</t>
        </is>
      </c>
      <c r="F3" s="4" t="inlineStr">
        <is>
          <t>FY2030E</t>
        </is>
      </c>
      <c r="G3" s="4" t="inlineStr">
        <is>
          <t>FY2031E</t>
        </is>
      </c>
      <c r="H3" s="4" t="inlineStr">
        <is>
          <t>FY2032E</t>
        </is>
      </c>
      <c r="I3" s="4" t="inlineStr">
        <is>
          <t>FY2033E</t>
        </is>
      </c>
      <c r="J3" s="4" t="inlineStr">
        <is>
          <t>FY2034E</t>
        </is>
      </c>
      <c r="K3" s="4" t="inlineStr">
        <is>
          <t>FY2035E</t>
        </is>
      </c>
      <c r="L3" s="4" t="inlineStr">
        <is>
          <t>FY2036E</t>
        </is>
      </c>
    </row>
    <row r="4">
      <c r="A4" s="1" t="inlineStr">
        <is>
          <t>Year index</t>
        </is>
      </c>
      <c r="B4" t="n">
        <v>0</v>
      </c>
      <c r="C4" t="n">
        <v>1</v>
      </c>
      <c r="D4" t="n">
        <v>2</v>
      </c>
      <c r="E4" t="n">
        <v>3</v>
      </c>
      <c r="F4" t="n">
        <v>4</v>
      </c>
      <c r="G4" t="n">
        <v>5</v>
      </c>
      <c r="H4" t="n">
        <v>6</v>
      </c>
      <c r="I4" t="n">
        <v>7</v>
      </c>
      <c r="J4" t="n">
        <v>8</v>
      </c>
      <c r="K4" t="n">
        <v>9</v>
      </c>
      <c r="L4" t="n">
        <v>10</v>
      </c>
    </row>
    <row r="5">
      <c r="A5" s="1" t="inlineStr">
        <is>
          <t>Revenue growth YoY  [DRIVER]</t>
        </is>
      </c>
      <c r="C5" s="8" t="n">
        <v>0.11</v>
      </c>
      <c r="D5" s="8" t="n">
        <v>0.16</v>
      </c>
      <c r="E5" s="8" t="n">
        <v>0.18</v>
      </c>
      <c r="F5" s="8" t="n">
        <v>0.16</v>
      </c>
      <c r="G5" s="8" t="n">
        <v>0.14</v>
      </c>
      <c r="H5" s="8" t="n">
        <v>0.12</v>
      </c>
      <c r="I5" s="8" t="n">
        <v>0.1</v>
      </c>
      <c r="J5" s="8" t="n">
        <v>0.08</v>
      </c>
      <c r="K5" s="8" t="n">
        <v>0.065</v>
      </c>
      <c r="L5" s="8" t="n">
        <v>0.055</v>
      </c>
    </row>
    <row r="6">
      <c r="A6" s="1" t="inlineStr">
        <is>
          <t>Revenue</t>
        </is>
      </c>
      <c r="B6" s="5" t="n">
        <v>119.391</v>
      </c>
      <c r="C6" s="14">
        <f>B6*(1+C5)</f>
        <v/>
      </c>
      <c r="D6" s="14">
        <f>C6*(1+D5)</f>
        <v/>
      </c>
      <c r="E6" s="14">
        <f>D6*(1+E5)</f>
        <v/>
      </c>
      <c r="F6" s="14">
        <f>E6*(1+F5)</f>
        <v/>
      </c>
      <c r="G6" s="14">
        <f>F6*(1+G5)</f>
        <v/>
      </c>
      <c r="H6" s="14">
        <f>G6*(1+H5)</f>
        <v/>
      </c>
      <c r="I6" s="14">
        <f>H6*(1+I5)</f>
        <v/>
      </c>
      <c r="J6" s="14">
        <f>I6*(1+J5)</f>
        <v/>
      </c>
      <c r="K6" s="14">
        <f>J6*(1+K5)</f>
        <v/>
      </c>
      <c r="L6" s="14">
        <f>K6*(1+L5)</f>
        <v/>
      </c>
    </row>
    <row r="7">
      <c r="A7" s="1" t="inlineStr">
        <is>
          <t>Adj EBITDA margin  [DRIVER]</t>
        </is>
      </c>
      <c r="C7" s="8" t="n">
        <v>0.05</v>
      </c>
      <c r="D7" s="8" t="n">
        <v>0.09</v>
      </c>
      <c r="E7" s="8" t="n">
        <v>0.13</v>
      </c>
      <c r="F7" s="8" t="n">
        <v>0.17</v>
      </c>
      <c r="G7" s="8" t="n">
        <v>0.205</v>
      </c>
      <c r="H7" s="8" t="n">
        <v>0.23</v>
      </c>
      <c r="I7" s="8" t="n">
        <v>0.25</v>
      </c>
      <c r="J7" s="8" t="n">
        <v>0.26</v>
      </c>
      <c r="K7" s="8" t="n">
        <v>0.27</v>
      </c>
      <c r="L7" s="8" t="n">
        <v>0.275</v>
      </c>
    </row>
    <row r="8">
      <c r="A8" s="1" t="inlineStr">
        <is>
          <t>Adjusted EBITDA</t>
        </is>
      </c>
      <c r="C8" s="14">
        <f>C6*C7</f>
        <v/>
      </c>
      <c r="D8" s="14">
        <f>D6*D7</f>
        <v/>
      </c>
      <c r="E8" s="14">
        <f>E6*E7</f>
        <v/>
      </c>
      <c r="F8" s="14">
        <f>F6*F7</f>
        <v/>
      </c>
      <c r="G8" s="14">
        <f>G6*G7</f>
        <v/>
      </c>
      <c r="H8" s="14">
        <f>H6*H7</f>
        <v/>
      </c>
      <c r="I8" s="14">
        <f>I6*I7</f>
        <v/>
      </c>
      <c r="J8" s="14">
        <f>J6*J7</f>
        <v/>
      </c>
      <c r="K8" s="14">
        <f>K6*K7</f>
        <v/>
      </c>
      <c r="L8" s="14">
        <f>L6*L7</f>
        <v/>
      </c>
    </row>
    <row r="9">
      <c r="A9" s="1" t="inlineStr">
        <is>
          <t>SBC % of revenue  [DRIVER]</t>
        </is>
      </c>
      <c r="C9" s="8" t="n">
        <v>0.06</v>
      </c>
      <c r="D9" s="8" t="n">
        <v>0.057</v>
      </c>
      <c r="E9" s="8" t="n">
        <v>0.05400000000000001</v>
      </c>
      <c r="F9" s="8" t="n">
        <v>0.051</v>
      </c>
      <c r="G9" s="8" t="n">
        <v>0.048</v>
      </c>
      <c r="H9" s="8" t="n">
        <v>0.045</v>
      </c>
      <c r="I9" s="8" t="n">
        <v>0.043</v>
      </c>
      <c r="J9" s="8" t="n">
        <v>0.04099999999999999</v>
      </c>
      <c r="K9" s="8" t="n">
        <v>0.04</v>
      </c>
      <c r="L9" s="8" t="n">
        <v>0.04</v>
      </c>
    </row>
    <row r="10">
      <c r="A10" s="1" t="inlineStr">
        <is>
          <t>less SBC</t>
        </is>
      </c>
      <c r="C10" s="14">
        <f>-C6*C9</f>
        <v/>
      </c>
      <c r="D10" s="14">
        <f>-D6*D9</f>
        <v/>
      </c>
      <c r="E10" s="14">
        <f>-E6*E9</f>
        <v/>
      </c>
      <c r="F10" s="14">
        <f>-F6*F9</f>
        <v/>
      </c>
      <c r="G10" s="14">
        <f>-G6*G9</f>
        <v/>
      </c>
      <c r="H10" s="14">
        <f>-H6*H9</f>
        <v/>
      </c>
      <c r="I10" s="14">
        <f>-I6*I9</f>
        <v/>
      </c>
      <c r="J10" s="14">
        <f>-J6*J9</f>
        <v/>
      </c>
      <c r="K10" s="14">
        <f>-K6*K9</f>
        <v/>
      </c>
      <c r="L10" s="14">
        <f>-L6*L9</f>
        <v/>
      </c>
    </row>
    <row r="11">
      <c r="A11" s="1" t="inlineStr">
        <is>
          <t>Lease cost % of revenue (IFRS-16 principal)</t>
        </is>
      </c>
      <c r="C11" s="15" t="n">
        <v>0.011</v>
      </c>
      <c r="D11" s="15" t="n">
        <v>0.01</v>
      </c>
      <c r="E11" s="15" t="n">
        <v>0.01</v>
      </c>
      <c r="F11" s="15" t="n">
        <v>0.01</v>
      </c>
      <c r="G11" s="15" t="n">
        <v>0.01</v>
      </c>
      <c r="H11" s="15" t="n">
        <v>0.01</v>
      </c>
      <c r="I11" s="15" t="n">
        <v>0.01</v>
      </c>
      <c r="J11" s="15" t="n">
        <v>0.01</v>
      </c>
      <c r="K11" s="15" t="n">
        <v>0.01</v>
      </c>
      <c r="L11" s="15" t="n">
        <v>0.01</v>
      </c>
    </row>
    <row r="12">
      <c r="A12" s="1" t="inlineStr">
        <is>
          <t>less lease cost</t>
        </is>
      </c>
      <c r="C12" s="14">
        <f>-C6*C11</f>
        <v/>
      </c>
      <c r="D12" s="14">
        <f>-D6*D11</f>
        <v/>
      </c>
      <c r="E12" s="14">
        <f>-E6*E11</f>
        <v/>
      </c>
      <c r="F12" s="14">
        <f>-F6*F11</f>
        <v/>
      </c>
      <c r="G12" s="14">
        <f>-G6*G11</f>
        <v/>
      </c>
      <c r="H12" s="14">
        <f>-H6*H11</f>
        <v/>
      </c>
      <c r="I12" s="14">
        <f>-I6*I11</f>
        <v/>
      </c>
      <c r="J12" s="14">
        <f>-J6*J11</f>
        <v/>
      </c>
      <c r="K12" s="14">
        <f>-K6*K11</f>
        <v/>
      </c>
      <c r="L12" s="14">
        <f>-L6*L11</f>
        <v/>
      </c>
    </row>
    <row r="13">
      <c r="A13" s="1" t="inlineStr">
        <is>
          <t>D&amp;A % of revenue</t>
        </is>
      </c>
      <c r="C13" s="15" t="n">
        <v>0.125</v>
      </c>
      <c r="D13" s="15" t="n">
        <v>0.115</v>
      </c>
      <c r="E13" s="15" t="n">
        <v>0.105</v>
      </c>
      <c r="F13" s="15" t="n">
        <v>0.095</v>
      </c>
      <c r="G13" s="15" t="n">
        <v>0.09</v>
      </c>
      <c r="H13" s="15" t="n">
        <v>0.08500000000000001</v>
      </c>
      <c r="I13" s="15" t="n">
        <v>0.08</v>
      </c>
      <c r="J13" s="15" t="n">
        <v>0.08</v>
      </c>
      <c r="K13" s="15" t="n">
        <v>0.08</v>
      </c>
      <c r="L13" s="15" t="n">
        <v>0.08</v>
      </c>
    </row>
    <row r="14">
      <c r="A14" s="1" t="inlineStr">
        <is>
          <t>less D&amp;A</t>
        </is>
      </c>
      <c r="C14" s="14">
        <f>-C6*C13</f>
        <v/>
      </c>
      <c r="D14" s="14">
        <f>-D6*D13</f>
        <v/>
      </c>
      <c r="E14" s="14">
        <f>-E6*E13</f>
        <v/>
      </c>
      <c r="F14" s="14">
        <f>-F6*F13</f>
        <v/>
      </c>
      <c r="G14" s="14">
        <f>-G6*G13</f>
        <v/>
      </c>
      <c r="H14" s="14">
        <f>-H6*H13</f>
        <v/>
      </c>
      <c r="I14" s="14">
        <f>-I6*I13</f>
        <v/>
      </c>
      <c r="J14" s="14">
        <f>-J6*J13</f>
        <v/>
      </c>
      <c r="K14" s="14">
        <f>-K6*K13</f>
        <v/>
      </c>
      <c r="L14" s="14">
        <f>-L6*L13</f>
        <v/>
      </c>
    </row>
    <row r="15">
      <c r="A15" s="1" t="inlineStr">
        <is>
          <t>EBIT (SBC and lease expensed)</t>
        </is>
      </c>
      <c r="C15" s="14">
        <f>C8+C10+C12+C14</f>
        <v/>
      </c>
      <c r="D15" s="14">
        <f>D8+D10+D12+D14</f>
        <v/>
      </c>
      <c r="E15" s="14">
        <f>E8+E10+E12+E14</f>
        <v/>
      </c>
      <c r="F15" s="14">
        <f>F8+F10+F12+F14</f>
        <v/>
      </c>
      <c r="G15" s="14">
        <f>G8+G10+G12+G14</f>
        <v/>
      </c>
      <c r="H15" s="14">
        <f>H8+H10+H12+H14</f>
        <v/>
      </c>
      <c r="I15" s="14">
        <f>I8+I10+I12+I14</f>
        <v/>
      </c>
      <c r="J15" s="14">
        <f>J8+J10+J12+J14</f>
        <v/>
      </c>
      <c r="K15" s="14">
        <f>K8+K10+K12+K14</f>
        <v/>
      </c>
      <c r="L15" s="14">
        <f>L8+L10+L12+L14</f>
        <v/>
      </c>
    </row>
    <row r="16">
      <c r="A16" s="1" t="inlineStr">
        <is>
          <t>Cash tax rate  [DRIVER]</t>
        </is>
      </c>
      <c r="C16" s="8" t="n">
        <v>0</v>
      </c>
      <c r="D16" s="8" t="n">
        <v>0</v>
      </c>
      <c r="E16" s="8" t="n">
        <v>0</v>
      </c>
      <c r="F16" s="8" t="n">
        <v>0</v>
      </c>
      <c r="G16" s="8" t="n">
        <v>0</v>
      </c>
      <c r="H16" s="8" t="n">
        <v>0.05</v>
      </c>
      <c r="I16" s="8" t="n">
        <v>0.12</v>
      </c>
      <c r="J16" s="8" t="n">
        <v>0.18</v>
      </c>
      <c r="K16" s="8" t="n">
        <v>0.24</v>
      </c>
      <c r="L16" s="8" t="n">
        <v>0.28</v>
      </c>
    </row>
    <row r="17">
      <c r="A17" s="1" t="inlineStr">
        <is>
          <t>NOPAT (tax on positive EBIT only)</t>
        </is>
      </c>
      <c r="C17" s="14">
        <f>C15-MAX(0,C15)*C16</f>
        <v/>
      </c>
      <c r="D17" s="14">
        <f>D15-MAX(0,D15)*D16</f>
        <v/>
      </c>
      <c r="E17" s="14">
        <f>E15-MAX(0,E15)*E16</f>
        <v/>
      </c>
      <c r="F17" s="14">
        <f>F15-MAX(0,F15)*F16</f>
        <v/>
      </c>
      <c r="G17" s="14">
        <f>G15-MAX(0,G15)*G16</f>
        <v/>
      </c>
      <c r="H17" s="14">
        <f>H15-MAX(0,H15)*H16</f>
        <v/>
      </c>
      <c r="I17" s="14">
        <f>I15-MAX(0,I15)*I16</f>
        <v/>
      </c>
      <c r="J17" s="14">
        <f>J15-MAX(0,J15)*J16</f>
        <v/>
      </c>
      <c r="K17" s="14">
        <f>K15-MAX(0,K15)*K16</f>
        <v/>
      </c>
      <c r="L17" s="14">
        <f>L15-MAX(0,L15)*L16</f>
        <v/>
      </c>
    </row>
    <row r="18">
      <c r="A18" s="1" t="inlineStr">
        <is>
          <t>add back D&amp;A</t>
        </is>
      </c>
      <c r="C18" s="14">
        <f>-C14</f>
        <v/>
      </c>
      <c r="D18" s="14">
        <f>-D14</f>
        <v/>
      </c>
      <c r="E18" s="14">
        <f>-E14</f>
        <v/>
      </c>
      <c r="F18" s="14">
        <f>-F14</f>
        <v/>
      </c>
      <c r="G18" s="14">
        <f>-G14</f>
        <v/>
      </c>
      <c r="H18" s="14">
        <f>-H14</f>
        <v/>
      </c>
      <c r="I18" s="14">
        <f>-I14</f>
        <v/>
      </c>
      <c r="J18" s="14">
        <f>-J14</f>
        <v/>
      </c>
      <c r="K18" s="14">
        <f>-K14</f>
        <v/>
      </c>
      <c r="L18" s="14">
        <f>-L14</f>
        <v/>
      </c>
    </row>
    <row r="19">
      <c r="A19" s="1" t="inlineStr">
        <is>
          <t>Capex % of revenue</t>
        </is>
      </c>
      <c r="C19" s="15" t="n">
        <v>0.08500000000000001</v>
      </c>
      <c r="D19" s="15" t="n">
        <v>0.08</v>
      </c>
      <c r="E19" s="15" t="n">
        <v>0.078</v>
      </c>
      <c r="F19" s="15" t="n">
        <v>0.075</v>
      </c>
      <c r="G19" s="15" t="n">
        <v>0.07200000000000001</v>
      </c>
      <c r="H19" s="15" t="n">
        <v>0.07000000000000001</v>
      </c>
      <c r="I19" s="15" t="n">
        <v>0.07000000000000001</v>
      </c>
      <c r="J19" s="15" t="n">
        <v>0.07000000000000001</v>
      </c>
      <c r="K19" s="15" t="n">
        <v>0.07000000000000001</v>
      </c>
      <c r="L19" s="15" t="n">
        <v>0.07000000000000001</v>
      </c>
    </row>
    <row r="20">
      <c r="A20" s="1" t="inlineStr">
        <is>
          <t>less capex</t>
        </is>
      </c>
      <c r="C20" s="14">
        <f>-C6*C19</f>
        <v/>
      </c>
      <c r="D20" s="14">
        <f>-D6*D19</f>
        <v/>
      </c>
      <c r="E20" s="14">
        <f>-E6*E19</f>
        <v/>
      </c>
      <c r="F20" s="14">
        <f>-F6*F19</f>
        <v/>
      </c>
      <c r="G20" s="14">
        <f>-G6*G19</f>
        <v/>
      </c>
      <c r="H20" s="14">
        <f>-H6*H19</f>
        <v/>
      </c>
      <c r="I20" s="14">
        <f>-I6*I19</f>
        <v/>
      </c>
      <c r="J20" s="14">
        <f>-J6*J19</f>
        <v/>
      </c>
      <c r="K20" s="14">
        <f>-K6*K19</f>
        <v/>
      </c>
      <c r="L20" s="14">
        <f>-L6*L19</f>
        <v/>
      </c>
    </row>
    <row r="21">
      <c r="A21" s="1" t="inlineStr">
        <is>
          <t>add working capital (on revenue CHANGE)</t>
        </is>
      </c>
      <c r="C21" s="16">
        <f>Assumptions!$E$15*(C6-B6)</f>
        <v/>
      </c>
      <c r="D21" s="16">
        <f>Assumptions!$E$15*(D6-C6)</f>
        <v/>
      </c>
      <c r="E21" s="16">
        <f>Assumptions!$E$15*(E6-D6)</f>
        <v/>
      </c>
      <c r="F21" s="16">
        <f>Assumptions!$E$15*(F6-E6)</f>
        <v/>
      </c>
      <c r="G21" s="16">
        <f>Assumptions!$E$15*(G6-F6)</f>
        <v/>
      </c>
      <c r="H21" s="16">
        <f>Assumptions!$E$15*(H6-G6)</f>
        <v/>
      </c>
      <c r="I21" s="16">
        <f>Assumptions!$E$15*(I6-H6)</f>
        <v/>
      </c>
      <c r="J21" s="16">
        <f>Assumptions!$E$15*(J6-I6)</f>
        <v/>
      </c>
      <c r="K21" s="16">
        <f>Assumptions!$E$15*(K6-J6)</f>
        <v/>
      </c>
      <c r="L21" s="16">
        <f>Assumptions!$E$15*(L6-K6)</f>
        <v/>
      </c>
    </row>
    <row r="22">
      <c r="A22" s="1" t="inlineStr">
        <is>
          <t>UNLEVERED OWNER FCF</t>
        </is>
      </c>
      <c r="C22" s="17">
        <f>C17+C18+C20+C21</f>
        <v/>
      </c>
      <c r="D22" s="17">
        <f>D17+D18+D20+D21</f>
        <v/>
      </c>
      <c r="E22" s="17">
        <f>E17+E18+E20+E21</f>
        <v/>
      </c>
      <c r="F22" s="17">
        <f>F17+F18+F20+F21</f>
        <v/>
      </c>
      <c r="G22" s="17">
        <f>G17+G18+G20+G21</f>
        <v/>
      </c>
      <c r="H22" s="17">
        <f>H17+H18+H20+H21</f>
        <v/>
      </c>
      <c r="I22" s="17">
        <f>I17+I18+I20+I21</f>
        <v/>
      </c>
      <c r="J22" s="17">
        <f>J17+J18+J20+J21</f>
        <v/>
      </c>
      <c r="K22" s="17">
        <f>K17+K18+K20+K21</f>
        <v/>
      </c>
      <c r="L22" s="17">
        <f>L17+L18+L20+L21</f>
        <v/>
      </c>
    </row>
    <row r="23">
      <c r="A23" s="1" t="inlineStr">
        <is>
          <t>Discount factor</t>
        </is>
      </c>
      <c r="C23" s="18">
        <f>1/(1+Assumptions!$B3)^C4</f>
        <v/>
      </c>
      <c r="D23" s="18">
        <f>1/(1+Assumptions!$B3)^D4</f>
        <v/>
      </c>
      <c r="E23" s="18">
        <f>1/(1+Assumptions!$B3)^E4</f>
        <v/>
      </c>
      <c r="F23" s="18">
        <f>1/(1+Assumptions!$B3)^F4</f>
        <v/>
      </c>
      <c r="G23" s="18">
        <f>1/(1+Assumptions!$B3)^G4</f>
        <v/>
      </c>
      <c r="H23" s="18">
        <f>1/(1+Assumptions!$B3)^H4</f>
        <v/>
      </c>
      <c r="I23" s="18">
        <f>1/(1+Assumptions!$B3)^I4</f>
        <v/>
      </c>
      <c r="J23" s="18">
        <f>1/(1+Assumptions!$B3)^J4</f>
        <v/>
      </c>
      <c r="K23" s="18">
        <f>1/(1+Assumptions!$B3)^K4</f>
        <v/>
      </c>
      <c r="L23" s="18">
        <f>1/(1+Assumptions!$B3)^L4</f>
        <v/>
      </c>
    </row>
    <row r="24">
      <c r="A24" s="1" t="inlineStr">
        <is>
          <t>PV of FCF</t>
        </is>
      </c>
      <c r="C24" s="14">
        <f>C22*C23</f>
        <v/>
      </c>
      <c r="D24" s="14">
        <f>D22*D23</f>
        <v/>
      </c>
      <c r="E24" s="14">
        <f>E22*E23</f>
        <v/>
      </c>
      <c r="F24" s="14">
        <f>F22*F23</f>
        <v/>
      </c>
      <c r="G24" s="14">
        <f>G22*G23</f>
        <v/>
      </c>
      <c r="H24" s="14">
        <f>H22*H23</f>
        <v/>
      </c>
      <c r="I24" s="14">
        <f>I22*I23</f>
        <v/>
      </c>
      <c r="J24" s="14">
        <f>J22*J23</f>
        <v/>
      </c>
      <c r="K24" s="14">
        <f>K22*K23</f>
        <v/>
      </c>
      <c r="L24" s="14">
        <f>L22*L23</f>
        <v/>
      </c>
    </row>
    <row r="26">
      <c r="A26" s="1" t="inlineStr">
        <is>
          <t>Memo: FCF before SBC (company-style)</t>
        </is>
      </c>
      <c r="C26" s="14">
        <f>C22-C10</f>
        <v/>
      </c>
      <c r="D26" s="14">
        <f>D22-D10</f>
        <v/>
      </c>
      <c r="E26" s="14">
        <f>E22-E10</f>
        <v/>
      </c>
      <c r="F26" s="14">
        <f>F22-F10</f>
        <v/>
      </c>
      <c r="G26" s="14">
        <f>G22-G10</f>
        <v/>
      </c>
      <c r="H26" s="14">
        <f>H22-H10</f>
        <v/>
      </c>
      <c r="I26" s="14">
        <f>I22-I10</f>
        <v/>
      </c>
      <c r="J26" s="14">
        <f>J22-J10</f>
        <v/>
      </c>
      <c r="K26" s="14">
        <f>K22-K10</f>
        <v/>
      </c>
      <c r="L26" s="14">
        <f>L22-L10</f>
        <v/>
      </c>
    </row>
    <row r="27">
      <c r="A27" s="1" t="inlineStr">
        <is>
          <t>Memo: implied owner-FCF margin</t>
        </is>
      </c>
      <c r="C27" s="7">
        <f>C22/C6</f>
        <v/>
      </c>
      <c r="D27" s="7">
        <f>D22/D6</f>
        <v/>
      </c>
      <c r="E27" s="7">
        <f>E22/E6</f>
        <v/>
      </c>
      <c r="F27" s="7">
        <f>F22/F6</f>
        <v/>
      </c>
      <c r="G27" s="7">
        <f>G22/G6</f>
        <v/>
      </c>
      <c r="H27" s="7">
        <f>H22/H6</f>
        <v/>
      </c>
      <c r="I27" s="7">
        <f>I22/I6</f>
        <v/>
      </c>
      <c r="J27" s="7">
        <f>J22/J6</f>
        <v/>
      </c>
      <c r="K27" s="7">
        <f>K22/K6</f>
        <v/>
      </c>
      <c r="L27" s="7">
        <f>L22/L6</f>
        <v/>
      </c>
    </row>
    <row r="29">
      <c r="A29" s="1" t="inlineStr">
        <is>
          <t>Sum of PV of FCF</t>
        </is>
      </c>
      <c r="B29" s="14">
        <f>SUM(C24:L24)</f>
        <v/>
      </c>
    </row>
    <row r="30">
      <c r="A30" s="1" t="inlineStr">
        <is>
          <t>Terminal growth</t>
        </is>
      </c>
      <c r="B30" s="19">
        <f>Assumptions!$B$15</f>
        <v/>
      </c>
    </row>
    <row r="31">
      <c r="A31" s="1" t="inlineStr">
        <is>
          <t>TV cap multiple</t>
        </is>
      </c>
      <c r="B31" s="20">
        <f>Assumptions!$C$15</f>
        <v/>
      </c>
    </row>
    <row r="32">
      <c r="A32" s="1" t="inlineStr">
        <is>
          <t>Terminal year FCF x (1+g)</t>
        </is>
      </c>
      <c r="B32" s="14">
        <f>L22*(1+B30)</f>
        <v/>
      </c>
    </row>
    <row r="33">
      <c r="A33" s="1" t="inlineStr">
        <is>
          <t>Gordon terminal value</t>
        </is>
      </c>
      <c r="B33" s="14">
        <f>IF(Assumptions!$B3&gt;B30,B32/(Assumptions!$B3-B30),B32*B31)</f>
        <v/>
      </c>
    </row>
    <row r="34">
      <c r="A34" s="1" t="inlineStr">
        <is>
          <t>Cap terminal value</t>
        </is>
      </c>
      <c r="B34" s="14">
        <f>B31*L22</f>
        <v/>
      </c>
    </row>
    <row r="35">
      <c r="A35" s="1" t="inlineStr">
        <is>
          <t>TV used  = MAX(0, MIN(Gordon, cap))</t>
        </is>
      </c>
      <c r="B35" s="14">
        <f>MAX(0,MIN(B33,B34))</f>
        <v/>
      </c>
    </row>
    <row r="36">
      <c r="A36" s="1" t="inlineStr">
        <is>
          <t>Implied exit multiple</t>
        </is>
      </c>
      <c r="B36" s="21">
        <f>IFERROR(B35/L22,0)</f>
        <v/>
      </c>
    </row>
    <row r="37">
      <c r="A37" s="1" t="inlineStr">
        <is>
          <t>PV of terminal value</t>
        </is>
      </c>
      <c r="B37" s="14">
        <f>B35*L23</f>
        <v/>
      </c>
    </row>
    <row r="38">
      <c r="A38" s="1" t="inlineStr">
        <is>
          <t>Enterprise value</t>
        </is>
      </c>
      <c r="B38" s="14">
        <f>B29+B37</f>
        <v/>
      </c>
    </row>
    <row r="39">
      <c r="A39" s="1" t="inlineStr">
        <is>
          <t>less net debt (add net cash)</t>
        </is>
      </c>
      <c r="B39" s="16">
        <f>-Assumptions!$B6</f>
        <v/>
      </c>
    </row>
    <row r="40">
      <c r="A40" s="1" t="inlineStr">
        <is>
          <t>Equity value</t>
        </is>
      </c>
      <c r="B40" s="14">
        <f>B38+B39</f>
        <v/>
      </c>
    </row>
    <row r="41">
      <c r="A41" s="1" t="inlineStr">
        <is>
          <t>Diluted shares (m)</t>
        </is>
      </c>
      <c r="B41" s="16">
        <f>Assumptions!$B7</f>
        <v/>
      </c>
    </row>
    <row r="42">
      <c r="A42" s="1" t="inlineStr">
        <is>
          <t>VALUE PER SHARE</t>
        </is>
      </c>
      <c r="B42" s="22">
        <f>B40/B41</f>
        <v/>
      </c>
    </row>
    <row r="43">
      <c r="A43" s="1" t="inlineStr">
        <is>
          <t>Upside vs current price</t>
        </is>
      </c>
      <c r="B43" s="7">
        <f>B42/Assumptions!$B8-1</f>
        <v/>
      </c>
    </row>
    <row r="45">
      <c r="A45" s="11" t="inlineStr">
        <is>
          <t>Street basis memo (SBC treated as non-cash)</t>
        </is>
      </c>
    </row>
    <row r="46">
      <c r="A46" s="1" t="inlineStr">
        <is>
          <t>PV of explicit-period SBC</t>
        </is>
      </c>
      <c r="B46" s="14">
        <f>SUMPRODUCT(-C10:L10,C23:L23)</f>
        <v/>
      </c>
    </row>
    <row r="47">
      <c r="A47" s="1" t="inlineStr">
        <is>
          <t>PV of terminal SBC</t>
        </is>
      </c>
      <c r="B47" s="14">
        <f>IF(Assumptions!$B3&gt;B30,(-L10*(1+B30)/(Assumptions!$B3-B30))*L23,0)</f>
        <v/>
      </c>
    </row>
    <row r="48">
      <c r="A48" s="1" t="inlineStr">
        <is>
          <t>STREET VALUE PER SHARE</t>
        </is>
      </c>
      <c r="B48" s="23">
        <f>(B40+B46+B47)/B41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3" t="inlineStr">
        <is>
          <t>Reported FCF reconciled to owner FCF (NZD millions)</t>
        </is>
      </c>
    </row>
    <row r="3">
      <c r="A3" s="4" t="inlineStr">
        <is>
          <t>NZD millions</t>
        </is>
      </c>
      <c r="B3" s="4" t="inlineStr">
        <is>
          <t>FY2017</t>
        </is>
      </c>
      <c r="C3" s="4" t="inlineStr">
        <is>
          <t>FY2018</t>
        </is>
      </c>
      <c r="D3" s="4" t="inlineStr">
        <is>
          <t>FY2019</t>
        </is>
      </c>
      <c r="E3" s="4" t="inlineStr">
        <is>
          <t>FY2020</t>
        </is>
      </c>
      <c r="F3" s="4" t="inlineStr">
        <is>
          <t>FY2021</t>
        </is>
      </c>
      <c r="G3" s="4" t="inlineStr">
        <is>
          <t>FY2022</t>
        </is>
      </c>
      <c r="H3" s="4" t="inlineStr">
        <is>
          <t>FY2023</t>
        </is>
      </c>
      <c r="I3" s="4" t="inlineStr">
        <is>
          <t>FY2024</t>
        </is>
      </c>
      <c r="J3" s="4" t="inlineStr">
        <is>
          <t>FY2025</t>
        </is>
      </c>
      <c r="K3" s="4" t="inlineStr">
        <is>
          <t>FY2026</t>
        </is>
      </c>
    </row>
    <row r="4">
      <c r="A4" s="1" t="inlineStr">
        <is>
          <t>Free cash flow (company definition)</t>
        </is>
      </c>
      <c r="B4" s="16">
        <f>Actuals!B9</f>
        <v/>
      </c>
      <c r="C4" s="16">
        <f>Actuals!C9</f>
        <v/>
      </c>
      <c r="D4" s="16">
        <f>Actuals!D9</f>
        <v/>
      </c>
      <c r="E4" s="16">
        <f>Actuals!E9</f>
        <v/>
      </c>
      <c r="F4" s="16">
        <f>Actuals!F9</f>
        <v/>
      </c>
      <c r="G4" s="16">
        <f>Actuals!G9</f>
        <v/>
      </c>
      <c r="H4" s="16">
        <f>Actuals!H9</f>
        <v/>
      </c>
      <c r="I4" s="16">
        <f>Actuals!I9</f>
        <v/>
      </c>
      <c r="J4" s="16">
        <f>Actuals!J9</f>
        <v/>
      </c>
      <c r="K4" s="16">
        <f>Actuals!K9</f>
        <v/>
      </c>
    </row>
    <row r="5">
      <c r="A5" s="1" t="inlineStr">
        <is>
          <t>less: share-based payments</t>
        </is>
      </c>
      <c r="B5" s="16">
        <f>-Actuals!B10</f>
        <v/>
      </c>
      <c r="C5" s="16">
        <f>-Actuals!C10</f>
        <v/>
      </c>
      <c r="D5" s="16">
        <f>-Actuals!D10</f>
        <v/>
      </c>
      <c r="E5" s="16">
        <f>-Actuals!E10</f>
        <v/>
      </c>
      <c r="F5" s="16">
        <f>-Actuals!F10</f>
        <v/>
      </c>
      <c r="G5" s="16">
        <f>-Actuals!G10</f>
        <v/>
      </c>
      <c r="H5" s="16">
        <f>-Actuals!H10</f>
        <v/>
      </c>
      <c r="I5" s="16">
        <f>-Actuals!I10</f>
        <v/>
      </c>
      <c r="J5" s="16">
        <f>-Actuals!J10</f>
        <v/>
      </c>
      <c r="K5" s="16">
        <f>-Actuals!K10</f>
        <v/>
      </c>
    </row>
    <row r="6">
      <c r="A6" s="1" t="inlineStr">
        <is>
          <t>less: interest income</t>
        </is>
      </c>
      <c r="B6" s="16">
        <f>-Actuals!B11</f>
        <v/>
      </c>
      <c r="C6" s="16">
        <f>-Actuals!C11</f>
        <v/>
      </c>
      <c r="D6" s="16">
        <f>-Actuals!D11</f>
        <v/>
      </c>
      <c r="E6" s="16">
        <f>-Actuals!E11</f>
        <v/>
      </c>
      <c r="F6" s="16">
        <f>-Actuals!F11</f>
        <v/>
      </c>
      <c r="G6" s="16">
        <f>-Actuals!G11</f>
        <v/>
      </c>
      <c r="H6" s="16">
        <f>-Actuals!H11</f>
        <v/>
      </c>
      <c r="I6" s="16">
        <f>-Actuals!I11</f>
        <v/>
      </c>
      <c r="J6" s="16">
        <f>-Actuals!J11</f>
        <v/>
      </c>
      <c r="K6" s="16">
        <f>-Actuals!K11</f>
        <v/>
      </c>
    </row>
    <row r="7">
      <c r="A7" s="1" t="inlineStr">
        <is>
          <t>less: IFRS-16 lease principal</t>
        </is>
      </c>
      <c r="B7" s="16">
        <f>-Actuals!B12</f>
        <v/>
      </c>
      <c r="C7" s="16">
        <f>-Actuals!C12</f>
        <v/>
      </c>
      <c r="D7" s="16">
        <f>-Actuals!D12</f>
        <v/>
      </c>
      <c r="E7" s="16">
        <f>-Actuals!E12</f>
        <v/>
      </c>
      <c r="F7" s="16">
        <f>-Actuals!F12</f>
        <v/>
      </c>
      <c r="G7" s="16">
        <f>-Actuals!G12</f>
        <v/>
      </c>
      <c r="H7" s="16">
        <f>-Actuals!H12</f>
        <v/>
      </c>
      <c r="I7" s="16">
        <f>-Actuals!I12</f>
        <v/>
      </c>
      <c r="J7" s="16">
        <f>-Actuals!J12</f>
        <v/>
      </c>
      <c r="K7" s="16">
        <f>-Actuals!K12</f>
        <v/>
      </c>
    </row>
    <row r="8">
      <c r="A8" s="1" t="inlineStr">
        <is>
          <t>equals OWNER FCF</t>
        </is>
      </c>
      <c r="B8" s="6">
        <f>SUM(B4:B7)</f>
        <v/>
      </c>
      <c r="C8" s="6">
        <f>SUM(C4:C7)</f>
        <v/>
      </c>
      <c r="D8" s="6">
        <f>SUM(D4:D7)</f>
        <v/>
      </c>
      <c r="E8" s="6">
        <f>SUM(E4:E7)</f>
        <v/>
      </c>
      <c r="F8" s="6">
        <f>SUM(F4:F7)</f>
        <v/>
      </c>
      <c r="G8" s="6">
        <f>SUM(G4:G7)</f>
        <v/>
      </c>
      <c r="H8" s="6">
        <f>SUM(H4:H7)</f>
        <v/>
      </c>
      <c r="I8" s="6">
        <f>SUM(I4:I7)</f>
        <v/>
      </c>
      <c r="J8" s="6">
        <f>SUM(J4:J7)</f>
        <v/>
      </c>
      <c r="K8" s="6">
        <f>SUM(K4:K7)</f>
        <v/>
      </c>
    </row>
    <row r="9">
      <c r="A9" s="1" t="inlineStr">
        <is>
          <t>Reported FCF margin</t>
        </is>
      </c>
      <c r="B9" s="7">
        <f>Actuals!B9/Actuals!B4</f>
        <v/>
      </c>
      <c r="C9" s="7">
        <f>Actuals!C9/Actuals!C4</f>
        <v/>
      </c>
      <c r="D9" s="7">
        <f>Actuals!D9/Actuals!D4</f>
        <v/>
      </c>
      <c r="E9" s="7">
        <f>Actuals!E9/Actuals!E4</f>
        <v/>
      </c>
      <c r="F9" s="7">
        <f>Actuals!F9/Actuals!F4</f>
        <v/>
      </c>
      <c r="G9" s="7">
        <f>Actuals!G9/Actuals!G4</f>
        <v/>
      </c>
      <c r="H9" s="7">
        <f>Actuals!H9/Actuals!H4</f>
        <v/>
      </c>
      <c r="I9" s="7">
        <f>Actuals!I9/Actuals!I4</f>
        <v/>
      </c>
      <c r="J9" s="7">
        <f>Actuals!J9/Actuals!J4</f>
        <v/>
      </c>
      <c r="K9" s="7">
        <f>Actuals!K9/Actuals!K4</f>
        <v/>
      </c>
    </row>
    <row r="10">
      <c r="A10" s="1" t="inlineStr">
        <is>
          <t>Owner FCF margin</t>
        </is>
      </c>
      <c r="B10" s="7">
        <f>B8/Actuals!B4</f>
        <v/>
      </c>
      <c r="C10" s="7">
        <f>C8/Actuals!C4</f>
        <v/>
      </c>
      <c r="D10" s="7">
        <f>D8/Actuals!D4</f>
        <v/>
      </c>
      <c r="E10" s="7">
        <f>E8/Actuals!E4</f>
        <v/>
      </c>
      <c r="F10" s="7">
        <f>F8/Actuals!F4</f>
        <v/>
      </c>
      <c r="G10" s="7">
        <f>G8/Actuals!G4</f>
        <v/>
      </c>
      <c r="H10" s="7">
        <f>H8/Actuals!H4</f>
        <v/>
      </c>
      <c r="I10" s="7">
        <f>I8/Actuals!I4</f>
        <v/>
      </c>
      <c r="J10" s="7">
        <f>J8/Actuals!J4</f>
        <v/>
      </c>
      <c r="K10" s="7">
        <f>K8/Actuals!K4</f>
        <v/>
      </c>
    </row>
    <row r="12">
      <c r="A12" t="inlineStr">
        <is>
          <t>Owner FCF is negative in ALL TEN years. Only FY2018 is even marginally positive at NZ$0.13m.</t>
        </is>
      </c>
    </row>
    <row r="13">
      <c r="A13" t="inlineStr">
        <is>
          <t>FY2026 reported FCF improved to -2.89m from -1.40m only before SBC; on an owner basis the burn WIDENED from -11.45m to -13.02m.</t>
        </is>
      </c>
    </row>
    <row r="14">
      <c r="A14" t="inlineStr">
        <is>
          <t>Deferred revenue is immaterial (NZ$1.938m FY2026), so unlike a prepaid SaaS there is no working-capital tailwind inside OCF.</t>
        </is>
      </c>
    </row>
    <row r="15">
      <c r="A15" t="inlineStr">
        <is>
          <t>Cash taxes paid NZ$1.798m FY2026 despite pre-tax losses - foreign subsidiary taxes. NZ$138.7m of unrecognised NZ tax losses are unbooked.</t>
        </is>
      </c>
    </row>
    <row r="16">
      <c r="A16" t="inlineStr">
        <is>
          <t>SBC of NZ$7.246m EXCEEDS the companys own EBITDAFI of NZ$6.5m - the headline profit metric is smaller than the equity cost it ignores.</t>
        </is>
      </c>
    </row>
    <row r="17">
      <c r="A17" t="inlineStr">
        <is>
          <t>D&amp;A of NZ$18.0m runs well above capex of NZ$9.9m as the FY2022-24 capitalised-development wave amortises - a real tailwind to FCF vs earnings.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4" t="inlineStr">
        <is>
          <t>SKO.NZ valuation summary</t>
        </is>
      </c>
    </row>
    <row r="3">
      <c r="A3" s="4" t="inlineStr">
        <is>
          <t>Scenario</t>
        </is>
      </c>
      <c r="B3" s="4" t="inlineStr">
        <is>
          <t>Value per share</t>
        </is>
      </c>
      <c r="C3" s="4" t="inlineStr">
        <is>
          <t>Upside</t>
        </is>
      </c>
      <c r="D3" s="4" t="inlineStr">
        <is>
          <t>Probability</t>
        </is>
      </c>
      <c r="E3" s="4" t="inlineStr">
        <is>
          <t>Street value per share</t>
        </is>
      </c>
    </row>
    <row r="4">
      <c r="A4" s="1" t="inlineStr">
        <is>
          <t>Bear</t>
        </is>
      </c>
      <c r="B4" s="25">
        <f>DCF_Bear!$B$42</f>
        <v/>
      </c>
      <c r="C4" s="19">
        <f>DCF_Bear!$B$43</f>
        <v/>
      </c>
      <c r="D4" s="19">
        <f>Assumptions!$D$13</f>
        <v/>
      </c>
      <c r="E4" s="25">
        <f>DCF_Bear!$B$48</f>
        <v/>
      </c>
    </row>
    <row r="5">
      <c r="A5" s="1" t="inlineStr">
        <is>
          <t>Base</t>
        </is>
      </c>
      <c r="B5" s="25">
        <f>DCF_Base!$B$42</f>
        <v/>
      </c>
      <c r="C5" s="19">
        <f>DCF_Base!$B$43</f>
        <v/>
      </c>
      <c r="D5" s="19">
        <f>Assumptions!$D$14</f>
        <v/>
      </c>
      <c r="E5" s="25">
        <f>DCF_Base!$B$48</f>
        <v/>
      </c>
    </row>
    <row r="6">
      <c r="A6" s="1" t="inlineStr">
        <is>
          <t>Bull</t>
        </is>
      </c>
      <c r="B6" s="25">
        <f>DCF_Bull!$B$42</f>
        <v/>
      </c>
      <c r="C6" s="19">
        <f>DCF_Bull!$B$43</f>
        <v/>
      </c>
      <c r="D6" s="19">
        <f>Assumptions!$D$15</f>
        <v/>
      </c>
      <c r="E6" s="25">
        <f>DCF_Bull!$B$48</f>
        <v/>
      </c>
    </row>
    <row r="7">
      <c r="A7" s="11" t="inlineStr">
        <is>
          <t>PROBABILITY-WEIGHTED VALUE</t>
        </is>
      </c>
      <c r="B7" s="22">
        <f>SUMPRODUCT(B4:B6,D4:D6)</f>
        <v/>
      </c>
      <c r="E7" s="26">
        <f>SUMPRODUCT(E4:E6,D4:D6)</f>
        <v/>
      </c>
    </row>
    <row r="8">
      <c r="A8" s="1" t="inlineStr">
        <is>
          <t>Current price</t>
        </is>
      </c>
      <c r="B8" s="25">
        <f>Assumptions!$B8</f>
        <v/>
      </c>
    </row>
    <row r="9">
      <c r="A9" s="1" t="inlineStr">
        <is>
          <t>Margin of safety (1 - price/weighted)</t>
        </is>
      </c>
      <c r="B9" s="7">
        <f>1-Assumptions!$B8/B7</f>
        <v/>
      </c>
    </row>
    <row r="10">
      <c r="A10" s="1" t="inlineStr">
        <is>
          <t>Band position (0% house, 100% street)</t>
        </is>
      </c>
      <c r="B10" s="7">
        <f>(Assumptions!$B8-B7)/(E7-B7)</f>
        <v/>
      </c>
      <c r="C10" t="inlineStr">
        <is>
          <t>Above 100% means the price exceeds even the SBC-as-non-cash ceiling.</t>
        </is>
      </c>
    </row>
    <row r="12">
      <c r="A12" s="11" t="inlineStr">
        <is>
          <t>15% hurdle entry price</t>
        </is>
      </c>
    </row>
    <row r="13">
      <c r="A13" s="4" t="inlineStr">
        <is>
          <t>Scenario</t>
        </is>
      </c>
      <c r="B13" s="4" t="inlineStr">
        <is>
          <t>Entry price</t>
        </is>
      </c>
      <c r="C13" s="4" t="inlineStr">
        <is>
          <t>Note</t>
        </is>
      </c>
    </row>
    <row r="14">
      <c r="A14" s="1" t="inlineStr">
        <is>
          <t>Bear</t>
        </is>
      </c>
      <c r="B14" s="27">
        <f>(SUMPRODUCT(DCF_Bear!C22:DCF_Bear!L22,1/(1+Assumptions!$B9)^DCF_Bear!C4:DCF_Bear!L4)+DCF_Bear!$B$35/(1+Assumptions!$B9)^10-Assumptions!$B6)/Assumptions!$B7</f>
        <v/>
      </c>
    </row>
    <row r="15">
      <c r="A15" s="1" t="inlineStr">
        <is>
          <t>Base</t>
        </is>
      </c>
      <c r="B15" s="27">
        <f>(SUMPRODUCT(DCF_Base!C22:DCF_Base!L22,1/(1+Assumptions!$B9)^DCF_Base!C4:DCF_Base!L4)+DCF_Base!$B$35/(1+Assumptions!$B9)^10-Assumptions!$B6)/Assumptions!$B7</f>
        <v/>
      </c>
    </row>
    <row r="16">
      <c r="A16" s="1" t="inlineStr">
        <is>
          <t>Bull</t>
        </is>
      </c>
      <c r="B16" s="27">
        <f>(SUMPRODUCT(DCF_Bull!C22:DCF_Bull!L22,1/(1+Assumptions!$B9)^DCF_Bull!C4:DCF_Bull!L4)+DCF_Bull!$B$35/(1+Assumptions!$B9)^10-Assumptions!$B6)/Assumptions!$B7</f>
        <v/>
      </c>
    </row>
    <row r="17">
      <c r="A17" s="11" t="inlineStr">
        <is>
          <t>WEIGHTED ENTRY PRICE (buy below)</t>
        </is>
      </c>
      <c r="B17" s="28">
        <f>SUMPRODUCT(B14:B16,D4:D6)</f>
        <v/>
      </c>
    </row>
    <row r="19">
      <c r="A19" s="11" t="inlineStr">
        <is>
          <t>Required-return table (base case)</t>
        </is>
      </c>
    </row>
    <row r="20">
      <c r="A20" s="4" t="inlineStr">
        <is>
          <t>Required return</t>
        </is>
      </c>
      <c r="B20" s="4" t="inlineStr">
        <is>
          <t>9%</t>
        </is>
      </c>
      <c r="C20" s="4" t="inlineStr">
        <is>
          <t>10%</t>
        </is>
      </c>
      <c r="D20" s="4" t="inlineStr">
        <is>
          <t>11%</t>
        </is>
      </c>
      <c r="E20" s="4" t="inlineStr">
        <is>
          <t>12%</t>
        </is>
      </c>
      <c r="F20" s="4" t="inlineStr">
        <is>
          <t>15%</t>
        </is>
      </c>
      <c r="G20" s="4" t="inlineStr">
        <is>
          <t>House WACC</t>
        </is>
      </c>
    </row>
    <row r="21">
      <c r="A21" s="1" t="inlineStr">
        <is>
          <t>Value per share</t>
        </is>
      </c>
      <c r="B21" s="27">
        <f>(SUMPRODUCT(DCF_Base!C22:DCF_Base!L22,1/(1+0.09)^DCF_Base!C4:DCF_Base!L4)+DCF_Base!$B$35/(1+0.09)^10-Assumptions!$B6)/Assumptions!$B7</f>
        <v/>
      </c>
      <c r="C21" s="27">
        <f>(SUMPRODUCT(DCF_Base!C22:DCF_Base!L22,1/(1+0.1)^DCF_Base!C4:DCF_Base!L4)+DCF_Base!$B$35/(1+0.1)^10-Assumptions!$B6)/Assumptions!$B7</f>
        <v/>
      </c>
      <c r="D21" s="27">
        <f>(SUMPRODUCT(DCF_Base!C22:DCF_Base!L22,1/(1+0.11)^DCF_Base!C4:DCF_Base!L4)+DCF_Base!$B$35/(1+0.11)^10-Assumptions!$B6)/Assumptions!$B7</f>
        <v/>
      </c>
      <c r="E21" s="27">
        <f>(SUMPRODUCT(DCF_Base!C22:DCF_Base!L22,1/(1+0.12)^DCF_Base!C4:DCF_Base!L4)+DCF_Base!$B$35/(1+0.12)^10-Assumptions!$B6)/Assumptions!$B7</f>
        <v/>
      </c>
      <c r="F21" s="27">
        <f>(SUMPRODUCT(DCF_Base!C22:DCF_Base!L22,1/(1+0.15)^DCF_Base!C4:DCF_Base!L4)+DCF_Base!$B$35/(1+0.15)^10-Assumptions!$B6)/Assumptions!$B7</f>
        <v/>
      </c>
      <c r="G21" s="27">
        <f>(SUMPRODUCT(DCF_Base!C22:DCF_Base!L22,1/(1+Assumptions!$B3)^DCF_Base!C4:DCF_Base!L4)+DCF_Base!$B$35/(1+Assumptions!$B3)^10-Assumptions!$B6)/Assumptions!$B7</f>
        <v/>
      </c>
    </row>
    <row r="22">
      <c r="A22" t="inlineStr">
        <is>
          <t>Terminal value is computed at the house WACC (the fair exit price); only the discounting back uses the required return.</t>
        </is>
      </c>
    </row>
    <row r="24">
      <c r="A24" s="11" t="inlineStr">
        <is>
          <t>Sensitivity: WACC x terminal growth (base case, value per share)</t>
        </is>
      </c>
    </row>
    <row r="25">
      <c r="A25" s="1" t="inlineStr">
        <is>
          <t>WACC \ terminal g</t>
        </is>
      </c>
      <c r="B25" s="29" t="n">
        <v>0.015</v>
      </c>
      <c r="C25" s="29" t="n">
        <v>0.02</v>
      </c>
      <c r="D25" s="29" t="n">
        <v>0.025</v>
      </c>
      <c r="E25" s="29" t="n">
        <v>0.03</v>
      </c>
      <c r="F25" s="29" t="n">
        <v>0.035</v>
      </c>
    </row>
    <row r="26">
      <c r="A26" s="29" t="n">
        <v>0.155</v>
      </c>
      <c r="B26" s="27">
        <f>IF($A26&gt;B$25,(SUMPRODUCT(DCF_Base!C22:DCF_Base!L22,1/(1+$A26)^DCF_Base!C4:DCF_Base!L4)+MAX(0,MIN(DCF_Base!L22*(1+B$25)/($A26-B$25),DCF_Base!$B$31*DCF_Base!L22))/(1+$A26)^10-Assumptions!$B6)/Assumptions!$B7,"n/a")</f>
        <v/>
      </c>
      <c r="C26" s="27">
        <f>IF($A26&gt;C$25,(SUMPRODUCT(DCF_Base!C22:DCF_Base!L22,1/(1+$A26)^DCF_Base!C4:DCF_Base!L4)+MAX(0,MIN(DCF_Base!L22*(1+C$25)/($A26-C$25),DCF_Base!$B$31*DCF_Base!L22))/(1+$A26)^10-Assumptions!$B6)/Assumptions!$B7,"n/a")</f>
        <v/>
      </c>
      <c r="D26" s="27">
        <f>IF($A26&gt;D$25,(SUMPRODUCT(DCF_Base!C22:DCF_Base!L22,1/(1+$A26)^DCF_Base!C4:DCF_Base!L4)+MAX(0,MIN(DCF_Base!L22*(1+D$25)/($A26-D$25),DCF_Base!$B$31*DCF_Base!L22))/(1+$A26)^10-Assumptions!$B6)/Assumptions!$B7,"n/a")</f>
        <v/>
      </c>
      <c r="E26" s="27">
        <f>IF($A26&gt;E$25,(SUMPRODUCT(DCF_Base!C22:DCF_Base!L22,1/(1+$A26)^DCF_Base!C4:DCF_Base!L4)+MAX(0,MIN(DCF_Base!L22*(1+E$25)/($A26-E$25),DCF_Base!$B$31*DCF_Base!L22))/(1+$A26)^10-Assumptions!$B6)/Assumptions!$B7,"n/a")</f>
        <v/>
      </c>
      <c r="F26" s="27">
        <f>IF($A26&gt;F$25,(SUMPRODUCT(DCF_Base!C22:DCF_Base!L22,1/(1+$A26)^DCF_Base!C4:DCF_Base!L4)+MAX(0,MIN(DCF_Base!L22*(1+F$25)/($A26-F$25),DCF_Base!$B$31*DCF_Base!L22))/(1+$A26)^10-Assumptions!$B6)/Assumptions!$B7,"n/a")</f>
        <v/>
      </c>
    </row>
    <row r="27">
      <c r="A27" s="29" t="n">
        <v>0.165</v>
      </c>
      <c r="B27" s="27">
        <f>IF($A27&gt;B$25,(SUMPRODUCT(DCF_Base!C22:DCF_Base!L22,1/(1+$A27)^DCF_Base!C4:DCF_Base!L4)+MAX(0,MIN(DCF_Base!L22*(1+B$25)/($A27-B$25),DCF_Base!$B$31*DCF_Base!L22))/(1+$A27)^10-Assumptions!$B6)/Assumptions!$B7,"n/a")</f>
        <v/>
      </c>
      <c r="C27" s="27">
        <f>IF($A27&gt;C$25,(SUMPRODUCT(DCF_Base!C22:DCF_Base!L22,1/(1+$A27)^DCF_Base!C4:DCF_Base!L4)+MAX(0,MIN(DCF_Base!L22*(1+C$25)/($A27-C$25),DCF_Base!$B$31*DCF_Base!L22))/(1+$A27)^10-Assumptions!$B6)/Assumptions!$B7,"n/a")</f>
        <v/>
      </c>
      <c r="D27" s="27">
        <f>IF($A27&gt;D$25,(SUMPRODUCT(DCF_Base!C22:DCF_Base!L22,1/(1+$A27)^DCF_Base!C4:DCF_Base!L4)+MAX(0,MIN(DCF_Base!L22*(1+D$25)/($A27-D$25),DCF_Base!$B$31*DCF_Base!L22))/(1+$A27)^10-Assumptions!$B6)/Assumptions!$B7,"n/a")</f>
        <v/>
      </c>
      <c r="E27" s="27">
        <f>IF($A27&gt;E$25,(SUMPRODUCT(DCF_Base!C22:DCF_Base!L22,1/(1+$A27)^DCF_Base!C4:DCF_Base!L4)+MAX(0,MIN(DCF_Base!L22*(1+E$25)/($A27-E$25),DCF_Base!$B$31*DCF_Base!L22))/(1+$A27)^10-Assumptions!$B6)/Assumptions!$B7,"n/a")</f>
        <v/>
      </c>
      <c r="F27" s="27">
        <f>IF($A27&gt;F$25,(SUMPRODUCT(DCF_Base!C22:DCF_Base!L22,1/(1+$A27)^DCF_Base!C4:DCF_Base!L4)+MAX(0,MIN(DCF_Base!L22*(1+F$25)/($A27-F$25),DCF_Base!$B$31*DCF_Base!L22))/(1+$A27)^10-Assumptions!$B6)/Assumptions!$B7,"n/a")</f>
        <v/>
      </c>
    </row>
    <row r="28">
      <c r="A28" s="29" t="n">
        <v>0.175</v>
      </c>
      <c r="B28" s="27">
        <f>IF($A28&gt;B$25,(SUMPRODUCT(DCF_Base!C22:DCF_Base!L22,1/(1+$A28)^DCF_Base!C4:DCF_Base!L4)+MAX(0,MIN(DCF_Base!L22*(1+B$25)/($A28-B$25),DCF_Base!$B$31*DCF_Base!L22))/(1+$A28)^10-Assumptions!$B6)/Assumptions!$B7,"n/a")</f>
        <v/>
      </c>
      <c r="C28" s="27">
        <f>IF($A28&gt;C$25,(SUMPRODUCT(DCF_Base!C22:DCF_Base!L22,1/(1+$A28)^DCF_Base!C4:DCF_Base!L4)+MAX(0,MIN(DCF_Base!L22*(1+C$25)/($A28-C$25),DCF_Base!$B$31*DCF_Base!L22))/(1+$A28)^10-Assumptions!$B6)/Assumptions!$B7,"n/a")</f>
        <v/>
      </c>
      <c r="D28" s="30">
        <f>IF($A28&gt;D$25,(SUMPRODUCT(DCF_Base!C22:DCF_Base!L22,1/(1+$A28)^DCF_Base!C4:DCF_Base!L4)+MAX(0,MIN(DCF_Base!L22*(1+D$25)/($A28-D$25),DCF_Base!$B$31*DCF_Base!L22))/(1+$A28)^10-Assumptions!$B6)/Assumptions!$B7,"n/a")</f>
        <v/>
      </c>
      <c r="E28" s="27">
        <f>IF($A28&gt;E$25,(SUMPRODUCT(DCF_Base!C22:DCF_Base!L22,1/(1+$A28)^DCF_Base!C4:DCF_Base!L4)+MAX(0,MIN(DCF_Base!L22*(1+E$25)/($A28-E$25),DCF_Base!$B$31*DCF_Base!L22))/(1+$A28)^10-Assumptions!$B6)/Assumptions!$B7,"n/a")</f>
        <v/>
      </c>
      <c r="F28" s="27">
        <f>IF($A28&gt;F$25,(SUMPRODUCT(DCF_Base!C22:DCF_Base!L22,1/(1+$A28)^DCF_Base!C4:DCF_Base!L4)+MAX(0,MIN(DCF_Base!L22*(1+F$25)/($A28-F$25),DCF_Base!$B$31*DCF_Base!L22))/(1+$A28)^10-Assumptions!$B6)/Assumptions!$B7,"n/a")</f>
        <v/>
      </c>
    </row>
    <row r="29">
      <c r="A29" s="29" t="n">
        <v>0.185</v>
      </c>
      <c r="B29" s="27">
        <f>IF($A29&gt;B$25,(SUMPRODUCT(DCF_Base!C22:DCF_Base!L22,1/(1+$A29)^DCF_Base!C4:DCF_Base!L4)+MAX(0,MIN(DCF_Base!L22*(1+B$25)/($A29-B$25),DCF_Base!$B$31*DCF_Base!L22))/(1+$A29)^10-Assumptions!$B6)/Assumptions!$B7,"n/a")</f>
        <v/>
      </c>
      <c r="C29" s="27">
        <f>IF($A29&gt;C$25,(SUMPRODUCT(DCF_Base!C22:DCF_Base!L22,1/(1+$A29)^DCF_Base!C4:DCF_Base!L4)+MAX(0,MIN(DCF_Base!L22*(1+C$25)/($A29-C$25),DCF_Base!$B$31*DCF_Base!L22))/(1+$A29)^10-Assumptions!$B6)/Assumptions!$B7,"n/a")</f>
        <v/>
      </c>
      <c r="D29" s="27">
        <f>IF($A29&gt;D$25,(SUMPRODUCT(DCF_Base!C22:DCF_Base!L22,1/(1+$A29)^DCF_Base!C4:DCF_Base!L4)+MAX(0,MIN(DCF_Base!L22*(1+D$25)/($A29-D$25),DCF_Base!$B$31*DCF_Base!L22))/(1+$A29)^10-Assumptions!$B6)/Assumptions!$B7,"n/a")</f>
        <v/>
      </c>
      <c r="E29" s="27">
        <f>IF($A29&gt;E$25,(SUMPRODUCT(DCF_Base!C22:DCF_Base!L22,1/(1+$A29)^DCF_Base!C4:DCF_Base!L4)+MAX(0,MIN(DCF_Base!L22*(1+E$25)/($A29-E$25),DCF_Base!$B$31*DCF_Base!L22))/(1+$A29)^10-Assumptions!$B6)/Assumptions!$B7,"n/a")</f>
        <v/>
      </c>
      <c r="F29" s="27">
        <f>IF($A29&gt;F$25,(SUMPRODUCT(DCF_Base!C22:DCF_Base!L22,1/(1+$A29)^DCF_Base!C4:DCF_Base!L4)+MAX(0,MIN(DCF_Base!L22*(1+F$25)/($A29-F$25),DCF_Base!$B$31*DCF_Base!L22))/(1+$A29)^10-Assumptions!$B6)/Assumptions!$B7,"n/a")</f>
        <v/>
      </c>
    </row>
    <row r="30">
      <c r="A30" s="29" t="n">
        <v>0.195</v>
      </c>
      <c r="B30" s="27">
        <f>IF($A30&gt;B$25,(SUMPRODUCT(DCF_Base!C22:DCF_Base!L22,1/(1+$A30)^DCF_Base!C4:DCF_Base!L4)+MAX(0,MIN(DCF_Base!L22*(1+B$25)/($A30-B$25),DCF_Base!$B$31*DCF_Base!L22))/(1+$A30)^10-Assumptions!$B6)/Assumptions!$B7,"n/a")</f>
        <v/>
      </c>
      <c r="C30" s="27">
        <f>IF($A30&gt;C$25,(SUMPRODUCT(DCF_Base!C22:DCF_Base!L22,1/(1+$A30)^DCF_Base!C4:DCF_Base!L4)+MAX(0,MIN(DCF_Base!L22*(1+C$25)/($A30-C$25),DCF_Base!$B$31*DCF_Base!L22))/(1+$A30)^10-Assumptions!$B6)/Assumptions!$B7,"n/a")</f>
        <v/>
      </c>
      <c r="D30" s="27">
        <f>IF($A30&gt;D$25,(SUMPRODUCT(DCF_Base!C22:DCF_Base!L22,1/(1+$A30)^DCF_Base!C4:DCF_Base!L4)+MAX(0,MIN(DCF_Base!L22*(1+D$25)/($A30-D$25),DCF_Base!$B$31*DCF_Base!L22))/(1+$A30)^10-Assumptions!$B6)/Assumptions!$B7,"n/a")</f>
        <v/>
      </c>
      <c r="E30" s="27">
        <f>IF($A30&gt;E$25,(SUMPRODUCT(DCF_Base!C22:DCF_Base!L22,1/(1+$A30)^DCF_Base!C4:DCF_Base!L4)+MAX(0,MIN(DCF_Base!L22*(1+E$25)/($A30-E$25),DCF_Base!$B$31*DCF_Base!L22))/(1+$A30)^10-Assumptions!$B6)/Assumptions!$B7,"n/a")</f>
        <v/>
      </c>
      <c r="F30" s="27">
        <f>IF($A30&gt;F$25,(SUMPRODUCT(DCF_Base!C22:DCF_Base!L22,1/(1+$A30)^DCF_Base!C4:DCF_Base!L4)+MAX(0,MIN(DCF_Base!L22*(1+F$25)/($A30-F$25),DCF_Base!$B$31*DCF_Base!L22))/(1+$A30)^10-Assumptions!$B6)/Assumptions!$B7,"n/a")</f>
        <v/>
      </c>
    </row>
    <row r="32">
      <c r="A32" t="inlineStr">
        <is>
          <t>Every cell in the grid sits far below the NZ$1.465 market price - the conclusion is not sensitive to WACC or terminal growth.</t>
        </is>
      </c>
    </row>
    <row r="33">
      <c r="A33" t="inlineStr">
        <is>
          <t>Highlighted cell is the house pair (17.5% WACC, 2.5% terminal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2026-08-28T10:16:00Z</dcterms:created>
  <dcterms:modified xsi:type="dcterms:W3CDTF">2026-08-28T10:16:00Z</dcterms:modified>
</cp:coreProperties>
</file>