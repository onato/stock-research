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<sst xmlns="http://schemas.openxmlformats.org/spreadsheetml/2006/main" count="362" uniqueCount="166">
  <si>
    <t xml:space="preserve">Ticker</t>
  </si>
  <si>
    <t xml:space="preserve">GGB</t>
  </si>
  <si>
    <t xml:space="preserve">Company</t>
  </si>
  <si>
    <t xml:space="preserve">Gerdau S.A.</t>
  </si>
  <si>
    <t xml:space="preserve">Valuation date</t>
  </si>
  <si>
    <t xml:space="preserve">2026-10-04</t>
  </si>
  <si>
    <t xml:space="preserve">Current price</t>
  </si>
  <si>
    <t xml:space="preserve">Price as of</t>
  </si>
  <si>
    <t xml:space="preserve">2026-10-02T20:00:03Z regular close (NYSE)</t>
  </si>
  <si>
    <t xml:space="preserve">Balance sheet date</t>
  </si>
  <si>
    <t xml:space="preserve">2025-12-31</t>
  </si>
  <si>
    <t xml:space="preserve">Model</t>
  </si>
  <si>
    <t xml:space="preserve">owner_fcf_dcf_component</t>
  </si>
  <si>
    <t xml:space="preserve">Currency (model)</t>
  </si>
  <si>
    <t xml:space="preserve">BRL</t>
  </si>
  <si>
    <t xml:space="preserve">Currency (quote)</t>
  </si>
  <si>
    <t xml:space="preserve">USD</t>
  </si>
  <si>
    <t xml:space="preserve">Units</t>
  </si>
  <si>
    <t xml:space="preserve">millions</t>
  </si>
  <si>
    <t xml:space="preserve">Engine</t>
  </si>
  <si>
    <t xml:space="preserve">dcf_engine v1</t>
  </si>
  <si>
    <t xml:space="preserve">Built at</t>
  </si>
  <si>
    <t xml:space="preserve">2026-10-03T22:12:46Z</t>
  </si>
  <si>
    <t xml:space="preserve">Drivers file</t>
  </si>
  <si>
    <t xml:space="preserve">GGB_Drivers.json</t>
  </si>
  <si>
    <t xml:space="preserve">Convention</t>
  </si>
  <si>
    <t xml:space="preserve">Percents stored as percents; formulas divide by 100. Blue = input, green = link, black = formula.</t>
  </si>
  <si>
    <t xml:space="preserve">Methodology</t>
  </si>
  <si>
    <t xml:space="preserve">summary: Mid-cycle owner-FCF DCF in BRL, converted to USD at spot. The point is to price Gerdau on what the mill network earns through a cycle, not on the 2026 tariff-boosted North American spread or the 2025 impairment-hit year. The ex-JV EBITDA margin is the one driver that matters; capex, tax, leases and working capital are anchored to the FY2025 cash-flow statement and the approved 2026 investment plan.
key_risks_to_valuation: Section 232 tariff policy: each 1pp of mid-cycle ex-JV margin is worth roughly US$0.35-0.40 per ADR; BRL/USD: the USD value moves one-for-one with the BRL rate, and about 60% of EBITDA is USD-earned, so a weaker BRL partly offsets itself in the flows; Brazilian tax contingencies (ICMS, goodwill amortisation, foreign-profit taxation), worth billions of reais and partly unreserved, are not in the bridge; Capex discipline: if the 'competitiveness' budget stays at 2023-25 levels (8-10% of revenue) instead of 5.5%, value falls about 25%; Balance sheet is from 2025-12-31; the 2026 buyback and H1-26 cash generation are not reflected</t>
  </si>
  <si>
    <t xml:space="preserve">Data sources</t>
  </si>
  <si>
    <t xml:space="preserve">price: Yahoo Finance chart API (GGB, NYSE) at inputs.price_as_of; 52-week range 3.13-5.18. FX from Yahoo BRL=X; parity against GGBR4.SA.
financials: Gerdau FY2016-FY2025 Form 20-F (IFRS, R$ thousands, converted to millions) via GGB_Metrics.csv and the FY2025 20-F cash-flow statement, debt table, segment note (Adjusted EBITDA reconciliation) and lease note.
qualitative: GGB_Analysis.json (2026-10-04): Q2-26 results, 2026 buyback, Section 232 / Brazil TRQ status, Miguel Burnier mining guidance.</t>
  </si>
  <si>
    <t xml:space="preserve">Scenario narrative: bear</t>
  </si>
  <si>
    <t xml:space="preserve">Section 232 is cut or carved out (USMCA settlement, Canada/Mexico exemptions, or a broader tariff reversal) and NA, ~62% of FY2025 EBITDA, loses most of its tariff spread. Chinese exports keep Brazilian utilisation near 35% and the TRQ lapses or is diluted in 2027, forcing further capacity closures on top of Recife/Aconorte. Revenue stalls for two years and the ex-JV margin falls to 11-11.5%, about the FY2018-19 level, with capex held at maintenance-plus because the mining projects are already sunk.</t>
  </si>
  <si>
    <t xml:space="preserve">Scenario narrative: base</t>
  </si>
  <si>
    <t xml:space="preserve">Section 232 stays broadly in place through the USMCA review but the North American spread drifts off its 2026 high as domestic capacity (including Gerdau's own Midlothian expansion) fills the tariff gap. Brazil stays import-pressured, with record ~40% regional penetration contained rather than reversed by the TRQ regime (renewed to June 2027), and the restructuring plan stops the bleeding without restoring FY2021-23 margins. Miguel Burnier and the other mining projects add R$1.4-1.5bn of EBITDA that is largely independent of the steel cycle, and capex drops from R$6.85bn to the R$4.7bn plan and then to roughly maintenance-plus. The ex-JV EBITDA margin settles at 14.5% through the cycle.</t>
  </si>
  <si>
    <t xml:space="preserve">Scenario narrative: bull</t>
  </si>
  <si>
    <t xml:space="preserve">The 50% Section 232 tariff proves durable and data-centre, grid and renewables construction keeps NA utilisation and beam/SBQ pricing high. Brazil's trade defence is tightened and extended past 2027 while Selic cuts (from ~13.5%) revive construction, lifting the Brazil BD from ~11% EBITDA margin back toward its 15%+ history. Mining ramps on schedule. The ex-JV margin holds at 16.5-17%, still well below the FY2021-22 peak of 25-30%, on 5-6% nominal growth.</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</si>
  <si>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</si>
  <si>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</si>
  <si>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</si>
  <si>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</si>
  <si>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</si>
  <si>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</si>
  <si>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</si>
  <si>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</si>
  <si>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</si>
  <si>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</si>
  <si>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</si>
  <si>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</si>
  <si>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</si>
  <si>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</si>
  <si>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</si>
  <si>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</si>
  <si>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</si>
  <si>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</si>
  <si>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</si>
  <si>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</si>
  <si>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</si>
  <si>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</si>
  <si>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</si>
  <si>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</si>
  <si>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</si>
  <si>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</si>
  <si>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</si>
  <si>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</si>
  <si>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</si>
  <si>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</si>
  <si>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</si>
  <si>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</si>
  <si>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</si>
  <si>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</si>
  <si>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</si>
  <si>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</si>
  <si>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</si>
  <si>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</si>
  <si>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</si>
  <si>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</si>
  <si>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</si>
  <si>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</si>
  <si>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</si>
  <si>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</si>
  <si>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</si>
  <si>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</si>
  <si>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</si>
  <si>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</si>
  <si>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BRL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</si>
  <si>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</si>
  <si>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</si>
  <si>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</si>
  <si>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</si>
  <si>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</si>
  <si>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</si>
  <si>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</si>
  <si>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</si>
  <si>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</si>
  <si>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</si>
  <si>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</si>
  <si>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</si>
  <si>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</si>
  <si>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</si>
  <si>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</si>
  <si>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</si>
  <si>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</si>
  <si>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</si>
  <si>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</si>
  <si>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</si>
  <si>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</si>
  <si>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</si>
  <si>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</si>
  <si>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</si>
  <si>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</si>
  <si>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</si>
  <si>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GGB owner-FCF component DCF: bear case (millions, BRL)</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</si>
  <si>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</si>
  <si>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</si>
  <si>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</si>
  <si>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</si>
  <si>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</si>
  <si>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</si>
  <si>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</si>
  <si>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</si>
  <si>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</si>
  <si>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</si>
  <si>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</si>
  <si>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</si>
  <si>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</si>
  <si>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</si>
  <si>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</si>
  <si>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</si>
  <si>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</si>
  <si>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</si>
  <si>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</si>
  <si>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</si>
  <si>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</si>
  <si>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</si>
  <si>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</si>
  <si>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</si>
  <si>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</si>
  <si>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</si>
  <si>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</si>
  <si>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</si>
  <si>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</si>
  <si>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</si>
  <si>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GGB owner-FCF component DCF: base case (millions, BRL)</t>
  </si>
  <si>
    <t xml:space="preserve">GGB owner-FCF component DCF: bull case (millions, BRL)</t>
  </si>
  <si>
    <t xml:space="preserve">GGB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</si>
  <si>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</si>
  <si>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</si>
  <si>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</si>
  <si>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</si>
  <si>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</si>
  <si>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</si>
  <si>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</si>
  <si>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</si>
  <si>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</si>
  <si>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</si>
  <si>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</si>
  <si>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</si>
  <si>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</si>
  <si>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</si>
  <si>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</si>
  <si>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</si>
  <si>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t>
  </si>
  <si>
    <t xml:space="preserve">Value per share at 12% (WACC)</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</si>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</sst>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5.01</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row>
    <row r="2" customFormat="false" ht="15" hidden="false" customHeight="false" outlineLevel="0" collapsed="false">
      <c r="A2" s="0" t="s">
        <v>64</v>
      </c>
      <c r="B2" s="0" t="n">
        <v>43581.241</v>
      </c>
      <c r="C2" s="0" t="n">
        <v>39290.526</v>
      </c>
      <c r="D2" s="0" t="n">
        <v>4290.715</v>
      </c>
      <c r="E2" s="0" t="n">
        <v>9.8</v>
      </c>
      <c r="F2" s="0" t="n">
        <v>-3215.512</v>
      </c>
      <c r="G2" s="0" t="n">
        <v>-7.4</v>
      </c>
      <c r="H2" s="0" t="n">
        <v>-607.603</v>
      </c>
      <c r="I2" s="0" t="n">
        <v>-4551.438</v>
      </c>
      <c r="J2" s="0" t="n">
        <v>-10.4</v>
      </c>
      <c r="K2" s="0" t="n">
        <v>-2.69</v>
      </c>
      <c r="L2" s="0" t="n">
        <v>7162.318</v>
      </c>
      <c r="M2" s="0" t="n">
        <v>2451.146</v>
      </c>
      <c r="N2" s="0" t="n">
        <v>4711.172</v>
      </c>
      <c r="O2" s="0" t="n">
        <v>31685.801</v>
      </c>
      <c r="P2" s="0" t="n">
        <v>70094.709</v>
      </c>
      <c r="Q2" s="0" t="n">
        <v>38124.326</v>
      </c>
      <c r="R2" s="0" t="n">
        <v>26460.857</v>
      </c>
      <c r="S2" s="0" t="n">
        <v>5648.08</v>
      </c>
      <c r="T2" s="0" t="n">
        <v>1692</v>
      </c>
      <c r="U2" s="0" t="n">
        <v>48.589</v>
      </c>
      <c r="AA2" s="0" t="s">
        <v>18</v>
      </c>
      <c r="AB2" s="0" t="s">
        <v>14</v>
      </c>
    </row>
    <row r="3" customFormat="false" ht="15" hidden="false" customHeight="false" outlineLevel="0" collapsed="false">
      <c r="A3" s="0" t="s">
        <v>65</v>
      </c>
      <c r="B3" s="0" t="n">
        <v>37651.667</v>
      </c>
      <c r="C3" s="0" t="n">
        <v>34187.941</v>
      </c>
      <c r="D3" s="0" t="n">
        <v>3463.726</v>
      </c>
      <c r="E3" s="0" t="n">
        <v>9.2</v>
      </c>
      <c r="F3" s="0" t="n">
        <v>-1636.36</v>
      </c>
      <c r="G3" s="0" t="n">
        <v>-4.3</v>
      </c>
      <c r="H3" s="0" t="n">
        <v>899.595</v>
      </c>
      <c r="I3" s="0" t="n">
        <v>-2890.811</v>
      </c>
      <c r="J3" s="0" t="n">
        <v>-7.7</v>
      </c>
      <c r="K3" s="0" t="n">
        <v>-1.7</v>
      </c>
      <c r="L3" s="0" t="n">
        <v>3516.366</v>
      </c>
      <c r="M3" s="0" t="n">
        <v>1377.935</v>
      </c>
      <c r="N3" s="0" t="n">
        <v>2138.431</v>
      </c>
      <c r="O3" s="0" t="n">
        <v>24028.136</v>
      </c>
      <c r="P3" s="0" t="n">
        <v>54635.141</v>
      </c>
      <c r="Q3" s="0" t="n">
        <v>30360.488</v>
      </c>
      <c r="R3" s="0" t="n">
        <v>20583.233</v>
      </c>
      <c r="S3" s="0" t="n">
        <v>5063.383</v>
      </c>
      <c r="T3" s="0" t="n">
        <v>1700.5</v>
      </c>
      <c r="U3" s="0" t="n">
        <v>46.683</v>
      </c>
      <c r="AA3" s="0" t="s">
        <v>18</v>
      </c>
      <c r="AB3" s="0" t="s">
        <v>14</v>
      </c>
    </row>
    <row r="4" customFormat="false" ht="15" hidden="false" customHeight="false" outlineLevel="0" collapsed="false">
      <c r="A4" s="0" t="s">
        <v>66</v>
      </c>
      <c r="B4" s="0" t="n">
        <v>36917.619</v>
      </c>
      <c r="C4" s="0" t="n">
        <v>33312.995</v>
      </c>
      <c r="D4" s="0" t="n">
        <v>3604.624</v>
      </c>
      <c r="E4" s="0" t="n">
        <v>9.8</v>
      </c>
      <c r="F4" s="0" t="n">
        <v>1100.072</v>
      </c>
      <c r="G4" s="0" t="n">
        <v>3</v>
      </c>
      <c r="H4" s="0" t="n">
        <v>3192.623</v>
      </c>
      <c r="I4" s="0" t="n">
        <v>-359.36</v>
      </c>
      <c r="J4" s="0" t="n">
        <v>-1</v>
      </c>
      <c r="K4" s="0" t="n">
        <v>-0.21</v>
      </c>
      <c r="L4" s="0" t="n">
        <v>2076.128</v>
      </c>
      <c r="M4" s="0" t="n">
        <v>911.268</v>
      </c>
      <c r="N4" s="0" t="n">
        <v>1164.86</v>
      </c>
      <c r="O4" s="0" t="n">
        <v>23645.201</v>
      </c>
      <c r="P4" s="0" t="n">
        <v>50301.761</v>
      </c>
      <c r="Q4" s="0" t="n">
        <v>26407.82</v>
      </c>
      <c r="R4" s="0" t="n">
        <v>16509.584</v>
      </c>
      <c r="S4" s="0" t="n">
        <v>2555.338</v>
      </c>
      <c r="T4" s="0" t="n">
        <v>1711.2</v>
      </c>
      <c r="U4" s="0" t="n">
        <v>35.576</v>
      </c>
      <c r="AA4" s="0" t="s">
        <v>18</v>
      </c>
      <c r="AB4" s="0" t="s">
        <v>14</v>
      </c>
    </row>
    <row r="5" customFormat="false" ht="15" hidden="false" customHeight="false" outlineLevel="0" collapsed="false">
      <c r="A5" s="0" t="s">
        <v>67</v>
      </c>
      <c r="B5" s="0" t="n">
        <v>46159.478</v>
      </c>
      <c r="C5" s="0" t="n">
        <v>40010.1</v>
      </c>
      <c r="D5" s="0" t="n">
        <v>6149.378</v>
      </c>
      <c r="E5" s="0" t="n">
        <v>13.3</v>
      </c>
      <c r="F5" s="0" t="n">
        <v>4047.226</v>
      </c>
      <c r="G5" s="0" t="n">
        <v>8.8</v>
      </c>
      <c r="H5" s="0" t="n">
        <v>5939.04</v>
      </c>
      <c r="I5" s="0" t="n">
        <v>2303.868</v>
      </c>
      <c r="J5" s="0" t="n">
        <v>5</v>
      </c>
      <c r="K5" s="0" t="n">
        <v>1.34</v>
      </c>
      <c r="L5" s="0" t="n">
        <v>1999.683</v>
      </c>
      <c r="M5" s="0" t="n">
        <v>1262.322</v>
      </c>
      <c r="N5" s="0" t="n">
        <v>737.361</v>
      </c>
      <c r="O5" s="0" t="n">
        <v>25730.604</v>
      </c>
      <c r="P5" s="0" t="n">
        <v>51281.029</v>
      </c>
      <c r="Q5" s="0" t="n">
        <v>25342.458</v>
      </c>
      <c r="R5" s="0" t="n">
        <v>14906.714</v>
      </c>
      <c r="S5" s="0" t="n">
        <v>2890.144</v>
      </c>
      <c r="T5" s="0" t="n">
        <v>1719.3</v>
      </c>
      <c r="U5" s="0" t="n">
        <v>41.186</v>
      </c>
      <c r="AA5" s="0" t="s">
        <v>18</v>
      </c>
      <c r="AB5" s="0" t="s">
        <v>14</v>
      </c>
    </row>
    <row r="6" customFormat="false" ht="15" hidden="false" customHeight="false" outlineLevel="0" collapsed="false">
      <c r="A6" s="0" t="s">
        <v>68</v>
      </c>
      <c r="B6" s="0" t="n">
        <v>39644.01</v>
      </c>
      <c r="C6" s="0" t="n">
        <v>35440.726</v>
      </c>
      <c r="D6" s="0" t="n">
        <v>4203.284</v>
      </c>
      <c r="E6" s="0" t="n">
        <v>10.6</v>
      </c>
      <c r="F6" s="0" t="n">
        <v>3183.934</v>
      </c>
      <c r="G6" s="0" t="n">
        <v>8</v>
      </c>
      <c r="H6" s="0" t="n">
        <v>5258.229</v>
      </c>
      <c r="I6" s="0" t="n">
        <v>1203.736</v>
      </c>
      <c r="J6" s="0" t="n">
        <v>3</v>
      </c>
      <c r="K6" s="0" t="n">
        <v>0.7</v>
      </c>
      <c r="L6" s="0" t="n">
        <v>1642.792</v>
      </c>
      <c r="M6" s="0" t="n">
        <v>1846.913</v>
      </c>
      <c r="N6" s="0" t="n">
        <v>-204.121</v>
      </c>
      <c r="O6" s="0" t="n">
        <v>26955.701</v>
      </c>
      <c r="P6" s="0" t="n">
        <v>54002.97</v>
      </c>
      <c r="Q6" s="0" t="n">
        <v>26829.843</v>
      </c>
      <c r="R6" s="0" t="n">
        <v>16049.867</v>
      </c>
      <c r="S6" s="0" t="n">
        <v>2641.652</v>
      </c>
      <c r="T6" s="0" t="n">
        <v>1719.6</v>
      </c>
      <c r="U6" s="0" t="n">
        <v>43.895</v>
      </c>
      <c r="AA6" s="0" t="s">
        <v>18</v>
      </c>
      <c r="AB6" s="0" t="s">
        <v>14</v>
      </c>
    </row>
    <row r="7" customFormat="false" ht="15" hidden="false" customHeight="false" outlineLevel="0" collapsed="false">
      <c r="A7" s="0" t="s">
        <v>69</v>
      </c>
      <c r="B7" s="0" t="n">
        <v>43814.661</v>
      </c>
      <c r="C7" s="0" t="n">
        <v>37884.102</v>
      </c>
      <c r="D7" s="0" t="n">
        <v>5930.559</v>
      </c>
      <c r="E7" s="0" t="n">
        <v>13.5</v>
      </c>
      <c r="F7" s="0" t="n">
        <v>5194.385</v>
      </c>
      <c r="G7" s="0" t="n">
        <v>11.9</v>
      </c>
      <c r="H7" s="0" t="n">
        <v>7693.489</v>
      </c>
      <c r="I7" s="0" t="n">
        <v>2365.763</v>
      </c>
      <c r="J7" s="0" t="n">
        <v>5.4</v>
      </c>
      <c r="K7" s="0" t="n">
        <v>1.38</v>
      </c>
      <c r="L7" s="0" t="n">
        <v>6407.906</v>
      </c>
      <c r="M7" s="0" t="n">
        <v>1805.028</v>
      </c>
      <c r="N7" s="0" t="n">
        <v>4602.878</v>
      </c>
      <c r="O7" s="0" t="n">
        <v>30860.271</v>
      </c>
      <c r="P7" s="0" t="n">
        <v>63123.009</v>
      </c>
      <c r="Q7" s="0" t="n">
        <v>32037.799</v>
      </c>
      <c r="R7" s="0" t="n">
        <v>17515.351</v>
      </c>
      <c r="S7" s="0" t="n">
        <v>4617.204</v>
      </c>
      <c r="T7" s="0" t="n">
        <v>1714.3</v>
      </c>
      <c r="U7" s="0" t="n">
        <v>62.801</v>
      </c>
      <c r="AA7" s="0" t="s">
        <v>18</v>
      </c>
      <c r="AB7" s="0" t="s">
        <v>14</v>
      </c>
    </row>
    <row r="8" customFormat="false" ht="15" hidden="false" customHeight="false" outlineLevel="0" collapsed="false">
      <c r="A8" s="0" t="s">
        <v>70</v>
      </c>
      <c r="B8" s="0" t="n">
        <v>78345.081</v>
      </c>
      <c r="C8" s="0" t="n">
        <v>57527.721</v>
      </c>
      <c r="D8" s="0" t="n">
        <v>20817.36</v>
      </c>
      <c r="E8" s="0" t="n">
        <v>26.6</v>
      </c>
      <c r="F8" s="0" t="n">
        <v>21023.022</v>
      </c>
      <c r="G8" s="0" t="n">
        <v>26.8</v>
      </c>
      <c r="H8" s="0" t="n">
        <v>23681.583</v>
      </c>
      <c r="I8" s="0" t="n">
        <v>15494.111</v>
      </c>
      <c r="J8" s="0" t="n">
        <v>19.8</v>
      </c>
      <c r="K8" s="0" t="n">
        <v>9.04</v>
      </c>
      <c r="L8" s="0" t="n">
        <v>12516.933</v>
      </c>
      <c r="M8" s="0" t="n">
        <v>3192.333</v>
      </c>
      <c r="N8" s="0" t="n">
        <v>9324.6</v>
      </c>
      <c r="O8" s="0" t="n">
        <v>42604.282</v>
      </c>
      <c r="P8" s="0" t="n">
        <v>73814.613</v>
      </c>
      <c r="Q8" s="0" t="n">
        <v>30998.964</v>
      </c>
      <c r="R8" s="0" t="n">
        <v>14039.693</v>
      </c>
      <c r="S8" s="0" t="n">
        <v>4160.654</v>
      </c>
      <c r="T8" s="0" t="n">
        <v>1714</v>
      </c>
      <c r="U8" s="0" t="n">
        <v>65.289</v>
      </c>
      <c r="AA8" s="0" t="s">
        <v>18</v>
      </c>
      <c r="AB8" s="0" t="s">
        <v>14</v>
      </c>
    </row>
    <row r="9" customFormat="false" ht="15" hidden="false" customHeight="false" outlineLevel="0" collapsed="false">
      <c r="A9" s="0" t="s">
        <v>71</v>
      </c>
      <c r="B9" s="0" t="n">
        <v>82412.21</v>
      </c>
      <c r="C9" s="0" t="n">
        <v>63661.156</v>
      </c>
      <c r="D9" s="0" t="n">
        <v>18751.054</v>
      </c>
      <c r="E9" s="0" t="n">
        <v>22.8</v>
      </c>
      <c r="F9" s="0" t="n">
        <v>17751.453</v>
      </c>
      <c r="G9" s="0" t="n">
        <v>21.5</v>
      </c>
      <c r="H9" s="0" t="n">
        <v>20618.152</v>
      </c>
      <c r="I9" s="0" t="n">
        <v>11425.512</v>
      </c>
      <c r="J9" s="0" t="n">
        <v>13.9</v>
      </c>
      <c r="K9" s="0" t="n">
        <v>6.5</v>
      </c>
      <c r="L9" s="0" t="n">
        <v>11150.338</v>
      </c>
      <c r="M9" s="0" t="n">
        <v>4481.255</v>
      </c>
      <c r="N9" s="0" t="n">
        <v>6669.083</v>
      </c>
      <c r="O9" s="0" t="n">
        <v>46116.194</v>
      </c>
      <c r="P9" s="0" t="n">
        <v>73798.652</v>
      </c>
      <c r="Q9" s="0" t="n">
        <v>27500.459</v>
      </c>
      <c r="R9" s="0" t="n">
        <v>12607.39</v>
      </c>
      <c r="S9" s="0" t="n">
        <v>2475.863</v>
      </c>
      <c r="T9" s="0" t="n">
        <v>1757.8</v>
      </c>
      <c r="U9" s="0" t="n">
        <v>104.714</v>
      </c>
      <c r="AA9" s="0" t="s">
        <v>18</v>
      </c>
      <c r="AB9" s="0" t="s">
        <v>14</v>
      </c>
    </row>
    <row r="10" customFormat="false" ht="15" hidden="false" customHeight="false" outlineLevel="0" collapsed="false">
      <c r="A10" s="0" t="s">
        <v>72</v>
      </c>
      <c r="B10" s="0" t="n">
        <v>68916.447</v>
      </c>
      <c r="C10" s="0" t="n">
        <v>57583.992</v>
      </c>
      <c r="D10" s="0" t="n">
        <v>11332.455</v>
      </c>
      <c r="E10" s="0" t="n">
        <v>16.4</v>
      </c>
      <c r="F10" s="0" t="n">
        <v>10452.727</v>
      </c>
      <c r="G10" s="0" t="n">
        <v>15.2</v>
      </c>
      <c r="H10" s="0" t="n">
        <v>13499.939</v>
      </c>
      <c r="I10" s="0" t="n">
        <v>7501.565</v>
      </c>
      <c r="J10" s="0" t="n">
        <v>10.9</v>
      </c>
      <c r="K10" s="0" t="n">
        <v>4.26</v>
      </c>
      <c r="L10" s="0" t="n">
        <v>11138.71</v>
      </c>
      <c r="M10" s="0" t="n">
        <v>5336.323</v>
      </c>
      <c r="N10" s="0" t="n">
        <v>5802.387</v>
      </c>
      <c r="O10" s="0" t="n">
        <v>49058.959</v>
      </c>
      <c r="P10" s="0" t="n">
        <v>74885.144</v>
      </c>
      <c r="Q10" s="0" t="n">
        <v>25646.281</v>
      </c>
      <c r="R10" s="0" t="n">
        <v>10893.308</v>
      </c>
      <c r="S10" s="0" t="n">
        <v>3005.645</v>
      </c>
      <c r="T10" s="0" t="n">
        <v>1749.5</v>
      </c>
      <c r="U10" s="0" t="n">
        <v>157.979</v>
      </c>
      <c r="AA10" s="0" t="s">
        <v>18</v>
      </c>
      <c r="AB10" s="0" t="s">
        <v>14</v>
      </c>
    </row>
    <row r="11" customFormat="false" ht="15" hidden="false" customHeight="false" outlineLevel="0" collapsed="false">
      <c r="A11" s="0" t="s">
        <v>73</v>
      </c>
      <c r="B11" s="0" t="n">
        <v>67026.656</v>
      </c>
      <c r="C11" s="0" t="n">
        <v>57823.416</v>
      </c>
      <c r="D11" s="0" t="n">
        <v>9203.24</v>
      </c>
      <c r="E11" s="0" t="n">
        <v>13.7</v>
      </c>
      <c r="F11" s="0" t="n">
        <v>7487.202</v>
      </c>
      <c r="G11" s="0" t="n">
        <v>11.2</v>
      </c>
      <c r="H11" s="0" t="n">
        <v>10613.449</v>
      </c>
      <c r="I11" s="0" t="n">
        <v>4566.317</v>
      </c>
      <c r="J11" s="0" t="n">
        <v>6.8</v>
      </c>
      <c r="K11" s="0" t="n">
        <v>2.18</v>
      </c>
      <c r="L11" s="0" t="n">
        <v>11381.243</v>
      </c>
      <c r="M11" s="0" t="n">
        <v>5946.417</v>
      </c>
      <c r="N11" s="0" t="n">
        <v>5434.826</v>
      </c>
      <c r="O11" s="0" t="n">
        <v>57948.759</v>
      </c>
      <c r="P11" s="0" t="n">
        <v>86814.493</v>
      </c>
      <c r="Q11" s="0" t="n">
        <v>28640.707</v>
      </c>
      <c r="R11" s="0" t="n">
        <v>13636.484</v>
      </c>
      <c r="S11" s="0" t="n">
        <v>7767.813</v>
      </c>
      <c r="T11" s="0" t="n">
        <v>2041.3</v>
      </c>
      <c r="U11" s="0" t="n">
        <v>152.414</v>
      </c>
      <c r="AA11" s="0" t="s">
        <v>18</v>
      </c>
      <c r="AB11" s="0" t="s">
        <v>14</v>
      </c>
    </row>
    <row r="12" customFormat="false" ht="15" hidden="false" customHeight="false" outlineLevel="0" collapsed="false">
      <c r="A12" s="0" t="s">
        <v>74</v>
      </c>
      <c r="B12" s="0" t="n">
        <v>69858.532</v>
      </c>
      <c r="C12" s="0" t="n">
        <v>61891.039</v>
      </c>
      <c r="D12" s="0" t="n">
        <v>7967.493</v>
      </c>
      <c r="E12" s="0" t="n">
        <v>11.4</v>
      </c>
      <c r="F12" s="0" t="n">
        <v>3739.068</v>
      </c>
      <c r="G12" s="0" t="n">
        <v>5.4</v>
      </c>
      <c r="H12" s="0" t="n">
        <v>7422.653</v>
      </c>
      <c r="I12" s="0" t="n">
        <v>1387.02</v>
      </c>
      <c r="J12" s="0" t="n">
        <v>2</v>
      </c>
      <c r="K12" s="0" t="n">
        <v>0.69</v>
      </c>
      <c r="L12" s="0" t="n">
        <v>7987.454</v>
      </c>
      <c r="M12" s="0" t="n">
        <v>6852.841</v>
      </c>
      <c r="N12" s="0" t="n">
        <v>1134.613</v>
      </c>
      <c r="O12" s="0" t="n">
        <v>53585.393</v>
      </c>
      <c r="P12" s="0" t="n">
        <v>81688.175</v>
      </c>
      <c r="Q12" s="0" t="n">
        <v>27889.686</v>
      </c>
      <c r="R12" s="0" t="n">
        <v>14182.151</v>
      </c>
      <c r="S12" s="0" t="n">
        <v>5929.17</v>
      </c>
      <c r="T12" s="0" t="n">
        <v>1975.1</v>
      </c>
      <c r="U12" s="0" t="n">
        <v>149.21</v>
      </c>
      <c r="AA12" s="0" t="s">
        <v>18</v>
      </c>
      <c r="AB12"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5.01</v>
      </c>
    </row>
    <row r="3" customFormat="false" ht="15" hidden="false" customHeight="false" outlineLevel="0" collapsed="false">
      <c r="A3" s="0" t="s">
        <v>78</v>
      </c>
      <c r="B3" s="3" t="n">
        <v>1975.14</v>
      </c>
    </row>
    <row r="4" customFormat="false" ht="15" hidden="false" customHeight="false" outlineLevel="0" collapsed="false">
      <c r="A4" s="0" t="s">
        <v>79</v>
      </c>
      <c r="B4" s="3" t="n">
        <v>7807.4</v>
      </c>
    </row>
    <row r="5" customFormat="false" ht="15" hidden="false" customHeight="false" outlineLevel="0" collapsed="false">
      <c r="A5" s="0" t="s">
        <v>80</v>
      </c>
      <c r="B5" s="3" t="n">
        <v>3327.3</v>
      </c>
    </row>
    <row r="6" customFormat="false" ht="15" hidden="false" customHeight="false" outlineLevel="0" collapsed="false">
      <c r="A6" s="0" t="s">
        <v>81</v>
      </c>
      <c r="B6" s="3" t="n">
        <v>15</v>
      </c>
    </row>
    <row r="7" customFormat="false" ht="15" hidden="false" customHeight="false" outlineLevel="0" collapsed="false">
      <c r="A7" s="0" t="s">
        <v>82</v>
      </c>
      <c r="B7" s="3" t="n">
        <v>69858.5</v>
      </c>
    </row>
    <row r="8" customFormat="false" ht="15" hidden="false" customHeight="false" outlineLevel="0" collapsed="false">
      <c r="A8" s="0" t="s">
        <v>83</v>
      </c>
      <c r="B8" s="3" t="s">
        <v>74</v>
      </c>
    </row>
    <row r="9" customFormat="false" ht="15" hidden="false" customHeight="false" outlineLevel="0" collapsed="false">
      <c r="A9" s="0" t="s">
        <v>84</v>
      </c>
      <c r="B9" s="3" t="s">
        <v>85</v>
      </c>
    </row>
    <row r="10" customFormat="false" ht="15" hidden="false" customHeight="false" outlineLevel="0" collapsed="false">
      <c r="A10" s="0" t="s">
        <v>86</v>
      </c>
      <c r="B10" s="3" t="n">
        <v>0.19149</v>
      </c>
    </row>
    <row r="12" customFormat="false" ht="15" hidden="false" customHeight="false" outlineLevel="0" collapsed="false">
      <c r="A12" s="2" t="s">
        <v>87</v>
      </c>
      <c r="C12" s="2" t="s">
        <v>88</v>
      </c>
      <c r="D12" s="2" t="s">
        <v>89</v>
      </c>
      <c r="E12" s="2" t="s">
        <v>90</v>
      </c>
      <c r="F12" s="2" t="s">
        <v>91</v>
      </c>
      <c r="G12" s="2" t="s">
        <v>92</v>
      </c>
      <c r="H12" s="2" t="s">
        <v>93</v>
      </c>
      <c r="I12" s="2" t="s">
        <v>94</v>
      </c>
      <c r="J12" s="2" t="s">
        <v>95</v>
      </c>
      <c r="K12" s="2" t="s">
        <v>96</v>
      </c>
      <c r="L12" s="2" t="s">
        <v>97</v>
      </c>
    </row>
    <row r="13" customFormat="false" ht="15" hidden="false" customHeight="false" outlineLevel="0" collapsed="false">
      <c r="A13" s="0" t="s">
        <v>98</v>
      </c>
      <c r="C13" s="3" t="n">
        <v>1</v>
      </c>
      <c r="D13" s="3" t="n">
        <v>0</v>
      </c>
      <c r="E13" s="3" t="n">
        <v>2</v>
      </c>
      <c r="F13" s="3" t="n">
        <v>3</v>
      </c>
      <c r="G13" s="3" t="n">
        <v>3</v>
      </c>
      <c r="H13" s="3" t="n">
        <v>3.5</v>
      </c>
      <c r="I13" s="3" t="n">
        <v>3.5</v>
      </c>
      <c r="J13" s="3" t="n">
        <v>3.5</v>
      </c>
      <c r="K13" s="3" t="n">
        <v>3.5</v>
      </c>
      <c r="L13" s="3" t="n">
        <v>3.5</v>
      </c>
    </row>
    <row r="14" customFormat="false" ht="15" hidden="false" customHeight="false" outlineLevel="0" collapsed="false">
      <c r="A14" s="0" t="s">
        <v>99</v>
      </c>
      <c r="C14" s="3" t="n">
        <v>14.5</v>
      </c>
      <c r="D14" s="3" t="n">
        <v>12.5</v>
      </c>
      <c r="E14" s="3" t="n">
        <v>11.5</v>
      </c>
      <c r="F14" s="3" t="n">
        <v>11</v>
      </c>
      <c r="G14" s="3" t="n">
        <v>11.5</v>
      </c>
      <c r="H14" s="3" t="n">
        <v>11.5</v>
      </c>
      <c r="I14" s="3" t="n">
        <v>11.5</v>
      </c>
      <c r="J14" s="3" t="n">
        <v>11.5</v>
      </c>
      <c r="K14" s="3" t="n">
        <v>11.5</v>
      </c>
      <c r="L14" s="3" t="n">
        <v>11.5</v>
      </c>
    </row>
    <row r="15" customFormat="false" ht="15" hidden="false" customHeight="false" outlineLevel="0" collapsed="false">
      <c r="A15" s="0" t="s">
        <v>100</v>
      </c>
      <c r="C15" s="3" t="n">
        <v>0.21</v>
      </c>
      <c r="D15" s="3" t="n">
        <v>0.21</v>
      </c>
      <c r="E15" s="3" t="n">
        <v>0.21</v>
      </c>
      <c r="F15" s="3" t="n">
        <v>0.21</v>
      </c>
      <c r="G15" s="3" t="n">
        <v>0.21</v>
      </c>
      <c r="H15" s="3" t="n">
        <v>0.21</v>
      </c>
      <c r="I15" s="3" t="n">
        <v>0.21</v>
      </c>
      <c r="J15" s="3" t="n">
        <v>0.21</v>
      </c>
      <c r="K15" s="3" t="n">
        <v>0.21</v>
      </c>
      <c r="L15" s="3" t="n">
        <v>0.21</v>
      </c>
    </row>
    <row r="16" customFormat="false" ht="15" hidden="false" customHeight="false" outlineLevel="0" collapsed="false">
      <c r="A16" s="0" t="s">
        <v>101</v>
      </c>
      <c r="C16" s="3" t="n">
        <v>0.87</v>
      </c>
      <c r="D16" s="3" t="n">
        <v>0.87</v>
      </c>
      <c r="E16" s="3" t="n">
        <v>0.87</v>
      </c>
      <c r="F16" s="3" t="n">
        <v>0.87</v>
      </c>
      <c r="G16" s="3" t="n">
        <v>0.87</v>
      </c>
      <c r="H16" s="3" t="n">
        <v>0.87</v>
      </c>
      <c r="I16" s="3" t="n">
        <v>0.87</v>
      </c>
      <c r="J16" s="3" t="n">
        <v>0.87</v>
      </c>
      <c r="K16" s="3" t="n">
        <v>0.87</v>
      </c>
      <c r="L16" s="3" t="n">
        <v>0.87</v>
      </c>
    </row>
    <row r="17" customFormat="false" ht="15" hidden="false" customHeight="false" outlineLevel="0" collapsed="false">
      <c r="A17" s="0" t="s">
        <v>102</v>
      </c>
      <c r="C17" s="3" t="n">
        <v>4.7</v>
      </c>
      <c r="D17" s="3" t="n">
        <v>4.8</v>
      </c>
      <c r="E17" s="3" t="n">
        <v>4.8</v>
      </c>
      <c r="F17" s="3" t="n">
        <v>4.8</v>
      </c>
      <c r="G17" s="3" t="n">
        <v>4.8</v>
      </c>
      <c r="H17" s="3" t="n">
        <v>4.8</v>
      </c>
      <c r="I17" s="3" t="n">
        <v>4.8</v>
      </c>
      <c r="J17" s="3" t="n">
        <v>4.8</v>
      </c>
      <c r="K17" s="3" t="n">
        <v>4.8</v>
      </c>
      <c r="L17" s="3" t="n">
        <v>4.8</v>
      </c>
    </row>
    <row r="18" customFormat="false" ht="15" hidden="false" customHeight="false" outlineLevel="0" collapsed="false">
      <c r="A18" s="0" t="s">
        <v>103</v>
      </c>
      <c r="C18" s="3" t="n">
        <v>6.5</v>
      </c>
      <c r="D18" s="3" t="n">
        <v>6</v>
      </c>
      <c r="E18" s="3" t="n">
        <v>5.8</v>
      </c>
      <c r="F18" s="3" t="n">
        <v>5.6</v>
      </c>
      <c r="G18" s="3" t="n">
        <v>5.5</v>
      </c>
      <c r="H18" s="3" t="n">
        <v>5.5</v>
      </c>
      <c r="I18" s="3" t="n">
        <v>5.5</v>
      </c>
      <c r="J18" s="3" t="n">
        <v>5.5</v>
      </c>
      <c r="K18" s="3" t="n">
        <v>5.5</v>
      </c>
      <c r="L18" s="3" t="n">
        <v>5.5</v>
      </c>
    </row>
    <row r="19" customFormat="false" ht="15" hidden="false" customHeight="false" outlineLevel="0" collapsed="false">
      <c r="A19" s="0" t="s">
        <v>104</v>
      </c>
      <c r="C19" s="3" t="n">
        <v>22</v>
      </c>
      <c r="D19" s="3" t="n">
        <v>22</v>
      </c>
      <c r="E19" s="3" t="n">
        <v>22</v>
      </c>
      <c r="F19" s="3" t="n">
        <v>22</v>
      </c>
      <c r="G19" s="3" t="n">
        <v>22</v>
      </c>
      <c r="H19" s="3" t="n">
        <v>22</v>
      </c>
      <c r="I19" s="3" t="n">
        <v>22</v>
      </c>
      <c r="J19" s="3" t="n">
        <v>22</v>
      </c>
      <c r="K19" s="3" t="n">
        <v>22</v>
      </c>
      <c r="L19" s="3" t="n">
        <v>22</v>
      </c>
    </row>
    <row r="20" customFormat="false" ht="15" hidden="false" customHeight="false" outlineLevel="0" collapsed="false">
      <c r="A20" s="0" t="s">
        <v>105</v>
      </c>
      <c r="B20" s="3" t="n">
        <v>12</v>
      </c>
    </row>
    <row r="21" customFormat="false" ht="15" hidden="false" customHeight="false" outlineLevel="0" collapsed="false">
      <c r="A21" s="0" t="s">
        <v>106</v>
      </c>
      <c r="B21" s="3" t="n">
        <v>4</v>
      </c>
    </row>
    <row r="22" customFormat="false" ht="15" hidden="false" customHeight="false" outlineLevel="0" collapsed="false">
      <c r="A22" s="0" t="s">
        <v>107</v>
      </c>
      <c r="B22" s="3" t="n">
        <v>12</v>
      </c>
    </row>
    <row r="23" customFormat="false" ht="15" hidden="false" customHeight="false" outlineLevel="0" collapsed="false">
      <c r="A23" s="0" t="s">
        <v>108</v>
      </c>
      <c r="B23" s="3" t="n">
        <v>-20</v>
      </c>
    </row>
    <row r="24" customFormat="false" ht="15" hidden="false" customHeight="false" outlineLevel="0" collapsed="false">
      <c r="A24" s="0" t="s">
        <v>109</v>
      </c>
      <c r="B24" s="3" t="n">
        <v>0.25</v>
      </c>
    </row>
    <row r="26" customFormat="false" ht="15" hidden="false" customHeight="false" outlineLevel="0" collapsed="false">
      <c r="A26" s="2" t="s">
        <v>110</v>
      </c>
      <c r="C26" s="2" t="s">
        <v>88</v>
      </c>
      <c r="D26" s="2" t="s">
        <v>89</v>
      </c>
      <c r="E26" s="2" t="s">
        <v>90</v>
      </c>
      <c r="F26" s="2" t="s">
        <v>91</v>
      </c>
      <c r="G26" s="2" t="s">
        <v>92</v>
      </c>
      <c r="H26" s="2" t="s">
        <v>93</v>
      </c>
      <c r="I26" s="2" t="s">
        <v>94</v>
      </c>
      <c r="J26" s="2" t="s">
        <v>95</v>
      </c>
      <c r="K26" s="2" t="s">
        <v>96</v>
      </c>
      <c r="L26" s="2" t="s">
        <v>97</v>
      </c>
    </row>
    <row r="27" customFormat="false" ht="15" hidden="false" customHeight="false" outlineLevel="0" collapsed="false">
      <c r="A27" s="0" t="s">
        <v>98</v>
      </c>
      <c r="C27" s="3" t="n">
        <v>3</v>
      </c>
      <c r="D27" s="3" t="n">
        <v>4</v>
      </c>
      <c r="E27" s="3" t="n">
        <v>4</v>
      </c>
      <c r="F27" s="3" t="n">
        <v>4</v>
      </c>
      <c r="G27" s="3" t="n">
        <v>4</v>
      </c>
      <c r="H27" s="3" t="n">
        <v>4</v>
      </c>
      <c r="I27" s="3" t="n">
        <v>4</v>
      </c>
      <c r="J27" s="3" t="n">
        <v>4</v>
      </c>
      <c r="K27" s="3" t="n">
        <v>4</v>
      </c>
      <c r="L27" s="3" t="n">
        <v>4</v>
      </c>
    </row>
    <row r="28" customFormat="false" ht="15" hidden="false" customHeight="false" outlineLevel="0" collapsed="false">
      <c r="A28" s="0" t="s">
        <v>99</v>
      </c>
      <c r="C28" s="3" t="n">
        <v>15.5</v>
      </c>
      <c r="D28" s="3" t="n">
        <v>15</v>
      </c>
      <c r="E28" s="3" t="n">
        <v>14.5</v>
      </c>
      <c r="F28" s="3" t="n">
        <v>14.5</v>
      </c>
      <c r="G28" s="3" t="n">
        <v>14.5</v>
      </c>
      <c r="H28" s="3" t="n">
        <v>14.5</v>
      </c>
      <c r="I28" s="3" t="n">
        <v>14.5</v>
      </c>
      <c r="J28" s="3" t="n">
        <v>14.5</v>
      </c>
      <c r="K28" s="3" t="n">
        <v>14.5</v>
      </c>
      <c r="L28" s="3" t="n">
        <v>14.5</v>
      </c>
    </row>
    <row r="29" customFormat="false" ht="15" hidden="false" customHeight="false" outlineLevel="0" collapsed="false">
      <c r="A29" s="0" t="s">
        <v>100</v>
      </c>
      <c r="C29" s="3" t="n">
        <v>0.21</v>
      </c>
      <c r="D29" s="3" t="n">
        <v>0.21</v>
      </c>
      <c r="E29" s="3" t="n">
        <v>0.21</v>
      </c>
      <c r="F29" s="3" t="n">
        <v>0.21</v>
      </c>
      <c r="G29" s="3" t="n">
        <v>0.21</v>
      </c>
      <c r="H29" s="3" t="n">
        <v>0.21</v>
      </c>
      <c r="I29" s="3" t="n">
        <v>0.21</v>
      </c>
      <c r="J29" s="3" t="n">
        <v>0.21</v>
      </c>
      <c r="K29" s="3" t="n">
        <v>0.21</v>
      </c>
      <c r="L29" s="3" t="n">
        <v>0.21</v>
      </c>
    </row>
    <row r="30" customFormat="false" ht="15" hidden="false" customHeight="false" outlineLevel="0" collapsed="false">
      <c r="A30" s="0" t="s">
        <v>101</v>
      </c>
      <c r="C30" s="3" t="n">
        <v>0.87</v>
      </c>
      <c r="D30" s="3" t="n">
        <v>0.87</v>
      </c>
      <c r="E30" s="3" t="n">
        <v>0.87</v>
      </c>
      <c r="F30" s="3" t="n">
        <v>0.87</v>
      </c>
      <c r="G30" s="3" t="n">
        <v>0.87</v>
      </c>
      <c r="H30" s="3" t="n">
        <v>0.87</v>
      </c>
      <c r="I30" s="3" t="n">
        <v>0.87</v>
      </c>
      <c r="J30" s="3" t="n">
        <v>0.87</v>
      </c>
      <c r="K30" s="3" t="n">
        <v>0.87</v>
      </c>
      <c r="L30" s="3" t="n">
        <v>0.87</v>
      </c>
    </row>
    <row r="31" customFormat="false" ht="15" hidden="false" customHeight="false" outlineLevel="0" collapsed="false">
      <c r="A31" s="0" t="s">
        <v>102</v>
      </c>
      <c r="C31" s="3" t="n">
        <v>4.7</v>
      </c>
      <c r="D31" s="3" t="n">
        <v>4.8</v>
      </c>
      <c r="E31" s="3" t="n">
        <v>4.8</v>
      </c>
      <c r="F31" s="3" t="n">
        <v>4.8</v>
      </c>
      <c r="G31" s="3" t="n">
        <v>4.8</v>
      </c>
      <c r="H31" s="3" t="n">
        <v>4.8</v>
      </c>
      <c r="I31" s="3" t="n">
        <v>4.8</v>
      </c>
      <c r="J31" s="3" t="n">
        <v>4.8</v>
      </c>
      <c r="K31" s="3" t="n">
        <v>4.8</v>
      </c>
      <c r="L31" s="3" t="n">
        <v>4.8</v>
      </c>
    </row>
    <row r="32" customFormat="false" ht="15" hidden="false" customHeight="false" outlineLevel="0" collapsed="false">
      <c r="A32" s="0" t="s">
        <v>103</v>
      </c>
      <c r="C32" s="3" t="n">
        <v>6.5</v>
      </c>
      <c r="D32" s="3" t="n">
        <v>6</v>
      </c>
      <c r="E32" s="3" t="n">
        <v>5.8</v>
      </c>
      <c r="F32" s="3" t="n">
        <v>5.6</v>
      </c>
      <c r="G32" s="3" t="n">
        <v>5.5</v>
      </c>
      <c r="H32" s="3" t="n">
        <v>5.5</v>
      </c>
      <c r="I32" s="3" t="n">
        <v>5.5</v>
      </c>
      <c r="J32" s="3" t="n">
        <v>5.5</v>
      </c>
      <c r="K32" s="3" t="n">
        <v>5.5</v>
      </c>
      <c r="L32" s="3" t="n">
        <v>5.5</v>
      </c>
    </row>
    <row r="33" customFormat="false" ht="15" hidden="false" customHeight="false" outlineLevel="0" collapsed="false">
      <c r="A33" s="0" t="s">
        <v>104</v>
      </c>
      <c r="C33" s="3" t="n">
        <v>22</v>
      </c>
      <c r="D33" s="3" t="n">
        <v>22</v>
      </c>
      <c r="E33" s="3" t="n">
        <v>22</v>
      </c>
      <c r="F33" s="3" t="n">
        <v>22</v>
      </c>
      <c r="G33" s="3" t="n">
        <v>22</v>
      </c>
      <c r="H33" s="3" t="n">
        <v>22</v>
      </c>
      <c r="I33" s="3" t="n">
        <v>22</v>
      </c>
      <c r="J33" s="3" t="n">
        <v>22</v>
      </c>
      <c r="K33" s="3" t="n">
        <v>22</v>
      </c>
      <c r="L33" s="3" t="n">
        <v>22</v>
      </c>
    </row>
    <row r="34" customFormat="false" ht="15" hidden="false" customHeight="false" outlineLevel="0" collapsed="false">
      <c r="A34" s="0" t="s">
        <v>105</v>
      </c>
      <c r="B34" s="3" t="n">
        <v>12</v>
      </c>
    </row>
    <row r="35" customFormat="false" ht="15" hidden="false" customHeight="false" outlineLevel="0" collapsed="false">
      <c r="A35" s="0" t="s">
        <v>106</v>
      </c>
      <c r="B35" s="3" t="n">
        <v>4</v>
      </c>
    </row>
    <row r="36" customFormat="false" ht="15" hidden="false" customHeight="false" outlineLevel="0" collapsed="false">
      <c r="A36" s="0" t="s">
        <v>107</v>
      </c>
      <c r="B36" s="3" t="n">
        <v>12</v>
      </c>
    </row>
    <row r="37" customFormat="false" ht="15" hidden="false" customHeight="false" outlineLevel="0" collapsed="false">
      <c r="A37" s="0" t="s">
        <v>108</v>
      </c>
      <c r="B37" s="3" t="n">
        <v>-20</v>
      </c>
    </row>
    <row r="38" customFormat="false" ht="15" hidden="false" customHeight="false" outlineLevel="0" collapsed="false">
      <c r="A38" s="0" t="s">
        <v>109</v>
      </c>
      <c r="B38" s="3" t="n">
        <v>0.5</v>
      </c>
    </row>
    <row r="40" customFormat="false" ht="15" hidden="false" customHeight="false" outlineLevel="0" collapsed="false">
      <c r="A40" s="2" t="s">
        <v>111</v>
      </c>
      <c r="C40" s="2" t="s">
        <v>88</v>
      </c>
      <c r="D40" s="2" t="s">
        <v>89</v>
      </c>
      <c r="E40" s="2" t="s">
        <v>90</v>
      </c>
      <c r="F40" s="2" t="s">
        <v>91</v>
      </c>
      <c r="G40" s="2" t="s">
        <v>92</v>
      </c>
      <c r="H40" s="2" t="s">
        <v>93</v>
      </c>
      <c r="I40" s="2" t="s">
        <v>94</v>
      </c>
      <c r="J40" s="2" t="s">
        <v>95</v>
      </c>
      <c r="K40" s="2" t="s">
        <v>96</v>
      </c>
      <c r="L40" s="2" t="s">
        <v>97</v>
      </c>
    </row>
    <row r="41" customFormat="false" ht="15" hidden="false" customHeight="false" outlineLevel="0" collapsed="false">
      <c r="A41" s="0" t="s">
        <v>98</v>
      </c>
      <c r="C41" s="3" t="n">
        <v>5</v>
      </c>
      <c r="D41" s="3" t="n">
        <v>6</v>
      </c>
      <c r="E41" s="3" t="n">
        <v>5</v>
      </c>
      <c r="F41" s="3" t="n">
        <v>5</v>
      </c>
      <c r="G41" s="3" t="n">
        <v>5</v>
      </c>
      <c r="H41" s="3" t="n">
        <v>4.5</v>
      </c>
      <c r="I41" s="3" t="n">
        <v>4.5</v>
      </c>
      <c r="J41" s="3" t="n">
        <v>4.5</v>
      </c>
      <c r="K41" s="3" t="n">
        <v>4.5</v>
      </c>
      <c r="L41" s="3" t="n">
        <v>4.5</v>
      </c>
    </row>
    <row r="42" customFormat="false" ht="15" hidden="false" customHeight="false" outlineLevel="0" collapsed="false">
      <c r="A42" s="0" t="s">
        <v>99</v>
      </c>
      <c r="C42" s="3" t="n">
        <v>16.5</v>
      </c>
      <c r="D42" s="3" t="n">
        <v>17</v>
      </c>
      <c r="E42" s="3" t="n">
        <v>17</v>
      </c>
      <c r="F42" s="3" t="n">
        <v>17</v>
      </c>
      <c r="G42" s="3" t="n">
        <v>16.5</v>
      </c>
      <c r="H42" s="3" t="n">
        <v>16.5</v>
      </c>
      <c r="I42" s="3" t="n">
        <v>16.5</v>
      </c>
      <c r="J42" s="3" t="n">
        <v>16.5</v>
      </c>
      <c r="K42" s="3" t="n">
        <v>16.5</v>
      </c>
      <c r="L42" s="3" t="n">
        <v>16.5</v>
      </c>
    </row>
    <row r="43" customFormat="false" ht="15" hidden="false" customHeight="false" outlineLevel="0" collapsed="false">
      <c r="A43" s="0" t="s">
        <v>100</v>
      </c>
      <c r="C43" s="3" t="n">
        <v>0.21</v>
      </c>
      <c r="D43" s="3" t="n">
        <v>0.21</v>
      </c>
      <c r="E43" s="3" t="n">
        <v>0.21</v>
      </c>
      <c r="F43" s="3" t="n">
        <v>0.21</v>
      </c>
      <c r="G43" s="3" t="n">
        <v>0.21</v>
      </c>
      <c r="H43" s="3" t="n">
        <v>0.21</v>
      </c>
      <c r="I43" s="3" t="n">
        <v>0.21</v>
      </c>
      <c r="J43" s="3" t="n">
        <v>0.21</v>
      </c>
      <c r="K43" s="3" t="n">
        <v>0.21</v>
      </c>
      <c r="L43" s="3" t="n">
        <v>0.21</v>
      </c>
    </row>
    <row r="44" customFormat="false" ht="15" hidden="false" customHeight="false" outlineLevel="0" collapsed="false">
      <c r="A44" s="0" t="s">
        <v>101</v>
      </c>
      <c r="C44" s="3" t="n">
        <v>0.87</v>
      </c>
      <c r="D44" s="3" t="n">
        <v>0.87</v>
      </c>
      <c r="E44" s="3" t="n">
        <v>0.87</v>
      </c>
      <c r="F44" s="3" t="n">
        <v>0.87</v>
      </c>
      <c r="G44" s="3" t="n">
        <v>0.87</v>
      </c>
      <c r="H44" s="3" t="n">
        <v>0.87</v>
      </c>
      <c r="I44" s="3" t="n">
        <v>0.87</v>
      </c>
      <c r="J44" s="3" t="n">
        <v>0.87</v>
      </c>
      <c r="K44" s="3" t="n">
        <v>0.87</v>
      </c>
      <c r="L44" s="3" t="n">
        <v>0.87</v>
      </c>
    </row>
    <row r="45" customFormat="false" ht="15" hidden="false" customHeight="false" outlineLevel="0" collapsed="false">
      <c r="A45" s="0" t="s">
        <v>102</v>
      </c>
      <c r="C45" s="3" t="n">
        <v>4.7</v>
      </c>
      <c r="D45" s="3" t="n">
        <v>4.8</v>
      </c>
      <c r="E45" s="3" t="n">
        <v>4.8</v>
      </c>
      <c r="F45" s="3" t="n">
        <v>4.8</v>
      </c>
      <c r="G45" s="3" t="n">
        <v>4.8</v>
      </c>
      <c r="H45" s="3" t="n">
        <v>4.8</v>
      </c>
      <c r="I45" s="3" t="n">
        <v>4.8</v>
      </c>
      <c r="J45" s="3" t="n">
        <v>4.8</v>
      </c>
      <c r="K45" s="3" t="n">
        <v>4.8</v>
      </c>
      <c r="L45" s="3" t="n">
        <v>4.8</v>
      </c>
    </row>
    <row r="46" customFormat="false" ht="15" hidden="false" customHeight="false" outlineLevel="0" collapsed="false">
      <c r="A46" s="0" t="s">
        <v>103</v>
      </c>
      <c r="C46" s="3" t="n">
        <v>6.5</v>
      </c>
      <c r="D46" s="3" t="n">
        <v>6</v>
      </c>
      <c r="E46" s="3" t="n">
        <v>5.8</v>
      </c>
      <c r="F46" s="3" t="n">
        <v>5.6</v>
      </c>
      <c r="G46" s="3" t="n">
        <v>5.5</v>
      </c>
      <c r="H46" s="3" t="n">
        <v>5.5</v>
      </c>
      <c r="I46" s="3" t="n">
        <v>5.5</v>
      </c>
      <c r="J46" s="3" t="n">
        <v>5.5</v>
      </c>
      <c r="K46" s="3" t="n">
        <v>5.5</v>
      </c>
      <c r="L46" s="3" t="n">
        <v>5.5</v>
      </c>
    </row>
    <row r="47" customFormat="false" ht="15" hidden="false" customHeight="false" outlineLevel="0" collapsed="false">
      <c r="A47" s="0" t="s">
        <v>104</v>
      </c>
      <c r="C47" s="3" t="n">
        <v>22</v>
      </c>
      <c r="D47" s="3" t="n">
        <v>22</v>
      </c>
      <c r="E47" s="3" t="n">
        <v>22</v>
      </c>
      <c r="F47" s="3" t="n">
        <v>22</v>
      </c>
      <c r="G47" s="3" t="n">
        <v>22</v>
      </c>
      <c r="H47" s="3" t="n">
        <v>22</v>
      </c>
      <c r="I47" s="3" t="n">
        <v>22</v>
      </c>
      <c r="J47" s="3" t="n">
        <v>22</v>
      </c>
      <c r="K47" s="3" t="n">
        <v>22</v>
      </c>
      <c r="L47" s="3" t="n">
        <v>22</v>
      </c>
    </row>
    <row r="48" customFormat="false" ht="15" hidden="false" customHeight="false" outlineLevel="0" collapsed="false">
      <c r="A48" s="0" t="s">
        <v>105</v>
      </c>
      <c r="B48" s="3" t="n">
        <v>12</v>
      </c>
    </row>
    <row r="49" customFormat="false" ht="15" hidden="false" customHeight="false" outlineLevel="0" collapsed="false">
      <c r="A49" s="0" t="s">
        <v>106</v>
      </c>
      <c r="B49" s="3" t="n">
        <v>4</v>
      </c>
    </row>
    <row r="50" customFormat="false" ht="15" hidden="false" customHeight="false" outlineLevel="0" collapsed="false">
      <c r="A50" s="0" t="s">
        <v>107</v>
      </c>
      <c r="B50" s="3" t="n">
        <v>12</v>
      </c>
    </row>
    <row r="51" customFormat="false" ht="15" hidden="false" customHeight="false" outlineLevel="0" collapsed="false">
      <c r="A51" s="0" t="s">
        <v>108</v>
      </c>
      <c r="B51" s="3" t="n">
        <v>-20</v>
      </c>
    </row>
    <row r="52" customFormat="false" ht="15" hidden="false" customHeight="false" outlineLevel="0" collapsed="false">
      <c r="A52" s="0" t="s">
        <v>109</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112</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Assumptions!C13</f>
        <v>1</v>
      </c>
      <c r="D5" s="4" t="n">
        <f aca="false">Assumptions!D13</f>
        <v>0</v>
      </c>
      <c r="E5" s="4" t="n">
        <f aca="false">Assumptions!E13</f>
        <v>2</v>
      </c>
      <c r="F5" s="4" t="n">
        <f aca="false">Assumptions!F13</f>
        <v>3</v>
      </c>
      <c r="G5" s="4" t="n">
        <f aca="false">Assumptions!G13</f>
        <v>3</v>
      </c>
      <c r="H5" s="4" t="n">
        <f aca="false">Assumptions!H13</f>
        <v>3.5</v>
      </c>
      <c r="I5" s="4" t="n">
        <f aca="false">Assumptions!I13</f>
        <v>3.5</v>
      </c>
      <c r="J5" s="4" t="n">
        <f aca="false">Assumptions!J13</f>
        <v>3.5</v>
      </c>
      <c r="K5" s="4" t="n">
        <f aca="false">Assumptions!K13</f>
        <v>3.5</v>
      </c>
      <c r="L5" s="4" t="n">
        <f aca="false">Assumptions!L13</f>
        <v>3.5</v>
      </c>
    </row>
    <row r="6" customFormat="false" ht="15" hidden="false" customHeight="false" outlineLevel="0" collapsed="false">
      <c r="A6" s="0" t="s">
        <v>38</v>
      </c>
      <c r="B6" s="3" t="n">
        <v>69858.5</v>
      </c>
      <c r="C6" s="0" t="n">
        <f aca="false">B6*(1+C5/100)</f>
        <v>70557.085</v>
      </c>
      <c r="D6" s="0" t="n">
        <f aca="false">C6*(1+D5/100)</f>
        <v>70557.085</v>
      </c>
      <c r="E6" s="0" t="n">
        <f aca="false">D6*(1+E5/100)</f>
        <v>71968.2267</v>
      </c>
      <c r="F6" s="0" t="n">
        <f aca="false">E6*(1+F5/100)</f>
        <v>74127.273501</v>
      </c>
      <c r="G6" s="0" t="n">
        <f aca="false">F6*(1+G5/100)</f>
        <v>76351.09170603</v>
      </c>
      <c r="H6" s="0" t="n">
        <f aca="false">G6*(1+H5/100)</f>
        <v>79023.3799157411</v>
      </c>
      <c r="I6" s="0" t="n">
        <f aca="false">H6*(1+I5/100)</f>
        <v>81789.198212792</v>
      </c>
      <c r="J6" s="0" t="n">
        <f aca="false">I6*(1+J5/100)</f>
        <v>84651.8201502397</v>
      </c>
      <c r="K6" s="0" t="n">
        <f aca="false">J6*(1+K5/100)</f>
        <v>87614.6338554981</v>
      </c>
      <c r="L6" s="0" t="n">
        <f aca="false">K6*(1+L5/100)</f>
        <v>90681.1460404405</v>
      </c>
    </row>
    <row r="7" customFormat="false" ht="15" hidden="false" customHeight="false" outlineLevel="0" collapsed="false">
      <c r="A7" s="0" t="s">
        <v>99</v>
      </c>
      <c r="C7" s="4" t="n">
        <f aca="false">Assumptions!C14</f>
        <v>14.5</v>
      </c>
      <c r="D7" s="4" t="n">
        <f aca="false">Assumptions!D14</f>
        <v>12.5</v>
      </c>
      <c r="E7" s="4" t="n">
        <f aca="false">Assumptions!E14</f>
        <v>11.5</v>
      </c>
      <c r="F7" s="4" t="n">
        <f aca="false">Assumptions!F14</f>
        <v>11</v>
      </c>
      <c r="G7" s="4" t="n">
        <f aca="false">Assumptions!G14</f>
        <v>11.5</v>
      </c>
      <c r="H7" s="4" t="n">
        <f aca="false">Assumptions!H14</f>
        <v>11.5</v>
      </c>
      <c r="I7" s="4" t="n">
        <f aca="false">Assumptions!I14</f>
        <v>11.5</v>
      </c>
      <c r="J7" s="4" t="n">
        <f aca="false">Assumptions!J14</f>
        <v>11.5</v>
      </c>
      <c r="K7" s="4" t="n">
        <f aca="false">Assumptions!K14</f>
        <v>11.5</v>
      </c>
      <c r="L7" s="4" t="n">
        <f aca="false">Assumptions!L14</f>
        <v>11.5</v>
      </c>
    </row>
    <row r="8" customFormat="false" ht="15" hidden="false" customHeight="false" outlineLevel="0" collapsed="false">
      <c r="A8" s="0" t="s">
        <v>44</v>
      </c>
      <c r="C8" s="0" t="n">
        <f aca="false">C6*C7/100</f>
        <v>10230.777325</v>
      </c>
      <c r="D8" s="0" t="n">
        <f aca="false">D6*D7/100</f>
        <v>8819.635625</v>
      </c>
      <c r="E8" s="0" t="n">
        <f aca="false">E6*E7/100</f>
        <v>8276.3460705</v>
      </c>
      <c r="F8" s="0" t="n">
        <f aca="false">F6*F7/100</f>
        <v>8154.00008511</v>
      </c>
      <c r="G8" s="0" t="n">
        <f aca="false">G6*G7/100</f>
        <v>8780.37554619345</v>
      </c>
      <c r="H8" s="0" t="n">
        <f aca="false">H6*H7/100</f>
        <v>9087.68869031022</v>
      </c>
      <c r="I8" s="0" t="n">
        <f aca="false">I6*I7/100</f>
        <v>9405.75779447108</v>
      </c>
      <c r="J8" s="0" t="n">
        <f aca="false">J6*J7/100</f>
        <v>9734.95931727757</v>
      </c>
      <c r="K8" s="0" t="n">
        <f aca="false">K6*K7/100</f>
        <v>10075.6828933823</v>
      </c>
      <c r="L8" s="0" t="n">
        <f aca="false">L6*L7/100</f>
        <v>10428.3317946507</v>
      </c>
    </row>
    <row r="9" customFormat="false" ht="15" hidden="false" customHeight="false" outlineLevel="0" collapsed="false">
      <c r="A9" s="0" t="s">
        <v>100</v>
      </c>
      <c r="C9" s="4" t="n">
        <f aca="false">Assumptions!C15</f>
        <v>0.21</v>
      </c>
      <c r="D9" s="4" t="n">
        <f aca="false">Assumptions!D15</f>
        <v>0.21</v>
      </c>
      <c r="E9" s="4" t="n">
        <f aca="false">Assumptions!E15</f>
        <v>0.21</v>
      </c>
      <c r="F9" s="4" t="n">
        <f aca="false">Assumptions!F15</f>
        <v>0.21</v>
      </c>
      <c r="G9" s="4" t="n">
        <f aca="false">Assumptions!G15</f>
        <v>0.21</v>
      </c>
      <c r="H9" s="4" t="n">
        <f aca="false">Assumptions!H15</f>
        <v>0.21</v>
      </c>
      <c r="I9" s="4" t="n">
        <f aca="false">Assumptions!I15</f>
        <v>0.21</v>
      </c>
      <c r="J9" s="4" t="n">
        <f aca="false">Assumptions!J15</f>
        <v>0.21</v>
      </c>
      <c r="K9" s="4" t="n">
        <f aca="false">Assumptions!K15</f>
        <v>0.21</v>
      </c>
      <c r="L9" s="4" t="n">
        <f aca="false">Assumptions!L15</f>
        <v>0.21</v>
      </c>
    </row>
    <row r="10" customFormat="false" ht="15" hidden="false" customHeight="false" outlineLevel="0" collapsed="false">
      <c r="A10" s="0" t="s">
        <v>115</v>
      </c>
      <c r="C10" s="0" t="n">
        <f aca="false">-C6*C9/100</f>
        <v>-148.1698785</v>
      </c>
      <c r="D10" s="0" t="n">
        <f aca="false">-D6*D9/100</f>
        <v>-148.1698785</v>
      </c>
      <c r="E10" s="0" t="n">
        <f aca="false">-E6*E9/100</f>
        <v>-151.13327607</v>
      </c>
      <c r="F10" s="0" t="n">
        <f aca="false">-F6*F9/100</f>
        <v>-155.6672743521</v>
      </c>
      <c r="G10" s="0" t="n">
        <f aca="false">-G6*G9/100</f>
        <v>-160.337292582663</v>
      </c>
      <c r="H10" s="0" t="n">
        <f aca="false">-H6*H9/100</f>
        <v>-165.949097823056</v>
      </c>
      <c r="I10" s="0" t="n">
        <f aca="false">-I6*I9/100</f>
        <v>-171.757316246863</v>
      </c>
      <c r="J10" s="0" t="n">
        <f aca="false">-J6*J9/100</f>
        <v>-177.768822315503</v>
      </c>
      <c r="K10" s="0" t="n">
        <f aca="false">-K6*K9/100</f>
        <v>-183.990731096546</v>
      </c>
      <c r="L10" s="0" t="n">
        <f aca="false">-L6*L9/100</f>
        <v>-190.430406684925</v>
      </c>
    </row>
    <row r="11" customFormat="false" ht="15" hidden="false" customHeight="false" outlineLevel="0" collapsed="false">
      <c r="A11" s="0" t="s">
        <v>116</v>
      </c>
      <c r="C11" s="0" t="n">
        <f aca="false">C8+C10+C24</f>
        <v>9468.760807</v>
      </c>
      <c r="D11" s="0" t="n">
        <f aca="false">D8+D10+D24</f>
        <v>8057.619107</v>
      </c>
      <c r="E11" s="0" t="n">
        <f aca="false">E8+E10+E24</f>
        <v>7499.08922214</v>
      </c>
      <c r="F11" s="0" t="n">
        <f aca="false">F8+F10+F24</f>
        <v>7353.4255312992</v>
      </c>
      <c r="G11" s="0" t="n">
        <f aca="false">G8+G10+G24</f>
        <v>7955.78375576833</v>
      </c>
      <c r="H11" s="0" t="n">
        <f aca="false">H8+H10+H24</f>
        <v>8234.23618722022</v>
      </c>
      <c r="I11" s="0" t="n">
        <f aca="false">I8+I10+I24</f>
        <v>8522.43445377293</v>
      </c>
      <c r="J11" s="0" t="n">
        <f aca="false">J8+J10+J24</f>
        <v>8820.71965965498</v>
      </c>
      <c r="K11" s="0" t="n">
        <f aca="false">K8+K10+K24</f>
        <v>9129.4448477429</v>
      </c>
      <c r="L11" s="0" t="n">
        <f aca="false">L8+L10+L24</f>
        <v>9448.9754174139</v>
      </c>
    </row>
    <row r="12" customFormat="false" ht="15" hidden="false" customHeight="false" outlineLevel="0" collapsed="false">
      <c r="A12" s="0" t="s">
        <v>117</v>
      </c>
      <c r="C12" s="4" t="n">
        <f aca="false">-C6*Assumptions!C17/100</f>
        <v>-3316.182995</v>
      </c>
      <c r="D12" s="4" t="n">
        <f aca="false">-D6*Assumptions!D17/100</f>
        <v>-3386.74008</v>
      </c>
      <c r="E12" s="4" t="n">
        <f aca="false">-E6*Assumptions!E17/100</f>
        <v>-3454.4748816</v>
      </c>
      <c r="F12" s="4" t="n">
        <f aca="false">-F6*Assumptions!F17/100</f>
        <v>-3558.109128048</v>
      </c>
      <c r="G12" s="4" t="n">
        <f aca="false">-G6*Assumptions!G17/100</f>
        <v>-3664.85240188944</v>
      </c>
      <c r="H12" s="4" t="n">
        <f aca="false">-H6*Assumptions!H17/100</f>
        <v>-3793.12223595557</v>
      </c>
      <c r="I12" s="4" t="n">
        <f aca="false">-I6*Assumptions!I17/100</f>
        <v>-3925.88151421402</v>
      </c>
      <c r="J12" s="4" t="n">
        <f aca="false">-J6*Assumptions!J17/100</f>
        <v>-4063.28736721151</v>
      </c>
      <c r="K12" s="4" t="n">
        <f aca="false">-K6*Assumptions!K17/100</f>
        <v>-4205.50242506391</v>
      </c>
      <c r="L12" s="4" t="n">
        <f aca="false">-L6*Assumptions!L17/100</f>
        <v>-4352.69500994115</v>
      </c>
    </row>
    <row r="13" customFormat="false" ht="15" hidden="false" customHeight="false" outlineLevel="0" collapsed="false">
      <c r="A13" s="0" t="s">
        <v>118</v>
      </c>
      <c r="C13" s="0" t="n">
        <f aca="false">C11+C12</f>
        <v>6152.577812</v>
      </c>
      <c r="D13" s="0" t="n">
        <f aca="false">D11+D12</f>
        <v>4670.879027</v>
      </c>
      <c r="E13" s="0" t="n">
        <f aca="false">E11+E12</f>
        <v>4044.61434054</v>
      </c>
      <c r="F13" s="0" t="n">
        <f aca="false">F11+F12</f>
        <v>3795.3164032512</v>
      </c>
      <c r="G13" s="0" t="n">
        <f aca="false">G11+G12</f>
        <v>4290.93135387889</v>
      </c>
      <c r="H13" s="0" t="n">
        <f aca="false">H11+H12</f>
        <v>4441.11395126465</v>
      </c>
      <c r="I13" s="0" t="n">
        <f aca="false">I11+I12</f>
        <v>4596.55293955891</v>
      </c>
      <c r="J13" s="0" t="n">
        <f aca="false">J11+J12</f>
        <v>4757.43229244347</v>
      </c>
      <c r="K13" s="0" t="n">
        <f aca="false">K11+K12</f>
        <v>4923.94242267899</v>
      </c>
      <c r="L13" s="0" t="n">
        <f aca="false">L11+L12</f>
        <v>5096.28040747276</v>
      </c>
    </row>
    <row r="14" customFormat="false" ht="15" hidden="false" customHeight="false" outlineLevel="0" collapsed="false">
      <c r="A14" s="0" t="s">
        <v>104</v>
      </c>
      <c r="C14" s="4" t="n">
        <f aca="false">Assumptions!C19</f>
        <v>22</v>
      </c>
      <c r="D14" s="4" t="n">
        <f aca="false">Assumptions!D19</f>
        <v>22</v>
      </c>
      <c r="E14" s="4" t="n">
        <f aca="false">Assumptions!E19</f>
        <v>22</v>
      </c>
      <c r="F14" s="4" t="n">
        <f aca="false">Assumptions!F19</f>
        <v>22</v>
      </c>
      <c r="G14" s="4" t="n">
        <f aca="false">Assumptions!G19</f>
        <v>22</v>
      </c>
      <c r="H14" s="4" t="n">
        <f aca="false">Assumptions!H19</f>
        <v>22</v>
      </c>
      <c r="I14" s="4" t="n">
        <f aca="false">Assumptions!I19</f>
        <v>22</v>
      </c>
      <c r="J14" s="4" t="n">
        <f aca="false">Assumptions!J19</f>
        <v>22</v>
      </c>
      <c r="K14" s="4" t="n">
        <f aca="false">Assumptions!K19</f>
        <v>22</v>
      </c>
      <c r="L14" s="4" t="n">
        <f aca="false">Assumptions!L19</f>
        <v>22</v>
      </c>
    </row>
    <row r="15" customFormat="false" ht="15" hidden="false" customHeight="false" outlineLevel="0" collapsed="false">
      <c r="A15" s="0" t="s">
        <v>119</v>
      </c>
      <c r="C15" s="0" t="n">
        <f aca="false">C13-MAX(0,C13)*C14/100</f>
        <v>4799.01069336</v>
      </c>
      <c r="D15" s="0" t="n">
        <f aca="false">D13-MAX(0,D13)*D14/100</f>
        <v>3643.28564106</v>
      </c>
      <c r="E15" s="0" t="n">
        <f aca="false">E13-MAX(0,E13)*E14/100</f>
        <v>3154.7991856212</v>
      </c>
      <c r="F15" s="0" t="n">
        <f aca="false">F13-MAX(0,F13)*F14/100</f>
        <v>2960.34679453594</v>
      </c>
      <c r="G15" s="0" t="n">
        <f aca="false">G13-MAX(0,G13)*G14/100</f>
        <v>3346.92645602553</v>
      </c>
      <c r="H15" s="0" t="n">
        <f aca="false">H13-MAX(0,H13)*H14/100</f>
        <v>3464.06888198643</v>
      </c>
      <c r="I15" s="0" t="n">
        <f aca="false">I13-MAX(0,I13)*I14/100</f>
        <v>3585.31129285595</v>
      </c>
      <c r="J15" s="0" t="n">
        <f aca="false">J13-MAX(0,J13)*J14/100</f>
        <v>3710.79718810591</v>
      </c>
      <c r="K15" s="0" t="n">
        <f aca="false">K13-MAX(0,K13)*K14/100</f>
        <v>3840.67508968961</v>
      </c>
      <c r="L15" s="0" t="n">
        <f aca="false">L13-MAX(0,L13)*L14/100</f>
        <v>3975.09871782875</v>
      </c>
    </row>
    <row r="16" customFormat="false" ht="15" hidden="false" customHeight="false" outlineLevel="0" collapsed="false">
      <c r="A16" s="0" t="s">
        <v>120</v>
      </c>
      <c r="C16" s="0" t="n">
        <f aca="false">-C12</f>
        <v>3316.182995</v>
      </c>
      <c r="D16" s="0" t="n">
        <f aca="false">-D12</f>
        <v>3386.74008</v>
      </c>
      <c r="E16" s="0" t="n">
        <f aca="false">-E12</f>
        <v>3454.4748816</v>
      </c>
      <c r="F16" s="0" t="n">
        <f aca="false">-F12</f>
        <v>3558.109128048</v>
      </c>
      <c r="G16" s="0" t="n">
        <f aca="false">-G12</f>
        <v>3664.85240188944</v>
      </c>
      <c r="H16" s="0" t="n">
        <f aca="false">-H12</f>
        <v>3793.12223595557</v>
      </c>
      <c r="I16" s="0" t="n">
        <f aca="false">-I12</f>
        <v>3925.88151421402</v>
      </c>
      <c r="J16" s="0" t="n">
        <f aca="false">-J12</f>
        <v>4063.28736721151</v>
      </c>
      <c r="K16" s="0" t="n">
        <f aca="false">-K12</f>
        <v>4205.50242506391</v>
      </c>
      <c r="L16" s="0" t="n">
        <f aca="false">-L12</f>
        <v>4352.69500994115</v>
      </c>
    </row>
    <row r="17" customFormat="false" ht="15" hidden="false" customHeight="false" outlineLevel="0" collapsed="false">
      <c r="A17" s="0" t="s">
        <v>121</v>
      </c>
      <c r="C17" s="4" t="n">
        <f aca="false">-C6*Assumptions!C18/100</f>
        <v>-4586.210525</v>
      </c>
      <c r="D17" s="4" t="n">
        <f aca="false">-D6*Assumptions!D18/100</f>
        <v>-4233.4251</v>
      </c>
      <c r="E17" s="4" t="n">
        <f aca="false">-E6*Assumptions!E18/100</f>
        <v>-4174.1571486</v>
      </c>
      <c r="F17" s="4" t="n">
        <f aca="false">-F6*Assumptions!F18/100</f>
        <v>-4151.127316056</v>
      </c>
      <c r="G17" s="4" t="n">
        <f aca="false">-G6*Assumptions!G18/100</f>
        <v>-4199.31004383165</v>
      </c>
      <c r="H17" s="4" t="n">
        <f aca="false">-H6*Assumptions!H18/100</f>
        <v>-4346.28589536576</v>
      </c>
      <c r="I17" s="4" t="n">
        <f aca="false">-I6*Assumptions!I18/100</f>
        <v>-4498.40590170356</v>
      </c>
      <c r="J17" s="4" t="n">
        <f aca="false">-J6*Assumptions!J18/100</f>
        <v>-4655.85010826318</v>
      </c>
      <c r="K17" s="4" t="n">
        <f aca="false">-K6*Assumptions!K18/100</f>
        <v>-4818.8048620524</v>
      </c>
      <c r="L17" s="4" t="n">
        <f aca="false">-L6*Assumptions!L18/100</f>
        <v>-4987.46303222423</v>
      </c>
    </row>
    <row r="18" customFormat="false" ht="15" hidden="false" customHeight="false" outlineLevel="0" collapsed="false">
      <c r="A18" s="0" t="s">
        <v>122</v>
      </c>
      <c r="C18" s="4" t="n">
        <f aca="false">(C6-B6)*Assumptions!$B$23/100</f>
        <v>-139.717000000001</v>
      </c>
      <c r="D18" s="4" t="n">
        <f aca="false">(D6-C6)*Assumptions!$B$23/100</f>
        <v>-0</v>
      </c>
      <c r="E18" s="4" t="n">
        <f aca="false">(E6-D6)*Assumptions!$B$23/100</f>
        <v>-282.228340000002</v>
      </c>
      <c r="F18" s="4" t="n">
        <f aca="false">(F6-E6)*Assumptions!$B$23/100</f>
        <v>-431.809360200001</v>
      </c>
      <c r="G18" s="4" t="n">
        <f aca="false">(G6-F6)*Assumptions!$B$23/100</f>
        <v>-444.763641006002</v>
      </c>
      <c r="H18" s="4" t="n">
        <f aca="false">(H6-G6)*Assumptions!$B$23/100</f>
        <v>-534.457641942208</v>
      </c>
      <c r="I18" s="4" t="n">
        <f aca="false">(I6-H6)*Assumptions!$B$23/100</f>
        <v>-553.163659410187</v>
      </c>
      <c r="J18" s="4" t="n">
        <f aca="false">(J6-I6)*Assumptions!$B$23/100</f>
        <v>-572.524387489542</v>
      </c>
      <c r="K18" s="4" t="n">
        <f aca="false">(K6-J6)*Assumptions!$B$23/100</f>
        <v>-592.562741051675</v>
      </c>
      <c r="L18" s="4" t="n">
        <f aca="false">(L6-K6)*Assumptions!$B$23/100</f>
        <v>-613.302436988486</v>
      </c>
    </row>
    <row r="19" customFormat="false" ht="15" hidden="false" customHeight="false" outlineLevel="0" collapsed="false">
      <c r="A19" s="0" t="s">
        <v>123</v>
      </c>
      <c r="C19" s="0" t="n">
        <f aca="false">C15+C16+C17+C18</f>
        <v>3389.26616336</v>
      </c>
      <c r="D19" s="0" t="n">
        <f aca="false">D15+D16+D17+D18</f>
        <v>2796.60062106</v>
      </c>
      <c r="E19" s="0" t="n">
        <f aca="false">E15+E16+E17+E18</f>
        <v>2152.8885786212</v>
      </c>
      <c r="F19" s="0" t="n">
        <f aca="false">F15+F16+F17+F18</f>
        <v>1935.51924632794</v>
      </c>
      <c r="G19" s="0" t="n">
        <f aca="false">G15+G16+G17+G18</f>
        <v>2367.70517307732</v>
      </c>
      <c r="H19" s="0" t="n">
        <f aca="false">H15+H16+H17+H18</f>
        <v>2376.44758063403</v>
      </c>
      <c r="I19" s="0" t="n">
        <f aca="false">I15+I16+I17+I18</f>
        <v>2459.62324595622</v>
      </c>
      <c r="J19" s="0" t="n">
        <f aca="false">J15+J16+J17+J18</f>
        <v>2545.71005956469</v>
      </c>
      <c r="K19" s="0" t="n">
        <f aca="false">K15+K16+K17+K18</f>
        <v>2634.80991164945</v>
      </c>
      <c r="L19" s="0" t="n">
        <f aca="false">L15+L16+L17+L18</f>
        <v>2727.02825855718</v>
      </c>
    </row>
    <row r="20" customFormat="false" ht="15" hidden="false" customHeight="false" outlineLevel="0" collapsed="false">
      <c r="A20" s="0" t="s">
        <v>124</v>
      </c>
      <c r="C20" s="0" t="n">
        <f aca="false">1/(1+$B$27/100)^C4</f>
        <v>0.892857142857143</v>
      </c>
      <c r="D20" s="0" t="n">
        <f aca="false">1/(1+$B$27/100)^D4</f>
        <v>0.79719387755102</v>
      </c>
      <c r="E20" s="0" t="n">
        <f aca="false">1/(1+$B$27/100)^E4</f>
        <v>0.711780247813411</v>
      </c>
      <c r="F20" s="0" t="n">
        <f aca="false">1/(1+$B$27/100)^F4</f>
        <v>0.635518078404831</v>
      </c>
      <c r="G20" s="0" t="n">
        <f aca="false">1/(1+$B$27/100)^G4</f>
        <v>0.567426855718599</v>
      </c>
      <c r="H20" s="0" t="n">
        <f aca="false">1/(1+$B$27/100)^H4</f>
        <v>0.506631121177321</v>
      </c>
      <c r="I20" s="0" t="n">
        <f aca="false">1/(1+$B$27/100)^I4</f>
        <v>0.452349215336893</v>
      </c>
      <c r="J20" s="0" t="n">
        <f aca="false">1/(1+$B$27/100)^J4</f>
        <v>0.403883227979369</v>
      </c>
      <c r="K20" s="0" t="n">
        <f aca="false">1/(1+$B$27/100)^K4</f>
        <v>0.360610024981579</v>
      </c>
      <c r="L20" s="0" t="n">
        <f aca="false">1/(1+$B$27/100)^L4</f>
        <v>0.321973236590696</v>
      </c>
    </row>
    <row r="21" customFormat="false" ht="15" hidden="false" customHeight="false" outlineLevel="0" collapsed="false">
      <c r="A21" s="0" t="s">
        <v>125</v>
      </c>
      <c r="C21" s="0" t="n">
        <f aca="false">C19*C20</f>
        <v>3026.130503</v>
      </c>
      <c r="D21" s="0" t="n">
        <f aca="false">D19*D20</f>
        <v>2229.43289306441</v>
      </c>
      <c r="E21" s="0" t="n">
        <f aca="false">E19*E20</f>
        <v>1532.38356600566</v>
      </c>
      <c r="F21" s="0" t="n">
        <f aca="false">F19*F20</f>
        <v>1230.0574721419</v>
      </c>
      <c r="G21" s="0" t="n">
        <f aca="false">G19*G20</f>
        <v>1343.49950162793</v>
      </c>
      <c r="H21" s="0" t="n">
        <f aca="false">H19*H20</f>
        <v>1203.98230219575</v>
      </c>
      <c r="I21" s="0" t="n">
        <f aca="false">I19*I20</f>
        <v>1112.60864533268</v>
      </c>
      <c r="J21" s="0" t="n">
        <f aca="false">J19*J20</f>
        <v>1028.16959635654</v>
      </c>
      <c r="K21" s="0" t="n">
        <f aca="false">K19*K20</f>
        <v>950.138868061622</v>
      </c>
      <c r="L21" s="0" t="n">
        <f aca="false">L19*L20</f>
        <v>878.030114681945</v>
      </c>
    </row>
    <row r="23" customFormat="false" ht="15" hidden="false" customHeight="false" outlineLevel="0" collapsed="false">
      <c r="A23" s="0" t="s">
        <v>101</v>
      </c>
      <c r="C23" s="4" t="n">
        <f aca="false">Assumptions!C16</f>
        <v>0.87</v>
      </c>
      <c r="D23" s="4" t="n">
        <f aca="false">Assumptions!D16</f>
        <v>0.87</v>
      </c>
      <c r="E23" s="4" t="n">
        <f aca="false">Assumptions!E16</f>
        <v>0.87</v>
      </c>
      <c r="F23" s="4" t="n">
        <f aca="false">Assumptions!F16</f>
        <v>0.87</v>
      </c>
      <c r="G23" s="4" t="n">
        <f aca="false">Assumptions!G16</f>
        <v>0.87</v>
      </c>
      <c r="H23" s="4" t="n">
        <f aca="false">Assumptions!H16</f>
        <v>0.87</v>
      </c>
      <c r="I23" s="4" t="n">
        <f aca="false">Assumptions!I16</f>
        <v>0.87</v>
      </c>
      <c r="J23" s="4" t="n">
        <f aca="false">Assumptions!J16</f>
        <v>0.87</v>
      </c>
      <c r="K23" s="4" t="n">
        <f aca="false">Assumptions!K16</f>
        <v>0.87</v>
      </c>
      <c r="L23" s="4" t="n">
        <f aca="false">Assumptions!L16</f>
        <v>0.87</v>
      </c>
    </row>
    <row r="24" customFormat="false" ht="15" hidden="false" customHeight="false" outlineLevel="0" collapsed="false">
      <c r="A24" s="0" t="s">
        <v>126</v>
      </c>
      <c r="C24" s="0" t="n">
        <f aca="false">-C6*C23/100</f>
        <v>-613.8466395</v>
      </c>
      <c r="D24" s="0" t="n">
        <f aca="false">-D6*D23/100</f>
        <v>-613.8466395</v>
      </c>
      <c r="E24" s="0" t="n">
        <f aca="false">-E6*E23/100</f>
        <v>-626.12357229</v>
      </c>
      <c r="F24" s="0" t="n">
        <f aca="false">-F6*F23/100</f>
        <v>-644.9072794587</v>
      </c>
      <c r="G24" s="0" t="n">
        <f aca="false">-G6*G23/100</f>
        <v>-664.254497842461</v>
      </c>
      <c r="H24" s="0" t="n">
        <f aca="false">-H6*H23/100</f>
        <v>-687.503405266947</v>
      </c>
      <c r="I24" s="0" t="n">
        <f aca="false">-I6*I23/100</f>
        <v>-711.56602445129</v>
      </c>
      <c r="J24" s="0" t="n">
        <f aca="false">-J6*J23/100</f>
        <v>-736.470835307086</v>
      </c>
      <c r="K24" s="0" t="n">
        <f aca="false">-K6*K23/100</f>
        <v>-762.247314542833</v>
      </c>
      <c r="L24" s="0" t="n">
        <f aca="false">-L6*L23/100</f>
        <v>-788.925970551833</v>
      </c>
    </row>
    <row r="26" customFormat="false" ht="15" hidden="false" customHeight="false" outlineLevel="0" collapsed="false">
      <c r="A26" s="2" t="s">
        <v>127</v>
      </c>
    </row>
    <row r="27" customFormat="false" ht="15" hidden="false" customHeight="false" outlineLevel="0" collapsed="false">
      <c r="A27" s="0" t="s">
        <v>105</v>
      </c>
      <c r="B27" s="4" t="n">
        <f aca="false">Assumptions!$B$20</f>
        <v>12</v>
      </c>
    </row>
    <row r="28" customFormat="false" ht="15" hidden="false" customHeight="false" outlineLevel="0" collapsed="false">
      <c r="A28" s="0" t="s">
        <v>106</v>
      </c>
      <c r="B28" s="4" t="n">
        <f aca="false">Assumptions!$B$21</f>
        <v>4</v>
      </c>
    </row>
    <row r="29" customFormat="false" ht="15" hidden="false" customHeight="false" outlineLevel="0" collapsed="false">
      <c r="A29" s="0" t="s">
        <v>107</v>
      </c>
      <c r="B29" s="4" t="n">
        <f aca="false">Assumptions!$B$22</f>
        <v>12</v>
      </c>
    </row>
    <row r="30" customFormat="false" ht="15" hidden="false" customHeight="false" outlineLevel="0" collapsed="false">
      <c r="A30" s="0" t="s">
        <v>128</v>
      </c>
      <c r="B30" s="0" t="n">
        <f aca="false">SUM(C21:L21)</f>
        <v>14534.4334624684</v>
      </c>
    </row>
    <row r="31" customFormat="false" ht="15" hidden="false" customHeight="false" outlineLevel="0" collapsed="false">
      <c r="A31" s="0" t="s">
        <v>129</v>
      </c>
      <c r="B31" s="0" t="n">
        <f aca="false">L19</f>
        <v>2727.02825855718</v>
      </c>
    </row>
    <row r="32" customFormat="false" ht="15" hidden="false" customHeight="false" outlineLevel="0" collapsed="false">
      <c r="A32" s="0" t="s">
        <v>130</v>
      </c>
      <c r="B32" s="0" t="n">
        <f aca="false">IF(B27&gt;B28,B31*(1+B28/100)/((B27-B28)/100),B31*B29)</f>
        <v>35451.3673612434</v>
      </c>
    </row>
    <row r="33" customFormat="false" ht="15" hidden="false" customHeight="false" outlineLevel="0" collapsed="false">
      <c r="A33" s="0" t="s">
        <v>131</v>
      </c>
      <c r="B33" s="0" t="n">
        <f aca="false">B31*B29</f>
        <v>32724.3391026862</v>
      </c>
    </row>
    <row r="34" customFormat="false" ht="15" hidden="false" customHeight="false" outlineLevel="0" collapsed="false">
      <c r="A34" s="0" t="s">
        <v>132</v>
      </c>
      <c r="B34" s="0" t="n">
        <f aca="false">MAX(0,MIN(B32,B33))</f>
        <v>32724.3391026862</v>
      </c>
    </row>
    <row r="35" customFormat="false" ht="15" hidden="false" customHeight="false" outlineLevel="0" collapsed="false">
      <c r="A35" s="0" t="s">
        <v>133</v>
      </c>
      <c r="B35" s="0" t="n">
        <f aca="false">B34/(1+B27/100)^L4</f>
        <v>10536.3613761833</v>
      </c>
    </row>
    <row r="36" customFormat="false" ht="15" hidden="false" customHeight="false" outlineLevel="0" collapsed="false">
      <c r="A36" s="0" t="s">
        <v>134</v>
      </c>
      <c r="B36" s="0" t="n">
        <f aca="false">B30+B35</f>
        <v>25070.7948386518</v>
      </c>
    </row>
    <row r="37" customFormat="false" ht="15" hidden="false" customHeight="false" outlineLevel="0" collapsed="false">
      <c r="A37" s="0" t="s">
        <v>135</v>
      </c>
      <c r="B37" s="0" t="n">
        <f aca="false">B36+Assumptions!$B$5-Assumptions!$B$4</f>
        <v>20590.6948386518</v>
      </c>
    </row>
    <row r="38" customFormat="false" ht="15" hidden="false" customHeight="false" outlineLevel="0" collapsed="false">
      <c r="A38" s="0" t="s">
        <v>136</v>
      </c>
      <c r="B38" s="0" t="n">
        <f aca="false">B37/Assumptions!$B$3*Assumptions!$B$10</f>
        <v>1.99626970981977</v>
      </c>
    </row>
    <row r="39" customFormat="false" ht="15" hidden="false" customHeight="false" outlineLevel="0" collapsed="false">
      <c r="A39" s="0" t="s">
        <v>137</v>
      </c>
      <c r="B39" s="4" t="n">
        <f aca="false">B38/Assumptions!$B$2-1</f>
        <v>-0.601542972091862</v>
      </c>
    </row>
    <row r="41" customFormat="false" ht="15" hidden="false" customHeight="false" outlineLevel="0" collapsed="false">
      <c r="A41" s="0" t="s">
        <v>138</v>
      </c>
      <c r="B41" s="0" t="n">
        <f aca="false">SUMPRODUCT(-C10:L10/(1+$B$27/100)^C4:L4)</f>
        <v>909.126894932721</v>
      </c>
    </row>
    <row r="42" customFormat="false" ht="15" hidden="false" customHeight="false" outlineLevel="0" collapsed="false">
      <c r="A42" s="0" t="s">
        <v>139</v>
      </c>
      <c r="B42" s="0" t="n">
        <f aca="false">IF(B27&gt;B28,-L10*(1+B28/100)/((B27-B28)/100),-L10*20)/(1+B27/100)^L4</f>
        <v>797.075427013162</v>
      </c>
    </row>
    <row r="43" customFormat="false" ht="15" hidden="false" customHeight="false" outlineLevel="0" collapsed="false">
      <c r="A43" s="0" t="s">
        <v>140</v>
      </c>
      <c r="B43" s="0" t="n">
        <f aca="false">(B37+B41+B42)/Assumptions!$B$3*Assumptions!$B$10</f>
        <v>2.16168617783187</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25782.8126263588</v>
      </c>
    </row>
    <row r="47" customFormat="false" ht="15" hidden="false" customHeight="false" outlineLevel="0" collapsed="false">
      <c r="A47" s="0" t="s">
        <v>142</v>
      </c>
      <c r="B47" s="0" t="n">
        <f aca="false">(SUMPRODUCT(C19:L19/(1+B45/100)^C4:L4)+B46/(1+B45/100)^L4+Assumptions!$B$5-Assumptions!$B$4)/Assumptions!$B$3*Assumptions!$B$10</f>
        <v>1.44082617000743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Assumptions!C27</f>
        <v>3</v>
      </c>
      <c r="D5" s="4" t="n">
        <f aca="false">Assumptions!D27</f>
        <v>4</v>
      </c>
      <c r="E5" s="4" t="n">
        <f aca="false">Assumptions!E27</f>
        <v>4</v>
      </c>
      <c r="F5" s="4" t="n">
        <f aca="false">Assumptions!F27</f>
        <v>4</v>
      </c>
      <c r="G5" s="4" t="n">
        <f aca="false">Assumptions!G27</f>
        <v>4</v>
      </c>
      <c r="H5" s="4" t="n">
        <f aca="false">Assumptions!H27</f>
        <v>4</v>
      </c>
      <c r="I5" s="4" t="n">
        <f aca="false">Assumptions!I27</f>
        <v>4</v>
      </c>
      <c r="J5" s="4" t="n">
        <f aca="false">Assumptions!J27</f>
        <v>4</v>
      </c>
      <c r="K5" s="4" t="n">
        <f aca="false">Assumptions!K27</f>
        <v>4</v>
      </c>
      <c r="L5" s="4" t="n">
        <f aca="false">Assumptions!L27</f>
        <v>4</v>
      </c>
    </row>
    <row r="6" customFormat="false" ht="15" hidden="false" customHeight="false" outlineLevel="0" collapsed="false">
      <c r="A6" s="0" t="s">
        <v>38</v>
      </c>
      <c r="B6" s="3" t="n">
        <v>69858.5</v>
      </c>
      <c r="C6" s="0" t="n">
        <f aca="false">B6*(1+C5/100)</f>
        <v>71954.255</v>
      </c>
      <c r="D6" s="0" t="n">
        <f aca="false">C6*(1+D5/100)</f>
        <v>74832.4252</v>
      </c>
      <c r="E6" s="0" t="n">
        <f aca="false">D6*(1+E5/100)</f>
        <v>77825.722208</v>
      </c>
      <c r="F6" s="0" t="n">
        <f aca="false">E6*(1+F5/100)</f>
        <v>80938.75109632</v>
      </c>
      <c r="G6" s="0" t="n">
        <f aca="false">F6*(1+G5/100)</f>
        <v>84176.3011401728</v>
      </c>
      <c r="H6" s="0" t="n">
        <f aca="false">G6*(1+H5/100)</f>
        <v>87543.3531857798</v>
      </c>
      <c r="I6" s="0" t="n">
        <f aca="false">H6*(1+I5/100)</f>
        <v>91045.0873132109</v>
      </c>
      <c r="J6" s="0" t="n">
        <f aca="false">I6*(1+J5/100)</f>
        <v>94686.8908057394</v>
      </c>
      <c r="K6" s="0" t="n">
        <f aca="false">J6*(1+K5/100)</f>
        <v>98474.366437969</v>
      </c>
      <c r="L6" s="0" t="n">
        <f aca="false">K6*(1+L5/100)</f>
        <v>102413.341095488</v>
      </c>
    </row>
    <row r="7" customFormat="false" ht="15" hidden="false" customHeight="false" outlineLevel="0" collapsed="false">
      <c r="A7" s="0" t="s">
        <v>99</v>
      </c>
      <c r="C7" s="4" t="n">
        <f aca="false">Assumptions!C28</f>
        <v>15.5</v>
      </c>
      <c r="D7" s="4" t="n">
        <f aca="false">Assumptions!D28</f>
        <v>15</v>
      </c>
      <c r="E7" s="4" t="n">
        <f aca="false">Assumptions!E28</f>
        <v>14.5</v>
      </c>
      <c r="F7" s="4" t="n">
        <f aca="false">Assumptions!F28</f>
        <v>14.5</v>
      </c>
      <c r="G7" s="4" t="n">
        <f aca="false">Assumptions!G28</f>
        <v>14.5</v>
      </c>
      <c r="H7" s="4" t="n">
        <f aca="false">Assumptions!H28</f>
        <v>14.5</v>
      </c>
      <c r="I7" s="4" t="n">
        <f aca="false">Assumptions!I28</f>
        <v>14.5</v>
      </c>
      <c r="J7" s="4" t="n">
        <f aca="false">Assumptions!J28</f>
        <v>14.5</v>
      </c>
      <c r="K7" s="4" t="n">
        <f aca="false">Assumptions!K28</f>
        <v>14.5</v>
      </c>
      <c r="L7" s="4" t="n">
        <f aca="false">Assumptions!L28</f>
        <v>14.5</v>
      </c>
    </row>
    <row r="8" customFormat="false" ht="15" hidden="false" customHeight="false" outlineLevel="0" collapsed="false">
      <c r="A8" s="0" t="s">
        <v>44</v>
      </c>
      <c r="C8" s="0" t="n">
        <f aca="false">C6*C7/100</f>
        <v>11152.909525</v>
      </c>
      <c r="D8" s="0" t="n">
        <f aca="false">D6*D7/100</f>
        <v>11224.86378</v>
      </c>
      <c r="E8" s="0" t="n">
        <f aca="false">E6*E7/100</f>
        <v>11284.72972016</v>
      </c>
      <c r="F8" s="0" t="n">
        <f aca="false">F6*F7/100</f>
        <v>11736.1189089664</v>
      </c>
      <c r="G8" s="0" t="n">
        <f aca="false">G6*G7/100</f>
        <v>12205.5636653251</v>
      </c>
      <c r="H8" s="0" t="n">
        <f aca="false">H6*H7/100</f>
        <v>12693.7862119381</v>
      </c>
      <c r="I8" s="0" t="n">
        <f aca="false">I6*I7/100</f>
        <v>13201.5376604156</v>
      </c>
      <c r="J8" s="0" t="n">
        <f aca="false">J6*J7/100</f>
        <v>13729.5991668322</v>
      </c>
      <c r="K8" s="0" t="n">
        <f aca="false">K6*K7/100</f>
        <v>14278.7831335055</v>
      </c>
      <c r="L8" s="0" t="n">
        <f aca="false">L6*L7/100</f>
        <v>14849.9344588457</v>
      </c>
    </row>
    <row r="9" customFormat="false" ht="15" hidden="false" customHeight="false" outlineLevel="0" collapsed="false">
      <c r="A9" s="0" t="s">
        <v>100</v>
      </c>
      <c r="C9" s="4" t="n">
        <f aca="false">Assumptions!C29</f>
        <v>0.21</v>
      </c>
      <c r="D9" s="4" t="n">
        <f aca="false">Assumptions!D29</f>
        <v>0.21</v>
      </c>
      <c r="E9" s="4" t="n">
        <f aca="false">Assumptions!E29</f>
        <v>0.21</v>
      </c>
      <c r="F9" s="4" t="n">
        <f aca="false">Assumptions!F29</f>
        <v>0.21</v>
      </c>
      <c r="G9" s="4" t="n">
        <f aca="false">Assumptions!G29</f>
        <v>0.21</v>
      </c>
      <c r="H9" s="4" t="n">
        <f aca="false">Assumptions!H29</f>
        <v>0.21</v>
      </c>
      <c r="I9" s="4" t="n">
        <f aca="false">Assumptions!I29</f>
        <v>0.21</v>
      </c>
      <c r="J9" s="4" t="n">
        <f aca="false">Assumptions!J29</f>
        <v>0.21</v>
      </c>
      <c r="K9" s="4" t="n">
        <f aca="false">Assumptions!K29</f>
        <v>0.21</v>
      </c>
      <c r="L9" s="4" t="n">
        <f aca="false">Assumptions!L29</f>
        <v>0.21</v>
      </c>
    </row>
    <row r="10" customFormat="false" ht="15" hidden="false" customHeight="false" outlineLevel="0" collapsed="false">
      <c r="A10" s="0" t="s">
        <v>115</v>
      </c>
      <c r="C10" s="0" t="n">
        <f aca="false">-C6*C9/100</f>
        <v>-151.1039355</v>
      </c>
      <c r="D10" s="0" t="n">
        <f aca="false">-D6*D9/100</f>
        <v>-157.14809292</v>
      </c>
      <c r="E10" s="0" t="n">
        <f aca="false">-E6*E9/100</f>
        <v>-163.4340166368</v>
      </c>
      <c r="F10" s="0" t="n">
        <f aca="false">-F6*F9/100</f>
        <v>-169.971377302272</v>
      </c>
      <c r="G10" s="0" t="n">
        <f aca="false">-G6*G9/100</f>
        <v>-176.770232394363</v>
      </c>
      <c r="H10" s="0" t="n">
        <f aca="false">-H6*H9/100</f>
        <v>-183.841041690137</v>
      </c>
      <c r="I10" s="0" t="n">
        <f aca="false">-I6*I9/100</f>
        <v>-191.194683357743</v>
      </c>
      <c r="J10" s="0" t="n">
        <f aca="false">-J6*J9/100</f>
        <v>-198.842470692053</v>
      </c>
      <c r="K10" s="0" t="n">
        <f aca="false">-K6*K9/100</f>
        <v>-206.796169519735</v>
      </c>
      <c r="L10" s="0" t="n">
        <f aca="false">-L6*L9/100</f>
        <v>-215.068016300524</v>
      </c>
    </row>
    <row r="11" customFormat="false" ht="15" hidden="false" customHeight="false" outlineLevel="0" collapsed="false">
      <c r="A11" s="0" t="s">
        <v>116</v>
      </c>
      <c r="C11" s="0" t="n">
        <f aca="false">C8+C10+C24</f>
        <v>10375.803571</v>
      </c>
      <c r="D11" s="0" t="n">
        <f aca="false">D8+D10+D24</f>
        <v>10416.67358784</v>
      </c>
      <c r="E11" s="0" t="n">
        <f aca="false">E8+E10+E24</f>
        <v>10444.2119203136</v>
      </c>
      <c r="F11" s="0" t="n">
        <f aca="false">F8+F10+F24</f>
        <v>10861.9803971261</v>
      </c>
      <c r="G11" s="0" t="n">
        <f aca="false">G8+G10+G24</f>
        <v>11296.4596130112</v>
      </c>
      <c r="H11" s="0" t="n">
        <f aca="false">H8+H10+H24</f>
        <v>11748.3179975316</v>
      </c>
      <c r="I11" s="0" t="n">
        <f aca="false">I8+I10+I24</f>
        <v>12218.2507174329</v>
      </c>
      <c r="J11" s="0" t="n">
        <f aca="false">J8+J10+J24</f>
        <v>12706.9807461302</v>
      </c>
      <c r="K11" s="0" t="n">
        <f aca="false">K8+K10+K24</f>
        <v>13215.2599759754</v>
      </c>
      <c r="L11" s="0" t="n">
        <f aca="false">L8+L10+L24</f>
        <v>13743.8703750145</v>
      </c>
    </row>
    <row r="12" customFormat="false" ht="15" hidden="false" customHeight="false" outlineLevel="0" collapsed="false">
      <c r="A12" s="0" t="s">
        <v>117</v>
      </c>
      <c r="C12" s="4" t="n">
        <f aca="false">-C6*Assumptions!C31/100</f>
        <v>-3381.849985</v>
      </c>
      <c r="D12" s="4" t="n">
        <f aca="false">-D6*Assumptions!D31/100</f>
        <v>-3591.9564096</v>
      </c>
      <c r="E12" s="4" t="n">
        <f aca="false">-E6*Assumptions!E31/100</f>
        <v>-3735.634665984</v>
      </c>
      <c r="F12" s="4" t="n">
        <f aca="false">-F6*Assumptions!F31/100</f>
        <v>-3885.06005262336</v>
      </c>
      <c r="G12" s="4" t="n">
        <f aca="false">-G6*Assumptions!G31/100</f>
        <v>-4040.4624547283</v>
      </c>
      <c r="H12" s="4" t="n">
        <f aca="false">-H6*Assumptions!H31/100</f>
        <v>-4202.08095291743</v>
      </c>
      <c r="I12" s="4" t="n">
        <f aca="false">-I6*Assumptions!I31/100</f>
        <v>-4370.16419103413</v>
      </c>
      <c r="J12" s="4" t="n">
        <f aca="false">-J6*Assumptions!J31/100</f>
        <v>-4544.97075867549</v>
      </c>
      <c r="K12" s="4" t="n">
        <f aca="false">-K6*Assumptions!K31/100</f>
        <v>-4726.76958902251</v>
      </c>
      <c r="L12" s="4" t="n">
        <f aca="false">-L6*Assumptions!L31/100</f>
        <v>-4915.84037258341</v>
      </c>
    </row>
    <row r="13" customFormat="false" ht="15" hidden="false" customHeight="false" outlineLevel="0" collapsed="false">
      <c r="A13" s="0" t="s">
        <v>118</v>
      </c>
      <c r="C13" s="0" t="n">
        <f aca="false">C11+C12</f>
        <v>6993.953586</v>
      </c>
      <c r="D13" s="0" t="n">
        <f aca="false">D11+D12</f>
        <v>6824.71717824</v>
      </c>
      <c r="E13" s="0" t="n">
        <f aca="false">E11+E12</f>
        <v>6708.5772543296</v>
      </c>
      <c r="F13" s="0" t="n">
        <f aca="false">F11+F12</f>
        <v>6976.92034450279</v>
      </c>
      <c r="G13" s="0" t="n">
        <f aca="false">G11+G12</f>
        <v>7255.9971582829</v>
      </c>
      <c r="H13" s="0" t="n">
        <f aca="false">H11+H12</f>
        <v>7546.23704461422</v>
      </c>
      <c r="I13" s="0" t="n">
        <f aca="false">I11+I12</f>
        <v>7848.08652639878</v>
      </c>
      <c r="J13" s="0" t="n">
        <f aca="false">J11+J12</f>
        <v>8162.00998745473</v>
      </c>
      <c r="K13" s="0" t="n">
        <f aca="false">K11+K12</f>
        <v>8488.49038695292</v>
      </c>
      <c r="L13" s="0" t="n">
        <f aca="false">L11+L12</f>
        <v>8828.03000243104</v>
      </c>
    </row>
    <row r="14" customFormat="false" ht="15" hidden="false" customHeight="false" outlineLevel="0" collapsed="false">
      <c r="A14" s="0" t="s">
        <v>104</v>
      </c>
      <c r="C14" s="4" t="n">
        <f aca="false">Assumptions!C33</f>
        <v>22</v>
      </c>
      <c r="D14" s="4" t="n">
        <f aca="false">Assumptions!D33</f>
        <v>22</v>
      </c>
      <c r="E14" s="4" t="n">
        <f aca="false">Assumptions!E33</f>
        <v>22</v>
      </c>
      <c r="F14" s="4" t="n">
        <f aca="false">Assumptions!F33</f>
        <v>22</v>
      </c>
      <c r="G14" s="4" t="n">
        <f aca="false">Assumptions!G33</f>
        <v>22</v>
      </c>
      <c r="H14" s="4" t="n">
        <f aca="false">Assumptions!H33</f>
        <v>22</v>
      </c>
      <c r="I14" s="4" t="n">
        <f aca="false">Assumptions!I33</f>
        <v>22</v>
      </c>
      <c r="J14" s="4" t="n">
        <f aca="false">Assumptions!J33</f>
        <v>22</v>
      </c>
      <c r="K14" s="4" t="n">
        <f aca="false">Assumptions!K33</f>
        <v>22</v>
      </c>
      <c r="L14" s="4" t="n">
        <f aca="false">Assumptions!L33</f>
        <v>22</v>
      </c>
    </row>
    <row r="15" customFormat="false" ht="15" hidden="false" customHeight="false" outlineLevel="0" collapsed="false">
      <c r="A15" s="0" t="s">
        <v>119</v>
      </c>
      <c r="C15" s="0" t="n">
        <f aca="false">C13-MAX(0,C13)*C14/100</f>
        <v>5455.28379708</v>
      </c>
      <c r="D15" s="0" t="n">
        <f aca="false">D13-MAX(0,D13)*D14/100</f>
        <v>5323.2793990272</v>
      </c>
      <c r="E15" s="0" t="n">
        <f aca="false">E13-MAX(0,E13)*E14/100</f>
        <v>5232.69025837709</v>
      </c>
      <c r="F15" s="0" t="n">
        <f aca="false">F13-MAX(0,F13)*F14/100</f>
        <v>5441.99786871217</v>
      </c>
      <c r="G15" s="0" t="n">
        <f aca="false">G13-MAX(0,G13)*G14/100</f>
        <v>5659.67778346066</v>
      </c>
      <c r="H15" s="0" t="n">
        <f aca="false">H13-MAX(0,H13)*H14/100</f>
        <v>5886.06489479909</v>
      </c>
      <c r="I15" s="0" t="n">
        <f aca="false">I13-MAX(0,I13)*I14/100</f>
        <v>6121.50749059105</v>
      </c>
      <c r="J15" s="0" t="n">
        <f aca="false">J13-MAX(0,J13)*J14/100</f>
        <v>6366.36779021469</v>
      </c>
      <c r="K15" s="0" t="n">
        <f aca="false">K13-MAX(0,K13)*K14/100</f>
        <v>6621.02250182328</v>
      </c>
      <c r="L15" s="0" t="n">
        <f aca="false">L13-MAX(0,L13)*L14/100</f>
        <v>6885.86340189621</v>
      </c>
    </row>
    <row r="16" customFormat="false" ht="15" hidden="false" customHeight="false" outlineLevel="0" collapsed="false">
      <c r="A16" s="0" t="s">
        <v>120</v>
      </c>
      <c r="C16" s="0" t="n">
        <f aca="false">-C12</f>
        <v>3381.849985</v>
      </c>
      <c r="D16" s="0" t="n">
        <f aca="false">-D12</f>
        <v>3591.9564096</v>
      </c>
      <c r="E16" s="0" t="n">
        <f aca="false">-E12</f>
        <v>3735.634665984</v>
      </c>
      <c r="F16" s="0" t="n">
        <f aca="false">-F12</f>
        <v>3885.06005262336</v>
      </c>
      <c r="G16" s="0" t="n">
        <f aca="false">-G12</f>
        <v>4040.4624547283</v>
      </c>
      <c r="H16" s="0" t="n">
        <f aca="false">-H12</f>
        <v>4202.08095291743</v>
      </c>
      <c r="I16" s="0" t="n">
        <f aca="false">-I12</f>
        <v>4370.16419103413</v>
      </c>
      <c r="J16" s="0" t="n">
        <f aca="false">-J12</f>
        <v>4544.97075867549</v>
      </c>
      <c r="K16" s="0" t="n">
        <f aca="false">-K12</f>
        <v>4726.76958902251</v>
      </c>
      <c r="L16" s="0" t="n">
        <f aca="false">-L12</f>
        <v>4915.84037258341</v>
      </c>
    </row>
    <row r="17" customFormat="false" ht="15" hidden="false" customHeight="false" outlineLevel="0" collapsed="false">
      <c r="A17" s="0" t="s">
        <v>121</v>
      </c>
      <c r="C17" s="4" t="n">
        <f aca="false">-C6*Assumptions!C32/100</f>
        <v>-4677.026575</v>
      </c>
      <c r="D17" s="4" t="n">
        <f aca="false">-D6*Assumptions!D32/100</f>
        <v>-4489.945512</v>
      </c>
      <c r="E17" s="4" t="n">
        <f aca="false">-E6*Assumptions!E32/100</f>
        <v>-4513.891888064</v>
      </c>
      <c r="F17" s="4" t="n">
        <f aca="false">-F6*Assumptions!F32/100</f>
        <v>-4532.57006139392</v>
      </c>
      <c r="G17" s="4" t="n">
        <f aca="false">-G6*Assumptions!G32/100</f>
        <v>-4629.69656270951</v>
      </c>
      <c r="H17" s="4" t="n">
        <f aca="false">-H6*Assumptions!H32/100</f>
        <v>-4814.88442521789</v>
      </c>
      <c r="I17" s="4" t="n">
        <f aca="false">-I6*Assumptions!I32/100</f>
        <v>-5007.4798022266</v>
      </c>
      <c r="J17" s="4" t="n">
        <f aca="false">-J6*Assumptions!J32/100</f>
        <v>-5207.77899431567</v>
      </c>
      <c r="K17" s="4" t="n">
        <f aca="false">-K6*Assumptions!K32/100</f>
        <v>-5416.09015408829</v>
      </c>
      <c r="L17" s="4" t="n">
        <f aca="false">-L6*Assumptions!L32/100</f>
        <v>-5632.73376025183</v>
      </c>
    </row>
    <row r="18" customFormat="false" ht="15" hidden="false" customHeight="false" outlineLevel="0" collapsed="false">
      <c r="A18" s="0" t="s">
        <v>122</v>
      </c>
      <c r="C18" s="4" t="n">
        <f aca="false">(C6-B6)*Assumptions!$B$37/100</f>
        <v>-419.151000000001</v>
      </c>
      <c r="D18" s="4" t="n">
        <f aca="false">(D6-C6)*Assumptions!$B$37/100</f>
        <v>-575.634040000002</v>
      </c>
      <c r="E18" s="4" t="n">
        <f aca="false">(E6-D6)*Assumptions!$B$37/100</f>
        <v>-598.659401600002</v>
      </c>
      <c r="F18" s="4" t="n">
        <f aca="false">(F6-E6)*Assumptions!$B$37/100</f>
        <v>-622.605777663999</v>
      </c>
      <c r="G18" s="4" t="n">
        <f aca="false">(G6-F6)*Assumptions!$B$37/100</f>
        <v>-647.510008770562</v>
      </c>
      <c r="H18" s="4" t="n">
        <f aca="false">(H6-G6)*Assumptions!$B$37/100</f>
        <v>-673.410409121384</v>
      </c>
      <c r="I18" s="4" t="n">
        <f aca="false">(I6-H6)*Assumptions!$B$37/100</f>
        <v>-700.346825486238</v>
      </c>
      <c r="J18" s="4" t="n">
        <f aca="false">(J6-I6)*Assumptions!$B$37/100</f>
        <v>-728.360698505689</v>
      </c>
      <c r="K18" s="4" t="n">
        <f aca="false">(K6-J6)*Assumptions!$B$37/100</f>
        <v>-757.495126445915</v>
      </c>
      <c r="L18" s="4" t="n">
        <f aca="false">(L6-K6)*Assumptions!$B$37/100</f>
        <v>-787.794931503752</v>
      </c>
    </row>
    <row r="19" customFormat="false" ht="15" hidden="false" customHeight="false" outlineLevel="0" collapsed="false">
      <c r="A19" s="0" t="s">
        <v>123</v>
      </c>
      <c r="C19" s="0" t="n">
        <f aca="false">C15+C16+C17+C18</f>
        <v>3740.95620708</v>
      </c>
      <c r="D19" s="0" t="n">
        <f aca="false">D15+D16+D17+D18</f>
        <v>3849.6562566272</v>
      </c>
      <c r="E19" s="0" t="n">
        <f aca="false">E15+E16+E17+E18</f>
        <v>3855.77363469709</v>
      </c>
      <c r="F19" s="0" t="n">
        <f aca="false">F15+F16+F17+F18</f>
        <v>4171.88208227761</v>
      </c>
      <c r="G19" s="0" t="n">
        <f aca="false">G15+G16+G17+G18</f>
        <v>4422.93366670889</v>
      </c>
      <c r="H19" s="0" t="n">
        <f aca="false">H15+H16+H17+H18</f>
        <v>4599.85101337725</v>
      </c>
      <c r="I19" s="0" t="n">
        <f aca="false">I15+I16+I17+I18</f>
        <v>4783.84505391234</v>
      </c>
      <c r="J19" s="0" t="n">
        <f aca="false">J15+J16+J17+J18</f>
        <v>4975.19885606883</v>
      </c>
      <c r="K19" s="0" t="n">
        <f aca="false">K15+K16+K17+K18</f>
        <v>5174.20681031158</v>
      </c>
      <c r="L19" s="0" t="n">
        <f aca="false">L15+L16+L17+L18</f>
        <v>5381.17508272405</v>
      </c>
    </row>
    <row r="20" customFormat="false" ht="15" hidden="false" customHeight="false" outlineLevel="0" collapsed="false">
      <c r="A20" s="0" t="s">
        <v>124</v>
      </c>
      <c r="C20" s="0" t="n">
        <f aca="false">1/(1+$B$27/100)^C4</f>
        <v>0.892857142857143</v>
      </c>
      <c r="D20" s="0" t="n">
        <f aca="false">1/(1+$B$27/100)^D4</f>
        <v>0.79719387755102</v>
      </c>
      <c r="E20" s="0" t="n">
        <f aca="false">1/(1+$B$27/100)^E4</f>
        <v>0.711780247813411</v>
      </c>
      <c r="F20" s="0" t="n">
        <f aca="false">1/(1+$B$27/100)^F4</f>
        <v>0.635518078404831</v>
      </c>
      <c r="G20" s="0" t="n">
        <f aca="false">1/(1+$B$27/100)^G4</f>
        <v>0.567426855718599</v>
      </c>
      <c r="H20" s="0" t="n">
        <f aca="false">1/(1+$B$27/100)^H4</f>
        <v>0.506631121177321</v>
      </c>
      <c r="I20" s="0" t="n">
        <f aca="false">1/(1+$B$27/100)^I4</f>
        <v>0.452349215336893</v>
      </c>
      <c r="J20" s="0" t="n">
        <f aca="false">1/(1+$B$27/100)^J4</f>
        <v>0.403883227979369</v>
      </c>
      <c r="K20" s="0" t="n">
        <f aca="false">1/(1+$B$27/100)^K4</f>
        <v>0.360610024981579</v>
      </c>
      <c r="L20" s="0" t="n">
        <f aca="false">1/(1+$B$27/100)^L4</f>
        <v>0.321973236590696</v>
      </c>
    </row>
    <row r="21" customFormat="false" ht="15" hidden="false" customHeight="false" outlineLevel="0" collapsed="false">
      <c r="A21" s="0" t="s">
        <v>125</v>
      </c>
      <c r="C21" s="0" t="n">
        <f aca="false">C19*C20</f>
        <v>3340.13947060714</v>
      </c>
      <c r="D21" s="0" t="n">
        <f aca="false">D19*D20</f>
        <v>3068.92239845918</v>
      </c>
      <c r="E21" s="0" t="n">
        <f aca="false">E19*E20</f>
        <v>2744.46351321711</v>
      </c>
      <c r="F21" s="0" t="n">
        <f aca="false">F19*F20</f>
        <v>2651.30648426061</v>
      </c>
      <c r="G21" s="0" t="n">
        <f aca="false">G19*G20</f>
        <v>2509.69134355256</v>
      </c>
      <c r="H21" s="0" t="n">
        <f aca="false">H19*H20</f>
        <v>2330.42767615595</v>
      </c>
      <c r="I21" s="0" t="n">
        <f aca="false">I19*I20</f>
        <v>2163.96855643052</v>
      </c>
      <c r="J21" s="0" t="n">
        <f aca="false">J19*J20</f>
        <v>2009.39937382834</v>
      </c>
      <c r="K21" s="0" t="n">
        <f aca="false">K19*K20</f>
        <v>1865.87084712632</v>
      </c>
      <c r="L21" s="0" t="n">
        <f aca="false">L19*L20</f>
        <v>1732.59435804587</v>
      </c>
    </row>
    <row r="23" customFormat="false" ht="15" hidden="false" customHeight="false" outlineLevel="0" collapsed="false">
      <c r="A23" s="0" t="s">
        <v>101</v>
      </c>
      <c r="C23" s="4" t="n">
        <f aca="false">Assumptions!C30</f>
        <v>0.87</v>
      </c>
      <c r="D23" s="4" t="n">
        <f aca="false">Assumptions!D30</f>
        <v>0.87</v>
      </c>
      <c r="E23" s="4" t="n">
        <f aca="false">Assumptions!E30</f>
        <v>0.87</v>
      </c>
      <c r="F23" s="4" t="n">
        <f aca="false">Assumptions!F30</f>
        <v>0.87</v>
      </c>
      <c r="G23" s="4" t="n">
        <f aca="false">Assumptions!G30</f>
        <v>0.87</v>
      </c>
      <c r="H23" s="4" t="n">
        <f aca="false">Assumptions!H30</f>
        <v>0.87</v>
      </c>
      <c r="I23" s="4" t="n">
        <f aca="false">Assumptions!I30</f>
        <v>0.87</v>
      </c>
      <c r="J23" s="4" t="n">
        <f aca="false">Assumptions!J30</f>
        <v>0.87</v>
      </c>
      <c r="K23" s="4" t="n">
        <f aca="false">Assumptions!K30</f>
        <v>0.87</v>
      </c>
      <c r="L23" s="4" t="n">
        <f aca="false">Assumptions!L30</f>
        <v>0.87</v>
      </c>
    </row>
    <row r="24" customFormat="false" ht="15" hidden="false" customHeight="false" outlineLevel="0" collapsed="false">
      <c r="A24" s="0" t="s">
        <v>126</v>
      </c>
      <c r="C24" s="0" t="n">
        <f aca="false">-C6*C23/100</f>
        <v>-626.0020185</v>
      </c>
      <c r="D24" s="0" t="n">
        <f aca="false">-D6*D23/100</f>
        <v>-651.04209924</v>
      </c>
      <c r="E24" s="0" t="n">
        <f aca="false">-E6*E23/100</f>
        <v>-677.0837832096</v>
      </c>
      <c r="F24" s="0" t="n">
        <f aca="false">-F6*F23/100</f>
        <v>-704.167134537984</v>
      </c>
      <c r="G24" s="0" t="n">
        <f aca="false">-G6*G23/100</f>
        <v>-732.333819919504</v>
      </c>
      <c r="H24" s="0" t="n">
        <f aca="false">-H6*H23/100</f>
        <v>-761.627172716284</v>
      </c>
      <c r="I24" s="0" t="n">
        <f aca="false">-I6*I23/100</f>
        <v>-792.092259624935</v>
      </c>
      <c r="J24" s="0" t="n">
        <f aca="false">-J6*J23/100</f>
        <v>-823.775950009933</v>
      </c>
      <c r="K24" s="0" t="n">
        <f aca="false">-K6*K23/100</f>
        <v>-856.72698801033</v>
      </c>
      <c r="L24" s="0" t="n">
        <f aca="false">-L6*L23/100</f>
        <v>-890.996067530743</v>
      </c>
    </row>
    <row r="26" customFormat="false" ht="15" hidden="false" customHeight="false" outlineLevel="0" collapsed="false">
      <c r="A26" s="2" t="s">
        <v>127</v>
      </c>
    </row>
    <row r="27" customFormat="false" ht="15" hidden="false" customHeight="false" outlineLevel="0" collapsed="false">
      <c r="A27" s="0" t="s">
        <v>105</v>
      </c>
      <c r="B27" s="4" t="n">
        <f aca="false">Assumptions!$B$34</f>
        <v>12</v>
      </c>
    </row>
    <row r="28" customFormat="false" ht="15" hidden="false" customHeight="false" outlineLevel="0" collapsed="false">
      <c r="A28" s="0" t="s">
        <v>106</v>
      </c>
      <c r="B28" s="4" t="n">
        <f aca="false">Assumptions!$B$35</f>
        <v>4</v>
      </c>
    </row>
    <row r="29" customFormat="false" ht="15" hidden="false" customHeight="false" outlineLevel="0" collapsed="false">
      <c r="A29" s="0" t="s">
        <v>107</v>
      </c>
      <c r="B29" s="4" t="n">
        <f aca="false">Assumptions!$B$36</f>
        <v>12</v>
      </c>
    </row>
    <row r="30" customFormat="false" ht="15" hidden="false" customHeight="false" outlineLevel="0" collapsed="false">
      <c r="A30" s="0" t="s">
        <v>128</v>
      </c>
      <c r="B30" s="0" t="n">
        <f aca="false">SUM(C21:L21)</f>
        <v>24416.7840216836</v>
      </c>
    </row>
    <row r="31" customFormat="false" ht="15" hidden="false" customHeight="false" outlineLevel="0" collapsed="false">
      <c r="A31" s="0" t="s">
        <v>129</v>
      </c>
      <c r="B31" s="0" t="n">
        <f aca="false">L19</f>
        <v>5381.17508272405</v>
      </c>
    </row>
    <row r="32" customFormat="false" ht="15" hidden="false" customHeight="false" outlineLevel="0" collapsed="false">
      <c r="A32" s="0" t="s">
        <v>130</v>
      </c>
      <c r="B32" s="0" t="n">
        <f aca="false">IF(B27&gt;B28,B31*(1+B28/100)/((B27-B28)/100),B31*B29)</f>
        <v>69955.2760754126</v>
      </c>
    </row>
    <row r="33" customFormat="false" ht="15" hidden="false" customHeight="false" outlineLevel="0" collapsed="false">
      <c r="A33" s="0" t="s">
        <v>131</v>
      </c>
      <c r="B33" s="0" t="n">
        <f aca="false">B31*B29</f>
        <v>64574.1009926886</v>
      </c>
    </row>
    <row r="34" customFormat="false" ht="15" hidden="false" customHeight="false" outlineLevel="0" collapsed="false">
      <c r="A34" s="0" t="s">
        <v>132</v>
      </c>
      <c r="B34" s="0" t="n">
        <f aca="false">MAX(0,MIN(B32,B33))</f>
        <v>64574.1009926886</v>
      </c>
    </row>
    <row r="35" customFormat="false" ht="15" hidden="false" customHeight="false" outlineLevel="0" collapsed="false">
      <c r="A35" s="0" t="s">
        <v>133</v>
      </c>
      <c r="B35" s="0" t="n">
        <f aca="false">B34/(1+B27/100)^L4</f>
        <v>20791.1322965504</v>
      </c>
    </row>
    <row r="36" customFormat="false" ht="15" hidden="false" customHeight="false" outlineLevel="0" collapsed="false">
      <c r="A36" s="0" t="s">
        <v>134</v>
      </c>
      <c r="B36" s="0" t="n">
        <f aca="false">B30+B35</f>
        <v>45207.916318234</v>
      </c>
    </row>
    <row r="37" customFormat="false" ht="15" hidden="false" customHeight="false" outlineLevel="0" collapsed="false">
      <c r="A37" s="0" t="s">
        <v>135</v>
      </c>
      <c r="B37" s="0" t="n">
        <f aca="false">B36+Assumptions!$B$5-Assumptions!$B$4</f>
        <v>40727.816318234</v>
      </c>
    </row>
    <row r="38" customFormat="false" ht="15" hidden="false" customHeight="false" outlineLevel="0" collapsed="false">
      <c r="A38" s="0" t="s">
        <v>136</v>
      </c>
      <c r="B38" s="0" t="n">
        <f aca="false">B37/Assumptions!$B$3*Assumptions!$B$10</f>
        <v>3.94856544183128</v>
      </c>
    </row>
    <row r="39" customFormat="false" ht="15" hidden="false" customHeight="false" outlineLevel="0" collapsed="false">
      <c r="A39" s="0" t="s">
        <v>137</v>
      </c>
      <c r="B39" s="4" t="n">
        <f aca="false">B38/Assumptions!$B$2-1</f>
        <v>-0.211863185263218</v>
      </c>
    </row>
    <row r="41" customFormat="false" ht="15" hidden="false" customHeight="false" outlineLevel="0" collapsed="false">
      <c r="A41" s="0" t="s">
        <v>138</v>
      </c>
      <c r="B41" s="0" t="n">
        <f aca="false">SUMPRODUCT(-C10:L10/(1+$B$27/100)^C4:L4)</f>
        <v>988.599304909535</v>
      </c>
    </row>
    <row r="42" customFormat="false" ht="15" hidden="false" customHeight="false" outlineLevel="0" collapsed="false">
      <c r="A42" s="0" t="s">
        <v>139</v>
      </c>
      <c r="B42" s="0" t="n">
        <f aca="false">IF(B27&gt;B28,-L10*(1+B28/100)/((B27-B28)/100),-L10*20)/(1+B27/100)^L4</f>
        <v>900.199888840464</v>
      </c>
    </row>
    <row r="43" customFormat="false" ht="15" hidden="false" customHeight="false" outlineLevel="0" collapsed="false">
      <c r="A43" s="0" t="s">
        <v>140</v>
      </c>
      <c r="B43" s="0" t="n">
        <f aca="false">(B37+B41+B42)/Assumptions!$B$3*Assumptions!$B$10</f>
        <v>4.131684692928</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50876.5644184819</v>
      </c>
    </row>
    <row r="47" customFormat="false" ht="15" hidden="false" customHeight="false" outlineLevel="0" collapsed="false">
      <c r="A47" s="0" t="s">
        <v>142</v>
      </c>
      <c r="B47" s="0" t="n">
        <f aca="false">(SUMPRODUCT(C19:L19/(1+B45/100)^C4:L4)+B46/(1+B45/100)^L4+Assumptions!$B$5-Assumptions!$B$4)/Assumptions!$B$3*Assumptions!$B$10</f>
        <v>2.86910730227227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Assumptions!C41</f>
        <v>5</v>
      </c>
      <c r="D5" s="4" t="n">
        <f aca="false">Assumptions!D41</f>
        <v>6</v>
      </c>
      <c r="E5" s="4" t="n">
        <f aca="false">Assumptions!E41</f>
        <v>5</v>
      </c>
      <c r="F5" s="4" t="n">
        <f aca="false">Assumptions!F41</f>
        <v>5</v>
      </c>
      <c r="G5" s="4" t="n">
        <f aca="false">Assumptions!G41</f>
        <v>5</v>
      </c>
      <c r="H5" s="4" t="n">
        <f aca="false">Assumptions!H41</f>
        <v>4.5</v>
      </c>
      <c r="I5" s="4" t="n">
        <f aca="false">Assumptions!I41</f>
        <v>4.5</v>
      </c>
      <c r="J5" s="4" t="n">
        <f aca="false">Assumptions!J41</f>
        <v>4.5</v>
      </c>
      <c r="K5" s="4" t="n">
        <f aca="false">Assumptions!K41</f>
        <v>4.5</v>
      </c>
      <c r="L5" s="4" t="n">
        <f aca="false">Assumptions!L41</f>
        <v>4.5</v>
      </c>
    </row>
    <row r="6" customFormat="false" ht="15" hidden="false" customHeight="false" outlineLevel="0" collapsed="false">
      <c r="A6" s="0" t="s">
        <v>38</v>
      </c>
      <c r="B6" s="3" t="n">
        <v>69858.5</v>
      </c>
      <c r="C6" s="0" t="n">
        <f aca="false">B6*(1+C5/100)</f>
        <v>73351.425</v>
      </c>
      <c r="D6" s="0" t="n">
        <f aca="false">C6*(1+D5/100)</f>
        <v>77752.5105</v>
      </c>
      <c r="E6" s="0" t="n">
        <f aca="false">D6*(1+E5/100)</f>
        <v>81640.136025</v>
      </c>
      <c r="F6" s="0" t="n">
        <f aca="false">E6*(1+F5/100)</f>
        <v>85722.14282625</v>
      </c>
      <c r="G6" s="0" t="n">
        <f aca="false">F6*(1+G5/100)</f>
        <v>90008.2499675625</v>
      </c>
      <c r="H6" s="0" t="n">
        <f aca="false">G6*(1+H5/100)</f>
        <v>94058.6212161028</v>
      </c>
      <c r="I6" s="0" t="n">
        <f aca="false">H6*(1+I5/100)</f>
        <v>98291.2591708274</v>
      </c>
      <c r="J6" s="0" t="n">
        <f aca="false">I6*(1+J5/100)</f>
        <v>102714.365833515</v>
      </c>
      <c r="K6" s="0" t="n">
        <f aca="false">J6*(1+K5/100)</f>
        <v>107336.512296023</v>
      </c>
      <c r="L6" s="0" t="n">
        <f aca="false">K6*(1+L5/100)</f>
        <v>112166.655349344</v>
      </c>
    </row>
    <row r="7" customFormat="false" ht="15" hidden="false" customHeight="false" outlineLevel="0" collapsed="false">
      <c r="A7" s="0" t="s">
        <v>99</v>
      </c>
      <c r="C7" s="4" t="n">
        <f aca="false">Assumptions!C42</f>
        <v>16.5</v>
      </c>
      <c r="D7" s="4" t="n">
        <f aca="false">Assumptions!D42</f>
        <v>17</v>
      </c>
      <c r="E7" s="4" t="n">
        <f aca="false">Assumptions!E42</f>
        <v>17</v>
      </c>
      <c r="F7" s="4" t="n">
        <f aca="false">Assumptions!F42</f>
        <v>17</v>
      </c>
      <c r="G7" s="4" t="n">
        <f aca="false">Assumptions!G42</f>
        <v>16.5</v>
      </c>
      <c r="H7" s="4" t="n">
        <f aca="false">Assumptions!H42</f>
        <v>16.5</v>
      </c>
      <c r="I7" s="4" t="n">
        <f aca="false">Assumptions!I42</f>
        <v>16.5</v>
      </c>
      <c r="J7" s="4" t="n">
        <f aca="false">Assumptions!J42</f>
        <v>16.5</v>
      </c>
      <c r="K7" s="4" t="n">
        <f aca="false">Assumptions!K42</f>
        <v>16.5</v>
      </c>
      <c r="L7" s="4" t="n">
        <f aca="false">Assumptions!L42</f>
        <v>16.5</v>
      </c>
    </row>
    <row r="8" customFormat="false" ht="15" hidden="false" customHeight="false" outlineLevel="0" collapsed="false">
      <c r="A8" s="0" t="s">
        <v>44</v>
      </c>
      <c r="C8" s="0" t="n">
        <f aca="false">C6*C7/100</f>
        <v>12102.985125</v>
      </c>
      <c r="D8" s="0" t="n">
        <f aca="false">D6*D7/100</f>
        <v>13217.926785</v>
      </c>
      <c r="E8" s="0" t="n">
        <f aca="false">E6*E7/100</f>
        <v>13878.82312425</v>
      </c>
      <c r="F8" s="0" t="n">
        <f aca="false">F6*F7/100</f>
        <v>14572.7642804625</v>
      </c>
      <c r="G8" s="0" t="n">
        <f aca="false">G6*G7/100</f>
        <v>14851.3612446478</v>
      </c>
      <c r="H8" s="0" t="n">
        <f aca="false">H6*H7/100</f>
        <v>15519.672500657</v>
      </c>
      <c r="I8" s="0" t="n">
        <f aca="false">I6*I7/100</f>
        <v>16218.0577631865</v>
      </c>
      <c r="J8" s="0" t="n">
        <f aca="false">J6*J7/100</f>
        <v>16947.8703625299</v>
      </c>
      <c r="K8" s="0" t="n">
        <f aca="false">K6*K7/100</f>
        <v>17710.5245288438</v>
      </c>
      <c r="L8" s="0" t="n">
        <f aca="false">L6*L7/100</f>
        <v>18507.4981326417</v>
      </c>
    </row>
    <row r="9" customFormat="false" ht="15" hidden="false" customHeight="false" outlineLevel="0" collapsed="false">
      <c r="A9" s="0" t="s">
        <v>100</v>
      </c>
      <c r="C9" s="4" t="n">
        <f aca="false">Assumptions!C43</f>
        <v>0.21</v>
      </c>
      <c r="D9" s="4" t="n">
        <f aca="false">Assumptions!D43</f>
        <v>0.21</v>
      </c>
      <c r="E9" s="4" t="n">
        <f aca="false">Assumptions!E43</f>
        <v>0.21</v>
      </c>
      <c r="F9" s="4" t="n">
        <f aca="false">Assumptions!F43</f>
        <v>0.21</v>
      </c>
      <c r="G9" s="4" t="n">
        <f aca="false">Assumptions!G43</f>
        <v>0.21</v>
      </c>
      <c r="H9" s="4" t="n">
        <f aca="false">Assumptions!H43</f>
        <v>0.21</v>
      </c>
      <c r="I9" s="4" t="n">
        <f aca="false">Assumptions!I43</f>
        <v>0.21</v>
      </c>
      <c r="J9" s="4" t="n">
        <f aca="false">Assumptions!J43</f>
        <v>0.21</v>
      </c>
      <c r="K9" s="4" t="n">
        <f aca="false">Assumptions!K43</f>
        <v>0.21</v>
      </c>
      <c r="L9" s="4" t="n">
        <f aca="false">Assumptions!L43</f>
        <v>0.21</v>
      </c>
    </row>
    <row r="10" customFormat="false" ht="15" hidden="false" customHeight="false" outlineLevel="0" collapsed="false">
      <c r="A10" s="0" t="s">
        <v>115</v>
      </c>
      <c r="C10" s="0" t="n">
        <f aca="false">-C6*C9/100</f>
        <v>-154.0379925</v>
      </c>
      <c r="D10" s="0" t="n">
        <f aca="false">-D6*D9/100</f>
        <v>-163.28027205</v>
      </c>
      <c r="E10" s="0" t="n">
        <f aca="false">-E6*E9/100</f>
        <v>-171.4442856525</v>
      </c>
      <c r="F10" s="0" t="n">
        <f aca="false">-F6*F9/100</f>
        <v>-180.016499935125</v>
      </c>
      <c r="G10" s="0" t="n">
        <f aca="false">-G6*G9/100</f>
        <v>-189.017324931881</v>
      </c>
      <c r="H10" s="0" t="n">
        <f aca="false">-H6*H9/100</f>
        <v>-197.523104553816</v>
      </c>
      <c r="I10" s="0" t="n">
        <f aca="false">-I6*I9/100</f>
        <v>-206.411644258738</v>
      </c>
      <c r="J10" s="0" t="n">
        <f aca="false">-J6*J9/100</f>
        <v>-215.700168250381</v>
      </c>
      <c r="K10" s="0" t="n">
        <f aca="false">-K6*K9/100</f>
        <v>-225.406675821648</v>
      </c>
      <c r="L10" s="0" t="n">
        <f aca="false">-L6*L9/100</f>
        <v>-235.549976233622</v>
      </c>
    </row>
    <row r="11" customFormat="false" ht="15" hidden="false" customHeight="false" outlineLevel="0" collapsed="false">
      <c r="A11" s="0" t="s">
        <v>116</v>
      </c>
      <c r="C11" s="0" t="n">
        <f aca="false">C8+C10+C24</f>
        <v>11310.789735</v>
      </c>
      <c r="D11" s="0" t="n">
        <f aca="false">D8+D10+D24</f>
        <v>12378.1996716</v>
      </c>
      <c r="E11" s="0" t="n">
        <f aca="false">E8+E10+E24</f>
        <v>12997.10965518</v>
      </c>
      <c r="F11" s="0" t="n">
        <f aca="false">F8+F10+F24</f>
        <v>13646.965137939</v>
      </c>
      <c r="G11" s="0" t="n">
        <f aca="false">G8+G10+G24</f>
        <v>13879.2721449981</v>
      </c>
      <c r="H11" s="0" t="n">
        <f aca="false">H8+H10+H24</f>
        <v>14503.8393915231</v>
      </c>
      <c r="I11" s="0" t="n">
        <f aca="false">I8+I10+I24</f>
        <v>15156.5121641416</v>
      </c>
      <c r="J11" s="0" t="n">
        <f aca="false">J8+J10+J24</f>
        <v>15838.555211528</v>
      </c>
      <c r="K11" s="0" t="n">
        <f aca="false">K8+K10+K24</f>
        <v>16551.2901960467</v>
      </c>
      <c r="L11" s="0" t="n">
        <f aca="false">L8+L10+L24</f>
        <v>17296.0982548688</v>
      </c>
    </row>
    <row r="12" customFormat="false" ht="15" hidden="false" customHeight="false" outlineLevel="0" collapsed="false">
      <c r="A12" s="0" t="s">
        <v>117</v>
      </c>
      <c r="C12" s="4" t="n">
        <f aca="false">-C6*Assumptions!C45/100</f>
        <v>-3447.516975</v>
      </c>
      <c r="D12" s="4" t="n">
        <f aca="false">-D6*Assumptions!D45/100</f>
        <v>-3732.120504</v>
      </c>
      <c r="E12" s="4" t="n">
        <f aca="false">-E6*Assumptions!E45/100</f>
        <v>-3918.7265292</v>
      </c>
      <c r="F12" s="4" t="n">
        <f aca="false">-F6*Assumptions!F45/100</f>
        <v>-4114.66285566</v>
      </c>
      <c r="G12" s="4" t="n">
        <f aca="false">-G6*Assumptions!G45/100</f>
        <v>-4320.395998443</v>
      </c>
      <c r="H12" s="4" t="n">
        <f aca="false">-H6*Assumptions!H45/100</f>
        <v>-4514.81381837294</v>
      </c>
      <c r="I12" s="4" t="n">
        <f aca="false">-I6*Assumptions!I45/100</f>
        <v>-4717.98044019972</v>
      </c>
      <c r="J12" s="4" t="n">
        <f aca="false">-J6*Assumptions!J45/100</f>
        <v>-4930.2895600087</v>
      </c>
      <c r="K12" s="4" t="n">
        <f aca="false">-K6*Assumptions!K45/100</f>
        <v>-5152.1525902091</v>
      </c>
      <c r="L12" s="4" t="n">
        <f aca="false">-L6*Assumptions!L45/100</f>
        <v>-5383.99945676851</v>
      </c>
    </row>
    <row r="13" customFormat="false" ht="15" hidden="false" customHeight="false" outlineLevel="0" collapsed="false">
      <c r="A13" s="0" t="s">
        <v>118</v>
      </c>
      <c r="C13" s="0" t="n">
        <f aca="false">C11+C12</f>
        <v>7863.27276</v>
      </c>
      <c r="D13" s="0" t="n">
        <f aca="false">D11+D12</f>
        <v>8646.0791676</v>
      </c>
      <c r="E13" s="0" t="n">
        <f aca="false">E11+E12</f>
        <v>9078.38312598</v>
      </c>
      <c r="F13" s="0" t="n">
        <f aca="false">F11+F12</f>
        <v>9532.302282279</v>
      </c>
      <c r="G13" s="0" t="n">
        <f aca="false">G11+G12</f>
        <v>9558.87614655514</v>
      </c>
      <c r="H13" s="0" t="n">
        <f aca="false">H11+H12</f>
        <v>9989.02557315012</v>
      </c>
      <c r="I13" s="0" t="n">
        <f aca="false">I11+I12</f>
        <v>10438.5317239419</v>
      </c>
      <c r="J13" s="0" t="n">
        <f aca="false">J11+J12</f>
        <v>10908.2656515193</v>
      </c>
      <c r="K13" s="0" t="n">
        <f aca="false">K11+K12</f>
        <v>11399.1376058376</v>
      </c>
      <c r="L13" s="0" t="n">
        <f aca="false">L11+L12</f>
        <v>11912.0987981003</v>
      </c>
    </row>
    <row r="14" customFormat="false" ht="15" hidden="false" customHeight="false" outlineLevel="0" collapsed="false">
      <c r="A14" s="0" t="s">
        <v>104</v>
      </c>
      <c r="C14" s="4" t="n">
        <f aca="false">Assumptions!C47</f>
        <v>22</v>
      </c>
      <c r="D14" s="4" t="n">
        <f aca="false">Assumptions!D47</f>
        <v>22</v>
      </c>
      <c r="E14" s="4" t="n">
        <f aca="false">Assumptions!E47</f>
        <v>22</v>
      </c>
      <c r="F14" s="4" t="n">
        <f aca="false">Assumptions!F47</f>
        <v>22</v>
      </c>
      <c r="G14" s="4" t="n">
        <f aca="false">Assumptions!G47</f>
        <v>22</v>
      </c>
      <c r="H14" s="4" t="n">
        <f aca="false">Assumptions!H47</f>
        <v>22</v>
      </c>
      <c r="I14" s="4" t="n">
        <f aca="false">Assumptions!I47</f>
        <v>22</v>
      </c>
      <c r="J14" s="4" t="n">
        <f aca="false">Assumptions!J47</f>
        <v>22</v>
      </c>
      <c r="K14" s="4" t="n">
        <f aca="false">Assumptions!K47</f>
        <v>22</v>
      </c>
      <c r="L14" s="4" t="n">
        <f aca="false">Assumptions!L47</f>
        <v>22</v>
      </c>
    </row>
    <row r="15" customFormat="false" ht="15" hidden="false" customHeight="false" outlineLevel="0" collapsed="false">
      <c r="A15" s="0" t="s">
        <v>119</v>
      </c>
      <c r="C15" s="0" t="n">
        <f aca="false">C13-MAX(0,C13)*C14/100</f>
        <v>6133.3527528</v>
      </c>
      <c r="D15" s="0" t="n">
        <f aca="false">D13-MAX(0,D13)*D14/100</f>
        <v>6743.941750728</v>
      </c>
      <c r="E15" s="0" t="n">
        <f aca="false">E13-MAX(0,E13)*E14/100</f>
        <v>7081.1388382644</v>
      </c>
      <c r="F15" s="0" t="n">
        <f aca="false">F13-MAX(0,F13)*F14/100</f>
        <v>7435.19578017762</v>
      </c>
      <c r="G15" s="0" t="n">
        <f aca="false">G13-MAX(0,G13)*G14/100</f>
        <v>7455.92339431301</v>
      </c>
      <c r="H15" s="0" t="n">
        <f aca="false">H13-MAX(0,H13)*H14/100</f>
        <v>7791.43994705709</v>
      </c>
      <c r="I15" s="0" t="n">
        <f aca="false">I13-MAX(0,I13)*I14/100</f>
        <v>8142.05474467466</v>
      </c>
      <c r="J15" s="0" t="n">
        <f aca="false">J13-MAX(0,J13)*J14/100</f>
        <v>8508.44720818502</v>
      </c>
      <c r="K15" s="0" t="n">
        <f aca="false">K13-MAX(0,K13)*K14/100</f>
        <v>8891.32733255335</v>
      </c>
      <c r="L15" s="0" t="n">
        <f aca="false">L13-MAX(0,L13)*L14/100</f>
        <v>9291.43706251825</v>
      </c>
    </row>
    <row r="16" customFormat="false" ht="15" hidden="false" customHeight="false" outlineLevel="0" collapsed="false">
      <c r="A16" s="0" t="s">
        <v>120</v>
      </c>
      <c r="C16" s="0" t="n">
        <f aca="false">-C12</f>
        <v>3447.516975</v>
      </c>
      <c r="D16" s="0" t="n">
        <f aca="false">-D12</f>
        <v>3732.120504</v>
      </c>
      <c r="E16" s="0" t="n">
        <f aca="false">-E12</f>
        <v>3918.7265292</v>
      </c>
      <c r="F16" s="0" t="n">
        <f aca="false">-F12</f>
        <v>4114.66285566</v>
      </c>
      <c r="G16" s="0" t="n">
        <f aca="false">-G12</f>
        <v>4320.395998443</v>
      </c>
      <c r="H16" s="0" t="n">
        <f aca="false">-H12</f>
        <v>4514.81381837294</v>
      </c>
      <c r="I16" s="0" t="n">
        <f aca="false">-I12</f>
        <v>4717.98044019972</v>
      </c>
      <c r="J16" s="0" t="n">
        <f aca="false">-J12</f>
        <v>4930.2895600087</v>
      </c>
      <c r="K16" s="0" t="n">
        <f aca="false">-K12</f>
        <v>5152.1525902091</v>
      </c>
      <c r="L16" s="0" t="n">
        <f aca="false">-L12</f>
        <v>5383.99945676851</v>
      </c>
    </row>
    <row r="17" customFormat="false" ht="15" hidden="false" customHeight="false" outlineLevel="0" collapsed="false">
      <c r="A17" s="0" t="s">
        <v>121</v>
      </c>
      <c r="C17" s="4" t="n">
        <f aca="false">-C6*Assumptions!C46/100</f>
        <v>-4767.842625</v>
      </c>
      <c r="D17" s="4" t="n">
        <f aca="false">-D6*Assumptions!D46/100</f>
        <v>-4665.15063</v>
      </c>
      <c r="E17" s="4" t="n">
        <f aca="false">-E6*Assumptions!E46/100</f>
        <v>-4735.12788945</v>
      </c>
      <c r="F17" s="4" t="n">
        <f aca="false">-F6*Assumptions!F46/100</f>
        <v>-4800.43999827</v>
      </c>
      <c r="G17" s="4" t="n">
        <f aca="false">-G6*Assumptions!G46/100</f>
        <v>-4950.45374821594</v>
      </c>
      <c r="H17" s="4" t="n">
        <f aca="false">-H6*Assumptions!H46/100</f>
        <v>-5173.22416688566</v>
      </c>
      <c r="I17" s="4" t="n">
        <f aca="false">-I6*Assumptions!I46/100</f>
        <v>-5406.01925439551</v>
      </c>
      <c r="J17" s="4" t="n">
        <f aca="false">-J6*Assumptions!J46/100</f>
        <v>-5649.29012084331</v>
      </c>
      <c r="K17" s="4" t="n">
        <f aca="false">-K6*Assumptions!K46/100</f>
        <v>-5903.50817628126</v>
      </c>
      <c r="L17" s="4" t="n">
        <f aca="false">-L6*Assumptions!L46/100</f>
        <v>-6169.16604421391</v>
      </c>
    </row>
    <row r="18" customFormat="false" ht="15" hidden="false" customHeight="false" outlineLevel="0" collapsed="false">
      <c r="A18" s="0" t="s">
        <v>122</v>
      </c>
      <c r="C18" s="4" t="n">
        <f aca="false">(C6-B6)*Assumptions!$B$51/100</f>
        <v>-698.585000000001</v>
      </c>
      <c r="D18" s="4" t="n">
        <f aca="false">(D6-C6)*Assumptions!$B$51/100</f>
        <v>-880.2171</v>
      </c>
      <c r="E18" s="4" t="n">
        <f aca="false">(E6-D6)*Assumptions!$B$51/100</f>
        <v>-777.525105000002</v>
      </c>
      <c r="F18" s="4" t="n">
        <f aca="false">(F6-E6)*Assumptions!$B$51/100</f>
        <v>-816.40136025</v>
      </c>
      <c r="G18" s="4" t="n">
        <f aca="false">(G6-F6)*Assumptions!$B$51/100</f>
        <v>-857.221428262501</v>
      </c>
      <c r="H18" s="4" t="n">
        <f aca="false">(H6-G6)*Assumptions!$B$51/100</f>
        <v>-810.074249708062</v>
      </c>
      <c r="I18" s="4" t="n">
        <f aca="false">(I6-H6)*Assumptions!$B$51/100</f>
        <v>-846.527590944924</v>
      </c>
      <c r="J18" s="4" t="n">
        <f aca="false">(J6-I6)*Assumptions!$B$51/100</f>
        <v>-884.621332537447</v>
      </c>
      <c r="K18" s="4" t="n">
        <f aca="false">(K6-J6)*Assumptions!$B$51/100</f>
        <v>-924.429292501631</v>
      </c>
      <c r="L18" s="4" t="n">
        <f aca="false">(L6-K6)*Assumptions!$B$51/100</f>
        <v>-966.028610664205</v>
      </c>
    </row>
    <row r="19" customFormat="false" ht="15" hidden="false" customHeight="false" outlineLevel="0" collapsed="false">
      <c r="A19" s="0" t="s">
        <v>123</v>
      </c>
      <c r="C19" s="0" t="n">
        <f aca="false">C15+C16+C17+C18</f>
        <v>4114.4421028</v>
      </c>
      <c r="D19" s="0" t="n">
        <f aca="false">D15+D16+D17+D18</f>
        <v>4930.694524728</v>
      </c>
      <c r="E19" s="0" t="n">
        <f aca="false">E15+E16+E17+E18</f>
        <v>5487.2123730144</v>
      </c>
      <c r="F19" s="0" t="n">
        <f aca="false">F15+F16+F17+F18</f>
        <v>5933.01727731762</v>
      </c>
      <c r="G19" s="0" t="n">
        <f aca="false">G15+G16+G17+G18</f>
        <v>5968.64421627757</v>
      </c>
      <c r="H19" s="0" t="n">
        <f aca="false">H15+H16+H17+H18</f>
        <v>6322.95534883631</v>
      </c>
      <c r="I19" s="0" t="n">
        <f aca="false">I15+I16+I17+I18</f>
        <v>6607.48833953395</v>
      </c>
      <c r="J19" s="0" t="n">
        <f aca="false">J15+J16+J17+J18</f>
        <v>6904.82531481298</v>
      </c>
      <c r="K19" s="0" t="n">
        <f aca="false">K15+K16+K17+K18</f>
        <v>7215.54245397956</v>
      </c>
      <c r="L19" s="0" t="n">
        <f aca="false">L15+L16+L17+L18</f>
        <v>7540.24186440864</v>
      </c>
    </row>
    <row r="20" customFormat="false" ht="15" hidden="false" customHeight="false" outlineLevel="0" collapsed="false">
      <c r="A20" s="0" t="s">
        <v>124</v>
      </c>
      <c r="C20" s="0" t="n">
        <f aca="false">1/(1+$B$27/100)^C4</f>
        <v>0.892857142857143</v>
      </c>
      <c r="D20" s="0" t="n">
        <f aca="false">1/(1+$B$27/100)^D4</f>
        <v>0.79719387755102</v>
      </c>
      <c r="E20" s="0" t="n">
        <f aca="false">1/(1+$B$27/100)^E4</f>
        <v>0.711780247813411</v>
      </c>
      <c r="F20" s="0" t="n">
        <f aca="false">1/(1+$B$27/100)^F4</f>
        <v>0.635518078404831</v>
      </c>
      <c r="G20" s="0" t="n">
        <f aca="false">1/(1+$B$27/100)^G4</f>
        <v>0.567426855718599</v>
      </c>
      <c r="H20" s="0" t="n">
        <f aca="false">1/(1+$B$27/100)^H4</f>
        <v>0.506631121177321</v>
      </c>
      <c r="I20" s="0" t="n">
        <f aca="false">1/(1+$B$27/100)^I4</f>
        <v>0.452349215336893</v>
      </c>
      <c r="J20" s="0" t="n">
        <f aca="false">1/(1+$B$27/100)^J4</f>
        <v>0.403883227979369</v>
      </c>
      <c r="K20" s="0" t="n">
        <f aca="false">1/(1+$B$27/100)^K4</f>
        <v>0.360610024981579</v>
      </c>
      <c r="L20" s="0" t="n">
        <f aca="false">1/(1+$B$27/100)^L4</f>
        <v>0.321973236590696</v>
      </c>
    </row>
    <row r="21" customFormat="false" ht="15" hidden="false" customHeight="false" outlineLevel="0" collapsed="false">
      <c r="A21" s="0" t="s">
        <v>125</v>
      </c>
      <c r="C21" s="0" t="n">
        <f aca="false">C19*C20</f>
        <v>3673.60902035714</v>
      </c>
      <c r="D21" s="0" t="n">
        <f aca="false">D19*D20</f>
        <v>3930.7194871875</v>
      </c>
      <c r="E21" s="0" t="n">
        <f aca="false">E19*E20</f>
        <v>3905.689382669</v>
      </c>
      <c r="F21" s="0" t="n">
        <f aca="false">F19*F20</f>
        <v>3770.53973922356</v>
      </c>
      <c r="G21" s="0" t="n">
        <f aca="false">G19*G20</f>
        <v>3386.76902054538</v>
      </c>
      <c r="H21" s="0" t="n">
        <f aca="false">H19*H20</f>
        <v>3203.40595753508</v>
      </c>
      <c r="I21" s="0" t="n">
        <f aca="false">I19*I20</f>
        <v>2988.89216573585</v>
      </c>
      <c r="J21" s="0" t="n">
        <f aca="false">J19*J20</f>
        <v>2788.74313678033</v>
      </c>
      <c r="K21" s="0" t="n">
        <f aca="false">K19*K20</f>
        <v>2601.99694458522</v>
      </c>
      <c r="L21" s="0" t="n">
        <f aca="false">L19*L20</f>
        <v>2427.75607776031</v>
      </c>
    </row>
    <row r="23" customFormat="false" ht="15" hidden="false" customHeight="false" outlineLevel="0" collapsed="false">
      <c r="A23" s="0" t="s">
        <v>101</v>
      </c>
      <c r="C23" s="4" t="n">
        <f aca="false">Assumptions!C44</f>
        <v>0.87</v>
      </c>
      <c r="D23" s="4" t="n">
        <f aca="false">Assumptions!D44</f>
        <v>0.87</v>
      </c>
      <c r="E23" s="4" t="n">
        <f aca="false">Assumptions!E44</f>
        <v>0.87</v>
      </c>
      <c r="F23" s="4" t="n">
        <f aca="false">Assumptions!F44</f>
        <v>0.87</v>
      </c>
      <c r="G23" s="4" t="n">
        <f aca="false">Assumptions!G44</f>
        <v>0.87</v>
      </c>
      <c r="H23" s="4" t="n">
        <f aca="false">Assumptions!H44</f>
        <v>0.87</v>
      </c>
      <c r="I23" s="4" t="n">
        <f aca="false">Assumptions!I44</f>
        <v>0.87</v>
      </c>
      <c r="J23" s="4" t="n">
        <f aca="false">Assumptions!J44</f>
        <v>0.87</v>
      </c>
      <c r="K23" s="4" t="n">
        <f aca="false">Assumptions!K44</f>
        <v>0.87</v>
      </c>
      <c r="L23" s="4" t="n">
        <f aca="false">Assumptions!L44</f>
        <v>0.87</v>
      </c>
    </row>
    <row r="24" customFormat="false" ht="15" hidden="false" customHeight="false" outlineLevel="0" collapsed="false">
      <c r="A24" s="0" t="s">
        <v>126</v>
      </c>
      <c r="C24" s="0" t="n">
        <f aca="false">-C6*C23/100</f>
        <v>-638.1573975</v>
      </c>
      <c r="D24" s="0" t="n">
        <f aca="false">-D6*D23/100</f>
        <v>-676.44684135</v>
      </c>
      <c r="E24" s="0" t="n">
        <f aca="false">-E6*E23/100</f>
        <v>-710.2691834175</v>
      </c>
      <c r="F24" s="0" t="n">
        <f aca="false">-F6*F23/100</f>
        <v>-745.782642588375</v>
      </c>
      <c r="G24" s="0" t="n">
        <f aca="false">-G6*G23/100</f>
        <v>-783.071774717794</v>
      </c>
      <c r="H24" s="0" t="n">
        <f aca="false">-H6*H23/100</f>
        <v>-818.310004580095</v>
      </c>
      <c r="I24" s="0" t="n">
        <f aca="false">-I6*I23/100</f>
        <v>-855.133954786199</v>
      </c>
      <c r="J24" s="0" t="n">
        <f aca="false">-J6*J23/100</f>
        <v>-893.614982751578</v>
      </c>
      <c r="K24" s="0" t="n">
        <f aca="false">-K6*K23/100</f>
        <v>-933.827656975399</v>
      </c>
      <c r="L24" s="0" t="n">
        <f aca="false">-L6*L23/100</f>
        <v>-975.849901539292</v>
      </c>
    </row>
    <row r="26" customFormat="false" ht="15" hidden="false" customHeight="false" outlineLevel="0" collapsed="false">
      <c r="A26" s="2" t="s">
        <v>127</v>
      </c>
    </row>
    <row r="27" customFormat="false" ht="15" hidden="false" customHeight="false" outlineLevel="0" collapsed="false">
      <c r="A27" s="0" t="s">
        <v>105</v>
      </c>
      <c r="B27" s="4" t="n">
        <f aca="false">Assumptions!$B$48</f>
        <v>12</v>
      </c>
    </row>
    <row r="28" customFormat="false" ht="15" hidden="false" customHeight="false" outlineLevel="0" collapsed="false">
      <c r="A28" s="0" t="s">
        <v>106</v>
      </c>
      <c r="B28" s="4" t="n">
        <f aca="false">Assumptions!$B$49</f>
        <v>4</v>
      </c>
    </row>
    <row r="29" customFormat="false" ht="15" hidden="false" customHeight="false" outlineLevel="0" collapsed="false">
      <c r="A29" s="0" t="s">
        <v>107</v>
      </c>
      <c r="B29" s="4" t="n">
        <f aca="false">Assumptions!$B$50</f>
        <v>12</v>
      </c>
    </row>
    <row r="30" customFormat="false" ht="15" hidden="false" customHeight="false" outlineLevel="0" collapsed="false">
      <c r="A30" s="0" t="s">
        <v>128</v>
      </c>
      <c r="B30" s="0" t="n">
        <f aca="false">SUM(C21:L21)</f>
        <v>32678.1209323794</v>
      </c>
    </row>
    <row r="31" customFormat="false" ht="15" hidden="false" customHeight="false" outlineLevel="0" collapsed="false">
      <c r="A31" s="0" t="s">
        <v>129</v>
      </c>
      <c r="B31" s="0" t="n">
        <f aca="false">L19</f>
        <v>7540.24186440864</v>
      </c>
    </row>
    <row r="32" customFormat="false" ht="15" hidden="false" customHeight="false" outlineLevel="0" collapsed="false">
      <c r="A32" s="0" t="s">
        <v>130</v>
      </c>
      <c r="B32" s="0" t="n">
        <f aca="false">IF(B27&gt;B28,B31*(1+B28/100)/((B27-B28)/100),B31*B29)</f>
        <v>98023.1442373123</v>
      </c>
    </row>
    <row r="33" customFormat="false" ht="15" hidden="false" customHeight="false" outlineLevel="0" collapsed="false">
      <c r="A33" s="0" t="s">
        <v>131</v>
      </c>
      <c r="B33" s="0" t="n">
        <f aca="false">B31*B29</f>
        <v>90482.9023729036</v>
      </c>
    </row>
    <row r="34" customFormat="false" ht="15" hidden="false" customHeight="false" outlineLevel="0" collapsed="false">
      <c r="A34" s="0" t="s">
        <v>132</v>
      </c>
      <c r="B34" s="0" t="n">
        <f aca="false">MAX(0,MIN(B32,B33))</f>
        <v>90482.9023729036</v>
      </c>
    </row>
    <row r="35" customFormat="false" ht="15" hidden="false" customHeight="false" outlineLevel="0" collapsed="false">
      <c r="A35" s="0" t="s">
        <v>133</v>
      </c>
      <c r="B35" s="0" t="n">
        <f aca="false">B34/(1+B27/100)^L4</f>
        <v>29133.0729331237</v>
      </c>
    </row>
    <row r="36" customFormat="false" ht="15" hidden="false" customHeight="false" outlineLevel="0" collapsed="false">
      <c r="A36" s="0" t="s">
        <v>134</v>
      </c>
      <c r="B36" s="0" t="n">
        <f aca="false">B30+B35</f>
        <v>61811.1938655031</v>
      </c>
    </row>
    <row r="37" customFormat="false" ht="15" hidden="false" customHeight="false" outlineLevel="0" collapsed="false">
      <c r="A37" s="0" t="s">
        <v>135</v>
      </c>
      <c r="B37" s="0" t="n">
        <f aca="false">B36+Assumptions!$B$5-Assumptions!$B$4</f>
        <v>57331.0938655031</v>
      </c>
    </row>
    <row r="38" customFormat="false" ht="15" hidden="false" customHeight="false" outlineLevel="0" collapsed="false">
      <c r="A38" s="0" t="s">
        <v>136</v>
      </c>
      <c r="B38" s="0" t="n">
        <f aca="false">B37/Assumptions!$B$3*Assumptions!$B$10</f>
        <v>5.55825468792348</v>
      </c>
    </row>
    <row r="39" customFormat="false" ht="15" hidden="false" customHeight="false" outlineLevel="0" collapsed="false">
      <c r="A39" s="0" t="s">
        <v>137</v>
      </c>
      <c r="B39" s="4" t="n">
        <f aca="false">B38/Assumptions!$B$2-1</f>
        <v>0.109432073437821</v>
      </c>
    </row>
    <row r="41" customFormat="false" ht="15" hidden="false" customHeight="false" outlineLevel="0" collapsed="false">
      <c r="A41" s="0" t="s">
        <v>138</v>
      </c>
      <c r="B41" s="0" t="n">
        <f aca="false">SUMPRODUCT(-C10:L10/(1+$B$27/100)^C4:L4)</f>
        <v>1049.07173037831</v>
      </c>
    </row>
    <row r="42" customFormat="false" ht="15" hidden="false" customHeight="false" outlineLevel="0" collapsed="false">
      <c r="A42" s="0" t="s">
        <v>139</v>
      </c>
      <c r="B42" s="0" t="n">
        <f aca="false">IF(B27&gt;B28,-L10*(1+B28/100)/((B27-B28)/100),-L10*20)/(1+B27/100)^L4</f>
        <v>985.93024694841</v>
      </c>
    </row>
    <row r="43" customFormat="false" ht="15" hidden="false" customHeight="false" outlineLevel="0" collapsed="false">
      <c r="A43" s="0" t="s">
        <v>140</v>
      </c>
      <c r="B43" s="0" t="n">
        <f aca="false">(B37+B41+B42)/Assumptions!$B$3*Assumptions!$B$10</f>
        <v>5.75554831198978</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71289.559445318</v>
      </c>
    </row>
    <row r="47" customFormat="false" ht="15" hidden="false" customHeight="false" outlineLevel="0" collapsed="false">
      <c r="A47" s="0" t="s">
        <v>142</v>
      </c>
      <c r="B47" s="0" t="n">
        <f aca="false">(SUMPRODUCT(C19:L19/(1+B45/100)^C4:L4)+B46/(1+B45/100)^L4+Assumptions!$B$5-Assumptions!$B$4)/Assumptions!$B$3*Assumptions!$B$10</f>
        <v>4.05300134923026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145</v>
      </c>
    </row>
    <row r="3" customFormat="false" ht="15" hidden="false" customHeight="false" outlineLevel="0" collapsed="false">
      <c r="A3" s="2" t="s">
        <v>146</v>
      </c>
      <c r="B3" s="2" t="s">
        <v>147</v>
      </c>
      <c r="C3" s="2" t="s">
        <v>137</v>
      </c>
      <c r="D3" s="2" t="s">
        <v>148</v>
      </c>
      <c r="E3" s="2" t="s">
        <v>140</v>
      </c>
      <c r="F3" s="2" t="s">
        <v>149</v>
      </c>
    </row>
    <row r="4" customFormat="false" ht="15" hidden="false" customHeight="false" outlineLevel="0" collapsed="false">
      <c r="A4" s="0" t="s">
        <v>150</v>
      </c>
      <c r="B4" s="4" t="n">
        <f aca="false">DCF_Bear!$B$38</f>
        <v>1.99626970981977</v>
      </c>
      <c r="C4" s="0" t="n">
        <f aca="false">B4/Assumptions!$B$2-1</f>
        <v>-0.601542972091862</v>
      </c>
      <c r="D4" s="4" t="n">
        <f aca="false">Assumptions!$B$24</f>
        <v>0.25</v>
      </c>
      <c r="E4" s="4" t="n">
        <f aca="false">DCF_Bear!$B$43</f>
        <v>2.16168617783187</v>
      </c>
      <c r="F4" s="4" t="n">
        <f aca="false">DCF_Bear!$B$47</f>
        <v>1.44082617000743</v>
      </c>
    </row>
    <row r="5" customFormat="false" ht="15" hidden="false" customHeight="false" outlineLevel="0" collapsed="false">
      <c r="A5" s="0" t="s">
        <v>151</v>
      </c>
      <c r="B5" s="4" t="n">
        <f aca="false">DCF_Base!$B$38</f>
        <v>3.94856544183128</v>
      </c>
      <c r="C5" s="0" t="n">
        <f aca="false">B5/Assumptions!$B$2-1</f>
        <v>-0.211863185263218</v>
      </c>
      <c r="D5" s="4" t="n">
        <f aca="false">Assumptions!$B$38</f>
        <v>0.5</v>
      </c>
      <c r="E5" s="4" t="n">
        <f aca="false">DCF_Base!$B$43</f>
        <v>4.131684692928</v>
      </c>
      <c r="F5" s="4" t="n">
        <f aca="false">DCF_Base!$B$47</f>
        <v>2.86910730227227</v>
      </c>
    </row>
    <row r="6" customFormat="false" ht="15" hidden="false" customHeight="false" outlineLevel="0" collapsed="false">
      <c r="A6" s="0" t="s">
        <v>152</v>
      </c>
      <c r="B6" s="4" t="n">
        <f aca="false">DCF_Bull!$B$38</f>
        <v>5.55825468792348</v>
      </c>
      <c r="C6" s="0" t="n">
        <f aca="false">B6/Assumptions!$B$2-1</f>
        <v>0.109432073437821</v>
      </c>
      <c r="D6" s="4" t="n">
        <f aca="false">Assumptions!$B$52</f>
        <v>0.25</v>
      </c>
      <c r="E6" s="4" t="n">
        <f aca="false">DCF_Bull!$B$43</f>
        <v>5.75554831198978</v>
      </c>
      <c r="F6" s="4" t="n">
        <f aca="false">DCF_Bull!$B$47</f>
        <v>4.05300134923026</v>
      </c>
    </row>
    <row r="8" customFormat="false" ht="15" hidden="false" customHeight="false" outlineLevel="0" collapsed="false">
      <c r="A8" s="0" t="s">
        <v>153</v>
      </c>
      <c r="B8" s="0" t="n">
        <f aca="false">SUMPRODUCT(B4:B6,D4:D6)</f>
        <v>3.86291382035145</v>
      </c>
    </row>
    <row r="9" customFormat="false" ht="15" hidden="false" customHeight="false" outlineLevel="0" collapsed="false">
      <c r="A9" s="0" t="s">
        <v>154</v>
      </c>
      <c r="B9" s="0" t="n">
        <f aca="false">SUMPRODUCT(E4:E6,D4:D6)</f>
        <v>4.04515096891941</v>
      </c>
    </row>
    <row r="10" customFormat="false" ht="15" hidden="false" customHeight="false" outlineLevel="0" collapsed="false">
      <c r="A10" s="0" t="s">
        <v>155</v>
      </c>
      <c r="B10" s="0" t="n">
        <f aca="false">1-Assumptions!$B$2/B8</f>
        <v>-0.29694842623856</v>
      </c>
    </row>
    <row r="11" customFormat="false" ht="15" hidden="false" customHeight="false" outlineLevel="0" collapsed="false">
      <c r="A11" s="0" t="s">
        <v>156</v>
      </c>
      <c r="B11" s="0" t="n">
        <f aca="false">IF(ABS(B9-B8)&gt;0.01*ABS(B8),(Assumptions!$B$2-B8)/(B9-B8)*100,"n/a")</f>
        <v>629.446953413438</v>
      </c>
    </row>
    <row r="12" customFormat="false" ht="15" hidden="false" customHeight="false" outlineLevel="0" collapsed="false">
      <c r="A12" s="0" t="s">
        <v>157</v>
      </c>
      <c r="B12" s="0" t="n">
        <f aca="false">SUMPRODUCT(F4:F6,D4:D6)</f>
        <v>2.80801053094556</v>
      </c>
    </row>
    <row r="14" customFormat="false" ht="15" hidden="false" customHeight="false" outlineLevel="0" collapsed="false">
      <c r="A14" s="2" t="s">
        <v>158</v>
      </c>
      <c r="C14" s="0" t="s">
        <v>159</v>
      </c>
    </row>
    <row r="15" customFormat="false" ht="15" hidden="false" customHeight="false" outlineLevel="0" collapsed="false">
      <c r="A15" s="0" t="s">
        <v>160</v>
      </c>
      <c r="B15" s="0" t="n">
        <f aca="false">(SUMPRODUCT(DCF_Base!$C$19:$L$19/(1+$C$15/100)^DCF_Base!$C$4:$L$4)+MAX(0,MIN(IF($C$15&gt;DCF_Base!$B$28,DCF_Base!$L$19*(1+DCF_Base!$B$28/100)/(($C$15-DCF_Base!$B$28)/100),DCF_Base!$L$19*DCF_Base!$B$29),DCF_Base!$L$19*DCF_Base!$B$29))/(1+$C$15/100)^DCF_Base!$L$4+Assumptions!$B$5-Assumptions!$B$4)/Assumptions!$B$3*Assumptions!$B$10</f>
        <v>4.92393496416211</v>
      </c>
      <c r="C15" s="3" t="n">
        <v>9</v>
      </c>
    </row>
    <row r="16" customFormat="false" ht="15" hidden="false" customHeight="false" outlineLevel="0" collapsed="false">
      <c r="A16" s="0" t="s">
        <v>161</v>
      </c>
      <c r="B16" s="0" t="n">
        <f aca="false">(SUMPRODUCT(DCF_Base!$C$19:$L$19/(1+$C$16/100)^DCF_Base!$C$4:$L$4)+MAX(0,MIN(IF($C$16&gt;DCF_Base!$B$28,DCF_Base!$L$19*(1+DCF_Base!$B$28/100)/(($C$16-DCF_Base!$B$28)/100),DCF_Base!$L$19*DCF_Base!$B$29),DCF_Base!$L$19*DCF_Base!$B$29))/(1+$C$16/100)^DCF_Base!$L$4+Assumptions!$B$5-Assumptions!$B$4)/Assumptions!$B$3*Assumptions!$B$10</f>
        <v>4.56949394456429</v>
      </c>
      <c r="C16" s="3" t="n">
        <v>10</v>
      </c>
    </row>
    <row r="17" customFormat="false" ht="15" hidden="false" customHeight="false" outlineLevel="0" collapsed="false">
      <c r="A17" s="0" t="s">
        <v>162</v>
      </c>
      <c r="B17" s="0" t="n">
        <f aca="false">(SUMPRODUCT(DCF_Base!$C$19:$L$19/(1+$C$17/100)^DCF_Base!$C$4:$L$4)+MAX(0,MIN(IF($C$17&gt;DCF_Base!$B$28,DCF_Base!$L$19*(1+DCF_Base!$B$28/100)/(($C$17-DCF_Base!$B$28)/100),DCF_Base!$L$19*DCF_Base!$B$29),DCF_Base!$L$19*DCF_Base!$B$29))/(1+$C$17/100)^DCF_Base!$L$4+Assumptions!$B$5-Assumptions!$B$4)/Assumptions!$B$3*Assumptions!$B$10</f>
        <v>4.24535295322975</v>
      </c>
      <c r="C17" s="3" t="n">
        <v>11</v>
      </c>
    </row>
    <row r="18" customFormat="false" ht="15" hidden="false" customHeight="false" outlineLevel="0" collapsed="false">
      <c r="A18" s="0" t="s">
        <v>163</v>
      </c>
      <c r="B18" s="0" t="n">
        <f aca="false">(SUMPRODUCT(DCF_Base!$C$19:$L$19/(1+$C$18/100)^DCF_Base!$C$4:$L$4)+MAX(0,MIN(IF($C$18&gt;DCF_Base!$B$28,DCF_Base!$L$19*(1+DCF_Base!$B$28/100)/(($C$18-DCF_Base!$B$28)/100),DCF_Base!$L$19*DCF_Base!$B$29),DCF_Base!$L$19*DCF_Base!$B$29))/(1+$C$18/100)^DCF_Base!$L$4+Assumptions!$B$5-Assumptions!$B$4)/Assumptions!$B$3*Assumptions!$B$10</f>
        <v>3.94856544183128</v>
      </c>
      <c r="C18" s="3" t="n">
        <v>12</v>
      </c>
    </row>
    <row r="19" customFormat="false" ht="15" hidden="false" customHeight="false" outlineLevel="0" collapsed="false">
      <c r="A19" s="0" t="s">
        <v>164</v>
      </c>
      <c r="B19" s="0" t="n">
        <f aca="false">(SUMPRODUCT(DCF_Base!$C$19:$L$19/(1+$C$19/100)^DCF_Base!$C$4:$L$4)+MAX(0,MIN(IF($C$19&gt;DCF_Base!$B$28,DCF_Base!$L$19*(1+DCF_Base!$B$28/100)/(($C$19-DCF_Base!$B$28)/100),DCF_Base!$L$19*DCF_Base!$B$29),DCF_Base!$L$19*DCF_Base!$B$29))/(1+$C$19/100)^DCF_Base!$L$4+Assumptions!$B$5-Assumptions!$B$4)/Assumptions!$B$3*Assumptions!$B$10</f>
        <v>2.86910730227227</v>
      </c>
      <c r="C19" s="3" t="n">
        <v>15</v>
      </c>
    </row>
    <row r="21" customFormat="false" ht="15" hidden="false" customHeight="false" outlineLevel="0" collapsed="false">
      <c r="A21" s="2" t="s">
        <v>165</v>
      </c>
    </row>
    <row r="22" customFormat="false" ht="15" hidden="false" customHeight="false" outlineLevel="0" collapsed="false">
      <c r="B22" s="3" t="n">
        <v>3</v>
      </c>
      <c r="C22" s="3" t="n">
        <v>3.5</v>
      </c>
      <c r="D22" s="3" t="n">
        <v>4</v>
      </c>
      <c r="E22" s="3" t="n">
        <v>4.5</v>
      </c>
      <c r="F22" s="3" t="n">
        <v>5</v>
      </c>
    </row>
    <row r="23" customFormat="false" ht="15" hidden="false" customHeight="false" outlineLevel="0" collapsed="false">
      <c r="A23" s="3" t="n">
        <v>10</v>
      </c>
      <c r="B23" s="0" t="n">
        <f aca="false">(SUMPRODUCT(DCF_Base!$C$19:$L$19/(1+$A$23/100)^DCF_Base!$C$4:$L$4)+MAX(0,MIN(IF($A$23&gt;$B$22,DCF_Base!$L$19*(1+$B$22/100)/(($A$23-$B$22)/100),DCF_Base!$L$19*DCF_Base!$B$29),DCF_Base!$L$19*DCF_Base!$B$29))/(1+$A$23/100)^DCF_Base!$L$4+Assumptions!$B$5-Assumptions!$B$4)/Assumptions!$B$3*Assumptions!$B$10</f>
        <v>4.56949394456429</v>
      </c>
      <c r="C23" s="0" t="n">
        <f aca="false">(SUMPRODUCT(DCF_Base!$C$19:$L$19/(1+$A$23/100)^DCF_Base!$C$4:$L$4)+MAX(0,MIN(IF($A$23&gt;$C$22,DCF_Base!$L$19*(1+$C$22/100)/(($A$23-$C$22)/100),DCF_Base!$L$19*DCF_Base!$B$29),DCF_Base!$L$19*DCF_Base!$B$29))/(1+$A$23/100)^DCF_Base!$L$4+Assumptions!$B$5-Assumptions!$B$4)/Assumptions!$B$3*Assumptions!$B$10</f>
        <v>4.56949394456429</v>
      </c>
      <c r="D23" s="0" t="n">
        <f aca="false">(SUMPRODUCT(DCF_Base!$C$19:$L$19/(1+$A$23/100)^DCF_Base!$C$4:$L$4)+MAX(0,MIN(IF($A$23&gt;$D$22,DCF_Base!$L$19*(1+$D$22/100)/(($A$23-$D$22)/100),DCF_Base!$L$19*DCF_Base!$B$29),DCF_Base!$L$19*DCF_Base!$B$29))/(1+$A$23/100)^DCF_Base!$L$4+Assumptions!$B$5-Assumptions!$B$4)/Assumptions!$B$3*Assumptions!$B$10</f>
        <v>4.56949394456429</v>
      </c>
      <c r="E23" s="0" t="n">
        <f aca="false">(SUMPRODUCT(DCF_Base!$C$19:$L$19/(1+$A$23/100)^DCF_Base!$C$4:$L$4)+MAX(0,MIN(IF($A$23&gt;$E$22,DCF_Base!$L$19*(1+$E$22/100)/(($A$23-$E$22)/100),DCF_Base!$L$19*DCF_Base!$B$29),DCF_Base!$L$19*DCF_Base!$B$29))/(1+$A$23/100)^DCF_Base!$L$4+Assumptions!$B$5-Assumptions!$B$4)/Assumptions!$B$3*Assumptions!$B$10</f>
        <v>4.56949394456429</v>
      </c>
      <c r="F23" s="0" t="n">
        <f aca="false">(SUMPRODUCT(DCF_Base!$C$19:$L$19/(1+$A$23/100)^DCF_Base!$C$4:$L$4)+MAX(0,MIN(IF($A$23&gt;$F$22,DCF_Base!$L$19*(1+$F$22/100)/(($A$23-$F$22)/100),DCF_Base!$L$19*DCF_Base!$B$29),DCF_Base!$L$19*DCF_Base!$B$29))/(1+$A$23/100)^DCF_Base!$L$4+Assumptions!$B$5-Assumptions!$B$4)/Assumptions!$B$3*Assumptions!$B$10</f>
        <v>4.56949394456429</v>
      </c>
    </row>
    <row r="24" customFormat="false" ht="15" hidden="false" customHeight="false" outlineLevel="0" collapsed="false">
      <c r="A24" s="3" t="n">
        <v>11</v>
      </c>
      <c r="B24" s="0" t="n">
        <f aca="false">(SUMPRODUCT(DCF_Base!$C$19:$L$19/(1+$A$24/100)^DCF_Base!$C$4:$L$4)+MAX(0,MIN(IF($A$24&gt;$B$22,DCF_Base!$L$19*(1+$B$22/100)/(($A$24-$B$22)/100),DCF_Base!$L$19*DCF_Base!$B$29),DCF_Base!$L$19*DCF_Base!$B$29))/(1+$A$24/100)^DCF_Base!$L$4+Assumptions!$B$5-Assumptions!$B$4)/Assumptions!$B$3*Assumptions!$B$10</f>
        <v>4.24535295322975</v>
      </c>
      <c r="C24" s="0" t="n">
        <f aca="false">(SUMPRODUCT(DCF_Base!$C$19:$L$19/(1+$A$24/100)^DCF_Base!$C$4:$L$4)+MAX(0,MIN(IF($A$24&gt;$C$22,DCF_Base!$L$19*(1+$C$22/100)/(($A$24-$C$22)/100),DCF_Base!$L$19*DCF_Base!$B$29),DCF_Base!$L$19*DCF_Base!$B$29))/(1+$A$24/100)^DCF_Base!$L$4+Assumptions!$B$5-Assumptions!$B$4)/Assumptions!$B$3*Assumptions!$B$10</f>
        <v>4.24535295322975</v>
      </c>
      <c r="D24" s="0" t="n">
        <f aca="false">(SUMPRODUCT(DCF_Base!$C$19:$L$19/(1+$A$24/100)^DCF_Base!$C$4:$L$4)+MAX(0,MIN(IF($A$24&gt;$D$22,DCF_Base!$L$19*(1+$D$22/100)/(($A$24-$D$22)/100),DCF_Base!$L$19*DCF_Base!$B$29),DCF_Base!$L$19*DCF_Base!$B$29))/(1+$A$24/100)^DCF_Base!$L$4+Assumptions!$B$5-Assumptions!$B$4)/Assumptions!$B$3*Assumptions!$B$10</f>
        <v>4.24535295322975</v>
      </c>
      <c r="E24" s="0" t="n">
        <f aca="false">(SUMPRODUCT(DCF_Base!$C$19:$L$19/(1+$A$24/100)^DCF_Base!$C$4:$L$4)+MAX(0,MIN(IF($A$24&gt;$E$22,DCF_Base!$L$19*(1+$E$22/100)/(($A$24-$E$22)/100),DCF_Base!$L$19*DCF_Base!$B$29),DCF_Base!$L$19*DCF_Base!$B$29))/(1+$A$24/100)^DCF_Base!$L$4+Assumptions!$B$5-Assumptions!$B$4)/Assumptions!$B$3*Assumptions!$B$10</f>
        <v>4.24535295322975</v>
      </c>
      <c r="F24" s="0" t="n">
        <f aca="false">(SUMPRODUCT(DCF_Base!$C$19:$L$19/(1+$A$24/100)^DCF_Base!$C$4:$L$4)+MAX(0,MIN(IF($A$24&gt;$F$22,DCF_Base!$L$19*(1+$F$22/100)/(($A$24-$F$22)/100),DCF_Base!$L$19*DCF_Base!$B$29),DCF_Base!$L$19*DCF_Base!$B$29))/(1+$A$24/100)^DCF_Base!$L$4+Assumptions!$B$5-Assumptions!$B$4)/Assumptions!$B$3*Assumptions!$B$10</f>
        <v>4.24535295322975</v>
      </c>
    </row>
    <row r="25" customFormat="false" ht="15" hidden="false" customHeight="false" outlineLevel="0" collapsed="false">
      <c r="A25" s="3" t="n">
        <v>12</v>
      </c>
      <c r="B25" s="0" t="n">
        <f aca="false">(SUMPRODUCT(DCF_Base!$C$19:$L$19/(1+$A$25/100)^DCF_Base!$C$4:$L$4)+MAX(0,MIN(IF($A$25&gt;$B$22,DCF_Base!$L$19*(1+$B$22/100)/(($A$25-$B$22)/100),DCF_Base!$L$19*DCF_Base!$B$29),DCF_Base!$L$19*DCF_Base!$B$29))/(1+$A$25/100)^DCF_Base!$L$4+Assumptions!$B$5-Assumptions!$B$4)/Assumptions!$B$3*Assumptions!$B$10</f>
        <v>3.85524589834401</v>
      </c>
      <c r="C25" s="0" t="n">
        <f aca="false">(SUMPRODUCT(DCF_Base!$C$19:$L$19/(1+$A$25/100)^DCF_Base!$C$4:$L$4)+MAX(0,MIN(IF($A$25&gt;$C$22,DCF_Base!$L$19*(1+$C$22/100)/(($A$25-$C$22)/100),DCF_Base!$L$19*DCF_Base!$B$29),DCF_Base!$L$19*DCF_Base!$B$29))/(1+$A$25/100)^DCF_Base!$L$4+Assumptions!$B$5-Assumptions!$B$4)/Assumptions!$B$3*Assumptions!$B$10</f>
        <v>3.94856544183128</v>
      </c>
      <c r="D25" s="0" t="n">
        <f aca="false">(SUMPRODUCT(DCF_Base!$C$19:$L$19/(1+$A$25/100)^DCF_Base!$C$4:$L$4)+MAX(0,MIN(IF($A$25&gt;$D$22,DCF_Base!$L$19*(1+$D$22/100)/(($A$25-$D$22)/100),DCF_Base!$L$19*DCF_Base!$B$29),DCF_Base!$L$19*DCF_Base!$B$29))/(1+$A$25/100)^DCF_Base!$L$4+Assumptions!$B$5-Assumptions!$B$4)/Assumptions!$B$3*Assumptions!$B$10</f>
        <v>3.94856544183128</v>
      </c>
      <c r="E25" s="0" t="n">
        <f aca="false">(SUMPRODUCT(DCF_Base!$C$19:$L$19/(1+$A$25/100)^DCF_Base!$C$4:$L$4)+MAX(0,MIN(IF($A$25&gt;$E$22,DCF_Base!$L$19*(1+$E$22/100)/(($A$25-$E$22)/100),DCF_Base!$L$19*DCF_Base!$B$29),DCF_Base!$L$19*DCF_Base!$B$29))/(1+$A$25/100)^DCF_Base!$L$4+Assumptions!$B$5-Assumptions!$B$4)/Assumptions!$B$3*Assumptions!$B$10</f>
        <v>3.94856544183128</v>
      </c>
      <c r="F25" s="0" t="n">
        <f aca="false">(SUMPRODUCT(DCF_Base!$C$19:$L$19/(1+$A$25/100)^DCF_Base!$C$4:$L$4)+MAX(0,MIN(IF($A$25&gt;$F$22,DCF_Base!$L$19*(1+$F$22/100)/(($A$25-$F$22)/100),DCF_Base!$L$19*DCF_Base!$B$29),DCF_Base!$L$19*DCF_Base!$B$29))/(1+$A$25/100)^DCF_Base!$L$4+Assumptions!$B$5-Assumptions!$B$4)/Assumptions!$B$3*Assumptions!$B$10</f>
        <v>3.94856544183128</v>
      </c>
    </row>
    <row r="26" customFormat="false" ht="15" hidden="false" customHeight="false" outlineLevel="0" collapsed="false">
      <c r="A26" s="3" t="n">
        <v>13</v>
      </c>
      <c r="B26" s="0" t="n">
        <f aca="false">(SUMPRODUCT(DCF_Base!$C$19:$L$19/(1+$A$26/100)^DCF_Base!$C$4:$L$4)+MAX(0,MIN(IF($A$26&gt;$B$22,DCF_Base!$L$19*(1+$B$22/100)/(($A$26-$B$22)/100),DCF_Base!$L$19*DCF_Base!$B$29),DCF_Base!$L$19*DCF_Base!$B$29))/(1+$A$26/100)^DCF_Base!$L$4+Assumptions!$B$5-Assumptions!$B$4)/Assumptions!$B$3*Assumptions!$B$10</f>
        <v>3.41522921164327</v>
      </c>
      <c r="C26" s="0" t="n">
        <f aca="false">(SUMPRODUCT(DCF_Base!$C$19:$L$19/(1+$A$26/100)^DCF_Base!$C$4:$L$4)+MAX(0,MIN(IF($A$26&gt;$C$22,DCF_Base!$L$19*(1+$C$22/100)/(($A$26-$C$22)/100),DCF_Base!$L$19*DCF_Base!$B$29),DCF_Base!$L$19*DCF_Base!$B$29))/(1+$A$26/100)^DCF_Base!$L$4+Assumptions!$B$5-Assumptions!$B$4)/Assumptions!$B$3*Assumptions!$B$10</f>
        <v>3.50663332602059</v>
      </c>
      <c r="D26" s="0" t="n">
        <f aca="false">(SUMPRODUCT(DCF_Base!$C$19:$L$19/(1+$A$26/100)^DCF_Base!$C$4:$L$4)+MAX(0,MIN(IF($A$26&gt;$D$22,DCF_Base!$L$19*(1+$D$22/100)/(($A$26-$D$22)/100),DCF_Base!$L$19*DCF_Base!$B$29),DCF_Base!$L$19*DCF_Base!$B$29))/(1+$A$26/100)^DCF_Base!$L$4+Assumptions!$B$5-Assumptions!$B$4)/Assumptions!$B$3*Assumptions!$B$10</f>
        <v>3.6081934531065</v>
      </c>
      <c r="E26" s="0" t="n">
        <f aca="false">(SUMPRODUCT(DCF_Base!$C$19:$L$19/(1+$A$26/100)^DCF_Base!$C$4:$L$4)+MAX(0,MIN(IF($A$26&gt;$E$22,DCF_Base!$L$19*(1+$E$22/100)/(($A$26-$E$22)/100),DCF_Base!$L$19*DCF_Base!$B$29),DCF_Base!$L$19*DCF_Base!$B$29))/(1+$A$26/100)^DCF_Base!$L$4+Assumptions!$B$5-Assumptions!$B$4)/Assumptions!$B$3*Assumptions!$B$10</f>
        <v>3.67649937928818</v>
      </c>
      <c r="F26" s="0" t="n">
        <f aca="false">(SUMPRODUCT(DCF_Base!$C$19:$L$19/(1+$A$26/100)^DCF_Base!$C$4:$L$4)+MAX(0,MIN(IF($A$26&gt;$F$22,DCF_Base!$L$19*(1+$F$22/100)/(($A$26-$F$22)/100),DCF_Base!$L$19*DCF_Base!$B$29),DCF_Base!$L$19*DCF_Base!$B$29))/(1+$A$26/100)^DCF_Base!$L$4+Assumptions!$B$5-Assumptions!$B$4)/Assumptions!$B$3*Assumptions!$B$10</f>
        <v>3.67649937928818</v>
      </c>
    </row>
    <row r="27" customFormat="false" ht="15" hidden="false" customHeight="false" outlineLevel="0" collapsed="false">
      <c r="A27" s="3" t="n">
        <v>14</v>
      </c>
      <c r="B27" s="0" t="n">
        <f aca="false">(SUMPRODUCT(DCF_Base!$C$19:$L$19/(1+$A$27/100)^DCF_Base!$C$4:$L$4)+MAX(0,MIN(IF($A$27&gt;$B$22,DCF_Base!$L$19*(1+$B$22/100)/(($A$27-$B$22)/100),DCF_Base!$L$19*DCF_Base!$B$29),DCF_Base!$L$19*DCF_Base!$B$29))/(1+$A$27/100)^DCF_Base!$L$4+Assumptions!$B$5-Assumptions!$B$4)/Assumptions!$B$3*Assumptions!$B$10</f>
        <v>3.05579396911568</v>
      </c>
      <c r="C27" s="0" t="n">
        <f aca="false">(SUMPRODUCT(DCF_Base!$C$19:$L$19/(1+$A$27/100)^DCF_Base!$C$4:$L$4)+MAX(0,MIN(IF($A$27&gt;$C$22,DCF_Base!$L$19*(1+$C$22/100)/(($A$27-$C$22)/100),DCF_Base!$L$19*DCF_Base!$B$29),DCF_Base!$L$19*DCF_Base!$B$29))/(1+$A$27/100)^DCF_Base!$L$4+Assumptions!$B$5-Assumptions!$B$4)/Assumptions!$B$3*Assumptions!$B$10</f>
        <v>3.12524356059914</v>
      </c>
      <c r="D27" s="0" t="n">
        <f aca="false">(SUMPRODUCT(DCF_Base!$C$19:$L$19/(1+$A$27/100)^DCF_Base!$C$4:$L$4)+MAX(0,MIN(IF($A$27&gt;$D$22,DCF_Base!$L$19*(1+$D$22/100)/(($A$27-$D$22)/100),DCF_Base!$L$19*DCF_Base!$B$29),DCF_Base!$L$19*DCF_Base!$B$29))/(1+$A$27/100)^DCF_Base!$L$4+Assumptions!$B$5-Assumptions!$B$4)/Assumptions!$B$3*Assumptions!$B$10</f>
        <v>3.20163811123094</v>
      </c>
      <c r="E27" s="0" t="n">
        <f aca="false">(SUMPRODUCT(DCF_Base!$C$19:$L$19/(1+$A$27/100)^DCF_Base!$C$4:$L$4)+MAX(0,MIN(IF($A$27&gt;$E$22,DCF_Base!$L$19*(1+$E$22/100)/(($A$27-$E$22)/100),DCF_Base!$L$19*DCF_Base!$B$29),DCF_Base!$L$19*DCF_Base!$B$29))/(1+$A$27/100)^DCF_Base!$L$4+Assumptions!$B$5-Assumptions!$B$4)/Assumptions!$B$3*Assumptions!$B$10</f>
        <v>3.2860741935082</v>
      </c>
      <c r="F27" s="0" t="n">
        <f aca="false">(SUMPRODUCT(DCF_Base!$C$19:$L$19/(1+$A$27/100)^DCF_Base!$C$4:$L$4)+MAX(0,MIN(IF($A$27&gt;$F$22,DCF_Base!$L$19*(1+$F$22/100)/(($A$27-$F$22)/100),DCF_Base!$L$19*DCF_Base!$B$29),DCF_Base!$L$19*DCF_Base!$B$29))/(1+$A$27/100)^DCF_Base!$L$4+Assumptions!$B$5-Assumptions!$B$4)/Assumptions!$B$3*Assumptions!$B$10</f>
        <v>3.37989206270515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2026-10-03T22:12:46Z</dcterms:created>
  <dc:creator>openpyxl</dc:creator>
  <dc:description/>
  <dc:language>en-NZ</dc:language>
  <cp:lastModifiedBy/>
  <dcterms:modified xsi:type="dcterms:W3CDTF">2026-10-03T22:12:46Z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