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<sst xmlns="http://schemas.openxmlformats.org/spreadsheetml/2006/main" count="356" uniqueCount="166">
  <si>
    <t xml:space="preserve">Ticker</t>
  </si>
  <si>
    <t xml:space="preserve">1876.HK</t>
  </si>
  <si>
    <t xml:space="preserve">Company</t>
  </si>
  <si>
    <t xml:space="preserve">Budweiser Brewing Company APAC Limited</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</si>
  <si>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</si>
  <si>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</si>
  <si>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</si>
  <si>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</si>
  <si>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</si>
  <si>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</si>
  <si>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</si>
  <si>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</si>
  <si>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</si>
  <si>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</si>
  <si>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</si>
  <si>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</si>
  <si>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</si>
  <si>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</si>
  <si>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</si>
  <si>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</si>
  <si>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</si>
  <si>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</si>
  <si>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2026-10-16T21:29:10Z</t>
  </si>
  <si>
    <t xml:space="preserve">Drivers file</t>
  </si>
  <si>
    <t xml:space="preserve">1876.HK_Drivers.json</t>
  </si>
  <si>
    <t xml:space="preserve">Convention</t>
  </si>
  <si>
    <t xml:space="preserve">Percents stored as percents; formulas divide by 100. Blue = input, green = link, black = formula.</t>
  </si>
  <si>
    <t xml:space="preserve">Methodology</t>
  </si>
  <si>
    <t xml:space="preserve">summary: Owner-FCF DCF in USD at a 9% USD cost of equity, converted to HKD at the peg. The base case deliberately anchors on FY2025-26 economics, not the FY2018-21 peak: China is the largest profit pool and has declined for three years, so margin recovery is capped at the FY2025 level and growth is driven by India and Korea. The US$2.4bn net cash (post the US$749m 1H2026 dividend) is added at face value and its interest income stripped from the flows.
key_risks_to_valuation: China on-premise decline proves structural and deeper than the bear path (on-premise reportedly down &gt;30%); Capex-below-depreciation harvest ends sooner, or China brewery restructuring needs cash restructuring charges; AB InBev (~87-88%) controls capital allocation; related-party cash pooling and a possible low-premium take-private are minority-holder risks; Cash tax rate higher than 35% if China dividend withholding rises with repatriation; Terminal value is ~48-55% of EV across scenarios; year-1 base owner FCF (US$758m) sits above FY2025 actual (~US$480m after leases, depressed by a ~US$170m working-capital drain) and near the FY2023-25 average -- a repeat of FY2025 cash conversion would cut value materially</t>
  </si>
  <si>
    <t xml:space="preserve">Data sources</t>
  </si>
  <si>
    <t xml:space="preserve">price: Yahoo Finance chart API at inputs.price_as_of; 52-week range 5.555-8.48 HKD
fx: Yahoo Finance HKD=X chart API, 2026-10-16
financials: 1876.HK_Metrics.csv (core_metrics FY2018-FY2025, H1 FY2023-H1 FY2026, US$m); 1H2026 Interim Report (balance sheet, cash net of debt reconciliation, note 14 borrowings, diluted EPS note); FY2025 Annual Report (SBC, interest income, NCI, tax)
qualitative: 1876.HK_Analysis.json (2026-10-17)</t>
  </si>
  <si>
    <t xml:space="preserve">Scenario narrative: bear</t>
  </si>
  <si>
    <t xml:space="preserve">The China downturn is structural, not cyclical: on-premise (down &gt;30% in places) does not return, mix shifts permanently to lower-margin in-home, and Bud APAC keeps losing share to Snow/Tsingtao mass-premium. Three more years of revenue decline and margin erosion to ~23% pre-SBC before low growth resumes.</t>
  </si>
  <si>
    <t xml:space="preserve">Scenario narrative: base</t>
  </si>
  <si>
    <t xml:space="preserve">China stabilises at a structurally lower level -- no return to pre-2023 on-premise volumes or 30%+ margins -- while India premiumisation and Korea outperformance deliver low-single-digit group growth in USD. Margins recover only to the FY2025 level. Capex rises back toward depreciation as the China capacity harvest ends.</t>
  </si>
  <si>
    <t xml:space="preserve">Scenario narrative: bull</t>
  </si>
  <si>
    <t xml:space="preserve">The new CEO's channel and portfolio reset (O2O/instant retail, Magnum, Super Premium, Nutrl RTD) halts China share loss by 2027 and consumption recovers; India becomes a material second engine. Operating leverage on the depressed base lifts margin to ~29.5% pre-SBC and growth to ~5% for several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</si>
  <si>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</si>
  <si>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</si>
  <si>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</si>
  <si>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</si>
  <si>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</si>
  <si>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</si>
  <si>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</si>
  <si>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</si>
  <si>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</si>
  <si>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</si>
  <si>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</si>
  <si>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</si>
  <si>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</si>
  <si>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</si>
  <si>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</si>
  <si>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</si>
  <si>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</si>
  <si>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</si>
  <si>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</si>
  <si>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</si>
  <si>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</si>
  <si>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</si>
  <si>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</si>
  <si>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</si>
  <si>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</si>
  <si>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</si>
  <si>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</si>
  <si>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CashGeneratedFromOperations</t>
  </si>
  <si>
    <t xml:space="preserve">NetIncomeInclNCI</t>
  </si>
  <si>
    <t xml:space="preserve">SalesVolumeKL</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</si>
  <si>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</si>
  <si>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</si>
  <si>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</si>
  <si>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</si>
  <si>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</si>
  <si>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</si>
  <si>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</si>
  <si>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</si>
  <si>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</si>
  <si>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</si>
  <si>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</si>
  <si>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</si>
  <si>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</si>
  <si>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</si>
  <si>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</si>
  <si>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</si>
  <si>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</si>
  <si>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</si>
  <si>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</si>
  <si>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</si>
  <si>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</si>
  <si>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</si>
  <si>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</si>
  <si>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</si>
  <si>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</si>
  <si>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</si>
  <si>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</si>
  <si>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</si>
  <si>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</si>
  <si>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</si>
  <si>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</si>
  <si>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</si>
  <si>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</si>
  <si>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</si>
  <si>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</si>
  <si>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</si>
  <si>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</si>
  <si>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</si>
  <si>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</si>
  <si>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</si>
  <si>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</si>
  <si>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</si>
  <si>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</si>
  <si>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</si>
  <si>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</si>
  <si>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1876.HK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</si>
  <si>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</si>
  <si>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</si>
  <si>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</si>
  <si>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</si>
  <si>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</si>
  <si>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</si>
  <si>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</si>
  <si>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</si>
  <si>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</si>
  <si>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</si>
  <si>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</si>
  <si>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</si>
  <si>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</si>
  <si>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</si>
  <si>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</si>
  <si>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</si>
  <si>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</si>
  <si>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</si>
  <si>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</si>
  <si>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</si>
  <si>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</si>
  <si>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</si>
  <si>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</si>
  <si>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</si>
  <si>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</si>
  <si>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</si>
  <si>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</si>
  <si>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</si>
  <si>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</si>
  <si>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</si>
  <si>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1876.HK owner-FCF component DCF: base case (millions, USD)</t>
  </si>
  <si>
    <t xml:space="preserve">1876.HK owner-FCF component DCF: bull case (millions, USD)</t>
  </si>
  <si>
    <t xml:space="preserve">1876.HK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</si>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</sst>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6.08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6740</v>
      </c>
      <c r="C2" s="0" t="n">
        <v>3240</v>
      </c>
      <c r="D2" s="0" t="n">
        <v>3500</v>
      </c>
      <c r="E2" s="0" t="n">
        <v>51.9</v>
      </c>
      <c r="F2" s="0" t="n">
        <v>1256</v>
      </c>
      <c r="G2" s="0" t="n">
        <v>18.6</v>
      </c>
      <c r="H2" s="0" t="n">
        <v>1952</v>
      </c>
      <c r="I2" s="0" t="n">
        <v>958</v>
      </c>
      <c r="J2" s="0" t="n">
        <v>14.2</v>
      </c>
      <c r="K2" s="0" t="n">
        <v>0.0829</v>
      </c>
      <c r="L2" s="0" t="n">
        <v>1684</v>
      </c>
      <c r="M2" s="0" t="n">
        <v>599</v>
      </c>
      <c r="N2" s="0" t="n">
        <v>1085</v>
      </c>
      <c r="O2" s="0" t="n">
        <v>10153</v>
      </c>
      <c r="P2" s="0" t="n">
        <v>15862</v>
      </c>
      <c r="Q2" s="0" t="n">
        <v>5690</v>
      </c>
      <c r="R2" s="0" t="n">
        <v>615</v>
      </c>
      <c r="S2" s="0" t="n">
        <v>1667</v>
      </c>
      <c r="T2" s="0" t="n">
        <v>11550.9</v>
      </c>
      <c r="U2" s="0" t="n">
        <v>14</v>
      </c>
      <c r="W2" s="0" t="n">
        <v>1994</v>
      </c>
      <c r="Z2" s="0" t="n">
        <v>1298</v>
      </c>
      <c r="AA2" s="0" t="s">
        <v>18</v>
      </c>
      <c r="AB2" s="0" t="s">
        <v>14</v>
      </c>
      <c r="AC2" s="0" t="n">
        <v>2023</v>
      </c>
      <c r="AD2" s="0" t="n">
        <v>959</v>
      </c>
      <c r="AE2" s="0" t="n">
        <v>9.6245</v>
      </c>
    </row>
    <row r="3" customFormat="false" ht="15" hidden="false" customHeight="false" outlineLevel="0" collapsed="false">
      <c r="A3" s="0" t="s">
        <v>68</v>
      </c>
      <c r="B3" s="0" t="n">
        <v>6546</v>
      </c>
      <c r="C3" s="0" t="n">
        <v>3058</v>
      </c>
      <c r="D3" s="0" t="n">
        <v>3488</v>
      </c>
      <c r="E3" s="0" t="n">
        <v>53.3</v>
      </c>
      <c r="F3" s="0" t="n">
        <v>1368</v>
      </c>
      <c r="G3" s="0" t="n">
        <v>20.9</v>
      </c>
      <c r="H3" s="0" t="n">
        <v>2023</v>
      </c>
      <c r="I3" s="0" t="n">
        <v>898</v>
      </c>
      <c r="J3" s="0" t="n">
        <v>13.7</v>
      </c>
      <c r="K3" s="0" t="n">
        <v>0.075</v>
      </c>
      <c r="L3" s="0" t="n">
        <v>1379</v>
      </c>
      <c r="M3" s="0" t="n">
        <v>611</v>
      </c>
      <c r="N3" s="0" t="n">
        <v>768</v>
      </c>
      <c r="O3" s="0" t="n">
        <v>9836</v>
      </c>
      <c r="P3" s="0" t="n">
        <v>15308</v>
      </c>
      <c r="Q3" s="0" t="n">
        <v>5424</v>
      </c>
      <c r="R3" s="0" t="n">
        <v>313</v>
      </c>
      <c r="S3" s="0" t="n">
        <v>952</v>
      </c>
      <c r="T3" s="0" t="n">
        <v>11971.1</v>
      </c>
      <c r="U3" s="0" t="n">
        <v>30</v>
      </c>
      <c r="W3" s="0" t="n">
        <v>2121</v>
      </c>
      <c r="Z3" s="0" t="n">
        <v>1466</v>
      </c>
      <c r="AA3" s="0" t="s">
        <v>18</v>
      </c>
      <c r="AB3" s="0" t="s">
        <v>14</v>
      </c>
      <c r="AC3" s="0" t="n">
        <v>1794</v>
      </c>
      <c r="AD3" s="0" t="n">
        <v>908</v>
      </c>
      <c r="AE3" s="0" t="n">
        <v>9.3168</v>
      </c>
    </row>
    <row r="4" customFormat="false" ht="15" hidden="false" customHeight="false" outlineLevel="0" collapsed="false">
      <c r="A4" s="0" t="s">
        <v>69</v>
      </c>
      <c r="B4" s="0" t="n">
        <v>5588</v>
      </c>
      <c r="C4" s="0" t="n">
        <v>2681</v>
      </c>
      <c r="D4" s="0" t="n">
        <v>2907</v>
      </c>
      <c r="E4" s="0" t="n">
        <v>52</v>
      </c>
      <c r="F4" s="0" t="n">
        <v>909</v>
      </c>
      <c r="G4" s="0" t="n">
        <v>16.3</v>
      </c>
      <c r="H4" s="0" t="n">
        <v>1556</v>
      </c>
      <c r="I4" s="0" t="n">
        <v>514</v>
      </c>
      <c r="J4" s="0" t="n">
        <v>9.2</v>
      </c>
      <c r="K4" s="0" t="n">
        <v>0.0389</v>
      </c>
      <c r="L4" s="0" t="n">
        <v>1301</v>
      </c>
      <c r="M4" s="0" t="n">
        <v>508</v>
      </c>
      <c r="N4" s="0" t="n">
        <v>793</v>
      </c>
      <c r="O4" s="0" t="n">
        <v>10685</v>
      </c>
      <c r="P4" s="0" t="n">
        <v>16189</v>
      </c>
      <c r="Q4" s="0" t="n">
        <v>5446</v>
      </c>
      <c r="R4" s="0" t="n">
        <v>235</v>
      </c>
      <c r="S4" s="0" t="n">
        <v>1281</v>
      </c>
      <c r="T4" s="0" t="n">
        <v>13220.5</v>
      </c>
      <c r="U4" s="0" t="n">
        <v>50</v>
      </c>
      <c r="W4" s="0" t="n">
        <v>1584</v>
      </c>
      <c r="Z4" s="0" t="n">
        <v>937</v>
      </c>
      <c r="AA4" s="0" t="s">
        <v>18</v>
      </c>
      <c r="AB4" s="0" t="s">
        <v>14</v>
      </c>
      <c r="AC4" s="0" t="n">
        <v>1644</v>
      </c>
      <c r="AD4" s="0" t="n">
        <v>537</v>
      </c>
    </row>
    <row r="5" customFormat="false" ht="15" hidden="false" customHeight="false" outlineLevel="0" collapsed="false">
      <c r="A5" s="0" t="s">
        <v>70</v>
      </c>
      <c r="B5" s="0" t="n">
        <v>6788</v>
      </c>
      <c r="C5" s="0" t="n">
        <v>3131</v>
      </c>
      <c r="D5" s="0" t="n">
        <v>3657</v>
      </c>
      <c r="E5" s="0" t="n">
        <v>53.9</v>
      </c>
      <c r="F5" s="0" t="n">
        <v>1387</v>
      </c>
      <c r="G5" s="0" t="n">
        <v>20.4</v>
      </c>
      <c r="H5" s="0" t="n">
        <v>2099</v>
      </c>
      <c r="I5" s="0" t="n">
        <v>950</v>
      </c>
      <c r="J5" s="0" t="n">
        <v>14</v>
      </c>
      <c r="K5" s="0" t="n">
        <v>0.0719</v>
      </c>
      <c r="L5" s="0" t="n">
        <v>1903</v>
      </c>
      <c r="M5" s="0" t="n">
        <v>606</v>
      </c>
      <c r="N5" s="0" t="n">
        <v>1297</v>
      </c>
      <c r="O5" s="0" t="n">
        <v>11013</v>
      </c>
      <c r="P5" s="0" t="n">
        <v>16625</v>
      </c>
      <c r="Q5" s="0" t="n">
        <v>5542</v>
      </c>
      <c r="R5" s="0" t="n">
        <v>203</v>
      </c>
      <c r="S5" s="0" t="n">
        <v>2007</v>
      </c>
      <c r="T5" s="0" t="n">
        <v>13220.5</v>
      </c>
      <c r="U5" s="0" t="n">
        <v>45</v>
      </c>
      <c r="W5" s="0" t="n">
        <v>2139</v>
      </c>
      <c r="Z5" s="0" t="n">
        <v>1427</v>
      </c>
      <c r="AA5" s="0" t="s">
        <v>18</v>
      </c>
      <c r="AB5" s="0" t="s">
        <v>14</v>
      </c>
      <c r="AC5" s="0" t="n">
        <v>2260</v>
      </c>
      <c r="AD5" s="0" t="n">
        <v>981</v>
      </c>
    </row>
    <row r="6" customFormat="false" ht="15" hidden="false" customHeight="false" outlineLevel="0" collapsed="false">
      <c r="A6" s="0" t="s">
        <v>71</v>
      </c>
      <c r="B6" s="0" t="n">
        <v>6478</v>
      </c>
      <c r="C6" s="0" t="n">
        <v>3238</v>
      </c>
      <c r="D6" s="0" t="n">
        <v>3240</v>
      </c>
      <c r="E6" s="0" t="n">
        <v>50</v>
      </c>
      <c r="F6" s="0" t="n">
        <v>1260</v>
      </c>
      <c r="G6" s="0" t="n">
        <v>19.5</v>
      </c>
      <c r="H6" s="0" t="n">
        <v>1931</v>
      </c>
      <c r="I6" s="0" t="n">
        <v>913</v>
      </c>
      <c r="J6" s="0" t="n">
        <v>14.1</v>
      </c>
      <c r="K6" s="0" t="n">
        <v>0.0691</v>
      </c>
      <c r="L6" s="0" t="n">
        <v>1577</v>
      </c>
      <c r="M6" s="0" t="n">
        <v>494</v>
      </c>
      <c r="N6" s="0" t="n">
        <v>1083</v>
      </c>
      <c r="O6" s="0" t="n">
        <v>10764</v>
      </c>
      <c r="P6" s="0" t="n">
        <v>15996</v>
      </c>
      <c r="Q6" s="0" t="n">
        <v>5163</v>
      </c>
      <c r="R6" s="0" t="n">
        <v>224</v>
      </c>
      <c r="S6" s="0" t="n">
        <v>2458</v>
      </c>
      <c r="T6" s="0" t="n">
        <v>13219.9</v>
      </c>
      <c r="U6" s="0" t="n">
        <v>52</v>
      </c>
      <c r="W6" s="0" t="n">
        <v>1932</v>
      </c>
      <c r="Z6" s="0" t="n">
        <v>1261</v>
      </c>
      <c r="AA6" s="0" t="s">
        <v>18</v>
      </c>
      <c r="AB6" s="0" t="s">
        <v>14</v>
      </c>
      <c r="AC6" s="0" t="n">
        <v>1970</v>
      </c>
      <c r="AD6" s="0" t="n">
        <v>949</v>
      </c>
    </row>
    <row r="7" customFormat="false" ht="15" hidden="false" customHeight="false" outlineLevel="0" collapsed="false">
      <c r="A7" s="0" t="s">
        <v>72</v>
      </c>
      <c r="B7" s="0" t="n">
        <v>6856</v>
      </c>
      <c r="C7" s="0" t="n">
        <v>3403</v>
      </c>
      <c r="D7" s="0" t="n">
        <v>3453</v>
      </c>
      <c r="E7" s="0" t="n">
        <v>50.4</v>
      </c>
      <c r="F7" s="0" t="n">
        <v>1289</v>
      </c>
      <c r="G7" s="0" t="n">
        <v>18.8</v>
      </c>
      <c r="H7" s="0" t="n">
        <v>1943</v>
      </c>
      <c r="I7" s="0" t="n">
        <v>852</v>
      </c>
      <c r="J7" s="0" t="n">
        <v>12.4</v>
      </c>
      <c r="K7" s="0" t="n">
        <v>0.0645</v>
      </c>
      <c r="L7" s="0" t="n">
        <v>1811</v>
      </c>
      <c r="M7" s="0" t="n">
        <v>498</v>
      </c>
      <c r="N7" s="0" t="n">
        <v>1313</v>
      </c>
      <c r="O7" s="0" t="n">
        <v>10785</v>
      </c>
      <c r="P7" s="0" t="n">
        <v>16234</v>
      </c>
      <c r="Q7" s="0" t="n">
        <v>5384</v>
      </c>
      <c r="R7" s="0" t="n">
        <v>331</v>
      </c>
      <c r="S7" s="0" t="n">
        <v>3141</v>
      </c>
      <c r="T7" s="0" t="n">
        <v>13207.8</v>
      </c>
      <c r="U7" s="0" t="n">
        <v>61</v>
      </c>
      <c r="W7" s="0" t="n">
        <v>2023</v>
      </c>
      <c r="Z7" s="0" t="n">
        <v>1369</v>
      </c>
      <c r="AA7" s="0" t="s">
        <v>18</v>
      </c>
      <c r="AB7" s="0" t="s">
        <v>14</v>
      </c>
      <c r="AC7" s="0" t="n">
        <v>2212</v>
      </c>
      <c r="AD7" s="0" t="n">
        <v>880</v>
      </c>
    </row>
    <row r="8" customFormat="false" ht="15" hidden="false" customHeight="false" outlineLevel="0" collapsed="false">
      <c r="A8" s="0" t="s">
        <v>73</v>
      </c>
      <c r="B8" s="0" t="n">
        <v>6246</v>
      </c>
      <c r="C8" s="0" t="n">
        <v>3099</v>
      </c>
      <c r="D8" s="0" t="n">
        <v>3147</v>
      </c>
      <c r="E8" s="0" t="n">
        <v>50.4</v>
      </c>
      <c r="F8" s="0" t="n">
        <v>1098</v>
      </c>
      <c r="G8" s="0" t="n">
        <v>17.6</v>
      </c>
      <c r="H8" s="0" t="n">
        <v>1745</v>
      </c>
      <c r="I8" s="0" t="n">
        <v>726</v>
      </c>
      <c r="J8" s="0" t="n">
        <v>11.6</v>
      </c>
      <c r="K8" s="0" t="n">
        <v>0.0551</v>
      </c>
      <c r="L8" s="0" t="n">
        <v>1134</v>
      </c>
      <c r="M8" s="0" t="n">
        <v>379</v>
      </c>
      <c r="N8" s="0" t="n">
        <v>755</v>
      </c>
      <c r="O8" s="0" t="n">
        <v>10184</v>
      </c>
      <c r="P8" s="0" t="n">
        <v>14778</v>
      </c>
      <c r="Q8" s="0" t="n">
        <v>4538</v>
      </c>
      <c r="R8" s="0" t="n">
        <v>204</v>
      </c>
      <c r="S8" s="0" t="n">
        <v>2867</v>
      </c>
      <c r="T8" s="0" t="n">
        <v>13187.2</v>
      </c>
      <c r="U8" s="0" t="n">
        <v>70</v>
      </c>
      <c r="W8" s="0" t="n">
        <v>1807</v>
      </c>
      <c r="Z8" s="0" t="n">
        <v>1160</v>
      </c>
      <c r="AA8" s="0" t="s">
        <v>18</v>
      </c>
      <c r="AB8" s="0" t="s">
        <v>14</v>
      </c>
      <c r="AC8" s="0" t="n">
        <v>1454</v>
      </c>
      <c r="AD8" s="0" t="n">
        <v>750</v>
      </c>
    </row>
    <row r="9" customFormat="false" ht="15" hidden="false" customHeight="false" outlineLevel="0" collapsed="false">
      <c r="A9" s="0" t="s">
        <v>74</v>
      </c>
      <c r="B9" s="0" t="n">
        <v>5764</v>
      </c>
      <c r="C9" s="0" t="n">
        <v>2877</v>
      </c>
      <c r="D9" s="0" t="n">
        <v>2887</v>
      </c>
      <c r="E9" s="0" t="n">
        <v>50.1</v>
      </c>
      <c r="F9" s="0" t="n">
        <v>903</v>
      </c>
      <c r="G9" s="0" t="n">
        <v>15.7</v>
      </c>
      <c r="H9" s="0" t="n">
        <v>1509</v>
      </c>
      <c r="I9" s="0" t="n">
        <v>489</v>
      </c>
      <c r="J9" s="0" t="n">
        <v>8.5</v>
      </c>
      <c r="K9" s="0" t="n">
        <v>0.037</v>
      </c>
      <c r="L9" s="0" t="n">
        <v>951</v>
      </c>
      <c r="M9" s="0" t="n">
        <v>307</v>
      </c>
      <c r="N9" s="0" t="n">
        <v>644</v>
      </c>
      <c r="O9" s="0" t="n">
        <v>10262</v>
      </c>
      <c r="P9" s="0" t="n">
        <v>14773</v>
      </c>
      <c r="Q9" s="0" t="n">
        <v>4445</v>
      </c>
      <c r="R9" s="0" t="n">
        <v>277</v>
      </c>
      <c r="S9" s="0" t="n">
        <v>2828</v>
      </c>
      <c r="T9" s="0" t="n">
        <v>13212.4</v>
      </c>
      <c r="U9" s="0" t="n">
        <v>58</v>
      </c>
      <c r="W9" s="0" t="n">
        <v>1592</v>
      </c>
      <c r="Z9" s="0" t="n">
        <v>986</v>
      </c>
      <c r="AA9" s="0" t="s">
        <v>18</v>
      </c>
      <c r="AB9" s="0" t="s">
        <v>14</v>
      </c>
      <c r="AC9" s="0" t="n">
        <v>1336</v>
      </c>
      <c r="AD9" s="0" t="n">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6.08</v>
      </c>
    </row>
    <row r="3" customFormat="false" ht="15" hidden="false" customHeight="false" outlineLevel="0" collapsed="false">
      <c r="A3" s="0" t="s">
        <v>78</v>
      </c>
      <c r="B3" s="3" t="n">
        <v>13358.1</v>
      </c>
    </row>
    <row r="4" customFormat="false" ht="15" hidden="false" customHeight="false" outlineLevel="0" collapsed="false">
      <c r="A4" s="0" t="s">
        <v>79</v>
      </c>
      <c r="B4" s="3" t="n">
        <v>-2415</v>
      </c>
    </row>
    <row r="5" customFormat="false" ht="15" hidden="false" customHeight="false" outlineLevel="0" collapsed="false">
      <c r="A5" s="0" t="s">
        <v>80</v>
      </c>
      <c r="B5" s="3" t="n">
        <v>-430</v>
      </c>
    </row>
    <row r="6" customFormat="false" ht="15" hidden="false" customHeight="false" outlineLevel="0" collapsed="false">
      <c r="A6" s="0" t="s">
        <v>81</v>
      </c>
      <c r="B6" s="3" t="n">
        <v>15</v>
      </c>
    </row>
    <row r="7" customFormat="false" ht="15" hidden="false" customHeight="false" outlineLevel="0" collapsed="false">
      <c r="A7" s="0" t="s">
        <v>82</v>
      </c>
      <c r="B7" s="3" t="n">
        <v>5764</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7.8479</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-2.5</v>
      </c>
      <c r="D13" s="3" t="n">
        <v>-2</v>
      </c>
      <c r="E13" s="3" t="n">
        <v>-1</v>
      </c>
      <c r="F13" s="3" t="n">
        <v>0</v>
      </c>
      <c r="G13" s="3" t="n">
        <v>1</v>
      </c>
      <c r="H13" s="3" t="n">
        <v>1.5</v>
      </c>
      <c r="I13" s="3" t="n">
        <v>2</v>
      </c>
      <c r="J13" s="3" t="n">
        <v>2</v>
      </c>
      <c r="K13" s="3" t="n">
        <v>2</v>
      </c>
      <c r="L13" s="3" t="n">
        <v>2</v>
      </c>
    </row>
    <row r="14" customFormat="false" ht="15" hidden="false" customHeight="false" outlineLevel="0" collapsed="false">
      <c r="A14" s="0" t="s">
        <v>99</v>
      </c>
      <c r="C14" s="3" t="n">
        <v>24.8</v>
      </c>
      <c r="D14" s="3" t="n">
        <v>24</v>
      </c>
      <c r="E14" s="3" t="n">
        <v>23.5</v>
      </c>
      <c r="F14" s="3" t="n">
        <v>23</v>
      </c>
      <c r="G14" s="3" t="n">
        <v>23</v>
      </c>
      <c r="H14" s="3" t="n">
        <v>23</v>
      </c>
      <c r="I14" s="3" t="n">
        <v>23</v>
      </c>
      <c r="J14" s="3" t="n">
        <v>23</v>
      </c>
      <c r="K14" s="3" t="n">
        <v>23</v>
      </c>
      <c r="L14" s="3" t="n">
        <v>23</v>
      </c>
    </row>
    <row r="15" customFormat="false" ht="15" hidden="false" customHeight="false" outlineLevel="0" collapsed="false">
      <c r="A15" s="0" t="s">
        <v>100</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101</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102</v>
      </c>
      <c r="C17" s="3" t="n">
        <v>9.5</v>
      </c>
      <c r="D17" s="3" t="n">
        <v>9.2</v>
      </c>
      <c r="E17" s="3" t="n">
        <v>8.9</v>
      </c>
      <c r="F17" s="3" t="n">
        <v>8.5</v>
      </c>
      <c r="G17" s="3" t="n">
        <v>8.1</v>
      </c>
      <c r="H17" s="3" t="n">
        <v>7.8</v>
      </c>
      <c r="I17" s="3" t="n">
        <v>7.5</v>
      </c>
      <c r="J17" s="3" t="n">
        <v>7.2</v>
      </c>
      <c r="K17" s="3" t="n">
        <v>7</v>
      </c>
      <c r="L17" s="3" t="n">
        <v>6.9</v>
      </c>
    </row>
    <row r="18" customFormat="false" ht="15" hidden="false" customHeight="false" outlineLevel="0" collapsed="false">
      <c r="A18" s="0" t="s">
        <v>103</v>
      </c>
      <c r="C18" s="3" t="n">
        <v>5</v>
      </c>
      <c r="D18" s="3" t="n">
        <v>5.3</v>
      </c>
      <c r="E18" s="3" t="n">
        <v>5.8</v>
      </c>
      <c r="F18" s="3" t="n">
        <v>6.2</v>
      </c>
      <c r="G18" s="3" t="n">
        <v>6.5</v>
      </c>
      <c r="H18" s="3" t="n">
        <v>6.8</v>
      </c>
      <c r="I18" s="3" t="n">
        <v>7</v>
      </c>
      <c r="J18" s="3" t="n">
        <v>7</v>
      </c>
      <c r="K18" s="3" t="n">
        <v>7</v>
      </c>
      <c r="L18" s="3" t="n">
        <v>7</v>
      </c>
    </row>
    <row r="19" customFormat="false" ht="15" hidden="false" customHeight="false" outlineLevel="0" collapsed="false">
      <c r="A19" s="0" t="s">
        <v>104</v>
      </c>
      <c r="C19" s="3" t="n">
        <v>37</v>
      </c>
      <c r="D19" s="3" t="n">
        <v>37</v>
      </c>
      <c r="E19" s="3" t="n">
        <v>36</v>
      </c>
      <c r="F19" s="3" t="n">
        <v>36</v>
      </c>
      <c r="G19" s="3" t="n">
        <v>36</v>
      </c>
      <c r="H19" s="3" t="n">
        <v>36</v>
      </c>
      <c r="I19" s="3" t="n">
        <v>36</v>
      </c>
      <c r="J19" s="3" t="n">
        <v>36</v>
      </c>
      <c r="K19" s="3" t="n">
        <v>36</v>
      </c>
      <c r="L19" s="3" t="n">
        <v>36</v>
      </c>
    </row>
    <row r="20" customFormat="false" ht="15" hidden="false" customHeight="false" outlineLevel="0" collapsed="false">
      <c r="A20" s="0" t="s">
        <v>105</v>
      </c>
      <c r="B20" s="3" t="n">
        <v>9</v>
      </c>
    </row>
    <row r="21" customFormat="false" ht="15" hidden="false" customHeight="false" outlineLevel="0" collapsed="false">
      <c r="A21" s="0" t="s">
        <v>106</v>
      </c>
      <c r="B21" s="3" t="n">
        <v>2</v>
      </c>
    </row>
    <row r="22" customFormat="false" ht="15" hidden="false" customHeight="false" outlineLevel="0" collapsed="false">
      <c r="A22" s="0" t="s">
        <v>107</v>
      </c>
      <c r="B22" s="3" t="n">
        <v>16</v>
      </c>
    </row>
    <row r="23" customFormat="false" ht="15" hidden="false" customHeight="false" outlineLevel="0" collapsed="false">
      <c r="A23" s="0" t="s">
        <v>108</v>
      </c>
      <c r="B23" s="3" t="n">
        <v>25</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0</v>
      </c>
      <c r="D27" s="3" t="n">
        <v>1</v>
      </c>
      <c r="E27" s="3" t="n">
        <v>2</v>
      </c>
      <c r="F27" s="3" t="n">
        <v>2.5</v>
      </c>
      <c r="G27" s="3" t="n">
        <v>3</v>
      </c>
      <c r="H27" s="3" t="n">
        <v>3</v>
      </c>
      <c r="I27" s="3" t="n">
        <v>3</v>
      </c>
      <c r="J27" s="3" t="n">
        <v>3</v>
      </c>
      <c r="K27" s="3" t="n">
        <v>2.5</v>
      </c>
      <c r="L27" s="3" t="n">
        <v>2.5</v>
      </c>
    </row>
    <row r="28" customFormat="false" ht="15" hidden="false" customHeight="false" outlineLevel="0" collapsed="false">
      <c r="A28" s="0" t="s">
        <v>99</v>
      </c>
      <c r="C28" s="3" t="n">
        <v>25.3</v>
      </c>
      <c r="D28" s="3" t="n">
        <v>25.5</v>
      </c>
      <c r="E28" s="3" t="n">
        <v>26</v>
      </c>
      <c r="F28" s="3" t="n">
        <v>26.5</v>
      </c>
      <c r="G28" s="3" t="n">
        <v>27</v>
      </c>
      <c r="H28" s="3" t="n">
        <v>27</v>
      </c>
      <c r="I28" s="3" t="n">
        <v>27</v>
      </c>
      <c r="J28" s="3" t="n">
        <v>27</v>
      </c>
      <c r="K28" s="3" t="n">
        <v>27</v>
      </c>
      <c r="L28" s="3" t="n">
        <v>27</v>
      </c>
    </row>
    <row r="29" customFormat="false" ht="15" hidden="false" customHeight="false" outlineLevel="0" collapsed="false">
      <c r="A29" s="0" t="s">
        <v>100</v>
      </c>
      <c r="C29" s="3" t="n">
        <v>0.9</v>
      </c>
      <c r="D29" s="3" t="n">
        <v>0.9</v>
      </c>
      <c r="E29" s="3" t="n">
        <v>0.9</v>
      </c>
      <c r="F29" s="3" t="n">
        <v>0.9</v>
      </c>
      <c r="G29" s="3" t="n">
        <v>0.9</v>
      </c>
      <c r="H29" s="3" t="n">
        <v>0.9</v>
      </c>
      <c r="I29" s="3" t="n">
        <v>0.9</v>
      </c>
      <c r="J29" s="3" t="n">
        <v>0.9</v>
      </c>
      <c r="K29" s="3" t="n">
        <v>0.9</v>
      </c>
      <c r="L29" s="3" t="n">
        <v>0.9</v>
      </c>
    </row>
    <row r="30" customFormat="false" ht="15" hidden="false" customHeight="false" outlineLevel="0" collapsed="false">
      <c r="A30" s="0" t="s">
        <v>101</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102</v>
      </c>
      <c r="C31" s="3" t="n">
        <v>9.4</v>
      </c>
      <c r="D31" s="3" t="n">
        <v>9</v>
      </c>
      <c r="E31" s="3" t="n">
        <v>8.6</v>
      </c>
      <c r="F31" s="3" t="n">
        <v>8.2</v>
      </c>
      <c r="G31" s="3" t="n">
        <v>7.9</v>
      </c>
      <c r="H31" s="3" t="n">
        <v>7.6</v>
      </c>
      <c r="I31" s="3" t="n">
        <v>7.3</v>
      </c>
      <c r="J31" s="3" t="n">
        <v>7</v>
      </c>
      <c r="K31" s="3" t="n">
        <v>6.9</v>
      </c>
      <c r="L31" s="3" t="n">
        <v>6.8</v>
      </c>
    </row>
    <row r="32" customFormat="false" ht="15" hidden="false" customHeight="false" outlineLevel="0" collapsed="false">
      <c r="A32" s="0" t="s">
        <v>103</v>
      </c>
      <c r="C32" s="3" t="n">
        <v>5.2</v>
      </c>
      <c r="D32" s="3" t="n">
        <v>5.5</v>
      </c>
      <c r="E32" s="3" t="n">
        <v>6</v>
      </c>
      <c r="F32" s="3" t="n">
        <v>6.3</v>
      </c>
      <c r="G32" s="3" t="n">
        <v>6.6</v>
      </c>
      <c r="H32" s="3" t="n">
        <v>6.8</v>
      </c>
      <c r="I32" s="3" t="n">
        <v>7</v>
      </c>
      <c r="J32" s="3" t="n">
        <v>7.1</v>
      </c>
      <c r="K32" s="3" t="n">
        <v>7.2</v>
      </c>
      <c r="L32" s="3" t="n">
        <v>7.2</v>
      </c>
    </row>
    <row r="33" customFormat="false" ht="15" hidden="false" customHeight="false" outlineLevel="0" collapsed="false">
      <c r="A33" s="0" t="s">
        <v>104</v>
      </c>
      <c r="C33" s="3" t="n">
        <v>36</v>
      </c>
      <c r="D33" s="3" t="n">
        <v>35</v>
      </c>
      <c r="E33" s="3" t="n">
        <v>35</v>
      </c>
      <c r="F33" s="3" t="n">
        <v>35</v>
      </c>
      <c r="G33" s="3" t="n">
        <v>35</v>
      </c>
      <c r="H33" s="3" t="n">
        <v>35</v>
      </c>
      <c r="I33" s="3" t="n">
        <v>35</v>
      </c>
      <c r="J33" s="3" t="n">
        <v>35</v>
      </c>
      <c r="K33" s="3" t="n">
        <v>35</v>
      </c>
      <c r="L33" s="3" t="n">
        <v>35</v>
      </c>
    </row>
    <row r="34" customFormat="false" ht="15" hidden="false" customHeight="false" outlineLevel="0" collapsed="false">
      <c r="A34" s="0" t="s">
        <v>105</v>
      </c>
      <c r="B34" s="3" t="n">
        <v>9</v>
      </c>
    </row>
    <row r="35" customFormat="false" ht="15" hidden="false" customHeight="false" outlineLevel="0" collapsed="false">
      <c r="A35" s="0" t="s">
        <v>106</v>
      </c>
      <c r="B35" s="3" t="n">
        <v>2.5</v>
      </c>
    </row>
    <row r="36" customFormat="false" ht="15" hidden="false" customHeight="false" outlineLevel="0" collapsed="false">
      <c r="A36" s="0" t="s">
        <v>107</v>
      </c>
      <c r="B36" s="3" t="n">
        <v>16</v>
      </c>
    </row>
    <row r="37" customFormat="false" ht="15" hidden="false" customHeight="false" outlineLevel="0" collapsed="false">
      <c r="A37" s="0" t="s">
        <v>108</v>
      </c>
      <c r="B37" s="3" t="n">
        <v>25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1.5</v>
      </c>
      <c r="D41" s="3" t="n">
        <v>3.5</v>
      </c>
      <c r="E41" s="3" t="n">
        <v>4.5</v>
      </c>
      <c r="F41" s="3" t="n">
        <v>5</v>
      </c>
      <c r="G41" s="3" t="n">
        <v>5</v>
      </c>
      <c r="H41" s="3" t="n">
        <v>4.5</v>
      </c>
      <c r="I41" s="3" t="n">
        <v>4</v>
      </c>
      <c r="J41" s="3" t="n">
        <v>3.5</v>
      </c>
      <c r="K41" s="3" t="n">
        <v>3</v>
      </c>
      <c r="L41" s="3" t="n">
        <v>3</v>
      </c>
    </row>
    <row r="42" customFormat="false" ht="15" hidden="false" customHeight="false" outlineLevel="0" collapsed="false">
      <c r="A42" s="0" t="s">
        <v>99</v>
      </c>
      <c r="C42" s="3" t="n">
        <v>25.8</v>
      </c>
      <c r="D42" s="3" t="n">
        <v>26.8</v>
      </c>
      <c r="E42" s="3" t="n">
        <v>27.8</v>
      </c>
      <c r="F42" s="3" t="n">
        <v>28.6</v>
      </c>
      <c r="G42" s="3" t="n">
        <v>29.2</v>
      </c>
      <c r="H42" s="3" t="n">
        <v>29.5</v>
      </c>
      <c r="I42" s="3" t="n">
        <v>29.5</v>
      </c>
      <c r="J42" s="3" t="n">
        <v>29.5</v>
      </c>
      <c r="K42" s="3" t="n">
        <v>29.5</v>
      </c>
      <c r="L42" s="3" t="n">
        <v>29.5</v>
      </c>
    </row>
    <row r="43" customFormat="false" ht="15" hidden="false" customHeight="false" outlineLevel="0" collapsed="false">
      <c r="A43" s="0" t="s">
        <v>100</v>
      </c>
      <c r="C43" s="3" t="n">
        <v>0.9</v>
      </c>
      <c r="D43" s="3" t="n">
        <v>0.9</v>
      </c>
      <c r="E43" s="3" t="n">
        <v>0.9</v>
      </c>
      <c r="F43" s="3" t="n">
        <v>0.9</v>
      </c>
      <c r="G43" s="3" t="n">
        <v>0.9</v>
      </c>
      <c r="H43" s="3" t="n">
        <v>0.9</v>
      </c>
      <c r="I43" s="3" t="n">
        <v>0.9</v>
      </c>
      <c r="J43" s="3" t="n">
        <v>0.9</v>
      </c>
      <c r="K43" s="3" t="n">
        <v>0.9</v>
      </c>
      <c r="L43" s="3" t="n">
        <v>0.9</v>
      </c>
    </row>
    <row r="44" customFormat="false" ht="15" hidden="false" customHeight="false" outlineLevel="0" collapsed="false">
      <c r="A44" s="0" t="s">
        <v>101</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102</v>
      </c>
      <c r="C45" s="3" t="n">
        <v>9.4</v>
      </c>
      <c r="D45" s="3" t="n">
        <v>9</v>
      </c>
      <c r="E45" s="3" t="n">
        <v>8.6</v>
      </c>
      <c r="F45" s="3" t="n">
        <v>8.2</v>
      </c>
      <c r="G45" s="3" t="n">
        <v>7.9</v>
      </c>
      <c r="H45" s="3" t="n">
        <v>7.6</v>
      </c>
      <c r="I45" s="3" t="n">
        <v>7.3</v>
      </c>
      <c r="J45" s="3" t="n">
        <v>7</v>
      </c>
      <c r="K45" s="3" t="n">
        <v>6.9</v>
      </c>
      <c r="L45" s="3" t="n">
        <v>6.8</v>
      </c>
    </row>
    <row r="46" customFormat="false" ht="15" hidden="false" customHeight="false" outlineLevel="0" collapsed="false">
      <c r="A46" s="0" t="s">
        <v>103</v>
      </c>
      <c r="C46" s="3" t="n">
        <v>5.4</v>
      </c>
      <c r="D46" s="3" t="n">
        <v>5.8</v>
      </c>
      <c r="E46" s="3" t="n">
        <v>6.3</v>
      </c>
      <c r="F46" s="3" t="n">
        <v>6.6</v>
      </c>
      <c r="G46" s="3" t="n">
        <v>6.9</v>
      </c>
      <c r="H46" s="3" t="n">
        <v>7.1</v>
      </c>
      <c r="I46" s="3" t="n">
        <v>7.3</v>
      </c>
      <c r="J46" s="3" t="n">
        <v>7.4</v>
      </c>
      <c r="K46" s="3" t="n">
        <v>7.4</v>
      </c>
      <c r="L46" s="3" t="n">
        <v>7.4</v>
      </c>
    </row>
    <row r="47" customFormat="false" ht="15" hidden="false" customHeight="false" outlineLevel="0" collapsed="false">
      <c r="A47" s="0" t="s">
        <v>104</v>
      </c>
      <c r="C47" s="3" t="n">
        <v>36</v>
      </c>
      <c r="D47" s="3" t="n">
        <v>35</v>
      </c>
      <c r="E47" s="3" t="n">
        <v>34</v>
      </c>
      <c r="F47" s="3" t="n">
        <v>34</v>
      </c>
      <c r="G47" s="3" t="n">
        <v>34</v>
      </c>
      <c r="H47" s="3" t="n">
        <v>34</v>
      </c>
      <c r="I47" s="3" t="n">
        <v>34</v>
      </c>
      <c r="J47" s="3" t="n">
        <v>34</v>
      </c>
      <c r="K47" s="3" t="n">
        <v>34</v>
      </c>
      <c r="L47" s="3" t="n">
        <v>34</v>
      </c>
    </row>
    <row r="48" customFormat="false" ht="15" hidden="false" customHeight="false" outlineLevel="0" collapsed="false">
      <c r="A48" s="0" t="s">
        <v>105</v>
      </c>
      <c r="B48" s="3" t="n">
        <v>9</v>
      </c>
    </row>
    <row r="49" customFormat="false" ht="15" hidden="false" customHeight="false" outlineLevel="0" collapsed="false">
      <c r="A49" s="0" t="s">
        <v>106</v>
      </c>
      <c r="B49" s="3" t="n">
        <v>3</v>
      </c>
    </row>
    <row r="50" customFormat="false" ht="15" hidden="false" customHeight="false" outlineLevel="0" collapsed="false">
      <c r="A50" s="0" t="s">
        <v>107</v>
      </c>
      <c r="B50" s="3" t="n">
        <v>16</v>
      </c>
    </row>
    <row r="51" customFormat="false" ht="15" hidden="false" customHeight="false" outlineLevel="0" collapsed="false">
      <c r="A51" s="0" t="s">
        <v>108</v>
      </c>
      <c r="B51" s="3" t="n">
        <v>25</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-2.5</v>
      </c>
      <c r="D5" s="4" t="n">
        <f aca="false">Assumptions!D13</f>
        <v>-2</v>
      </c>
      <c r="E5" s="4" t="n">
        <f aca="false">Assumptions!E13</f>
        <v>-1</v>
      </c>
      <c r="F5" s="4" t="n">
        <f aca="false">Assumptions!F13</f>
        <v>0</v>
      </c>
      <c r="G5" s="4" t="n">
        <f aca="false">Assumptions!G13</f>
        <v>1</v>
      </c>
      <c r="H5" s="4" t="n">
        <f aca="false">Assumptions!H13</f>
        <v>1.5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5764</v>
      </c>
      <c r="C6" s="0" t="n">
        <f aca="false">B6*(1+C5/100)</f>
        <v>5619.9</v>
      </c>
      <c r="D6" s="0" t="n">
        <f aca="false">C6*(1+D5/100)</f>
        <v>5507.502</v>
      </c>
      <c r="E6" s="0" t="n">
        <f aca="false">D6*(1+E5/100)</f>
        <v>5452.42698</v>
      </c>
      <c r="F6" s="0" t="n">
        <f aca="false">E6*(1+F5/100)</f>
        <v>5452.42698</v>
      </c>
      <c r="G6" s="0" t="n">
        <f aca="false">F6*(1+G5/100)</f>
        <v>5506.9512498</v>
      </c>
      <c r="H6" s="0" t="n">
        <f aca="false">G6*(1+H5/100)</f>
        <v>5589.555518547</v>
      </c>
      <c r="I6" s="0" t="n">
        <f aca="false">H6*(1+I5/100)</f>
        <v>5701.34662891794</v>
      </c>
      <c r="J6" s="0" t="n">
        <f aca="false">I6*(1+J5/100)</f>
        <v>5815.3735614963</v>
      </c>
      <c r="K6" s="0" t="n">
        <f aca="false">J6*(1+K5/100)</f>
        <v>5931.68103272623</v>
      </c>
      <c r="L6" s="0" t="n">
        <f aca="false">K6*(1+L5/100)</f>
        <v>6050.31465338075</v>
      </c>
    </row>
    <row r="7" customFormat="false" ht="15" hidden="false" customHeight="false" outlineLevel="0" collapsed="false">
      <c r="A7" s="0" t="s">
        <v>99</v>
      </c>
      <c r="C7" s="4" t="n">
        <f aca="false">Assumptions!C14</f>
        <v>24.8</v>
      </c>
      <c r="D7" s="4" t="n">
        <f aca="false">Assumptions!D14</f>
        <v>24</v>
      </c>
      <c r="E7" s="4" t="n">
        <f aca="false">Assumptions!E14</f>
        <v>23.5</v>
      </c>
      <c r="F7" s="4" t="n">
        <f aca="false">Assumptions!F14</f>
        <v>23</v>
      </c>
      <c r="G7" s="4" t="n">
        <f aca="false">Assumptions!G14</f>
        <v>23</v>
      </c>
      <c r="H7" s="4" t="n">
        <f aca="false">Assumptions!H14</f>
        <v>23</v>
      </c>
      <c r="I7" s="4" t="n">
        <f aca="false">Assumptions!I14</f>
        <v>23</v>
      </c>
      <c r="J7" s="4" t="n">
        <f aca="false">Assumptions!J14</f>
        <v>23</v>
      </c>
      <c r="K7" s="4" t="n">
        <f aca="false">Assumptions!K14</f>
        <v>23</v>
      </c>
      <c r="L7" s="4" t="n">
        <f aca="false">Assumptions!L14</f>
        <v>23</v>
      </c>
    </row>
    <row r="8" customFormat="false" ht="15" hidden="false" customHeight="false" outlineLevel="0" collapsed="false">
      <c r="A8" s="0" t="s">
        <v>44</v>
      </c>
      <c r="C8" s="0" t="n">
        <f aca="false">C6*C7/100</f>
        <v>1393.7352</v>
      </c>
      <c r="D8" s="0" t="n">
        <f aca="false">D6*D7/100</f>
        <v>1321.80048</v>
      </c>
      <c r="E8" s="0" t="n">
        <f aca="false">E6*E7/100</f>
        <v>1281.3203403</v>
      </c>
      <c r="F8" s="0" t="n">
        <f aca="false">F6*F7/100</f>
        <v>1254.0582054</v>
      </c>
      <c r="G8" s="0" t="n">
        <f aca="false">G6*G7/100</f>
        <v>1266.598787454</v>
      </c>
      <c r="H8" s="0" t="n">
        <f aca="false">H6*H7/100</f>
        <v>1285.59776926581</v>
      </c>
      <c r="I8" s="0" t="n">
        <f aca="false">I6*I7/100</f>
        <v>1311.30972465113</v>
      </c>
      <c r="J8" s="0" t="n">
        <f aca="false">J6*J7/100</f>
        <v>1337.53591914415</v>
      </c>
      <c r="K8" s="0" t="n">
        <f aca="false">K6*K7/100</f>
        <v>1364.28663752703</v>
      </c>
      <c r="L8" s="0" t="n">
        <f aca="false">L6*L7/100</f>
        <v>1391.57237027757</v>
      </c>
    </row>
    <row r="9" customFormat="false" ht="15" hidden="false" customHeight="false" outlineLevel="0" collapsed="false">
      <c r="A9" s="0" t="s">
        <v>100</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115</v>
      </c>
      <c r="C10" s="0" t="n">
        <f aca="false">-C6*C9/100</f>
        <v>-50.5791</v>
      </c>
      <c r="D10" s="0" t="n">
        <f aca="false">-D6*D9/100</f>
        <v>-49.567518</v>
      </c>
      <c r="E10" s="0" t="n">
        <f aca="false">-E6*E9/100</f>
        <v>-49.07184282</v>
      </c>
      <c r="F10" s="0" t="n">
        <f aca="false">-F6*F9/100</f>
        <v>-49.07184282</v>
      </c>
      <c r="G10" s="0" t="n">
        <f aca="false">-G6*G9/100</f>
        <v>-49.5625612482</v>
      </c>
      <c r="H10" s="0" t="n">
        <f aca="false">-H6*H9/100</f>
        <v>-50.305999666923</v>
      </c>
      <c r="I10" s="0" t="n">
        <f aca="false">-I6*I9/100</f>
        <v>-51.3121196602615</v>
      </c>
      <c r="J10" s="0" t="n">
        <f aca="false">-J6*J9/100</f>
        <v>-52.3383620534667</v>
      </c>
      <c r="K10" s="0" t="n">
        <f aca="false">-K6*K9/100</f>
        <v>-53.385129294536</v>
      </c>
      <c r="L10" s="0" t="n">
        <f aca="false">-L6*L9/100</f>
        <v>-54.4528318804268</v>
      </c>
    </row>
    <row r="11" customFormat="false" ht="15" hidden="false" customHeight="false" outlineLevel="0" collapsed="false">
      <c r="A11" s="0" t="s">
        <v>116</v>
      </c>
      <c r="C11" s="0" t="n">
        <f aca="false">C8+C10+C24</f>
        <v>1286.9571</v>
      </c>
      <c r="D11" s="0" t="n">
        <f aca="false">D8+D10+D24</f>
        <v>1217.157942</v>
      </c>
      <c r="E11" s="0" t="n">
        <f aca="false">E8+E10+E24</f>
        <v>1177.72422768</v>
      </c>
      <c r="F11" s="0" t="n">
        <f aca="false">F8+F10+F24</f>
        <v>1150.46209278</v>
      </c>
      <c r="G11" s="0" t="n">
        <f aca="false">G8+G10+G24</f>
        <v>1161.9667137078</v>
      </c>
      <c r="H11" s="0" t="n">
        <f aca="false">H8+H10+H24</f>
        <v>1179.39621441342</v>
      </c>
      <c r="I11" s="0" t="n">
        <f aca="false">I8+I10+I24</f>
        <v>1202.98413870169</v>
      </c>
      <c r="J11" s="0" t="n">
        <f aca="false">J8+J10+J24</f>
        <v>1227.04382147572</v>
      </c>
      <c r="K11" s="0" t="n">
        <f aca="false">K8+K10+K24</f>
        <v>1251.58469790523</v>
      </c>
      <c r="L11" s="0" t="n">
        <f aca="false">L8+L10+L24</f>
        <v>1276.61639186334</v>
      </c>
    </row>
    <row r="12" customFormat="false" ht="15" hidden="false" customHeight="false" outlineLevel="0" collapsed="false">
      <c r="A12" s="0" t="s">
        <v>117</v>
      </c>
      <c r="C12" s="4" t="n">
        <f aca="false">-C6*Assumptions!C17/100</f>
        <v>-533.8905</v>
      </c>
      <c r="D12" s="4" t="n">
        <f aca="false">-D6*Assumptions!D17/100</f>
        <v>-506.690184</v>
      </c>
      <c r="E12" s="4" t="n">
        <f aca="false">-E6*Assumptions!E17/100</f>
        <v>-485.26600122</v>
      </c>
      <c r="F12" s="4" t="n">
        <f aca="false">-F6*Assumptions!F17/100</f>
        <v>-463.4562933</v>
      </c>
      <c r="G12" s="4" t="n">
        <f aca="false">-G6*Assumptions!G17/100</f>
        <v>-446.0630512338</v>
      </c>
      <c r="H12" s="4" t="n">
        <f aca="false">-H6*Assumptions!H17/100</f>
        <v>-435.985330446666</v>
      </c>
      <c r="I12" s="4" t="n">
        <f aca="false">-I6*Assumptions!I17/100</f>
        <v>-427.600997168846</v>
      </c>
      <c r="J12" s="4" t="n">
        <f aca="false">-J6*Assumptions!J17/100</f>
        <v>-418.706896427734</v>
      </c>
      <c r="K12" s="4" t="n">
        <f aca="false">-K6*Assumptions!K17/100</f>
        <v>-415.217672290836</v>
      </c>
      <c r="L12" s="4" t="n">
        <f aca="false">-L6*Assumptions!L17/100</f>
        <v>-417.471711083272</v>
      </c>
    </row>
    <row r="13" customFormat="false" ht="15" hidden="false" customHeight="false" outlineLevel="0" collapsed="false">
      <c r="A13" s="0" t="s">
        <v>118</v>
      </c>
      <c r="C13" s="0" t="n">
        <f aca="false">C11+C12</f>
        <v>753.0666</v>
      </c>
      <c r="D13" s="0" t="n">
        <f aca="false">D11+D12</f>
        <v>710.467758</v>
      </c>
      <c r="E13" s="0" t="n">
        <f aca="false">E11+E12</f>
        <v>692.45822646</v>
      </c>
      <c r="F13" s="0" t="n">
        <f aca="false">F11+F12</f>
        <v>687.00579948</v>
      </c>
      <c r="G13" s="0" t="n">
        <f aca="false">G11+G12</f>
        <v>715.903662474</v>
      </c>
      <c r="H13" s="0" t="n">
        <f aca="false">H11+H12</f>
        <v>743.410883966751</v>
      </c>
      <c r="I13" s="0" t="n">
        <f aca="false">I11+I12</f>
        <v>775.38314153284</v>
      </c>
      <c r="J13" s="0" t="n">
        <f aca="false">J11+J12</f>
        <v>808.336925047986</v>
      </c>
      <c r="K13" s="0" t="n">
        <f aca="false">K11+K12</f>
        <v>836.367025614398</v>
      </c>
      <c r="L13" s="0" t="n">
        <f aca="false">L11+L12</f>
        <v>859.144680780066</v>
      </c>
    </row>
    <row r="14" customFormat="false" ht="15" hidden="false" customHeight="false" outlineLevel="0" collapsed="false">
      <c r="A14" s="0" t="s">
        <v>104</v>
      </c>
      <c r="C14" s="4" t="n">
        <f aca="false">Assumptions!C19</f>
        <v>37</v>
      </c>
      <c r="D14" s="4" t="n">
        <f aca="false">Assumptions!D19</f>
        <v>37</v>
      </c>
      <c r="E14" s="4" t="n">
        <f aca="false">Assumptions!E19</f>
        <v>36</v>
      </c>
      <c r="F14" s="4" t="n">
        <f aca="false">Assumptions!F19</f>
        <v>36</v>
      </c>
      <c r="G14" s="4" t="n">
        <f aca="false">Assumptions!G19</f>
        <v>36</v>
      </c>
      <c r="H14" s="4" t="n">
        <f aca="false">Assumptions!H19</f>
        <v>36</v>
      </c>
      <c r="I14" s="4" t="n">
        <f aca="false">Assumptions!I19</f>
        <v>36</v>
      </c>
      <c r="J14" s="4" t="n">
        <f aca="false">Assumptions!J19</f>
        <v>36</v>
      </c>
      <c r="K14" s="4" t="n">
        <f aca="false">Assumptions!K19</f>
        <v>36</v>
      </c>
      <c r="L14" s="4" t="n">
        <f aca="false">Assumptions!L19</f>
        <v>36</v>
      </c>
    </row>
    <row r="15" customFormat="false" ht="15" hidden="false" customHeight="false" outlineLevel="0" collapsed="false">
      <c r="A15" s="0" t="s">
        <v>119</v>
      </c>
      <c r="C15" s="0" t="n">
        <f aca="false">C13-MAX(0,C13)*C14/100</f>
        <v>474.431958</v>
      </c>
      <c r="D15" s="0" t="n">
        <f aca="false">D13-MAX(0,D13)*D14/100</f>
        <v>447.59468754</v>
      </c>
      <c r="E15" s="0" t="n">
        <f aca="false">E13-MAX(0,E13)*E14/100</f>
        <v>443.1732649344</v>
      </c>
      <c r="F15" s="0" t="n">
        <f aca="false">F13-MAX(0,F13)*F14/100</f>
        <v>439.6837116672</v>
      </c>
      <c r="G15" s="0" t="n">
        <f aca="false">G13-MAX(0,G13)*G14/100</f>
        <v>458.17834398336</v>
      </c>
      <c r="H15" s="0" t="n">
        <f aca="false">H13-MAX(0,H13)*H14/100</f>
        <v>475.782965738721</v>
      </c>
      <c r="I15" s="0" t="n">
        <f aca="false">I13-MAX(0,I13)*I14/100</f>
        <v>496.245210581018</v>
      </c>
      <c r="J15" s="0" t="n">
        <f aca="false">J13-MAX(0,J13)*J14/100</f>
        <v>517.335632030711</v>
      </c>
      <c r="K15" s="0" t="n">
        <f aca="false">K13-MAX(0,K13)*K14/100</f>
        <v>535.274896393215</v>
      </c>
      <c r="L15" s="0" t="n">
        <f aca="false">L13-MAX(0,L13)*L14/100</f>
        <v>549.852595699243</v>
      </c>
    </row>
    <row r="16" customFormat="false" ht="15" hidden="false" customHeight="false" outlineLevel="0" collapsed="false">
      <c r="A16" s="0" t="s">
        <v>120</v>
      </c>
      <c r="C16" s="0" t="n">
        <f aca="false">-C12</f>
        <v>533.8905</v>
      </c>
      <c r="D16" s="0" t="n">
        <f aca="false">-D12</f>
        <v>506.690184</v>
      </c>
      <c r="E16" s="0" t="n">
        <f aca="false">-E12</f>
        <v>485.26600122</v>
      </c>
      <c r="F16" s="0" t="n">
        <f aca="false">-F12</f>
        <v>463.4562933</v>
      </c>
      <c r="G16" s="0" t="n">
        <f aca="false">-G12</f>
        <v>446.0630512338</v>
      </c>
      <c r="H16" s="0" t="n">
        <f aca="false">-H12</f>
        <v>435.985330446666</v>
      </c>
      <c r="I16" s="0" t="n">
        <f aca="false">-I12</f>
        <v>427.600997168846</v>
      </c>
      <c r="J16" s="0" t="n">
        <f aca="false">-J12</f>
        <v>418.706896427734</v>
      </c>
      <c r="K16" s="0" t="n">
        <f aca="false">-K12</f>
        <v>415.217672290836</v>
      </c>
      <c r="L16" s="0" t="n">
        <f aca="false">-L12</f>
        <v>417.471711083272</v>
      </c>
    </row>
    <row r="17" customFormat="false" ht="15" hidden="false" customHeight="false" outlineLevel="0" collapsed="false">
      <c r="A17" s="0" t="s">
        <v>121</v>
      </c>
      <c r="C17" s="4" t="n">
        <f aca="false">-C6*Assumptions!C18/100</f>
        <v>-280.995</v>
      </c>
      <c r="D17" s="4" t="n">
        <f aca="false">-D6*Assumptions!D18/100</f>
        <v>-291.897606</v>
      </c>
      <c r="E17" s="4" t="n">
        <f aca="false">-E6*Assumptions!E18/100</f>
        <v>-316.24076484</v>
      </c>
      <c r="F17" s="4" t="n">
        <f aca="false">-F6*Assumptions!F18/100</f>
        <v>-338.05047276</v>
      </c>
      <c r="G17" s="4" t="n">
        <f aca="false">-G6*Assumptions!G18/100</f>
        <v>-357.951831237</v>
      </c>
      <c r="H17" s="4" t="n">
        <f aca="false">-H6*Assumptions!H18/100</f>
        <v>-380.089775261196</v>
      </c>
      <c r="I17" s="4" t="n">
        <f aca="false">-I6*Assumptions!I18/100</f>
        <v>-399.094264024256</v>
      </c>
      <c r="J17" s="4" t="n">
        <f aca="false">-J6*Assumptions!J18/100</f>
        <v>-407.076149304741</v>
      </c>
      <c r="K17" s="4" t="n">
        <f aca="false">-K6*Assumptions!K18/100</f>
        <v>-415.217672290836</v>
      </c>
      <c r="L17" s="4" t="n">
        <f aca="false">-L6*Assumptions!L18/100</f>
        <v>-423.522025736652</v>
      </c>
    </row>
    <row r="18" customFormat="false" ht="15" hidden="false" customHeight="false" outlineLevel="0" collapsed="false">
      <c r="A18" s="0" t="s">
        <v>122</v>
      </c>
      <c r="C18" s="4" t="n">
        <f aca="false">(C6-B6)*Assumptions!$B$23/100</f>
        <v>-36.0250000000001</v>
      </c>
      <c r="D18" s="4" t="n">
        <f aca="false">(D6-C6)*Assumptions!$B$23/100</f>
        <v>-28.0995</v>
      </c>
      <c r="E18" s="4" t="n">
        <f aca="false">(E6-D6)*Assumptions!$B$23/100</f>
        <v>-13.7687550000001</v>
      </c>
      <c r="F18" s="4" t="n">
        <f aca="false">(F6-E6)*Assumptions!$B$23/100</f>
        <v>0</v>
      </c>
      <c r="G18" s="4" t="n">
        <f aca="false">(G6-F6)*Assumptions!$B$23/100</f>
        <v>13.63106745</v>
      </c>
      <c r="H18" s="4" t="n">
        <f aca="false">(H6-G6)*Assumptions!$B$23/100</f>
        <v>20.65106718675</v>
      </c>
      <c r="I18" s="4" t="n">
        <f aca="false">(I6-H6)*Assumptions!$B$23/100</f>
        <v>27.9477775927351</v>
      </c>
      <c r="J18" s="4" t="n">
        <f aca="false">(J6-I6)*Assumptions!$B$23/100</f>
        <v>28.5067331445898</v>
      </c>
      <c r="K18" s="4" t="n">
        <f aca="false">(K6-J6)*Assumptions!$B$23/100</f>
        <v>29.0768678074815</v>
      </c>
      <c r="L18" s="4" t="n">
        <f aca="false">(L6-K6)*Assumptions!$B$23/100</f>
        <v>29.6584051636312</v>
      </c>
    </row>
    <row r="19" customFormat="false" ht="15" hidden="false" customHeight="false" outlineLevel="0" collapsed="false">
      <c r="A19" s="0" t="s">
        <v>123</v>
      </c>
      <c r="C19" s="0" t="n">
        <f aca="false">C15+C16+C17+C18</f>
        <v>691.302458</v>
      </c>
      <c r="D19" s="0" t="n">
        <f aca="false">D15+D16+D17+D18</f>
        <v>634.28776554</v>
      </c>
      <c r="E19" s="0" t="n">
        <f aca="false">E15+E16+E17+E18</f>
        <v>598.4297463144</v>
      </c>
      <c r="F19" s="0" t="n">
        <f aca="false">F15+F16+F17+F18</f>
        <v>565.0895322072</v>
      </c>
      <c r="G19" s="0" t="n">
        <f aca="false">G15+G16+G17+G18</f>
        <v>559.92063143016</v>
      </c>
      <c r="H19" s="0" t="n">
        <f aca="false">H15+H16+H17+H18</f>
        <v>552.329588110941</v>
      </c>
      <c r="I19" s="0" t="n">
        <f aca="false">I15+I16+I17+I18</f>
        <v>552.699721318342</v>
      </c>
      <c r="J19" s="0" t="n">
        <f aca="false">J15+J16+J17+J18</f>
        <v>557.473112298293</v>
      </c>
      <c r="K19" s="0" t="n">
        <f aca="false">K15+K16+K17+K18</f>
        <v>564.351764200696</v>
      </c>
      <c r="L19" s="0" t="n">
        <f aca="false">L15+L16+L17+L18</f>
        <v>573.460686209493</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634.22243853211</v>
      </c>
      <c r="D21" s="0" t="n">
        <f aca="false">D19*D20</f>
        <v>533.867322228768</v>
      </c>
      <c r="E21" s="0" t="n">
        <f aca="false">E19*E20</f>
        <v>462.097564081113</v>
      </c>
      <c r="F21" s="0" t="n">
        <f aca="false">F19*F20</f>
        <v>400.323671124619</v>
      </c>
      <c r="G21" s="0" t="n">
        <f aca="false">G19*G20</f>
        <v>363.909992202449</v>
      </c>
      <c r="H21" s="0" t="n">
        <f aca="false">H19*H20</f>
        <v>329.336087059209</v>
      </c>
      <c r="I21" s="0" t="n">
        <f aca="false">I19*I20</f>
        <v>302.345674676491</v>
      </c>
      <c r="J21" s="0" t="n">
        <f aca="false">J19*J20</f>
        <v>279.776956886744</v>
      </c>
      <c r="K21" s="0" t="n">
        <f aca="false">K19*K20</f>
        <v>259.843229657034</v>
      </c>
      <c r="L21" s="0" t="n">
        <f aca="false">L19*L20</f>
        <v>242.235991184707</v>
      </c>
    </row>
    <row r="23" customFormat="false" ht="15" hidden="false" customHeight="false" outlineLevel="0" collapsed="false">
      <c r="A23" s="0" t="s">
        <v>101</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126</v>
      </c>
      <c r="C24" s="0" t="n">
        <f aca="false">-C6*C23/100</f>
        <v>-56.199</v>
      </c>
      <c r="D24" s="0" t="n">
        <f aca="false">-D6*D23/100</f>
        <v>-55.07502</v>
      </c>
      <c r="E24" s="0" t="n">
        <f aca="false">-E6*E23/100</f>
        <v>-54.5242698</v>
      </c>
      <c r="F24" s="0" t="n">
        <f aca="false">-F6*F23/100</f>
        <v>-54.5242698</v>
      </c>
      <c r="G24" s="0" t="n">
        <f aca="false">-G6*G23/100</f>
        <v>-55.069512498</v>
      </c>
      <c r="H24" s="0" t="n">
        <f aca="false">-H6*H23/100</f>
        <v>-55.89555518547</v>
      </c>
      <c r="I24" s="0" t="n">
        <f aca="false">-I6*I23/100</f>
        <v>-57.0134662891794</v>
      </c>
      <c r="J24" s="0" t="n">
        <f aca="false">-J6*J23/100</f>
        <v>-58.153735614963</v>
      </c>
      <c r="K24" s="0" t="n">
        <f aca="false">-K6*K23/100</f>
        <v>-59.3168103272622</v>
      </c>
      <c r="L24" s="0" t="n">
        <f aca="false">-L6*L23/100</f>
        <v>-60.5031465338075</v>
      </c>
    </row>
    <row r="26" customFormat="false" ht="15" hidden="false" customHeight="false" outlineLevel="0" collapsed="false">
      <c r="A26" s="2" t="s">
        <v>127</v>
      </c>
    </row>
    <row r="27" customFormat="false" ht="15" hidden="false" customHeight="false" outlineLevel="0" collapsed="false">
      <c r="A27" s="0" t="s">
        <v>105</v>
      </c>
      <c r="B27" s="4" t="n">
        <f aca="false">Assumptions!$B$20</f>
        <v>9</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16</v>
      </c>
    </row>
    <row r="30" customFormat="false" ht="15" hidden="false" customHeight="false" outlineLevel="0" collapsed="false">
      <c r="A30" s="0" t="s">
        <v>128</v>
      </c>
      <c r="B30" s="0" t="n">
        <f aca="false">SUM(C21:L21)</f>
        <v>3807.95892763324</v>
      </c>
    </row>
    <row r="31" customFormat="false" ht="15" hidden="false" customHeight="false" outlineLevel="0" collapsed="false">
      <c r="A31" s="0" t="s">
        <v>129</v>
      </c>
      <c r="B31" s="0" t="n">
        <f aca="false">L19</f>
        <v>573.460686209493</v>
      </c>
    </row>
    <row r="32" customFormat="false" ht="15" hidden="false" customHeight="false" outlineLevel="0" collapsed="false">
      <c r="A32" s="0" t="s">
        <v>130</v>
      </c>
      <c r="B32" s="0" t="n">
        <f aca="false">IF(B27&gt;B28,B31*(1+B28/100)/((B27-B28)/100),B31*B29)</f>
        <v>8356.14142762404</v>
      </c>
    </row>
    <row r="33" customFormat="false" ht="15" hidden="false" customHeight="false" outlineLevel="0" collapsed="false">
      <c r="A33" s="0" t="s">
        <v>131</v>
      </c>
      <c r="B33" s="0" t="n">
        <f aca="false">B31*B29</f>
        <v>9175.37097935189</v>
      </c>
    </row>
    <row r="34" customFormat="false" ht="15" hidden="false" customHeight="false" outlineLevel="0" collapsed="false">
      <c r="A34" s="0" t="s">
        <v>132</v>
      </c>
      <c r="B34" s="0" t="n">
        <f aca="false">MAX(0,MIN(B32,B33))</f>
        <v>8356.14142762404</v>
      </c>
    </row>
    <row r="35" customFormat="false" ht="15" hidden="false" customHeight="false" outlineLevel="0" collapsed="false">
      <c r="A35" s="0" t="s">
        <v>133</v>
      </c>
      <c r="B35" s="0" t="n">
        <f aca="false">B34/(1+B27/100)^L4</f>
        <v>3529.72444297716</v>
      </c>
    </row>
    <row r="36" customFormat="false" ht="15" hidden="false" customHeight="false" outlineLevel="0" collapsed="false">
      <c r="A36" s="0" t="s">
        <v>134</v>
      </c>
      <c r="B36" s="0" t="n">
        <f aca="false">B30+B35</f>
        <v>7337.68337061041</v>
      </c>
    </row>
    <row r="37" customFormat="false" ht="15" hidden="false" customHeight="false" outlineLevel="0" collapsed="false">
      <c r="A37" s="0" t="s">
        <v>135</v>
      </c>
      <c r="B37" s="0" t="n">
        <f aca="false">B36+Assumptions!$B$5-Assumptions!$B$4</f>
        <v>9322.68337061041</v>
      </c>
    </row>
    <row r="38" customFormat="false" ht="15" hidden="false" customHeight="false" outlineLevel="0" collapsed="false">
      <c r="A38" s="0" t="s">
        <v>136</v>
      </c>
      <c r="B38" s="0" t="n">
        <f aca="false">B37/Assumptions!$B$3*Assumptions!$B$10</f>
        <v>5.47708782118815</v>
      </c>
    </row>
    <row r="39" customFormat="false" ht="15" hidden="false" customHeight="false" outlineLevel="0" collapsed="false">
      <c r="A39" s="0" t="s">
        <v>137</v>
      </c>
      <c r="B39" s="4" t="n">
        <f aca="false">B38/Assumptions!$B$2-1</f>
        <v>-0.0991631873045809</v>
      </c>
    </row>
    <row r="41" customFormat="false" ht="15" hidden="false" customHeight="false" outlineLevel="0" collapsed="false">
      <c r="A41" s="0" t="s">
        <v>138</v>
      </c>
      <c r="B41" s="0" t="n">
        <f aca="false">SUMPRODUCT(-C10:L10/(1+$B$27/100)^C4:L4)</f>
        <v>324.904924180214</v>
      </c>
    </row>
    <row r="42" customFormat="false" ht="15" hidden="false" customHeight="false" outlineLevel="0" collapsed="false">
      <c r="A42" s="0" t="s">
        <v>139</v>
      </c>
      <c r="B42" s="0" t="n">
        <f aca="false">IF(B27&gt;B28,-L10*(1+B28/100)/((B27-B28)/100),-L10*20)/(1+B27/100)^L4</f>
        <v>335.164199220195</v>
      </c>
    </row>
    <row r="43" customFormat="false" ht="15" hidden="false" customHeight="false" outlineLevel="0" collapsed="false">
      <c r="A43" s="0" t="s">
        <v>140</v>
      </c>
      <c r="B43" s="0" t="n">
        <f aca="false">(B37+B41+B42)/Assumptions!$B$3*Assumptions!$B$10</f>
        <v>5.86487923415362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4499.46076872064</v>
      </c>
    </row>
    <row r="47" customFormat="false" ht="15" hidden="false" customHeight="false" outlineLevel="0" collapsed="false">
      <c r="A47" s="0" t="s">
        <v>142</v>
      </c>
      <c r="B47" s="0" t="n">
        <f aca="false">(SUMPRODUCT(C19:L19/(1+B45/100)^C4:L4)+B46/(1+B45/100)^L4+Assumptions!$B$5-Assumptions!$B$4)/Assumptions!$B$3*Assumptions!$B$10</f>
        <v>3.58603279480159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0</v>
      </c>
      <c r="D5" s="4" t="n">
        <f aca="false">Assumptions!D27</f>
        <v>1</v>
      </c>
      <c r="E5" s="4" t="n">
        <f aca="false">Assumptions!E27</f>
        <v>2</v>
      </c>
      <c r="F5" s="4" t="n">
        <f aca="false">Assumptions!F27</f>
        <v>2.5</v>
      </c>
      <c r="G5" s="4" t="n">
        <f aca="false">Assumptions!G27</f>
        <v>3</v>
      </c>
      <c r="H5" s="4" t="n">
        <f aca="false">Assumptions!H27</f>
        <v>3</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5764</v>
      </c>
      <c r="C6" s="0" t="n">
        <f aca="false">B6*(1+C5/100)</f>
        <v>5764</v>
      </c>
      <c r="D6" s="0" t="n">
        <f aca="false">C6*(1+D5/100)</f>
        <v>5821.64</v>
      </c>
      <c r="E6" s="0" t="n">
        <f aca="false">D6*(1+E5/100)</f>
        <v>5938.0728</v>
      </c>
      <c r="F6" s="0" t="n">
        <f aca="false">E6*(1+F5/100)</f>
        <v>6086.52462</v>
      </c>
      <c r="G6" s="0" t="n">
        <f aca="false">F6*(1+G5/100)</f>
        <v>6269.1203586</v>
      </c>
      <c r="H6" s="0" t="n">
        <f aca="false">G6*(1+H5/100)</f>
        <v>6457.193969358</v>
      </c>
      <c r="I6" s="0" t="n">
        <f aca="false">H6*(1+I5/100)</f>
        <v>6650.90978843874</v>
      </c>
      <c r="J6" s="0" t="n">
        <f aca="false">I6*(1+J5/100)</f>
        <v>6850.4370820919</v>
      </c>
      <c r="K6" s="0" t="n">
        <f aca="false">J6*(1+K5/100)</f>
        <v>7021.6980091442</v>
      </c>
      <c r="L6" s="0" t="n">
        <f aca="false">K6*(1+L5/100)</f>
        <v>7197.24045937281</v>
      </c>
    </row>
    <row r="7" customFormat="false" ht="15" hidden="false" customHeight="false" outlineLevel="0" collapsed="false">
      <c r="A7" s="0" t="s">
        <v>99</v>
      </c>
      <c r="C7" s="4" t="n">
        <f aca="false">Assumptions!C28</f>
        <v>25.3</v>
      </c>
      <c r="D7" s="4" t="n">
        <f aca="false">Assumptions!D28</f>
        <v>25.5</v>
      </c>
      <c r="E7" s="4" t="n">
        <f aca="false">Assumptions!E28</f>
        <v>26</v>
      </c>
      <c r="F7" s="4" t="n">
        <f aca="false">Assumptions!F28</f>
        <v>26.5</v>
      </c>
      <c r="G7" s="4" t="n">
        <f aca="false">Assumptions!G28</f>
        <v>27</v>
      </c>
      <c r="H7" s="4" t="n">
        <f aca="false">Assumptions!H28</f>
        <v>27</v>
      </c>
      <c r="I7" s="4" t="n">
        <f aca="false">Assumptions!I28</f>
        <v>27</v>
      </c>
      <c r="J7" s="4" t="n">
        <f aca="false">Assumptions!J28</f>
        <v>27</v>
      </c>
      <c r="K7" s="4" t="n">
        <f aca="false">Assumptions!K28</f>
        <v>27</v>
      </c>
      <c r="L7" s="4" t="n">
        <f aca="false">Assumptions!L28</f>
        <v>27</v>
      </c>
    </row>
    <row r="8" customFormat="false" ht="15" hidden="false" customHeight="false" outlineLevel="0" collapsed="false">
      <c r="A8" s="0" t="s">
        <v>44</v>
      </c>
      <c r="C8" s="0" t="n">
        <f aca="false">C6*C7/100</f>
        <v>1458.292</v>
      </c>
      <c r="D8" s="0" t="n">
        <f aca="false">D6*D7/100</f>
        <v>1484.5182</v>
      </c>
      <c r="E8" s="0" t="n">
        <f aca="false">E6*E7/100</f>
        <v>1543.898928</v>
      </c>
      <c r="F8" s="0" t="n">
        <f aca="false">F6*F7/100</f>
        <v>1612.9290243</v>
      </c>
      <c r="G8" s="0" t="n">
        <f aca="false">G6*G7/100</f>
        <v>1692.662496822</v>
      </c>
      <c r="H8" s="0" t="n">
        <f aca="false">H6*H7/100</f>
        <v>1743.44237172666</v>
      </c>
      <c r="I8" s="0" t="n">
        <f aca="false">I6*I7/100</f>
        <v>1795.74564287846</v>
      </c>
      <c r="J8" s="0" t="n">
        <f aca="false">J6*J7/100</f>
        <v>1849.61801216481</v>
      </c>
      <c r="K8" s="0" t="n">
        <f aca="false">K6*K7/100</f>
        <v>1895.85846246893</v>
      </c>
      <c r="L8" s="0" t="n">
        <f aca="false">L6*L7/100</f>
        <v>1943.25492403066</v>
      </c>
    </row>
    <row r="9" customFormat="false" ht="15" hidden="false" customHeight="false" outlineLevel="0" collapsed="false">
      <c r="A9" s="0" t="s">
        <v>100</v>
      </c>
      <c r="C9" s="4" t="n">
        <f aca="false">Assumptions!C29</f>
        <v>0.9</v>
      </c>
      <c r="D9" s="4" t="n">
        <f aca="false">Assumptions!D29</f>
        <v>0.9</v>
      </c>
      <c r="E9" s="4" t="n">
        <f aca="false">Assumptions!E29</f>
        <v>0.9</v>
      </c>
      <c r="F9" s="4" t="n">
        <f aca="false">Assumptions!F29</f>
        <v>0.9</v>
      </c>
      <c r="G9" s="4" t="n">
        <f aca="false">Assumptions!G29</f>
        <v>0.9</v>
      </c>
      <c r="H9" s="4" t="n">
        <f aca="false">Assumptions!H29</f>
        <v>0.9</v>
      </c>
      <c r="I9" s="4" t="n">
        <f aca="false">Assumptions!I29</f>
        <v>0.9</v>
      </c>
      <c r="J9" s="4" t="n">
        <f aca="false">Assumptions!J29</f>
        <v>0.9</v>
      </c>
      <c r="K9" s="4" t="n">
        <f aca="false">Assumptions!K29</f>
        <v>0.9</v>
      </c>
      <c r="L9" s="4" t="n">
        <f aca="false">Assumptions!L29</f>
        <v>0.9</v>
      </c>
    </row>
    <row r="10" customFormat="false" ht="15" hidden="false" customHeight="false" outlineLevel="0" collapsed="false">
      <c r="A10" s="0" t="s">
        <v>115</v>
      </c>
      <c r="C10" s="0" t="n">
        <f aca="false">-C6*C9/100</f>
        <v>-51.876</v>
      </c>
      <c r="D10" s="0" t="n">
        <f aca="false">-D6*D9/100</f>
        <v>-52.39476</v>
      </c>
      <c r="E10" s="0" t="n">
        <f aca="false">-E6*E9/100</f>
        <v>-53.4426552</v>
      </c>
      <c r="F10" s="0" t="n">
        <f aca="false">-F6*F9/100</f>
        <v>-54.77872158</v>
      </c>
      <c r="G10" s="0" t="n">
        <f aca="false">-G6*G9/100</f>
        <v>-56.4220832274</v>
      </c>
      <c r="H10" s="0" t="n">
        <f aca="false">-H6*H9/100</f>
        <v>-58.114745724222</v>
      </c>
      <c r="I10" s="0" t="n">
        <f aca="false">-I6*I9/100</f>
        <v>-59.8581880959487</v>
      </c>
      <c r="J10" s="0" t="n">
        <f aca="false">-J6*J9/100</f>
        <v>-61.6539337388271</v>
      </c>
      <c r="K10" s="0" t="n">
        <f aca="false">-K6*K9/100</f>
        <v>-63.1952820822978</v>
      </c>
      <c r="L10" s="0" t="n">
        <f aca="false">-L6*L9/100</f>
        <v>-64.7751641343553</v>
      </c>
    </row>
    <row r="11" customFormat="false" ht="15" hidden="false" customHeight="false" outlineLevel="0" collapsed="false">
      <c r="A11" s="0" t="s">
        <v>116</v>
      </c>
      <c r="C11" s="0" t="n">
        <f aca="false">C8+C10+C24</f>
        <v>1348.776</v>
      </c>
      <c r="D11" s="0" t="n">
        <f aca="false">D8+D10+D24</f>
        <v>1373.90704</v>
      </c>
      <c r="E11" s="0" t="n">
        <f aca="false">E8+E10+E24</f>
        <v>1431.0755448</v>
      </c>
      <c r="F11" s="0" t="n">
        <f aca="false">F8+F10+F24</f>
        <v>1497.28505652</v>
      </c>
      <c r="G11" s="0" t="n">
        <f aca="false">G8+G10+G24</f>
        <v>1573.5492100086</v>
      </c>
      <c r="H11" s="0" t="n">
        <f aca="false">H8+H10+H24</f>
        <v>1620.75568630886</v>
      </c>
      <c r="I11" s="0" t="n">
        <f aca="false">I8+I10+I24</f>
        <v>1669.37835689812</v>
      </c>
      <c r="J11" s="0" t="n">
        <f aca="false">J8+J10+J24</f>
        <v>1719.45970760507</v>
      </c>
      <c r="K11" s="0" t="n">
        <f aca="false">K8+K10+K24</f>
        <v>1762.44620029519</v>
      </c>
      <c r="L11" s="0" t="n">
        <f aca="false">L8+L10+L24</f>
        <v>1806.50735530257</v>
      </c>
    </row>
    <row r="12" customFormat="false" ht="15" hidden="false" customHeight="false" outlineLevel="0" collapsed="false">
      <c r="A12" s="0" t="s">
        <v>117</v>
      </c>
      <c r="C12" s="4" t="n">
        <f aca="false">-C6*Assumptions!C31/100</f>
        <v>-541.816</v>
      </c>
      <c r="D12" s="4" t="n">
        <f aca="false">-D6*Assumptions!D31/100</f>
        <v>-523.9476</v>
      </c>
      <c r="E12" s="4" t="n">
        <f aca="false">-E6*Assumptions!E31/100</f>
        <v>-510.6742608</v>
      </c>
      <c r="F12" s="4" t="n">
        <f aca="false">-F6*Assumptions!F31/100</f>
        <v>-499.09501884</v>
      </c>
      <c r="G12" s="4" t="n">
        <f aca="false">-G6*Assumptions!G31/100</f>
        <v>-495.2605083294</v>
      </c>
      <c r="H12" s="4" t="n">
        <f aca="false">-H6*Assumptions!H31/100</f>
        <v>-490.746741671208</v>
      </c>
      <c r="I12" s="4" t="n">
        <f aca="false">-I6*Assumptions!I31/100</f>
        <v>-485.516414556028</v>
      </c>
      <c r="J12" s="4" t="n">
        <f aca="false">-J6*Assumptions!J31/100</f>
        <v>-479.530595746433</v>
      </c>
      <c r="K12" s="4" t="n">
        <f aca="false">-K6*Assumptions!K31/100</f>
        <v>-484.49716263095</v>
      </c>
      <c r="L12" s="4" t="n">
        <f aca="false">-L6*Assumptions!L31/100</f>
        <v>-489.412351237351</v>
      </c>
    </row>
    <row r="13" customFormat="false" ht="15" hidden="false" customHeight="false" outlineLevel="0" collapsed="false">
      <c r="A13" s="0" t="s">
        <v>118</v>
      </c>
      <c r="C13" s="0" t="n">
        <f aca="false">C11+C12</f>
        <v>806.96</v>
      </c>
      <c r="D13" s="0" t="n">
        <f aca="false">D11+D12</f>
        <v>849.95944</v>
      </c>
      <c r="E13" s="0" t="n">
        <f aca="false">E11+E12</f>
        <v>920.401284</v>
      </c>
      <c r="F13" s="0" t="n">
        <f aca="false">F11+F12</f>
        <v>998.19003768</v>
      </c>
      <c r="G13" s="0" t="n">
        <f aca="false">G11+G12</f>
        <v>1078.2887016792</v>
      </c>
      <c r="H13" s="0" t="n">
        <f aca="false">H11+H12</f>
        <v>1130.00894463765</v>
      </c>
      <c r="I13" s="0" t="n">
        <f aca="false">I11+I12</f>
        <v>1183.8619423421</v>
      </c>
      <c r="J13" s="0" t="n">
        <f aca="false">J11+J12</f>
        <v>1239.92911185863</v>
      </c>
      <c r="K13" s="0" t="n">
        <f aca="false">K11+K12</f>
        <v>1277.94903766424</v>
      </c>
      <c r="L13" s="0" t="n">
        <f aca="false">L11+L12</f>
        <v>1317.09500406522</v>
      </c>
    </row>
    <row r="14" customFormat="false" ht="15" hidden="false" customHeight="false" outlineLevel="0" collapsed="false">
      <c r="A14" s="0" t="s">
        <v>104</v>
      </c>
      <c r="C14" s="4" t="n">
        <f aca="false">Assumptions!C33</f>
        <v>36</v>
      </c>
      <c r="D14" s="4" t="n">
        <f aca="false">Assumptions!D33</f>
        <v>35</v>
      </c>
      <c r="E14" s="4" t="n">
        <f aca="false">Assumptions!E33</f>
        <v>35</v>
      </c>
      <c r="F14" s="4" t="n">
        <f aca="false">Assumptions!F33</f>
        <v>35</v>
      </c>
      <c r="G14" s="4" t="n">
        <f aca="false">Assumptions!G33</f>
        <v>35</v>
      </c>
      <c r="H14" s="4" t="n">
        <f aca="false">Assumptions!H33</f>
        <v>35</v>
      </c>
      <c r="I14" s="4" t="n">
        <f aca="false">Assumptions!I33</f>
        <v>35</v>
      </c>
      <c r="J14" s="4" t="n">
        <f aca="false">Assumptions!J33</f>
        <v>35</v>
      </c>
      <c r="K14" s="4" t="n">
        <f aca="false">Assumptions!K33</f>
        <v>35</v>
      </c>
      <c r="L14" s="4" t="n">
        <f aca="false">Assumptions!L33</f>
        <v>35</v>
      </c>
    </row>
    <row r="15" customFormat="false" ht="15" hidden="false" customHeight="false" outlineLevel="0" collapsed="false">
      <c r="A15" s="0" t="s">
        <v>119</v>
      </c>
      <c r="C15" s="0" t="n">
        <f aca="false">C13-MAX(0,C13)*C14/100</f>
        <v>516.4544</v>
      </c>
      <c r="D15" s="0" t="n">
        <f aca="false">D13-MAX(0,D13)*D14/100</f>
        <v>552.473636</v>
      </c>
      <c r="E15" s="0" t="n">
        <f aca="false">E13-MAX(0,E13)*E14/100</f>
        <v>598.2608346</v>
      </c>
      <c r="F15" s="0" t="n">
        <f aca="false">F13-MAX(0,F13)*F14/100</f>
        <v>648.823524492</v>
      </c>
      <c r="G15" s="0" t="n">
        <f aca="false">G13-MAX(0,G13)*G14/100</f>
        <v>700.88765609148</v>
      </c>
      <c r="H15" s="0" t="n">
        <f aca="false">H13-MAX(0,H13)*H14/100</f>
        <v>734.505814014473</v>
      </c>
      <c r="I15" s="0" t="n">
        <f aca="false">I13-MAX(0,I13)*I14/100</f>
        <v>769.510262522362</v>
      </c>
      <c r="J15" s="0" t="n">
        <f aca="false">J13-MAX(0,J13)*J14/100</f>
        <v>805.953922708113</v>
      </c>
      <c r="K15" s="0" t="n">
        <f aca="false">K13-MAX(0,K13)*K14/100</f>
        <v>830.666874481759</v>
      </c>
      <c r="L15" s="0" t="n">
        <f aca="false">L13-MAX(0,L13)*L14/100</f>
        <v>856.111752642395</v>
      </c>
    </row>
    <row r="16" customFormat="false" ht="15" hidden="false" customHeight="false" outlineLevel="0" collapsed="false">
      <c r="A16" s="0" t="s">
        <v>120</v>
      </c>
      <c r="C16" s="0" t="n">
        <f aca="false">-C12</f>
        <v>541.816</v>
      </c>
      <c r="D16" s="0" t="n">
        <f aca="false">-D12</f>
        <v>523.9476</v>
      </c>
      <c r="E16" s="0" t="n">
        <f aca="false">-E12</f>
        <v>510.6742608</v>
      </c>
      <c r="F16" s="0" t="n">
        <f aca="false">-F12</f>
        <v>499.09501884</v>
      </c>
      <c r="G16" s="0" t="n">
        <f aca="false">-G12</f>
        <v>495.2605083294</v>
      </c>
      <c r="H16" s="0" t="n">
        <f aca="false">-H12</f>
        <v>490.746741671208</v>
      </c>
      <c r="I16" s="0" t="n">
        <f aca="false">-I12</f>
        <v>485.516414556028</v>
      </c>
      <c r="J16" s="0" t="n">
        <f aca="false">-J12</f>
        <v>479.530595746433</v>
      </c>
      <c r="K16" s="0" t="n">
        <f aca="false">-K12</f>
        <v>484.49716263095</v>
      </c>
      <c r="L16" s="0" t="n">
        <f aca="false">-L12</f>
        <v>489.412351237351</v>
      </c>
    </row>
    <row r="17" customFormat="false" ht="15" hidden="false" customHeight="false" outlineLevel="0" collapsed="false">
      <c r="A17" s="0" t="s">
        <v>121</v>
      </c>
      <c r="C17" s="4" t="n">
        <f aca="false">-C6*Assumptions!C32/100</f>
        <v>-299.728</v>
      </c>
      <c r="D17" s="4" t="n">
        <f aca="false">-D6*Assumptions!D32/100</f>
        <v>-320.1902</v>
      </c>
      <c r="E17" s="4" t="n">
        <f aca="false">-E6*Assumptions!E32/100</f>
        <v>-356.284368</v>
      </c>
      <c r="F17" s="4" t="n">
        <f aca="false">-F6*Assumptions!F32/100</f>
        <v>-383.45105106</v>
      </c>
      <c r="G17" s="4" t="n">
        <f aca="false">-G6*Assumptions!G32/100</f>
        <v>-413.7619436676</v>
      </c>
      <c r="H17" s="4" t="n">
        <f aca="false">-H6*Assumptions!H32/100</f>
        <v>-439.089189916344</v>
      </c>
      <c r="I17" s="4" t="n">
        <f aca="false">-I6*Assumptions!I32/100</f>
        <v>-465.563685190712</v>
      </c>
      <c r="J17" s="4" t="n">
        <f aca="false">-J6*Assumptions!J32/100</f>
        <v>-486.381032828525</v>
      </c>
      <c r="K17" s="4" t="n">
        <f aca="false">-K6*Assumptions!K32/100</f>
        <v>-505.562256658382</v>
      </c>
      <c r="L17" s="4" t="n">
        <f aca="false">-L6*Assumptions!L32/100</f>
        <v>-518.201313074842</v>
      </c>
    </row>
    <row r="18" customFormat="false" ht="15" hidden="false" customHeight="false" outlineLevel="0" collapsed="false">
      <c r="A18" s="0" t="s">
        <v>122</v>
      </c>
      <c r="C18" s="4" t="n">
        <f aca="false">(C6-B6)*Assumptions!$B$37/100</f>
        <v>0</v>
      </c>
      <c r="D18" s="4" t="n">
        <f aca="false">(D6-C6)*Assumptions!$B$37/100</f>
        <v>14.4100000000001</v>
      </c>
      <c r="E18" s="4" t="n">
        <f aca="false">(E6-D6)*Assumptions!$B$37/100</f>
        <v>29.1082000000001</v>
      </c>
      <c r="F18" s="4" t="n">
        <f aca="false">(F6-E6)*Assumptions!$B$37/100</f>
        <v>37.1129549999998</v>
      </c>
      <c r="G18" s="4" t="n">
        <f aca="false">(G6-F6)*Assumptions!$B$37/100</f>
        <v>45.64893465</v>
      </c>
      <c r="H18" s="4" t="n">
        <f aca="false">(H6-G6)*Assumptions!$B$37/100</f>
        <v>47.0184026895001</v>
      </c>
      <c r="I18" s="4" t="n">
        <f aca="false">(I6-H6)*Assumptions!$B$37/100</f>
        <v>48.4289547701851</v>
      </c>
      <c r="J18" s="4" t="n">
        <f aca="false">(J6-I6)*Assumptions!$B$37/100</f>
        <v>49.8818234132907</v>
      </c>
      <c r="K18" s="4" t="n">
        <f aca="false">(K6-J6)*Assumptions!$B$37/100</f>
        <v>42.8152317630743</v>
      </c>
      <c r="L18" s="4" t="n">
        <f aca="false">(L6-K6)*Assumptions!$B$37/100</f>
        <v>43.885612557151</v>
      </c>
    </row>
    <row r="19" customFormat="false" ht="15" hidden="false" customHeight="false" outlineLevel="0" collapsed="false">
      <c r="A19" s="0" t="s">
        <v>123</v>
      </c>
      <c r="C19" s="0" t="n">
        <f aca="false">C15+C16+C17+C18</f>
        <v>758.5424</v>
      </c>
      <c r="D19" s="0" t="n">
        <f aca="false">D15+D16+D17+D18</f>
        <v>770.641036</v>
      </c>
      <c r="E19" s="0" t="n">
        <f aca="false">E15+E16+E17+E18</f>
        <v>781.7589274</v>
      </c>
      <c r="F19" s="0" t="n">
        <f aca="false">F15+F16+F17+F18</f>
        <v>801.580447272</v>
      </c>
      <c r="G19" s="0" t="n">
        <f aca="false">G15+G16+G17+G18</f>
        <v>828.03515540328</v>
      </c>
      <c r="H19" s="0" t="n">
        <f aca="false">H15+H16+H17+H18</f>
        <v>833.181768458837</v>
      </c>
      <c r="I19" s="0" t="n">
        <f aca="false">I15+I16+I17+I18</f>
        <v>837.891946657864</v>
      </c>
      <c r="J19" s="0" t="n">
        <f aca="false">J15+J16+J17+J18</f>
        <v>848.985309039311</v>
      </c>
      <c r="K19" s="0" t="n">
        <f aca="false">K15+K16+K17+K18</f>
        <v>852.417012217401</v>
      </c>
      <c r="L19" s="0" t="n">
        <f aca="false">L15+L16+L17+L18</f>
        <v>871.208403362055</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695.910458715596</v>
      </c>
      <c r="D21" s="0" t="n">
        <f aca="false">D19*D20</f>
        <v>648.633141991415</v>
      </c>
      <c r="E21" s="0" t="n">
        <f aca="false">E19*E20</f>
        <v>603.661329128537</v>
      </c>
      <c r="F21" s="0" t="n">
        <f aca="false">F19*F20</f>
        <v>567.859797544401</v>
      </c>
      <c r="G21" s="0" t="n">
        <f aca="false">G19*G20</f>
        <v>538.16603645502</v>
      </c>
      <c r="H21" s="0" t="n">
        <f aca="false">H19*H20</f>
        <v>496.799065883448</v>
      </c>
      <c r="I21" s="0" t="n">
        <f aca="false">I19*I20</f>
        <v>458.355588300281</v>
      </c>
      <c r="J21" s="0" t="n">
        <f aca="false">J19*J20</f>
        <v>426.077098544394</v>
      </c>
      <c r="K21" s="0" t="n">
        <f aca="false">K19*K20</f>
        <v>392.476472157177</v>
      </c>
      <c r="L21" s="0" t="n">
        <f aca="false">L19*L20</f>
        <v>368.00784463847</v>
      </c>
    </row>
    <row r="23" customFormat="false" ht="15" hidden="false" customHeight="false" outlineLevel="0" collapsed="false">
      <c r="A23" s="0" t="s">
        <v>101</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126</v>
      </c>
      <c r="C24" s="0" t="n">
        <f aca="false">-C6*C23/100</f>
        <v>-57.64</v>
      </c>
      <c r="D24" s="0" t="n">
        <f aca="false">-D6*D23/100</f>
        <v>-58.2164</v>
      </c>
      <c r="E24" s="0" t="n">
        <f aca="false">-E6*E23/100</f>
        <v>-59.380728</v>
      </c>
      <c r="F24" s="0" t="n">
        <f aca="false">-F6*F23/100</f>
        <v>-60.8652462</v>
      </c>
      <c r="G24" s="0" t="n">
        <f aca="false">-G6*G23/100</f>
        <v>-62.691203586</v>
      </c>
      <c r="H24" s="0" t="n">
        <f aca="false">-H6*H23/100</f>
        <v>-64.57193969358</v>
      </c>
      <c r="I24" s="0" t="n">
        <f aca="false">-I6*I23/100</f>
        <v>-66.5090978843874</v>
      </c>
      <c r="J24" s="0" t="n">
        <f aca="false">-J6*J23/100</f>
        <v>-68.504370820919</v>
      </c>
      <c r="K24" s="0" t="n">
        <f aca="false">-K6*K23/100</f>
        <v>-70.216980091442</v>
      </c>
      <c r="L24" s="0" t="n">
        <f aca="false">-L6*L23/100</f>
        <v>-71.9724045937281</v>
      </c>
    </row>
    <row r="26" customFormat="false" ht="15" hidden="false" customHeight="false" outlineLevel="0" collapsed="false">
      <c r="A26" s="2" t="s">
        <v>127</v>
      </c>
    </row>
    <row r="27" customFormat="false" ht="15" hidden="false" customHeight="false" outlineLevel="0" collapsed="false">
      <c r="A27" s="0" t="s">
        <v>105</v>
      </c>
      <c r="B27" s="4" t="n">
        <f aca="false">Assumptions!$B$34</f>
        <v>9</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16</v>
      </c>
    </row>
    <row r="30" customFormat="false" ht="15" hidden="false" customHeight="false" outlineLevel="0" collapsed="false">
      <c r="A30" s="0" t="s">
        <v>128</v>
      </c>
      <c r="B30" s="0" t="n">
        <f aca="false">SUM(C21:L21)</f>
        <v>5195.94683335874</v>
      </c>
    </row>
    <row r="31" customFormat="false" ht="15" hidden="false" customHeight="false" outlineLevel="0" collapsed="false">
      <c r="A31" s="0" t="s">
        <v>129</v>
      </c>
      <c r="B31" s="0" t="n">
        <f aca="false">L19</f>
        <v>871.208403362055</v>
      </c>
    </row>
    <row r="32" customFormat="false" ht="15" hidden="false" customHeight="false" outlineLevel="0" collapsed="false">
      <c r="A32" s="0" t="s">
        <v>130</v>
      </c>
      <c r="B32" s="0" t="n">
        <f aca="false">IF(B27&gt;B28,B31*(1+B28/100)/((B27-B28)/100),B31*B29)</f>
        <v>13738.2863607093</v>
      </c>
    </row>
    <row r="33" customFormat="false" ht="15" hidden="false" customHeight="false" outlineLevel="0" collapsed="false">
      <c r="A33" s="0" t="s">
        <v>131</v>
      </c>
      <c r="B33" s="0" t="n">
        <f aca="false">B31*B29</f>
        <v>13939.3344537929</v>
      </c>
    </row>
    <row r="34" customFormat="false" ht="15" hidden="false" customHeight="false" outlineLevel="0" collapsed="false">
      <c r="A34" s="0" t="s">
        <v>132</v>
      </c>
      <c r="B34" s="0" t="n">
        <f aca="false">MAX(0,MIN(B32,B33))</f>
        <v>13738.2863607093</v>
      </c>
    </row>
    <row r="35" customFormat="false" ht="15" hidden="false" customHeight="false" outlineLevel="0" collapsed="false">
      <c r="A35" s="0" t="s">
        <v>133</v>
      </c>
      <c r="B35" s="0" t="n">
        <f aca="false">B34/(1+B27/100)^L4</f>
        <v>5803.20062699126</v>
      </c>
    </row>
    <row r="36" customFormat="false" ht="15" hidden="false" customHeight="false" outlineLevel="0" collapsed="false">
      <c r="A36" s="0" t="s">
        <v>134</v>
      </c>
      <c r="B36" s="0" t="n">
        <f aca="false">B30+B35</f>
        <v>10999.14746035</v>
      </c>
    </row>
    <row r="37" customFormat="false" ht="15" hidden="false" customHeight="false" outlineLevel="0" collapsed="false">
      <c r="A37" s="0" t="s">
        <v>135</v>
      </c>
      <c r="B37" s="0" t="n">
        <f aca="false">B36+Assumptions!$B$5-Assumptions!$B$4</f>
        <v>12984.14746035</v>
      </c>
    </row>
    <row r="38" customFormat="false" ht="15" hidden="false" customHeight="false" outlineLevel="0" collapsed="false">
      <c r="A38" s="0" t="s">
        <v>136</v>
      </c>
      <c r="B38" s="0" t="n">
        <f aca="false">B37/Assumptions!$B$3*Assumptions!$B$10</f>
        <v>7.62820242804596</v>
      </c>
    </row>
    <row r="39" customFormat="false" ht="15" hidden="false" customHeight="false" outlineLevel="0" collapsed="false">
      <c r="A39" s="0" t="s">
        <v>137</v>
      </c>
      <c r="B39" s="4" t="n">
        <f aca="false">B38/Assumptions!$B$2-1</f>
        <v>0.254638557244402</v>
      </c>
    </row>
    <row r="41" customFormat="false" ht="15" hidden="false" customHeight="false" outlineLevel="0" collapsed="false">
      <c r="A41" s="0" t="s">
        <v>138</v>
      </c>
      <c r="B41" s="0" t="n">
        <f aca="false">SUMPRODUCT(-C10:L10/(1+$B$27/100)^C4:L4)</f>
        <v>363.233953352072</v>
      </c>
    </row>
    <row r="42" customFormat="false" ht="15" hidden="false" customHeight="false" outlineLevel="0" collapsed="false">
      <c r="A42" s="0" t="s">
        <v>139</v>
      </c>
      <c r="B42" s="0" t="n">
        <f aca="false">IF(B27&gt;B28,-L10*(1+B28/100)/((B27-B28)/100),-L10*20)/(1+B27/100)^L4</f>
        <v>431.473424346362</v>
      </c>
    </row>
    <row r="43" customFormat="false" ht="15" hidden="false" customHeight="false" outlineLevel="0" collapsed="false">
      <c r="A43" s="0" t="s">
        <v>140</v>
      </c>
      <c r="B43" s="0" t="n">
        <f aca="false">(B37+B41+B42)/Assumptions!$B$3*Assumptions!$B$10</f>
        <v>8.09509397919766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7143.90890756885</v>
      </c>
    </row>
    <row r="47" customFormat="false" ht="15" hidden="false" customHeight="false" outlineLevel="0" collapsed="false">
      <c r="A47" s="0" t="s">
        <v>142</v>
      </c>
      <c r="B47" s="0" t="n">
        <f aca="false">(SUMPRODUCT(C19:L19/(1+B45/100)^C4:L4)+B46/(1+B45/100)^L4+Assumptions!$B$5-Assumptions!$B$4)/Assumptions!$B$3*Assumptions!$B$10</f>
        <v>4.57521511694401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1.5</v>
      </c>
      <c r="D5" s="4" t="n">
        <f aca="false">Assumptions!D41</f>
        <v>3.5</v>
      </c>
      <c r="E5" s="4" t="n">
        <f aca="false">Assumptions!E41</f>
        <v>4.5</v>
      </c>
      <c r="F5" s="4" t="n">
        <f aca="false">Assumptions!F41</f>
        <v>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5764</v>
      </c>
      <c r="C6" s="0" t="n">
        <f aca="false">B6*(1+C5/100)</f>
        <v>5850.46</v>
      </c>
      <c r="D6" s="0" t="n">
        <f aca="false">C6*(1+D5/100)</f>
        <v>6055.2261</v>
      </c>
      <c r="E6" s="0" t="n">
        <f aca="false">D6*(1+E5/100)</f>
        <v>6327.7112745</v>
      </c>
      <c r="F6" s="0" t="n">
        <f aca="false">E6*(1+F5/100)</f>
        <v>6644.096838225</v>
      </c>
      <c r="G6" s="0" t="n">
        <f aca="false">F6*(1+G5/100)</f>
        <v>6976.30168013625</v>
      </c>
      <c r="H6" s="0" t="n">
        <f aca="false">G6*(1+H5/100)</f>
        <v>7290.23525574238</v>
      </c>
      <c r="I6" s="0" t="n">
        <f aca="false">H6*(1+I5/100)</f>
        <v>7581.84466597208</v>
      </c>
      <c r="J6" s="0" t="n">
        <f aca="false">I6*(1+J5/100)</f>
        <v>7847.2092292811</v>
      </c>
      <c r="K6" s="0" t="n">
        <f aca="false">J6*(1+K5/100)</f>
        <v>8082.62550615953</v>
      </c>
      <c r="L6" s="0" t="n">
        <f aca="false">K6*(1+L5/100)</f>
        <v>8325.10427134432</v>
      </c>
    </row>
    <row r="7" customFormat="false" ht="15" hidden="false" customHeight="false" outlineLevel="0" collapsed="false">
      <c r="A7" s="0" t="s">
        <v>99</v>
      </c>
      <c r="C7" s="4" t="n">
        <f aca="false">Assumptions!C42</f>
        <v>25.8</v>
      </c>
      <c r="D7" s="4" t="n">
        <f aca="false">Assumptions!D42</f>
        <v>26.8</v>
      </c>
      <c r="E7" s="4" t="n">
        <f aca="false">Assumptions!E42</f>
        <v>27.8</v>
      </c>
      <c r="F7" s="4" t="n">
        <f aca="false">Assumptions!F42</f>
        <v>28.6</v>
      </c>
      <c r="G7" s="4" t="n">
        <f aca="false">Assumptions!G42</f>
        <v>29.2</v>
      </c>
      <c r="H7" s="4" t="n">
        <f aca="false">Assumptions!H42</f>
        <v>29.5</v>
      </c>
      <c r="I7" s="4" t="n">
        <f aca="false">Assumptions!I42</f>
        <v>29.5</v>
      </c>
      <c r="J7" s="4" t="n">
        <f aca="false">Assumptions!J42</f>
        <v>29.5</v>
      </c>
      <c r="K7" s="4" t="n">
        <f aca="false">Assumptions!K42</f>
        <v>29.5</v>
      </c>
      <c r="L7" s="4" t="n">
        <f aca="false">Assumptions!L42</f>
        <v>29.5</v>
      </c>
    </row>
    <row r="8" customFormat="false" ht="15" hidden="false" customHeight="false" outlineLevel="0" collapsed="false">
      <c r="A8" s="0" t="s">
        <v>44</v>
      </c>
      <c r="C8" s="0" t="n">
        <f aca="false">C6*C7/100</f>
        <v>1509.41868</v>
      </c>
      <c r="D8" s="0" t="n">
        <f aca="false">D6*D7/100</f>
        <v>1622.8005948</v>
      </c>
      <c r="E8" s="0" t="n">
        <f aca="false">E6*E7/100</f>
        <v>1759.103734311</v>
      </c>
      <c r="F8" s="0" t="n">
        <f aca="false">F6*F7/100</f>
        <v>1900.21169573235</v>
      </c>
      <c r="G8" s="0" t="n">
        <f aca="false">G6*G7/100</f>
        <v>2037.08009059978</v>
      </c>
      <c r="H8" s="0" t="n">
        <f aca="false">H6*H7/100</f>
        <v>2150.619400444</v>
      </c>
      <c r="I8" s="0" t="n">
        <f aca="false">I6*I7/100</f>
        <v>2236.64417646176</v>
      </c>
      <c r="J8" s="0" t="n">
        <f aca="false">J6*J7/100</f>
        <v>2314.92672263792</v>
      </c>
      <c r="K8" s="0" t="n">
        <f aca="false">K6*K7/100</f>
        <v>2384.37452431706</v>
      </c>
      <c r="L8" s="0" t="n">
        <f aca="false">L6*L7/100</f>
        <v>2455.90576004657</v>
      </c>
    </row>
    <row r="9" customFormat="false" ht="15" hidden="false" customHeight="false" outlineLevel="0" collapsed="false">
      <c r="A9" s="0" t="s">
        <v>100</v>
      </c>
      <c r="C9" s="4" t="n">
        <f aca="false">Assumptions!C43</f>
        <v>0.9</v>
      </c>
      <c r="D9" s="4" t="n">
        <f aca="false">Assumptions!D43</f>
        <v>0.9</v>
      </c>
      <c r="E9" s="4" t="n">
        <f aca="false">Assumptions!E43</f>
        <v>0.9</v>
      </c>
      <c r="F9" s="4" t="n">
        <f aca="false">Assumptions!F43</f>
        <v>0.9</v>
      </c>
      <c r="G9" s="4" t="n">
        <f aca="false">Assumptions!G43</f>
        <v>0.9</v>
      </c>
      <c r="H9" s="4" t="n">
        <f aca="false">Assumptions!H43</f>
        <v>0.9</v>
      </c>
      <c r="I9" s="4" t="n">
        <f aca="false">Assumptions!I43</f>
        <v>0.9</v>
      </c>
      <c r="J9" s="4" t="n">
        <f aca="false">Assumptions!J43</f>
        <v>0.9</v>
      </c>
      <c r="K9" s="4" t="n">
        <f aca="false">Assumptions!K43</f>
        <v>0.9</v>
      </c>
      <c r="L9" s="4" t="n">
        <f aca="false">Assumptions!L43</f>
        <v>0.9</v>
      </c>
    </row>
    <row r="10" customFormat="false" ht="15" hidden="false" customHeight="false" outlineLevel="0" collapsed="false">
      <c r="A10" s="0" t="s">
        <v>115</v>
      </c>
      <c r="C10" s="0" t="n">
        <f aca="false">-C6*C9/100</f>
        <v>-52.65414</v>
      </c>
      <c r="D10" s="0" t="n">
        <f aca="false">-D6*D9/100</f>
        <v>-54.4970349</v>
      </c>
      <c r="E10" s="0" t="n">
        <f aca="false">-E6*E9/100</f>
        <v>-56.9494014705</v>
      </c>
      <c r="F10" s="0" t="n">
        <f aca="false">-F6*F9/100</f>
        <v>-59.796871544025</v>
      </c>
      <c r="G10" s="0" t="n">
        <f aca="false">-G6*G9/100</f>
        <v>-62.7867151212262</v>
      </c>
      <c r="H10" s="0" t="n">
        <f aca="false">-H6*H9/100</f>
        <v>-65.6121173016814</v>
      </c>
      <c r="I10" s="0" t="n">
        <f aca="false">-I6*I9/100</f>
        <v>-68.2366019937487</v>
      </c>
      <c r="J10" s="0" t="n">
        <f aca="false">-J6*J9/100</f>
        <v>-70.6248830635299</v>
      </c>
      <c r="K10" s="0" t="n">
        <f aca="false">-K6*K9/100</f>
        <v>-72.7436295554358</v>
      </c>
      <c r="L10" s="0" t="n">
        <f aca="false">-L6*L9/100</f>
        <v>-74.9259384420988</v>
      </c>
    </row>
    <row r="11" customFormat="false" ht="15" hidden="false" customHeight="false" outlineLevel="0" collapsed="false">
      <c r="A11" s="0" t="s">
        <v>116</v>
      </c>
      <c r="C11" s="0" t="n">
        <f aca="false">C8+C10+C24</f>
        <v>1398.25994</v>
      </c>
      <c r="D11" s="0" t="n">
        <f aca="false">D8+D10+D24</f>
        <v>1507.7512989</v>
      </c>
      <c r="E11" s="0" t="n">
        <f aca="false">E8+E10+E24</f>
        <v>1638.8772200955</v>
      </c>
      <c r="F11" s="0" t="n">
        <f aca="false">F8+F10+F24</f>
        <v>1773.97385580607</v>
      </c>
      <c r="G11" s="0" t="n">
        <f aca="false">G8+G10+G24</f>
        <v>1904.5303586772</v>
      </c>
      <c r="H11" s="0" t="n">
        <f aca="false">H8+H10+H24</f>
        <v>2012.1049305849</v>
      </c>
      <c r="I11" s="0" t="n">
        <f aca="false">I8+I10+I24</f>
        <v>2092.58912780829</v>
      </c>
      <c r="J11" s="0" t="n">
        <f aca="false">J8+J10+J24</f>
        <v>2165.82974728158</v>
      </c>
      <c r="K11" s="0" t="n">
        <f aca="false">K8+K10+K24</f>
        <v>2230.80463970003</v>
      </c>
      <c r="L11" s="0" t="n">
        <f aca="false">L8+L10+L24</f>
        <v>2297.72877889103</v>
      </c>
    </row>
    <row r="12" customFormat="false" ht="15" hidden="false" customHeight="false" outlineLevel="0" collapsed="false">
      <c r="A12" s="0" t="s">
        <v>117</v>
      </c>
      <c r="C12" s="4" t="n">
        <f aca="false">-C6*Assumptions!C45/100</f>
        <v>-549.94324</v>
      </c>
      <c r="D12" s="4" t="n">
        <f aca="false">-D6*Assumptions!D45/100</f>
        <v>-544.970349</v>
      </c>
      <c r="E12" s="4" t="n">
        <f aca="false">-E6*Assumptions!E45/100</f>
        <v>-544.183169607</v>
      </c>
      <c r="F12" s="4" t="n">
        <f aca="false">-F6*Assumptions!F45/100</f>
        <v>-544.81594073445</v>
      </c>
      <c r="G12" s="4" t="n">
        <f aca="false">-G6*Assumptions!G45/100</f>
        <v>-551.127832730764</v>
      </c>
      <c r="H12" s="4" t="n">
        <f aca="false">-H6*Assumptions!H45/100</f>
        <v>-554.057879436421</v>
      </c>
      <c r="I12" s="4" t="n">
        <f aca="false">-I6*Assumptions!I45/100</f>
        <v>-553.474660615962</v>
      </c>
      <c r="J12" s="4" t="n">
        <f aca="false">-J6*Assumptions!J45/100</f>
        <v>-549.304646049677</v>
      </c>
      <c r="K12" s="4" t="n">
        <f aca="false">-K6*Assumptions!K45/100</f>
        <v>-557.701159925008</v>
      </c>
      <c r="L12" s="4" t="n">
        <f aca="false">-L6*Assumptions!L45/100</f>
        <v>-566.107090451413</v>
      </c>
    </row>
    <row r="13" customFormat="false" ht="15" hidden="false" customHeight="false" outlineLevel="0" collapsed="false">
      <c r="A13" s="0" t="s">
        <v>118</v>
      </c>
      <c r="C13" s="0" t="n">
        <f aca="false">C11+C12</f>
        <v>848.3167</v>
      </c>
      <c r="D13" s="0" t="n">
        <f aca="false">D11+D12</f>
        <v>962.7809499</v>
      </c>
      <c r="E13" s="0" t="n">
        <f aca="false">E11+E12</f>
        <v>1094.6940504885</v>
      </c>
      <c r="F13" s="0" t="n">
        <f aca="false">F11+F12</f>
        <v>1229.15791507162</v>
      </c>
      <c r="G13" s="0" t="n">
        <f aca="false">G11+G12</f>
        <v>1353.40252594643</v>
      </c>
      <c r="H13" s="0" t="n">
        <f aca="false">H11+H12</f>
        <v>1458.04705114848</v>
      </c>
      <c r="I13" s="0" t="n">
        <f aca="false">I11+I12</f>
        <v>1539.11446719233</v>
      </c>
      <c r="J13" s="0" t="n">
        <f aca="false">J11+J12</f>
        <v>1616.52510123191</v>
      </c>
      <c r="K13" s="0" t="n">
        <f aca="false">K11+K12</f>
        <v>1673.10347977502</v>
      </c>
      <c r="L13" s="0" t="n">
        <f aca="false">L11+L12</f>
        <v>1731.62168843962</v>
      </c>
    </row>
    <row r="14" customFormat="false" ht="15" hidden="false" customHeight="false" outlineLevel="0" collapsed="false">
      <c r="A14" s="0" t="s">
        <v>104</v>
      </c>
      <c r="C14" s="4" t="n">
        <f aca="false">Assumptions!C47</f>
        <v>36</v>
      </c>
      <c r="D14" s="4" t="n">
        <f aca="false">Assumptions!D47</f>
        <v>35</v>
      </c>
      <c r="E14" s="4" t="n">
        <f aca="false">Assumptions!E47</f>
        <v>34</v>
      </c>
      <c r="F14" s="4" t="n">
        <f aca="false">Assumptions!F47</f>
        <v>34</v>
      </c>
      <c r="G14" s="4" t="n">
        <f aca="false">Assumptions!G47</f>
        <v>34</v>
      </c>
      <c r="H14" s="4" t="n">
        <f aca="false">Assumptions!H47</f>
        <v>34</v>
      </c>
      <c r="I14" s="4" t="n">
        <f aca="false">Assumptions!I47</f>
        <v>34</v>
      </c>
      <c r="J14" s="4" t="n">
        <f aca="false">Assumptions!J47</f>
        <v>34</v>
      </c>
      <c r="K14" s="4" t="n">
        <f aca="false">Assumptions!K47</f>
        <v>34</v>
      </c>
      <c r="L14" s="4" t="n">
        <f aca="false">Assumptions!L47</f>
        <v>34</v>
      </c>
    </row>
    <row r="15" customFormat="false" ht="15" hidden="false" customHeight="false" outlineLevel="0" collapsed="false">
      <c r="A15" s="0" t="s">
        <v>119</v>
      </c>
      <c r="C15" s="0" t="n">
        <f aca="false">C13-MAX(0,C13)*C14/100</f>
        <v>542.922688</v>
      </c>
      <c r="D15" s="0" t="n">
        <f aca="false">D13-MAX(0,D13)*D14/100</f>
        <v>625.807617435</v>
      </c>
      <c r="E15" s="0" t="n">
        <f aca="false">E13-MAX(0,E13)*E14/100</f>
        <v>722.49807332241</v>
      </c>
      <c r="F15" s="0" t="n">
        <f aca="false">F13-MAX(0,F13)*F14/100</f>
        <v>811.244223947272</v>
      </c>
      <c r="G15" s="0" t="n">
        <f aca="false">G13-MAX(0,G13)*G14/100</f>
        <v>893.245667124645</v>
      </c>
      <c r="H15" s="0" t="n">
        <f aca="false">H13-MAX(0,H13)*H14/100</f>
        <v>962.311053757994</v>
      </c>
      <c r="I15" s="0" t="n">
        <f aca="false">I13-MAX(0,I13)*I14/100</f>
        <v>1015.81554834694</v>
      </c>
      <c r="J15" s="0" t="n">
        <f aca="false">J13-MAX(0,J13)*J14/100</f>
        <v>1066.90656681306</v>
      </c>
      <c r="K15" s="0" t="n">
        <f aca="false">K13-MAX(0,K13)*K14/100</f>
        <v>1104.24829665152</v>
      </c>
      <c r="L15" s="0" t="n">
        <f aca="false">L13-MAX(0,L13)*L14/100</f>
        <v>1142.87031437015</v>
      </c>
    </row>
    <row r="16" customFormat="false" ht="15" hidden="false" customHeight="false" outlineLevel="0" collapsed="false">
      <c r="A16" s="0" t="s">
        <v>120</v>
      </c>
      <c r="C16" s="0" t="n">
        <f aca="false">-C12</f>
        <v>549.94324</v>
      </c>
      <c r="D16" s="0" t="n">
        <f aca="false">-D12</f>
        <v>544.970349</v>
      </c>
      <c r="E16" s="0" t="n">
        <f aca="false">-E12</f>
        <v>544.183169607</v>
      </c>
      <c r="F16" s="0" t="n">
        <f aca="false">-F12</f>
        <v>544.81594073445</v>
      </c>
      <c r="G16" s="0" t="n">
        <f aca="false">-G12</f>
        <v>551.127832730764</v>
      </c>
      <c r="H16" s="0" t="n">
        <f aca="false">-H12</f>
        <v>554.057879436421</v>
      </c>
      <c r="I16" s="0" t="n">
        <f aca="false">-I12</f>
        <v>553.474660615962</v>
      </c>
      <c r="J16" s="0" t="n">
        <f aca="false">-J12</f>
        <v>549.304646049677</v>
      </c>
      <c r="K16" s="0" t="n">
        <f aca="false">-K12</f>
        <v>557.701159925008</v>
      </c>
      <c r="L16" s="0" t="n">
        <f aca="false">-L12</f>
        <v>566.107090451413</v>
      </c>
    </row>
    <row r="17" customFormat="false" ht="15" hidden="false" customHeight="false" outlineLevel="0" collapsed="false">
      <c r="A17" s="0" t="s">
        <v>121</v>
      </c>
      <c r="C17" s="4" t="n">
        <f aca="false">-C6*Assumptions!C46/100</f>
        <v>-315.92484</v>
      </c>
      <c r="D17" s="4" t="n">
        <f aca="false">-D6*Assumptions!D46/100</f>
        <v>-351.2031138</v>
      </c>
      <c r="E17" s="4" t="n">
        <f aca="false">-E6*Assumptions!E46/100</f>
        <v>-398.6458102935</v>
      </c>
      <c r="F17" s="4" t="n">
        <f aca="false">-F6*Assumptions!F46/100</f>
        <v>-438.51039132285</v>
      </c>
      <c r="G17" s="4" t="n">
        <f aca="false">-G6*Assumptions!G46/100</f>
        <v>-481.364815929401</v>
      </c>
      <c r="H17" s="4" t="n">
        <f aca="false">-H6*Assumptions!H46/100</f>
        <v>-517.606703157709</v>
      </c>
      <c r="I17" s="4" t="n">
        <f aca="false">-I6*Assumptions!I46/100</f>
        <v>-553.474660615962</v>
      </c>
      <c r="J17" s="4" t="n">
        <f aca="false">-J6*Assumptions!J46/100</f>
        <v>-580.693482966801</v>
      </c>
      <c r="K17" s="4" t="n">
        <f aca="false">-K6*Assumptions!K46/100</f>
        <v>-598.114287455805</v>
      </c>
      <c r="L17" s="4" t="n">
        <f aca="false">-L6*Assumptions!L46/100</f>
        <v>-616.057716079479</v>
      </c>
    </row>
    <row r="18" customFormat="false" ht="15" hidden="false" customHeight="false" outlineLevel="0" collapsed="false">
      <c r="A18" s="0" t="s">
        <v>122</v>
      </c>
      <c r="C18" s="4" t="n">
        <f aca="false">(C6-B6)*Assumptions!$B$51/100</f>
        <v>21.6149999999998</v>
      </c>
      <c r="D18" s="4" t="n">
        <f aca="false">(D6-C6)*Assumptions!$B$51/100</f>
        <v>51.191525</v>
      </c>
      <c r="E18" s="4" t="n">
        <f aca="false">(E6-D6)*Assumptions!$B$51/100</f>
        <v>68.1212936249999</v>
      </c>
      <c r="F18" s="4" t="n">
        <f aca="false">(F6-E6)*Assumptions!$B$51/100</f>
        <v>79.09639093125</v>
      </c>
      <c r="G18" s="4" t="n">
        <f aca="false">(G6-F6)*Assumptions!$B$51/100</f>
        <v>83.0512104778125</v>
      </c>
      <c r="H18" s="4" t="n">
        <f aca="false">(H6-G6)*Assumptions!$B$51/100</f>
        <v>78.4833939015327</v>
      </c>
      <c r="I18" s="4" t="n">
        <f aca="false">(I6-H6)*Assumptions!$B$51/100</f>
        <v>72.9023525574239</v>
      </c>
      <c r="J18" s="4" t="n">
        <f aca="false">(J6-I6)*Assumptions!$B$51/100</f>
        <v>66.3411408272555</v>
      </c>
      <c r="K18" s="4" t="n">
        <f aca="false">(K6-J6)*Assumptions!$B$51/100</f>
        <v>58.8540692196082</v>
      </c>
      <c r="L18" s="4" t="n">
        <f aca="false">(L6-K6)*Assumptions!$B$51/100</f>
        <v>60.6196912961964</v>
      </c>
    </row>
    <row r="19" customFormat="false" ht="15" hidden="false" customHeight="false" outlineLevel="0" collapsed="false">
      <c r="A19" s="0" t="s">
        <v>123</v>
      </c>
      <c r="C19" s="0" t="n">
        <f aca="false">C15+C16+C17+C18</f>
        <v>798.556088</v>
      </c>
      <c r="D19" s="0" t="n">
        <f aca="false">D15+D16+D17+D18</f>
        <v>870.766377635</v>
      </c>
      <c r="E19" s="0" t="n">
        <f aca="false">E15+E16+E17+E18</f>
        <v>936.15672626091</v>
      </c>
      <c r="F19" s="0" t="n">
        <f aca="false">F15+F16+F17+F18</f>
        <v>996.646164290122</v>
      </c>
      <c r="G19" s="0" t="n">
        <f aca="false">G15+G16+G17+G18</f>
        <v>1046.05989440382</v>
      </c>
      <c r="H19" s="0" t="n">
        <f aca="false">H15+H16+H17+H18</f>
        <v>1077.24562393824</v>
      </c>
      <c r="I19" s="0" t="n">
        <f aca="false">I15+I16+I17+I18</f>
        <v>1088.71790090436</v>
      </c>
      <c r="J19" s="0" t="n">
        <f aca="false">J15+J16+J17+J18</f>
        <v>1101.85887072319</v>
      </c>
      <c r="K19" s="0" t="n">
        <f aca="false">K15+K16+K17+K18</f>
        <v>1122.68923834033</v>
      </c>
      <c r="L19" s="0" t="n">
        <f aca="false">L15+L16+L17+L18</f>
        <v>1153.53938003828</v>
      </c>
    </row>
    <row r="20" customFormat="false" ht="15" hidden="false" customHeight="false" outlineLevel="0" collapsed="false">
      <c r="A20" s="0" t="s">
        <v>124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125</v>
      </c>
      <c r="C21" s="0" t="n">
        <f aca="false">C19*C20</f>
        <v>732.620264220183</v>
      </c>
      <c r="D21" s="0" t="n">
        <f aca="false">D19*D20</f>
        <v>732.906638864573</v>
      </c>
      <c r="E21" s="0" t="n">
        <f aca="false">E19*E20</f>
        <v>722.884758766722</v>
      </c>
      <c r="F21" s="0" t="n">
        <f aca="false">F19*F20</f>
        <v>706.049269294548</v>
      </c>
      <c r="G21" s="0" t="n">
        <f aca="false">G19*G20</f>
        <v>679.867157320975</v>
      </c>
      <c r="H21" s="0" t="n">
        <f aca="false">H19*H20</f>
        <v>642.326368577987</v>
      </c>
      <c r="I21" s="0" t="n">
        <f aca="false">I19*I20</f>
        <v>595.565974768619</v>
      </c>
      <c r="J21" s="0" t="n">
        <f aca="false">J19*J20</f>
        <v>552.985812174284</v>
      </c>
      <c r="K21" s="0" t="n">
        <f aca="false">K19*K20</f>
        <v>516.917313095883</v>
      </c>
      <c r="L21" s="0" t="n">
        <f aca="false">L19*L20</f>
        <v>487.267500307922</v>
      </c>
    </row>
    <row r="23" customFormat="false" ht="15" hidden="false" customHeight="false" outlineLevel="0" collapsed="false">
      <c r="A23" s="0" t="s">
        <v>101</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126</v>
      </c>
      <c r="C24" s="0" t="n">
        <f aca="false">-C6*C23/100</f>
        <v>-58.5046</v>
      </c>
      <c r="D24" s="0" t="n">
        <f aca="false">-D6*D23/100</f>
        <v>-60.552261</v>
      </c>
      <c r="E24" s="0" t="n">
        <f aca="false">-E6*E23/100</f>
        <v>-63.277112745</v>
      </c>
      <c r="F24" s="0" t="n">
        <f aca="false">-F6*F23/100</f>
        <v>-66.44096838225</v>
      </c>
      <c r="G24" s="0" t="n">
        <f aca="false">-G6*G23/100</f>
        <v>-69.7630168013625</v>
      </c>
      <c r="H24" s="0" t="n">
        <f aca="false">-H6*H23/100</f>
        <v>-72.9023525574238</v>
      </c>
      <c r="I24" s="0" t="n">
        <f aca="false">-I6*I23/100</f>
        <v>-75.8184466597208</v>
      </c>
      <c r="J24" s="0" t="n">
        <f aca="false">-J6*J23/100</f>
        <v>-78.472092292811</v>
      </c>
      <c r="K24" s="0" t="n">
        <f aca="false">-K6*K23/100</f>
        <v>-80.8262550615953</v>
      </c>
      <c r="L24" s="0" t="n">
        <f aca="false">-L6*L23/100</f>
        <v>-83.2510427134432</v>
      </c>
    </row>
    <row r="26" customFormat="false" ht="15" hidden="false" customHeight="false" outlineLevel="0" collapsed="false">
      <c r="A26" s="2" t="s">
        <v>127</v>
      </c>
    </row>
    <row r="27" customFormat="false" ht="15" hidden="false" customHeight="false" outlineLevel="0" collapsed="false">
      <c r="A27" s="0" t="s">
        <v>105</v>
      </c>
      <c r="B27" s="4" t="n">
        <f aca="false">Assumptions!$B$48</f>
        <v>9</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16</v>
      </c>
    </row>
    <row r="30" customFormat="false" ht="15" hidden="false" customHeight="false" outlineLevel="0" collapsed="false">
      <c r="A30" s="0" t="s">
        <v>128</v>
      </c>
      <c r="B30" s="0" t="n">
        <f aca="false">SUM(C21:L21)</f>
        <v>6369.3910573917</v>
      </c>
    </row>
    <row r="31" customFormat="false" ht="15" hidden="false" customHeight="false" outlineLevel="0" collapsed="false">
      <c r="A31" s="0" t="s">
        <v>129</v>
      </c>
      <c r="B31" s="0" t="n">
        <f aca="false">L19</f>
        <v>1153.53938003828</v>
      </c>
    </row>
    <row r="32" customFormat="false" ht="15" hidden="false" customHeight="false" outlineLevel="0" collapsed="false">
      <c r="A32" s="0" t="s">
        <v>130</v>
      </c>
      <c r="B32" s="0" t="n">
        <f aca="false">IF(B27&gt;B28,B31*(1+B28/100)/((B27-B28)/100),B31*B29)</f>
        <v>19802.4260239904</v>
      </c>
    </row>
    <row r="33" customFormat="false" ht="15" hidden="false" customHeight="false" outlineLevel="0" collapsed="false">
      <c r="A33" s="0" t="s">
        <v>131</v>
      </c>
      <c r="B33" s="0" t="n">
        <f aca="false">B31*B29</f>
        <v>18456.6300806125</v>
      </c>
    </row>
    <row r="34" customFormat="false" ht="15" hidden="false" customHeight="false" outlineLevel="0" collapsed="false">
      <c r="A34" s="0" t="s">
        <v>132</v>
      </c>
      <c r="B34" s="0" t="n">
        <f aca="false">MAX(0,MIN(B32,B33))</f>
        <v>18456.6300806125</v>
      </c>
    </row>
    <row r="35" customFormat="false" ht="15" hidden="false" customHeight="false" outlineLevel="0" collapsed="false">
      <c r="A35" s="0" t="s">
        <v>133</v>
      </c>
      <c r="B35" s="0" t="n">
        <f aca="false">B34/(1+B27/100)^L4</f>
        <v>7796.28000492675</v>
      </c>
    </row>
    <row r="36" customFormat="false" ht="15" hidden="false" customHeight="false" outlineLevel="0" collapsed="false">
      <c r="A36" s="0" t="s">
        <v>134</v>
      </c>
      <c r="B36" s="0" t="n">
        <f aca="false">B30+B35</f>
        <v>14165.6710623184</v>
      </c>
    </row>
    <row r="37" customFormat="false" ht="15" hidden="false" customHeight="false" outlineLevel="0" collapsed="false">
      <c r="A37" s="0" t="s">
        <v>135</v>
      </c>
      <c r="B37" s="0" t="n">
        <f aca="false">B36+Assumptions!$B$5-Assumptions!$B$4</f>
        <v>16150.6710623184</v>
      </c>
    </row>
    <row r="38" customFormat="false" ht="15" hidden="false" customHeight="false" outlineLevel="0" collapsed="false">
      <c r="A38" s="0" t="s">
        <v>136</v>
      </c>
      <c r="B38" s="0" t="n">
        <f aca="false">B37/Assumptions!$B$3*Assumptions!$B$10</f>
        <v>9.48853889624789</v>
      </c>
    </row>
    <row r="39" customFormat="false" ht="15" hidden="false" customHeight="false" outlineLevel="0" collapsed="false">
      <c r="A39" s="0" t="s">
        <v>137</v>
      </c>
      <c r="B39" s="4" t="n">
        <f aca="false">B38/Assumptions!$B$2-1</f>
        <v>0.560614950040771</v>
      </c>
    </row>
    <row r="41" customFormat="false" ht="15" hidden="false" customHeight="false" outlineLevel="0" collapsed="false">
      <c r="A41" s="0" t="s">
        <v>138</v>
      </c>
      <c r="B41" s="0" t="n">
        <f aca="false">SUMPRODUCT(-C10:L10/(1+$B$27/100)^C4:L4)</f>
        <v>398.356750682763</v>
      </c>
    </row>
    <row r="42" customFormat="false" ht="15" hidden="false" customHeight="false" outlineLevel="0" collapsed="false">
      <c r="A42" s="0" t="s">
        <v>139</v>
      </c>
      <c r="B42" s="0" t="n">
        <f aca="false">IF(B27&gt;B28,-L10*(1+B28/100)/((B27-B28)/100),-L10*20)/(1+B27/100)^L4</f>
        <v>543.316864969767</v>
      </c>
    </row>
    <row r="43" customFormat="false" ht="15" hidden="false" customHeight="false" outlineLevel="0" collapsed="false">
      <c r="A43" s="0" t="s">
        <v>140</v>
      </c>
      <c r="B43" s="0" t="n">
        <f aca="false">(B37+B41+B42)/Assumptions!$B$3*Assumptions!$B$10</f>
        <v>10.0417732909806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9901.21301199522</v>
      </c>
    </row>
    <row r="47" customFormat="false" ht="15" hidden="false" customHeight="false" outlineLevel="0" collapsed="false">
      <c r="A47" s="0" t="s">
        <v>142</v>
      </c>
      <c r="B47" s="0" t="n">
        <f aca="false">(SUMPRODUCT(C19:L19/(1+B45/100)^C4:L4)+B46/(1+B45/100)^L4+Assumptions!$B$5-Assumptions!$B$4)/Assumptions!$B$3*Assumptions!$B$10</f>
        <v>5.48149664361674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5.47708782118815</v>
      </c>
      <c r="C4" s="0" t="n">
        <f aca="false">B4/Assumptions!$B$2-1</f>
        <v>-0.0991631873045809</v>
      </c>
      <c r="D4" s="4" t="n">
        <f aca="false">Assumptions!$B$24</f>
        <v>0.3</v>
      </c>
      <c r="E4" s="4" t="n">
        <f aca="false">DCF_Bear!$B$43</f>
        <v>5.86487923415362</v>
      </c>
      <c r="F4" s="4" t="n">
        <f aca="false">DCF_Bear!$B$47</f>
        <v>3.58603279480159</v>
      </c>
    </row>
    <row r="5" customFormat="false" ht="15" hidden="false" customHeight="false" outlineLevel="0" collapsed="false">
      <c r="A5" s="0" t="s">
        <v>151</v>
      </c>
      <c r="B5" s="4" t="n">
        <f aca="false">DCF_Base!$B$38</f>
        <v>7.62820242804596</v>
      </c>
      <c r="C5" s="0" t="n">
        <f aca="false">B5/Assumptions!$B$2-1</f>
        <v>0.254638557244402</v>
      </c>
      <c r="D5" s="4" t="n">
        <f aca="false">Assumptions!$B$38</f>
        <v>0.5</v>
      </c>
      <c r="E5" s="4" t="n">
        <f aca="false">DCF_Base!$B$43</f>
        <v>8.09509397919766</v>
      </c>
      <c r="F5" s="4" t="n">
        <f aca="false">DCF_Base!$B$47</f>
        <v>4.57521511694401</v>
      </c>
    </row>
    <row r="6" customFormat="false" ht="15" hidden="false" customHeight="false" outlineLevel="0" collapsed="false">
      <c r="A6" s="0" t="s">
        <v>152</v>
      </c>
      <c r="B6" s="4" t="n">
        <f aca="false">DCF_Bull!$B$38</f>
        <v>9.48853889624789</v>
      </c>
      <c r="C6" s="0" t="n">
        <f aca="false">B6/Assumptions!$B$2-1</f>
        <v>0.560614950040771</v>
      </c>
      <c r="D6" s="4" t="n">
        <f aca="false">Assumptions!$B$52</f>
        <v>0.2</v>
      </c>
      <c r="E6" s="4" t="n">
        <f aca="false">DCF_Bull!$B$43</f>
        <v>10.0417732909806</v>
      </c>
      <c r="F6" s="4" t="n">
        <f aca="false">DCF_Bull!$B$47</f>
        <v>5.48149664361674</v>
      </c>
    </row>
    <row r="8" customFormat="false" ht="15" hidden="false" customHeight="false" outlineLevel="0" collapsed="false">
      <c r="A8" s="0" t="s">
        <v>153</v>
      </c>
      <c r="B8" s="0" t="n">
        <f aca="false">SUMPRODUCT(B4:B6,D4:D6)</f>
        <v>7.354935339629</v>
      </c>
    </row>
    <row r="9" customFormat="false" ht="15" hidden="false" customHeight="false" outlineLevel="0" collapsed="false">
      <c r="A9" s="0" t="s">
        <v>154</v>
      </c>
      <c r="B9" s="0" t="n">
        <f aca="false">SUMPRODUCT(E4:E6,D4:D6)</f>
        <v>7.81536541804104</v>
      </c>
    </row>
    <row r="10" customFormat="false" ht="15" hidden="false" customHeight="false" outlineLevel="0" collapsed="false">
      <c r="A10" s="0" t="s">
        <v>155</v>
      </c>
      <c r="B10" s="0" t="n">
        <f aca="false">1-Assumptions!$B$2/B8</f>
        <v>0.173344194171164</v>
      </c>
    </row>
    <row r="11" customFormat="false" ht="15" hidden="false" customHeight="false" outlineLevel="0" collapsed="false">
      <c r="A11" s="0" t="s">
        <v>156</v>
      </c>
      <c r="B11" s="0" t="n">
        <f aca="false">IF(ABS(B9-B8)&gt;0.01*ABS(B8),(Assumptions!$B$2-B8)/(B9-B8)*100,"n/a")</f>
        <v>-276.900967031971</v>
      </c>
    </row>
    <row r="12" customFormat="false" ht="15" hidden="false" customHeight="false" outlineLevel="0" collapsed="false">
      <c r="A12" s="0" t="s">
        <v>157</v>
      </c>
      <c r="B12" s="0" t="n">
        <f aca="false">SUMPRODUCT(F4:F6,D4:D6)</f>
        <v>4.45971672563583</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7.62820242804596</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6.7825083847486</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6.13488002254625</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5.62283395135406</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4.57521511694401</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8.67783901957404</v>
      </c>
      <c r="C23" s="0" t="n">
        <f aca="false">(SUMPRODUCT(DCF_Base!$C$19:$L$19/(1+$A$23/100)^DCF_Base!$C$4:$L$4)+MAX(0,MIN(IF($A$23&gt;$C$22,DCF_Base!$L$19*(1+$C$22/100)/(($A$23-$C$22)/100),DCF_Base!$L$19*DCF_Base!$B$29),DCF_Base!$L$19*DCF_Base!$B$29))/(1+$A$23/100)^DCF_Base!$L$4+Assumptions!$B$5-Assumptions!$B$4)/Assumptions!$B$3*Assumptions!$B$10</f>
        <v>8.67783901957404</v>
      </c>
      <c r="D23" s="0" t="n">
        <f aca="false">(SUMPRODUCT(DCF_Base!$C$19:$L$19/(1+$A$23/100)^DCF_Base!$C$4:$L$4)+MAX(0,MIN(IF($A$23&gt;$D$22,DCF_Base!$L$19*(1+$D$22/100)/(($A$23-$D$22)/100),DCF_Base!$L$19*DCF_Base!$B$29),DCF_Base!$L$19*DCF_Base!$B$29))/(1+$A$23/100)^DCF_Base!$L$4+Assumptions!$B$5-Assumptions!$B$4)/Assumptions!$B$3*Assumptions!$B$10</f>
        <v>8.67783901957404</v>
      </c>
      <c r="E23" s="0" t="n">
        <f aca="false">(SUMPRODUCT(DCF_Base!$C$19:$L$19/(1+$A$23/100)^DCF_Base!$C$4:$L$4)+MAX(0,MIN(IF($A$23&gt;$E$22,DCF_Base!$L$19*(1+$E$22/100)/(($A$23-$E$22)/100),DCF_Base!$L$19*DCF_Base!$B$29),DCF_Base!$L$19*DCF_Base!$B$29))/(1+$A$23/100)^DCF_Base!$L$4+Assumptions!$B$5-Assumptions!$B$4)/Assumptions!$B$3*Assumptions!$B$10</f>
        <v>8.67783901957404</v>
      </c>
      <c r="F23" s="0" t="n">
        <f aca="false">(SUMPRODUCT(DCF_Base!$C$19:$L$19/(1+$A$23/100)^DCF_Base!$C$4:$L$4)+MAX(0,MIN(IF($A$23&gt;$F$22,DCF_Base!$L$19*(1+$F$22/100)/(($A$23-$F$22)/100),DCF_Base!$L$19*DCF_Base!$B$29),DCF_Base!$L$19*DCF_Base!$B$29))/(1+$A$23/100)^DCF_Base!$L$4+Assumptions!$B$5-Assumptions!$B$4)/Assumptions!$B$3*Assumptions!$B$10</f>
        <v>8.67783901957404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8.0636664294986</v>
      </c>
      <c r="C24" s="0" t="n">
        <f aca="false">(SUMPRODUCT(DCF_Base!$C$19:$L$19/(1+$A$24/100)^DCF_Base!$C$4:$L$4)+MAX(0,MIN(IF($A$24&gt;$C$22,DCF_Base!$L$19*(1+$C$22/100)/(($A$24-$C$22)/100),DCF_Base!$L$19*DCF_Base!$B$29),DCF_Base!$L$19*DCF_Base!$B$29))/(1+$A$24/100)^DCF_Base!$L$4+Assumptions!$B$5-Assumptions!$B$4)/Assumptions!$B$3*Assumptions!$B$10</f>
        <v>8.15485069899141</v>
      </c>
      <c r="D24" s="0" t="n">
        <f aca="false">(SUMPRODUCT(DCF_Base!$C$19:$L$19/(1+$A$24/100)^DCF_Base!$C$4:$L$4)+MAX(0,MIN(IF($A$24&gt;$D$22,DCF_Base!$L$19*(1+$D$22/100)/(($A$24-$D$22)/100),DCF_Base!$L$19*DCF_Base!$B$29),DCF_Base!$L$19*DCF_Base!$B$29))/(1+$A$24/100)^DCF_Base!$L$4+Assumptions!$B$5-Assumptions!$B$4)/Assumptions!$B$3*Assumptions!$B$10</f>
        <v>8.15485069899141</v>
      </c>
      <c r="E24" s="0" t="n">
        <f aca="false">(SUMPRODUCT(DCF_Base!$C$19:$L$19/(1+$A$24/100)^DCF_Base!$C$4:$L$4)+MAX(0,MIN(IF($A$24&gt;$E$22,DCF_Base!$L$19*(1+$E$22/100)/(($A$24-$E$22)/100),DCF_Base!$L$19*DCF_Base!$B$29),DCF_Base!$L$19*DCF_Base!$B$29))/(1+$A$24/100)^DCF_Base!$L$4+Assumptions!$B$5-Assumptions!$B$4)/Assumptions!$B$3*Assumptions!$B$10</f>
        <v>8.15485069899141</v>
      </c>
      <c r="F24" s="0" t="n">
        <f aca="false">(SUMPRODUCT(DCF_Base!$C$19:$L$19/(1+$A$24/100)^DCF_Base!$C$4:$L$4)+MAX(0,MIN(IF($A$24&gt;$F$22,DCF_Base!$L$19*(1+$F$22/100)/(($A$24-$F$22)/100),DCF_Base!$L$19*DCF_Base!$B$29),DCF_Base!$L$19*DCF_Base!$B$29))/(1+$A$24/100)^DCF_Base!$L$4+Assumptions!$B$5-Assumptions!$B$4)/Assumptions!$B$3*Assumptions!$B$10</f>
        <v>8.15485069899141</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7.14479009680621</v>
      </c>
      <c r="C25" s="0" t="n">
        <f aca="false">(SUMPRODUCT(DCF_Base!$C$19:$L$19/(1+$A$25/100)^DCF_Base!$C$4:$L$4)+MAX(0,MIN(IF($A$25&gt;$C$22,DCF_Base!$L$19*(1+$C$22/100)/(($A$25-$C$22)/100),DCF_Base!$L$19*DCF_Base!$B$29),DCF_Base!$L$19*DCF_Base!$B$29))/(1+$A$25/100)^DCF_Base!$L$4+Assumptions!$B$5-Assumptions!$B$4)/Assumptions!$B$3*Assumptions!$B$10</f>
        <v>7.36923153631038</v>
      </c>
      <c r="D25" s="0" t="n">
        <f aca="false">(SUMPRODUCT(DCF_Base!$C$19:$L$19/(1+$A$25/100)^DCF_Base!$C$4:$L$4)+MAX(0,MIN(IF($A$25&gt;$D$22,DCF_Base!$L$19*(1+$D$22/100)/(($A$25-$D$22)/100),DCF_Base!$L$19*DCF_Base!$B$29),DCF_Base!$L$19*DCF_Base!$B$29))/(1+$A$25/100)^DCF_Base!$L$4+Assumptions!$B$5-Assumptions!$B$4)/Assumptions!$B$3*Assumptions!$B$10</f>
        <v>7.62820242804596</v>
      </c>
      <c r="E25" s="0" t="n">
        <f aca="false">(SUMPRODUCT(DCF_Base!$C$19:$L$19/(1+$A$25/100)^DCF_Base!$C$4:$L$4)+MAX(0,MIN(IF($A$25&gt;$E$22,DCF_Base!$L$19*(1+$E$22/100)/(($A$25-$E$22)/100),DCF_Base!$L$19*DCF_Base!$B$29),DCF_Base!$L$19*DCF_Base!$B$29))/(1+$A$25/100)^DCF_Base!$L$4+Assumptions!$B$5-Assumptions!$B$4)/Assumptions!$B$3*Assumptions!$B$10</f>
        <v>7.67809590260053</v>
      </c>
      <c r="F25" s="0" t="n">
        <f aca="false">(SUMPRODUCT(DCF_Base!$C$19:$L$19/(1+$A$25/100)^DCF_Base!$C$4:$L$4)+MAX(0,MIN(IF($A$25&gt;$F$22,DCF_Base!$L$19*(1+$F$22/100)/(($A$25-$F$22)/100),DCF_Base!$L$19*DCF_Base!$B$29),DCF_Base!$L$19*DCF_Base!$B$29))/(1+$A$25/100)^DCF_Base!$L$4+Assumptions!$B$5-Assumptions!$B$4)/Assumptions!$B$3*Assumptions!$B$10</f>
        <v>7.67809590260053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6.44200889104393</v>
      </c>
      <c r="C26" s="0" t="n">
        <f aca="false">(SUMPRODUCT(DCF_Base!$C$19:$L$19/(1+$A$26/100)^DCF_Base!$C$4:$L$4)+MAX(0,MIN(IF($A$26&gt;$C$22,DCF_Base!$L$19*(1+$C$22/100)/(($A$26-$C$22)/100),DCF_Base!$L$19*DCF_Base!$B$29),DCF_Base!$L$19*DCF_Base!$B$29))/(1+$A$26/100)^DCF_Base!$L$4+Assumptions!$B$5-Assumptions!$B$4)/Assumptions!$B$3*Assumptions!$B$10</f>
        <v>6.601618028718</v>
      </c>
      <c r="D26" s="0" t="n">
        <f aca="false">(SUMPRODUCT(DCF_Base!$C$19:$L$19/(1+$A$26/100)^DCF_Base!$C$4:$L$4)+MAX(0,MIN(IF($A$26&gt;$D$22,DCF_Base!$L$19*(1+$D$22/100)/(($A$26-$D$22)/100),DCF_Base!$L$19*DCF_Base!$B$29),DCF_Base!$L$19*DCF_Base!$B$29))/(1+$A$26/100)^DCF_Base!$L$4+Assumptions!$B$5-Assumptions!$B$4)/Assumptions!$B$3*Assumptions!$B$10</f>
        <v>6.7825083847486</v>
      </c>
      <c r="E26" s="0" t="n">
        <f aca="false">(SUMPRODUCT(DCF_Base!$C$19:$L$19/(1+$A$26/100)^DCF_Base!$C$4:$L$4)+MAX(0,MIN(IF($A$26&gt;$E$22,DCF_Base!$L$19*(1+$E$22/100)/(($A$26-$E$22)/100),DCF_Base!$L$19*DCF_Base!$B$29),DCF_Base!$L$19*DCF_Base!$B$29))/(1+$A$26/100)^DCF_Base!$L$4+Assumptions!$B$5-Assumptions!$B$4)/Assumptions!$B$3*Assumptions!$B$10</f>
        <v>6.98924022021215</v>
      </c>
      <c r="F26" s="0" t="n">
        <f aca="false">(SUMPRODUCT(DCF_Base!$C$19:$L$19/(1+$A$26/100)^DCF_Base!$C$4:$L$4)+MAX(0,MIN(IF($A$26&gt;$F$22,DCF_Base!$L$19*(1+$F$22/100)/(($A$26-$F$22)/100),DCF_Base!$L$19*DCF_Base!$B$29),DCF_Base!$L$19*DCF_Base!$B$29))/(1+$A$26/100)^DCF_Base!$L$4+Assumptions!$B$5-Assumptions!$B$4)/Assumptions!$B$3*Assumptions!$B$10</f>
        <v>7.22777695343932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5.88709132897295</v>
      </c>
      <c r="C27" s="0" t="n">
        <f aca="false">(SUMPRODUCT(DCF_Base!$C$19:$L$19/(1+$A$27/100)^DCF_Base!$C$4:$L$4)+MAX(0,MIN(IF($A$27&gt;$C$22,DCF_Base!$L$19*(1+$C$22/100)/(($A$27-$C$22)/100),DCF_Base!$L$19*DCF_Base!$B$29),DCF_Base!$L$19*DCF_Base!$B$29))/(1+$A$27/100)^DCF_Base!$L$4+Assumptions!$B$5-Assumptions!$B$4)/Assumptions!$B$3*Assumptions!$B$10</f>
        <v>6.00410265649367</v>
      </c>
      <c r="D27" s="0" t="n">
        <f aca="false">(SUMPRODUCT(DCF_Base!$C$19:$L$19/(1+$A$27/100)^DCF_Base!$C$4:$L$4)+MAX(0,MIN(IF($A$27&gt;$D$22,DCF_Base!$L$19*(1+$D$22/100)/(($A$27-$D$22)/100),DCF_Base!$L$19*DCF_Base!$B$29),DCF_Base!$L$19*DCF_Base!$B$29))/(1+$A$27/100)^DCF_Base!$L$4+Assumptions!$B$5-Assumptions!$B$4)/Assumptions!$B$3*Assumptions!$B$10</f>
        <v>6.13488002254625</v>
      </c>
      <c r="E27" s="0" t="n">
        <f aca="false">(SUMPRODUCT(DCF_Base!$C$19:$L$19/(1+$A$27/100)^DCF_Base!$C$4:$L$4)+MAX(0,MIN(IF($A$27&gt;$E$22,DCF_Base!$L$19*(1+$E$22/100)/(($A$27-$E$22)/100),DCF_Base!$L$19*DCF_Base!$B$29),DCF_Base!$L$19*DCF_Base!$B$29))/(1+$A$27/100)^DCF_Base!$L$4+Assumptions!$B$5-Assumptions!$B$4)/Assumptions!$B$3*Assumptions!$B$10</f>
        <v>6.28200455935539</v>
      </c>
      <c r="F27" s="0" t="n">
        <f aca="false">(SUMPRODUCT(DCF_Base!$C$19:$L$19/(1+$A$27/100)^DCF_Base!$C$4:$L$4)+MAX(0,MIN(IF($A$27&gt;$F$22,DCF_Base!$L$19*(1+$F$22/100)/(($A$27-$F$22)/100),DCF_Base!$L$19*DCF_Base!$B$29),DCF_Base!$L$19*DCF_Base!$B$29))/(1+$A$27/100)^DCF_Base!$L$4+Assumptions!$B$5-Assumptions!$B$4)/Assumptions!$B$3*Assumptions!$B$10</f>
        <v>6.44874570107242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2026-10-16T21:29:10Z</dcterms:created>
  <dc:creator>openpyxl</dc:creator>
  <dc:description/>
  <dc:language>en-NZ</dc:language>
  <cp:lastModifiedBy/>
  <dcterms:modified xsi:type="dcterms:W3CDTF">2026-10-16T21:29:10Z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