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<sst xmlns="http://schemas.openxmlformats.org/spreadsheetml/2006/main" count="348" uniqueCount="161">
  <si>
    <t xml:space="preserve">Ticker</t>
  </si>
  <si>
    <t xml:space="preserve">GEHC</t>
  </si>
  <si>
    <t xml:space="preserve">Company</t>
  </si>
  <si>
    <t xml:space="preserve">GE HealthCare Technologies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</si>
  <si>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</si>
  <si>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</si>
  <si>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</si>
  <si>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</si>
  <si>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regular close (Friday; Monday 2026-09-28 session not yet printed at build 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</si>
  <si>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</si>
  <si>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</si>
  <si>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</si>
  <si>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</si>
  <si>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</si>
  <si>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</si>
  <si>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</si>
  <si>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</si>
  <si>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</si>
  <si>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</si>
  <si>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</si>
  <si>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</si>
  <si>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2026-09-28T08:38:30Z</t>
  </si>
  <si>
    <t xml:space="preserve">Drivers file</t>
  </si>
  <si>
    <t xml:space="preserve">GEHC_Drivers.json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</si>
  <si>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</si>
  <si>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</si>
  <si>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</si>
  <si>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consolidated operating business on unlevered, SBC-expensed owner FCF built from components, discount at an 8% USD WACC held constant across scenarios, cap the terminal value at 13-18x owner FCF, then deduct net debt at the 2026-06-30 balance sheet, the after-tax pension deficit and the minority share once each. The result is compared with the current price on a probability-weighted basis and against a 15% hurdle entry price. Because interest and the pension are charged through WACC and the bridge, the projected flows are ~$0.9B/yr above the FCF the company reports; the reconciliation to the ~$1.6B FY2026 FCF guide is stated in inputs.notes.
key_risks_to_valuation: Section 232 medical-equipment tariff investigation (opened Sept 2026) could re-impose the ~$500M gross headwind that mitigation removed in 2026; China (~13% of revenue) is flat-to-down with local competitors gaining; the base case assumes no recovery but also no further collapse; Pension deficit ($5.2B) is rate-sensitive; a 100bps fall in discount rates raises it and the bridge deduction by roughly $2B; Leverage: $10.1B debt after the debt-funded $2.3B Intelerad deal; equity is only ~70% of EV, so a 10% change in EV moves the per-share value ~14%; Margin path assumes launch-cycle pricing and mix offset input-cost inflation; FY2026 already absorbed ~$250M of unexpected inflation; Terminal value is ~55-60% of EV even with the multiple cap; the sensitivity grid shows the WACC and terminal-growth exposure</t>
  </si>
  <si>
    <t xml:space="preserve">Data sources</t>
  </si>
  <si>
    <t xml:space="preserve">price: Yahoo Finance chart API at inputs.price_as_of; 52-week range 58.75-89.77
financials: SEC XBRL companyfacts (FY2021-FY2025 annuals, quarterlies through Q1 2026) via GEHC_Metrics.csv and GEHC.duckdb; FY2025 10-K (accession 0001932393-26-000007) and FY2024 10-K iXBRL for annual operating cash flow, interest and net-share-settlement taxes; Q2 2026 10-Q (accession 0001932393-26-000046) iXBRL for the 2026-06-30 balance sheet, H1 2026 cash flow and the 2026-07-22 cover-page share count
qualitative: GEHC_Analysis.json (2026-09-28): segments, guidance reaffirmed at Q2 2026 (organic growth 3-4%, adj EBIT margin 15.4-15.7%, adj EPS $4.80-5.00, FCF ~$1.6B), backlog $23.9B, tariff and Section 232 developments</t>
  </si>
  <si>
    <t xml:space="preserve">Scenario narrative: bear</t>
  </si>
  <si>
    <t xml:space="preserve">A Section 232 finding imposes new duties on imaging components and the US-China tariff truce unwinds, so the FY2026 tariff headwind returns; memory-chip and freight inflation persists; China revenue keeps shrinking as United Imaging and Mindray move upmarket and win export tenders; hospital capex slows with rates. Revenue growth stalls at 1.5-2% after the Intelerad lap and the pre-SBC EBITDA margin compresses to 15% and stays there. With ~$10B of debt, a $5B pension deficit and a 13x terminal cap, the equity is a thin slice of enterprise value and the bear value falls to roughly two-thirds of the current price.</t>
  </si>
  <si>
    <t xml:space="preserve">Scenario narrative: base</t>
  </si>
  <si>
    <t xml:space="preserve">GEHC remains one of the three global imaging incumbents growing with hospital capex: organic 3-4% in FY2026 lifts to ~4.5% in FY2027 as the largest launch cycle in a decade (SIGNA Sprint/Bolt/One MRI, photon-counting and True Definition CT, MIM AI contouring) converts from a record $23.9B backlog, Intelerad adds a cloud enterprise-imaging layer, and PDx radiopharmaceuticals grow faster than the group. China stays flat rather than recovering. Tariffs settle at roughly neutral after USMCA and US-manufacturing mitigation; the Section 232 probe produces no large new duty. Pre-SBC EBITDA margin dips to 16.5% in FY2026 on input inflation and integration costs then expands ~15bps/yr to 18% -- less than a third of management's adjusted-margin ambition. Growth fades to 2.5% by FY2034 and the terminal multiple is capped at 16x owner FCF. The pension deficit and net debt are deducted at the Q2 2026 balance sheet.</t>
  </si>
  <si>
    <t xml:space="preserve">Scenario narrative: bull</t>
  </si>
  <si>
    <t xml:space="preserve">The launch cycle takes share from Siemens Healthineers and Philips in MRI and CT, pricing holds as photon-counting and Deep Silicon detectors move GEHC into premium tiers, the software/AI attach rate on the installed base (CareIntellect, Intelerad, MIM) lifts recurring mix, and China stabilises after the anti-corruption procurement freeze. Revenue grows 5-7% through FY2029 and the pre-SBC EBITDA margin reaches 20% by FY2033 (management's ~50bps/yr adjusted goal, delivered). Tariffs turn into a net positive as USMCA-certified US production displaces imports. Terminal growth 3% with an 18x cap -- still below the multiple Siemens Healthineers commands.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</si>
  <si>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</si>
  <si>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</si>
  <si>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</si>
  <si>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</si>
  <si>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</si>
  <si>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</si>
  <si>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</si>
  <si>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</si>
  <si>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</si>
  <si>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</si>
  <si>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</si>
  <si>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</si>
  <si>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</si>
  <si>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</si>
  <si>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</si>
  <si>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</si>
  <si>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</si>
  <si>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</si>
  <si>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</si>
  <si>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</si>
  <si>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</si>
  <si>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</si>
  <si>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</si>
  <si>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</si>
  <si>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</si>
  <si>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</si>
  <si>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</si>
  <si>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</si>
  <si>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</si>
  <si>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</si>
  <si>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</si>
  <si>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</si>
  <si>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</si>
  <si>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</si>
  <si>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</si>
  <si>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</si>
  <si>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</si>
  <si>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</si>
  <si>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</si>
  <si>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</si>
  <si>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</si>
  <si>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</si>
  <si>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</si>
  <si>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</si>
  <si>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</si>
  <si>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</si>
  <si>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</si>
  <si>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</si>
  <si>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</si>
  <si>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</si>
  <si>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</si>
  <si>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</si>
  <si>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</si>
  <si>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</si>
  <si>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</si>
  <si>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</si>
  <si>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</si>
  <si>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</si>
  <si>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</si>
  <si>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</si>
  <si>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</si>
  <si>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</si>
  <si>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</si>
  <si>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</si>
  <si>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</si>
  <si>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</si>
  <si>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</si>
  <si>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</si>
  <si>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</si>
  <si>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</si>
  <si>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GEHC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</si>
  <si>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</si>
  <si>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</si>
  <si>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</si>
  <si>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</si>
  <si>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</si>
  <si>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</si>
  <si>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</si>
  <si>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</si>
  <si>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</si>
  <si>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</si>
  <si>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</si>
  <si>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</si>
  <si>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</si>
  <si>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</si>
  <si>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</si>
  <si>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</si>
  <si>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</si>
  <si>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</si>
  <si>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</si>
  <si>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</si>
  <si>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</si>
  <si>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</si>
  <si>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</si>
  <si>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</si>
  <si>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</si>
  <si>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</si>
  <si>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</si>
  <si>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</si>
  <si>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</si>
  <si>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</si>
  <si>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GEHC owner-FCF component DCF: base case (millions, USD)</t>
  </si>
  <si>
    <t xml:space="preserve">GEHC owner-FCF component DCF: bull case (millions, USD)</t>
  </si>
  <si>
    <t xml:space="preserve">GEHC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</si>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</sst>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66.63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14751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17585</v>
      </c>
      <c r="D3" s="0" t="n">
        <v>7174</v>
      </c>
      <c r="E3" s="0" t="n">
        <v>40.7961330679556</v>
      </c>
      <c r="F3" s="0" t="n">
        <v>2795</v>
      </c>
      <c r="G3" s="0" t="n">
        <v>15.8942280352573</v>
      </c>
      <c r="I3" s="0" t="n">
        <v>2293</v>
      </c>
      <c r="J3" s="0" t="n">
        <v>13.0395223201592</v>
      </c>
      <c r="K3" s="0" t="n">
        <v>4.95</v>
      </c>
      <c r="M3" s="0" t="n">
        <v>248</v>
      </c>
      <c r="O3" s="0" t="n">
        <v>16676</v>
      </c>
      <c r="T3" s="0" t="n">
        <v>454</v>
      </c>
      <c r="U3" s="0" t="n">
        <v>76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18341</v>
      </c>
      <c r="D4" s="0" t="n">
        <v>7179</v>
      </c>
      <c r="E4" s="0" t="n">
        <v>39.1418134234775</v>
      </c>
      <c r="F4" s="0" t="n">
        <v>2522</v>
      </c>
      <c r="G4" s="0" t="n">
        <v>13.7506133798593</v>
      </c>
      <c r="I4" s="0" t="n">
        <v>1967</v>
      </c>
      <c r="J4" s="0" t="n">
        <v>10.7246060738237</v>
      </c>
      <c r="K4" s="0" t="n">
        <v>4.22</v>
      </c>
      <c r="M4" s="0" t="n">
        <v>310</v>
      </c>
      <c r="O4" s="0" t="n">
        <v>9362</v>
      </c>
      <c r="P4" s="0" t="n">
        <v>27539</v>
      </c>
      <c r="Q4" s="0" t="n">
        <v>17947</v>
      </c>
      <c r="R4" s="0" t="n">
        <v>8256</v>
      </c>
      <c r="S4" s="0" t="n">
        <v>1440</v>
      </c>
      <c r="T4" s="0" t="n">
        <v>454</v>
      </c>
      <c r="U4" s="0" t="n">
        <v>67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19552</v>
      </c>
      <c r="D5" s="0" t="n">
        <v>7922</v>
      </c>
      <c r="E5" s="0" t="n">
        <v>40.5175941080196</v>
      </c>
      <c r="F5" s="0" t="n">
        <v>2435</v>
      </c>
      <c r="G5" s="0" t="n">
        <v>12.453968903437</v>
      </c>
      <c r="I5" s="0" t="n">
        <v>1614</v>
      </c>
      <c r="J5" s="0" t="n">
        <v>8.25490998363339</v>
      </c>
      <c r="K5" s="0" t="n">
        <v>3.05</v>
      </c>
      <c r="M5" s="0" t="n">
        <v>387</v>
      </c>
      <c r="O5" s="0" t="n">
        <v>7145</v>
      </c>
      <c r="P5" s="0" t="n">
        <v>32454</v>
      </c>
      <c r="Q5" s="0" t="n">
        <v>25144</v>
      </c>
      <c r="R5" s="0" t="n">
        <v>10444</v>
      </c>
      <c r="S5" s="0" t="n">
        <v>2494</v>
      </c>
      <c r="T5" s="0" t="n">
        <v>458</v>
      </c>
      <c r="U5" s="0" t="n">
        <v>114</v>
      </c>
      <c r="V5" s="0" t="n">
        <v>0.12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19672</v>
      </c>
      <c r="D6" s="0" t="n">
        <v>8205</v>
      </c>
      <c r="E6" s="0" t="n">
        <v>41.7090280601871</v>
      </c>
      <c r="F6" s="0" t="n">
        <v>2625</v>
      </c>
      <c r="G6" s="0" t="n">
        <v>13.3438389589264</v>
      </c>
      <c r="I6" s="0" t="n">
        <v>2050</v>
      </c>
      <c r="J6" s="0" t="n">
        <v>10.4209028060187</v>
      </c>
      <c r="K6" s="0" t="n">
        <v>4.37</v>
      </c>
      <c r="M6" s="0" t="n">
        <v>401</v>
      </c>
      <c r="O6" s="0" t="n">
        <v>8464</v>
      </c>
      <c r="P6" s="0" t="n">
        <v>33089</v>
      </c>
      <c r="Q6" s="0" t="n">
        <v>24437</v>
      </c>
      <c r="R6" s="0" t="n">
        <v>10451</v>
      </c>
      <c r="S6" s="0" t="n">
        <v>2874</v>
      </c>
      <c r="T6" s="0" t="n">
        <v>459</v>
      </c>
      <c r="U6" s="0" t="n">
        <v>125</v>
      </c>
      <c r="V6" s="0" t="n">
        <v>0.125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20625</v>
      </c>
      <c r="D7" s="0" t="n">
        <v>8248</v>
      </c>
      <c r="E7" s="0" t="n">
        <v>39.990303030303</v>
      </c>
      <c r="F7" s="0" t="n">
        <v>2763</v>
      </c>
      <c r="G7" s="0" t="n">
        <v>13.3963636363636</v>
      </c>
      <c r="I7" s="0" t="n">
        <v>2154</v>
      </c>
      <c r="J7" s="0" t="n">
        <v>10.4436363636364</v>
      </c>
      <c r="K7" s="0" t="n">
        <v>4.56</v>
      </c>
      <c r="M7" s="0" t="n">
        <v>482</v>
      </c>
      <c r="O7" s="0" t="n">
        <v>10390</v>
      </c>
      <c r="P7" s="0" t="n">
        <v>36906</v>
      </c>
      <c r="Q7" s="0" t="n">
        <v>26307</v>
      </c>
      <c r="R7" s="0" t="n">
        <v>10505</v>
      </c>
      <c r="S7" s="0" t="n">
        <v>4492</v>
      </c>
      <c r="T7" s="0" t="n">
        <v>458</v>
      </c>
      <c r="U7" s="0" t="n">
        <v>130</v>
      </c>
      <c r="V7" s="0" t="n">
        <v>0.14</v>
      </c>
      <c r="AA7" s="0" t="s">
        <v>17</v>
      </c>
      <c r="AB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69</v>
      </c>
      <c r="B1" s="2" t="s">
        <v>70</v>
      </c>
    </row>
    <row r="2" customFormat="false" ht="15" hidden="false" customHeight="false" outlineLevel="0" collapsed="false">
      <c r="A2" s="0" t="s">
        <v>71</v>
      </c>
      <c r="B2" s="3" t="n">
        <v>66.63</v>
      </c>
    </row>
    <row r="3" customFormat="false" ht="15" hidden="false" customHeight="false" outlineLevel="0" collapsed="false">
      <c r="A3" s="0" t="s">
        <v>72</v>
      </c>
      <c r="B3" s="3" t="n">
        <v>453</v>
      </c>
    </row>
    <row r="4" customFormat="false" ht="15" hidden="false" customHeight="false" outlineLevel="0" collapsed="false">
      <c r="A4" s="0" t="s">
        <v>73</v>
      </c>
      <c r="B4" s="3" t="n">
        <v>8014</v>
      </c>
    </row>
    <row r="5" customFormat="false" ht="15" hidden="false" customHeight="false" outlineLevel="0" collapsed="false">
      <c r="A5" s="0" t="s">
        <v>74</v>
      </c>
      <c r="B5" s="3" t="n">
        <v>-5007</v>
      </c>
    </row>
    <row r="6" customFormat="false" ht="15" hidden="false" customHeight="false" outlineLevel="0" collapsed="false">
      <c r="A6" s="0" t="s">
        <v>75</v>
      </c>
      <c r="B6" s="3" t="n">
        <v>15</v>
      </c>
    </row>
    <row r="7" customFormat="false" ht="15" hidden="false" customHeight="false" outlineLevel="0" collapsed="false">
      <c r="A7" s="0" t="s">
        <v>76</v>
      </c>
      <c r="B7" s="3" t="n">
        <v>20625</v>
      </c>
    </row>
    <row r="8" customFormat="false" ht="15" hidden="false" customHeight="false" outlineLevel="0" collapsed="false">
      <c r="A8" s="0" t="s">
        <v>77</v>
      </c>
      <c r="B8" s="3" t="s">
        <v>68</v>
      </c>
    </row>
    <row r="9" customFormat="false" ht="15" hidden="false" customHeight="false" outlineLevel="0" collapsed="false">
      <c r="A9" s="0" t="s">
        <v>78</v>
      </c>
      <c r="B9" s="3" t="s">
        <v>79</v>
      </c>
    </row>
    <row r="10" customFormat="false" ht="15" hidden="false" customHeight="false" outlineLevel="0" collapsed="false">
      <c r="A10" s="0" t="s">
        <v>80</v>
      </c>
      <c r="B10" s="3" t="n">
        <v>1</v>
      </c>
    </row>
    <row r="12" customFormat="false" ht="15" hidden="false" customHeight="false" outlineLevel="0" collapsed="false">
      <c r="A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  <c r="J12" s="2" t="s">
        <v>89</v>
      </c>
      <c r="K12" s="2" t="s">
        <v>90</v>
      </c>
      <c r="L12" s="2" t="s">
        <v>91</v>
      </c>
    </row>
    <row r="13" customFormat="false" ht="15" hidden="false" customHeight="false" outlineLevel="0" collapsed="false">
      <c r="A13" s="0" t="s">
        <v>92</v>
      </c>
      <c r="C13" s="3" t="n">
        <v>4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93</v>
      </c>
      <c r="C14" s="3" t="n">
        <v>15.8</v>
      </c>
      <c r="D14" s="3" t="n">
        <v>15.3</v>
      </c>
      <c r="E14" s="3" t="n">
        <v>15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94</v>
      </c>
      <c r="C15" s="3" t="n">
        <v>0.8</v>
      </c>
      <c r="D15" s="3" t="n">
        <v>0.8</v>
      </c>
      <c r="E15" s="3" t="n">
        <v>0.78</v>
      </c>
      <c r="F15" s="3" t="n">
        <v>0.75</v>
      </c>
      <c r="G15" s="3" t="n">
        <v>0.75</v>
      </c>
      <c r="H15" s="3" t="n">
        <v>0.72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95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96</v>
      </c>
      <c r="C17" s="3" t="n">
        <v>3</v>
      </c>
      <c r="D17" s="3" t="n">
        <v>3</v>
      </c>
      <c r="E17" s="3" t="n">
        <v>2.9</v>
      </c>
      <c r="F17" s="3" t="n">
        <v>2.9</v>
      </c>
      <c r="G17" s="3" t="n">
        <v>2.8</v>
      </c>
      <c r="H17" s="3" t="n">
        <v>2.8</v>
      </c>
      <c r="I17" s="3" t="n">
        <v>2.7</v>
      </c>
      <c r="J17" s="3" t="n">
        <v>2.7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97</v>
      </c>
      <c r="C18" s="3" t="n">
        <v>2.7</v>
      </c>
      <c r="D18" s="3" t="n">
        <v>2.7</v>
      </c>
      <c r="E18" s="3" t="n">
        <v>2.6</v>
      </c>
      <c r="F18" s="3" t="n">
        <v>2.6</v>
      </c>
      <c r="G18" s="3" t="n">
        <v>2.6</v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</row>
    <row r="19" customFormat="false" ht="15" hidden="false" customHeight="false" outlineLevel="0" collapsed="false">
      <c r="A19" s="0" t="s">
        <v>98</v>
      </c>
      <c r="C19" s="3" t="n">
        <v>20</v>
      </c>
      <c r="D19" s="3" t="n">
        <v>21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99</v>
      </c>
      <c r="B20" s="3" t="n">
        <v>8</v>
      </c>
    </row>
    <row r="21" customFormat="false" ht="15" hidden="false" customHeight="false" outlineLevel="0" collapsed="false">
      <c r="A21" s="0" t="s">
        <v>100</v>
      </c>
      <c r="B21" s="3" t="n">
        <v>2</v>
      </c>
    </row>
    <row r="22" customFormat="false" ht="15" hidden="false" customHeight="false" outlineLevel="0" collapsed="false">
      <c r="A22" s="0" t="s">
        <v>101</v>
      </c>
      <c r="B22" s="3" t="n">
        <v>13</v>
      </c>
    </row>
    <row r="23" customFormat="false" ht="15" hidden="false" customHeight="false" outlineLevel="0" collapsed="false">
      <c r="A23" s="0" t="s">
        <v>102</v>
      </c>
      <c r="B23" s="3" t="n">
        <v>-5</v>
      </c>
    </row>
    <row r="24" customFormat="false" ht="15" hidden="false" customHeight="false" outlineLevel="0" collapsed="false">
      <c r="A24" s="0" t="s">
        <v>103</v>
      </c>
      <c r="B24" s="3" t="n">
        <v>0.25</v>
      </c>
    </row>
    <row r="26" customFormat="false" ht="15" hidden="false" customHeight="false" outlineLevel="0" collapsed="false">
      <c r="A26" s="2" t="s">
        <v>104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 t="s">
        <v>87</v>
      </c>
      <c r="I26" s="2" t="s">
        <v>88</v>
      </c>
      <c r="J26" s="2" t="s">
        <v>89</v>
      </c>
      <c r="K26" s="2" t="s">
        <v>90</v>
      </c>
      <c r="L26" s="2" t="s">
        <v>91</v>
      </c>
    </row>
    <row r="27" customFormat="false" ht="15" hidden="false" customHeight="false" outlineLevel="0" collapsed="false">
      <c r="A27" s="0" t="s">
        <v>92</v>
      </c>
      <c r="C27" s="3" t="n">
        <v>6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93</v>
      </c>
      <c r="C28" s="3" t="n">
        <v>16.5</v>
      </c>
      <c r="D28" s="3" t="n">
        <v>16.9</v>
      </c>
      <c r="E28" s="3" t="n">
        <v>17.2</v>
      </c>
      <c r="F28" s="3" t="n">
        <v>17.4</v>
      </c>
      <c r="G28" s="3" t="n">
        <v>17.6</v>
      </c>
      <c r="H28" s="3" t="n">
        <v>17.8</v>
      </c>
      <c r="I28" s="3" t="n">
        <v>17.9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94</v>
      </c>
      <c r="C29" s="3" t="n">
        <v>0.75</v>
      </c>
      <c r="D29" s="3" t="n">
        <v>0.75</v>
      </c>
      <c r="E29" s="3" t="n">
        <v>0.72</v>
      </c>
      <c r="F29" s="3" t="n">
        <v>0.7</v>
      </c>
      <c r="G29" s="3" t="n">
        <v>0.7</v>
      </c>
      <c r="H29" s="3" t="n">
        <v>0.68</v>
      </c>
      <c r="I29" s="3" t="n">
        <v>0.66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95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96</v>
      </c>
      <c r="C31" s="3" t="n">
        <v>3</v>
      </c>
      <c r="D31" s="3" t="n">
        <v>3</v>
      </c>
      <c r="E31" s="3" t="n">
        <v>2.9</v>
      </c>
      <c r="F31" s="3" t="n">
        <v>2.9</v>
      </c>
      <c r="G31" s="3" t="n">
        <v>2.8</v>
      </c>
      <c r="H31" s="3" t="n">
        <v>2.8</v>
      </c>
      <c r="I31" s="3" t="n">
        <v>2.7</v>
      </c>
      <c r="J31" s="3" t="n">
        <v>2.7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97</v>
      </c>
      <c r="C32" s="3" t="n">
        <v>2.6</v>
      </c>
      <c r="D32" s="3" t="n">
        <v>2.6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98</v>
      </c>
      <c r="C33" s="3" t="n">
        <v>20</v>
      </c>
      <c r="D33" s="3" t="n">
        <v>21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99</v>
      </c>
      <c r="B34" s="3" t="n">
        <v>8</v>
      </c>
    </row>
    <row r="35" customFormat="false" ht="15" hidden="false" customHeight="false" outlineLevel="0" collapsed="false">
      <c r="A35" s="0" t="s">
        <v>100</v>
      </c>
      <c r="B35" s="3" t="n">
        <v>2.5</v>
      </c>
    </row>
    <row r="36" customFormat="false" ht="15" hidden="false" customHeight="false" outlineLevel="0" collapsed="false">
      <c r="A36" s="0" t="s">
        <v>101</v>
      </c>
      <c r="B36" s="3" t="n">
        <v>16</v>
      </c>
    </row>
    <row r="37" customFormat="false" ht="15" hidden="false" customHeight="false" outlineLevel="0" collapsed="false">
      <c r="A37" s="0" t="s">
        <v>102</v>
      </c>
      <c r="B37" s="3" t="n">
        <v>-5</v>
      </c>
    </row>
    <row r="38" customFormat="false" ht="15" hidden="false" customHeight="false" outlineLevel="0" collapsed="false">
      <c r="A38" s="0" t="s">
        <v>103</v>
      </c>
      <c r="B38" s="3" t="n">
        <v>0.5</v>
      </c>
    </row>
    <row r="40" customFormat="false" ht="15" hidden="false" customHeight="false" outlineLevel="0" collapsed="false">
      <c r="A40" s="2" t="s">
        <v>105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  <c r="H40" s="2" t="s">
        <v>87</v>
      </c>
      <c r="I40" s="2" t="s">
        <v>88</v>
      </c>
      <c r="J40" s="2" t="s">
        <v>89</v>
      </c>
      <c r="K40" s="2" t="s">
        <v>90</v>
      </c>
      <c r="L40" s="2" t="s">
        <v>91</v>
      </c>
    </row>
    <row r="41" customFormat="false" ht="15" hidden="false" customHeight="false" outlineLevel="0" collapsed="false">
      <c r="A41" s="0" t="s">
        <v>92</v>
      </c>
      <c r="C41" s="3" t="n">
        <v>7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93</v>
      </c>
      <c r="C42" s="3" t="n">
        <v>16.8</v>
      </c>
      <c r="D42" s="3" t="n">
        <v>17.4</v>
      </c>
      <c r="E42" s="3" t="n">
        <v>18</v>
      </c>
      <c r="F42" s="3" t="n">
        <v>18.5</v>
      </c>
      <c r="G42" s="3" t="n">
        <v>19</v>
      </c>
      <c r="H42" s="3" t="n">
        <v>19.4</v>
      </c>
      <c r="I42" s="3" t="n">
        <v>19.7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94</v>
      </c>
      <c r="C43" s="3" t="n">
        <v>0.75</v>
      </c>
      <c r="D43" s="3" t="n">
        <v>0.75</v>
      </c>
      <c r="E43" s="3" t="n">
        <v>0.72</v>
      </c>
      <c r="F43" s="3" t="n">
        <v>0.7</v>
      </c>
      <c r="G43" s="3" t="n">
        <v>0.7</v>
      </c>
      <c r="H43" s="3" t="n">
        <v>0.68</v>
      </c>
      <c r="I43" s="3" t="n">
        <v>0.66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95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96</v>
      </c>
      <c r="C45" s="3" t="n">
        <v>3</v>
      </c>
      <c r="D45" s="3" t="n">
        <v>3</v>
      </c>
      <c r="E45" s="3" t="n">
        <v>2.9</v>
      </c>
      <c r="F45" s="3" t="n">
        <v>2.9</v>
      </c>
      <c r="G45" s="3" t="n">
        <v>2.8</v>
      </c>
      <c r="H45" s="3" t="n">
        <v>2.8</v>
      </c>
      <c r="I45" s="3" t="n">
        <v>2.7</v>
      </c>
      <c r="J45" s="3" t="n">
        <v>2.7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97</v>
      </c>
      <c r="C46" s="3" t="n">
        <v>2.6</v>
      </c>
      <c r="D46" s="3" t="n">
        <v>2.6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98</v>
      </c>
      <c r="C47" s="3" t="n">
        <v>20</v>
      </c>
      <c r="D47" s="3" t="n">
        <v>21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99</v>
      </c>
      <c r="B48" s="3" t="n">
        <v>8</v>
      </c>
    </row>
    <row r="49" customFormat="false" ht="15" hidden="false" customHeight="false" outlineLevel="0" collapsed="false">
      <c r="A49" s="0" t="s">
        <v>100</v>
      </c>
      <c r="B49" s="3" t="n">
        <v>3</v>
      </c>
    </row>
    <row r="50" customFormat="false" ht="15" hidden="false" customHeight="false" outlineLevel="0" collapsed="false">
      <c r="A50" s="0" t="s">
        <v>101</v>
      </c>
      <c r="B50" s="3" t="n">
        <v>18</v>
      </c>
    </row>
    <row r="51" customFormat="false" ht="15" hidden="false" customHeight="false" outlineLevel="0" collapsed="false">
      <c r="A51" s="0" t="s">
        <v>102</v>
      </c>
      <c r="B51" s="3" t="n">
        <v>-5</v>
      </c>
    </row>
    <row r="52" customFormat="false" ht="15" hidden="false" customHeight="false" outlineLevel="0" collapsed="false">
      <c r="A52" s="0" t="s">
        <v>103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106</v>
      </c>
    </row>
    <row r="3" customFormat="false" ht="15" hidden="false" customHeight="false" outlineLevel="0" collapsed="false">
      <c r="A3" s="0" t="s">
        <v>107</v>
      </c>
      <c r="B3" s="0" t="s">
        <v>68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Assumptions!C13</f>
        <v>4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20625</v>
      </c>
      <c r="C6" s="0" t="n">
        <f aca="false">B6*(1+C5/100)</f>
        <v>21450</v>
      </c>
      <c r="D6" s="0" t="n">
        <f aca="false">C6*(1+D5/100)</f>
        <v>21771.75</v>
      </c>
      <c r="E6" s="0" t="n">
        <f aca="false">D6*(1+E5/100)</f>
        <v>22098.32625</v>
      </c>
      <c r="F6" s="0" t="n">
        <f aca="false">E6*(1+F5/100)</f>
        <v>22540.292775</v>
      </c>
      <c r="G6" s="0" t="n">
        <f aca="false">F6*(1+G5/100)</f>
        <v>22991.0986305</v>
      </c>
      <c r="H6" s="0" t="n">
        <f aca="false">G6*(1+H5/100)</f>
        <v>23450.92060311</v>
      </c>
      <c r="I6" s="0" t="n">
        <f aca="false">H6*(1+I5/100)</f>
        <v>23919.9390151722</v>
      </c>
      <c r="J6" s="0" t="n">
        <f aca="false">I6*(1+J5/100)</f>
        <v>24398.3377954756</v>
      </c>
      <c r="K6" s="0" t="n">
        <f aca="false">J6*(1+K5/100)</f>
        <v>24886.3045513852</v>
      </c>
      <c r="L6" s="0" t="n">
        <f aca="false">K6*(1+L5/100)</f>
        <v>25384.0306424129</v>
      </c>
    </row>
    <row r="7" customFormat="false" ht="15" hidden="false" customHeight="false" outlineLevel="0" collapsed="false">
      <c r="A7" s="0" t="s">
        <v>93</v>
      </c>
      <c r="C7" s="4" t="n">
        <f aca="false">Assumptions!C14</f>
        <v>15.8</v>
      </c>
      <c r="D7" s="4" t="n">
        <f aca="false">Assumptions!D14</f>
        <v>15.3</v>
      </c>
      <c r="E7" s="4" t="n">
        <f aca="false">Assumptions!E14</f>
        <v>15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3389.1</v>
      </c>
      <c r="D8" s="0" t="n">
        <f aca="false">D6*D7/100</f>
        <v>3331.07775</v>
      </c>
      <c r="E8" s="0" t="n">
        <f aca="false">E6*E7/100</f>
        <v>3314.7489375</v>
      </c>
      <c r="F8" s="0" t="n">
        <f aca="false">F6*F7/100</f>
        <v>3381.04391625</v>
      </c>
      <c r="G8" s="0" t="n">
        <f aca="false">G6*G7/100</f>
        <v>3448.664794575</v>
      </c>
      <c r="H8" s="0" t="n">
        <f aca="false">H6*H7/100</f>
        <v>3517.6380904665</v>
      </c>
      <c r="I8" s="0" t="n">
        <f aca="false">I6*I7/100</f>
        <v>3587.99085227583</v>
      </c>
      <c r="J8" s="0" t="n">
        <f aca="false">J6*J7/100</f>
        <v>3659.75066932135</v>
      </c>
      <c r="K8" s="0" t="n">
        <f aca="false">K6*K7/100</f>
        <v>3732.94568270777</v>
      </c>
      <c r="L8" s="0" t="n">
        <f aca="false">L6*L7/100</f>
        <v>3807.60459636193</v>
      </c>
    </row>
    <row r="9" customFormat="false" ht="15" hidden="false" customHeight="false" outlineLevel="0" collapsed="false">
      <c r="A9" s="0" t="s">
        <v>94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0.78</v>
      </c>
      <c r="F9" s="4" t="n">
        <f aca="false">Assumptions!F15</f>
        <v>0.75</v>
      </c>
      <c r="G9" s="4" t="n">
        <f aca="false">Assumptions!G15</f>
        <v>0.75</v>
      </c>
      <c r="H9" s="4" t="n">
        <f aca="false">Assumptions!H15</f>
        <v>0.72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-171.6</v>
      </c>
      <c r="D10" s="0" t="n">
        <f aca="false">-D6*D9/100</f>
        <v>-174.174</v>
      </c>
      <c r="E10" s="0" t="n">
        <f aca="false">-E6*E9/100</f>
        <v>-172.36694475</v>
      </c>
      <c r="F10" s="0" t="n">
        <f aca="false">-F6*F9/100</f>
        <v>-169.0521958125</v>
      </c>
      <c r="G10" s="0" t="n">
        <f aca="false">-G6*G9/100</f>
        <v>-172.43323972875</v>
      </c>
      <c r="H10" s="0" t="n">
        <f aca="false">-H6*H9/100</f>
        <v>-168.846628342392</v>
      </c>
      <c r="I10" s="0" t="n">
        <f aca="false">-I6*I9/100</f>
        <v>-167.439573106205</v>
      </c>
      <c r="J10" s="0" t="n">
        <f aca="false">-J6*J9/100</f>
        <v>-170.788364568329</v>
      </c>
      <c r="K10" s="0" t="n">
        <f aca="false">-K6*K9/100</f>
        <v>-174.204131859696</v>
      </c>
      <c r="L10" s="0" t="n">
        <f aca="false">-L6*L9/100</f>
        <v>-177.68821449689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3217.5</v>
      </c>
      <c r="D11" s="0" t="n">
        <f aca="false">D8+D10+D24</f>
        <v>3156.90375</v>
      </c>
      <c r="E11" s="0" t="n">
        <f aca="false">E8+E10+E24</f>
        <v>3142.38199275</v>
      </c>
      <c r="F11" s="0" t="n">
        <f aca="false">F8+F10+F24</f>
        <v>3211.9917204375</v>
      </c>
      <c r="G11" s="0" t="n">
        <f aca="false">G8+G10+G24</f>
        <v>3276.23155484625</v>
      </c>
      <c r="H11" s="0" t="n">
        <f aca="false">H8+H10+H24</f>
        <v>3348.79146212411</v>
      </c>
      <c r="I11" s="0" t="n">
        <f aca="false">I8+I10+I24</f>
        <v>3420.55127916962</v>
      </c>
      <c r="J11" s="0" t="n">
        <f aca="false">J8+J10+J24</f>
        <v>3488.96230475302</v>
      </c>
      <c r="K11" s="0" t="n">
        <f aca="false">K8+K10+K24</f>
        <v>3558.74155084808</v>
      </c>
      <c r="L11" s="0" t="n">
        <f aca="false">L8+L10+L24</f>
        <v>3629.91638186504</v>
      </c>
    </row>
    <row r="12" customFormat="false" ht="15" hidden="false" customHeight="false" outlineLevel="0" collapsed="false">
      <c r="A12" s="0" t="s">
        <v>111</v>
      </c>
      <c r="C12" s="4" t="n">
        <f aca="false">-C6*Assumptions!C17/100</f>
        <v>-643.5</v>
      </c>
      <c r="D12" s="4" t="n">
        <f aca="false">-D6*Assumptions!D17/100</f>
        <v>-653.1525</v>
      </c>
      <c r="E12" s="4" t="n">
        <f aca="false">-E6*Assumptions!E17/100</f>
        <v>-640.85146125</v>
      </c>
      <c r="F12" s="4" t="n">
        <f aca="false">-F6*Assumptions!F17/100</f>
        <v>-653.668490475</v>
      </c>
      <c r="G12" s="4" t="n">
        <f aca="false">-G6*Assumptions!G17/100</f>
        <v>-643.750761654</v>
      </c>
      <c r="H12" s="4" t="n">
        <f aca="false">-H6*Assumptions!H17/100</f>
        <v>-656.62577688708</v>
      </c>
      <c r="I12" s="4" t="n">
        <f aca="false">-I6*Assumptions!I17/100</f>
        <v>-645.838353409649</v>
      </c>
      <c r="J12" s="4" t="n">
        <f aca="false">-J6*Assumptions!J17/100</f>
        <v>-658.755120477842</v>
      </c>
      <c r="K12" s="4" t="n">
        <f aca="false">-K6*Assumptions!K17/100</f>
        <v>-647.043918336014</v>
      </c>
      <c r="L12" s="4" t="n">
        <f aca="false">-L6*Assumptions!L17/100</f>
        <v>-659.984796702734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2574</v>
      </c>
      <c r="D13" s="0" t="n">
        <f aca="false">D11+D12</f>
        <v>2503.75125</v>
      </c>
      <c r="E13" s="0" t="n">
        <f aca="false">E11+E12</f>
        <v>2501.5305315</v>
      </c>
      <c r="F13" s="0" t="n">
        <f aca="false">F11+F12</f>
        <v>2558.3232299625</v>
      </c>
      <c r="G13" s="0" t="n">
        <f aca="false">G11+G12</f>
        <v>2632.48079319225</v>
      </c>
      <c r="H13" s="0" t="n">
        <f aca="false">H11+H12</f>
        <v>2692.16568523703</v>
      </c>
      <c r="I13" s="0" t="n">
        <f aca="false">I11+I12</f>
        <v>2774.71292575997</v>
      </c>
      <c r="J13" s="0" t="n">
        <f aca="false">J11+J12</f>
        <v>2830.20718427517</v>
      </c>
      <c r="K13" s="0" t="n">
        <f aca="false">K11+K12</f>
        <v>2911.69763251206</v>
      </c>
      <c r="L13" s="0" t="n">
        <f aca="false">L11+L12</f>
        <v>2969.9315851623</v>
      </c>
    </row>
    <row r="14" customFormat="false" ht="15" hidden="false" customHeight="false" outlineLevel="0" collapsed="false">
      <c r="A14" s="0" t="s">
        <v>98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2059.2</v>
      </c>
      <c r="D15" s="0" t="n">
        <f aca="false">D13-MAX(0,D13)*D14/100</f>
        <v>1977.9634875</v>
      </c>
      <c r="E15" s="0" t="n">
        <f aca="false">E13-MAX(0,E13)*E14/100</f>
        <v>1951.19381457</v>
      </c>
      <c r="F15" s="0" t="n">
        <f aca="false">F13-MAX(0,F13)*F14/100</f>
        <v>1995.49211937075</v>
      </c>
      <c r="G15" s="0" t="n">
        <f aca="false">G13-MAX(0,G13)*G14/100</f>
        <v>2053.33501868995</v>
      </c>
      <c r="H15" s="0" t="n">
        <f aca="false">H13-MAX(0,H13)*H14/100</f>
        <v>2099.88923448488</v>
      </c>
      <c r="I15" s="0" t="n">
        <f aca="false">I13-MAX(0,I13)*I14/100</f>
        <v>2164.27608209278</v>
      </c>
      <c r="J15" s="0" t="n">
        <f aca="false">J13-MAX(0,J13)*J14/100</f>
        <v>2207.56160373464</v>
      </c>
      <c r="K15" s="0" t="n">
        <f aca="false">K13-MAX(0,K13)*K14/100</f>
        <v>2271.12415335941</v>
      </c>
      <c r="L15" s="0" t="n">
        <f aca="false">L13-MAX(0,L13)*L14/100</f>
        <v>2316.5466364266</v>
      </c>
    </row>
    <row r="16" customFormat="false" ht="15" hidden="false" customHeight="false" outlineLevel="0" collapsed="false">
      <c r="A16" s="0" t="s">
        <v>114</v>
      </c>
      <c r="C16" s="0" t="n">
        <f aca="false">-C12</f>
        <v>643.5</v>
      </c>
      <c r="D16" s="0" t="n">
        <f aca="false">-D12</f>
        <v>653.1525</v>
      </c>
      <c r="E16" s="0" t="n">
        <f aca="false">-E12</f>
        <v>640.85146125</v>
      </c>
      <c r="F16" s="0" t="n">
        <f aca="false">-F12</f>
        <v>653.668490475</v>
      </c>
      <c r="G16" s="0" t="n">
        <f aca="false">-G12</f>
        <v>643.750761654</v>
      </c>
      <c r="H16" s="0" t="n">
        <f aca="false">-H12</f>
        <v>656.62577688708</v>
      </c>
      <c r="I16" s="0" t="n">
        <f aca="false">-I12</f>
        <v>645.838353409649</v>
      </c>
      <c r="J16" s="0" t="n">
        <f aca="false">-J12</f>
        <v>658.755120477842</v>
      </c>
      <c r="K16" s="0" t="n">
        <f aca="false">-K12</f>
        <v>647.043918336014</v>
      </c>
      <c r="L16" s="0" t="n">
        <f aca="false">-L12</f>
        <v>659.984796702734</v>
      </c>
    </row>
    <row r="17" customFormat="false" ht="15" hidden="false" customHeight="false" outlineLevel="0" collapsed="false">
      <c r="A17" s="0" t="s">
        <v>115</v>
      </c>
      <c r="C17" s="4" t="n">
        <f aca="false">-C6*Assumptions!C18/100</f>
        <v>-579.15</v>
      </c>
      <c r="D17" s="4" t="n">
        <f aca="false">-D6*Assumptions!D18/100</f>
        <v>-587.83725</v>
      </c>
      <c r="E17" s="4" t="n">
        <f aca="false">-E6*Assumptions!E18/100</f>
        <v>-574.5564825</v>
      </c>
      <c r="F17" s="4" t="n">
        <f aca="false">-F6*Assumptions!F18/100</f>
        <v>-586.04761215</v>
      </c>
      <c r="G17" s="4" t="n">
        <f aca="false">-G6*Assumptions!G18/100</f>
        <v>-597.768564393</v>
      </c>
      <c r="H17" s="4" t="n">
        <f aca="false">-H6*Assumptions!H18/100</f>
        <v>-609.72393568086</v>
      </c>
      <c r="I17" s="4" t="n">
        <f aca="false">-I6*Assumptions!I18/100</f>
        <v>-621.918414394477</v>
      </c>
      <c r="J17" s="4" t="n">
        <f aca="false">-J6*Assumptions!J18/100</f>
        <v>-634.356782682367</v>
      </c>
      <c r="K17" s="4" t="n">
        <f aca="false">-K6*Assumptions!K18/100</f>
        <v>-647.043918336014</v>
      </c>
      <c r="L17" s="4" t="n">
        <f aca="false">-L6*Assumptions!L18/100</f>
        <v>-659.984796702734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(C6-B6)*Assumptions!$B$23/100</f>
        <v>-41.25</v>
      </c>
      <c r="D18" s="4" t="n">
        <f aca="false">(D6-C6)*Assumptions!$B$23/100</f>
        <v>-16.0874999999998</v>
      </c>
      <c r="E18" s="4" t="n">
        <f aca="false">(E6-D6)*Assumptions!$B$23/100</f>
        <v>-16.3288124999999</v>
      </c>
      <c r="F18" s="4" t="n">
        <f aca="false">(F6-E6)*Assumptions!$B$23/100</f>
        <v>-22.09832625</v>
      </c>
      <c r="G18" s="4" t="n">
        <f aca="false">(G6-F6)*Assumptions!$B$23/100</f>
        <v>-22.5402927749999</v>
      </c>
      <c r="H18" s="4" t="n">
        <f aca="false">(H6-G6)*Assumptions!$B$23/100</f>
        <v>-22.9910986305</v>
      </c>
      <c r="I18" s="4" t="n">
        <f aca="false">(I6-H6)*Assumptions!$B$23/100</f>
        <v>-23.45092060311</v>
      </c>
      <c r="J18" s="4" t="n">
        <f aca="false">(J6-I6)*Assumptions!$B$23/100</f>
        <v>-23.9199390151722</v>
      </c>
      <c r="K18" s="4" t="n">
        <f aca="false">(K6-J6)*Assumptions!$B$23/100</f>
        <v>-24.3983377954757</v>
      </c>
      <c r="L18" s="4" t="n">
        <f aca="false">(L6-K6)*Assumptions!$B$23/100</f>
        <v>-24.8863045513852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2082.3</v>
      </c>
      <c r="D19" s="0" t="n">
        <f aca="false">D15+D16+D17+D18</f>
        <v>2027.1912375</v>
      </c>
      <c r="E19" s="0" t="n">
        <f aca="false">E15+E16+E17+E18</f>
        <v>2001.15998082</v>
      </c>
      <c r="F19" s="0" t="n">
        <f aca="false">F15+F16+F17+F18</f>
        <v>2041.01467144575</v>
      </c>
      <c r="G19" s="0" t="n">
        <f aca="false">G15+G16+G17+G18</f>
        <v>2076.77692317595</v>
      </c>
      <c r="H19" s="0" t="n">
        <f aca="false">H15+H16+H17+H18</f>
        <v>2123.7999770606</v>
      </c>
      <c r="I19" s="0" t="n">
        <f aca="false">I15+I16+I17+I18</f>
        <v>2164.74510050484</v>
      </c>
      <c r="J19" s="0" t="n">
        <f aca="false">J15+J16+J17+J18</f>
        <v>2208.04000251494</v>
      </c>
      <c r="K19" s="0" t="n">
        <f aca="false">K15+K16+K17+K18</f>
        <v>2246.72581556393</v>
      </c>
      <c r="L19" s="0" t="n">
        <f aca="false">L15+L16+L17+L18</f>
        <v>2291.66033187521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1928.05555555556</v>
      </c>
      <c r="D21" s="0" t="n">
        <f aca="false">D19*D20</f>
        <v>1737.98974408436</v>
      </c>
      <c r="E21" s="0" t="n">
        <f aca="false">E19*E20</f>
        <v>1588.58531221422</v>
      </c>
      <c r="F21" s="0" t="n">
        <f aca="false">F19*F20</f>
        <v>1500.20671350817</v>
      </c>
      <c r="G21" s="0" t="n">
        <f aca="false">G19*G20</f>
        <v>1413.41947790101</v>
      </c>
      <c r="H21" s="0" t="n">
        <f aca="false">H19*H20</f>
        <v>1338.35423911863</v>
      </c>
      <c r="I21" s="0" t="n">
        <f aca="false">I19*I20</f>
        <v>1263.10797433534</v>
      </c>
      <c r="J21" s="0" t="n">
        <f aca="false">J19*J20</f>
        <v>1192.93530909449</v>
      </c>
      <c r="K21" s="0" t="n">
        <f aca="false">K19*K20</f>
        <v>1123.92226866344</v>
      </c>
      <c r="L21" s="0" t="n">
        <f aca="false">L19*L20</f>
        <v>1061.48214262658</v>
      </c>
    </row>
    <row r="23" customFormat="false" ht="15" hidden="false" customHeight="false" outlineLevel="0" collapsed="false">
      <c r="A23" s="0" t="s">
        <v>95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101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14148.0587371018</v>
      </c>
    </row>
    <row r="31" customFormat="false" ht="15" hidden="false" customHeight="false" outlineLevel="0" collapsed="false">
      <c r="A31" s="0" t="s">
        <v>123</v>
      </c>
      <c r="B31" s="0" t="n">
        <f aca="false">L19</f>
        <v>2291.66033187521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38958.2256418786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29791.5843143778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29791.5843143778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13799.2678541456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27947.3265912474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14926.3265912474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32.9499483250494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-0.505478788457911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1152.48153436299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1399.16840569402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38.5827296496786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17980.7195270209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4.28543030383016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107</v>
      </c>
      <c r="B3" s="0" t="s">
        <v>68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Assumptions!C27</f>
        <v>6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20625</v>
      </c>
      <c r="C6" s="0" t="n">
        <f aca="false">B6*(1+C5/100)</f>
        <v>21862.5</v>
      </c>
      <c r="D6" s="0" t="n">
        <f aca="false">C6*(1+D5/100)</f>
        <v>22846.3125</v>
      </c>
      <c r="E6" s="0" t="n">
        <f aca="false">D6*(1+E5/100)</f>
        <v>23760.165</v>
      </c>
      <c r="F6" s="0" t="n">
        <f aca="false">E6*(1+F5/100)</f>
        <v>24710.5716</v>
      </c>
      <c r="G6" s="0" t="n">
        <f aca="false">F6*(1+G5/100)</f>
        <v>25575.441606</v>
      </c>
      <c r="H6" s="0" t="n">
        <f aca="false">G6*(1+H5/100)</f>
        <v>26470.58206221</v>
      </c>
      <c r="I6" s="0" t="n">
        <f aca="false">H6*(1+I5/100)</f>
        <v>27264.6995240763</v>
      </c>
      <c r="J6" s="0" t="n">
        <f aca="false">I6*(1+J5/100)</f>
        <v>28082.6405097986</v>
      </c>
      <c r="K6" s="0" t="n">
        <f aca="false">J6*(1+K5/100)</f>
        <v>28784.7065225436</v>
      </c>
      <c r="L6" s="0" t="n">
        <f aca="false">K6*(1+L5/100)</f>
        <v>29504.3241856071</v>
      </c>
    </row>
    <row r="7" customFormat="false" ht="15" hidden="false" customHeight="false" outlineLevel="0" collapsed="false">
      <c r="A7" s="0" t="s">
        <v>93</v>
      </c>
      <c r="C7" s="4" t="n">
        <f aca="false">Assumptions!C28</f>
        <v>16.5</v>
      </c>
      <c r="D7" s="4" t="n">
        <f aca="false">Assumptions!D28</f>
        <v>16.9</v>
      </c>
      <c r="E7" s="4" t="n">
        <f aca="false">Assumptions!E28</f>
        <v>17.2</v>
      </c>
      <c r="F7" s="4" t="n">
        <f aca="false">Assumptions!F28</f>
        <v>17.4</v>
      </c>
      <c r="G7" s="4" t="n">
        <f aca="false">Assumptions!G28</f>
        <v>17.6</v>
      </c>
      <c r="H7" s="4" t="n">
        <f aca="false">Assumptions!H28</f>
        <v>17.8</v>
      </c>
      <c r="I7" s="4" t="n">
        <f aca="false">Assumptions!I28</f>
        <v>17.9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3607.3125</v>
      </c>
      <c r="D8" s="0" t="n">
        <f aca="false">D6*D7/100</f>
        <v>3861.0268125</v>
      </c>
      <c r="E8" s="0" t="n">
        <f aca="false">E6*E7/100</f>
        <v>4086.74838</v>
      </c>
      <c r="F8" s="0" t="n">
        <f aca="false">F6*F7/100</f>
        <v>4299.6394584</v>
      </c>
      <c r="G8" s="0" t="n">
        <f aca="false">G6*G7/100</f>
        <v>4501.277722656</v>
      </c>
      <c r="H8" s="0" t="n">
        <f aca="false">H6*H7/100</f>
        <v>4711.76360707338</v>
      </c>
      <c r="I8" s="0" t="n">
        <f aca="false">I6*I7/100</f>
        <v>4880.38121480966</v>
      </c>
      <c r="J8" s="0" t="n">
        <f aca="false">J6*J7/100</f>
        <v>5054.87529176375</v>
      </c>
      <c r="K8" s="0" t="n">
        <f aca="false">K6*K7/100</f>
        <v>5181.24717405784</v>
      </c>
      <c r="L8" s="0" t="n">
        <f aca="false">L6*L7/100</f>
        <v>5310.77835340928</v>
      </c>
    </row>
    <row r="9" customFormat="false" ht="15" hidden="false" customHeight="false" outlineLevel="0" collapsed="false">
      <c r="A9" s="0" t="s">
        <v>94</v>
      </c>
      <c r="C9" s="4" t="n">
        <f aca="false">Assumptions!C29</f>
        <v>0.75</v>
      </c>
      <c r="D9" s="4" t="n">
        <f aca="false">Assumptions!D29</f>
        <v>0.75</v>
      </c>
      <c r="E9" s="4" t="n">
        <f aca="false">Assumptions!E29</f>
        <v>0.72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0.68</v>
      </c>
      <c r="I9" s="4" t="n">
        <f aca="false">Assumptions!I29</f>
        <v>0.66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-163.96875</v>
      </c>
      <c r="D10" s="0" t="n">
        <f aca="false">-D6*D9/100</f>
        <v>-171.34734375</v>
      </c>
      <c r="E10" s="0" t="n">
        <f aca="false">-E6*E9/100</f>
        <v>-171.073188</v>
      </c>
      <c r="F10" s="0" t="n">
        <f aca="false">-F6*F9/100</f>
        <v>-172.9740012</v>
      </c>
      <c r="G10" s="0" t="n">
        <f aca="false">-G6*G9/100</f>
        <v>-179.028091242</v>
      </c>
      <c r="H10" s="0" t="n">
        <f aca="false">-H6*H9/100</f>
        <v>-179.999958023028</v>
      </c>
      <c r="I10" s="0" t="n">
        <f aca="false">-I6*I9/100</f>
        <v>-179.947016858904</v>
      </c>
      <c r="J10" s="0" t="n">
        <f aca="false">-J6*J9/100</f>
        <v>-182.537163313691</v>
      </c>
      <c r="K10" s="0" t="n">
        <f aca="false">-K6*K9/100</f>
        <v>-187.100592396533</v>
      </c>
      <c r="L10" s="0" t="n">
        <f aca="false">-L6*L9/100</f>
        <v>-191.778107206446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3443.34375</v>
      </c>
      <c r="D11" s="0" t="n">
        <f aca="false">D8+D10+D24</f>
        <v>3689.67946875</v>
      </c>
      <c r="E11" s="0" t="n">
        <f aca="false">E8+E10+E24</f>
        <v>3915.675192</v>
      </c>
      <c r="F11" s="0" t="n">
        <f aca="false">F8+F10+F24</f>
        <v>4126.6654572</v>
      </c>
      <c r="G11" s="0" t="n">
        <f aca="false">G8+G10+G24</f>
        <v>4322.249631414</v>
      </c>
      <c r="H11" s="0" t="n">
        <f aca="false">H8+H10+H24</f>
        <v>4531.76364905035</v>
      </c>
      <c r="I11" s="0" t="n">
        <f aca="false">I8+I10+I24</f>
        <v>4700.43419795075</v>
      </c>
      <c r="J11" s="0" t="n">
        <f aca="false">J8+J10+J24</f>
        <v>4872.33812845006</v>
      </c>
      <c r="K11" s="0" t="n">
        <f aca="false">K8+K10+K24</f>
        <v>4994.14658166131</v>
      </c>
      <c r="L11" s="0" t="n">
        <f aca="false">L8+L10+L24</f>
        <v>5119.00024620284</v>
      </c>
    </row>
    <row r="12" customFormat="false" ht="15" hidden="false" customHeight="false" outlineLevel="0" collapsed="false">
      <c r="A12" s="0" t="s">
        <v>111</v>
      </c>
      <c r="C12" s="4" t="n">
        <f aca="false">-C6*Assumptions!C31/100</f>
        <v>-655.875</v>
      </c>
      <c r="D12" s="4" t="n">
        <f aca="false">-D6*Assumptions!D31/100</f>
        <v>-685.389375</v>
      </c>
      <c r="E12" s="4" t="n">
        <f aca="false">-E6*Assumptions!E31/100</f>
        <v>-689.044785</v>
      </c>
      <c r="F12" s="4" t="n">
        <f aca="false">-F6*Assumptions!F31/100</f>
        <v>-716.6065764</v>
      </c>
      <c r="G12" s="4" t="n">
        <f aca="false">-G6*Assumptions!G31/100</f>
        <v>-716.112364968</v>
      </c>
      <c r="H12" s="4" t="n">
        <f aca="false">-H6*Assumptions!H31/100</f>
        <v>-741.17629774188</v>
      </c>
      <c r="I12" s="4" t="n">
        <f aca="false">-I6*Assumptions!I31/100</f>
        <v>-736.14688715006</v>
      </c>
      <c r="J12" s="4" t="n">
        <f aca="false">-J6*Assumptions!J31/100</f>
        <v>-758.231293764562</v>
      </c>
      <c r="K12" s="4" t="n">
        <f aca="false">-K6*Assumptions!K31/100</f>
        <v>-748.402369586132</v>
      </c>
      <c r="L12" s="4" t="n">
        <f aca="false">-L6*Assumptions!L31/100</f>
        <v>-767.112428825786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2787.46875</v>
      </c>
      <c r="D13" s="0" t="n">
        <f aca="false">D11+D12</f>
        <v>3004.29009375</v>
      </c>
      <c r="E13" s="0" t="n">
        <f aca="false">E11+E12</f>
        <v>3226.630407</v>
      </c>
      <c r="F13" s="0" t="n">
        <f aca="false">F11+F12</f>
        <v>3410.0588808</v>
      </c>
      <c r="G13" s="0" t="n">
        <f aca="false">G11+G12</f>
        <v>3606.137266446</v>
      </c>
      <c r="H13" s="0" t="n">
        <f aca="false">H11+H12</f>
        <v>3790.58735130847</v>
      </c>
      <c r="I13" s="0" t="n">
        <f aca="false">I11+I12</f>
        <v>3964.28731080069</v>
      </c>
      <c r="J13" s="0" t="n">
        <f aca="false">J11+J12</f>
        <v>4114.10683468549</v>
      </c>
      <c r="K13" s="0" t="n">
        <f aca="false">K11+K12</f>
        <v>4245.74421207517</v>
      </c>
      <c r="L13" s="0" t="n">
        <f aca="false">L11+L12</f>
        <v>4351.88781737705</v>
      </c>
    </row>
    <row r="14" customFormat="false" ht="15" hidden="false" customHeight="false" outlineLevel="0" collapsed="false">
      <c r="A14" s="0" t="s">
        <v>98</v>
      </c>
      <c r="C14" s="4" t="n">
        <f aca="false">Assumptions!C33</f>
        <v>20</v>
      </c>
      <c r="D14" s="4" t="n">
        <f aca="false">Assumptions!D33</f>
        <v>21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2229.975</v>
      </c>
      <c r="D15" s="0" t="n">
        <f aca="false">D13-MAX(0,D13)*D14/100</f>
        <v>2373.3891740625</v>
      </c>
      <c r="E15" s="0" t="n">
        <f aca="false">E13-MAX(0,E13)*E14/100</f>
        <v>2516.77171746</v>
      </c>
      <c r="F15" s="0" t="n">
        <f aca="false">F13-MAX(0,F13)*F14/100</f>
        <v>2659.845927024</v>
      </c>
      <c r="G15" s="0" t="n">
        <f aca="false">G13-MAX(0,G13)*G14/100</f>
        <v>2812.78706782788</v>
      </c>
      <c r="H15" s="0" t="n">
        <f aca="false">H13-MAX(0,H13)*H14/100</f>
        <v>2956.65813402061</v>
      </c>
      <c r="I15" s="0" t="n">
        <f aca="false">I13-MAX(0,I13)*I14/100</f>
        <v>3092.14410242454</v>
      </c>
      <c r="J15" s="0" t="n">
        <f aca="false">J13-MAX(0,J13)*J14/100</f>
        <v>3209.00333105468</v>
      </c>
      <c r="K15" s="0" t="n">
        <f aca="false">K13-MAX(0,K13)*K14/100</f>
        <v>3311.68048541864</v>
      </c>
      <c r="L15" s="0" t="n">
        <f aca="false">L13-MAX(0,L13)*L14/100</f>
        <v>3394.4724975541</v>
      </c>
    </row>
    <row r="16" customFormat="false" ht="15" hidden="false" customHeight="false" outlineLevel="0" collapsed="false">
      <c r="A16" s="0" t="s">
        <v>114</v>
      </c>
      <c r="C16" s="0" t="n">
        <f aca="false">-C12</f>
        <v>655.875</v>
      </c>
      <c r="D16" s="0" t="n">
        <f aca="false">-D12</f>
        <v>685.389375</v>
      </c>
      <c r="E16" s="0" t="n">
        <f aca="false">-E12</f>
        <v>689.044785</v>
      </c>
      <c r="F16" s="0" t="n">
        <f aca="false">-F12</f>
        <v>716.6065764</v>
      </c>
      <c r="G16" s="0" t="n">
        <f aca="false">-G12</f>
        <v>716.112364968</v>
      </c>
      <c r="H16" s="0" t="n">
        <f aca="false">-H12</f>
        <v>741.17629774188</v>
      </c>
      <c r="I16" s="0" t="n">
        <f aca="false">-I12</f>
        <v>736.14688715006</v>
      </c>
      <c r="J16" s="0" t="n">
        <f aca="false">-J12</f>
        <v>758.231293764562</v>
      </c>
      <c r="K16" s="0" t="n">
        <f aca="false">-K12</f>
        <v>748.402369586132</v>
      </c>
      <c r="L16" s="0" t="n">
        <f aca="false">-L12</f>
        <v>767.112428825786</v>
      </c>
    </row>
    <row r="17" customFormat="false" ht="15" hidden="false" customHeight="false" outlineLevel="0" collapsed="false">
      <c r="A17" s="0" t="s">
        <v>115</v>
      </c>
      <c r="C17" s="4" t="n">
        <f aca="false">-C6*Assumptions!C32/100</f>
        <v>-568.425</v>
      </c>
      <c r="D17" s="4" t="n">
        <f aca="false">-D6*Assumptions!D32/100</f>
        <v>-594.004125</v>
      </c>
      <c r="E17" s="4" t="n">
        <f aca="false">-E6*Assumptions!E32/100</f>
        <v>-594.004125</v>
      </c>
      <c r="F17" s="4" t="n">
        <f aca="false">-F6*Assumptions!F32/100</f>
        <v>-617.76429</v>
      </c>
      <c r="G17" s="4" t="n">
        <f aca="false">-G6*Assumptions!G32/100</f>
        <v>-639.38604015</v>
      </c>
      <c r="H17" s="4" t="n">
        <f aca="false">-H6*Assumptions!H32/100</f>
        <v>-661.76455155525</v>
      </c>
      <c r="I17" s="4" t="n">
        <f aca="false">-I6*Assumptions!I32/100</f>
        <v>-681.617488101908</v>
      </c>
      <c r="J17" s="4" t="n">
        <f aca="false">-J6*Assumptions!J32/100</f>
        <v>-702.066012744965</v>
      </c>
      <c r="K17" s="4" t="n">
        <f aca="false">-K6*Assumptions!K32/100</f>
        <v>-719.617663063589</v>
      </c>
      <c r="L17" s="4" t="n">
        <f aca="false">-L6*Assumptions!L32/100</f>
        <v>-737.608104640178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(C6-B6)*Assumptions!$B$37/100</f>
        <v>-61.875</v>
      </c>
      <c r="D18" s="4" t="n">
        <f aca="false">(D6-C6)*Assumptions!$B$37/100</f>
        <v>-49.190625</v>
      </c>
      <c r="E18" s="4" t="n">
        <f aca="false">(E6-D6)*Assumptions!$B$37/100</f>
        <v>-45.692625</v>
      </c>
      <c r="F18" s="4" t="n">
        <f aca="false">(F6-E6)*Assumptions!$B$37/100</f>
        <v>-47.5203300000001</v>
      </c>
      <c r="G18" s="4" t="n">
        <f aca="false">(G6-F6)*Assumptions!$B$37/100</f>
        <v>-43.2435002999999</v>
      </c>
      <c r="H18" s="4" t="n">
        <f aca="false">(H6-G6)*Assumptions!$B$37/100</f>
        <v>-44.7570228105</v>
      </c>
      <c r="I18" s="4" t="n">
        <f aca="false">(I6-H6)*Assumptions!$B$37/100</f>
        <v>-39.705873093315</v>
      </c>
      <c r="J18" s="4" t="n">
        <f aca="false">(J6-I6)*Assumptions!$B$37/100</f>
        <v>-40.8970492861145</v>
      </c>
      <c r="K18" s="4" t="n">
        <f aca="false">(K6-J6)*Assumptions!$B$37/100</f>
        <v>-35.1033006372481</v>
      </c>
      <c r="L18" s="4" t="n">
        <f aca="false">(L6-K6)*Assumptions!$B$37/100</f>
        <v>-35.9808831531793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2255.55</v>
      </c>
      <c r="D19" s="0" t="n">
        <f aca="false">D15+D16+D17+D18</f>
        <v>2415.5837990625</v>
      </c>
      <c r="E19" s="0" t="n">
        <f aca="false">E15+E16+E17+E18</f>
        <v>2566.11975246</v>
      </c>
      <c r="F19" s="0" t="n">
        <f aca="false">F15+F16+F17+F18</f>
        <v>2711.167883424</v>
      </c>
      <c r="G19" s="0" t="n">
        <f aca="false">G15+G16+G17+G18</f>
        <v>2846.26989234588</v>
      </c>
      <c r="H19" s="0" t="n">
        <f aca="false">H15+H16+H17+H18</f>
        <v>2991.31285739674</v>
      </c>
      <c r="I19" s="0" t="n">
        <f aca="false">I15+I16+I17+I18</f>
        <v>3106.96762837938</v>
      </c>
      <c r="J19" s="0" t="n">
        <f aca="false">J15+J16+J17+J18</f>
        <v>3224.27156278817</v>
      </c>
      <c r="K19" s="0" t="n">
        <f aca="false">K15+K16+K17+K18</f>
        <v>3305.36189130393</v>
      </c>
      <c r="L19" s="0" t="n">
        <f aca="false">L15+L16+L17+L18</f>
        <v>3387.99593858653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2088.47222222222</v>
      </c>
      <c r="D21" s="0" t="n">
        <f aca="false">D19*D20</f>
        <v>2070.97376462834</v>
      </c>
      <c r="E21" s="0" t="n">
        <f aca="false">E19*E20</f>
        <v>2037.06859382145</v>
      </c>
      <c r="F21" s="0" t="n">
        <f aca="false">F19*F20</f>
        <v>1992.78933025961</v>
      </c>
      <c r="G21" s="0" t="n">
        <f aca="false">G19*G20</f>
        <v>1937.12346295367</v>
      </c>
      <c r="H21" s="0" t="n">
        <f aca="false">H19*H20</f>
        <v>1885.03450723634</v>
      </c>
      <c r="I21" s="0" t="n">
        <f aca="false">I19*I20</f>
        <v>1812.88576954974</v>
      </c>
      <c r="J21" s="0" t="n">
        <f aca="false">J19*J20</f>
        <v>1741.97360055901</v>
      </c>
      <c r="K21" s="0" t="n">
        <f aca="false">K19*K20</f>
        <v>1653.50387212048</v>
      </c>
      <c r="L21" s="0" t="n">
        <f aca="false">L19*L20</f>
        <v>1569.29765641064</v>
      </c>
    </row>
    <row r="23" customFormat="false" ht="15" hidden="false" customHeight="false" outlineLevel="0" collapsed="false">
      <c r="A23" s="0" t="s">
        <v>95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101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18789.1227797615</v>
      </c>
    </row>
    <row r="31" customFormat="false" ht="15" hidden="false" customHeight="false" outlineLevel="0" collapsed="false">
      <c r="A31" s="0" t="s">
        <v>123</v>
      </c>
      <c r="B31" s="0" t="n">
        <f aca="false">L19</f>
        <v>3387.99593858653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63139.9243100217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54207.9350173845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54207.9350173845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25108.7625025702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43897.8852823317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30876.8852823317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68.1608946629839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0.0229760567759851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1182.98788425814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1655.47508501115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74.4268173324525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27781.5666964095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16.730376481987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107</v>
      </c>
      <c r="B3" s="0" t="s">
        <v>68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Assumptions!C41</f>
        <v>7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20625</v>
      </c>
      <c r="C6" s="0" t="n">
        <f aca="false">B6*(1+C5/100)</f>
        <v>22068.75</v>
      </c>
      <c r="D6" s="0" t="n">
        <f aca="false">C6*(1+D5/100)</f>
        <v>23392.875</v>
      </c>
      <c r="E6" s="0" t="n">
        <f aca="false">D6*(1+E5/100)</f>
        <v>24679.483125</v>
      </c>
      <c r="F6" s="0" t="n">
        <f aca="false">E6*(1+F5/100)</f>
        <v>25913.45728125</v>
      </c>
      <c r="G6" s="0" t="n">
        <f aca="false">F6*(1+G5/100)</f>
        <v>27079.5628589063</v>
      </c>
      <c r="H6" s="0" t="n">
        <f aca="false">G6*(1+H5/100)</f>
        <v>28298.143187557</v>
      </c>
      <c r="I6" s="0" t="n">
        <f aca="false">H6*(1+I5/100)</f>
        <v>29430.0689150593</v>
      </c>
      <c r="J6" s="0" t="n">
        <f aca="false">I6*(1+J5/100)</f>
        <v>30460.1213270864</v>
      </c>
      <c r="K6" s="0" t="n">
        <f aca="false">J6*(1+K5/100)</f>
        <v>31373.924966899</v>
      </c>
      <c r="L6" s="0" t="n">
        <f aca="false">K6*(1+L5/100)</f>
        <v>32315.142715906</v>
      </c>
    </row>
    <row r="7" customFormat="false" ht="15" hidden="false" customHeight="false" outlineLevel="0" collapsed="false">
      <c r="A7" s="0" t="s">
        <v>93</v>
      </c>
      <c r="C7" s="4" t="n">
        <f aca="false">Assumptions!C42</f>
        <v>16.8</v>
      </c>
      <c r="D7" s="4" t="n">
        <f aca="false">Assumptions!D42</f>
        <v>17.4</v>
      </c>
      <c r="E7" s="4" t="n">
        <f aca="false">Assumptions!E42</f>
        <v>18</v>
      </c>
      <c r="F7" s="4" t="n">
        <f aca="false">Assumptions!F42</f>
        <v>18.5</v>
      </c>
      <c r="G7" s="4" t="n">
        <f aca="false">Assumptions!G42</f>
        <v>19</v>
      </c>
      <c r="H7" s="4" t="n">
        <f aca="false">Assumptions!H42</f>
        <v>19.4</v>
      </c>
      <c r="I7" s="4" t="n">
        <f aca="false">Assumptions!I42</f>
        <v>19.7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3707.55</v>
      </c>
      <c r="D8" s="0" t="n">
        <f aca="false">D6*D7/100</f>
        <v>4070.36025</v>
      </c>
      <c r="E8" s="0" t="n">
        <f aca="false">E6*E7/100</f>
        <v>4442.3069625</v>
      </c>
      <c r="F8" s="0" t="n">
        <f aca="false">F6*F7/100</f>
        <v>4793.98959703125</v>
      </c>
      <c r="G8" s="0" t="n">
        <f aca="false">G6*G7/100</f>
        <v>5145.11694319219</v>
      </c>
      <c r="H8" s="0" t="n">
        <f aca="false">H6*H7/100</f>
        <v>5489.83977838606</v>
      </c>
      <c r="I8" s="0" t="n">
        <f aca="false">I6*I7/100</f>
        <v>5797.72357626668</v>
      </c>
      <c r="J8" s="0" t="n">
        <f aca="false">J6*J7/100</f>
        <v>6092.02426541728</v>
      </c>
      <c r="K8" s="0" t="n">
        <f aca="false">K6*K7/100</f>
        <v>6274.7849933798</v>
      </c>
      <c r="L8" s="0" t="n">
        <f aca="false">L6*L7/100</f>
        <v>6463.02854318119</v>
      </c>
    </row>
    <row r="9" customFormat="false" ht="15" hidden="false" customHeight="false" outlineLevel="0" collapsed="false">
      <c r="A9" s="0" t="s">
        <v>94</v>
      </c>
      <c r="C9" s="4" t="n">
        <f aca="false">Assumptions!C43</f>
        <v>0.75</v>
      </c>
      <c r="D9" s="4" t="n">
        <f aca="false">Assumptions!D43</f>
        <v>0.75</v>
      </c>
      <c r="E9" s="4" t="n">
        <f aca="false">Assumptions!E43</f>
        <v>0.72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0.68</v>
      </c>
      <c r="I9" s="4" t="n">
        <f aca="false">Assumptions!I43</f>
        <v>0.66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-165.515625</v>
      </c>
      <c r="D10" s="0" t="n">
        <f aca="false">-D6*D9/100</f>
        <v>-175.4465625</v>
      </c>
      <c r="E10" s="0" t="n">
        <f aca="false">-E6*E9/100</f>
        <v>-177.6922785</v>
      </c>
      <c r="F10" s="0" t="n">
        <f aca="false">-F6*F9/100</f>
        <v>-181.39420096875</v>
      </c>
      <c r="G10" s="0" t="n">
        <f aca="false">-G6*G9/100</f>
        <v>-189.556940012344</v>
      </c>
      <c r="H10" s="0" t="n">
        <f aca="false">-H6*H9/100</f>
        <v>-192.427373675388</v>
      </c>
      <c r="I10" s="0" t="n">
        <f aca="false">-I6*I9/100</f>
        <v>-194.238454839392</v>
      </c>
      <c r="J10" s="0" t="n">
        <f aca="false">-J6*J9/100</f>
        <v>-197.990788626062</v>
      </c>
      <c r="K10" s="0" t="n">
        <f aca="false">-K6*K9/100</f>
        <v>-203.930512284843</v>
      </c>
      <c r="L10" s="0" t="n">
        <f aca="false">-L6*L9/100</f>
        <v>-210.048427653389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3542.034375</v>
      </c>
      <c r="D11" s="0" t="n">
        <f aca="false">D8+D10+D24</f>
        <v>3894.9136875</v>
      </c>
      <c r="E11" s="0" t="n">
        <f aca="false">E8+E10+E24</f>
        <v>4264.614684</v>
      </c>
      <c r="F11" s="0" t="n">
        <f aca="false">F8+F10+F24</f>
        <v>4612.5953960625</v>
      </c>
      <c r="G11" s="0" t="n">
        <f aca="false">G8+G10+G24</f>
        <v>4955.56000317984</v>
      </c>
      <c r="H11" s="0" t="n">
        <f aca="false">H8+H10+H24</f>
        <v>5297.41240471068</v>
      </c>
      <c r="I11" s="0" t="n">
        <f aca="false">I8+I10+I24</f>
        <v>5603.48512142729</v>
      </c>
      <c r="J11" s="0" t="n">
        <f aca="false">J8+J10+J24</f>
        <v>5894.03347679122</v>
      </c>
      <c r="K11" s="0" t="n">
        <f aca="false">K8+K10+K24</f>
        <v>6070.85448109495</v>
      </c>
      <c r="L11" s="0" t="n">
        <f aca="false">L8+L10+L24</f>
        <v>6252.9801155278</v>
      </c>
    </row>
    <row r="12" customFormat="false" ht="15" hidden="false" customHeight="false" outlineLevel="0" collapsed="false">
      <c r="A12" s="0" t="s">
        <v>111</v>
      </c>
      <c r="C12" s="4" t="n">
        <f aca="false">-C6*Assumptions!C45/100</f>
        <v>-662.0625</v>
      </c>
      <c r="D12" s="4" t="n">
        <f aca="false">-D6*Assumptions!D45/100</f>
        <v>-701.78625</v>
      </c>
      <c r="E12" s="4" t="n">
        <f aca="false">-E6*Assumptions!E45/100</f>
        <v>-715.705010625</v>
      </c>
      <c r="F12" s="4" t="n">
        <f aca="false">-F6*Assumptions!F45/100</f>
        <v>-751.49026115625</v>
      </c>
      <c r="G12" s="4" t="n">
        <f aca="false">-G6*Assumptions!G45/100</f>
        <v>-758.227760049375</v>
      </c>
      <c r="H12" s="4" t="n">
        <f aca="false">-H6*Assumptions!H45/100</f>
        <v>-792.348009251597</v>
      </c>
      <c r="I12" s="4" t="n">
        <f aca="false">-I6*Assumptions!I45/100</f>
        <v>-794.611860706602</v>
      </c>
      <c r="J12" s="4" t="n">
        <f aca="false">-J6*Assumptions!J45/100</f>
        <v>-822.423275831333</v>
      </c>
      <c r="K12" s="4" t="n">
        <f aca="false">-K6*Assumptions!K45/100</f>
        <v>-815.722049139374</v>
      </c>
      <c r="L12" s="4" t="n">
        <f aca="false">-L6*Assumptions!L45/100</f>
        <v>-840.193710613555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2879.971875</v>
      </c>
      <c r="D13" s="0" t="n">
        <f aca="false">D11+D12</f>
        <v>3193.1274375</v>
      </c>
      <c r="E13" s="0" t="n">
        <f aca="false">E11+E12</f>
        <v>3548.909673375</v>
      </c>
      <c r="F13" s="0" t="n">
        <f aca="false">F11+F12</f>
        <v>3861.10513490625</v>
      </c>
      <c r="G13" s="0" t="n">
        <f aca="false">G11+G12</f>
        <v>4197.33224313047</v>
      </c>
      <c r="H13" s="0" t="n">
        <f aca="false">H11+H12</f>
        <v>4505.06439545908</v>
      </c>
      <c r="I13" s="0" t="n">
        <f aca="false">I11+I12</f>
        <v>4808.87326072069</v>
      </c>
      <c r="J13" s="0" t="n">
        <f aca="false">J11+J12</f>
        <v>5071.61020095988</v>
      </c>
      <c r="K13" s="0" t="n">
        <f aca="false">K11+K12</f>
        <v>5255.13243195558</v>
      </c>
      <c r="L13" s="0" t="n">
        <f aca="false">L11+L12</f>
        <v>5412.78640491425</v>
      </c>
    </row>
    <row r="14" customFormat="false" ht="15" hidden="false" customHeight="false" outlineLevel="0" collapsed="false">
      <c r="A14" s="0" t="s">
        <v>98</v>
      </c>
      <c r="C14" s="4" t="n">
        <f aca="false">Assumptions!C47</f>
        <v>20</v>
      </c>
      <c r="D14" s="4" t="n">
        <f aca="false">Assumptions!D47</f>
        <v>21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2303.9775</v>
      </c>
      <c r="D15" s="0" t="n">
        <f aca="false">D13-MAX(0,D13)*D14/100</f>
        <v>2522.570675625</v>
      </c>
      <c r="E15" s="0" t="n">
        <f aca="false">E13-MAX(0,E13)*E14/100</f>
        <v>2768.1495452325</v>
      </c>
      <c r="F15" s="0" t="n">
        <f aca="false">F13-MAX(0,F13)*F14/100</f>
        <v>3011.66200522688</v>
      </c>
      <c r="G15" s="0" t="n">
        <f aca="false">G13-MAX(0,G13)*G14/100</f>
        <v>3273.91914964176</v>
      </c>
      <c r="H15" s="0" t="n">
        <f aca="false">H13-MAX(0,H13)*H14/100</f>
        <v>3513.95022845808</v>
      </c>
      <c r="I15" s="0" t="n">
        <f aca="false">I13-MAX(0,I13)*I14/100</f>
        <v>3750.92114336214</v>
      </c>
      <c r="J15" s="0" t="n">
        <f aca="false">J13-MAX(0,J13)*J14/100</f>
        <v>3955.85595674871</v>
      </c>
      <c r="K15" s="0" t="n">
        <f aca="false">K13-MAX(0,K13)*K14/100</f>
        <v>4099.00329692535</v>
      </c>
      <c r="L15" s="0" t="n">
        <f aca="false">L13-MAX(0,L13)*L14/100</f>
        <v>4221.97339583311</v>
      </c>
    </row>
    <row r="16" customFormat="false" ht="15" hidden="false" customHeight="false" outlineLevel="0" collapsed="false">
      <c r="A16" s="0" t="s">
        <v>114</v>
      </c>
      <c r="C16" s="0" t="n">
        <f aca="false">-C12</f>
        <v>662.0625</v>
      </c>
      <c r="D16" s="0" t="n">
        <f aca="false">-D12</f>
        <v>701.78625</v>
      </c>
      <c r="E16" s="0" t="n">
        <f aca="false">-E12</f>
        <v>715.705010625</v>
      </c>
      <c r="F16" s="0" t="n">
        <f aca="false">-F12</f>
        <v>751.49026115625</v>
      </c>
      <c r="G16" s="0" t="n">
        <f aca="false">-G12</f>
        <v>758.227760049375</v>
      </c>
      <c r="H16" s="0" t="n">
        <f aca="false">-H12</f>
        <v>792.348009251597</v>
      </c>
      <c r="I16" s="0" t="n">
        <f aca="false">-I12</f>
        <v>794.611860706602</v>
      </c>
      <c r="J16" s="0" t="n">
        <f aca="false">-J12</f>
        <v>822.423275831333</v>
      </c>
      <c r="K16" s="0" t="n">
        <f aca="false">-K12</f>
        <v>815.722049139374</v>
      </c>
      <c r="L16" s="0" t="n">
        <f aca="false">-L12</f>
        <v>840.193710613555</v>
      </c>
    </row>
    <row r="17" customFormat="false" ht="15" hidden="false" customHeight="false" outlineLevel="0" collapsed="false">
      <c r="A17" s="0" t="s">
        <v>115</v>
      </c>
      <c r="C17" s="4" t="n">
        <f aca="false">-C6*Assumptions!C46/100</f>
        <v>-573.7875</v>
      </c>
      <c r="D17" s="4" t="n">
        <f aca="false">-D6*Assumptions!D46/100</f>
        <v>-608.21475</v>
      </c>
      <c r="E17" s="4" t="n">
        <f aca="false">-E6*Assumptions!E46/100</f>
        <v>-616.987078125</v>
      </c>
      <c r="F17" s="4" t="n">
        <f aca="false">-F6*Assumptions!F46/100</f>
        <v>-647.83643203125</v>
      </c>
      <c r="G17" s="4" t="n">
        <f aca="false">-G6*Assumptions!G46/100</f>
        <v>-676.989071472656</v>
      </c>
      <c r="H17" s="4" t="n">
        <f aca="false">-H6*Assumptions!H46/100</f>
        <v>-707.453579688926</v>
      </c>
      <c r="I17" s="4" t="n">
        <f aca="false">-I6*Assumptions!I46/100</f>
        <v>-735.751722876483</v>
      </c>
      <c r="J17" s="4" t="n">
        <f aca="false">-J6*Assumptions!J46/100</f>
        <v>-761.50303317716</v>
      </c>
      <c r="K17" s="4" t="n">
        <f aca="false">-K6*Assumptions!K46/100</f>
        <v>-784.348124172475</v>
      </c>
      <c r="L17" s="4" t="n">
        <f aca="false">-L6*Assumptions!L46/100</f>
        <v>-807.878567897649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(C6-B6)*Assumptions!$B$51/100</f>
        <v>-72.1875</v>
      </c>
      <c r="D18" s="4" t="n">
        <f aca="false">(D6-C6)*Assumptions!$B$51/100</f>
        <v>-66.20625</v>
      </c>
      <c r="E18" s="4" t="n">
        <f aca="false">(E6-D6)*Assumptions!$B$51/100</f>
        <v>-64.3304062499999</v>
      </c>
      <c r="F18" s="4" t="n">
        <f aca="false">(F6-E6)*Assumptions!$B$51/100</f>
        <v>-61.6987078125001</v>
      </c>
      <c r="G18" s="4" t="n">
        <f aca="false">(G6-F6)*Assumptions!$B$51/100</f>
        <v>-58.3052788828125</v>
      </c>
      <c r="H18" s="4" t="n">
        <f aca="false">(H6-G6)*Assumptions!$B$51/100</f>
        <v>-60.929016432539</v>
      </c>
      <c r="I18" s="4" t="n">
        <f aca="false">(I6-H6)*Assumptions!$B$51/100</f>
        <v>-56.5962863751141</v>
      </c>
      <c r="J18" s="4" t="n">
        <f aca="false">(J6-I6)*Assumptions!$B$51/100</f>
        <v>-51.5026206013537</v>
      </c>
      <c r="K18" s="4" t="n">
        <f aca="false">(K6-J6)*Assumptions!$B$51/100</f>
        <v>-45.6901819906296</v>
      </c>
      <c r="L18" s="4" t="n">
        <f aca="false">(L6-K6)*Assumptions!$B$51/100</f>
        <v>-47.0608874503485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2320.065</v>
      </c>
      <c r="D19" s="0" t="n">
        <f aca="false">D15+D16+D17+D18</f>
        <v>2549.935925625</v>
      </c>
      <c r="E19" s="0" t="n">
        <f aca="false">E15+E16+E17+E18</f>
        <v>2802.5370714825</v>
      </c>
      <c r="F19" s="0" t="n">
        <f aca="false">F15+F16+F17+F18</f>
        <v>3053.61712653938</v>
      </c>
      <c r="G19" s="0" t="n">
        <f aca="false">G15+G16+G17+G18</f>
        <v>3296.85255933567</v>
      </c>
      <c r="H19" s="0" t="n">
        <f aca="false">H15+H16+H17+H18</f>
        <v>3537.91564158821</v>
      </c>
      <c r="I19" s="0" t="n">
        <f aca="false">I15+I16+I17+I18</f>
        <v>3753.18499481714</v>
      </c>
      <c r="J19" s="0" t="n">
        <f aca="false">J15+J16+J17+J18</f>
        <v>3965.27357880153</v>
      </c>
      <c r="K19" s="0" t="n">
        <f aca="false">K15+K16+K17+K18</f>
        <v>4084.68703990162</v>
      </c>
      <c r="L19" s="0" t="n">
        <f aca="false">L15+L16+L17+L18</f>
        <v>4207.22765109867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2148.20833333333</v>
      </c>
      <c r="D21" s="0" t="n">
        <f aca="false">D19*D20</f>
        <v>2186.15905832047</v>
      </c>
      <c r="E21" s="0" t="n">
        <f aca="false">E19*E20</f>
        <v>2224.74428399706</v>
      </c>
      <c r="F21" s="0" t="n">
        <f aca="false">F19*F20</f>
        <v>2244.49974701697</v>
      </c>
      <c r="G21" s="0" t="n">
        <f aca="false">G19*G20</f>
        <v>2243.78245498158</v>
      </c>
      <c r="H21" s="0" t="n">
        <f aca="false">H19*H20</f>
        <v>2229.48697980354</v>
      </c>
      <c r="I21" s="0" t="n">
        <f aca="false">I19*I20</f>
        <v>2189.94739611777</v>
      </c>
      <c r="J21" s="0" t="n">
        <f aca="false">J19*J20</f>
        <v>2142.31393316426</v>
      </c>
      <c r="K21" s="0" t="n">
        <f aca="false">K19*K20</f>
        <v>2043.36047276604</v>
      </c>
      <c r="L21" s="0" t="n">
        <f aca="false">L19*L20</f>
        <v>1948.76045087873</v>
      </c>
    </row>
    <row r="23" customFormat="false" ht="15" hidden="false" customHeight="false" outlineLevel="0" collapsed="false">
      <c r="A23" s="0" t="s">
        <v>95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101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21601.2631103797</v>
      </c>
    </row>
    <row r="31" customFormat="false" ht="15" hidden="false" customHeight="false" outlineLevel="0" collapsed="false">
      <c r="A31" s="0" t="s">
        <v>123</v>
      </c>
      <c r="B31" s="0" t="n">
        <f aca="false">L19</f>
        <v>4207.22765109867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86668.8896126326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75730.0977197761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75730.0977197761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35077.6881158171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56678.9512261968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43657.9512261968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96.3751682697501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0.446423056727452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1247.94515157813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2004.23711575242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103.554378572908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36112.0373385969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25.4227299902349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2" t="s">
        <v>140</v>
      </c>
      <c r="B3" s="2" t="s">
        <v>141</v>
      </c>
      <c r="C3" s="2" t="s">
        <v>131</v>
      </c>
      <c r="D3" s="2" t="s">
        <v>142</v>
      </c>
      <c r="E3" s="2" t="s">
        <v>134</v>
      </c>
      <c r="F3" s="2" t="s">
        <v>143</v>
      </c>
    </row>
    <row r="4" customFormat="false" ht="15" hidden="false" customHeight="false" outlineLevel="0" collapsed="false">
      <c r="A4" s="0" t="s">
        <v>144</v>
      </c>
      <c r="B4" s="4" t="n">
        <f aca="false">DCF_Bear!$B$38</f>
        <v>32.9499483250494</v>
      </c>
      <c r="C4" s="0" t="n">
        <f aca="false">B4/Assumptions!$B$2-1</f>
        <v>-0.505478788457911</v>
      </c>
      <c r="D4" s="4" t="n">
        <f aca="false">Assumptions!$B$24</f>
        <v>0.25</v>
      </c>
      <c r="E4" s="4" t="n">
        <f aca="false">DCF_Bear!$B$43</f>
        <v>38.5827296496786</v>
      </c>
      <c r="F4" s="4" t="n">
        <f aca="false">DCF_Bear!$B$47</f>
        <v>4.28543030383016</v>
      </c>
    </row>
    <row r="5" customFormat="false" ht="15" hidden="false" customHeight="false" outlineLevel="0" collapsed="false">
      <c r="A5" s="0" t="s">
        <v>145</v>
      </c>
      <c r="B5" s="4" t="n">
        <f aca="false">DCF_Base!$B$38</f>
        <v>68.1608946629839</v>
      </c>
      <c r="C5" s="0" t="n">
        <f aca="false">B5/Assumptions!$B$2-1</f>
        <v>0.0229760567759851</v>
      </c>
      <c r="D5" s="4" t="n">
        <f aca="false">Assumptions!$B$38</f>
        <v>0.5</v>
      </c>
      <c r="E5" s="4" t="n">
        <f aca="false">DCF_Base!$B$43</f>
        <v>74.4268173324525</v>
      </c>
      <c r="F5" s="4" t="n">
        <f aca="false">DCF_Base!$B$47</f>
        <v>16.730376481987</v>
      </c>
    </row>
    <row r="6" customFormat="false" ht="15" hidden="false" customHeight="false" outlineLevel="0" collapsed="false">
      <c r="A6" s="0" t="s">
        <v>146</v>
      </c>
      <c r="B6" s="4" t="n">
        <f aca="false">DCF_Bull!$B$38</f>
        <v>96.3751682697501</v>
      </c>
      <c r="C6" s="0" t="n">
        <f aca="false">B6/Assumptions!$B$2-1</f>
        <v>0.446423056727452</v>
      </c>
      <c r="D6" s="4" t="n">
        <f aca="false">Assumptions!$B$52</f>
        <v>0.25</v>
      </c>
      <c r="E6" s="4" t="n">
        <f aca="false">DCF_Bull!$B$43</f>
        <v>103.554378572908</v>
      </c>
      <c r="F6" s="4" t="n">
        <f aca="false">DCF_Bull!$B$47</f>
        <v>25.4227299902349</v>
      </c>
    </row>
    <row r="8" customFormat="false" ht="15" hidden="false" customHeight="false" outlineLevel="0" collapsed="false">
      <c r="A8" s="0" t="s">
        <v>147</v>
      </c>
      <c r="B8" s="0" t="n">
        <f aca="false">SUMPRODUCT(B4:B6,D4:D6)</f>
        <v>66.4117264801918</v>
      </c>
    </row>
    <row r="9" customFormat="false" ht="15" hidden="false" customHeight="false" outlineLevel="0" collapsed="false">
      <c r="A9" s="0" t="s">
        <v>148</v>
      </c>
      <c r="B9" s="0" t="n">
        <f aca="false">SUMPRODUCT(E4:E6,D4:D6)</f>
        <v>72.7476857218729</v>
      </c>
    </row>
    <row r="10" customFormat="false" ht="15" hidden="false" customHeight="false" outlineLevel="0" collapsed="false">
      <c r="A10" s="0" t="s">
        <v>149</v>
      </c>
      <c r="B10" s="0" t="n">
        <f aca="false">1-Assumptions!$B$2/B8</f>
        <v>-0.00328667136628757</v>
      </c>
    </row>
    <row r="11" customFormat="false" ht="15" hidden="false" customHeight="false" outlineLevel="0" collapsed="false">
      <c r="A11" s="0" t="s">
        <v>150</v>
      </c>
      <c r="B11" s="0" t="n">
        <f aca="false">IF(ABS(B9-B8)&gt;0.01*ABS(B8),(Assumptions!$B$2-B8)/(B9-B8)*100,"n/a")</f>
        <v>3.4449956428421</v>
      </c>
    </row>
    <row r="12" customFormat="false" ht="15" hidden="false" customHeight="false" outlineLevel="0" collapsed="false">
      <c r="A12" s="0" t="s">
        <v>151</v>
      </c>
      <c r="B12" s="0" t="n">
        <f aca="false">SUMPRODUCT(F4:F6,D4:D6)</f>
        <v>15.7922283145098</v>
      </c>
    </row>
    <row r="14" customFormat="false" ht="15" hidden="false" customHeight="false" outlineLevel="0" collapsed="false">
      <c r="A14" s="2" t="s">
        <v>152</v>
      </c>
      <c r="C14" s="0" t="s">
        <v>153</v>
      </c>
    </row>
    <row r="15" customFormat="false" ht="15" hidden="false" customHeight="false" outlineLevel="0" collapsed="false">
      <c r="A15" s="0" t="s">
        <v>154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68.1608946629839</v>
      </c>
      <c r="C15" s="3" t="n">
        <v>8</v>
      </c>
    </row>
    <row r="16" customFormat="false" ht="15" hidden="false" customHeight="false" outlineLevel="0" collapsed="false">
      <c r="A16" s="0" t="s">
        <v>155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60.6085492315168</v>
      </c>
      <c r="C16" s="3" t="n">
        <v>9</v>
      </c>
    </row>
    <row r="17" customFormat="false" ht="15" hidden="false" customHeight="false" outlineLevel="0" collapsed="false">
      <c r="A17" s="0" t="s">
        <v>156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48.3876253782828</v>
      </c>
      <c r="C17" s="3" t="n">
        <v>10</v>
      </c>
    </row>
    <row r="18" customFormat="false" ht="15" hidden="false" customHeight="false" outlineLevel="0" collapsed="false">
      <c r="A18" s="0" t="s">
        <v>157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39.0546339596716</v>
      </c>
      <c r="C18" s="3" t="n">
        <v>11</v>
      </c>
    </row>
    <row r="19" customFormat="false" ht="15" hidden="false" customHeight="false" outlineLevel="0" collapsed="false">
      <c r="A19" s="0" t="s">
        <v>158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31.6969344708124</v>
      </c>
      <c r="C19" s="3" t="n">
        <v>12</v>
      </c>
    </row>
    <row r="20" customFormat="false" ht="15" hidden="false" customHeight="false" outlineLevel="0" collapsed="false">
      <c r="A20" s="0" t="s">
        <v>159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16.730376481987</v>
      </c>
      <c r="C20" s="3" t="n">
        <v>15</v>
      </c>
    </row>
    <row r="22" customFormat="false" ht="15" hidden="false" customHeight="false" outlineLevel="0" collapsed="false">
      <c r="A22" s="2" t="s">
        <v>160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83.888347168992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83.888347168992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83.888347168992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83.888347168992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83.888347168992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75.6526857524054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75.6526857524054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75.6526857524054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75.6526857524054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75.6526857524054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66.8284972640956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68.1608946629839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68.1608946629839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68.1608946629839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68.1608946629839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53.5448601070989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56.8244300577215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60.6085492315168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61.3375997145416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61.3375997145416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43.4121987804896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45.7444299982052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48.3876253782828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51.4084200983715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54.8939524677047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2026-09-28T08:38:30Z</dcterms:created>
  <dc:creator>openpyxl</dc:creator>
  <dc:description/>
  <dc:language>en-NZ</dc:language>
  <cp:lastModifiedBy/>
  <dcterms:modified xsi:type="dcterms:W3CDTF">2026-09-28T08:38:30Z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