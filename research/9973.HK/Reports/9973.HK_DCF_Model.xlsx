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<sst xmlns="http://schemas.openxmlformats.org/spreadsheetml/2006/main" count="345" uniqueCount="163">
  <si>
    <t xml:space="preserve">Ticker</t>
  </si>
  <si>
    <t xml:space="preserve">9973.HK</t>
  </si>
  <si>
    <t xml:space="preserve">Company</t>
  </si>
  <si>
    <t xml:space="preserve">Chery Automobile Co., Ltd.</t>
  </si>
  <si>
    <t xml:space="preserve">Valuation date</t>
  </si>
  <si>
    <t xml:space="preserve">2026-10-24</t>
  </si>
  <si>
    <t xml:space="preserve">Current price</t>
  </si>
  <si>
    <t xml:space="preserve">Price as of</t>
  </si>
  <si>
    <t xml:space="preserve">2026-10-23T08:08:08Z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</si>
  <si>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</si>
  <si>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</si>
  <si>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</si>
  <si>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</si>
  <si>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</si>
  <si>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</si>
  <si>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</si>
  <si>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</si>
  <si>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</si>
  <si>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</si>
  <si>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</si>
  <si>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</si>
  <si>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</si>
  <si>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2026-10-23T21:54:13Z</t>
  </si>
  <si>
    <t xml:space="preserve">Drivers file</t>
  </si>
  <si>
    <t xml:space="preserve">9973.HK_Drivers.json</t>
  </si>
  <si>
    <t xml:space="preserve">Convention</t>
  </si>
  <si>
    <t xml:space="preserve">Percents stored as percents; formulas divide by 100. Blue = input, green = link, black = formula.</t>
  </si>
  <si>
    <t xml:space="preserve">Methodology</t>
  </si>
  <si>
    <t xml:space="preserve">summary: Chery is valued as a cyclical, export-led auto OEM on owner FCF built from core (ex-non-operating) margins, with the balance sheet credited for its liquid assets and JV stakes only after deducting the parts of the cash pile that are supplier float rather than owner cash. The headline debate is not the DCF of the car business but how much of RMB~116bn of liquid assets belongs to shareholders: Chery funds itself with ~RMB146bn of trade and bills payables, and that float rose RMB35bn in six months.
key_risks_to_valuation: Supplier-float reversal: the bridge deducts 45bn for the bills-payable spike and expected 60-day normalisation; full normalisation plus the spike would be ~86bn, ~RMB7/share more.; Export concentration and trade policy: EU tariffs (35.3% + 10%), China export permits, Russia/Turkey exposure - the bear axis.; Domestic price war and NEV mix dilution compressing the core EBITDA margin back below 7%.; Margin basis: reported EBITDA includes ~RMB8bn/yr of non-operating income and FX; the paths are core margins, so the H1-2026 jump may be partly mix/timing.; Pre-IPO lock-up expiry (~US$8bn reported overhang) - price, not value, but it may keep the discount open.; Recurring PRC subsidies (~0.85% of revenue) kept in EBITDA could be withdrawn.</t>
  </si>
  <si>
    <t xml:space="preserve">Data sources</t>
  </si>
  <si>
    <t xml:space="preserve">price: Yahoo Finance chart API (9973.HK) at inputs.price_as_of; 52-week range 22.50-34.06 HKD. FX from Yahoo CNYHKD=X (see inputs.fx_note).
financials: 9973.HK_Metrics.csv / core_metrics (FY2022-FY2025, H1 2024-H1 2026); FY2025 annual report (income statement, other income note, cash flow statement); H1-2026 interim report (balance sheet at 30 June 2026, cash flow, payables note 11, share count).
qualitative: 9973.HK_Analysis.json (2026-10-24): business mix, export and NEV trends, competitive position, risks, recent developments; no numeric company guidance exists.</t>
  </si>
  <si>
    <t xml:space="preserve">Scenario narrative: bear</t>
  </si>
  <si>
    <t xml:space="preserve">Exports peak. The China export-permit regime, higher EU tariffs, a Russia/Turkey demand or sanctions shock and Chinese rivals carrying the domestic price war overseas cut overseas volumes from FY2027 while domestic share keeps slipping (~4.6% NEV retail share vs BYD ~23%). Revenue falls 6% and 4% in FY2027-28 then grows 2%; core EBITDA margin drops to 5.5% as the NEV mix rises at low margin; falling volume unwinds supplier float. This is the path the market's ~6x P/E is pricing.</t>
  </si>
  <si>
    <t xml:space="preserve">Scenario narrative: base</t>
  </si>
  <si>
    <t xml:space="preserve">Chery's export machine keeps growing but the domestic market stays a price war. Revenue +3% in FY2026 (H1 +1.2%) and mid-single digits through FY2029 as overseas sales (now ~70% of revenue on a run-rate basis) and NEVs (41% of revenue) offset domestic ICE decline, fading to 2.5%. Core EBITDA margin gives back part of the H1-2026 jump (16.1% gross margin) and settles at 8.5%, above FY2025's 7.2% core on export mix but held down by rising low-margin NEV share and EU tariffs. Capex runs above D&amp;A while overseas plants are built. The cash pile is credited only after deducting the H1-2026 bills-payable spike and an expected-value charge for 60-day supplier-payment normalisation.</t>
  </si>
  <si>
    <t xml:space="preserve">Scenario narrative: bull</t>
  </si>
  <si>
    <t xml:space="preserve">Chery becomes a scaled global OEM: Omoda/Jaecoo approaches the 1m-unit 2027 target, the Spain JV and other overseas bases localise production around EU tariffs, NEV gross margins converge toward ICE, and premium brands (EXEED, LUXEED) lift mix. Revenue compounds ~6-11% through FY2029, core EBITDA margin rises to 10.5% and growth releases further supplier float. Optionality from a US/Canada/Mexico entry is not modelled.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</si>
  <si>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</si>
  <si>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</si>
  <si>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</si>
  <si>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</si>
  <si>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</si>
  <si>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</si>
  <si>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</si>
  <si>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</si>
  <si>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</si>
  <si>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</si>
  <si>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</si>
  <si>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</si>
  <si>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</si>
  <si>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</si>
  <si>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</si>
  <si>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</si>
  <si>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</si>
  <si>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</si>
  <si>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</si>
  <si>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</si>
  <si>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</si>
  <si>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</si>
  <si>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</si>
  <si>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</si>
  <si>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</si>
  <si>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</si>
  <si>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</si>
  <si>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CapitalisedDevelopment</t>
  </si>
  <si>
    <t xml:space="preserve">NetIncomeInclNCI</t>
  </si>
  <si>
    <t xml:space="preserve">TotalEquityInclNCI</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</si>
  <si>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</si>
  <si>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</si>
  <si>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</si>
  <si>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</si>
  <si>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</si>
  <si>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</si>
  <si>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</si>
  <si>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</si>
  <si>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</si>
  <si>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</si>
  <si>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</si>
  <si>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</si>
  <si>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</si>
  <si>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</si>
  <si>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</si>
  <si>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</si>
  <si>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</si>
  <si>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</si>
  <si>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</si>
  <si>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</si>
  <si>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</si>
  <si>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</si>
  <si>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</si>
  <si>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</si>
  <si>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</si>
  <si>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</si>
  <si>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</si>
  <si>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</si>
  <si>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</si>
  <si>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</si>
  <si>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</si>
  <si>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</si>
  <si>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</si>
  <si>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</si>
  <si>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</si>
  <si>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</si>
  <si>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</si>
  <si>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</si>
  <si>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</si>
  <si>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</si>
  <si>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</si>
  <si>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9973.HK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</si>
  <si>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</si>
  <si>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</si>
  <si>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</si>
  <si>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</si>
  <si>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</si>
  <si>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</si>
  <si>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</si>
  <si>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</si>
  <si>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</si>
  <si>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</si>
  <si>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</si>
  <si>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</si>
  <si>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</si>
  <si>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</si>
  <si>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</si>
  <si>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</si>
  <si>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</si>
  <si>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</si>
  <si>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</si>
  <si>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</si>
  <si>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</si>
  <si>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</si>
  <si>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</si>
  <si>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</si>
  <si>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</si>
  <si>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</si>
  <si>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</si>
  <si>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</si>
  <si>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</si>
  <si>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</si>
  <si>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9973.HK owner-FCF component DCF: base case (millions, CNY)</t>
  </si>
  <si>
    <t xml:space="preserve">9973.HK owner-FCF component DCF: bull case (millions, CNY)</t>
  </si>
  <si>
    <t xml:space="preserve">9973.HK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</si>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</sst>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23.38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92618</v>
      </c>
      <c r="D2" s="0" t="n">
        <v>12805</v>
      </c>
      <c r="E2" s="0" t="n">
        <v>13.8</v>
      </c>
      <c r="P2" s="0" t="n">
        <v>121960</v>
      </c>
      <c r="Q2" s="0" t="n">
        <v>113545</v>
      </c>
      <c r="AA2" s="0" t="s">
        <v>18</v>
      </c>
      <c r="AB2" s="0" t="s">
        <v>14</v>
      </c>
      <c r="AD2" s="0" t="n">
        <v>5806</v>
      </c>
      <c r="AE2" s="0" t="n">
        <v>8415</v>
      </c>
    </row>
    <row r="3" customFormat="false" ht="15" hidden="false" customHeight="false" outlineLevel="0" collapsed="false">
      <c r="A3" s="0" t="s">
        <v>68</v>
      </c>
      <c r="B3" s="0" t="n">
        <v>163205</v>
      </c>
      <c r="D3" s="0" t="n">
        <v>26090</v>
      </c>
      <c r="E3" s="0" t="n">
        <v>16</v>
      </c>
      <c r="P3" s="0" t="n">
        <v>179434</v>
      </c>
      <c r="Q3" s="0" t="n">
        <v>164853</v>
      </c>
      <c r="AA3" s="0" t="s">
        <v>18</v>
      </c>
      <c r="AB3" s="0" t="s">
        <v>14</v>
      </c>
      <c r="AD3" s="0" t="n">
        <v>10444</v>
      </c>
      <c r="AE3" s="0" t="n">
        <v>14581</v>
      </c>
    </row>
    <row r="4" customFormat="false" ht="15" hidden="false" customHeight="false" outlineLevel="0" collapsed="false">
      <c r="A4" s="0" t="s">
        <v>69</v>
      </c>
      <c r="B4" s="0" t="n">
        <v>269897</v>
      </c>
      <c r="C4" s="0" t="n">
        <v>233589</v>
      </c>
      <c r="D4" s="0" t="n">
        <v>36308</v>
      </c>
      <c r="E4" s="0" t="n">
        <v>13.5</v>
      </c>
      <c r="F4" s="0" t="n">
        <v>18922</v>
      </c>
      <c r="G4" s="0" t="n">
        <v>7</v>
      </c>
      <c r="H4" s="0" t="n">
        <v>22771</v>
      </c>
      <c r="I4" s="0" t="n">
        <v>14135</v>
      </c>
      <c r="J4" s="0" t="n">
        <v>5.2</v>
      </c>
      <c r="K4" s="0" t="n">
        <v>2.58</v>
      </c>
      <c r="L4" s="0" t="n">
        <v>44887</v>
      </c>
      <c r="M4" s="0" t="n">
        <v>7624</v>
      </c>
      <c r="N4" s="0" t="n">
        <v>37263</v>
      </c>
      <c r="O4" s="0" t="n">
        <v>26488</v>
      </c>
      <c r="P4" s="0" t="n">
        <v>213996</v>
      </c>
      <c r="Q4" s="0" t="n">
        <v>188072</v>
      </c>
      <c r="R4" s="0" t="n">
        <v>23166</v>
      </c>
      <c r="S4" s="0" t="n">
        <v>62693</v>
      </c>
      <c r="T4" s="0" t="n">
        <v>5470</v>
      </c>
      <c r="U4" s="0" t="n">
        <v>2016</v>
      </c>
      <c r="AA4" s="0" t="s">
        <v>18</v>
      </c>
      <c r="AB4" s="0" t="s">
        <v>14</v>
      </c>
      <c r="AC4" s="0" t="n">
        <v>1301</v>
      </c>
      <c r="AD4" s="0" t="n">
        <v>14334</v>
      </c>
      <c r="AE4" s="0" t="n">
        <v>25924</v>
      </c>
    </row>
    <row r="5" customFormat="false" ht="15" hidden="false" customHeight="false" outlineLevel="0" collapsed="false">
      <c r="A5" s="0" t="s">
        <v>70</v>
      </c>
      <c r="B5" s="0" t="n">
        <v>300287</v>
      </c>
      <c r="C5" s="0" t="n">
        <v>258844</v>
      </c>
      <c r="D5" s="0" t="n">
        <v>41443</v>
      </c>
      <c r="E5" s="0" t="n">
        <v>13.8</v>
      </c>
      <c r="F5" s="0" t="n">
        <v>25097</v>
      </c>
      <c r="G5" s="0" t="n">
        <v>8.4</v>
      </c>
      <c r="H5" s="0" t="n">
        <v>29519</v>
      </c>
      <c r="I5" s="0" t="n">
        <v>19019</v>
      </c>
      <c r="J5" s="0" t="n">
        <v>6.3</v>
      </c>
      <c r="K5" s="0" t="n">
        <v>3.43</v>
      </c>
      <c r="L5" s="0" t="n">
        <v>20130</v>
      </c>
      <c r="M5" s="0" t="n">
        <v>14654</v>
      </c>
      <c r="N5" s="0" t="n">
        <v>5476</v>
      </c>
      <c r="O5" s="0" t="n">
        <v>50757</v>
      </c>
      <c r="P5" s="0" t="n">
        <v>259347</v>
      </c>
      <c r="Q5" s="0" t="n">
        <v>208549</v>
      </c>
      <c r="R5" s="0" t="n">
        <v>15924</v>
      </c>
      <c r="S5" s="0" t="n">
        <v>46955</v>
      </c>
      <c r="T5" s="0" t="n">
        <v>5552</v>
      </c>
      <c r="U5" s="0" t="n">
        <v>527</v>
      </c>
      <c r="AA5" s="0" t="s">
        <v>18</v>
      </c>
      <c r="AB5" s="0" t="s">
        <v>14</v>
      </c>
      <c r="AC5" s="0" t="n">
        <v>0</v>
      </c>
      <c r="AD5" s="0" t="n">
        <v>19507</v>
      </c>
      <c r="AE5" s="0" t="n">
        <v>50798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71</v>
      </c>
      <c r="B1" s="2" t="s">
        <v>72</v>
      </c>
    </row>
    <row r="2" customFormat="false" ht="15" hidden="false" customHeight="false" outlineLevel="0" collapsed="false">
      <c r="A2" s="0" t="s">
        <v>73</v>
      </c>
      <c r="B2" s="3" t="n">
        <v>23.38</v>
      </c>
    </row>
    <row r="3" customFormat="false" ht="15" hidden="false" customHeight="false" outlineLevel="0" collapsed="false">
      <c r="A3" s="0" t="s">
        <v>74</v>
      </c>
      <c r="B3" s="3" t="n">
        <v>5808.6</v>
      </c>
    </row>
    <row r="4" customFormat="false" ht="15" hidden="false" customHeight="false" outlineLevel="0" collapsed="false">
      <c r="A4" s="0" t="s">
        <v>75</v>
      </c>
      <c r="B4" s="3" t="n">
        <v>-67606</v>
      </c>
    </row>
    <row r="5" customFormat="false" ht="15" hidden="false" customHeight="false" outlineLevel="0" collapsed="false">
      <c r="A5" s="0" t="s">
        <v>76</v>
      </c>
      <c r="B5" s="3" t="n">
        <v>-3709</v>
      </c>
    </row>
    <row r="6" customFormat="false" ht="15" hidden="false" customHeight="false" outlineLevel="0" collapsed="false">
      <c r="A6" s="0" t="s">
        <v>77</v>
      </c>
      <c r="B6" s="3" t="n">
        <v>15</v>
      </c>
    </row>
    <row r="7" customFormat="false" ht="15" hidden="false" customHeight="false" outlineLevel="0" collapsed="false">
      <c r="A7" s="0" t="s">
        <v>78</v>
      </c>
      <c r="B7" s="3" t="n">
        <v>300287</v>
      </c>
    </row>
    <row r="8" customFormat="false" ht="15" hidden="false" customHeight="false" outlineLevel="0" collapsed="false">
      <c r="A8" s="0" t="s">
        <v>79</v>
      </c>
      <c r="B8" s="3" t="s">
        <v>70</v>
      </c>
    </row>
    <row r="9" customFormat="false" ht="15" hidden="false" customHeight="false" outlineLevel="0" collapsed="false">
      <c r="A9" s="0" t="s">
        <v>80</v>
      </c>
      <c r="B9" s="3" t="s">
        <v>81</v>
      </c>
    </row>
    <row r="10" customFormat="false" ht="15" hidden="false" customHeight="false" outlineLevel="0" collapsed="false">
      <c r="A10" s="0" t="s">
        <v>82</v>
      </c>
      <c r="B10" s="3" t="n">
        <v>1.1744</v>
      </c>
    </row>
    <row r="12" customFormat="false" ht="15" hidden="false" customHeight="false" outlineLevel="0" collapsed="false">
      <c r="A12" s="2" t="s">
        <v>83</v>
      </c>
      <c r="C12" s="2" t="s">
        <v>84</v>
      </c>
      <c r="D12" s="2" t="s">
        <v>85</v>
      </c>
      <c r="E12" s="2" t="s">
        <v>86</v>
      </c>
      <c r="F12" s="2" t="s">
        <v>87</v>
      </c>
      <c r="G12" s="2" t="s">
        <v>88</v>
      </c>
      <c r="H12" s="2" t="s">
        <v>89</v>
      </c>
      <c r="I12" s="2" t="s">
        <v>90</v>
      </c>
      <c r="J12" s="2" t="s">
        <v>91</v>
      </c>
      <c r="K12" s="2" t="s">
        <v>92</v>
      </c>
      <c r="L12" s="2" t="s">
        <v>93</v>
      </c>
    </row>
    <row r="13" customFormat="false" ht="15" hidden="false" customHeight="false" outlineLevel="0" collapsed="false">
      <c r="A13" s="0" t="s">
        <v>94</v>
      </c>
      <c r="C13" s="3" t="n">
        <v>1</v>
      </c>
      <c r="D13" s="3" t="n">
        <v>-6</v>
      </c>
      <c r="E13" s="3" t="n">
        <v>-4</v>
      </c>
      <c r="F13" s="3" t="n">
        <v>0</v>
      </c>
      <c r="G13" s="3" t="n">
        <v>2</v>
      </c>
      <c r="H13" s="3" t="n">
        <v>2</v>
      </c>
      <c r="I13" s="3" t="n">
        <v>2</v>
      </c>
      <c r="J13" s="3" t="n">
        <v>2</v>
      </c>
      <c r="K13" s="3" t="n">
        <v>2</v>
      </c>
      <c r="L13" s="3" t="n">
        <v>2</v>
      </c>
    </row>
    <row r="14" customFormat="false" ht="15" hidden="false" customHeight="false" outlineLevel="0" collapsed="false">
      <c r="A14" s="0" t="s">
        <v>95</v>
      </c>
      <c r="C14" s="3" t="n">
        <v>8.5</v>
      </c>
      <c r="D14" s="3" t="n">
        <v>7</v>
      </c>
      <c r="E14" s="3" t="n">
        <v>6</v>
      </c>
      <c r="F14" s="3" t="n">
        <v>5.5</v>
      </c>
      <c r="G14" s="3" t="n">
        <v>5.5</v>
      </c>
      <c r="H14" s="3" t="n">
        <v>5.5</v>
      </c>
      <c r="I14" s="3" t="n">
        <v>5.5</v>
      </c>
      <c r="J14" s="3" t="n">
        <v>5.5</v>
      </c>
      <c r="K14" s="3" t="n">
        <v>5.5</v>
      </c>
      <c r="L14" s="3" t="n">
        <v>5.5</v>
      </c>
    </row>
    <row r="15" customFormat="false" ht="15" hidden="false" customHeight="false" outlineLevel="0" collapsed="false">
      <c r="A15" s="0" t="s">
        <v>96</v>
      </c>
      <c r="C15" s="3" t="n">
        <v>0.2</v>
      </c>
      <c r="D15" s="3" t="n">
        <v>0.2</v>
      </c>
      <c r="E15" s="3" t="n">
        <v>0.2</v>
      </c>
      <c r="F15" s="3" t="n">
        <v>0.2</v>
      </c>
      <c r="G15" s="3" t="n">
        <v>0.2</v>
      </c>
      <c r="H15" s="3" t="n">
        <v>0.2</v>
      </c>
      <c r="I15" s="3" t="n">
        <v>0.2</v>
      </c>
      <c r="J15" s="3" t="n">
        <v>0.2</v>
      </c>
      <c r="K15" s="3" t="n">
        <v>0.2</v>
      </c>
      <c r="L15" s="3" t="n">
        <v>0.2</v>
      </c>
    </row>
    <row r="16" customFormat="false" ht="15" hidden="false" customHeight="false" outlineLevel="0" collapsed="false">
      <c r="A16" s="0" t="s">
        <v>97</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98</v>
      </c>
      <c r="C17" s="3" t="n">
        <v>1.9</v>
      </c>
      <c r="D17" s="3" t="n">
        <v>2.2</v>
      </c>
      <c r="E17" s="3" t="n">
        <v>2.5</v>
      </c>
      <c r="F17" s="3" t="n">
        <v>2.7</v>
      </c>
      <c r="G17" s="3" t="n">
        <v>2.9</v>
      </c>
      <c r="H17" s="3" t="n">
        <v>3</v>
      </c>
      <c r="I17" s="3" t="n">
        <v>3.1</v>
      </c>
      <c r="J17" s="3" t="n">
        <v>3.2</v>
      </c>
      <c r="K17" s="3" t="n">
        <v>3.2</v>
      </c>
      <c r="L17" s="3" t="n">
        <v>3.2</v>
      </c>
    </row>
    <row r="18" customFormat="false" ht="15" hidden="false" customHeight="false" outlineLevel="0" collapsed="false">
      <c r="A18" s="0" t="s">
        <v>99</v>
      </c>
      <c r="C18" s="3" t="n">
        <v>4.5</v>
      </c>
      <c r="D18" s="3" t="n">
        <v>4.3</v>
      </c>
      <c r="E18" s="3" t="n">
        <v>4</v>
      </c>
      <c r="F18" s="3" t="n">
        <v>3.8</v>
      </c>
      <c r="G18" s="3" t="n">
        <v>3.6</v>
      </c>
      <c r="H18" s="3" t="n">
        <v>3.5</v>
      </c>
      <c r="I18" s="3" t="n">
        <v>3.5</v>
      </c>
      <c r="J18" s="3" t="n">
        <v>3.5</v>
      </c>
      <c r="K18" s="3" t="n">
        <v>3.5</v>
      </c>
      <c r="L18" s="3" t="n">
        <v>3.5</v>
      </c>
    </row>
    <row r="19" customFormat="false" ht="15" hidden="false" customHeight="false" outlineLevel="0" collapsed="false">
      <c r="A19" s="0" t="s">
        <v>100</v>
      </c>
      <c r="C19" s="3" t="n">
        <v>20</v>
      </c>
      <c r="D19" s="3" t="n">
        <v>20</v>
      </c>
      <c r="E19" s="3" t="n">
        <v>20</v>
      </c>
      <c r="F19" s="3" t="n">
        <v>20</v>
      </c>
      <c r="G19" s="3" t="n">
        <v>20</v>
      </c>
      <c r="H19" s="3" t="n">
        <v>20</v>
      </c>
      <c r="I19" s="3" t="n">
        <v>20</v>
      </c>
      <c r="J19" s="3" t="n">
        <v>20</v>
      </c>
      <c r="K19" s="3" t="n">
        <v>20</v>
      </c>
      <c r="L19" s="3" t="n">
        <v>20</v>
      </c>
    </row>
    <row r="20" customFormat="false" ht="15" hidden="false" customHeight="false" outlineLevel="0" collapsed="false">
      <c r="A20" s="0" t="s">
        <v>101</v>
      </c>
      <c r="B20" s="3" t="n">
        <v>9.5</v>
      </c>
    </row>
    <row r="21" customFormat="false" ht="15" hidden="false" customHeight="false" outlineLevel="0" collapsed="false">
      <c r="A21" s="0" t="s">
        <v>102</v>
      </c>
      <c r="B21" s="3" t="n">
        <v>1.5</v>
      </c>
    </row>
    <row r="22" customFormat="false" ht="15" hidden="false" customHeight="false" outlineLevel="0" collapsed="false">
      <c r="A22" s="0" t="s">
        <v>103</v>
      </c>
      <c r="B22" s="3" t="n">
        <v>8</v>
      </c>
    </row>
    <row r="23" customFormat="false" ht="15" hidden="false" customHeight="false" outlineLevel="0" collapsed="false">
      <c r="A23" s="0" t="s">
        <v>104</v>
      </c>
      <c r="B23" s="3" t="n">
        <v>10</v>
      </c>
    </row>
    <row r="24" customFormat="false" ht="15" hidden="false" customHeight="false" outlineLevel="0" collapsed="false">
      <c r="A24" s="0" t="s">
        <v>105</v>
      </c>
      <c r="B24" s="3" t="n">
        <v>0.3</v>
      </c>
    </row>
    <row r="26" customFormat="false" ht="15" hidden="false" customHeight="false" outlineLevel="0" collapsed="false">
      <c r="A26" s="2" t="s">
        <v>106</v>
      </c>
      <c r="C26" s="2" t="s">
        <v>84</v>
      </c>
      <c r="D26" s="2" t="s">
        <v>85</v>
      </c>
      <c r="E26" s="2" t="s">
        <v>86</v>
      </c>
      <c r="F26" s="2" t="s">
        <v>87</v>
      </c>
      <c r="G26" s="2" t="s">
        <v>88</v>
      </c>
      <c r="H26" s="2" t="s">
        <v>89</v>
      </c>
      <c r="I26" s="2" t="s">
        <v>90</v>
      </c>
      <c r="J26" s="2" t="s">
        <v>91</v>
      </c>
      <c r="K26" s="2" t="s">
        <v>92</v>
      </c>
      <c r="L26" s="2" t="s">
        <v>93</v>
      </c>
    </row>
    <row r="27" customFormat="false" ht="15" hidden="false" customHeight="false" outlineLevel="0" collapsed="false">
      <c r="A27" s="0" t="s">
        <v>94</v>
      </c>
      <c r="C27" s="3" t="n">
        <v>3</v>
      </c>
      <c r="D27" s="3" t="n">
        <v>6</v>
      </c>
      <c r="E27" s="3" t="n">
        <v>6</v>
      </c>
      <c r="F27" s="3" t="n">
        <v>5</v>
      </c>
      <c r="G27" s="3" t="n">
        <v>4</v>
      </c>
      <c r="H27" s="3" t="n">
        <v>4</v>
      </c>
      <c r="I27" s="3" t="n">
        <v>3</v>
      </c>
      <c r="J27" s="3" t="n">
        <v>3</v>
      </c>
      <c r="K27" s="3" t="n">
        <v>2.5</v>
      </c>
      <c r="L27" s="3" t="n">
        <v>2.5</v>
      </c>
    </row>
    <row r="28" customFormat="false" ht="15" hidden="false" customHeight="false" outlineLevel="0" collapsed="false">
      <c r="A28" s="0" t="s">
        <v>95</v>
      </c>
      <c r="C28" s="3" t="n">
        <v>9</v>
      </c>
      <c r="D28" s="3" t="n">
        <v>8.8</v>
      </c>
      <c r="E28" s="3" t="n">
        <v>8.6</v>
      </c>
      <c r="F28" s="3" t="n">
        <v>8.5</v>
      </c>
      <c r="G28" s="3" t="n">
        <v>8.5</v>
      </c>
      <c r="H28" s="3" t="n">
        <v>8.5</v>
      </c>
      <c r="I28" s="3" t="n">
        <v>8.5</v>
      </c>
      <c r="J28" s="3" t="n">
        <v>8.5</v>
      </c>
      <c r="K28" s="3" t="n">
        <v>8.5</v>
      </c>
      <c r="L28" s="3" t="n">
        <v>8.5</v>
      </c>
    </row>
    <row r="29" customFormat="false" ht="15" hidden="false" customHeight="false" outlineLevel="0" collapsed="false">
      <c r="A29" s="0" t="s">
        <v>96</v>
      </c>
      <c r="C29" s="3" t="n">
        <v>0.2</v>
      </c>
      <c r="D29" s="3" t="n">
        <v>0.2</v>
      </c>
      <c r="E29" s="3" t="n">
        <v>0.2</v>
      </c>
      <c r="F29" s="3" t="n">
        <v>0.2</v>
      </c>
      <c r="G29" s="3" t="n">
        <v>0.2</v>
      </c>
      <c r="H29" s="3" t="n">
        <v>0.2</v>
      </c>
      <c r="I29" s="3" t="n">
        <v>0.2</v>
      </c>
      <c r="J29" s="3" t="n">
        <v>0.2</v>
      </c>
      <c r="K29" s="3" t="n">
        <v>0.2</v>
      </c>
      <c r="L29" s="3" t="n">
        <v>0.2</v>
      </c>
    </row>
    <row r="30" customFormat="false" ht="15" hidden="false" customHeight="false" outlineLevel="0" collapsed="false">
      <c r="A30" s="0" t="s">
        <v>97</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98</v>
      </c>
      <c r="C31" s="3" t="n">
        <v>1.9</v>
      </c>
      <c r="D31" s="3" t="n">
        <v>2.1</v>
      </c>
      <c r="E31" s="3" t="n">
        <v>2.3</v>
      </c>
      <c r="F31" s="3" t="n">
        <v>2.5</v>
      </c>
      <c r="G31" s="3" t="n">
        <v>2.6</v>
      </c>
      <c r="H31" s="3" t="n">
        <v>2.7</v>
      </c>
      <c r="I31" s="3" t="n">
        <v>2.8</v>
      </c>
      <c r="J31" s="3" t="n">
        <v>2.9</v>
      </c>
      <c r="K31" s="3" t="n">
        <v>3</v>
      </c>
      <c r="L31" s="3" t="n">
        <v>3</v>
      </c>
    </row>
    <row r="32" customFormat="false" ht="15" hidden="false" customHeight="false" outlineLevel="0" collapsed="false">
      <c r="A32" s="0" t="s">
        <v>99</v>
      </c>
      <c r="C32" s="3" t="n">
        <v>4.3</v>
      </c>
      <c r="D32" s="3" t="n">
        <v>4.3</v>
      </c>
      <c r="E32" s="3" t="n">
        <v>4.2</v>
      </c>
      <c r="F32" s="3" t="n">
        <v>4</v>
      </c>
      <c r="G32" s="3" t="n">
        <v>3.9</v>
      </c>
      <c r="H32" s="3" t="n">
        <v>3.8</v>
      </c>
      <c r="I32" s="3" t="n">
        <v>3.7</v>
      </c>
      <c r="J32" s="3" t="n">
        <v>3.6</v>
      </c>
      <c r="K32" s="3" t="n">
        <v>3.5</v>
      </c>
      <c r="L32" s="3" t="n">
        <v>3.5</v>
      </c>
    </row>
    <row r="33" customFormat="false" ht="15" hidden="false" customHeight="false" outlineLevel="0" collapsed="false">
      <c r="A33" s="0" t="s">
        <v>100</v>
      </c>
      <c r="C33" s="3" t="n">
        <v>20</v>
      </c>
      <c r="D33" s="3" t="n">
        <v>20</v>
      </c>
      <c r="E33" s="3" t="n">
        <v>20</v>
      </c>
      <c r="F33" s="3" t="n">
        <v>20</v>
      </c>
      <c r="G33" s="3" t="n">
        <v>20</v>
      </c>
      <c r="H33" s="3" t="n">
        <v>20</v>
      </c>
      <c r="I33" s="3" t="n">
        <v>20</v>
      </c>
      <c r="J33" s="3" t="n">
        <v>20</v>
      </c>
      <c r="K33" s="3" t="n">
        <v>20</v>
      </c>
      <c r="L33" s="3" t="n">
        <v>20</v>
      </c>
    </row>
    <row r="34" customFormat="false" ht="15" hidden="false" customHeight="false" outlineLevel="0" collapsed="false">
      <c r="A34" s="0" t="s">
        <v>101</v>
      </c>
      <c r="B34" s="3" t="n">
        <v>9.5</v>
      </c>
    </row>
    <row r="35" customFormat="false" ht="15" hidden="false" customHeight="false" outlineLevel="0" collapsed="false">
      <c r="A35" s="0" t="s">
        <v>102</v>
      </c>
      <c r="B35" s="3" t="n">
        <v>2</v>
      </c>
    </row>
    <row r="36" customFormat="false" ht="15" hidden="false" customHeight="false" outlineLevel="0" collapsed="false">
      <c r="A36" s="0" t="s">
        <v>103</v>
      </c>
      <c r="B36" s="3" t="n">
        <v>10</v>
      </c>
    </row>
    <row r="37" customFormat="false" ht="15" hidden="false" customHeight="false" outlineLevel="0" collapsed="false">
      <c r="A37" s="0" t="s">
        <v>104</v>
      </c>
      <c r="B37" s="3" t="n">
        <v>0</v>
      </c>
    </row>
    <row r="38" customFormat="false" ht="15" hidden="false" customHeight="false" outlineLevel="0" collapsed="false">
      <c r="A38" s="0" t="s">
        <v>105</v>
      </c>
      <c r="B38" s="3" t="n">
        <v>0.5</v>
      </c>
    </row>
    <row r="40" customFormat="false" ht="15" hidden="false" customHeight="false" outlineLevel="0" collapsed="false">
      <c r="A40" s="2" t="s">
        <v>107</v>
      </c>
      <c r="C40" s="2" t="s">
        <v>84</v>
      </c>
      <c r="D40" s="2" t="s">
        <v>85</v>
      </c>
      <c r="E40" s="2" t="s">
        <v>86</v>
      </c>
      <c r="F40" s="2" t="s">
        <v>87</v>
      </c>
      <c r="G40" s="2" t="s">
        <v>88</v>
      </c>
      <c r="H40" s="2" t="s">
        <v>89</v>
      </c>
      <c r="I40" s="2" t="s">
        <v>90</v>
      </c>
      <c r="J40" s="2" t="s">
        <v>91</v>
      </c>
      <c r="K40" s="2" t="s">
        <v>92</v>
      </c>
      <c r="L40" s="2" t="s">
        <v>93</v>
      </c>
    </row>
    <row r="41" customFormat="false" ht="15" hidden="false" customHeight="false" outlineLevel="0" collapsed="false">
      <c r="A41" s="0" t="s">
        <v>94</v>
      </c>
      <c r="C41" s="3" t="n">
        <v>5</v>
      </c>
      <c r="D41" s="3" t="n">
        <v>11</v>
      </c>
      <c r="E41" s="3" t="n">
        <v>10</v>
      </c>
      <c r="F41" s="3" t="n">
        <v>9</v>
      </c>
      <c r="G41" s="3" t="n">
        <v>7</v>
      </c>
      <c r="H41" s="3" t="n">
        <v>6</v>
      </c>
      <c r="I41" s="3" t="n">
        <v>5</v>
      </c>
      <c r="J41" s="3" t="n">
        <v>4</v>
      </c>
      <c r="K41" s="3" t="n">
        <v>3</v>
      </c>
      <c r="L41" s="3" t="n">
        <v>3</v>
      </c>
    </row>
    <row r="42" customFormat="false" ht="15" hidden="false" customHeight="false" outlineLevel="0" collapsed="false">
      <c r="A42" s="0" t="s">
        <v>95</v>
      </c>
      <c r="C42" s="3" t="n">
        <v>9.5</v>
      </c>
      <c r="D42" s="3" t="n">
        <v>9.8</v>
      </c>
      <c r="E42" s="3" t="n">
        <v>10</v>
      </c>
      <c r="F42" s="3" t="n">
        <v>10.2</v>
      </c>
      <c r="G42" s="3" t="n">
        <v>10.3</v>
      </c>
      <c r="H42" s="3" t="n">
        <v>10.5</v>
      </c>
      <c r="I42" s="3" t="n">
        <v>10.5</v>
      </c>
      <c r="J42" s="3" t="n">
        <v>10.5</v>
      </c>
      <c r="K42" s="3" t="n">
        <v>10.5</v>
      </c>
      <c r="L42" s="3" t="n">
        <v>10.5</v>
      </c>
    </row>
    <row r="43" customFormat="false" ht="15" hidden="false" customHeight="false" outlineLevel="0" collapsed="false">
      <c r="A43" s="0" t="s">
        <v>96</v>
      </c>
      <c r="C43" s="3" t="n">
        <v>0.2</v>
      </c>
      <c r="D43" s="3" t="n">
        <v>0.2</v>
      </c>
      <c r="E43" s="3" t="n">
        <v>0.2</v>
      </c>
      <c r="F43" s="3" t="n">
        <v>0.2</v>
      </c>
      <c r="G43" s="3" t="n">
        <v>0.2</v>
      </c>
      <c r="H43" s="3" t="n">
        <v>0.2</v>
      </c>
      <c r="I43" s="3" t="n">
        <v>0.2</v>
      </c>
      <c r="J43" s="3" t="n">
        <v>0.2</v>
      </c>
      <c r="K43" s="3" t="n">
        <v>0.2</v>
      </c>
      <c r="L43" s="3" t="n">
        <v>0.2</v>
      </c>
    </row>
    <row r="44" customFormat="false" ht="15" hidden="false" customHeight="false" outlineLevel="0" collapsed="false">
      <c r="A44" s="0" t="s">
        <v>97</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98</v>
      </c>
      <c r="C45" s="3" t="n">
        <v>1.9</v>
      </c>
      <c r="D45" s="3" t="n">
        <v>2.1</v>
      </c>
      <c r="E45" s="3" t="n">
        <v>2.3</v>
      </c>
      <c r="F45" s="3" t="n">
        <v>2.5</v>
      </c>
      <c r="G45" s="3" t="n">
        <v>2.6</v>
      </c>
      <c r="H45" s="3" t="n">
        <v>2.7</v>
      </c>
      <c r="I45" s="3" t="n">
        <v>2.8</v>
      </c>
      <c r="J45" s="3" t="n">
        <v>2.9</v>
      </c>
      <c r="K45" s="3" t="n">
        <v>3</v>
      </c>
      <c r="L45" s="3" t="n">
        <v>3</v>
      </c>
    </row>
    <row r="46" customFormat="false" ht="15" hidden="false" customHeight="false" outlineLevel="0" collapsed="false">
      <c r="A46" s="0" t="s">
        <v>99</v>
      </c>
      <c r="C46" s="3" t="n">
        <v>4.5</v>
      </c>
      <c r="D46" s="3" t="n">
        <v>4.5</v>
      </c>
      <c r="E46" s="3" t="n">
        <v>4.4</v>
      </c>
      <c r="F46" s="3" t="n">
        <v>4.2</v>
      </c>
      <c r="G46" s="3" t="n">
        <v>4</v>
      </c>
      <c r="H46" s="3" t="n">
        <v>3.9</v>
      </c>
      <c r="I46" s="3" t="n">
        <v>3.8</v>
      </c>
      <c r="J46" s="3" t="n">
        <v>3.7</v>
      </c>
      <c r="K46" s="3" t="n">
        <v>3.6</v>
      </c>
      <c r="L46" s="3" t="n">
        <v>3.6</v>
      </c>
    </row>
    <row r="47" customFormat="false" ht="15" hidden="false" customHeight="false" outlineLevel="0" collapsed="false">
      <c r="A47" s="0" t="s">
        <v>100</v>
      </c>
      <c r="C47" s="3" t="n">
        <v>20</v>
      </c>
      <c r="D47" s="3" t="n">
        <v>20</v>
      </c>
      <c r="E47" s="3" t="n">
        <v>20</v>
      </c>
      <c r="F47" s="3" t="n">
        <v>20</v>
      </c>
      <c r="G47" s="3" t="n">
        <v>20</v>
      </c>
      <c r="H47" s="3" t="n">
        <v>20</v>
      </c>
      <c r="I47" s="3" t="n">
        <v>20</v>
      </c>
      <c r="J47" s="3" t="n">
        <v>20</v>
      </c>
      <c r="K47" s="3" t="n">
        <v>20</v>
      </c>
      <c r="L47" s="3" t="n">
        <v>20</v>
      </c>
    </row>
    <row r="48" customFormat="false" ht="15" hidden="false" customHeight="false" outlineLevel="0" collapsed="false">
      <c r="A48" s="0" t="s">
        <v>101</v>
      </c>
      <c r="B48" s="3" t="n">
        <v>9.5</v>
      </c>
    </row>
    <row r="49" customFormat="false" ht="15" hidden="false" customHeight="false" outlineLevel="0" collapsed="false">
      <c r="A49" s="0" t="s">
        <v>102</v>
      </c>
      <c r="B49" s="3" t="n">
        <v>2.5</v>
      </c>
    </row>
    <row r="50" customFormat="false" ht="15" hidden="false" customHeight="false" outlineLevel="0" collapsed="false">
      <c r="A50" s="0" t="s">
        <v>103</v>
      </c>
      <c r="B50" s="3" t="n">
        <v>12</v>
      </c>
    </row>
    <row r="51" customFormat="false" ht="15" hidden="false" customHeight="false" outlineLevel="0" collapsed="false">
      <c r="A51" s="0" t="s">
        <v>104</v>
      </c>
      <c r="B51" s="3" t="n">
        <v>10</v>
      </c>
    </row>
    <row r="52" customFormat="false" ht="15" hidden="false" customHeight="false" outlineLevel="0" collapsed="false">
      <c r="A52" s="0" t="s">
        <v>105</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108</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Assumptions!C13</f>
        <v>1</v>
      </c>
      <c r="D5" s="4" t="n">
        <f aca="false">Assumptions!D13</f>
        <v>-6</v>
      </c>
      <c r="E5" s="4" t="n">
        <f aca="false">Assumptions!E13</f>
        <v>-4</v>
      </c>
      <c r="F5" s="4" t="n">
        <f aca="false">Assumptions!F13</f>
        <v>0</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300287</v>
      </c>
      <c r="C6" s="0" t="n">
        <f aca="false">B6*(1+C5/100)</f>
        <v>303289.87</v>
      </c>
      <c r="D6" s="0" t="n">
        <f aca="false">C6*(1+D5/100)</f>
        <v>285092.4778</v>
      </c>
      <c r="E6" s="0" t="n">
        <f aca="false">D6*(1+E5/100)</f>
        <v>273688.778688</v>
      </c>
      <c r="F6" s="0" t="n">
        <f aca="false">E6*(1+F5/100)</f>
        <v>273688.778688</v>
      </c>
      <c r="G6" s="0" t="n">
        <f aca="false">F6*(1+G5/100)</f>
        <v>279162.55426176</v>
      </c>
      <c r="H6" s="0" t="n">
        <f aca="false">G6*(1+H5/100)</f>
        <v>284745.805346995</v>
      </c>
      <c r="I6" s="0" t="n">
        <f aca="false">H6*(1+I5/100)</f>
        <v>290440.721453935</v>
      </c>
      <c r="J6" s="0" t="n">
        <f aca="false">I6*(1+J5/100)</f>
        <v>296249.535883014</v>
      </c>
      <c r="K6" s="0" t="n">
        <f aca="false">J6*(1+K5/100)</f>
        <v>302174.526600674</v>
      </c>
      <c r="L6" s="0" t="n">
        <f aca="false">K6*(1+L5/100)</f>
        <v>308218.017132688</v>
      </c>
    </row>
    <row r="7" customFormat="false" ht="15" hidden="false" customHeight="false" outlineLevel="0" collapsed="false">
      <c r="A7" s="0" t="s">
        <v>95</v>
      </c>
      <c r="C7" s="4" t="n">
        <f aca="false">Assumptions!C14</f>
        <v>8.5</v>
      </c>
      <c r="D7" s="4" t="n">
        <f aca="false">Assumptions!D14</f>
        <v>7</v>
      </c>
      <c r="E7" s="4" t="n">
        <f aca="false">Assumptions!E14</f>
        <v>6</v>
      </c>
      <c r="F7" s="4" t="n">
        <f aca="false">Assumptions!F14</f>
        <v>5.5</v>
      </c>
      <c r="G7" s="4" t="n">
        <f aca="false">Assumptions!G14</f>
        <v>5.5</v>
      </c>
      <c r="H7" s="4" t="n">
        <f aca="false">Assumptions!H14</f>
        <v>5.5</v>
      </c>
      <c r="I7" s="4" t="n">
        <f aca="false">Assumptions!I14</f>
        <v>5.5</v>
      </c>
      <c r="J7" s="4" t="n">
        <f aca="false">Assumptions!J14</f>
        <v>5.5</v>
      </c>
      <c r="K7" s="4" t="n">
        <f aca="false">Assumptions!K14</f>
        <v>5.5</v>
      </c>
      <c r="L7" s="4" t="n">
        <f aca="false">Assumptions!L14</f>
        <v>5.5</v>
      </c>
    </row>
    <row r="8" customFormat="false" ht="15" hidden="false" customHeight="false" outlineLevel="0" collapsed="false">
      <c r="A8" s="0" t="s">
        <v>44</v>
      </c>
      <c r="C8" s="0" t="n">
        <f aca="false">C6*C7/100</f>
        <v>25779.63895</v>
      </c>
      <c r="D8" s="0" t="n">
        <f aca="false">D6*D7/100</f>
        <v>19956.473446</v>
      </c>
      <c r="E8" s="0" t="n">
        <f aca="false">E6*E7/100</f>
        <v>16421.32672128</v>
      </c>
      <c r="F8" s="0" t="n">
        <f aca="false">F6*F7/100</f>
        <v>15052.88282784</v>
      </c>
      <c r="G8" s="0" t="n">
        <f aca="false">G6*G7/100</f>
        <v>15353.9404843968</v>
      </c>
      <c r="H8" s="0" t="n">
        <f aca="false">H6*H7/100</f>
        <v>15661.0192940847</v>
      </c>
      <c r="I8" s="0" t="n">
        <f aca="false">I6*I7/100</f>
        <v>15974.2396799664</v>
      </c>
      <c r="J8" s="0" t="n">
        <f aca="false">J6*J7/100</f>
        <v>16293.7244735658</v>
      </c>
      <c r="K8" s="0" t="n">
        <f aca="false">K6*K7/100</f>
        <v>16619.5989630371</v>
      </c>
      <c r="L8" s="0" t="n">
        <f aca="false">L6*L7/100</f>
        <v>16951.9909422978</v>
      </c>
    </row>
    <row r="9" customFormat="false" ht="15" hidden="false" customHeight="false" outlineLevel="0" collapsed="false">
      <c r="A9" s="0" t="s">
        <v>96</v>
      </c>
      <c r="C9" s="4" t="n">
        <f aca="false">Assumptions!C15</f>
        <v>0.2</v>
      </c>
      <c r="D9" s="4" t="n">
        <f aca="false">Assumptions!D15</f>
        <v>0.2</v>
      </c>
      <c r="E9" s="4" t="n">
        <f aca="false">Assumptions!E15</f>
        <v>0.2</v>
      </c>
      <c r="F9" s="4" t="n">
        <f aca="false">Assumptions!F15</f>
        <v>0.2</v>
      </c>
      <c r="G9" s="4" t="n">
        <f aca="false">Assumptions!G15</f>
        <v>0.2</v>
      </c>
      <c r="H9" s="4" t="n">
        <f aca="false">Assumptions!H15</f>
        <v>0.2</v>
      </c>
      <c r="I9" s="4" t="n">
        <f aca="false">Assumptions!I15</f>
        <v>0.2</v>
      </c>
      <c r="J9" s="4" t="n">
        <f aca="false">Assumptions!J15</f>
        <v>0.2</v>
      </c>
      <c r="K9" s="4" t="n">
        <f aca="false">Assumptions!K15</f>
        <v>0.2</v>
      </c>
      <c r="L9" s="4" t="n">
        <f aca="false">Assumptions!L15</f>
        <v>0.2</v>
      </c>
    </row>
    <row r="10" customFormat="false" ht="15" hidden="false" customHeight="false" outlineLevel="0" collapsed="false">
      <c r="A10" s="0" t="s">
        <v>111</v>
      </c>
      <c r="C10" s="0" t="n">
        <f aca="false">-C6*C9/100</f>
        <v>-606.57974</v>
      </c>
      <c r="D10" s="0" t="n">
        <f aca="false">-D6*D9/100</f>
        <v>-570.1849556</v>
      </c>
      <c r="E10" s="0" t="n">
        <f aca="false">-E6*E9/100</f>
        <v>-547.377557376</v>
      </c>
      <c r="F10" s="0" t="n">
        <f aca="false">-F6*F9/100</f>
        <v>-547.377557376</v>
      </c>
      <c r="G10" s="0" t="n">
        <f aca="false">-G6*G9/100</f>
        <v>-558.32510852352</v>
      </c>
      <c r="H10" s="0" t="n">
        <f aca="false">-H6*H9/100</f>
        <v>-569.49161069399</v>
      </c>
      <c r="I10" s="0" t="n">
        <f aca="false">-I6*I9/100</f>
        <v>-580.88144290787</v>
      </c>
      <c r="J10" s="0" t="n">
        <f aca="false">-J6*J9/100</f>
        <v>-592.499071766028</v>
      </c>
      <c r="K10" s="0" t="n">
        <f aca="false">-K6*K9/100</f>
        <v>-604.349053201348</v>
      </c>
      <c r="L10" s="0" t="n">
        <f aca="false">-L6*L9/100</f>
        <v>-616.436034265375</v>
      </c>
    </row>
    <row r="11" customFormat="false" ht="15" hidden="false" customHeight="false" outlineLevel="0" collapsed="false">
      <c r="A11" s="0" t="s">
        <v>112</v>
      </c>
      <c r="C11" s="0" t="n">
        <f aca="false">C8+C10+C24</f>
        <v>25173.05921</v>
      </c>
      <c r="D11" s="0" t="n">
        <f aca="false">D8+D10+D24</f>
        <v>19386.2884904</v>
      </c>
      <c r="E11" s="0" t="n">
        <f aca="false">E8+E10+E24</f>
        <v>15873.949163904</v>
      </c>
      <c r="F11" s="0" t="n">
        <f aca="false">F8+F10+F24</f>
        <v>14505.505270464</v>
      </c>
      <c r="G11" s="0" t="n">
        <f aca="false">G8+G10+G24</f>
        <v>14795.6153758733</v>
      </c>
      <c r="H11" s="0" t="n">
        <f aca="false">H8+H10+H24</f>
        <v>15091.5276833907</v>
      </c>
      <c r="I11" s="0" t="n">
        <f aca="false">I8+I10+I24</f>
        <v>15393.3582370586</v>
      </c>
      <c r="J11" s="0" t="n">
        <f aca="false">J8+J10+J24</f>
        <v>15701.2254017997</v>
      </c>
      <c r="K11" s="0" t="n">
        <f aca="false">K8+K10+K24</f>
        <v>16015.2499098357</v>
      </c>
      <c r="L11" s="0" t="n">
        <f aca="false">L8+L10+L24</f>
        <v>16335.5549080324</v>
      </c>
    </row>
    <row r="12" customFormat="false" ht="15" hidden="false" customHeight="false" outlineLevel="0" collapsed="false">
      <c r="A12" s="0" t="s">
        <v>113</v>
      </c>
      <c r="C12" s="4" t="n">
        <f aca="false">-C6*Assumptions!C17/100</f>
        <v>-5762.50753</v>
      </c>
      <c r="D12" s="4" t="n">
        <f aca="false">-D6*Assumptions!D17/100</f>
        <v>-6272.0345116</v>
      </c>
      <c r="E12" s="4" t="n">
        <f aca="false">-E6*Assumptions!E17/100</f>
        <v>-6842.2194672</v>
      </c>
      <c r="F12" s="4" t="n">
        <f aca="false">-F6*Assumptions!F17/100</f>
        <v>-7389.597024576</v>
      </c>
      <c r="G12" s="4" t="n">
        <f aca="false">-G6*Assumptions!G17/100</f>
        <v>-8095.71407359104</v>
      </c>
      <c r="H12" s="4" t="n">
        <f aca="false">-H6*Assumptions!H17/100</f>
        <v>-8542.37416040986</v>
      </c>
      <c r="I12" s="4" t="n">
        <f aca="false">-I6*Assumptions!I17/100</f>
        <v>-9003.66236507199</v>
      </c>
      <c r="J12" s="4" t="n">
        <f aca="false">-J6*Assumptions!J17/100</f>
        <v>-9479.98514825644</v>
      </c>
      <c r="K12" s="4" t="n">
        <f aca="false">-K6*Assumptions!K17/100</f>
        <v>-9669.58485122157</v>
      </c>
      <c r="L12" s="4" t="n">
        <f aca="false">-L6*Assumptions!L17/100</f>
        <v>-9862.976548246</v>
      </c>
    </row>
    <row r="13" customFormat="false" ht="15" hidden="false" customHeight="false" outlineLevel="0" collapsed="false">
      <c r="A13" s="0" t="s">
        <v>114</v>
      </c>
      <c r="C13" s="0" t="n">
        <f aca="false">C11+C12</f>
        <v>19410.55168</v>
      </c>
      <c r="D13" s="0" t="n">
        <f aca="false">D11+D12</f>
        <v>13114.2539788</v>
      </c>
      <c r="E13" s="0" t="n">
        <f aca="false">E11+E12</f>
        <v>9031.729696704</v>
      </c>
      <c r="F13" s="0" t="n">
        <f aca="false">F11+F12</f>
        <v>7115.908245888</v>
      </c>
      <c r="G13" s="0" t="n">
        <f aca="false">G11+G12</f>
        <v>6699.90130228224</v>
      </c>
      <c r="H13" s="0" t="n">
        <f aca="false">H11+H12</f>
        <v>6549.15352298089</v>
      </c>
      <c r="I13" s="0" t="n">
        <f aca="false">I11+I12</f>
        <v>6389.69587198657</v>
      </c>
      <c r="J13" s="0" t="n">
        <f aca="false">J11+J12</f>
        <v>6221.24025354329</v>
      </c>
      <c r="K13" s="0" t="n">
        <f aca="false">K11+K12</f>
        <v>6345.66505861416</v>
      </c>
      <c r="L13" s="0" t="n">
        <f aca="false">L11+L12</f>
        <v>6472.57835978644</v>
      </c>
    </row>
    <row r="14" customFormat="false" ht="15" hidden="false" customHeight="false" outlineLevel="0" collapsed="false">
      <c r="A14" s="0" t="s">
        <v>100</v>
      </c>
      <c r="C14" s="4" t="n">
        <f aca="false">Assumptions!C19</f>
        <v>20</v>
      </c>
      <c r="D14" s="4" t="n">
        <f aca="false">Assumptions!D19</f>
        <v>20</v>
      </c>
      <c r="E14" s="4" t="n">
        <f aca="false">Assumptions!E19</f>
        <v>20</v>
      </c>
      <c r="F14" s="4" t="n">
        <f aca="false">Assumptions!F19</f>
        <v>20</v>
      </c>
      <c r="G14" s="4" t="n">
        <f aca="false">Assumptions!G19</f>
        <v>20</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115</v>
      </c>
      <c r="C15" s="0" t="n">
        <f aca="false">C13-MAX(0,C13)*C14/100</f>
        <v>15528.441344</v>
      </c>
      <c r="D15" s="0" t="n">
        <f aca="false">D13-MAX(0,D13)*D14/100</f>
        <v>10491.40318304</v>
      </c>
      <c r="E15" s="0" t="n">
        <f aca="false">E13-MAX(0,E13)*E14/100</f>
        <v>7225.3837573632</v>
      </c>
      <c r="F15" s="0" t="n">
        <f aca="false">F13-MAX(0,F13)*F14/100</f>
        <v>5692.7265967104</v>
      </c>
      <c r="G15" s="0" t="n">
        <f aca="false">G13-MAX(0,G13)*G14/100</f>
        <v>5359.92104182579</v>
      </c>
      <c r="H15" s="0" t="n">
        <f aca="false">H13-MAX(0,H13)*H14/100</f>
        <v>5239.32281838471</v>
      </c>
      <c r="I15" s="0" t="n">
        <f aca="false">I13-MAX(0,I13)*I14/100</f>
        <v>5111.75669758926</v>
      </c>
      <c r="J15" s="0" t="n">
        <f aca="false">J13-MAX(0,J13)*J14/100</f>
        <v>4976.99220283463</v>
      </c>
      <c r="K15" s="0" t="n">
        <f aca="false">K13-MAX(0,K13)*K14/100</f>
        <v>5076.53204689133</v>
      </c>
      <c r="L15" s="0" t="n">
        <f aca="false">L13-MAX(0,L13)*L14/100</f>
        <v>5178.06268782915</v>
      </c>
    </row>
    <row r="16" customFormat="false" ht="15" hidden="false" customHeight="false" outlineLevel="0" collapsed="false">
      <c r="A16" s="0" t="s">
        <v>116</v>
      </c>
      <c r="C16" s="0" t="n">
        <f aca="false">-C12</f>
        <v>5762.50753</v>
      </c>
      <c r="D16" s="0" t="n">
        <f aca="false">-D12</f>
        <v>6272.0345116</v>
      </c>
      <c r="E16" s="0" t="n">
        <f aca="false">-E12</f>
        <v>6842.2194672</v>
      </c>
      <c r="F16" s="0" t="n">
        <f aca="false">-F12</f>
        <v>7389.597024576</v>
      </c>
      <c r="G16" s="0" t="n">
        <f aca="false">-G12</f>
        <v>8095.71407359104</v>
      </c>
      <c r="H16" s="0" t="n">
        <f aca="false">-H12</f>
        <v>8542.37416040986</v>
      </c>
      <c r="I16" s="0" t="n">
        <f aca="false">-I12</f>
        <v>9003.66236507199</v>
      </c>
      <c r="J16" s="0" t="n">
        <f aca="false">-J12</f>
        <v>9479.98514825644</v>
      </c>
      <c r="K16" s="0" t="n">
        <f aca="false">-K12</f>
        <v>9669.58485122157</v>
      </c>
      <c r="L16" s="0" t="n">
        <f aca="false">-L12</f>
        <v>9862.976548246</v>
      </c>
    </row>
    <row r="17" customFormat="false" ht="15" hidden="false" customHeight="false" outlineLevel="0" collapsed="false">
      <c r="A17" s="0" t="s">
        <v>117</v>
      </c>
      <c r="C17" s="4" t="n">
        <f aca="false">-C6*Assumptions!C18/100</f>
        <v>-13648.04415</v>
      </c>
      <c r="D17" s="4" t="n">
        <f aca="false">-D6*Assumptions!D18/100</f>
        <v>-12258.9765454</v>
      </c>
      <c r="E17" s="4" t="n">
        <f aca="false">-E6*Assumptions!E18/100</f>
        <v>-10947.55114752</v>
      </c>
      <c r="F17" s="4" t="n">
        <f aca="false">-F6*Assumptions!F18/100</f>
        <v>-10400.173590144</v>
      </c>
      <c r="G17" s="4" t="n">
        <f aca="false">-G6*Assumptions!G18/100</f>
        <v>-10049.8519534234</v>
      </c>
      <c r="H17" s="4" t="n">
        <f aca="false">-H6*Assumptions!H18/100</f>
        <v>-9966.10318714483</v>
      </c>
      <c r="I17" s="4" t="n">
        <f aca="false">-I6*Assumptions!I18/100</f>
        <v>-10165.4252508877</v>
      </c>
      <c r="J17" s="4" t="n">
        <f aca="false">-J6*Assumptions!J18/100</f>
        <v>-10368.7337559055</v>
      </c>
      <c r="K17" s="4" t="n">
        <f aca="false">-K6*Assumptions!K18/100</f>
        <v>-10576.1084310236</v>
      </c>
      <c r="L17" s="4" t="n">
        <f aca="false">-L6*Assumptions!L18/100</f>
        <v>-10787.6305996441</v>
      </c>
    </row>
    <row r="18" customFormat="false" ht="15" hidden="false" customHeight="false" outlineLevel="0" collapsed="false">
      <c r="A18" s="0" t="s">
        <v>118</v>
      </c>
      <c r="C18" s="4" t="n">
        <f aca="false">(C6-B6)*Assumptions!$B$23/100</f>
        <v>300.287</v>
      </c>
      <c r="D18" s="4" t="n">
        <f aca="false">(D6-C6)*Assumptions!$B$23/100</f>
        <v>-1819.73922</v>
      </c>
      <c r="E18" s="4" t="n">
        <f aca="false">(E6-D6)*Assumptions!$B$23/100</f>
        <v>-1140.3699112</v>
      </c>
      <c r="F18" s="4" t="n">
        <f aca="false">(F6-E6)*Assumptions!$B$23/100</f>
        <v>0</v>
      </c>
      <c r="G18" s="4" t="n">
        <f aca="false">(G6-F6)*Assumptions!$B$23/100</f>
        <v>547.377557375998</v>
      </c>
      <c r="H18" s="4" t="n">
        <f aca="false">(H6-G6)*Assumptions!$B$23/100</f>
        <v>558.325108523521</v>
      </c>
      <c r="I18" s="4" t="n">
        <f aca="false">(I6-H6)*Assumptions!$B$23/100</f>
        <v>569.49161069399</v>
      </c>
      <c r="J18" s="4" t="n">
        <f aca="false">(J6-I6)*Assumptions!$B$23/100</f>
        <v>580.881442907872</v>
      </c>
      <c r="K18" s="4" t="n">
        <f aca="false">(K6-J6)*Assumptions!$B$23/100</f>
        <v>592.499071766029</v>
      </c>
      <c r="L18" s="4" t="n">
        <f aca="false">(L6-K6)*Assumptions!$B$23/100</f>
        <v>604.349053201347</v>
      </c>
    </row>
    <row r="19" customFormat="false" ht="15" hidden="false" customHeight="false" outlineLevel="0" collapsed="false">
      <c r="A19" s="0" t="s">
        <v>119</v>
      </c>
      <c r="C19" s="0" t="n">
        <f aca="false">C15+C16+C17+C18</f>
        <v>7943.191724</v>
      </c>
      <c r="D19" s="0" t="n">
        <f aca="false">D15+D16+D17+D18</f>
        <v>2684.72192924</v>
      </c>
      <c r="E19" s="0" t="n">
        <f aca="false">E15+E16+E17+E18</f>
        <v>1979.6821658432</v>
      </c>
      <c r="F19" s="0" t="n">
        <f aca="false">F15+F16+F17+F18</f>
        <v>2682.1500311424</v>
      </c>
      <c r="G19" s="0" t="n">
        <f aca="false">G15+G16+G17+G18</f>
        <v>3953.16071936947</v>
      </c>
      <c r="H19" s="0" t="n">
        <f aca="false">H15+H16+H17+H18</f>
        <v>4373.91890017326</v>
      </c>
      <c r="I19" s="0" t="n">
        <f aca="false">I15+I16+I17+I18</f>
        <v>4519.48542246751</v>
      </c>
      <c r="J19" s="0" t="n">
        <f aca="false">J15+J16+J17+J18</f>
        <v>4669.12503809346</v>
      </c>
      <c r="K19" s="0" t="n">
        <f aca="false">K15+K16+K17+K18</f>
        <v>4762.50753885533</v>
      </c>
      <c r="L19" s="0" t="n">
        <f aca="false">L15+L16+L17+L18</f>
        <v>4857.75768963244</v>
      </c>
    </row>
    <row r="20" customFormat="false" ht="15" hidden="false" customHeight="false" outlineLevel="0" collapsed="false">
      <c r="A20" s="0" t="s">
        <v>120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121</v>
      </c>
      <c r="C21" s="0" t="n">
        <f aca="false">C19*C20</f>
        <v>7254.05636894977</v>
      </c>
      <c r="D21" s="0" t="n">
        <f aca="false">D19*D20</f>
        <v>2239.08753298722</v>
      </c>
      <c r="E21" s="0" t="n">
        <f aca="false">E19*E20</f>
        <v>1507.83254609225</v>
      </c>
      <c r="F21" s="0" t="n">
        <f aca="false">F19*F20</f>
        <v>1865.63461292899</v>
      </c>
      <c r="G21" s="0" t="n">
        <f aca="false">G19*G20</f>
        <v>2511.15705424903</v>
      </c>
      <c r="H21" s="0" t="n">
        <f aca="false">H19*H20</f>
        <v>2537.38291423677</v>
      </c>
      <c r="I21" s="0" t="n">
        <f aca="false">I19*I20</f>
        <v>2394.36389832526</v>
      </c>
      <c r="J21" s="0" t="n">
        <f aca="false">J19*J20</f>
        <v>2259.03287429956</v>
      </c>
      <c r="K21" s="0" t="n">
        <f aca="false">K19*K20</f>
        <v>2104.30459523794</v>
      </c>
      <c r="L21" s="0" t="n">
        <f aca="false">L19*L20</f>
        <v>1960.17414350932</v>
      </c>
    </row>
    <row r="23" customFormat="false" ht="15" hidden="false" customHeight="false" outlineLevel="0" collapsed="false">
      <c r="A23" s="0" t="s">
        <v>97</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123</v>
      </c>
    </row>
    <row r="27" customFormat="false" ht="15" hidden="false" customHeight="false" outlineLevel="0" collapsed="false">
      <c r="A27" s="0" t="s">
        <v>101</v>
      </c>
      <c r="B27" s="4" t="n">
        <f aca="false">Assumptions!$B$20</f>
        <v>9.5</v>
      </c>
    </row>
    <row r="28" customFormat="false" ht="15" hidden="false" customHeight="false" outlineLevel="0" collapsed="false">
      <c r="A28" s="0" t="s">
        <v>102</v>
      </c>
      <c r="B28" s="4" t="n">
        <f aca="false">Assumptions!$B$21</f>
        <v>1.5</v>
      </c>
    </row>
    <row r="29" customFormat="false" ht="15" hidden="false" customHeight="false" outlineLevel="0" collapsed="false">
      <c r="A29" s="0" t="s">
        <v>103</v>
      </c>
      <c r="B29" s="4" t="n">
        <f aca="false">Assumptions!$B$22</f>
        <v>8</v>
      </c>
    </row>
    <row r="30" customFormat="false" ht="15" hidden="false" customHeight="false" outlineLevel="0" collapsed="false">
      <c r="A30" s="0" t="s">
        <v>124</v>
      </c>
      <c r="B30" s="0" t="n">
        <f aca="false">SUM(C21:L21)</f>
        <v>26633.0265408161</v>
      </c>
    </row>
    <row r="31" customFormat="false" ht="15" hidden="false" customHeight="false" outlineLevel="0" collapsed="false">
      <c r="A31" s="0" t="s">
        <v>125</v>
      </c>
      <c r="B31" s="0" t="n">
        <f aca="false">L19</f>
        <v>4857.75768963244</v>
      </c>
    </row>
    <row r="32" customFormat="false" ht="15" hidden="false" customHeight="false" outlineLevel="0" collapsed="false">
      <c r="A32" s="0" t="s">
        <v>126</v>
      </c>
      <c r="B32" s="0" t="n">
        <f aca="false">IF(B27&gt;B28,B31*(1+B28/100)/((B27-B28)/100),B31*B29)</f>
        <v>61632.8006872115</v>
      </c>
    </row>
    <row r="33" customFormat="false" ht="15" hidden="false" customHeight="false" outlineLevel="0" collapsed="false">
      <c r="A33" s="0" t="s">
        <v>127</v>
      </c>
      <c r="B33" s="0" t="n">
        <f aca="false">B31*B29</f>
        <v>38862.0615170595</v>
      </c>
    </row>
    <row r="34" customFormat="false" ht="15" hidden="false" customHeight="false" outlineLevel="0" collapsed="false">
      <c r="A34" s="0" t="s">
        <v>128</v>
      </c>
      <c r="B34" s="0" t="n">
        <f aca="false">MAX(0,MIN(B32,B33))</f>
        <v>38862.0615170595</v>
      </c>
    </row>
    <row r="35" customFormat="false" ht="15" hidden="false" customHeight="false" outlineLevel="0" collapsed="false">
      <c r="A35" s="0" t="s">
        <v>129</v>
      </c>
      <c r="B35" s="0" t="n">
        <f aca="false">B34/(1+B27/100)^L4</f>
        <v>15681.3931480745</v>
      </c>
    </row>
    <row r="36" customFormat="false" ht="15" hidden="false" customHeight="false" outlineLevel="0" collapsed="false">
      <c r="A36" s="0" t="s">
        <v>130</v>
      </c>
      <c r="B36" s="0" t="n">
        <f aca="false">B30+B35</f>
        <v>42314.4196888906</v>
      </c>
    </row>
    <row r="37" customFormat="false" ht="15" hidden="false" customHeight="false" outlineLevel="0" collapsed="false">
      <c r="A37" s="0" t="s">
        <v>131</v>
      </c>
      <c r="B37" s="0" t="n">
        <f aca="false">B36+Assumptions!$B$5-Assumptions!$B$4</f>
        <v>106211.419688891</v>
      </c>
    </row>
    <row r="38" customFormat="false" ht="15" hidden="false" customHeight="false" outlineLevel="0" collapsed="false">
      <c r="A38" s="0" t="s">
        <v>132</v>
      </c>
      <c r="B38" s="0" t="n">
        <f aca="false">B37/Assumptions!$B$3*Assumptions!$B$10</f>
        <v>21.474140288991</v>
      </c>
    </row>
    <row r="39" customFormat="false" ht="15" hidden="false" customHeight="false" outlineLevel="0" collapsed="false">
      <c r="A39" s="0" t="s">
        <v>133</v>
      </c>
      <c r="B39" s="4" t="n">
        <f aca="false">B38/Assumptions!$B$2-1</f>
        <v>-0.0815166685632589</v>
      </c>
    </row>
    <row r="41" customFormat="false" ht="15" hidden="false" customHeight="false" outlineLevel="0" collapsed="false">
      <c r="A41" s="0" t="s">
        <v>134</v>
      </c>
      <c r="B41" s="0" t="n">
        <f aca="false">SUMPRODUCT(-C10:L10/(1+$B$27/100)^C4:L4)</f>
        <v>3622.36317793222</v>
      </c>
    </row>
    <row r="42" customFormat="false" ht="15" hidden="false" customHeight="false" outlineLevel="0" collapsed="false">
      <c r="A42" s="0" t="s">
        <v>135</v>
      </c>
      <c r="B42" s="0" t="n">
        <f aca="false">IF(B27&gt;B28,-L10*(1+B28/100)/((B27-B28)/100),-L10*20)/(1+B27/100)^L4</f>
        <v>3155.89744148917</v>
      </c>
    </row>
    <row r="43" customFormat="false" ht="15" hidden="false" customHeight="false" outlineLevel="0" collapsed="false">
      <c r="A43" s="0" t="s">
        <v>136</v>
      </c>
      <c r="B43" s="0" t="n">
        <f aca="false">(B37+B41+B42)/Assumptions!$B$3*Assumptions!$B$10</f>
        <v>22.8445891529941</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36523.1411479772</v>
      </c>
    </row>
    <row r="47" customFormat="false" ht="15" hidden="false" customHeight="false" outlineLevel="0" collapsed="false">
      <c r="A47" s="0" t="s">
        <v>138</v>
      </c>
      <c r="B47" s="0" t="n">
        <f aca="false">(SUMPRODUCT(C19:L19/(1+B45/100)^C4:L4)+B46/(1+B45/100)^L4+Assumptions!$B$5-Assumptions!$B$4)/Assumptions!$B$3*Assumptions!$B$10</f>
        <v>19.072659492311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Assumptions!C27</f>
        <v>3</v>
      </c>
      <c r="D5" s="4" t="n">
        <f aca="false">Assumptions!D27</f>
        <v>6</v>
      </c>
      <c r="E5" s="4" t="n">
        <f aca="false">Assumptions!E27</f>
        <v>6</v>
      </c>
      <c r="F5" s="4" t="n">
        <f aca="false">Assumptions!F27</f>
        <v>5</v>
      </c>
      <c r="G5" s="4" t="n">
        <f aca="false">Assumptions!G27</f>
        <v>4</v>
      </c>
      <c r="H5" s="4" t="n">
        <f aca="false">Assumptions!H27</f>
        <v>4</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38</v>
      </c>
      <c r="B6" s="3" t="n">
        <v>300287</v>
      </c>
      <c r="C6" s="0" t="n">
        <f aca="false">B6*(1+C5/100)</f>
        <v>309295.61</v>
      </c>
      <c r="D6" s="0" t="n">
        <f aca="false">C6*(1+D5/100)</f>
        <v>327853.3466</v>
      </c>
      <c r="E6" s="0" t="n">
        <f aca="false">D6*(1+E5/100)</f>
        <v>347524.547396</v>
      </c>
      <c r="F6" s="0" t="n">
        <f aca="false">E6*(1+F5/100)</f>
        <v>364900.7747658</v>
      </c>
      <c r="G6" s="0" t="n">
        <f aca="false">F6*(1+G5/100)</f>
        <v>379496.805756432</v>
      </c>
      <c r="H6" s="0" t="n">
        <f aca="false">G6*(1+H5/100)</f>
        <v>394676.677986689</v>
      </c>
      <c r="I6" s="0" t="n">
        <f aca="false">H6*(1+I5/100)</f>
        <v>406516.97832629</v>
      </c>
      <c r="J6" s="0" t="n">
        <f aca="false">I6*(1+J5/100)</f>
        <v>418712.487676079</v>
      </c>
      <c r="K6" s="0" t="n">
        <f aca="false">J6*(1+K5/100)</f>
        <v>429180.299867981</v>
      </c>
      <c r="L6" s="0" t="n">
        <f aca="false">K6*(1+L5/100)</f>
        <v>439909.80736468</v>
      </c>
    </row>
    <row r="7" customFormat="false" ht="15" hidden="false" customHeight="false" outlineLevel="0" collapsed="false">
      <c r="A7" s="0" t="s">
        <v>95</v>
      </c>
      <c r="C7" s="4" t="n">
        <f aca="false">Assumptions!C28</f>
        <v>9</v>
      </c>
      <c r="D7" s="4" t="n">
        <f aca="false">Assumptions!D28</f>
        <v>8.8</v>
      </c>
      <c r="E7" s="4" t="n">
        <f aca="false">Assumptions!E28</f>
        <v>8.6</v>
      </c>
      <c r="F7" s="4" t="n">
        <f aca="false">Assumptions!F28</f>
        <v>8.5</v>
      </c>
      <c r="G7" s="4" t="n">
        <f aca="false">Assumptions!G28</f>
        <v>8.5</v>
      </c>
      <c r="H7" s="4" t="n">
        <f aca="false">Assumptions!H28</f>
        <v>8.5</v>
      </c>
      <c r="I7" s="4" t="n">
        <f aca="false">Assumptions!I28</f>
        <v>8.5</v>
      </c>
      <c r="J7" s="4" t="n">
        <f aca="false">Assumptions!J28</f>
        <v>8.5</v>
      </c>
      <c r="K7" s="4" t="n">
        <f aca="false">Assumptions!K28</f>
        <v>8.5</v>
      </c>
      <c r="L7" s="4" t="n">
        <f aca="false">Assumptions!L28</f>
        <v>8.5</v>
      </c>
    </row>
    <row r="8" customFormat="false" ht="15" hidden="false" customHeight="false" outlineLevel="0" collapsed="false">
      <c r="A8" s="0" t="s">
        <v>44</v>
      </c>
      <c r="C8" s="0" t="n">
        <f aca="false">C6*C7/100</f>
        <v>27836.6049</v>
      </c>
      <c r="D8" s="0" t="n">
        <f aca="false">D6*D7/100</f>
        <v>28851.0945008</v>
      </c>
      <c r="E8" s="0" t="n">
        <f aca="false">E6*E7/100</f>
        <v>29887.111076056</v>
      </c>
      <c r="F8" s="0" t="n">
        <f aca="false">F6*F7/100</f>
        <v>31016.565855093</v>
      </c>
      <c r="G8" s="0" t="n">
        <f aca="false">G6*G7/100</f>
        <v>32257.2284892967</v>
      </c>
      <c r="H8" s="0" t="n">
        <f aca="false">H6*H7/100</f>
        <v>33547.5176288686</v>
      </c>
      <c r="I8" s="0" t="n">
        <f aca="false">I6*I7/100</f>
        <v>34553.9431577347</v>
      </c>
      <c r="J8" s="0" t="n">
        <f aca="false">J6*J7/100</f>
        <v>35590.5614524667</v>
      </c>
      <c r="K8" s="0" t="n">
        <f aca="false">K6*K7/100</f>
        <v>36480.3254887784</v>
      </c>
      <c r="L8" s="0" t="n">
        <f aca="false">L6*L7/100</f>
        <v>37392.3336259978</v>
      </c>
    </row>
    <row r="9" customFormat="false" ht="15" hidden="false" customHeight="false" outlineLevel="0" collapsed="false">
      <c r="A9" s="0" t="s">
        <v>96</v>
      </c>
      <c r="C9" s="4" t="n">
        <f aca="false">Assumptions!C29</f>
        <v>0.2</v>
      </c>
      <c r="D9" s="4" t="n">
        <f aca="false">Assumptions!D29</f>
        <v>0.2</v>
      </c>
      <c r="E9" s="4" t="n">
        <f aca="false">Assumptions!E29</f>
        <v>0.2</v>
      </c>
      <c r="F9" s="4" t="n">
        <f aca="false">Assumptions!F29</f>
        <v>0.2</v>
      </c>
      <c r="G9" s="4" t="n">
        <f aca="false">Assumptions!G29</f>
        <v>0.2</v>
      </c>
      <c r="H9" s="4" t="n">
        <f aca="false">Assumptions!H29</f>
        <v>0.2</v>
      </c>
      <c r="I9" s="4" t="n">
        <f aca="false">Assumptions!I29</f>
        <v>0.2</v>
      </c>
      <c r="J9" s="4" t="n">
        <f aca="false">Assumptions!J29</f>
        <v>0.2</v>
      </c>
      <c r="K9" s="4" t="n">
        <f aca="false">Assumptions!K29</f>
        <v>0.2</v>
      </c>
      <c r="L9" s="4" t="n">
        <f aca="false">Assumptions!L29</f>
        <v>0.2</v>
      </c>
    </row>
    <row r="10" customFormat="false" ht="15" hidden="false" customHeight="false" outlineLevel="0" collapsed="false">
      <c r="A10" s="0" t="s">
        <v>111</v>
      </c>
      <c r="C10" s="0" t="n">
        <f aca="false">-C6*C9/100</f>
        <v>-618.59122</v>
      </c>
      <c r="D10" s="0" t="n">
        <f aca="false">-D6*D9/100</f>
        <v>-655.7066932</v>
      </c>
      <c r="E10" s="0" t="n">
        <f aca="false">-E6*E9/100</f>
        <v>-695.049094792</v>
      </c>
      <c r="F10" s="0" t="n">
        <f aca="false">-F6*F9/100</f>
        <v>-729.8015495316</v>
      </c>
      <c r="G10" s="0" t="n">
        <f aca="false">-G6*G9/100</f>
        <v>-758.993611512864</v>
      </c>
      <c r="H10" s="0" t="n">
        <f aca="false">-H6*H9/100</f>
        <v>-789.353355973379</v>
      </c>
      <c r="I10" s="0" t="n">
        <f aca="false">-I6*I9/100</f>
        <v>-813.03395665258</v>
      </c>
      <c r="J10" s="0" t="n">
        <f aca="false">-J6*J9/100</f>
        <v>-837.424975352158</v>
      </c>
      <c r="K10" s="0" t="n">
        <f aca="false">-K6*K9/100</f>
        <v>-858.360599735962</v>
      </c>
      <c r="L10" s="0" t="n">
        <f aca="false">-L6*L9/100</f>
        <v>-879.819614729361</v>
      </c>
    </row>
    <row r="11" customFormat="false" ht="15" hidden="false" customHeight="false" outlineLevel="0" collapsed="false">
      <c r="A11" s="0" t="s">
        <v>112</v>
      </c>
      <c r="C11" s="0" t="n">
        <f aca="false">C8+C10+C24</f>
        <v>27218.01368</v>
      </c>
      <c r="D11" s="0" t="n">
        <f aca="false">D8+D10+D24</f>
        <v>28195.3878076</v>
      </c>
      <c r="E11" s="0" t="n">
        <f aca="false">E8+E10+E24</f>
        <v>29192.061981264</v>
      </c>
      <c r="F11" s="0" t="n">
        <f aca="false">F8+F10+F24</f>
        <v>30286.7643055614</v>
      </c>
      <c r="G11" s="0" t="n">
        <f aca="false">G8+G10+G24</f>
        <v>31498.2348777839</v>
      </c>
      <c r="H11" s="0" t="n">
        <f aca="false">H8+H10+H24</f>
        <v>32758.1642728952</v>
      </c>
      <c r="I11" s="0" t="n">
        <f aca="false">I8+I10+I24</f>
        <v>33740.9092010821</v>
      </c>
      <c r="J11" s="0" t="n">
        <f aca="false">J8+J10+J24</f>
        <v>34753.1364771145</v>
      </c>
      <c r="K11" s="0" t="n">
        <f aca="false">K8+K10+K24</f>
        <v>35621.9648890424</v>
      </c>
      <c r="L11" s="0" t="n">
        <f aca="false">L8+L10+L24</f>
        <v>36512.5140112685</v>
      </c>
    </row>
    <row r="12" customFormat="false" ht="15" hidden="false" customHeight="false" outlineLevel="0" collapsed="false">
      <c r="A12" s="0" t="s">
        <v>113</v>
      </c>
      <c r="C12" s="4" t="n">
        <f aca="false">-C6*Assumptions!C31/100</f>
        <v>-5876.61659</v>
      </c>
      <c r="D12" s="4" t="n">
        <f aca="false">-D6*Assumptions!D31/100</f>
        <v>-6884.9202786</v>
      </c>
      <c r="E12" s="4" t="n">
        <f aca="false">-E6*Assumptions!E31/100</f>
        <v>-7993.064590108</v>
      </c>
      <c r="F12" s="4" t="n">
        <f aca="false">-F6*Assumptions!F31/100</f>
        <v>-9122.519369145</v>
      </c>
      <c r="G12" s="4" t="n">
        <f aca="false">-G6*Assumptions!G31/100</f>
        <v>-9866.91694966724</v>
      </c>
      <c r="H12" s="4" t="n">
        <f aca="false">-H6*Assumptions!H31/100</f>
        <v>-10656.2703056406</v>
      </c>
      <c r="I12" s="4" t="n">
        <f aca="false">-I6*Assumptions!I31/100</f>
        <v>-11382.4753931361</v>
      </c>
      <c r="J12" s="4" t="n">
        <f aca="false">-J6*Assumptions!J31/100</f>
        <v>-12142.6621426063</v>
      </c>
      <c r="K12" s="4" t="n">
        <f aca="false">-K6*Assumptions!K31/100</f>
        <v>-12875.4089960394</v>
      </c>
      <c r="L12" s="4" t="n">
        <f aca="false">-L6*Assumptions!L31/100</f>
        <v>-13197.2942209404</v>
      </c>
    </row>
    <row r="13" customFormat="false" ht="15" hidden="false" customHeight="false" outlineLevel="0" collapsed="false">
      <c r="A13" s="0" t="s">
        <v>114</v>
      </c>
      <c r="C13" s="0" t="n">
        <f aca="false">C11+C12</f>
        <v>21341.39709</v>
      </c>
      <c r="D13" s="0" t="n">
        <f aca="false">D11+D12</f>
        <v>21310.467529</v>
      </c>
      <c r="E13" s="0" t="n">
        <f aca="false">E11+E12</f>
        <v>21198.997391156</v>
      </c>
      <c r="F13" s="0" t="n">
        <f aca="false">F11+F12</f>
        <v>21164.2449364164</v>
      </c>
      <c r="G13" s="0" t="n">
        <f aca="false">G11+G12</f>
        <v>21631.3179281166</v>
      </c>
      <c r="H13" s="0" t="n">
        <f aca="false">H11+H12</f>
        <v>22101.8939672546</v>
      </c>
      <c r="I13" s="0" t="n">
        <f aca="false">I11+I12</f>
        <v>22358.433807946</v>
      </c>
      <c r="J13" s="0" t="n">
        <f aca="false">J11+J12</f>
        <v>22610.4743345083</v>
      </c>
      <c r="K13" s="0" t="n">
        <f aca="false">K11+K12</f>
        <v>22746.555893003</v>
      </c>
      <c r="L13" s="0" t="n">
        <f aca="false">L11+L12</f>
        <v>23315.219790328</v>
      </c>
    </row>
    <row r="14" customFormat="false" ht="15" hidden="false" customHeight="false" outlineLevel="0" collapsed="false">
      <c r="A14" s="0" t="s">
        <v>100</v>
      </c>
      <c r="C14" s="4" t="n">
        <f aca="false">Assumptions!C33</f>
        <v>20</v>
      </c>
      <c r="D14" s="4" t="n">
        <f aca="false">Assumptions!D33</f>
        <v>20</v>
      </c>
      <c r="E14" s="4" t="n">
        <f aca="false">Assumptions!E33</f>
        <v>20</v>
      </c>
      <c r="F14" s="4" t="n">
        <f aca="false">Assumptions!F33</f>
        <v>20</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115</v>
      </c>
      <c r="C15" s="0" t="n">
        <f aca="false">C13-MAX(0,C13)*C14/100</f>
        <v>17073.117672</v>
      </c>
      <c r="D15" s="0" t="n">
        <f aca="false">D13-MAX(0,D13)*D14/100</f>
        <v>17048.3740232</v>
      </c>
      <c r="E15" s="0" t="n">
        <f aca="false">E13-MAX(0,E13)*E14/100</f>
        <v>16959.1979129248</v>
      </c>
      <c r="F15" s="0" t="n">
        <f aca="false">F13-MAX(0,F13)*F14/100</f>
        <v>16931.3959491331</v>
      </c>
      <c r="G15" s="0" t="n">
        <f aca="false">G13-MAX(0,G13)*G14/100</f>
        <v>17305.0543424933</v>
      </c>
      <c r="H15" s="0" t="n">
        <f aca="false">H13-MAX(0,H13)*H14/100</f>
        <v>17681.5151738037</v>
      </c>
      <c r="I15" s="0" t="n">
        <f aca="false">I13-MAX(0,I13)*I14/100</f>
        <v>17886.7470463568</v>
      </c>
      <c r="J15" s="0" t="n">
        <f aca="false">J13-MAX(0,J13)*J14/100</f>
        <v>18088.3794676066</v>
      </c>
      <c r="K15" s="0" t="n">
        <f aca="false">K13-MAX(0,K13)*K14/100</f>
        <v>18197.2447144024</v>
      </c>
      <c r="L15" s="0" t="n">
        <f aca="false">L13-MAX(0,L13)*L14/100</f>
        <v>18652.1758322624</v>
      </c>
    </row>
    <row r="16" customFormat="false" ht="15" hidden="false" customHeight="false" outlineLevel="0" collapsed="false">
      <c r="A16" s="0" t="s">
        <v>116</v>
      </c>
      <c r="C16" s="0" t="n">
        <f aca="false">-C12</f>
        <v>5876.61659</v>
      </c>
      <c r="D16" s="0" t="n">
        <f aca="false">-D12</f>
        <v>6884.9202786</v>
      </c>
      <c r="E16" s="0" t="n">
        <f aca="false">-E12</f>
        <v>7993.064590108</v>
      </c>
      <c r="F16" s="0" t="n">
        <f aca="false">-F12</f>
        <v>9122.519369145</v>
      </c>
      <c r="G16" s="0" t="n">
        <f aca="false">-G12</f>
        <v>9866.91694966724</v>
      </c>
      <c r="H16" s="0" t="n">
        <f aca="false">-H12</f>
        <v>10656.2703056406</v>
      </c>
      <c r="I16" s="0" t="n">
        <f aca="false">-I12</f>
        <v>11382.4753931361</v>
      </c>
      <c r="J16" s="0" t="n">
        <f aca="false">-J12</f>
        <v>12142.6621426063</v>
      </c>
      <c r="K16" s="0" t="n">
        <f aca="false">-K12</f>
        <v>12875.4089960394</v>
      </c>
      <c r="L16" s="0" t="n">
        <f aca="false">-L12</f>
        <v>13197.2942209404</v>
      </c>
    </row>
    <row r="17" customFormat="false" ht="15" hidden="false" customHeight="false" outlineLevel="0" collapsed="false">
      <c r="A17" s="0" t="s">
        <v>117</v>
      </c>
      <c r="C17" s="4" t="n">
        <f aca="false">-C6*Assumptions!C32/100</f>
        <v>-13299.71123</v>
      </c>
      <c r="D17" s="4" t="n">
        <f aca="false">-D6*Assumptions!D32/100</f>
        <v>-14097.6939038</v>
      </c>
      <c r="E17" s="4" t="n">
        <f aca="false">-E6*Assumptions!E32/100</f>
        <v>-14596.030990632</v>
      </c>
      <c r="F17" s="4" t="n">
        <f aca="false">-F6*Assumptions!F32/100</f>
        <v>-14596.030990632</v>
      </c>
      <c r="G17" s="4" t="n">
        <f aca="false">-G6*Assumptions!G32/100</f>
        <v>-14800.3754245009</v>
      </c>
      <c r="H17" s="4" t="n">
        <f aca="false">-H6*Assumptions!H32/100</f>
        <v>-14997.7137634942</v>
      </c>
      <c r="I17" s="4" t="n">
        <f aca="false">-I6*Assumptions!I32/100</f>
        <v>-15041.1281980727</v>
      </c>
      <c r="J17" s="4" t="n">
        <f aca="false">-J6*Assumptions!J32/100</f>
        <v>-15073.6495563388</v>
      </c>
      <c r="K17" s="4" t="n">
        <f aca="false">-K6*Assumptions!K32/100</f>
        <v>-15021.3104953793</v>
      </c>
      <c r="L17" s="4" t="n">
        <f aca="false">-L6*Assumptions!L32/100</f>
        <v>-15396.8432577638</v>
      </c>
    </row>
    <row r="18" customFormat="false" ht="15" hidden="false" customHeight="false" outlineLevel="0" collapsed="false">
      <c r="A18" s="0" t="s">
        <v>118</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119</v>
      </c>
      <c r="C19" s="0" t="n">
        <f aca="false">C15+C16+C17+C18</f>
        <v>9650.023032</v>
      </c>
      <c r="D19" s="0" t="n">
        <f aca="false">D15+D16+D17+D18</f>
        <v>9835.600398</v>
      </c>
      <c r="E19" s="0" t="n">
        <f aca="false">E15+E16+E17+E18</f>
        <v>10356.2315124008</v>
      </c>
      <c r="F19" s="0" t="n">
        <f aca="false">F15+F16+F17+F18</f>
        <v>11457.8843276461</v>
      </c>
      <c r="G19" s="0" t="n">
        <f aca="false">G15+G16+G17+G18</f>
        <v>12371.5958676597</v>
      </c>
      <c r="H19" s="0" t="n">
        <f aca="false">H15+H16+H17+H18</f>
        <v>13340.0717159501</v>
      </c>
      <c r="I19" s="0" t="n">
        <f aca="false">I15+I16+I17+I18</f>
        <v>14228.0942414202</v>
      </c>
      <c r="J19" s="0" t="n">
        <f aca="false">J15+J16+J17+J18</f>
        <v>15157.3920538741</v>
      </c>
      <c r="K19" s="0" t="n">
        <f aca="false">K15+K16+K17+K18</f>
        <v>16051.3432150625</v>
      </c>
      <c r="L19" s="0" t="n">
        <f aca="false">L15+L16+L17+L18</f>
        <v>16452.626795439</v>
      </c>
    </row>
    <row r="20" customFormat="false" ht="15" hidden="false" customHeight="false" outlineLevel="0" collapsed="false">
      <c r="A20" s="0" t="s">
        <v>120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121</v>
      </c>
      <c r="C21" s="0" t="n">
        <f aca="false">C19*C20</f>
        <v>8812.80642191781</v>
      </c>
      <c r="D21" s="0" t="n">
        <f aca="false">D19*D20</f>
        <v>8202.99860136361</v>
      </c>
      <c r="E21" s="0" t="n">
        <f aca="false">E19*E20</f>
        <v>7887.86361704334</v>
      </c>
      <c r="F21" s="0" t="n">
        <f aca="false">F19*F20</f>
        <v>7969.8097960197</v>
      </c>
      <c r="G21" s="0" t="n">
        <f aca="false">G19*G20</f>
        <v>7858.77995882418</v>
      </c>
      <c r="H21" s="0" t="n">
        <f aca="false">H19*H20</f>
        <v>7738.79690485441</v>
      </c>
      <c r="I21" s="0" t="n">
        <f aca="false">I19*I20</f>
        <v>7537.85708086789</v>
      </c>
      <c r="J21" s="0" t="n">
        <f aca="false">J19*J20</f>
        <v>7333.50395609237</v>
      </c>
      <c r="K21" s="0" t="n">
        <f aca="false">K19*K20</f>
        <v>7092.25445033429</v>
      </c>
      <c r="L21" s="0" t="n">
        <f aca="false">L19*L20</f>
        <v>6638.86832108918</v>
      </c>
    </row>
    <row r="23" customFormat="false" ht="15" hidden="false" customHeight="false" outlineLevel="0" collapsed="false">
      <c r="A23" s="0" t="s">
        <v>97</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123</v>
      </c>
    </row>
    <row r="27" customFormat="false" ht="15" hidden="false" customHeight="false" outlineLevel="0" collapsed="false">
      <c r="A27" s="0" t="s">
        <v>101</v>
      </c>
      <c r="B27" s="4" t="n">
        <f aca="false">Assumptions!$B$34</f>
        <v>9.5</v>
      </c>
    </row>
    <row r="28" customFormat="false" ht="15" hidden="false" customHeight="false" outlineLevel="0" collapsed="false">
      <c r="A28" s="0" t="s">
        <v>102</v>
      </c>
      <c r="B28" s="4" t="n">
        <f aca="false">Assumptions!$B$35</f>
        <v>2</v>
      </c>
    </row>
    <row r="29" customFormat="false" ht="15" hidden="false" customHeight="false" outlineLevel="0" collapsed="false">
      <c r="A29" s="0" t="s">
        <v>103</v>
      </c>
      <c r="B29" s="4" t="n">
        <f aca="false">Assumptions!$B$36</f>
        <v>10</v>
      </c>
    </row>
    <row r="30" customFormat="false" ht="15" hidden="false" customHeight="false" outlineLevel="0" collapsed="false">
      <c r="A30" s="0" t="s">
        <v>124</v>
      </c>
      <c r="B30" s="0" t="n">
        <f aca="false">SUM(C21:L21)</f>
        <v>77073.5391084068</v>
      </c>
    </row>
    <row r="31" customFormat="false" ht="15" hidden="false" customHeight="false" outlineLevel="0" collapsed="false">
      <c r="A31" s="0" t="s">
        <v>125</v>
      </c>
      <c r="B31" s="0" t="n">
        <f aca="false">L19</f>
        <v>16452.626795439</v>
      </c>
    </row>
    <row r="32" customFormat="false" ht="15" hidden="false" customHeight="false" outlineLevel="0" collapsed="false">
      <c r="A32" s="0" t="s">
        <v>126</v>
      </c>
      <c r="B32" s="0" t="n">
        <f aca="false">IF(B27&gt;B28,B31*(1+B28/100)/((B27-B28)/100),B31*B29)</f>
        <v>223755.724417971</v>
      </c>
    </row>
    <row r="33" customFormat="false" ht="15" hidden="false" customHeight="false" outlineLevel="0" collapsed="false">
      <c r="A33" s="0" t="s">
        <v>127</v>
      </c>
      <c r="B33" s="0" t="n">
        <f aca="false">B31*B29</f>
        <v>164526.26795439</v>
      </c>
    </row>
    <row r="34" customFormat="false" ht="15" hidden="false" customHeight="false" outlineLevel="0" collapsed="false">
      <c r="A34" s="0" t="s">
        <v>128</v>
      </c>
      <c r="B34" s="0" t="n">
        <f aca="false">MAX(0,MIN(B32,B33))</f>
        <v>164526.26795439</v>
      </c>
    </row>
    <row r="35" customFormat="false" ht="15" hidden="false" customHeight="false" outlineLevel="0" collapsed="false">
      <c r="A35" s="0" t="s">
        <v>129</v>
      </c>
      <c r="B35" s="0" t="n">
        <f aca="false">B34/(1+B27/100)^L4</f>
        <v>66388.6832108918</v>
      </c>
    </row>
    <row r="36" customFormat="false" ht="15" hidden="false" customHeight="false" outlineLevel="0" collapsed="false">
      <c r="A36" s="0" t="s">
        <v>130</v>
      </c>
      <c r="B36" s="0" t="n">
        <f aca="false">B30+B35</f>
        <v>143462.222319299</v>
      </c>
    </row>
    <row r="37" customFormat="false" ht="15" hidden="false" customHeight="false" outlineLevel="0" collapsed="false">
      <c r="A37" s="0" t="s">
        <v>131</v>
      </c>
      <c r="B37" s="0" t="n">
        <f aca="false">B36+Assumptions!$B$5-Assumptions!$B$4</f>
        <v>207359.222319299</v>
      </c>
    </row>
    <row r="38" customFormat="false" ht="15" hidden="false" customHeight="false" outlineLevel="0" collapsed="false">
      <c r="A38" s="0" t="s">
        <v>132</v>
      </c>
      <c r="B38" s="0" t="n">
        <f aca="false">B37/Assumptions!$B$3*Assumptions!$B$10</f>
        <v>41.9245034417561</v>
      </c>
    </row>
    <row r="39" customFormat="false" ht="15" hidden="false" customHeight="false" outlineLevel="0" collapsed="false">
      <c r="A39" s="0" t="s">
        <v>133</v>
      </c>
      <c r="B39" s="4" t="n">
        <f aca="false">B38/Assumptions!$B$2-1</f>
        <v>0.793178077063989</v>
      </c>
    </row>
    <row r="41" customFormat="false" ht="15" hidden="false" customHeight="false" outlineLevel="0" collapsed="false">
      <c r="A41" s="0" t="s">
        <v>134</v>
      </c>
      <c r="B41" s="0" t="n">
        <f aca="false">SUMPRODUCT(-C10:L10/(1+$B$27/100)^C4:L4)</f>
        <v>4659.04409051036</v>
      </c>
    </row>
    <row r="42" customFormat="false" ht="15" hidden="false" customHeight="false" outlineLevel="0" collapsed="false">
      <c r="A42" s="0" t="s">
        <v>135</v>
      </c>
      <c r="B42" s="0" t="n">
        <f aca="false">IF(B27&gt;B28,-L10*(1+B28/100)/((B27-B28)/100),-L10*20)/(1+B27/100)^L4</f>
        <v>4828.26786988304</v>
      </c>
    </row>
    <row r="43" customFormat="false" ht="15" hidden="false" customHeight="false" outlineLevel="0" collapsed="false">
      <c r="A43" s="0" t="s">
        <v>136</v>
      </c>
      <c r="B43" s="0" t="n">
        <f aca="false">(B37+B41+B42)/Assumptions!$B$3*Assumptions!$B$10</f>
        <v>43.842676351973</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129089.841010368</v>
      </c>
    </row>
    <row r="47" customFormat="false" ht="15" hidden="false" customHeight="false" outlineLevel="0" collapsed="false">
      <c r="A47" s="0" t="s">
        <v>138</v>
      </c>
      <c r="B47" s="0" t="n">
        <f aca="false">(SUMPRODUCT(C19:L19/(1+B45/100)^C4:L4)+B46/(1+B45/100)^L4+Assumptions!$B$5-Assumptions!$B$4)/Assumptions!$B$3*Assumptions!$B$10</f>
        <v>31.5095257636864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Assumptions!C41</f>
        <v>5</v>
      </c>
      <c r="D5" s="4" t="n">
        <f aca="false">Assumptions!D41</f>
        <v>11</v>
      </c>
      <c r="E5" s="4" t="n">
        <f aca="false">Assumptions!E41</f>
        <v>10</v>
      </c>
      <c r="F5" s="4" t="n">
        <f aca="false">Assumptions!F41</f>
        <v>9</v>
      </c>
      <c r="G5" s="4" t="n">
        <f aca="false">Assumptions!G41</f>
        <v>7</v>
      </c>
      <c r="H5" s="4" t="n">
        <f aca="false">Assumptions!H41</f>
        <v>6</v>
      </c>
      <c r="I5" s="4" t="n">
        <f aca="false">Assumptions!I41</f>
        <v>5</v>
      </c>
      <c r="J5" s="4" t="n">
        <f aca="false">Assumptions!J41</f>
        <v>4</v>
      </c>
      <c r="K5" s="4" t="n">
        <f aca="false">Assumptions!K41</f>
        <v>3</v>
      </c>
      <c r="L5" s="4" t="n">
        <f aca="false">Assumptions!L41</f>
        <v>3</v>
      </c>
    </row>
    <row r="6" customFormat="false" ht="15" hidden="false" customHeight="false" outlineLevel="0" collapsed="false">
      <c r="A6" s="0" t="s">
        <v>38</v>
      </c>
      <c r="B6" s="3" t="n">
        <v>300287</v>
      </c>
      <c r="C6" s="0" t="n">
        <f aca="false">B6*(1+C5/100)</f>
        <v>315301.35</v>
      </c>
      <c r="D6" s="0" t="n">
        <f aca="false">C6*(1+D5/100)</f>
        <v>349984.4985</v>
      </c>
      <c r="E6" s="0" t="n">
        <f aca="false">D6*(1+E5/100)</f>
        <v>384982.94835</v>
      </c>
      <c r="F6" s="0" t="n">
        <f aca="false">E6*(1+F5/100)</f>
        <v>419631.4137015</v>
      </c>
      <c r="G6" s="0" t="n">
        <f aca="false">F6*(1+G5/100)</f>
        <v>449005.612660605</v>
      </c>
      <c r="H6" s="0" t="n">
        <f aca="false">G6*(1+H5/100)</f>
        <v>475945.949420241</v>
      </c>
      <c r="I6" s="0" t="n">
        <f aca="false">H6*(1+I5/100)</f>
        <v>499743.246891254</v>
      </c>
      <c r="J6" s="0" t="n">
        <f aca="false">I6*(1+J5/100)</f>
        <v>519732.976766904</v>
      </c>
      <c r="K6" s="0" t="n">
        <f aca="false">J6*(1+K5/100)</f>
        <v>535324.966069911</v>
      </c>
      <c r="L6" s="0" t="n">
        <f aca="false">K6*(1+L5/100)</f>
        <v>551384.715052008</v>
      </c>
    </row>
    <row r="7" customFormat="false" ht="15" hidden="false" customHeight="false" outlineLevel="0" collapsed="false">
      <c r="A7" s="0" t="s">
        <v>95</v>
      </c>
      <c r="C7" s="4" t="n">
        <f aca="false">Assumptions!C42</f>
        <v>9.5</v>
      </c>
      <c r="D7" s="4" t="n">
        <f aca="false">Assumptions!D42</f>
        <v>9.8</v>
      </c>
      <c r="E7" s="4" t="n">
        <f aca="false">Assumptions!E42</f>
        <v>10</v>
      </c>
      <c r="F7" s="4" t="n">
        <f aca="false">Assumptions!F42</f>
        <v>10.2</v>
      </c>
      <c r="G7" s="4" t="n">
        <f aca="false">Assumptions!G42</f>
        <v>10.3</v>
      </c>
      <c r="H7" s="4" t="n">
        <f aca="false">Assumptions!H42</f>
        <v>10.5</v>
      </c>
      <c r="I7" s="4" t="n">
        <f aca="false">Assumptions!I42</f>
        <v>10.5</v>
      </c>
      <c r="J7" s="4" t="n">
        <f aca="false">Assumptions!J42</f>
        <v>10.5</v>
      </c>
      <c r="K7" s="4" t="n">
        <f aca="false">Assumptions!K42</f>
        <v>10.5</v>
      </c>
      <c r="L7" s="4" t="n">
        <f aca="false">Assumptions!L42</f>
        <v>10.5</v>
      </c>
    </row>
    <row r="8" customFormat="false" ht="15" hidden="false" customHeight="false" outlineLevel="0" collapsed="false">
      <c r="A8" s="0" t="s">
        <v>44</v>
      </c>
      <c r="C8" s="0" t="n">
        <f aca="false">C6*C7/100</f>
        <v>29953.62825</v>
      </c>
      <c r="D8" s="0" t="n">
        <f aca="false">D6*D7/100</f>
        <v>34298.480853</v>
      </c>
      <c r="E8" s="0" t="n">
        <f aca="false">E6*E7/100</f>
        <v>38498.294835</v>
      </c>
      <c r="F8" s="0" t="n">
        <f aca="false">F6*F7/100</f>
        <v>42802.404197553</v>
      </c>
      <c r="G8" s="0" t="n">
        <f aca="false">G6*G7/100</f>
        <v>46247.5781040423</v>
      </c>
      <c r="H8" s="0" t="n">
        <f aca="false">H6*H7/100</f>
        <v>49974.3246891254</v>
      </c>
      <c r="I8" s="0" t="n">
        <f aca="false">I6*I7/100</f>
        <v>52473.0409235816</v>
      </c>
      <c r="J8" s="0" t="n">
        <f aca="false">J6*J7/100</f>
        <v>54571.9625605249</v>
      </c>
      <c r="K8" s="0" t="n">
        <f aca="false">K6*K7/100</f>
        <v>56209.1214373406</v>
      </c>
      <c r="L8" s="0" t="n">
        <f aca="false">L6*L7/100</f>
        <v>57895.3950804609</v>
      </c>
    </row>
    <row r="9" customFormat="false" ht="15" hidden="false" customHeight="false" outlineLevel="0" collapsed="false">
      <c r="A9" s="0" t="s">
        <v>96</v>
      </c>
      <c r="C9" s="4" t="n">
        <f aca="false">Assumptions!C43</f>
        <v>0.2</v>
      </c>
      <c r="D9" s="4" t="n">
        <f aca="false">Assumptions!D43</f>
        <v>0.2</v>
      </c>
      <c r="E9" s="4" t="n">
        <f aca="false">Assumptions!E43</f>
        <v>0.2</v>
      </c>
      <c r="F9" s="4" t="n">
        <f aca="false">Assumptions!F43</f>
        <v>0.2</v>
      </c>
      <c r="G9" s="4" t="n">
        <f aca="false">Assumptions!G43</f>
        <v>0.2</v>
      </c>
      <c r="H9" s="4" t="n">
        <f aca="false">Assumptions!H43</f>
        <v>0.2</v>
      </c>
      <c r="I9" s="4" t="n">
        <f aca="false">Assumptions!I43</f>
        <v>0.2</v>
      </c>
      <c r="J9" s="4" t="n">
        <f aca="false">Assumptions!J43</f>
        <v>0.2</v>
      </c>
      <c r="K9" s="4" t="n">
        <f aca="false">Assumptions!K43</f>
        <v>0.2</v>
      </c>
      <c r="L9" s="4" t="n">
        <f aca="false">Assumptions!L43</f>
        <v>0.2</v>
      </c>
    </row>
    <row r="10" customFormat="false" ht="15" hidden="false" customHeight="false" outlineLevel="0" collapsed="false">
      <c r="A10" s="0" t="s">
        <v>111</v>
      </c>
      <c r="C10" s="0" t="n">
        <f aca="false">-C6*C9/100</f>
        <v>-630.6027</v>
      </c>
      <c r="D10" s="0" t="n">
        <f aca="false">-D6*D9/100</f>
        <v>-699.968997</v>
      </c>
      <c r="E10" s="0" t="n">
        <f aca="false">-E6*E9/100</f>
        <v>-769.9658967</v>
      </c>
      <c r="F10" s="0" t="n">
        <f aca="false">-F6*F9/100</f>
        <v>-839.262827403</v>
      </c>
      <c r="G10" s="0" t="n">
        <f aca="false">-G6*G9/100</f>
        <v>-898.01122532121</v>
      </c>
      <c r="H10" s="0" t="n">
        <f aca="false">-H6*H9/100</f>
        <v>-951.891898840483</v>
      </c>
      <c r="I10" s="0" t="n">
        <f aca="false">-I6*I9/100</f>
        <v>-999.486493782507</v>
      </c>
      <c r="J10" s="0" t="n">
        <f aca="false">-J6*J9/100</f>
        <v>-1039.46595353381</v>
      </c>
      <c r="K10" s="0" t="n">
        <f aca="false">-K6*K9/100</f>
        <v>-1070.64993213982</v>
      </c>
      <c r="L10" s="0" t="n">
        <f aca="false">-L6*L9/100</f>
        <v>-1102.76943010402</v>
      </c>
    </row>
    <row r="11" customFormat="false" ht="15" hidden="false" customHeight="false" outlineLevel="0" collapsed="false">
      <c r="A11" s="0" t="s">
        <v>112</v>
      </c>
      <c r="C11" s="0" t="n">
        <f aca="false">C8+C10+C24</f>
        <v>29323.02555</v>
      </c>
      <c r="D11" s="0" t="n">
        <f aca="false">D8+D10+D24</f>
        <v>33598.511856</v>
      </c>
      <c r="E11" s="0" t="n">
        <f aca="false">E8+E10+E24</f>
        <v>37728.3289383</v>
      </c>
      <c r="F11" s="0" t="n">
        <f aca="false">F8+F10+F24</f>
        <v>41963.14137015</v>
      </c>
      <c r="G11" s="0" t="n">
        <f aca="false">G8+G10+G24</f>
        <v>45349.5668787211</v>
      </c>
      <c r="H11" s="0" t="n">
        <f aca="false">H8+H10+H24</f>
        <v>49022.4327902849</v>
      </c>
      <c r="I11" s="0" t="n">
        <f aca="false">I8+I10+I24</f>
        <v>51473.5544297991</v>
      </c>
      <c r="J11" s="0" t="n">
        <f aca="false">J8+J10+J24</f>
        <v>53532.4966069911</v>
      </c>
      <c r="K11" s="0" t="n">
        <f aca="false">K8+K10+K24</f>
        <v>55138.4715052008</v>
      </c>
      <c r="L11" s="0" t="n">
        <f aca="false">L8+L10+L24</f>
        <v>56792.6256503568</v>
      </c>
    </row>
    <row r="12" customFormat="false" ht="15" hidden="false" customHeight="false" outlineLevel="0" collapsed="false">
      <c r="A12" s="0" t="s">
        <v>113</v>
      </c>
      <c r="C12" s="4" t="n">
        <f aca="false">-C6*Assumptions!C45/100</f>
        <v>-5990.72565</v>
      </c>
      <c r="D12" s="4" t="n">
        <f aca="false">-D6*Assumptions!D45/100</f>
        <v>-7349.6744685</v>
      </c>
      <c r="E12" s="4" t="n">
        <f aca="false">-E6*Assumptions!E45/100</f>
        <v>-8854.60781205</v>
      </c>
      <c r="F12" s="4" t="n">
        <f aca="false">-F6*Assumptions!F45/100</f>
        <v>-10490.7853425375</v>
      </c>
      <c r="G12" s="4" t="n">
        <f aca="false">-G6*Assumptions!G45/100</f>
        <v>-11674.1459291757</v>
      </c>
      <c r="H12" s="4" t="n">
        <f aca="false">-H6*Assumptions!H45/100</f>
        <v>-12850.5406343465</v>
      </c>
      <c r="I12" s="4" t="n">
        <f aca="false">-I6*Assumptions!I45/100</f>
        <v>-13992.8109129551</v>
      </c>
      <c r="J12" s="4" t="n">
        <f aca="false">-J6*Assumptions!J45/100</f>
        <v>-15072.2563262402</v>
      </c>
      <c r="K12" s="4" t="n">
        <f aca="false">-K6*Assumptions!K45/100</f>
        <v>-16059.7489820973</v>
      </c>
      <c r="L12" s="4" t="n">
        <f aca="false">-L6*Assumptions!L45/100</f>
        <v>-16541.5414515602</v>
      </c>
    </row>
    <row r="13" customFormat="false" ht="15" hidden="false" customHeight="false" outlineLevel="0" collapsed="false">
      <c r="A13" s="0" t="s">
        <v>114</v>
      </c>
      <c r="C13" s="0" t="n">
        <f aca="false">C11+C12</f>
        <v>23332.2999</v>
      </c>
      <c r="D13" s="0" t="n">
        <f aca="false">D11+D12</f>
        <v>26248.8373875</v>
      </c>
      <c r="E13" s="0" t="n">
        <f aca="false">E11+E12</f>
        <v>28873.72112625</v>
      </c>
      <c r="F13" s="0" t="n">
        <f aca="false">F11+F12</f>
        <v>31472.3560276125</v>
      </c>
      <c r="G13" s="0" t="n">
        <f aca="false">G11+G12</f>
        <v>33675.4209495454</v>
      </c>
      <c r="H13" s="0" t="n">
        <f aca="false">H11+H12</f>
        <v>36171.8921559383</v>
      </c>
      <c r="I13" s="0" t="n">
        <f aca="false">I11+I12</f>
        <v>37480.743516844</v>
      </c>
      <c r="J13" s="0" t="n">
        <f aca="false">J11+J12</f>
        <v>38460.2402807509</v>
      </c>
      <c r="K13" s="0" t="n">
        <f aca="false">K11+K12</f>
        <v>39078.7225231035</v>
      </c>
      <c r="L13" s="0" t="n">
        <f aca="false">L11+L12</f>
        <v>40251.0841987966</v>
      </c>
    </row>
    <row r="14" customFormat="false" ht="15" hidden="false" customHeight="false" outlineLevel="0" collapsed="false">
      <c r="A14" s="0" t="s">
        <v>100</v>
      </c>
      <c r="C14" s="4" t="n">
        <f aca="false">Assumptions!C47</f>
        <v>20</v>
      </c>
      <c r="D14" s="4" t="n">
        <f aca="false">Assumptions!D47</f>
        <v>20</v>
      </c>
      <c r="E14" s="4" t="n">
        <f aca="false">Assumptions!E47</f>
        <v>20</v>
      </c>
      <c r="F14" s="4" t="n">
        <f aca="false">Assumptions!F47</f>
        <v>20</v>
      </c>
      <c r="G14" s="4" t="n">
        <f aca="false">Assumptions!G47</f>
        <v>20</v>
      </c>
      <c r="H14" s="4" t="n">
        <f aca="false">Assumptions!H47</f>
        <v>20</v>
      </c>
      <c r="I14" s="4" t="n">
        <f aca="false">Assumptions!I47</f>
        <v>20</v>
      </c>
      <c r="J14" s="4" t="n">
        <f aca="false">Assumptions!J47</f>
        <v>20</v>
      </c>
      <c r="K14" s="4" t="n">
        <f aca="false">Assumptions!K47</f>
        <v>20</v>
      </c>
      <c r="L14" s="4" t="n">
        <f aca="false">Assumptions!L47</f>
        <v>20</v>
      </c>
    </row>
    <row r="15" customFormat="false" ht="15" hidden="false" customHeight="false" outlineLevel="0" collapsed="false">
      <c r="A15" s="0" t="s">
        <v>115</v>
      </c>
      <c r="C15" s="0" t="n">
        <f aca="false">C13-MAX(0,C13)*C14/100</f>
        <v>18665.83992</v>
      </c>
      <c r="D15" s="0" t="n">
        <f aca="false">D13-MAX(0,D13)*D14/100</f>
        <v>20999.06991</v>
      </c>
      <c r="E15" s="0" t="n">
        <f aca="false">E13-MAX(0,E13)*E14/100</f>
        <v>23098.976901</v>
      </c>
      <c r="F15" s="0" t="n">
        <f aca="false">F13-MAX(0,F13)*F14/100</f>
        <v>25177.88482209</v>
      </c>
      <c r="G15" s="0" t="n">
        <f aca="false">G13-MAX(0,G13)*G14/100</f>
        <v>26940.3367596363</v>
      </c>
      <c r="H15" s="0" t="n">
        <f aca="false">H13-MAX(0,H13)*H14/100</f>
        <v>28937.5137247507</v>
      </c>
      <c r="I15" s="0" t="n">
        <f aca="false">I13-MAX(0,I13)*I14/100</f>
        <v>29984.5948134752</v>
      </c>
      <c r="J15" s="0" t="n">
        <f aca="false">J13-MAX(0,J13)*J14/100</f>
        <v>30768.1922246007</v>
      </c>
      <c r="K15" s="0" t="n">
        <f aca="false">K13-MAX(0,K13)*K14/100</f>
        <v>31262.9780184828</v>
      </c>
      <c r="L15" s="0" t="n">
        <f aca="false">L13-MAX(0,L13)*L14/100</f>
        <v>32200.8673590373</v>
      </c>
    </row>
    <row r="16" customFormat="false" ht="15" hidden="false" customHeight="false" outlineLevel="0" collapsed="false">
      <c r="A16" s="0" t="s">
        <v>116</v>
      </c>
      <c r="C16" s="0" t="n">
        <f aca="false">-C12</f>
        <v>5990.72565</v>
      </c>
      <c r="D16" s="0" t="n">
        <f aca="false">-D12</f>
        <v>7349.6744685</v>
      </c>
      <c r="E16" s="0" t="n">
        <f aca="false">-E12</f>
        <v>8854.60781205</v>
      </c>
      <c r="F16" s="0" t="n">
        <f aca="false">-F12</f>
        <v>10490.7853425375</v>
      </c>
      <c r="G16" s="0" t="n">
        <f aca="false">-G12</f>
        <v>11674.1459291757</v>
      </c>
      <c r="H16" s="0" t="n">
        <f aca="false">-H12</f>
        <v>12850.5406343465</v>
      </c>
      <c r="I16" s="0" t="n">
        <f aca="false">-I12</f>
        <v>13992.8109129551</v>
      </c>
      <c r="J16" s="0" t="n">
        <f aca="false">-J12</f>
        <v>15072.2563262402</v>
      </c>
      <c r="K16" s="0" t="n">
        <f aca="false">-K12</f>
        <v>16059.7489820973</v>
      </c>
      <c r="L16" s="0" t="n">
        <f aca="false">-L12</f>
        <v>16541.5414515602</v>
      </c>
    </row>
    <row r="17" customFormat="false" ht="15" hidden="false" customHeight="false" outlineLevel="0" collapsed="false">
      <c r="A17" s="0" t="s">
        <v>117</v>
      </c>
      <c r="C17" s="4" t="n">
        <f aca="false">-C6*Assumptions!C46/100</f>
        <v>-14188.56075</v>
      </c>
      <c r="D17" s="4" t="n">
        <f aca="false">-D6*Assumptions!D46/100</f>
        <v>-15749.3024325</v>
      </c>
      <c r="E17" s="4" t="n">
        <f aca="false">-E6*Assumptions!E46/100</f>
        <v>-16939.2497274</v>
      </c>
      <c r="F17" s="4" t="n">
        <f aca="false">-F6*Assumptions!F46/100</f>
        <v>-17624.519375463</v>
      </c>
      <c r="G17" s="4" t="n">
        <f aca="false">-G6*Assumptions!G46/100</f>
        <v>-17960.2245064242</v>
      </c>
      <c r="H17" s="4" t="n">
        <f aca="false">-H6*Assumptions!H46/100</f>
        <v>-18561.8920273894</v>
      </c>
      <c r="I17" s="4" t="n">
        <f aca="false">-I6*Assumptions!I46/100</f>
        <v>-18990.2433818676</v>
      </c>
      <c r="J17" s="4" t="n">
        <f aca="false">-J6*Assumptions!J46/100</f>
        <v>-19230.1201403754</v>
      </c>
      <c r="K17" s="4" t="n">
        <f aca="false">-K6*Assumptions!K46/100</f>
        <v>-19271.6987785168</v>
      </c>
      <c r="L17" s="4" t="n">
        <f aca="false">-L6*Assumptions!L46/100</f>
        <v>-19849.8497418723</v>
      </c>
    </row>
    <row r="18" customFormat="false" ht="15" hidden="false" customHeight="false" outlineLevel="0" collapsed="false">
      <c r="A18" s="0" t="s">
        <v>118</v>
      </c>
      <c r="C18" s="4" t="n">
        <f aca="false">(C6-B6)*Assumptions!$B$51/100</f>
        <v>1501.435</v>
      </c>
      <c r="D18" s="4" t="n">
        <f aca="false">(D6-C6)*Assumptions!$B$51/100</f>
        <v>3468.31485</v>
      </c>
      <c r="E18" s="4" t="n">
        <f aca="false">(E6-D6)*Assumptions!$B$51/100</f>
        <v>3499.844985</v>
      </c>
      <c r="F18" s="4" t="n">
        <f aca="false">(F6-E6)*Assumptions!$B$51/100</f>
        <v>3464.84653515</v>
      </c>
      <c r="G18" s="4" t="n">
        <f aca="false">(G6-F6)*Assumptions!$B$51/100</f>
        <v>2937.4198959105</v>
      </c>
      <c r="H18" s="4" t="n">
        <f aca="false">(H6-G6)*Assumptions!$B$51/100</f>
        <v>2694.03367596364</v>
      </c>
      <c r="I18" s="4" t="n">
        <f aca="false">(I6-H6)*Assumptions!$B$51/100</f>
        <v>2379.72974710121</v>
      </c>
      <c r="J18" s="4" t="n">
        <f aca="false">(J6-I6)*Assumptions!$B$51/100</f>
        <v>1998.97298756501</v>
      </c>
      <c r="K18" s="4" t="n">
        <f aca="false">(K6-J6)*Assumptions!$B$51/100</f>
        <v>1559.19893030071</v>
      </c>
      <c r="L18" s="4" t="n">
        <f aca="false">(L6-K6)*Assumptions!$B$51/100</f>
        <v>1605.97489820974</v>
      </c>
    </row>
    <row r="19" customFormat="false" ht="15" hidden="false" customHeight="false" outlineLevel="0" collapsed="false">
      <c r="A19" s="0" t="s">
        <v>119</v>
      </c>
      <c r="C19" s="0" t="n">
        <f aca="false">C15+C16+C17+C18</f>
        <v>11969.43982</v>
      </c>
      <c r="D19" s="0" t="n">
        <f aca="false">D15+D16+D17+D18</f>
        <v>16067.756796</v>
      </c>
      <c r="E19" s="0" t="n">
        <f aca="false">E15+E16+E17+E18</f>
        <v>18514.17997065</v>
      </c>
      <c r="F19" s="0" t="n">
        <f aca="false">F15+F16+F17+F18</f>
        <v>21508.9973243145</v>
      </c>
      <c r="G19" s="0" t="n">
        <f aca="false">G15+G16+G17+G18</f>
        <v>23591.6780782983</v>
      </c>
      <c r="H19" s="0" t="n">
        <f aca="false">H15+H16+H17+H18</f>
        <v>25920.1960076714</v>
      </c>
      <c r="I19" s="0" t="n">
        <f aca="false">I15+I16+I17+I18</f>
        <v>27366.8920916639</v>
      </c>
      <c r="J19" s="0" t="n">
        <f aca="false">J15+J16+J17+J18</f>
        <v>28609.3013980305</v>
      </c>
      <c r="K19" s="0" t="n">
        <f aca="false">K15+K16+K17+K18</f>
        <v>29610.227152364</v>
      </c>
      <c r="L19" s="0" t="n">
        <f aca="false">L15+L16+L17+L18</f>
        <v>30498.533966935</v>
      </c>
    </row>
    <row r="20" customFormat="false" ht="15" hidden="false" customHeight="false" outlineLevel="0" collapsed="false">
      <c r="A20" s="0" t="s">
        <v>120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121</v>
      </c>
      <c r="C21" s="0" t="n">
        <f aca="false">C19*C20</f>
        <v>10930.9952694064</v>
      </c>
      <c r="D21" s="0" t="n">
        <f aca="false">D19*D20</f>
        <v>13400.6853868768</v>
      </c>
      <c r="E21" s="0" t="n">
        <f aca="false">E19*E20</f>
        <v>14101.3964795026</v>
      </c>
      <c r="F21" s="0" t="n">
        <f aca="false">F19*F20</f>
        <v>14961.1056174015</v>
      </c>
      <c r="G21" s="0" t="n">
        <f aca="false">G19*G20</f>
        <v>14986.0865857587</v>
      </c>
      <c r="H21" s="0" t="n">
        <f aca="false">H19*H20</f>
        <v>15036.735701919</v>
      </c>
      <c r="I21" s="0" t="n">
        <f aca="false">I19*I20</f>
        <v>14498.6192693299</v>
      </c>
      <c r="J21" s="0" t="n">
        <f aca="false">J19*J20</f>
        <v>13841.8551316598</v>
      </c>
      <c r="K21" s="0" t="n">
        <f aca="false">K19*K20</f>
        <v>13083.2206677692</v>
      </c>
      <c r="L21" s="0" t="n">
        <f aca="false">L19*L20</f>
        <v>12306.5911304131</v>
      </c>
    </row>
    <row r="23" customFormat="false" ht="15" hidden="false" customHeight="false" outlineLevel="0" collapsed="false">
      <c r="A23" s="0" t="s">
        <v>97</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123</v>
      </c>
    </row>
    <row r="27" customFormat="false" ht="15" hidden="false" customHeight="false" outlineLevel="0" collapsed="false">
      <c r="A27" s="0" t="s">
        <v>101</v>
      </c>
      <c r="B27" s="4" t="n">
        <f aca="false">Assumptions!$B$48</f>
        <v>9.5</v>
      </c>
    </row>
    <row r="28" customFormat="false" ht="15" hidden="false" customHeight="false" outlineLevel="0" collapsed="false">
      <c r="A28" s="0" t="s">
        <v>102</v>
      </c>
      <c r="B28" s="4" t="n">
        <f aca="false">Assumptions!$B$49</f>
        <v>2.5</v>
      </c>
    </row>
    <row r="29" customFormat="false" ht="15" hidden="false" customHeight="false" outlineLevel="0" collapsed="false">
      <c r="A29" s="0" t="s">
        <v>103</v>
      </c>
      <c r="B29" s="4" t="n">
        <f aca="false">Assumptions!$B$50</f>
        <v>12</v>
      </c>
    </row>
    <row r="30" customFormat="false" ht="15" hidden="false" customHeight="false" outlineLevel="0" collapsed="false">
      <c r="A30" s="0" t="s">
        <v>124</v>
      </c>
      <c r="B30" s="0" t="n">
        <f aca="false">SUM(C21:L21)</f>
        <v>137147.291240037</v>
      </c>
    </row>
    <row r="31" customFormat="false" ht="15" hidden="false" customHeight="false" outlineLevel="0" collapsed="false">
      <c r="A31" s="0" t="s">
        <v>125</v>
      </c>
      <c r="B31" s="0" t="n">
        <f aca="false">L19</f>
        <v>30498.533966935</v>
      </c>
    </row>
    <row r="32" customFormat="false" ht="15" hidden="false" customHeight="false" outlineLevel="0" collapsed="false">
      <c r="A32" s="0" t="s">
        <v>126</v>
      </c>
      <c r="B32" s="0" t="n">
        <f aca="false">IF(B27&gt;B28,B31*(1+B28/100)/((B27-B28)/100),B31*B29)</f>
        <v>446585.675944405</v>
      </c>
    </row>
    <row r="33" customFormat="false" ht="15" hidden="false" customHeight="false" outlineLevel="0" collapsed="false">
      <c r="A33" s="0" t="s">
        <v>127</v>
      </c>
      <c r="B33" s="0" t="n">
        <f aca="false">B31*B29</f>
        <v>365982.40760322</v>
      </c>
    </row>
    <row r="34" customFormat="false" ht="15" hidden="false" customHeight="false" outlineLevel="0" collapsed="false">
      <c r="A34" s="0" t="s">
        <v>128</v>
      </c>
      <c r="B34" s="0" t="n">
        <f aca="false">MAX(0,MIN(B32,B33))</f>
        <v>365982.40760322</v>
      </c>
    </row>
    <row r="35" customFormat="false" ht="15" hidden="false" customHeight="false" outlineLevel="0" collapsed="false">
      <c r="A35" s="0" t="s">
        <v>129</v>
      </c>
      <c r="B35" s="0" t="n">
        <f aca="false">B34/(1+B27/100)^L4</f>
        <v>147679.093564957</v>
      </c>
    </row>
    <row r="36" customFormat="false" ht="15" hidden="false" customHeight="false" outlineLevel="0" collapsed="false">
      <c r="A36" s="0" t="s">
        <v>130</v>
      </c>
      <c r="B36" s="0" t="n">
        <f aca="false">B30+B35</f>
        <v>284826.384804994</v>
      </c>
    </row>
    <row r="37" customFormat="false" ht="15" hidden="false" customHeight="false" outlineLevel="0" collapsed="false">
      <c r="A37" s="0" t="s">
        <v>131</v>
      </c>
      <c r="B37" s="0" t="n">
        <f aca="false">B36+Assumptions!$B$5-Assumptions!$B$4</f>
        <v>348723.384804994</v>
      </c>
    </row>
    <row r="38" customFormat="false" ht="15" hidden="false" customHeight="false" outlineLevel="0" collapsed="false">
      <c r="A38" s="0" t="s">
        <v>132</v>
      </c>
      <c r="B38" s="0" t="n">
        <f aca="false">B37/Assumptions!$B$3*Assumptions!$B$10</f>
        <v>70.505929675823</v>
      </c>
    </row>
    <row r="39" customFormat="false" ht="15" hidden="false" customHeight="false" outlineLevel="0" collapsed="false">
      <c r="A39" s="0" t="s">
        <v>133</v>
      </c>
      <c r="B39" s="4" t="n">
        <f aca="false">B38/Assumptions!$B$2-1</f>
        <v>2.01565139759722</v>
      </c>
    </row>
    <row r="41" customFormat="false" ht="15" hidden="false" customHeight="false" outlineLevel="0" collapsed="false">
      <c r="A41" s="0" t="s">
        <v>134</v>
      </c>
      <c r="B41" s="0" t="n">
        <f aca="false">SUMPRODUCT(-C10:L10/(1+$B$27/100)^C4:L4)</f>
        <v>5403.02231756417</v>
      </c>
    </row>
    <row r="42" customFormat="false" ht="15" hidden="false" customHeight="false" outlineLevel="0" collapsed="false">
      <c r="A42" s="0" t="s">
        <v>135</v>
      </c>
      <c r="B42" s="0" t="n">
        <f aca="false">IF(B27&gt;B28,-L10*(1+B28/100)/((B27-B28)/100),-L10*20)/(1+B27/100)^L4</f>
        <v>6515.82410704688</v>
      </c>
    </row>
    <row r="43" customFormat="false" ht="15" hidden="false" customHeight="false" outlineLevel="0" collapsed="false">
      <c r="A43" s="0" t="s">
        <v>136</v>
      </c>
      <c r="B43" s="0" t="n">
        <f aca="false">(B37+B41+B42)/Assumptions!$B$3*Assumptions!$B$10</f>
        <v>72.9157174458645</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250087.978528867</v>
      </c>
    </row>
    <row r="47" customFormat="false" ht="15" hidden="false" customHeight="false" outlineLevel="0" collapsed="false">
      <c r="A47" s="0" t="s">
        <v>138</v>
      </c>
      <c r="B47" s="0" t="n">
        <f aca="false">(SUMPRODUCT(C19:L19/(1+B45/100)^C4:L4)+B46/(1+B45/100)^L4+Assumptions!$B$5-Assumptions!$B$4)/Assumptions!$B$3*Assumptions!$B$10</f>
        <v>46.7599942849239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141</v>
      </c>
    </row>
    <row r="3" customFormat="false" ht="15" hidden="false" customHeight="false" outlineLevel="0" collapsed="false">
      <c r="A3" s="2" t="s">
        <v>142</v>
      </c>
      <c r="B3" s="2" t="s">
        <v>143</v>
      </c>
      <c r="C3" s="2" t="s">
        <v>133</v>
      </c>
      <c r="D3" s="2" t="s">
        <v>144</v>
      </c>
      <c r="E3" s="2" t="s">
        <v>136</v>
      </c>
      <c r="F3" s="2" t="s">
        <v>145</v>
      </c>
    </row>
    <row r="4" customFormat="false" ht="15" hidden="false" customHeight="false" outlineLevel="0" collapsed="false">
      <c r="A4" s="0" t="s">
        <v>146</v>
      </c>
      <c r="B4" s="4" t="n">
        <f aca="false">DCF_Bear!$B$38</f>
        <v>21.474140288991</v>
      </c>
      <c r="C4" s="0" t="n">
        <f aca="false">B4/Assumptions!$B$2-1</f>
        <v>-0.0815166685632589</v>
      </c>
      <c r="D4" s="4" t="n">
        <f aca="false">Assumptions!$B$24</f>
        <v>0.3</v>
      </c>
      <c r="E4" s="4" t="n">
        <f aca="false">DCF_Bear!$B$43</f>
        <v>22.8445891529941</v>
      </c>
      <c r="F4" s="4" t="n">
        <f aca="false">DCF_Bear!$B$47</f>
        <v>19.072659492311</v>
      </c>
    </row>
    <row r="5" customFormat="false" ht="15" hidden="false" customHeight="false" outlineLevel="0" collapsed="false">
      <c r="A5" s="0" t="s">
        <v>147</v>
      </c>
      <c r="B5" s="4" t="n">
        <f aca="false">DCF_Base!$B$38</f>
        <v>41.9245034417561</v>
      </c>
      <c r="C5" s="0" t="n">
        <f aca="false">B5/Assumptions!$B$2-1</f>
        <v>0.793178077063989</v>
      </c>
      <c r="D5" s="4" t="n">
        <f aca="false">Assumptions!$B$38</f>
        <v>0.5</v>
      </c>
      <c r="E5" s="4" t="n">
        <f aca="false">DCF_Base!$B$43</f>
        <v>43.842676351973</v>
      </c>
      <c r="F5" s="4" t="n">
        <f aca="false">DCF_Base!$B$47</f>
        <v>31.5095257636864</v>
      </c>
    </row>
    <row r="6" customFormat="false" ht="15" hidden="false" customHeight="false" outlineLevel="0" collapsed="false">
      <c r="A6" s="0" t="s">
        <v>148</v>
      </c>
      <c r="B6" s="4" t="n">
        <f aca="false">DCF_Bull!$B$38</f>
        <v>70.505929675823</v>
      </c>
      <c r="C6" s="0" t="n">
        <f aca="false">B6/Assumptions!$B$2-1</f>
        <v>2.01565139759722</v>
      </c>
      <c r="D6" s="4" t="n">
        <f aca="false">Assumptions!$B$52</f>
        <v>0.2</v>
      </c>
      <c r="E6" s="4" t="n">
        <f aca="false">DCF_Bull!$B$43</f>
        <v>72.9157174458645</v>
      </c>
      <c r="F6" s="4" t="n">
        <f aca="false">DCF_Bull!$B$47</f>
        <v>46.7599942849239</v>
      </c>
    </row>
    <row r="8" customFormat="false" ht="15" hidden="false" customHeight="false" outlineLevel="0" collapsed="false">
      <c r="A8" s="0" t="s">
        <v>149</v>
      </c>
      <c r="B8" s="0" t="n">
        <f aca="false">SUMPRODUCT(B4:B6,D4:D6)</f>
        <v>41.5056797427399</v>
      </c>
    </row>
    <row r="9" customFormat="false" ht="15" hidden="false" customHeight="false" outlineLevel="0" collapsed="false">
      <c r="A9" s="0" t="s">
        <v>150</v>
      </c>
      <c r="B9" s="0" t="n">
        <f aca="false">SUMPRODUCT(E4:E6,D4:D6)</f>
        <v>43.3578584110576</v>
      </c>
    </row>
    <row r="10" customFormat="false" ht="15" hidden="false" customHeight="false" outlineLevel="0" collapsed="false">
      <c r="A10" s="0" t="s">
        <v>151</v>
      </c>
      <c r="B10" s="0" t="n">
        <f aca="false">1-Assumptions!$B$2/B8</f>
        <v>0.436703599485331</v>
      </c>
    </row>
    <row r="11" customFormat="false" ht="15" hidden="false" customHeight="false" outlineLevel="0" collapsed="false">
      <c r="A11" s="0" t="s">
        <v>152</v>
      </c>
      <c r="B11" s="0" t="n">
        <f aca="false">IF(ABS(B9-B8)&gt;0.01*ABS(B8),(Assumptions!$B$2-B8)/(B9-B8)*100,"n/a")</f>
        <v>-978.613999436845</v>
      </c>
    </row>
    <row r="12" customFormat="false" ht="15" hidden="false" customHeight="false" outlineLevel="0" collapsed="false">
      <c r="A12" s="0" t="s">
        <v>153</v>
      </c>
      <c r="B12" s="0" t="n">
        <f aca="false">SUMPRODUCT(F4:F6,D4:D6)</f>
        <v>30.8285595865213</v>
      </c>
    </row>
    <row r="14" customFormat="false" ht="15" hidden="false" customHeight="false" outlineLevel="0" collapsed="false">
      <c r="A14" s="2" t="s">
        <v>154</v>
      </c>
      <c r="C14" s="0" t="s">
        <v>155</v>
      </c>
    </row>
    <row r="15" customFormat="false" ht="15" hidden="false" customHeight="false" outlineLevel="0" collapsed="false">
      <c r="A15" s="0" t="s">
        <v>156</v>
      </c>
      <c r="B15" s="0" t="n">
        <f aca="false">(SUMPRODUCT(DCF_Base!$C$19:$L$19/(1+$C$15/100)^DCF_Base!$C$4:$L$4)+MAX(0,MIN(IF($C$15&gt;DCF_Base!$B$28,DCF_Base!$L$19*(1+DCF_Base!$B$28/100)/(($C$15-DCF_Base!$B$28)/100),DCF_Base!$L$19*DCF_Base!$B$29),DCF_Base!$L$19*DCF_Base!$B$29))/(1+$C$15/100)^DCF_Base!$L$4+Assumptions!$B$5-Assumptions!$B$4)/Assumptions!$B$3*Assumptions!$B$10</f>
        <v>42.9367333489727</v>
      </c>
      <c r="C15" s="3" t="n">
        <v>9</v>
      </c>
    </row>
    <row r="16" customFormat="false" ht="15" hidden="false" customHeight="false" outlineLevel="0" collapsed="false">
      <c r="A16" s="0" t="s">
        <v>157</v>
      </c>
      <c r="B16" s="0" t="n">
        <f aca="false">(SUMPRODUCT(DCF_Base!$C$19:$L$19/(1+$C$16/100)^DCF_Base!$C$4:$L$4)+MAX(0,MIN(IF($C$16&gt;DCF_Base!$B$28,DCF_Base!$L$19*(1+DCF_Base!$B$28/100)/(($C$16-DCF_Base!$B$28)/100),DCF_Base!$L$19*DCF_Base!$B$29),DCF_Base!$L$19*DCF_Base!$B$29))/(1+$C$16/100)^DCF_Base!$L$4+Assumptions!$B$5-Assumptions!$B$4)/Assumptions!$B$3*Assumptions!$B$10</f>
        <v>41.9245034417561</v>
      </c>
      <c r="C16" s="3" t="n">
        <v>9.5</v>
      </c>
    </row>
    <row r="17" customFormat="false" ht="15" hidden="false" customHeight="false" outlineLevel="0" collapsed="false">
      <c r="A17" s="0" t="s">
        <v>158</v>
      </c>
      <c r="B17" s="0" t="n">
        <f aca="false">(SUMPRODUCT(DCF_Base!$C$19:$L$19/(1+$C$17/100)^DCF_Base!$C$4:$L$4)+MAX(0,MIN(IF($C$17&gt;DCF_Base!$B$28,DCF_Base!$L$19*(1+DCF_Base!$B$28/100)/(($C$17-DCF_Base!$B$28)/100),DCF_Base!$L$19*DCF_Base!$B$29),DCF_Base!$L$19*DCF_Base!$B$29))/(1+$C$17/100)^DCF_Base!$L$4+Assumptions!$B$5-Assumptions!$B$4)/Assumptions!$B$3*Assumptions!$B$10</f>
        <v>40.956561162499</v>
      </c>
      <c r="C17" s="3" t="n">
        <v>10</v>
      </c>
    </row>
    <row r="18" customFormat="false" ht="15" hidden="false" customHeight="false" outlineLevel="0" collapsed="false">
      <c r="A18" s="0" t="s">
        <v>159</v>
      </c>
      <c r="B18" s="0" t="n">
        <f aca="false">(SUMPRODUCT(DCF_Base!$C$19:$L$19/(1+$C$18/100)^DCF_Base!$C$4:$L$4)+MAX(0,MIN(IF($C$18&gt;DCF_Base!$B$28,DCF_Base!$L$19*(1+DCF_Base!$B$28/100)/(($C$18-DCF_Base!$B$28)/100),DCF_Base!$L$19*DCF_Base!$B$29),DCF_Base!$L$19*DCF_Base!$B$29))/(1+$C$18/100)^DCF_Base!$L$4+Assumptions!$B$5-Assumptions!$B$4)/Assumptions!$B$3*Assumptions!$B$10</f>
        <v>39.1447958023884</v>
      </c>
      <c r="C18" s="3" t="n">
        <v>11</v>
      </c>
    </row>
    <row r="19" customFormat="false" ht="15" hidden="false" customHeight="false" outlineLevel="0" collapsed="false">
      <c r="A19" s="0" t="s">
        <v>160</v>
      </c>
      <c r="B19" s="0" t="n">
        <f aca="false">(SUMPRODUCT(DCF_Base!$C$19:$L$19/(1+$C$19/100)^DCF_Base!$C$4:$L$4)+MAX(0,MIN(IF($C$19&gt;DCF_Base!$B$28,DCF_Base!$L$19*(1+DCF_Base!$B$28/100)/(($C$19-DCF_Base!$B$28)/100),DCF_Base!$L$19*DCF_Base!$B$29),DCF_Base!$L$19*DCF_Base!$B$29))/(1+$C$19/100)^DCF_Base!$L$4+Assumptions!$B$5-Assumptions!$B$4)/Assumptions!$B$3*Assumptions!$B$10</f>
        <v>37.4851304111324</v>
      </c>
      <c r="C19" s="3" t="n">
        <v>12</v>
      </c>
    </row>
    <row r="20" customFormat="false" ht="15" hidden="false" customHeight="false" outlineLevel="0" collapsed="false">
      <c r="A20" s="0" t="s">
        <v>161</v>
      </c>
      <c r="B20" s="0" t="n">
        <f aca="false">(SUMPRODUCT(DCF_Base!$C$19:$L$19/(1+$C$20/100)^DCF_Base!$C$4:$L$4)+MAX(0,MIN(IF($C$20&gt;DCF_Base!$B$28,DCF_Base!$L$19*(1+DCF_Base!$B$28/100)/(($C$20-DCF_Base!$B$28)/100),DCF_Base!$L$19*DCF_Base!$B$29),DCF_Base!$L$19*DCF_Base!$B$29))/(1+$C$20/100)^DCF_Base!$L$4+Assumptions!$B$5-Assumptions!$B$4)/Assumptions!$B$3*Assumptions!$B$10</f>
        <v>31.5095257636864</v>
      </c>
      <c r="C20" s="3" t="n">
        <v>15</v>
      </c>
    </row>
    <row r="22" customFormat="false" ht="15" hidden="false" customHeight="false" outlineLevel="0" collapsed="false">
      <c r="A22" s="2" t="s">
        <v>162</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46.2633187029497</v>
      </c>
      <c r="C24" s="0" t="n">
        <f aca="false">(SUMPRODUCT(DCF_Base!$C$19:$L$19/(1+$A$24/100)^DCF_Base!$C$4:$L$4)+MAX(0,MIN(IF($A$24&gt;$C$23,DCF_Base!$L$19*(1+$C$23/100)/(($A$24-$C$23)/100),DCF_Base!$L$19*DCF_Base!$B$29),DCF_Base!$L$19*DCF_Base!$B$29))/(1+$A$24/100)^DCF_Base!$L$4+Assumptions!$B$5-Assumptions!$B$4)/Assumptions!$B$3*Assumptions!$B$10</f>
        <v>46.2633187029497</v>
      </c>
      <c r="D24" s="0" t="n">
        <f aca="false">(SUMPRODUCT(DCF_Base!$C$19:$L$19/(1+$A$24/100)^DCF_Base!$C$4:$L$4)+MAX(0,MIN(IF($A$24&gt;$D$23,DCF_Base!$L$19*(1+$D$23/100)/(($A$24-$D$23)/100),DCF_Base!$L$19*DCF_Base!$B$29),DCF_Base!$L$19*DCF_Base!$B$29))/(1+$A$24/100)^DCF_Base!$L$4+Assumptions!$B$5-Assumptions!$B$4)/Assumptions!$B$3*Assumptions!$B$10</f>
        <v>46.2633187029497</v>
      </c>
      <c r="E24" s="0" t="n">
        <f aca="false">(SUMPRODUCT(DCF_Base!$C$19:$L$19/(1+$A$24/100)^DCF_Base!$C$4:$L$4)+MAX(0,MIN(IF($A$24&gt;$E$23,DCF_Base!$L$19*(1+$E$23/100)/(($A$24-$E$23)/100),DCF_Base!$L$19*DCF_Base!$B$29),DCF_Base!$L$19*DCF_Base!$B$29))/(1+$A$24/100)^DCF_Base!$L$4+Assumptions!$B$5-Assumptions!$B$4)/Assumptions!$B$3*Assumptions!$B$10</f>
        <v>46.2633187029497</v>
      </c>
      <c r="F24" s="0" t="n">
        <f aca="false">(SUMPRODUCT(DCF_Base!$C$19:$L$19/(1+$A$24/100)^DCF_Base!$C$4:$L$4)+MAX(0,MIN(IF($A$24&gt;$F$23,DCF_Base!$L$19*(1+$F$23/100)/(($A$24-$F$23)/100),DCF_Base!$L$19*DCF_Base!$B$29),DCF_Base!$L$19*DCF_Base!$B$29))/(1+$A$24/100)^DCF_Base!$L$4+Assumptions!$B$5-Assumptions!$B$4)/Assumptions!$B$3*Assumptions!$B$10</f>
        <v>46.2633187029497</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43.9955976551336</v>
      </c>
      <c r="C25" s="0" t="n">
        <f aca="false">(SUMPRODUCT(DCF_Base!$C$19:$L$19/(1+$A$25/100)^DCF_Base!$C$4:$L$4)+MAX(0,MIN(IF($A$25&gt;$C$23,DCF_Base!$L$19*(1+$C$23/100)/(($A$25-$C$23)/100),DCF_Base!$L$19*DCF_Base!$B$29),DCF_Base!$L$19*DCF_Base!$B$29))/(1+$A$25/100)^DCF_Base!$L$4+Assumptions!$B$5-Assumptions!$B$4)/Assumptions!$B$3*Assumptions!$B$10</f>
        <v>43.9955976551336</v>
      </c>
      <c r="D25" s="0" t="n">
        <f aca="false">(SUMPRODUCT(DCF_Base!$C$19:$L$19/(1+$A$25/100)^DCF_Base!$C$4:$L$4)+MAX(0,MIN(IF($A$25&gt;$D$23,DCF_Base!$L$19*(1+$D$23/100)/(($A$25-$D$23)/100),DCF_Base!$L$19*DCF_Base!$B$29),DCF_Base!$L$19*DCF_Base!$B$29))/(1+$A$25/100)^DCF_Base!$L$4+Assumptions!$B$5-Assumptions!$B$4)/Assumptions!$B$3*Assumptions!$B$10</f>
        <v>43.9955976551336</v>
      </c>
      <c r="E25" s="0" t="n">
        <f aca="false">(SUMPRODUCT(DCF_Base!$C$19:$L$19/(1+$A$25/100)^DCF_Base!$C$4:$L$4)+MAX(0,MIN(IF($A$25&gt;$E$23,DCF_Base!$L$19*(1+$E$23/100)/(($A$25-$E$23)/100),DCF_Base!$L$19*DCF_Base!$B$29),DCF_Base!$L$19*DCF_Base!$B$29))/(1+$A$25/100)^DCF_Base!$L$4+Assumptions!$B$5-Assumptions!$B$4)/Assumptions!$B$3*Assumptions!$B$10</f>
        <v>43.9955976551336</v>
      </c>
      <c r="F25" s="0" t="n">
        <f aca="false">(SUMPRODUCT(DCF_Base!$C$19:$L$19/(1+$A$25/100)^DCF_Base!$C$4:$L$4)+MAX(0,MIN(IF($A$25&gt;$F$23,DCF_Base!$L$19*(1+$F$23/100)/(($A$25-$F$23)/100),DCF_Base!$L$19*DCF_Base!$B$29),DCF_Base!$L$19*DCF_Base!$B$29))/(1+$A$25/100)^DCF_Base!$L$4+Assumptions!$B$5-Assumptions!$B$4)/Assumptions!$B$3*Assumptions!$B$10</f>
        <v>43.9955976551336</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41.9245034417561</v>
      </c>
      <c r="C26" s="0" t="n">
        <f aca="false">(SUMPRODUCT(DCF_Base!$C$19:$L$19/(1+$A$26/100)^DCF_Base!$C$4:$L$4)+MAX(0,MIN(IF($A$26&gt;$C$23,DCF_Base!$L$19*(1+$C$23/100)/(($A$26-$C$23)/100),DCF_Base!$L$19*DCF_Base!$B$29),DCF_Base!$L$19*DCF_Base!$B$29))/(1+$A$26/100)^DCF_Base!$L$4+Assumptions!$B$5-Assumptions!$B$4)/Assumptions!$B$3*Assumptions!$B$10</f>
        <v>41.9245034417561</v>
      </c>
      <c r="D26" s="0" t="n">
        <f aca="false">(SUMPRODUCT(DCF_Base!$C$19:$L$19/(1+$A$26/100)^DCF_Base!$C$4:$L$4)+MAX(0,MIN(IF($A$26&gt;$D$23,DCF_Base!$L$19*(1+$D$23/100)/(($A$26-$D$23)/100),DCF_Base!$L$19*DCF_Base!$B$29),DCF_Base!$L$19*DCF_Base!$B$29))/(1+$A$26/100)^DCF_Base!$L$4+Assumptions!$B$5-Assumptions!$B$4)/Assumptions!$B$3*Assumptions!$B$10</f>
        <v>41.9245034417561</v>
      </c>
      <c r="E26" s="0" t="n">
        <f aca="false">(SUMPRODUCT(DCF_Base!$C$19:$L$19/(1+$A$26/100)^DCF_Base!$C$4:$L$4)+MAX(0,MIN(IF($A$26&gt;$E$23,DCF_Base!$L$19*(1+$E$23/100)/(($A$26-$E$23)/100),DCF_Base!$L$19*DCF_Base!$B$29),DCF_Base!$L$19*DCF_Base!$B$29))/(1+$A$26/100)^DCF_Base!$L$4+Assumptions!$B$5-Assumptions!$B$4)/Assumptions!$B$3*Assumptions!$B$10</f>
        <v>41.9245034417561</v>
      </c>
      <c r="F26" s="0" t="n">
        <f aca="false">(SUMPRODUCT(DCF_Base!$C$19:$L$19/(1+$A$26/100)^DCF_Base!$C$4:$L$4)+MAX(0,MIN(IF($A$26&gt;$F$23,DCF_Base!$L$19*(1+$F$23/100)/(($A$26-$F$23)/100),DCF_Base!$L$19*DCF_Base!$B$29),DCF_Base!$L$19*DCF_Base!$B$29))/(1+$A$26/100)^DCF_Base!$L$4+Assumptions!$B$5-Assumptions!$B$4)/Assumptions!$B$3*Assumptions!$B$10</f>
        <v>41.9245034417561</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40.0306899884758</v>
      </c>
      <c r="C27" s="0" t="n">
        <f aca="false">(SUMPRODUCT(DCF_Base!$C$19:$L$19/(1+$A$27/100)^DCF_Base!$C$4:$L$4)+MAX(0,MIN(IF($A$27&gt;$C$23,DCF_Base!$L$19*(1+$C$23/100)/(($A$27-$C$23)/100),DCF_Base!$L$19*DCF_Base!$B$29),DCF_Base!$L$19*DCF_Base!$B$29))/(1+$A$27/100)^DCF_Base!$L$4+Assumptions!$B$5-Assumptions!$B$4)/Assumptions!$B$3*Assumptions!$B$10</f>
        <v>40.0306899884758</v>
      </c>
      <c r="D27" s="0" t="n">
        <f aca="false">(SUMPRODUCT(DCF_Base!$C$19:$L$19/(1+$A$27/100)^DCF_Base!$C$4:$L$4)+MAX(0,MIN(IF($A$27&gt;$D$23,DCF_Base!$L$19*(1+$D$23/100)/(($A$27-$D$23)/100),DCF_Base!$L$19*DCF_Base!$B$29),DCF_Base!$L$19*DCF_Base!$B$29))/(1+$A$27/100)^DCF_Base!$L$4+Assumptions!$B$5-Assumptions!$B$4)/Assumptions!$B$3*Assumptions!$B$10</f>
        <v>40.0306899884758</v>
      </c>
      <c r="E27" s="0" t="n">
        <f aca="false">(SUMPRODUCT(DCF_Base!$C$19:$L$19/(1+$A$27/100)^DCF_Base!$C$4:$L$4)+MAX(0,MIN(IF($A$27&gt;$E$23,DCF_Base!$L$19*(1+$E$23/100)/(($A$27-$E$23)/100),DCF_Base!$L$19*DCF_Base!$B$29),DCF_Base!$L$19*DCF_Base!$B$29))/(1+$A$27/100)^DCF_Base!$L$4+Assumptions!$B$5-Assumptions!$B$4)/Assumptions!$B$3*Assumptions!$B$10</f>
        <v>40.0306899884758</v>
      </c>
      <c r="F27" s="0" t="n">
        <f aca="false">(SUMPRODUCT(DCF_Base!$C$19:$L$19/(1+$A$27/100)^DCF_Base!$C$4:$L$4)+MAX(0,MIN(IF($A$27&gt;$F$23,DCF_Base!$L$19*(1+$F$23/100)/(($A$27-$F$23)/100),DCF_Base!$L$19*DCF_Base!$B$29),DCF_Base!$L$19*DCF_Base!$B$29))/(1+$A$27/100)^DCF_Base!$L$4+Assumptions!$B$5-Assumptions!$B$4)/Assumptions!$B$3*Assumptions!$B$10</f>
        <v>40.0306899884758</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37.8702199984392</v>
      </c>
      <c r="C28" s="0" t="n">
        <f aca="false">(SUMPRODUCT(DCF_Base!$C$19:$L$19/(1+$A$28/100)^DCF_Base!$C$4:$L$4)+MAX(0,MIN(IF($A$28&gt;$C$23,DCF_Base!$L$19*(1+$C$23/100)/(($A$28-$C$23)/100),DCF_Base!$L$19*DCF_Base!$B$29),DCF_Base!$L$19*DCF_Base!$B$29))/(1+$A$28/100)^DCF_Base!$L$4+Assumptions!$B$5-Assumptions!$B$4)/Assumptions!$B$3*Assumptions!$B$10</f>
        <v>38.2968995568441</v>
      </c>
      <c r="D28" s="0" t="n">
        <f aca="false">(SUMPRODUCT(DCF_Base!$C$19:$L$19/(1+$A$28/100)^DCF_Base!$C$4:$L$4)+MAX(0,MIN(IF($A$28&gt;$D$23,DCF_Base!$L$19*(1+$D$23/100)/(($A$28-$D$23)/100),DCF_Base!$L$19*DCF_Base!$B$29),DCF_Base!$L$19*DCF_Base!$B$29))/(1+$A$28/100)^DCF_Base!$L$4+Assumptions!$B$5-Assumptions!$B$4)/Assumptions!$B$3*Assumptions!$B$10</f>
        <v>38.2968995568441</v>
      </c>
      <c r="E28" s="0" t="n">
        <f aca="false">(SUMPRODUCT(DCF_Base!$C$19:$L$19/(1+$A$28/100)^DCF_Base!$C$4:$L$4)+MAX(0,MIN(IF($A$28&gt;$E$23,DCF_Base!$L$19*(1+$E$23/100)/(($A$28-$E$23)/100),DCF_Base!$L$19*DCF_Base!$B$29),DCF_Base!$L$19*DCF_Base!$B$29))/(1+$A$28/100)^DCF_Base!$L$4+Assumptions!$B$5-Assumptions!$B$4)/Assumptions!$B$3*Assumptions!$B$10</f>
        <v>38.2968995568441</v>
      </c>
      <c r="F28" s="0" t="n">
        <f aca="false">(SUMPRODUCT(DCF_Base!$C$19:$L$19/(1+$A$28/100)^DCF_Base!$C$4:$L$4)+MAX(0,MIN(IF($A$28&gt;$F$23,DCF_Base!$L$19*(1+$F$23/100)/(($A$28-$F$23)/100),DCF_Base!$L$19*DCF_Base!$B$29),DCF_Base!$L$19*DCF_Base!$B$29))/(1+$A$28/100)^DCF_Base!$L$4+Assumptions!$B$5-Assumptions!$B$4)/Assumptions!$B$3*Assumptions!$B$10</f>
        <v>38.2968995568441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2026-10-23T21:54:13Z</dcterms:created>
  <dc:creator>openpyxl</dc:creator>
  <dc:description/>
  <dc:language>en-NZ</dc:language>
  <cp:lastModifiedBy/>
  <dcterms:modified xsi:type="dcterms:W3CDTF">2026-10-23T21:54:13Z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