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<sst xmlns="http://schemas.openxmlformats.org/spreadsheetml/2006/main" count="354" uniqueCount="164">
  <si>
    <t xml:space="preserve">Ticker</t>
  </si>
  <si>
    <t xml:space="preserve">0425.HK</t>
  </si>
  <si>
    <t xml:space="preserve">Company</t>
  </si>
  <si>
    <t xml:space="preserve">Minth Group Limited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</si>
  <si>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</si>
  <si>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</si>
  <si>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</si>
  <si>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</si>
  <si>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2026-10-09T08:08:06Z regular close (HKEX Friday session; Yahoo chart API, fetched 2026-10-11)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</si>
  <si>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</si>
  <si>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</si>
  <si>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</si>
  <si>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</si>
  <si>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</si>
  <si>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</si>
  <si>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</si>
  <si>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</si>
  <si>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</si>
  <si>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</si>
  <si>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</si>
  <si>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</si>
  <si>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</si>
  <si>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2026-10-10T22:33:43Z</t>
  </si>
  <si>
    <t xml:space="preserve">Drivers file</t>
  </si>
  <si>
    <t xml:space="preserve">0425.HK_Drivers.json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</si>
  <si>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</si>
  <si>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</si>
  <si>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</si>
  <si>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Minth as a cyclical global auto-parts manufacturer on unlevered owner FCF built from components, with capex intensity -- not SBC -- the dominant judgment. Risk is charged once, through 25/50/25 scenario weights at a single 8.5% revenue-blended WACC, and the terminal value is capped at 10-13x FCF to reflect cyclicality. Treasury assets (time and structured deposits, equity investments, JVs) sit in the bridge because their income is excluded from the flows.
key_risks_to_valuation: Capex intensity: the H1 FY2026 jump to 12.2% of revenue; if the overseas build runs at 11-12% for longer than two years, owner FCF stays near half of FY2025's level; EBITDA margin: each 1pp of margin is ~RMB260m of EBITDA in FY2026; the FY2021-22 trough was well below today's 19%; Customer/platform concentration in battery housings (third-party estimates: top-5 customers ~45-50% of revenue); Tariff and EV-subsidy policy (US content rules on Mexican production, EU subsidy continuity); CNY/HKD rate: per-share HKD values move one-for-one with it; refresh_price.py does not update fx_rate; Working-capital reversal: FY2025 owner FCF was flattered by a +RMB489m working-capital release</t>
  </si>
  <si>
    <t xml:space="preserve">Data sources</t>
  </si>
  <si>
    <t xml:space="preserve">price: Yahoo Finance chart API at inputs.price_as_of; 52-week range 22.06-46.76 HKD
fx: Yahoo Finance CNYHKD=X, cross-checked against HKD=X and CNY=X (see inputs.fx_note)
financials: 0425.HK_Metrics.csv (core_metrics, FY2018-FY2025 + H1 FY2024-26); FY2025 Annual Report income and cash flow statements; H1 FY2026 Interim Report balance sheet, FVTPL note 15 and diluted-EPS note
qualitative: 0425.HK_Analysis.json (2026-10-11)</t>
  </si>
  <si>
    <t xml:space="preserve">Scenario narrative: bear</t>
  </si>
  <si>
    <t xml:space="preserve">The auto cycle and policy turn together: China's domestic price war deepens and squeezes supplier pricing, European EV subsidies lapse, US tariffs on Mexican content raise costs at the new plants, and a major battery-housing platform (VW or a Chinese NEV maker) is in-sourced or re-sourced. Revenue stalls in FY2027 and grows only with inflation thereafter; EBITDA margin compresses to ~17% (the FY2021-22 trough territory) while the overseas plants already committed run underutilised, pushing D&amp;A to 7.4% of revenue.</t>
  </si>
  <si>
    <t xml:space="preserve">Scenario narrative: base</t>
  </si>
  <si>
    <t xml:space="preserve">Minth keeps compounding content per vehicle faster than global production: battery housings and body-structure parts for VW, BMW, Toyota, BYD, Chery and Changan carry FY2026 revenue up ~8% against a flat-to-down industry, with EMEA the engine and China domestic flat. Margins hold near 19.5% EBITDA as operating leverage is spent on localisation ramp costs in Mexico, Canada, Alabama, Serbia and Morocco and on OEM annual price-downs. Capex stays elevated (11% of revenue) through FY2027 for the overseas build, then falls to a sustaining 8%. The 'second growth curve' (robotics, eVTOL, AI liquid cooling) is given no explicit value.</t>
  </si>
  <si>
    <t xml:space="preserve">Scenario narrative: bull</t>
  </si>
  <si>
    <t xml:space="preserve">The GLOCAL footprint turns tariff fragmentation into share gains: European BEV adoption and Chinese brands' overseas localisation drive battery-housing volumes, North American energy-storage and Toyota programmes ramp, and new-business revenue (AI-server liquid cooling, robotics structures) becomes material by FY2029. Revenue grows ~10% a year for five years and EBITDA margin climbs to 21% on European battery-housing scale and capex returning to 8% once the build-out is absorbed.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</si>
  <si>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</si>
  <si>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</si>
  <si>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</si>
  <si>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</si>
  <si>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</si>
  <si>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</si>
  <si>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</si>
  <si>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</si>
  <si>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</si>
  <si>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</si>
  <si>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</si>
  <si>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</si>
  <si>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</si>
  <si>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</si>
  <si>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</si>
  <si>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</si>
  <si>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</si>
  <si>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</si>
  <si>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</si>
  <si>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</si>
  <si>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</si>
  <si>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</si>
  <si>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</si>
  <si>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</si>
  <si>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</si>
  <si>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</si>
  <si>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</si>
  <si>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</si>
  <si>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</si>
  <si>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</si>
  <si>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</si>
  <si>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</si>
  <si>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</si>
  <si>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</si>
  <si>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</si>
  <si>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</si>
  <si>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</si>
  <si>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</si>
  <si>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</si>
  <si>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</si>
  <si>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</si>
  <si>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</si>
  <si>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</si>
  <si>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</si>
  <si>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</si>
  <si>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</si>
  <si>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</si>
  <si>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</si>
  <si>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</si>
  <si>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</si>
  <si>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</si>
  <si>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</si>
  <si>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</si>
  <si>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</si>
  <si>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</si>
  <si>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</si>
  <si>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</si>
  <si>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</si>
  <si>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</si>
  <si>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</si>
  <si>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</si>
  <si>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</si>
  <si>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</si>
  <si>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</si>
  <si>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</si>
  <si>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</si>
  <si>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</si>
  <si>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</si>
  <si>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</si>
  <si>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</si>
  <si>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</si>
  <si>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</si>
  <si>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0425.HK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</si>
  <si>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</si>
  <si>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</si>
  <si>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</si>
  <si>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</si>
  <si>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</si>
  <si>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</si>
  <si>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</si>
  <si>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</si>
  <si>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</si>
  <si>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</si>
  <si>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</si>
  <si>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</si>
  <si>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</si>
  <si>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</si>
  <si>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</si>
  <si>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</si>
  <si>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</si>
  <si>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</si>
  <si>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</si>
  <si>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</si>
  <si>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</si>
  <si>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</si>
  <si>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</si>
  <si>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</si>
  <si>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</si>
  <si>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</si>
  <si>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</si>
  <si>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</si>
  <si>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</si>
  <si>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</si>
  <si>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0425.HK owner-FCF component DCF: base case (millions, CNY)</t>
  </si>
  <si>
    <t xml:space="preserve">0425.HK owner-FCF component DCF: bull case (millions, CNY)</t>
  </si>
  <si>
    <t xml:space="preserve">0425.HK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</si>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</sst>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23.1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12553.202</v>
      </c>
      <c r="C2" s="0" t="n">
        <v>8530.179</v>
      </c>
      <c r="D2" s="0" t="n">
        <v>4023.023</v>
      </c>
      <c r="E2" s="0" t="n">
        <v>32</v>
      </c>
      <c r="I2" s="0" t="n">
        <v>1660.636</v>
      </c>
      <c r="J2" s="0" t="n">
        <v>13.2</v>
      </c>
      <c r="K2" s="0" t="n">
        <v>1.44</v>
      </c>
      <c r="L2" s="0" t="n">
        <v>2040.728</v>
      </c>
      <c r="M2" s="0" t="n">
        <v>2263.332</v>
      </c>
      <c r="N2" s="0" t="n">
        <v>-222.604</v>
      </c>
      <c r="O2" s="0" t="n">
        <v>13160.414</v>
      </c>
      <c r="P2" s="0" t="n">
        <v>21268.088</v>
      </c>
      <c r="Q2" s="0" t="n">
        <v>7839.382</v>
      </c>
      <c r="R2" s="0" t="n">
        <v>4091.13</v>
      </c>
      <c r="S2" s="0" t="n">
        <v>4521.87</v>
      </c>
      <c r="T2" s="0" t="n">
        <v>1153.4</v>
      </c>
      <c r="U2" s="0" t="n">
        <v>73.702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13198.189</v>
      </c>
      <c r="C3" s="0" t="n">
        <v>9076.75</v>
      </c>
      <c r="D3" s="0" t="n">
        <v>4121.439</v>
      </c>
      <c r="E3" s="0" t="n">
        <v>31.2</v>
      </c>
      <c r="I3" s="0" t="n">
        <v>1690.3</v>
      </c>
      <c r="J3" s="0" t="n">
        <v>12.8</v>
      </c>
      <c r="K3" s="0" t="n">
        <v>1.466</v>
      </c>
      <c r="L3" s="0" t="n">
        <v>2383.992</v>
      </c>
      <c r="M3" s="0" t="n">
        <v>1557.079</v>
      </c>
      <c r="N3" s="0" t="n">
        <v>826.913</v>
      </c>
      <c r="O3" s="0" t="n">
        <v>14324.945</v>
      </c>
      <c r="P3" s="0" t="n">
        <v>23642.675</v>
      </c>
      <c r="Q3" s="0" t="n">
        <v>8898.981</v>
      </c>
      <c r="R3" s="0" t="n">
        <v>4138.998</v>
      </c>
      <c r="S3" s="0" t="n">
        <v>5687.234</v>
      </c>
      <c r="T3" s="0" t="n">
        <v>1153.3</v>
      </c>
      <c r="U3" s="0" t="n">
        <v>63.081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12466.858</v>
      </c>
      <c r="C4" s="0" t="n">
        <v>8608.015</v>
      </c>
      <c r="D4" s="0" t="n">
        <v>3858.843</v>
      </c>
      <c r="E4" s="0" t="n">
        <v>31</v>
      </c>
      <c r="I4" s="0" t="n">
        <v>1395.509</v>
      </c>
      <c r="J4" s="0" t="n">
        <v>11.2</v>
      </c>
      <c r="K4" s="0" t="n">
        <v>1.21</v>
      </c>
      <c r="L4" s="0" t="n">
        <v>2080.249</v>
      </c>
      <c r="M4" s="0" t="n">
        <v>2279.857</v>
      </c>
      <c r="N4" s="0" t="n">
        <v>-199.608</v>
      </c>
      <c r="O4" s="0" t="n">
        <v>14944.004</v>
      </c>
      <c r="P4" s="0" t="n">
        <v>27205.745</v>
      </c>
      <c r="Q4" s="0" t="n">
        <v>11892.85</v>
      </c>
      <c r="R4" s="0" t="n">
        <v>6519.2</v>
      </c>
      <c r="S4" s="0" t="n">
        <v>6008.272</v>
      </c>
      <c r="T4" s="0" t="n">
        <v>1153.5</v>
      </c>
      <c r="U4" s="0" t="n">
        <v>66.307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13919.269</v>
      </c>
      <c r="C5" s="0" t="n">
        <v>9835.495</v>
      </c>
      <c r="D5" s="0" t="n">
        <v>4083.774</v>
      </c>
      <c r="E5" s="0" t="n">
        <v>29.3</v>
      </c>
      <c r="I5" s="0" t="n">
        <v>1496.507</v>
      </c>
      <c r="J5" s="0" t="n">
        <v>10.8</v>
      </c>
      <c r="K5" s="0" t="n">
        <v>1.292</v>
      </c>
      <c r="L5" s="0" t="n">
        <v>1321.8</v>
      </c>
      <c r="M5" s="0" t="n">
        <v>3171.664</v>
      </c>
      <c r="N5" s="0" t="n">
        <v>-1849.864</v>
      </c>
      <c r="O5" s="0" t="n">
        <v>16022.972</v>
      </c>
      <c r="P5" s="0" t="n">
        <v>29644.844</v>
      </c>
      <c r="Q5" s="0" t="n">
        <v>13089.188</v>
      </c>
      <c r="R5" s="0" t="n">
        <v>7143.59</v>
      </c>
      <c r="S5" s="0" t="n">
        <v>5491.959</v>
      </c>
      <c r="T5" s="0" t="n">
        <v>1157.9</v>
      </c>
      <c r="U5" s="0" t="n">
        <v>77.91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17306.393</v>
      </c>
      <c r="C6" s="0" t="n">
        <v>12522.24</v>
      </c>
      <c r="D6" s="0" t="n">
        <v>4784.153</v>
      </c>
      <c r="E6" s="0" t="n">
        <v>27.6</v>
      </c>
      <c r="I6" s="0" t="n">
        <v>1500.584</v>
      </c>
      <c r="J6" s="0" t="n">
        <v>8.7</v>
      </c>
      <c r="K6" s="0" t="n">
        <v>1.304</v>
      </c>
      <c r="L6" s="0" t="n">
        <v>1855.43</v>
      </c>
      <c r="M6" s="0" t="n">
        <v>3358.323</v>
      </c>
      <c r="N6" s="0" t="n">
        <v>-1502.893</v>
      </c>
      <c r="O6" s="0" t="n">
        <v>16917.751</v>
      </c>
      <c r="P6" s="0" t="n">
        <v>33273.798</v>
      </c>
      <c r="Q6" s="0" t="n">
        <v>15575.679</v>
      </c>
      <c r="R6" s="0" t="n">
        <v>8198.196</v>
      </c>
      <c r="S6" s="0" t="n">
        <v>4220.651</v>
      </c>
      <c r="T6" s="0" t="n">
        <v>1151</v>
      </c>
      <c r="U6" s="0" t="n">
        <v>47.851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20523.674</v>
      </c>
      <c r="C7" s="0" t="n">
        <v>14901.683</v>
      </c>
      <c r="D7" s="0" t="n">
        <v>5621.991</v>
      </c>
      <c r="E7" s="0" t="n">
        <v>27.4</v>
      </c>
      <c r="I7" s="0" t="n">
        <v>1903.231</v>
      </c>
      <c r="J7" s="0" t="n">
        <v>9.3</v>
      </c>
      <c r="K7" s="0" t="n">
        <v>1.654</v>
      </c>
      <c r="L7" s="0" t="n">
        <v>3365.907</v>
      </c>
      <c r="M7" s="0" t="n">
        <v>3262.2</v>
      </c>
      <c r="N7" s="0" t="n">
        <v>103.707</v>
      </c>
      <c r="O7" s="0" t="n">
        <v>18318.497</v>
      </c>
      <c r="P7" s="0" t="n">
        <v>37547.306</v>
      </c>
      <c r="Q7" s="0" t="n">
        <v>18407.427</v>
      </c>
      <c r="R7" s="0" t="n">
        <v>9688.323</v>
      </c>
      <c r="S7" s="0" t="n">
        <v>4165.305</v>
      </c>
      <c r="T7" s="0" t="n">
        <v>1150.4</v>
      </c>
      <c r="U7" s="0" t="n">
        <v>28.44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23147.123</v>
      </c>
      <c r="C8" s="0" t="n">
        <v>16449.053</v>
      </c>
      <c r="D8" s="0" t="n">
        <v>6698.07</v>
      </c>
      <c r="E8" s="0" t="n">
        <v>28.9</v>
      </c>
      <c r="I8" s="0" t="n">
        <v>2319.3</v>
      </c>
      <c r="J8" s="0" t="n">
        <v>10</v>
      </c>
      <c r="K8" s="0" t="n">
        <v>2.019</v>
      </c>
      <c r="L8" s="0" t="n">
        <v>3274.402</v>
      </c>
      <c r="M8" s="0" t="n">
        <v>1932.1</v>
      </c>
      <c r="N8" s="0" t="n">
        <v>1342.302</v>
      </c>
      <c r="O8" s="0" t="n">
        <v>20445.152</v>
      </c>
      <c r="P8" s="0" t="n">
        <v>38758.936</v>
      </c>
      <c r="Q8" s="0" t="n">
        <v>17500.005</v>
      </c>
      <c r="R8" s="0" t="n">
        <v>8419.056</v>
      </c>
      <c r="S8" s="0" t="n">
        <v>2440.779</v>
      </c>
      <c r="T8" s="0" t="n">
        <v>1148.6</v>
      </c>
      <c r="U8" s="0" t="n">
        <v>48.922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25737.192</v>
      </c>
      <c r="C9" s="0" t="n">
        <v>18530.262</v>
      </c>
      <c r="D9" s="0" t="n">
        <v>7206.93</v>
      </c>
      <c r="E9" s="0" t="n">
        <v>28</v>
      </c>
      <c r="I9" s="0" t="n">
        <v>2692.15</v>
      </c>
      <c r="J9" s="0" t="n">
        <v>10.5</v>
      </c>
      <c r="K9" s="0" t="n">
        <v>2.324</v>
      </c>
      <c r="L9" s="0" t="n">
        <v>4912.275</v>
      </c>
      <c r="M9" s="0" t="n">
        <v>2313.027</v>
      </c>
      <c r="N9" s="0" t="n">
        <v>2599.248</v>
      </c>
      <c r="O9" s="0" t="n">
        <v>23502.449</v>
      </c>
      <c r="P9" s="0" t="n">
        <v>42299.06</v>
      </c>
      <c r="Q9" s="0" t="n">
        <v>17886.584</v>
      </c>
      <c r="R9" s="0" t="n">
        <v>8952.783</v>
      </c>
      <c r="S9" s="0" t="n">
        <v>3751.454</v>
      </c>
      <c r="T9" s="0" t="n">
        <v>1158.5</v>
      </c>
      <c r="U9" s="0" t="n">
        <v>51.617</v>
      </c>
      <c r="AA9" s="0" t="s">
        <v>18</v>
      </c>
      <c r="AB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72</v>
      </c>
      <c r="B1" s="2" t="s">
        <v>73</v>
      </c>
    </row>
    <row r="2" customFormat="false" ht="15" hidden="false" customHeight="false" outlineLevel="0" collapsed="false">
      <c r="A2" s="0" t="s">
        <v>74</v>
      </c>
      <c r="B2" s="3" t="n">
        <v>23.1</v>
      </c>
    </row>
    <row r="3" customFormat="false" ht="15" hidden="false" customHeight="false" outlineLevel="0" collapsed="false">
      <c r="A3" s="0" t="s">
        <v>75</v>
      </c>
      <c r="B3" s="3" t="n">
        <v>1186.4</v>
      </c>
    </row>
    <row r="4" customFormat="false" ht="15" hidden="false" customHeight="false" outlineLevel="0" collapsed="false">
      <c r="A4" s="0" t="s">
        <v>76</v>
      </c>
      <c r="B4" s="3" t="n">
        <v>766</v>
      </c>
    </row>
    <row r="5" customFormat="false" ht="15" hidden="false" customHeight="false" outlineLevel="0" collapsed="false">
      <c r="A5" s="0" t="s">
        <v>77</v>
      </c>
      <c r="B5" s="3" t="n">
        <v>125.4</v>
      </c>
    </row>
    <row r="6" customFormat="false" ht="15" hidden="false" customHeight="false" outlineLevel="0" collapsed="false">
      <c r="A6" s="0" t="s">
        <v>78</v>
      </c>
      <c r="B6" s="3" t="n">
        <v>15</v>
      </c>
    </row>
    <row r="7" customFormat="false" ht="15" hidden="false" customHeight="false" outlineLevel="0" collapsed="false">
      <c r="A7" s="0" t="s">
        <v>79</v>
      </c>
      <c r="B7" s="3" t="n">
        <v>25737.192</v>
      </c>
    </row>
    <row r="8" customFormat="false" ht="15" hidden="false" customHeight="false" outlineLevel="0" collapsed="false">
      <c r="A8" s="0" t="s">
        <v>80</v>
      </c>
      <c r="B8" s="3" t="s">
        <v>71</v>
      </c>
    </row>
    <row r="9" customFormat="false" ht="15" hidden="false" customHeight="false" outlineLevel="0" collapsed="false">
      <c r="A9" s="0" t="s">
        <v>81</v>
      </c>
      <c r="B9" s="3" t="s">
        <v>82</v>
      </c>
    </row>
    <row r="10" customFormat="false" ht="15" hidden="false" customHeight="false" outlineLevel="0" collapsed="false">
      <c r="A10" s="0" t="s">
        <v>83</v>
      </c>
      <c r="B10" s="3" t="n">
        <v>1.1721</v>
      </c>
    </row>
    <row r="12" customFormat="false" ht="15" hidden="false" customHeight="false" outlineLevel="0" collapsed="false">
      <c r="A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  <c r="J12" s="2" t="s">
        <v>92</v>
      </c>
      <c r="K12" s="2" t="s">
        <v>93</v>
      </c>
      <c r="L12" s="2" t="s">
        <v>94</v>
      </c>
    </row>
    <row r="13" customFormat="false" ht="15" hidden="false" customHeight="false" outlineLevel="0" collapsed="false">
      <c r="A13" s="0" t="s">
        <v>95</v>
      </c>
      <c r="C13" s="3" t="n">
        <v>4</v>
      </c>
      <c r="D13" s="3" t="n">
        <v>0</v>
      </c>
      <c r="E13" s="3" t="n">
        <v>2</v>
      </c>
      <c r="F13" s="3" t="n">
        <v>3</v>
      </c>
      <c r="G13" s="3" t="n">
        <v>3</v>
      </c>
      <c r="H13" s="3" t="n">
        <v>3</v>
      </c>
      <c r="I13" s="3" t="n">
        <v>2.5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96</v>
      </c>
      <c r="C14" s="3" t="n">
        <v>18.6</v>
      </c>
      <c r="D14" s="3" t="n">
        <v>17.5</v>
      </c>
      <c r="E14" s="3" t="n">
        <v>17</v>
      </c>
      <c r="F14" s="3" t="n">
        <v>17</v>
      </c>
      <c r="G14" s="3" t="n">
        <v>17</v>
      </c>
      <c r="H14" s="3" t="n">
        <v>17</v>
      </c>
      <c r="I14" s="3" t="n">
        <v>17</v>
      </c>
      <c r="J14" s="3" t="n">
        <v>17</v>
      </c>
      <c r="K14" s="3" t="n">
        <v>17</v>
      </c>
      <c r="L14" s="3" t="n">
        <v>17</v>
      </c>
    </row>
    <row r="15" customFormat="false" ht="15" hidden="false" customHeight="false" outlineLevel="0" collapsed="false">
      <c r="A15" s="0" t="s">
        <v>97</v>
      </c>
      <c r="C15" s="3" t="n">
        <v>0.2</v>
      </c>
      <c r="D15" s="3" t="n">
        <v>0.2</v>
      </c>
      <c r="E15" s="3" t="n">
        <v>0.2</v>
      </c>
      <c r="F15" s="3" t="n">
        <v>0.2</v>
      </c>
      <c r="G15" s="3" t="n">
        <v>0.2</v>
      </c>
      <c r="H15" s="3" t="n">
        <v>0.2</v>
      </c>
      <c r="I15" s="3" t="n">
        <v>0.2</v>
      </c>
      <c r="J15" s="3" t="n">
        <v>0.2</v>
      </c>
      <c r="K15" s="3" t="n">
        <v>0.2</v>
      </c>
      <c r="L15" s="3" t="n">
        <v>0.2</v>
      </c>
    </row>
    <row r="16" customFormat="false" ht="15" hidden="false" customHeight="false" outlineLevel="0" collapsed="false">
      <c r="A16" s="0" t="s">
        <v>98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99</v>
      </c>
      <c r="C17" s="3" t="n">
        <v>6.8</v>
      </c>
      <c r="D17" s="3" t="n">
        <v>7.2</v>
      </c>
      <c r="E17" s="3" t="n">
        <v>7.4</v>
      </c>
      <c r="F17" s="3" t="n">
        <v>7.4</v>
      </c>
      <c r="G17" s="3" t="n">
        <v>7.4</v>
      </c>
      <c r="H17" s="3" t="n">
        <v>7.4</v>
      </c>
      <c r="I17" s="3" t="n">
        <v>7.4</v>
      </c>
      <c r="J17" s="3" t="n">
        <v>7.4</v>
      </c>
      <c r="K17" s="3" t="n">
        <v>7.4</v>
      </c>
      <c r="L17" s="3" t="n">
        <v>7.4</v>
      </c>
    </row>
    <row r="18" customFormat="false" ht="15" hidden="false" customHeight="false" outlineLevel="0" collapsed="false">
      <c r="A18" s="0" t="s">
        <v>100</v>
      </c>
      <c r="C18" s="3" t="n">
        <v>11</v>
      </c>
      <c r="D18" s="3" t="n">
        <v>10</v>
      </c>
      <c r="E18" s="3" t="n">
        <v>9</v>
      </c>
      <c r="F18" s="3" t="n">
        <v>8.5</v>
      </c>
      <c r="G18" s="3" t="n">
        <v>8</v>
      </c>
      <c r="H18" s="3" t="n">
        <v>8</v>
      </c>
      <c r="I18" s="3" t="n">
        <v>8</v>
      </c>
      <c r="J18" s="3" t="n">
        <v>8</v>
      </c>
      <c r="K18" s="3" t="n">
        <v>8</v>
      </c>
      <c r="L18" s="3" t="n">
        <v>8</v>
      </c>
    </row>
    <row r="19" customFormat="false" ht="15" hidden="false" customHeight="false" outlineLevel="0" collapsed="false">
      <c r="A19" s="0" t="s">
        <v>101</v>
      </c>
      <c r="C19" s="3" t="n">
        <v>17</v>
      </c>
      <c r="D19" s="3" t="n">
        <v>17.5</v>
      </c>
      <c r="E19" s="3" t="n">
        <v>18</v>
      </c>
      <c r="F19" s="3" t="n">
        <v>18.5</v>
      </c>
      <c r="G19" s="3" t="n">
        <v>19</v>
      </c>
      <c r="H19" s="3" t="n">
        <v>19</v>
      </c>
      <c r="I19" s="3" t="n">
        <v>19</v>
      </c>
      <c r="J19" s="3" t="n">
        <v>19</v>
      </c>
      <c r="K19" s="3" t="n">
        <v>19</v>
      </c>
      <c r="L19" s="3" t="n">
        <v>19</v>
      </c>
    </row>
    <row r="20" customFormat="false" ht="15" hidden="false" customHeight="false" outlineLevel="0" collapsed="false">
      <c r="A20" s="0" t="s">
        <v>102</v>
      </c>
      <c r="B20" s="3" t="n">
        <v>8.5</v>
      </c>
    </row>
    <row r="21" customFormat="false" ht="15" hidden="false" customHeight="false" outlineLevel="0" collapsed="false">
      <c r="A21" s="0" t="s">
        <v>103</v>
      </c>
      <c r="B21" s="3" t="n">
        <v>1.5</v>
      </c>
    </row>
    <row r="22" customFormat="false" ht="15" hidden="false" customHeight="false" outlineLevel="0" collapsed="false">
      <c r="A22" s="0" t="s">
        <v>104</v>
      </c>
      <c r="B22" s="3" t="n">
        <v>10</v>
      </c>
    </row>
    <row r="23" customFormat="false" ht="15" hidden="false" customHeight="false" outlineLevel="0" collapsed="false">
      <c r="A23" s="0" t="s">
        <v>105</v>
      </c>
      <c r="B23" s="3" t="n">
        <v>-20</v>
      </c>
    </row>
    <row r="24" customFormat="false" ht="15" hidden="false" customHeight="false" outlineLevel="0" collapsed="false">
      <c r="A24" s="0" t="s">
        <v>106</v>
      </c>
      <c r="B24" s="3" t="n">
        <v>0.25</v>
      </c>
    </row>
    <row r="26" customFormat="false" ht="15" hidden="false" customHeight="false" outlineLevel="0" collapsed="false">
      <c r="A26" s="2" t="s">
        <v>107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90</v>
      </c>
      <c r="I26" s="2" t="s">
        <v>91</v>
      </c>
      <c r="J26" s="2" t="s">
        <v>92</v>
      </c>
      <c r="K26" s="2" t="s">
        <v>93</v>
      </c>
      <c r="L26" s="2" t="s">
        <v>94</v>
      </c>
    </row>
    <row r="27" customFormat="false" ht="15" hidden="false" customHeight="false" outlineLevel="0" collapsed="false">
      <c r="A27" s="0" t="s">
        <v>95</v>
      </c>
      <c r="C27" s="3" t="n">
        <v>8</v>
      </c>
      <c r="D27" s="3" t="n">
        <v>8</v>
      </c>
      <c r="E27" s="3" t="n">
        <v>7</v>
      </c>
      <c r="F27" s="3" t="n">
        <v>6</v>
      </c>
      <c r="G27" s="3" t="n">
        <v>5</v>
      </c>
      <c r="H27" s="3" t="n">
        <v>4.5</v>
      </c>
      <c r="I27" s="3" t="n">
        <v>4</v>
      </c>
      <c r="J27" s="3" t="n">
        <v>3.5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96</v>
      </c>
      <c r="C28" s="3" t="n">
        <v>19.3</v>
      </c>
      <c r="D28" s="3" t="n">
        <v>19.3</v>
      </c>
      <c r="E28" s="3" t="n">
        <v>19.4</v>
      </c>
      <c r="F28" s="3" t="n">
        <v>19.5</v>
      </c>
      <c r="G28" s="3" t="n">
        <v>19.5</v>
      </c>
      <c r="H28" s="3" t="n">
        <v>19.5</v>
      </c>
      <c r="I28" s="3" t="n">
        <v>19.5</v>
      </c>
      <c r="J28" s="3" t="n">
        <v>19.5</v>
      </c>
      <c r="K28" s="3" t="n">
        <v>19.5</v>
      </c>
      <c r="L28" s="3" t="n">
        <v>19.5</v>
      </c>
    </row>
    <row r="29" customFormat="false" ht="15" hidden="false" customHeight="false" outlineLevel="0" collapsed="false">
      <c r="A29" s="0" t="s">
        <v>97</v>
      </c>
      <c r="C29" s="3" t="n">
        <v>0.2</v>
      </c>
      <c r="D29" s="3" t="n">
        <v>0.2</v>
      </c>
      <c r="E29" s="3" t="n">
        <v>0.2</v>
      </c>
      <c r="F29" s="3" t="n">
        <v>0.2</v>
      </c>
      <c r="G29" s="3" t="n">
        <v>0.2</v>
      </c>
      <c r="H29" s="3" t="n">
        <v>0.2</v>
      </c>
      <c r="I29" s="3" t="n">
        <v>0.2</v>
      </c>
      <c r="J29" s="3" t="n">
        <v>0.2</v>
      </c>
      <c r="K29" s="3" t="n">
        <v>0.2</v>
      </c>
      <c r="L29" s="3" t="n">
        <v>0.2</v>
      </c>
    </row>
    <row r="30" customFormat="false" ht="15" hidden="false" customHeight="false" outlineLevel="0" collapsed="false">
      <c r="A30" s="0" t="s">
        <v>98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99</v>
      </c>
      <c r="C31" s="3" t="n">
        <v>6.7</v>
      </c>
      <c r="D31" s="3" t="n">
        <v>6.9</v>
      </c>
      <c r="E31" s="3" t="n">
        <v>7</v>
      </c>
      <c r="F31" s="3" t="n">
        <v>7.1</v>
      </c>
      <c r="G31" s="3" t="n">
        <v>7.2</v>
      </c>
      <c r="H31" s="3" t="n">
        <v>7.2</v>
      </c>
      <c r="I31" s="3" t="n">
        <v>7.2</v>
      </c>
      <c r="J31" s="3" t="n">
        <v>7.2</v>
      </c>
      <c r="K31" s="3" t="n">
        <v>7.2</v>
      </c>
      <c r="L31" s="3" t="n">
        <v>7.2</v>
      </c>
    </row>
    <row r="32" customFormat="false" ht="15" hidden="false" customHeight="false" outlineLevel="0" collapsed="false">
      <c r="A32" s="0" t="s">
        <v>100</v>
      </c>
      <c r="C32" s="3" t="n">
        <v>11</v>
      </c>
      <c r="D32" s="3" t="n">
        <v>10.5</v>
      </c>
      <c r="E32" s="3" t="n">
        <v>10</v>
      </c>
      <c r="F32" s="3" t="n">
        <v>9.5</v>
      </c>
      <c r="G32" s="3" t="n">
        <v>9</v>
      </c>
      <c r="H32" s="3" t="n">
        <v>8.5</v>
      </c>
      <c r="I32" s="3" t="n">
        <v>8</v>
      </c>
      <c r="J32" s="3" t="n">
        <v>8</v>
      </c>
      <c r="K32" s="3" t="n">
        <v>8</v>
      </c>
      <c r="L32" s="3" t="n">
        <v>8</v>
      </c>
    </row>
    <row r="33" customFormat="false" ht="15" hidden="false" customHeight="false" outlineLevel="0" collapsed="false">
      <c r="A33" s="0" t="s">
        <v>101</v>
      </c>
      <c r="C33" s="3" t="n">
        <v>17</v>
      </c>
      <c r="D33" s="3" t="n">
        <v>17</v>
      </c>
      <c r="E33" s="3" t="n">
        <v>17.5</v>
      </c>
      <c r="F33" s="3" t="n">
        <v>18</v>
      </c>
      <c r="G33" s="3" t="n">
        <v>18.5</v>
      </c>
      <c r="H33" s="3" t="n">
        <v>19</v>
      </c>
      <c r="I33" s="3" t="n">
        <v>19</v>
      </c>
      <c r="J33" s="3" t="n">
        <v>19</v>
      </c>
      <c r="K33" s="3" t="n">
        <v>19</v>
      </c>
      <c r="L33" s="3" t="n">
        <v>19</v>
      </c>
    </row>
    <row r="34" customFormat="false" ht="15" hidden="false" customHeight="false" outlineLevel="0" collapsed="false">
      <c r="A34" s="0" t="s">
        <v>102</v>
      </c>
      <c r="B34" s="3" t="n">
        <v>8.5</v>
      </c>
    </row>
    <row r="35" customFormat="false" ht="15" hidden="false" customHeight="false" outlineLevel="0" collapsed="false">
      <c r="A35" s="0" t="s">
        <v>103</v>
      </c>
      <c r="B35" s="3" t="n">
        <v>2.5</v>
      </c>
    </row>
    <row r="36" customFormat="false" ht="15" hidden="false" customHeight="false" outlineLevel="0" collapsed="false">
      <c r="A36" s="0" t="s">
        <v>104</v>
      </c>
      <c r="B36" s="3" t="n">
        <v>12</v>
      </c>
    </row>
    <row r="37" customFormat="false" ht="15" hidden="false" customHeight="false" outlineLevel="0" collapsed="false">
      <c r="A37" s="0" t="s">
        <v>105</v>
      </c>
      <c r="B37" s="3" t="n">
        <v>-20</v>
      </c>
    </row>
    <row r="38" customFormat="false" ht="15" hidden="false" customHeight="false" outlineLevel="0" collapsed="false">
      <c r="A38" s="0" t="s">
        <v>106</v>
      </c>
      <c r="B38" s="3" t="n">
        <v>0.5</v>
      </c>
    </row>
    <row r="40" customFormat="false" ht="15" hidden="false" customHeight="false" outlineLevel="0" collapsed="false">
      <c r="A40" s="2" t="s">
        <v>108</v>
      </c>
      <c r="C40" s="2" t="s">
        <v>85</v>
      </c>
      <c r="D40" s="2" t="s">
        <v>86</v>
      </c>
      <c r="E40" s="2" t="s">
        <v>87</v>
      </c>
      <c r="F40" s="2" t="s">
        <v>88</v>
      </c>
      <c r="G40" s="2" t="s">
        <v>89</v>
      </c>
      <c r="H40" s="2" t="s">
        <v>90</v>
      </c>
      <c r="I40" s="2" t="s">
        <v>91</v>
      </c>
      <c r="J40" s="2" t="s">
        <v>92</v>
      </c>
      <c r="K40" s="2" t="s">
        <v>93</v>
      </c>
      <c r="L40" s="2" t="s">
        <v>94</v>
      </c>
    </row>
    <row r="41" customFormat="false" ht="15" hidden="false" customHeight="false" outlineLevel="0" collapsed="false">
      <c r="A41" s="0" t="s">
        <v>95</v>
      </c>
      <c r="C41" s="3" t="n">
        <v>10</v>
      </c>
      <c r="D41" s="3" t="n">
        <v>11</v>
      </c>
      <c r="E41" s="3" t="n">
        <v>10</v>
      </c>
      <c r="F41" s="3" t="n">
        <v>9</v>
      </c>
      <c r="G41" s="3" t="n">
        <v>8</v>
      </c>
      <c r="H41" s="3" t="n">
        <v>7</v>
      </c>
      <c r="I41" s="3" t="n">
        <v>6</v>
      </c>
      <c r="J41" s="3" t="n">
        <v>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96</v>
      </c>
      <c r="C42" s="3" t="n">
        <v>19.6</v>
      </c>
      <c r="D42" s="3" t="n">
        <v>19.9</v>
      </c>
      <c r="E42" s="3" t="n">
        <v>20.2</v>
      </c>
      <c r="F42" s="3" t="n">
        <v>20.5</v>
      </c>
      <c r="G42" s="3" t="n">
        <v>20.8</v>
      </c>
      <c r="H42" s="3" t="n">
        <v>21</v>
      </c>
      <c r="I42" s="3" t="n">
        <v>21</v>
      </c>
      <c r="J42" s="3" t="n">
        <v>21</v>
      </c>
      <c r="K42" s="3" t="n">
        <v>21</v>
      </c>
      <c r="L42" s="3" t="n">
        <v>21</v>
      </c>
    </row>
    <row r="43" customFormat="false" ht="15" hidden="false" customHeight="false" outlineLevel="0" collapsed="false">
      <c r="A43" s="0" t="s">
        <v>97</v>
      </c>
      <c r="C43" s="3" t="n">
        <v>0.2</v>
      </c>
      <c r="D43" s="3" t="n">
        <v>0.2</v>
      </c>
      <c r="E43" s="3" t="n">
        <v>0.2</v>
      </c>
      <c r="F43" s="3" t="n">
        <v>0.2</v>
      </c>
      <c r="G43" s="3" t="n">
        <v>0.2</v>
      </c>
      <c r="H43" s="3" t="n">
        <v>0.2</v>
      </c>
      <c r="I43" s="3" t="n">
        <v>0.2</v>
      </c>
      <c r="J43" s="3" t="n">
        <v>0.2</v>
      </c>
      <c r="K43" s="3" t="n">
        <v>0.2</v>
      </c>
      <c r="L43" s="3" t="n">
        <v>0.2</v>
      </c>
    </row>
    <row r="44" customFormat="false" ht="15" hidden="false" customHeight="false" outlineLevel="0" collapsed="false">
      <c r="A44" s="0" t="s">
        <v>98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99</v>
      </c>
      <c r="C45" s="3" t="n">
        <v>6.7</v>
      </c>
      <c r="D45" s="3" t="n">
        <v>6.8</v>
      </c>
      <c r="E45" s="3" t="n">
        <v>6.9</v>
      </c>
      <c r="F45" s="3" t="n">
        <v>7</v>
      </c>
      <c r="G45" s="3" t="n">
        <v>7</v>
      </c>
      <c r="H45" s="3" t="n">
        <v>7</v>
      </c>
      <c r="I45" s="3" t="n">
        <v>7</v>
      </c>
      <c r="J45" s="3" t="n">
        <v>7</v>
      </c>
      <c r="K45" s="3" t="n">
        <v>7</v>
      </c>
      <c r="L45" s="3" t="n">
        <v>7</v>
      </c>
    </row>
    <row r="46" customFormat="false" ht="15" hidden="false" customHeight="false" outlineLevel="0" collapsed="false">
      <c r="A46" s="0" t="s">
        <v>100</v>
      </c>
      <c r="C46" s="3" t="n">
        <v>11.5</v>
      </c>
      <c r="D46" s="3" t="n">
        <v>11</v>
      </c>
      <c r="E46" s="3" t="n">
        <v>10.5</v>
      </c>
      <c r="F46" s="3" t="n">
        <v>10</v>
      </c>
      <c r="G46" s="3" t="n">
        <v>9.5</v>
      </c>
      <c r="H46" s="3" t="n">
        <v>9</v>
      </c>
      <c r="I46" s="3" t="n">
        <v>8.5</v>
      </c>
      <c r="J46" s="3" t="n">
        <v>8</v>
      </c>
      <c r="K46" s="3" t="n">
        <v>8</v>
      </c>
      <c r="L46" s="3" t="n">
        <v>8</v>
      </c>
    </row>
    <row r="47" customFormat="false" ht="15" hidden="false" customHeight="false" outlineLevel="0" collapsed="false">
      <c r="A47" s="0" t="s">
        <v>101</v>
      </c>
      <c r="C47" s="3" t="n">
        <v>17</v>
      </c>
      <c r="D47" s="3" t="n">
        <v>17</v>
      </c>
      <c r="E47" s="3" t="n">
        <v>17.5</v>
      </c>
      <c r="F47" s="3" t="n">
        <v>18</v>
      </c>
      <c r="G47" s="3" t="n">
        <v>18.5</v>
      </c>
      <c r="H47" s="3" t="n">
        <v>19</v>
      </c>
      <c r="I47" s="3" t="n">
        <v>19</v>
      </c>
      <c r="J47" s="3" t="n">
        <v>19</v>
      </c>
      <c r="K47" s="3" t="n">
        <v>19</v>
      </c>
      <c r="L47" s="3" t="n">
        <v>19</v>
      </c>
    </row>
    <row r="48" customFormat="false" ht="15" hidden="false" customHeight="false" outlineLevel="0" collapsed="false">
      <c r="A48" s="0" t="s">
        <v>102</v>
      </c>
      <c r="B48" s="3" t="n">
        <v>8.5</v>
      </c>
    </row>
    <row r="49" customFormat="false" ht="15" hidden="false" customHeight="false" outlineLevel="0" collapsed="false">
      <c r="A49" s="0" t="s">
        <v>103</v>
      </c>
      <c r="B49" s="3" t="n">
        <v>3</v>
      </c>
    </row>
    <row r="50" customFormat="false" ht="15" hidden="false" customHeight="false" outlineLevel="0" collapsed="false">
      <c r="A50" s="0" t="s">
        <v>104</v>
      </c>
      <c r="B50" s="3" t="n">
        <v>13</v>
      </c>
    </row>
    <row r="51" customFormat="false" ht="15" hidden="false" customHeight="false" outlineLevel="0" collapsed="false">
      <c r="A51" s="0" t="s">
        <v>105</v>
      </c>
      <c r="B51" s="3" t="n">
        <v>-20</v>
      </c>
    </row>
    <row r="52" customFormat="false" ht="15" hidden="false" customHeight="false" outlineLevel="0" collapsed="false">
      <c r="A52" s="0" t="s">
        <v>106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109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Assumptions!C13</f>
        <v>4</v>
      </c>
      <c r="D5" s="4" t="n">
        <f aca="false">Assumptions!D13</f>
        <v>0</v>
      </c>
      <c r="E5" s="4" t="n">
        <f aca="false">Assumptions!E13</f>
        <v>2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2.5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25737.192</v>
      </c>
      <c r="C6" s="0" t="n">
        <f aca="false">B6*(1+C5/100)</f>
        <v>26766.67968</v>
      </c>
      <c r="D6" s="0" t="n">
        <f aca="false">C6*(1+D5/100)</f>
        <v>26766.67968</v>
      </c>
      <c r="E6" s="0" t="n">
        <f aca="false">D6*(1+E5/100)</f>
        <v>27302.0132736</v>
      </c>
      <c r="F6" s="0" t="n">
        <f aca="false">E6*(1+F5/100)</f>
        <v>28121.073671808</v>
      </c>
      <c r="G6" s="0" t="n">
        <f aca="false">F6*(1+G5/100)</f>
        <v>28964.7058819622</v>
      </c>
      <c r="H6" s="0" t="n">
        <f aca="false">G6*(1+H5/100)</f>
        <v>29833.6470584211</v>
      </c>
      <c r="I6" s="0" t="n">
        <f aca="false">H6*(1+I5/100)</f>
        <v>30579.4882348816</v>
      </c>
      <c r="J6" s="0" t="n">
        <f aca="false">I6*(1+J5/100)</f>
        <v>31191.0779995793</v>
      </c>
      <c r="K6" s="0" t="n">
        <f aca="false">J6*(1+K5/100)</f>
        <v>31814.8995595709</v>
      </c>
      <c r="L6" s="0" t="n">
        <f aca="false">K6*(1+L5/100)</f>
        <v>32451.1975507623</v>
      </c>
    </row>
    <row r="7" customFormat="false" ht="15" hidden="false" customHeight="false" outlineLevel="0" collapsed="false">
      <c r="A7" s="0" t="s">
        <v>96</v>
      </c>
      <c r="C7" s="4" t="n">
        <f aca="false">Assumptions!C14</f>
        <v>18.6</v>
      </c>
      <c r="D7" s="4" t="n">
        <f aca="false">Assumptions!D14</f>
        <v>17.5</v>
      </c>
      <c r="E7" s="4" t="n">
        <f aca="false">Assumptions!E14</f>
        <v>17</v>
      </c>
      <c r="F7" s="4" t="n">
        <f aca="false">Assumptions!F14</f>
        <v>17</v>
      </c>
      <c r="G7" s="4" t="n">
        <f aca="false">Assumptions!G14</f>
        <v>17</v>
      </c>
      <c r="H7" s="4" t="n">
        <f aca="false">Assumptions!H14</f>
        <v>17</v>
      </c>
      <c r="I7" s="4" t="n">
        <f aca="false">Assumptions!I14</f>
        <v>17</v>
      </c>
      <c r="J7" s="4" t="n">
        <f aca="false">Assumptions!J14</f>
        <v>17</v>
      </c>
      <c r="K7" s="4" t="n">
        <f aca="false">Assumptions!K14</f>
        <v>17</v>
      </c>
      <c r="L7" s="4" t="n">
        <f aca="false">Assumptions!L14</f>
        <v>17</v>
      </c>
    </row>
    <row r="8" customFormat="false" ht="15" hidden="false" customHeight="false" outlineLevel="0" collapsed="false">
      <c r="A8" s="0" t="s">
        <v>44</v>
      </c>
      <c r="C8" s="0" t="n">
        <f aca="false">C6*C7/100</f>
        <v>4978.60242048</v>
      </c>
      <c r="D8" s="0" t="n">
        <f aca="false">D6*D7/100</f>
        <v>4684.168944</v>
      </c>
      <c r="E8" s="0" t="n">
        <f aca="false">E6*E7/100</f>
        <v>4641.342256512</v>
      </c>
      <c r="F8" s="0" t="n">
        <f aca="false">F6*F7/100</f>
        <v>4780.58252420736</v>
      </c>
      <c r="G8" s="0" t="n">
        <f aca="false">G6*G7/100</f>
        <v>4923.99999993358</v>
      </c>
      <c r="H8" s="0" t="n">
        <f aca="false">H6*H7/100</f>
        <v>5071.71999993159</v>
      </c>
      <c r="I8" s="0" t="n">
        <f aca="false">I6*I7/100</f>
        <v>5198.51299992988</v>
      </c>
      <c r="J8" s="0" t="n">
        <f aca="false">J6*J7/100</f>
        <v>5302.48325992848</v>
      </c>
      <c r="K8" s="0" t="n">
        <f aca="false">K6*K7/100</f>
        <v>5408.53292512705</v>
      </c>
      <c r="L8" s="0" t="n">
        <f aca="false">L6*L7/100</f>
        <v>5516.70358362959</v>
      </c>
    </row>
    <row r="9" customFormat="false" ht="15" hidden="false" customHeight="false" outlineLevel="0" collapsed="false">
      <c r="A9" s="0" t="s">
        <v>97</v>
      </c>
      <c r="C9" s="4" t="n">
        <f aca="false">Assumptions!C15</f>
        <v>0.2</v>
      </c>
      <c r="D9" s="4" t="n">
        <f aca="false">Assumptions!D15</f>
        <v>0.2</v>
      </c>
      <c r="E9" s="4" t="n">
        <f aca="false">Assumptions!E15</f>
        <v>0.2</v>
      </c>
      <c r="F9" s="4" t="n">
        <f aca="false">Assumptions!F15</f>
        <v>0.2</v>
      </c>
      <c r="G9" s="4" t="n">
        <f aca="false">Assumptions!G15</f>
        <v>0.2</v>
      </c>
      <c r="H9" s="4" t="n">
        <f aca="false">Assumptions!H15</f>
        <v>0.2</v>
      </c>
      <c r="I9" s="4" t="n">
        <f aca="false">Assumptions!I15</f>
        <v>0.2</v>
      </c>
      <c r="J9" s="4" t="n">
        <f aca="false">Assumptions!J15</f>
        <v>0.2</v>
      </c>
      <c r="K9" s="4" t="n">
        <f aca="false">Assumptions!K15</f>
        <v>0.2</v>
      </c>
      <c r="L9" s="4" t="n">
        <f aca="false">Assumptions!L15</f>
        <v>0.2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-53.53335936</v>
      </c>
      <c r="D10" s="0" t="n">
        <f aca="false">-D6*D9/100</f>
        <v>-53.53335936</v>
      </c>
      <c r="E10" s="0" t="n">
        <f aca="false">-E6*E9/100</f>
        <v>-54.6040265472</v>
      </c>
      <c r="F10" s="0" t="n">
        <f aca="false">-F6*F9/100</f>
        <v>-56.242147343616</v>
      </c>
      <c r="G10" s="0" t="n">
        <f aca="false">-G6*G9/100</f>
        <v>-57.9294117639245</v>
      </c>
      <c r="H10" s="0" t="n">
        <f aca="false">-H6*H9/100</f>
        <v>-59.6672941168422</v>
      </c>
      <c r="I10" s="0" t="n">
        <f aca="false">-I6*I9/100</f>
        <v>-61.1589764697633</v>
      </c>
      <c r="J10" s="0" t="n">
        <f aca="false">-J6*J9/100</f>
        <v>-62.3821559991585</v>
      </c>
      <c r="K10" s="0" t="n">
        <f aca="false">-K6*K9/100</f>
        <v>-63.6297991191417</v>
      </c>
      <c r="L10" s="0" t="n">
        <f aca="false">-L6*L9/100</f>
        <v>-64.9023951015246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4925.06906112</v>
      </c>
      <c r="D11" s="0" t="n">
        <f aca="false">D8+D10+D24</f>
        <v>4630.63558464</v>
      </c>
      <c r="E11" s="0" t="n">
        <f aca="false">E8+E10+E24</f>
        <v>4586.7382299648</v>
      </c>
      <c r="F11" s="0" t="n">
        <f aca="false">F8+F10+F24</f>
        <v>4724.34037686374</v>
      </c>
      <c r="G11" s="0" t="n">
        <f aca="false">G8+G10+G24</f>
        <v>4866.07058816966</v>
      </c>
      <c r="H11" s="0" t="n">
        <f aca="false">H8+H10+H24</f>
        <v>5012.05270581475</v>
      </c>
      <c r="I11" s="0" t="n">
        <f aca="false">I8+I10+I24</f>
        <v>5137.35402346012</v>
      </c>
      <c r="J11" s="0" t="n">
        <f aca="false">J8+J10+J24</f>
        <v>5240.10110392932</v>
      </c>
      <c r="K11" s="0" t="n">
        <f aca="false">K8+K10+K24</f>
        <v>5344.9031260079</v>
      </c>
      <c r="L11" s="0" t="n">
        <f aca="false">L8+L10+L24</f>
        <v>5451.80118852806</v>
      </c>
    </row>
    <row r="12" customFormat="false" ht="15" hidden="false" customHeight="false" outlineLevel="0" collapsed="false">
      <c r="A12" s="0" t="s">
        <v>114</v>
      </c>
      <c r="C12" s="4" t="n">
        <f aca="false">-C6*Assumptions!C17/100</f>
        <v>-1820.13421824</v>
      </c>
      <c r="D12" s="4" t="n">
        <f aca="false">-D6*Assumptions!D17/100</f>
        <v>-1927.20093696</v>
      </c>
      <c r="E12" s="4" t="n">
        <f aca="false">-E6*Assumptions!E17/100</f>
        <v>-2020.3489822464</v>
      </c>
      <c r="F12" s="4" t="n">
        <f aca="false">-F6*Assumptions!F17/100</f>
        <v>-2080.95945171379</v>
      </c>
      <c r="G12" s="4" t="n">
        <f aca="false">-G6*Assumptions!G17/100</f>
        <v>-2143.38823526521</v>
      </c>
      <c r="H12" s="4" t="n">
        <f aca="false">-H6*Assumptions!H17/100</f>
        <v>-2207.68988232316</v>
      </c>
      <c r="I12" s="4" t="n">
        <f aca="false">-I6*Assumptions!I17/100</f>
        <v>-2262.88212938124</v>
      </c>
      <c r="J12" s="4" t="n">
        <f aca="false">-J6*Assumptions!J17/100</f>
        <v>-2308.13977196887</v>
      </c>
      <c r="K12" s="4" t="n">
        <f aca="false">-K6*Assumptions!K17/100</f>
        <v>-2354.30256740824</v>
      </c>
      <c r="L12" s="4" t="n">
        <f aca="false">-L6*Assumptions!L17/100</f>
        <v>-2401.38861875641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3104.93484288</v>
      </c>
      <c r="D13" s="0" t="n">
        <f aca="false">D11+D12</f>
        <v>2703.43464768</v>
      </c>
      <c r="E13" s="0" t="n">
        <f aca="false">E11+E12</f>
        <v>2566.3892477184</v>
      </c>
      <c r="F13" s="0" t="n">
        <f aca="false">F11+F12</f>
        <v>2643.38092514995</v>
      </c>
      <c r="G13" s="0" t="n">
        <f aca="false">G11+G12</f>
        <v>2722.68235290445</v>
      </c>
      <c r="H13" s="0" t="n">
        <f aca="false">H11+H12</f>
        <v>2804.36282349158</v>
      </c>
      <c r="I13" s="0" t="n">
        <f aca="false">I11+I12</f>
        <v>2874.47189407887</v>
      </c>
      <c r="J13" s="0" t="n">
        <f aca="false">J11+J12</f>
        <v>2931.96133196045</v>
      </c>
      <c r="K13" s="0" t="n">
        <f aca="false">K11+K12</f>
        <v>2990.60055859966</v>
      </c>
      <c r="L13" s="0" t="n">
        <f aca="false">L11+L12</f>
        <v>3050.41256977165</v>
      </c>
    </row>
    <row r="14" customFormat="false" ht="15" hidden="false" customHeight="false" outlineLevel="0" collapsed="false">
      <c r="A14" s="0" t="s">
        <v>101</v>
      </c>
      <c r="C14" s="4" t="n">
        <f aca="false">Assumptions!C19</f>
        <v>17</v>
      </c>
      <c r="D14" s="4" t="n">
        <f aca="false">Assumptions!D19</f>
        <v>17.5</v>
      </c>
      <c r="E14" s="4" t="n">
        <f aca="false">Assumptions!E19</f>
        <v>18</v>
      </c>
      <c r="F14" s="4" t="n">
        <f aca="false">Assumptions!F19</f>
        <v>18.5</v>
      </c>
      <c r="G14" s="4" t="n">
        <f aca="false">Assumptions!G19</f>
        <v>19</v>
      </c>
      <c r="H14" s="4" t="n">
        <f aca="false">Assumptions!H19</f>
        <v>19</v>
      </c>
      <c r="I14" s="4" t="n">
        <f aca="false">Assumptions!I19</f>
        <v>19</v>
      </c>
      <c r="J14" s="4" t="n">
        <f aca="false">Assumptions!J19</f>
        <v>19</v>
      </c>
      <c r="K14" s="4" t="n">
        <f aca="false">Assumptions!K19</f>
        <v>19</v>
      </c>
      <c r="L14" s="4" t="n">
        <f aca="false">Assumptions!L19</f>
        <v>19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2577.0959195904</v>
      </c>
      <c r="D15" s="0" t="n">
        <f aca="false">D13-MAX(0,D13)*D14/100</f>
        <v>2230.333584336</v>
      </c>
      <c r="E15" s="0" t="n">
        <f aca="false">E13-MAX(0,E13)*E14/100</f>
        <v>2104.43918312909</v>
      </c>
      <c r="F15" s="0" t="n">
        <f aca="false">F13-MAX(0,F13)*F14/100</f>
        <v>2154.35545399721</v>
      </c>
      <c r="G15" s="0" t="n">
        <f aca="false">G13-MAX(0,G13)*G14/100</f>
        <v>2205.37270585261</v>
      </c>
      <c r="H15" s="0" t="n">
        <f aca="false">H13-MAX(0,H13)*H14/100</f>
        <v>2271.53388702818</v>
      </c>
      <c r="I15" s="0" t="n">
        <f aca="false">I13-MAX(0,I13)*I14/100</f>
        <v>2328.32223420389</v>
      </c>
      <c r="J15" s="0" t="n">
        <f aca="false">J13-MAX(0,J13)*J14/100</f>
        <v>2374.88867888797</v>
      </c>
      <c r="K15" s="0" t="n">
        <f aca="false">K13-MAX(0,K13)*K14/100</f>
        <v>2422.38645246572</v>
      </c>
      <c r="L15" s="0" t="n">
        <f aca="false">L13-MAX(0,L13)*L14/100</f>
        <v>2470.83418151504</v>
      </c>
    </row>
    <row r="16" customFormat="false" ht="15" hidden="false" customHeight="false" outlineLevel="0" collapsed="false">
      <c r="A16" s="0" t="s">
        <v>117</v>
      </c>
      <c r="C16" s="0" t="n">
        <f aca="false">-C12</f>
        <v>1820.13421824</v>
      </c>
      <c r="D16" s="0" t="n">
        <f aca="false">-D12</f>
        <v>1927.20093696</v>
      </c>
      <c r="E16" s="0" t="n">
        <f aca="false">-E12</f>
        <v>2020.3489822464</v>
      </c>
      <c r="F16" s="0" t="n">
        <f aca="false">-F12</f>
        <v>2080.95945171379</v>
      </c>
      <c r="G16" s="0" t="n">
        <f aca="false">-G12</f>
        <v>2143.38823526521</v>
      </c>
      <c r="H16" s="0" t="n">
        <f aca="false">-H12</f>
        <v>2207.68988232316</v>
      </c>
      <c r="I16" s="0" t="n">
        <f aca="false">-I12</f>
        <v>2262.88212938124</v>
      </c>
      <c r="J16" s="0" t="n">
        <f aca="false">-J12</f>
        <v>2308.13977196887</v>
      </c>
      <c r="K16" s="0" t="n">
        <f aca="false">-K12</f>
        <v>2354.30256740824</v>
      </c>
      <c r="L16" s="0" t="n">
        <f aca="false">-L12</f>
        <v>2401.38861875641</v>
      </c>
    </row>
    <row r="17" customFormat="false" ht="15" hidden="false" customHeight="false" outlineLevel="0" collapsed="false">
      <c r="A17" s="0" t="s">
        <v>118</v>
      </c>
      <c r="C17" s="4" t="n">
        <f aca="false">-C6*Assumptions!C18/100</f>
        <v>-2944.3347648</v>
      </c>
      <c r="D17" s="4" t="n">
        <f aca="false">-D6*Assumptions!D18/100</f>
        <v>-2676.667968</v>
      </c>
      <c r="E17" s="4" t="n">
        <f aca="false">-E6*Assumptions!E18/100</f>
        <v>-2457.181194624</v>
      </c>
      <c r="F17" s="4" t="n">
        <f aca="false">-F6*Assumptions!F18/100</f>
        <v>-2390.29126210368</v>
      </c>
      <c r="G17" s="4" t="n">
        <f aca="false">-G6*Assumptions!G18/100</f>
        <v>-2317.17647055698</v>
      </c>
      <c r="H17" s="4" t="n">
        <f aca="false">-H6*Assumptions!H18/100</f>
        <v>-2386.69176467369</v>
      </c>
      <c r="I17" s="4" t="n">
        <f aca="false">-I6*Assumptions!I18/100</f>
        <v>-2446.35905879053</v>
      </c>
      <c r="J17" s="4" t="n">
        <f aca="false">-J6*Assumptions!J18/100</f>
        <v>-2495.28623996634</v>
      </c>
      <c r="K17" s="4" t="n">
        <f aca="false">-K6*Assumptions!K18/100</f>
        <v>-2545.19196476567</v>
      </c>
      <c r="L17" s="4" t="n">
        <f aca="false">-L6*Assumptions!L18/100</f>
        <v>-2596.09580406098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(C6-B6)*Assumptions!$B$23/100</f>
        <v>-205.897536</v>
      </c>
      <c r="D18" s="4" t="n">
        <f aca="false">(D6-C6)*Assumptions!$B$23/100</f>
        <v>-0</v>
      </c>
      <c r="E18" s="4" t="n">
        <f aca="false">(E6-D6)*Assumptions!$B$23/100</f>
        <v>-107.06671872</v>
      </c>
      <c r="F18" s="4" t="n">
        <f aca="false">(F6-E6)*Assumptions!$B$23/100</f>
        <v>-163.8120796416</v>
      </c>
      <c r="G18" s="4" t="n">
        <f aca="false">(G6-F6)*Assumptions!$B$23/100</f>
        <v>-168.726442030848</v>
      </c>
      <c r="H18" s="4" t="n">
        <f aca="false">(H6-G6)*Assumptions!$B$23/100</f>
        <v>-173.788235291774</v>
      </c>
      <c r="I18" s="4" t="n">
        <f aca="false">(I6-H6)*Assumptions!$B$23/100</f>
        <v>-149.168235292105</v>
      </c>
      <c r="J18" s="4" t="n">
        <f aca="false">(J6-I6)*Assumptions!$B$23/100</f>
        <v>-122.317952939527</v>
      </c>
      <c r="K18" s="4" t="n">
        <f aca="false">(K6-J6)*Assumptions!$B$23/100</f>
        <v>-124.764311998317</v>
      </c>
      <c r="L18" s="4" t="n">
        <f aca="false">(L6-K6)*Assumptions!$B$23/100</f>
        <v>-127.259598238284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1246.9978370304</v>
      </c>
      <c r="D19" s="0" t="n">
        <f aca="false">D15+D16+D17+D18</f>
        <v>1480.866553296</v>
      </c>
      <c r="E19" s="0" t="n">
        <f aca="false">E15+E16+E17+E18</f>
        <v>1560.54025203149</v>
      </c>
      <c r="F19" s="0" t="n">
        <f aca="false">F15+F16+F17+F18</f>
        <v>1681.21156396572</v>
      </c>
      <c r="G19" s="0" t="n">
        <f aca="false">G15+G16+G17+G18</f>
        <v>1862.85802852998</v>
      </c>
      <c r="H19" s="0" t="n">
        <f aca="false">H15+H16+H17+H18</f>
        <v>1918.74376938588</v>
      </c>
      <c r="I19" s="0" t="n">
        <f aca="false">I15+I16+I17+I18</f>
        <v>1995.67706950249</v>
      </c>
      <c r="J19" s="0" t="n">
        <f aca="false">J15+J16+J17+J18</f>
        <v>2065.42425795096</v>
      </c>
      <c r="K19" s="0" t="n">
        <f aca="false">K15+K16+K17+K18</f>
        <v>2106.73274310998</v>
      </c>
      <c r="L19" s="0" t="n">
        <f aca="false">L15+L16+L17+L18</f>
        <v>2148.86739797218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1149.30676224</v>
      </c>
      <c r="D21" s="0" t="n">
        <f aca="false">D19*D20</f>
        <v>1257.92992273864</v>
      </c>
      <c r="E21" s="0" t="n">
        <f aca="false">E19*E20</f>
        <v>1221.75960124258</v>
      </c>
      <c r="F21" s="0" t="n">
        <f aca="false">F19*F20</f>
        <v>1213.11903097157</v>
      </c>
      <c r="G21" s="0" t="n">
        <f aca="false">G19*G20</f>
        <v>1238.88520610999</v>
      </c>
      <c r="H21" s="0" t="n">
        <f aca="false">H19*H20</f>
        <v>1176.0845735422</v>
      </c>
      <c r="I21" s="0" t="n">
        <f aca="false">I19*I20</f>
        <v>1127.41056419488</v>
      </c>
      <c r="J21" s="0" t="n">
        <f aca="false">J19*J20</f>
        <v>1075.40330768823</v>
      </c>
      <c r="K21" s="0" t="n">
        <f aca="false">K19*K20</f>
        <v>1010.97822473916</v>
      </c>
      <c r="L21" s="0" t="n">
        <f aca="false">L19*L20</f>
        <v>950.41270897138</v>
      </c>
    </row>
    <row r="23" customFormat="false" ht="15" hidden="false" customHeight="false" outlineLevel="0" collapsed="false">
      <c r="A23" s="0" t="s">
        <v>98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103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104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11421.2899024386</v>
      </c>
    </row>
    <row r="31" customFormat="false" ht="15" hidden="false" customHeight="false" outlineLevel="0" collapsed="false">
      <c r="A31" s="0" t="s">
        <v>126</v>
      </c>
      <c r="B31" s="0" t="n">
        <f aca="false">L19</f>
        <v>2148.86739797218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31158.5772705966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21488.6739797218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21488.6739797218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9504.1270897138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20925.4169921524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20284.8169921524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20.0403186079753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-0.132453739914491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379.5158140151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416.228049938312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20.826471155969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16156.2993254945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11.7126716612533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Assumptions!C27</f>
        <v>8</v>
      </c>
      <c r="D5" s="4" t="n">
        <f aca="false">Assumptions!D27</f>
        <v>8</v>
      </c>
      <c r="E5" s="4" t="n">
        <f aca="false">Assumptions!E27</f>
        <v>7</v>
      </c>
      <c r="F5" s="4" t="n">
        <f aca="false">Assumptions!F27</f>
        <v>6</v>
      </c>
      <c r="G5" s="4" t="n">
        <f aca="false">Assumptions!G27</f>
        <v>5</v>
      </c>
      <c r="H5" s="4" t="n">
        <f aca="false">Assumptions!H27</f>
        <v>4.5</v>
      </c>
      <c r="I5" s="4" t="n">
        <f aca="false">Assumptions!I27</f>
        <v>4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25737.192</v>
      </c>
      <c r="C6" s="0" t="n">
        <f aca="false">B6*(1+C5/100)</f>
        <v>27796.16736</v>
      </c>
      <c r="D6" s="0" t="n">
        <f aca="false">C6*(1+D5/100)</f>
        <v>30019.8607488</v>
      </c>
      <c r="E6" s="0" t="n">
        <f aca="false">D6*(1+E5/100)</f>
        <v>32121.251001216</v>
      </c>
      <c r="F6" s="0" t="n">
        <f aca="false">E6*(1+F5/100)</f>
        <v>34048.526061289</v>
      </c>
      <c r="G6" s="0" t="n">
        <f aca="false">F6*(1+G5/100)</f>
        <v>35750.9523643534</v>
      </c>
      <c r="H6" s="0" t="n">
        <f aca="false">G6*(1+H5/100)</f>
        <v>37359.7452207493</v>
      </c>
      <c r="I6" s="0" t="n">
        <f aca="false">H6*(1+I5/100)</f>
        <v>38854.1350295793</v>
      </c>
      <c r="J6" s="0" t="n">
        <f aca="false">I6*(1+J5/100)</f>
        <v>40214.0297556146</v>
      </c>
      <c r="K6" s="0" t="n">
        <f aca="false">J6*(1+K5/100)</f>
        <v>41420.450648283</v>
      </c>
      <c r="L6" s="0" t="n">
        <f aca="false">K6*(1+L5/100)</f>
        <v>42663.0641677315</v>
      </c>
    </row>
    <row r="7" customFormat="false" ht="15" hidden="false" customHeight="false" outlineLevel="0" collapsed="false">
      <c r="A7" s="0" t="s">
        <v>96</v>
      </c>
      <c r="C7" s="4" t="n">
        <f aca="false">Assumptions!C28</f>
        <v>19.3</v>
      </c>
      <c r="D7" s="4" t="n">
        <f aca="false">Assumptions!D28</f>
        <v>19.3</v>
      </c>
      <c r="E7" s="4" t="n">
        <f aca="false">Assumptions!E28</f>
        <v>19.4</v>
      </c>
      <c r="F7" s="4" t="n">
        <f aca="false">Assumptions!F28</f>
        <v>19.5</v>
      </c>
      <c r="G7" s="4" t="n">
        <f aca="false">Assumptions!G28</f>
        <v>19.5</v>
      </c>
      <c r="H7" s="4" t="n">
        <f aca="false">Assumptions!H28</f>
        <v>19.5</v>
      </c>
      <c r="I7" s="4" t="n">
        <f aca="false">Assumptions!I28</f>
        <v>19.5</v>
      </c>
      <c r="J7" s="4" t="n">
        <f aca="false">Assumptions!J28</f>
        <v>19.5</v>
      </c>
      <c r="K7" s="4" t="n">
        <f aca="false">Assumptions!K28</f>
        <v>19.5</v>
      </c>
      <c r="L7" s="4" t="n">
        <f aca="false">Assumptions!L28</f>
        <v>19.5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5364.66030048</v>
      </c>
      <c r="D8" s="0" t="n">
        <f aca="false">D6*D7/100</f>
        <v>5793.8331245184</v>
      </c>
      <c r="E8" s="0" t="n">
        <f aca="false">E6*E7/100</f>
        <v>6231.5226942359</v>
      </c>
      <c r="F8" s="0" t="n">
        <f aca="false">F6*F7/100</f>
        <v>6639.46258195135</v>
      </c>
      <c r="G8" s="0" t="n">
        <f aca="false">G6*G7/100</f>
        <v>6971.43571104891</v>
      </c>
      <c r="H8" s="0" t="n">
        <f aca="false">H6*H7/100</f>
        <v>7285.15031804612</v>
      </c>
      <c r="I8" s="0" t="n">
        <f aca="false">I6*I7/100</f>
        <v>7576.55633076796</v>
      </c>
      <c r="J8" s="0" t="n">
        <f aca="false">J6*J7/100</f>
        <v>7841.73580234484</v>
      </c>
      <c r="K8" s="0" t="n">
        <f aca="false">K6*K7/100</f>
        <v>8076.98787641518</v>
      </c>
      <c r="L8" s="0" t="n">
        <f aca="false">L6*L7/100</f>
        <v>8319.29751270764</v>
      </c>
    </row>
    <row r="9" customFormat="false" ht="15" hidden="false" customHeight="false" outlineLevel="0" collapsed="false">
      <c r="A9" s="0" t="s">
        <v>97</v>
      </c>
      <c r="C9" s="4" t="n">
        <f aca="false">Assumptions!C29</f>
        <v>0.2</v>
      </c>
      <c r="D9" s="4" t="n">
        <f aca="false">Assumptions!D29</f>
        <v>0.2</v>
      </c>
      <c r="E9" s="4" t="n">
        <f aca="false">Assumptions!E29</f>
        <v>0.2</v>
      </c>
      <c r="F9" s="4" t="n">
        <f aca="false">Assumptions!F29</f>
        <v>0.2</v>
      </c>
      <c r="G9" s="4" t="n">
        <f aca="false">Assumptions!G29</f>
        <v>0.2</v>
      </c>
      <c r="H9" s="4" t="n">
        <f aca="false">Assumptions!H29</f>
        <v>0.2</v>
      </c>
      <c r="I9" s="4" t="n">
        <f aca="false">Assumptions!I29</f>
        <v>0.2</v>
      </c>
      <c r="J9" s="4" t="n">
        <f aca="false">Assumptions!J29</f>
        <v>0.2</v>
      </c>
      <c r="K9" s="4" t="n">
        <f aca="false">Assumptions!K29</f>
        <v>0.2</v>
      </c>
      <c r="L9" s="4" t="n">
        <f aca="false">Assumptions!L29</f>
        <v>0.2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-55.59233472</v>
      </c>
      <c r="D10" s="0" t="n">
        <f aca="false">-D6*D9/100</f>
        <v>-60.0397214976</v>
      </c>
      <c r="E10" s="0" t="n">
        <f aca="false">-E6*E9/100</f>
        <v>-64.242502002432</v>
      </c>
      <c r="F10" s="0" t="n">
        <f aca="false">-F6*F9/100</f>
        <v>-68.0970521225779</v>
      </c>
      <c r="G10" s="0" t="n">
        <f aca="false">-G6*G9/100</f>
        <v>-71.5019047287068</v>
      </c>
      <c r="H10" s="0" t="n">
        <f aca="false">-H6*H9/100</f>
        <v>-74.7194904414986</v>
      </c>
      <c r="I10" s="0" t="n">
        <f aca="false">-I6*I9/100</f>
        <v>-77.7082700591586</v>
      </c>
      <c r="J10" s="0" t="n">
        <f aca="false">-J6*J9/100</f>
        <v>-80.4280595112291</v>
      </c>
      <c r="K10" s="0" t="n">
        <f aca="false">-K6*K9/100</f>
        <v>-82.840901296566</v>
      </c>
      <c r="L10" s="0" t="n">
        <f aca="false">-L6*L9/100</f>
        <v>-85.326128335463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5309.06796576</v>
      </c>
      <c r="D11" s="0" t="n">
        <f aca="false">D8+D10+D24</f>
        <v>5733.7934030208</v>
      </c>
      <c r="E11" s="0" t="n">
        <f aca="false">E8+E10+E24</f>
        <v>6167.28019223347</v>
      </c>
      <c r="F11" s="0" t="n">
        <f aca="false">F8+F10+F24</f>
        <v>6571.36552982877</v>
      </c>
      <c r="G11" s="0" t="n">
        <f aca="false">G8+G10+G24</f>
        <v>6899.93380632021</v>
      </c>
      <c r="H11" s="0" t="n">
        <f aca="false">H8+H10+H24</f>
        <v>7210.43082760462</v>
      </c>
      <c r="I11" s="0" t="n">
        <f aca="false">I8+I10+I24</f>
        <v>7498.8480607088</v>
      </c>
      <c r="J11" s="0" t="n">
        <f aca="false">J8+J10+J24</f>
        <v>7761.30774283361</v>
      </c>
      <c r="K11" s="0" t="n">
        <f aca="false">K8+K10+K24</f>
        <v>7994.14697511862</v>
      </c>
      <c r="L11" s="0" t="n">
        <f aca="false">L8+L10+L24</f>
        <v>8233.97138437218</v>
      </c>
    </row>
    <row r="12" customFormat="false" ht="15" hidden="false" customHeight="false" outlineLevel="0" collapsed="false">
      <c r="A12" s="0" t="s">
        <v>114</v>
      </c>
      <c r="C12" s="4" t="n">
        <f aca="false">-C6*Assumptions!C31/100</f>
        <v>-1862.34321312</v>
      </c>
      <c r="D12" s="4" t="n">
        <f aca="false">-D6*Assumptions!D31/100</f>
        <v>-2071.3703916672</v>
      </c>
      <c r="E12" s="4" t="n">
        <f aca="false">-E6*Assumptions!E31/100</f>
        <v>-2248.48757008512</v>
      </c>
      <c r="F12" s="4" t="n">
        <f aca="false">-F6*Assumptions!F31/100</f>
        <v>-2417.44535035152</v>
      </c>
      <c r="G12" s="4" t="n">
        <f aca="false">-G6*Assumptions!G31/100</f>
        <v>-2574.06857023345</v>
      </c>
      <c r="H12" s="4" t="n">
        <f aca="false">-H6*Assumptions!H31/100</f>
        <v>-2689.90165589395</v>
      </c>
      <c r="I12" s="4" t="n">
        <f aca="false">-I6*Assumptions!I31/100</f>
        <v>-2797.49772212971</v>
      </c>
      <c r="J12" s="4" t="n">
        <f aca="false">-J6*Assumptions!J31/100</f>
        <v>-2895.41014240425</v>
      </c>
      <c r="K12" s="4" t="n">
        <f aca="false">-K6*Assumptions!K31/100</f>
        <v>-2982.27244667638</v>
      </c>
      <c r="L12" s="4" t="n">
        <f aca="false">-L6*Assumptions!L31/100</f>
        <v>-3071.74062007667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3446.72475264</v>
      </c>
      <c r="D13" s="0" t="n">
        <f aca="false">D11+D12</f>
        <v>3662.4230113536</v>
      </c>
      <c r="E13" s="0" t="n">
        <f aca="false">E11+E12</f>
        <v>3918.79262214835</v>
      </c>
      <c r="F13" s="0" t="n">
        <f aca="false">F11+F12</f>
        <v>4153.92017947725</v>
      </c>
      <c r="G13" s="0" t="n">
        <f aca="false">G11+G12</f>
        <v>4325.86523608676</v>
      </c>
      <c r="H13" s="0" t="n">
        <f aca="false">H11+H12</f>
        <v>4520.52917171067</v>
      </c>
      <c r="I13" s="0" t="n">
        <f aca="false">I11+I12</f>
        <v>4701.35033857909</v>
      </c>
      <c r="J13" s="0" t="n">
        <f aca="false">J11+J12</f>
        <v>4865.89760042936</v>
      </c>
      <c r="K13" s="0" t="n">
        <f aca="false">K11+K12</f>
        <v>5011.87452844224</v>
      </c>
      <c r="L13" s="0" t="n">
        <f aca="false">L11+L12</f>
        <v>5162.23076429551</v>
      </c>
    </row>
    <row r="14" customFormat="false" ht="15" hidden="false" customHeight="false" outlineLevel="0" collapsed="false">
      <c r="A14" s="0" t="s">
        <v>101</v>
      </c>
      <c r="C14" s="4" t="n">
        <f aca="false">Assumptions!C33</f>
        <v>17</v>
      </c>
      <c r="D14" s="4" t="n">
        <f aca="false">Assumptions!D33</f>
        <v>17</v>
      </c>
      <c r="E14" s="4" t="n">
        <f aca="false">Assumptions!E33</f>
        <v>17.5</v>
      </c>
      <c r="F14" s="4" t="n">
        <f aca="false">Assumptions!F33</f>
        <v>18</v>
      </c>
      <c r="G14" s="4" t="n">
        <f aca="false">Assumptions!G33</f>
        <v>18.5</v>
      </c>
      <c r="H14" s="4" t="n">
        <f aca="false">Assumptions!H33</f>
        <v>19</v>
      </c>
      <c r="I14" s="4" t="n">
        <f aca="false">Assumptions!I33</f>
        <v>19</v>
      </c>
      <c r="J14" s="4" t="n">
        <f aca="false">Assumptions!J33</f>
        <v>19</v>
      </c>
      <c r="K14" s="4" t="n">
        <f aca="false">Assumptions!K33</f>
        <v>19</v>
      </c>
      <c r="L14" s="4" t="n">
        <f aca="false">Assumptions!L33</f>
        <v>19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2860.7815446912</v>
      </c>
      <c r="D15" s="0" t="n">
        <f aca="false">D13-MAX(0,D13)*D14/100</f>
        <v>3039.81109942349</v>
      </c>
      <c r="E15" s="0" t="n">
        <f aca="false">E13-MAX(0,E13)*E14/100</f>
        <v>3233.00391327239</v>
      </c>
      <c r="F15" s="0" t="n">
        <f aca="false">F13-MAX(0,F13)*F14/100</f>
        <v>3406.21454717135</v>
      </c>
      <c r="G15" s="0" t="n">
        <f aca="false">G13-MAX(0,G13)*G14/100</f>
        <v>3525.58016741071</v>
      </c>
      <c r="H15" s="0" t="n">
        <f aca="false">H13-MAX(0,H13)*H14/100</f>
        <v>3661.62862908564</v>
      </c>
      <c r="I15" s="0" t="n">
        <f aca="false">I13-MAX(0,I13)*I14/100</f>
        <v>3808.09377424907</v>
      </c>
      <c r="J15" s="0" t="n">
        <f aca="false">J13-MAX(0,J13)*J14/100</f>
        <v>3941.37705634778</v>
      </c>
      <c r="K15" s="0" t="n">
        <f aca="false">K13-MAX(0,K13)*K14/100</f>
        <v>4059.61836803822</v>
      </c>
      <c r="L15" s="0" t="n">
        <f aca="false">L13-MAX(0,L13)*L14/100</f>
        <v>4181.40691907936</v>
      </c>
    </row>
    <row r="16" customFormat="false" ht="15" hidden="false" customHeight="false" outlineLevel="0" collapsed="false">
      <c r="A16" s="0" t="s">
        <v>117</v>
      </c>
      <c r="C16" s="0" t="n">
        <f aca="false">-C12</f>
        <v>1862.34321312</v>
      </c>
      <c r="D16" s="0" t="n">
        <f aca="false">-D12</f>
        <v>2071.3703916672</v>
      </c>
      <c r="E16" s="0" t="n">
        <f aca="false">-E12</f>
        <v>2248.48757008512</v>
      </c>
      <c r="F16" s="0" t="n">
        <f aca="false">-F12</f>
        <v>2417.44535035152</v>
      </c>
      <c r="G16" s="0" t="n">
        <f aca="false">-G12</f>
        <v>2574.06857023345</v>
      </c>
      <c r="H16" s="0" t="n">
        <f aca="false">-H12</f>
        <v>2689.90165589395</v>
      </c>
      <c r="I16" s="0" t="n">
        <f aca="false">-I12</f>
        <v>2797.49772212971</v>
      </c>
      <c r="J16" s="0" t="n">
        <f aca="false">-J12</f>
        <v>2895.41014240425</v>
      </c>
      <c r="K16" s="0" t="n">
        <f aca="false">-K12</f>
        <v>2982.27244667638</v>
      </c>
      <c r="L16" s="0" t="n">
        <f aca="false">-L12</f>
        <v>3071.74062007667</v>
      </c>
    </row>
    <row r="17" customFormat="false" ht="15" hidden="false" customHeight="false" outlineLevel="0" collapsed="false">
      <c r="A17" s="0" t="s">
        <v>118</v>
      </c>
      <c r="C17" s="4" t="n">
        <f aca="false">-C6*Assumptions!C32/100</f>
        <v>-3057.5784096</v>
      </c>
      <c r="D17" s="4" t="n">
        <f aca="false">-D6*Assumptions!D32/100</f>
        <v>-3152.085378624</v>
      </c>
      <c r="E17" s="4" t="n">
        <f aca="false">-E6*Assumptions!E32/100</f>
        <v>-3212.1251001216</v>
      </c>
      <c r="F17" s="4" t="n">
        <f aca="false">-F6*Assumptions!F32/100</f>
        <v>-3234.60997582245</v>
      </c>
      <c r="G17" s="4" t="n">
        <f aca="false">-G6*Assumptions!G32/100</f>
        <v>-3217.58571279181</v>
      </c>
      <c r="H17" s="4" t="n">
        <f aca="false">-H6*Assumptions!H32/100</f>
        <v>-3175.57834376369</v>
      </c>
      <c r="I17" s="4" t="n">
        <f aca="false">-I6*Assumptions!I32/100</f>
        <v>-3108.33080236634</v>
      </c>
      <c r="J17" s="4" t="n">
        <f aca="false">-J6*Assumptions!J32/100</f>
        <v>-3217.12238044916</v>
      </c>
      <c r="K17" s="4" t="n">
        <f aca="false">-K6*Assumptions!K32/100</f>
        <v>-3313.63605186264</v>
      </c>
      <c r="L17" s="4" t="n">
        <f aca="false">-L6*Assumptions!L32/100</f>
        <v>-3413.04513341852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(C6-B6)*Assumptions!$B$37/100</f>
        <v>-411.795072</v>
      </c>
      <c r="D18" s="4" t="n">
        <f aca="false">(D6-C6)*Assumptions!$B$37/100</f>
        <v>-444.73867776</v>
      </c>
      <c r="E18" s="4" t="n">
        <f aca="false">(E6-D6)*Assumptions!$B$37/100</f>
        <v>-420.2780504832</v>
      </c>
      <c r="F18" s="4" t="n">
        <f aca="false">(F6-E6)*Assumptions!$B$37/100</f>
        <v>-385.455012014592</v>
      </c>
      <c r="G18" s="4" t="n">
        <f aca="false">(G6-F6)*Assumptions!$B$37/100</f>
        <v>-340.48526061289</v>
      </c>
      <c r="H18" s="4" t="n">
        <f aca="false">(H6-G6)*Assumptions!$B$37/100</f>
        <v>-321.75857127918</v>
      </c>
      <c r="I18" s="4" t="n">
        <f aca="false">(I6-H6)*Assumptions!$B$37/100</f>
        <v>-298.877961765995</v>
      </c>
      <c r="J18" s="4" t="n">
        <f aca="false">(J6-I6)*Assumptions!$B$37/100</f>
        <v>-271.978945207055</v>
      </c>
      <c r="K18" s="4" t="n">
        <f aca="false">(K6-J6)*Assumptions!$B$37/100</f>
        <v>-241.284178533687</v>
      </c>
      <c r="L18" s="4" t="n">
        <f aca="false">(L6-K6)*Assumptions!$B$37/100</f>
        <v>-248.522703889698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1253.7512762112</v>
      </c>
      <c r="D19" s="0" t="n">
        <f aca="false">D15+D16+D17+D18</f>
        <v>1514.35743470669</v>
      </c>
      <c r="E19" s="0" t="n">
        <f aca="false">E15+E16+E17+E18</f>
        <v>1849.08833275271</v>
      </c>
      <c r="F19" s="0" t="n">
        <f aca="false">F15+F16+F17+F18</f>
        <v>2203.59490968582</v>
      </c>
      <c r="G19" s="0" t="n">
        <f aca="false">G15+G16+G17+G18</f>
        <v>2541.57776423946</v>
      </c>
      <c r="H19" s="0" t="n">
        <f aca="false">H15+H16+H17+H18</f>
        <v>2854.19336993672</v>
      </c>
      <c r="I19" s="0" t="n">
        <f aca="false">I15+I16+I17+I18</f>
        <v>3198.38273224644</v>
      </c>
      <c r="J19" s="0" t="n">
        <f aca="false">J15+J16+J17+J18</f>
        <v>3347.68587309581</v>
      </c>
      <c r="K19" s="0" t="n">
        <f aca="false">K15+K16+K17+K18</f>
        <v>3486.97058431827</v>
      </c>
      <c r="L19" s="0" t="n">
        <f aca="false">L15+L16+L17+L18</f>
        <v>3591.57970184781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1155.53113014857</v>
      </c>
      <c r="D21" s="0" t="n">
        <f aca="false">D19*D20</f>
        <v>1286.37892901246</v>
      </c>
      <c r="E21" s="0" t="n">
        <f aca="false">E19*E20</f>
        <v>1447.66623042587</v>
      </c>
      <c r="F21" s="0" t="n">
        <f aca="false">F19*F20</f>
        <v>1590.05741977305</v>
      </c>
      <c r="G21" s="0" t="n">
        <f aca="false">G19*G20</f>
        <v>1690.26466003911</v>
      </c>
      <c r="H21" s="0" t="n">
        <f aca="false">H19*H20</f>
        <v>1749.46381369273</v>
      </c>
      <c r="I21" s="0" t="n">
        <f aca="false">I19*I20</f>
        <v>1806.85068530252</v>
      </c>
      <c r="J21" s="0" t="n">
        <f aca="false">J19*J20</f>
        <v>1743.03775467416</v>
      </c>
      <c r="K21" s="0" t="n">
        <f aca="false">K19*K20</f>
        <v>1673.32631183571</v>
      </c>
      <c r="L21" s="0" t="n">
        <f aca="false">L19*L20</f>
        <v>1588.50331906985</v>
      </c>
    </row>
    <row r="23" customFormat="false" ht="15" hidden="false" customHeight="false" outlineLevel="0" collapsed="false">
      <c r="A23" s="0" t="s">
        <v>98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103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104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15731.080253974</v>
      </c>
    </row>
    <row r="31" customFormat="false" ht="15" hidden="false" customHeight="false" outlineLevel="0" collapsed="false">
      <c r="A31" s="0" t="s">
        <v>126</v>
      </c>
      <c r="B31" s="0" t="n">
        <f aca="false">L19</f>
        <v>3591.57970184781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61356.1532399001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43098.9564221738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43098.9564221738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19062.0398288382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34793.1200828122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34152.5200828122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33.7408705234863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0.460643745605469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458.290299419371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644.699410607503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34.8305656002922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29450.9535551521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17.8063041592599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Assumptions!C41</f>
        <v>10</v>
      </c>
      <c r="D5" s="4" t="n">
        <f aca="false">Assumptions!D41</f>
        <v>11</v>
      </c>
      <c r="E5" s="4" t="n">
        <f aca="false">Assumptions!E41</f>
        <v>10</v>
      </c>
      <c r="F5" s="4" t="n">
        <f aca="false">Assumptions!F41</f>
        <v>9</v>
      </c>
      <c r="G5" s="4" t="n">
        <f aca="false">Assumptions!G41</f>
        <v>8</v>
      </c>
      <c r="H5" s="4" t="n">
        <f aca="false">Assumptions!H41</f>
        <v>7</v>
      </c>
      <c r="I5" s="4" t="n">
        <f aca="false">Assumptions!I41</f>
        <v>6</v>
      </c>
      <c r="J5" s="4" t="n">
        <f aca="false">Assumptions!J41</f>
        <v>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38</v>
      </c>
      <c r="B6" s="3" t="n">
        <v>25737.192</v>
      </c>
      <c r="C6" s="0" t="n">
        <f aca="false">B6*(1+C5/100)</f>
        <v>28310.9112</v>
      </c>
      <c r="D6" s="0" t="n">
        <f aca="false">C6*(1+D5/100)</f>
        <v>31425.111432</v>
      </c>
      <c r="E6" s="0" t="n">
        <f aca="false">D6*(1+E5/100)</f>
        <v>34567.6225752</v>
      </c>
      <c r="F6" s="0" t="n">
        <f aca="false">E6*(1+F5/100)</f>
        <v>37678.708606968</v>
      </c>
      <c r="G6" s="0" t="n">
        <f aca="false">F6*(1+G5/100)</f>
        <v>40693.0052955255</v>
      </c>
      <c r="H6" s="0" t="n">
        <f aca="false">G6*(1+H5/100)</f>
        <v>43541.5156662122</v>
      </c>
      <c r="I6" s="0" t="n">
        <f aca="false">H6*(1+I5/100)</f>
        <v>46154.006606185</v>
      </c>
      <c r="J6" s="0" t="n">
        <f aca="false">I6*(1+J5/100)</f>
        <v>48461.7069364942</v>
      </c>
      <c r="K6" s="0" t="n">
        <f aca="false">J6*(1+K5/100)</f>
        <v>50400.175213954</v>
      </c>
      <c r="L6" s="0" t="n">
        <f aca="false">K6*(1+L5/100)</f>
        <v>52164.1813464424</v>
      </c>
    </row>
    <row r="7" customFormat="false" ht="15" hidden="false" customHeight="false" outlineLevel="0" collapsed="false">
      <c r="A7" s="0" t="s">
        <v>96</v>
      </c>
      <c r="C7" s="4" t="n">
        <f aca="false">Assumptions!C42</f>
        <v>19.6</v>
      </c>
      <c r="D7" s="4" t="n">
        <f aca="false">Assumptions!D42</f>
        <v>19.9</v>
      </c>
      <c r="E7" s="4" t="n">
        <f aca="false">Assumptions!E42</f>
        <v>20.2</v>
      </c>
      <c r="F7" s="4" t="n">
        <f aca="false">Assumptions!F42</f>
        <v>20.5</v>
      </c>
      <c r="G7" s="4" t="n">
        <f aca="false">Assumptions!G42</f>
        <v>20.8</v>
      </c>
      <c r="H7" s="4" t="n">
        <f aca="false">Assumptions!H42</f>
        <v>21</v>
      </c>
      <c r="I7" s="4" t="n">
        <f aca="false">Assumptions!I42</f>
        <v>21</v>
      </c>
      <c r="J7" s="4" t="n">
        <f aca="false">Assumptions!J42</f>
        <v>21</v>
      </c>
      <c r="K7" s="4" t="n">
        <f aca="false">Assumptions!K42</f>
        <v>21</v>
      </c>
      <c r="L7" s="4" t="n">
        <f aca="false">Assumptions!L42</f>
        <v>21</v>
      </c>
    </row>
    <row r="8" customFormat="false" ht="15" hidden="false" customHeight="false" outlineLevel="0" collapsed="false">
      <c r="A8" s="0" t="s">
        <v>44</v>
      </c>
      <c r="C8" s="0" t="n">
        <f aca="false">C6*C7/100</f>
        <v>5548.9385952</v>
      </c>
      <c r="D8" s="0" t="n">
        <f aca="false">D6*D7/100</f>
        <v>6253.597174968</v>
      </c>
      <c r="E8" s="0" t="n">
        <f aca="false">E6*E7/100</f>
        <v>6982.6597601904</v>
      </c>
      <c r="F8" s="0" t="n">
        <f aca="false">F6*F7/100</f>
        <v>7724.13526442844</v>
      </c>
      <c r="G8" s="0" t="n">
        <f aca="false">G6*G7/100</f>
        <v>8464.1451014693</v>
      </c>
      <c r="H8" s="0" t="n">
        <f aca="false">H6*H7/100</f>
        <v>9143.71828990457</v>
      </c>
      <c r="I8" s="0" t="n">
        <f aca="false">I6*I7/100</f>
        <v>9692.34138729884</v>
      </c>
      <c r="J8" s="0" t="n">
        <f aca="false">J6*J7/100</f>
        <v>10176.9584566638</v>
      </c>
      <c r="K8" s="0" t="n">
        <f aca="false">K6*K7/100</f>
        <v>10584.0367949303</v>
      </c>
      <c r="L8" s="0" t="n">
        <f aca="false">L6*L7/100</f>
        <v>10954.4780827529</v>
      </c>
    </row>
    <row r="9" customFormat="false" ht="15" hidden="false" customHeight="false" outlineLevel="0" collapsed="false">
      <c r="A9" s="0" t="s">
        <v>97</v>
      </c>
      <c r="C9" s="4" t="n">
        <f aca="false">Assumptions!C43</f>
        <v>0.2</v>
      </c>
      <c r="D9" s="4" t="n">
        <f aca="false">Assumptions!D43</f>
        <v>0.2</v>
      </c>
      <c r="E9" s="4" t="n">
        <f aca="false">Assumptions!E43</f>
        <v>0.2</v>
      </c>
      <c r="F9" s="4" t="n">
        <f aca="false">Assumptions!F43</f>
        <v>0.2</v>
      </c>
      <c r="G9" s="4" t="n">
        <f aca="false">Assumptions!G43</f>
        <v>0.2</v>
      </c>
      <c r="H9" s="4" t="n">
        <f aca="false">Assumptions!H43</f>
        <v>0.2</v>
      </c>
      <c r="I9" s="4" t="n">
        <f aca="false">Assumptions!I43</f>
        <v>0.2</v>
      </c>
      <c r="J9" s="4" t="n">
        <f aca="false">Assumptions!J43</f>
        <v>0.2</v>
      </c>
      <c r="K9" s="4" t="n">
        <f aca="false">Assumptions!K43</f>
        <v>0.2</v>
      </c>
      <c r="L9" s="4" t="n">
        <f aca="false">Assumptions!L43</f>
        <v>0.2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-56.6218224</v>
      </c>
      <c r="D10" s="0" t="n">
        <f aca="false">-D6*D9/100</f>
        <v>-62.850222864</v>
      </c>
      <c r="E10" s="0" t="n">
        <f aca="false">-E6*E9/100</f>
        <v>-69.1352451504</v>
      </c>
      <c r="F10" s="0" t="n">
        <f aca="false">-F6*F9/100</f>
        <v>-75.357417213936</v>
      </c>
      <c r="G10" s="0" t="n">
        <f aca="false">-G6*G9/100</f>
        <v>-81.3860105910509</v>
      </c>
      <c r="H10" s="0" t="n">
        <f aca="false">-H6*H9/100</f>
        <v>-87.0830313324245</v>
      </c>
      <c r="I10" s="0" t="n">
        <f aca="false">-I6*I9/100</f>
        <v>-92.30801321237</v>
      </c>
      <c r="J10" s="0" t="n">
        <f aca="false">-J6*J9/100</f>
        <v>-96.9234138729884</v>
      </c>
      <c r="K10" s="0" t="n">
        <f aca="false">-K6*K9/100</f>
        <v>-100.800350427908</v>
      </c>
      <c r="L10" s="0" t="n">
        <f aca="false">-L6*L9/100</f>
        <v>-104.328362692885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5492.3167728</v>
      </c>
      <c r="D11" s="0" t="n">
        <f aca="false">D8+D10+D24</f>
        <v>6190.746952104</v>
      </c>
      <c r="E11" s="0" t="n">
        <f aca="false">E8+E10+E24</f>
        <v>6913.52451504</v>
      </c>
      <c r="F11" s="0" t="n">
        <f aca="false">F8+F10+F24</f>
        <v>7648.77784721451</v>
      </c>
      <c r="G11" s="0" t="n">
        <f aca="false">G8+G10+G24</f>
        <v>8382.75909087824</v>
      </c>
      <c r="H11" s="0" t="n">
        <f aca="false">H8+H10+H24</f>
        <v>9056.63525857215</v>
      </c>
      <c r="I11" s="0" t="n">
        <f aca="false">I8+I10+I24</f>
        <v>9600.03337408647</v>
      </c>
      <c r="J11" s="0" t="n">
        <f aca="false">J8+J10+J24</f>
        <v>10080.0350427908</v>
      </c>
      <c r="K11" s="0" t="n">
        <f aca="false">K8+K10+K24</f>
        <v>10483.2364445024</v>
      </c>
      <c r="L11" s="0" t="n">
        <f aca="false">L8+L10+L24</f>
        <v>10850.14972006</v>
      </c>
    </row>
    <row r="12" customFormat="false" ht="15" hidden="false" customHeight="false" outlineLevel="0" collapsed="false">
      <c r="A12" s="0" t="s">
        <v>114</v>
      </c>
      <c r="C12" s="4" t="n">
        <f aca="false">-C6*Assumptions!C45/100</f>
        <v>-1896.8310504</v>
      </c>
      <c r="D12" s="4" t="n">
        <f aca="false">-D6*Assumptions!D45/100</f>
        <v>-2136.907577376</v>
      </c>
      <c r="E12" s="4" t="n">
        <f aca="false">-E6*Assumptions!E45/100</f>
        <v>-2385.1659576888</v>
      </c>
      <c r="F12" s="4" t="n">
        <f aca="false">-F6*Assumptions!F45/100</f>
        <v>-2637.50960248776</v>
      </c>
      <c r="G12" s="4" t="n">
        <f aca="false">-G6*Assumptions!G45/100</f>
        <v>-2848.51037068678</v>
      </c>
      <c r="H12" s="4" t="n">
        <f aca="false">-H6*Assumptions!H45/100</f>
        <v>-3047.90609663486</v>
      </c>
      <c r="I12" s="4" t="n">
        <f aca="false">-I6*Assumptions!I45/100</f>
        <v>-3230.78046243295</v>
      </c>
      <c r="J12" s="4" t="n">
        <f aca="false">-J6*Assumptions!J45/100</f>
        <v>-3392.3194855546</v>
      </c>
      <c r="K12" s="4" t="n">
        <f aca="false">-K6*Assumptions!K45/100</f>
        <v>-3528.01226497678</v>
      </c>
      <c r="L12" s="4" t="n">
        <f aca="false">-L6*Assumptions!L45/100</f>
        <v>-3651.49269425097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3595.4857224</v>
      </c>
      <c r="D13" s="0" t="n">
        <f aca="false">D11+D12</f>
        <v>4053.839374728</v>
      </c>
      <c r="E13" s="0" t="n">
        <f aca="false">E11+E12</f>
        <v>4528.3585573512</v>
      </c>
      <c r="F13" s="0" t="n">
        <f aca="false">F11+F12</f>
        <v>5011.26824472675</v>
      </c>
      <c r="G13" s="0" t="n">
        <f aca="false">G11+G12</f>
        <v>5534.24872019146</v>
      </c>
      <c r="H13" s="0" t="n">
        <f aca="false">H11+H12</f>
        <v>6008.72916193729</v>
      </c>
      <c r="I13" s="0" t="n">
        <f aca="false">I11+I12</f>
        <v>6369.25291165353</v>
      </c>
      <c r="J13" s="0" t="n">
        <f aca="false">J11+J12</f>
        <v>6687.7155572362</v>
      </c>
      <c r="K13" s="0" t="n">
        <f aca="false">K11+K12</f>
        <v>6955.22417952565</v>
      </c>
      <c r="L13" s="0" t="n">
        <f aca="false">L11+L12</f>
        <v>7198.65702580905</v>
      </c>
    </row>
    <row r="14" customFormat="false" ht="15" hidden="false" customHeight="false" outlineLevel="0" collapsed="false">
      <c r="A14" s="0" t="s">
        <v>101</v>
      </c>
      <c r="C14" s="4" t="n">
        <f aca="false">Assumptions!C47</f>
        <v>17</v>
      </c>
      <c r="D14" s="4" t="n">
        <f aca="false">Assumptions!D47</f>
        <v>17</v>
      </c>
      <c r="E14" s="4" t="n">
        <f aca="false">Assumptions!E47</f>
        <v>17.5</v>
      </c>
      <c r="F14" s="4" t="n">
        <f aca="false">Assumptions!F47</f>
        <v>18</v>
      </c>
      <c r="G14" s="4" t="n">
        <f aca="false">Assumptions!G47</f>
        <v>18.5</v>
      </c>
      <c r="H14" s="4" t="n">
        <f aca="false">Assumptions!H47</f>
        <v>19</v>
      </c>
      <c r="I14" s="4" t="n">
        <f aca="false">Assumptions!I47</f>
        <v>19</v>
      </c>
      <c r="J14" s="4" t="n">
        <f aca="false">Assumptions!J47</f>
        <v>19</v>
      </c>
      <c r="K14" s="4" t="n">
        <f aca="false">Assumptions!K47</f>
        <v>19</v>
      </c>
      <c r="L14" s="4" t="n">
        <f aca="false">Assumptions!L47</f>
        <v>19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2984.253149592</v>
      </c>
      <c r="D15" s="0" t="n">
        <f aca="false">D13-MAX(0,D13)*D14/100</f>
        <v>3364.68668102424</v>
      </c>
      <c r="E15" s="0" t="n">
        <f aca="false">E13-MAX(0,E13)*E14/100</f>
        <v>3735.89580981474</v>
      </c>
      <c r="F15" s="0" t="n">
        <f aca="false">F13-MAX(0,F13)*F14/100</f>
        <v>4109.23996067593</v>
      </c>
      <c r="G15" s="0" t="n">
        <f aca="false">G13-MAX(0,G13)*G14/100</f>
        <v>4510.41270695604</v>
      </c>
      <c r="H15" s="0" t="n">
        <f aca="false">H13-MAX(0,H13)*H14/100</f>
        <v>4867.0706211692</v>
      </c>
      <c r="I15" s="0" t="n">
        <f aca="false">I13-MAX(0,I13)*I14/100</f>
        <v>5159.09485843936</v>
      </c>
      <c r="J15" s="0" t="n">
        <f aca="false">J13-MAX(0,J13)*J14/100</f>
        <v>5417.04960136132</v>
      </c>
      <c r="K15" s="0" t="n">
        <f aca="false">K13-MAX(0,K13)*K14/100</f>
        <v>5633.73158541578</v>
      </c>
      <c r="L15" s="0" t="n">
        <f aca="false">L13-MAX(0,L13)*L14/100</f>
        <v>5830.91219090533</v>
      </c>
    </row>
    <row r="16" customFormat="false" ht="15" hidden="false" customHeight="false" outlineLevel="0" collapsed="false">
      <c r="A16" s="0" t="s">
        <v>117</v>
      </c>
      <c r="C16" s="0" t="n">
        <f aca="false">-C12</f>
        <v>1896.8310504</v>
      </c>
      <c r="D16" s="0" t="n">
        <f aca="false">-D12</f>
        <v>2136.907577376</v>
      </c>
      <c r="E16" s="0" t="n">
        <f aca="false">-E12</f>
        <v>2385.1659576888</v>
      </c>
      <c r="F16" s="0" t="n">
        <f aca="false">-F12</f>
        <v>2637.50960248776</v>
      </c>
      <c r="G16" s="0" t="n">
        <f aca="false">-G12</f>
        <v>2848.51037068678</v>
      </c>
      <c r="H16" s="0" t="n">
        <f aca="false">-H12</f>
        <v>3047.90609663486</v>
      </c>
      <c r="I16" s="0" t="n">
        <f aca="false">-I12</f>
        <v>3230.78046243295</v>
      </c>
      <c r="J16" s="0" t="n">
        <f aca="false">-J12</f>
        <v>3392.3194855546</v>
      </c>
      <c r="K16" s="0" t="n">
        <f aca="false">-K12</f>
        <v>3528.01226497678</v>
      </c>
      <c r="L16" s="0" t="n">
        <f aca="false">-L12</f>
        <v>3651.49269425097</v>
      </c>
    </row>
    <row r="17" customFormat="false" ht="15" hidden="false" customHeight="false" outlineLevel="0" collapsed="false">
      <c r="A17" s="0" t="s">
        <v>118</v>
      </c>
      <c r="C17" s="4" t="n">
        <f aca="false">-C6*Assumptions!C46/100</f>
        <v>-3255.754788</v>
      </c>
      <c r="D17" s="4" t="n">
        <f aca="false">-D6*Assumptions!D46/100</f>
        <v>-3456.76225752</v>
      </c>
      <c r="E17" s="4" t="n">
        <f aca="false">-E6*Assumptions!E46/100</f>
        <v>-3629.600370396</v>
      </c>
      <c r="F17" s="4" t="n">
        <f aca="false">-F6*Assumptions!F46/100</f>
        <v>-3767.8708606968</v>
      </c>
      <c r="G17" s="4" t="n">
        <f aca="false">-G6*Assumptions!G46/100</f>
        <v>-3865.83550307492</v>
      </c>
      <c r="H17" s="4" t="n">
        <f aca="false">-H6*Assumptions!H46/100</f>
        <v>-3918.7364099591</v>
      </c>
      <c r="I17" s="4" t="n">
        <f aca="false">-I6*Assumptions!I46/100</f>
        <v>-3923.09056152572</v>
      </c>
      <c r="J17" s="4" t="n">
        <f aca="false">-J6*Assumptions!J46/100</f>
        <v>-3876.93655491954</v>
      </c>
      <c r="K17" s="4" t="n">
        <f aca="false">-K6*Assumptions!K46/100</f>
        <v>-4032.01401711632</v>
      </c>
      <c r="L17" s="4" t="n">
        <f aca="false">-L6*Assumptions!L46/100</f>
        <v>-4173.13450771539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(C6-B6)*Assumptions!$B$51/100</f>
        <v>-514.743840000001</v>
      </c>
      <c r="D18" s="4" t="n">
        <f aca="false">(D6-C6)*Assumptions!$B$51/100</f>
        <v>-622.840046400001</v>
      </c>
      <c r="E18" s="4" t="n">
        <f aca="false">(E6-D6)*Assumptions!$B$51/100</f>
        <v>-628.502228640001</v>
      </c>
      <c r="F18" s="4" t="n">
        <f aca="false">(F6-E6)*Assumptions!$B$51/100</f>
        <v>-622.217206353601</v>
      </c>
      <c r="G18" s="4" t="n">
        <f aca="false">(G6-F6)*Assumptions!$B$51/100</f>
        <v>-602.859337711489</v>
      </c>
      <c r="H18" s="4" t="n">
        <f aca="false">(H6-G6)*Assumptions!$B$51/100</f>
        <v>-569.702074137356</v>
      </c>
      <c r="I18" s="4" t="n">
        <f aca="false">(I6-H6)*Assumptions!$B$51/100</f>
        <v>-522.498187994547</v>
      </c>
      <c r="J18" s="4" t="n">
        <f aca="false">(J6-I6)*Assumptions!$B$51/100</f>
        <v>-461.54006606185</v>
      </c>
      <c r="K18" s="4" t="n">
        <f aca="false">(K6-J6)*Assumptions!$B$51/100</f>
        <v>-387.693655491954</v>
      </c>
      <c r="L18" s="4" t="n">
        <f aca="false">(L6-K6)*Assumptions!$B$51/100</f>
        <v>-352.801226497677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1110.585571992</v>
      </c>
      <c r="D19" s="0" t="n">
        <f aca="false">D15+D16+D17+D18</f>
        <v>1421.99195448024</v>
      </c>
      <c r="E19" s="0" t="n">
        <f aca="false">E15+E16+E17+E18</f>
        <v>1862.95916846754</v>
      </c>
      <c r="F19" s="0" t="n">
        <f aca="false">F15+F16+F17+F18</f>
        <v>2356.66149611329</v>
      </c>
      <c r="G19" s="0" t="n">
        <f aca="false">G15+G16+G17+G18</f>
        <v>2890.22823685642</v>
      </c>
      <c r="H19" s="0" t="n">
        <f aca="false">H15+H16+H17+H18</f>
        <v>3426.5382337076</v>
      </c>
      <c r="I19" s="0" t="n">
        <f aca="false">I15+I16+I17+I18</f>
        <v>3944.28657135203</v>
      </c>
      <c r="J19" s="0" t="n">
        <f aca="false">J15+J16+J17+J18</f>
        <v>4470.89246593453</v>
      </c>
      <c r="K19" s="0" t="n">
        <f aca="false">K15+K16+K17+K18</f>
        <v>4742.03617778428</v>
      </c>
      <c r="L19" s="0" t="n">
        <f aca="false">L15+L16+L17+L18</f>
        <v>4956.46915094323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1023.58117234286</v>
      </c>
      <c r="D21" s="0" t="n">
        <f aca="false">D19*D20</f>
        <v>1207.91858351652</v>
      </c>
      <c r="E21" s="0" t="n">
        <f aca="false">E19*E20</f>
        <v>1458.52582003901</v>
      </c>
      <c r="F21" s="0" t="n">
        <f aca="false">F19*F20</f>
        <v>1700.50633231979</v>
      </c>
      <c r="G21" s="0" t="n">
        <f aca="false">G19*G20</f>
        <v>1922.13306118037</v>
      </c>
      <c r="H21" s="0" t="n">
        <f aca="false">H19*H20</f>
        <v>2100.27978806459</v>
      </c>
      <c r="I21" s="0" t="n">
        <f aca="false">I19*I20</f>
        <v>2228.23141915582</v>
      </c>
      <c r="J21" s="0" t="n">
        <f aca="false">J19*J20</f>
        <v>2327.85711103938</v>
      </c>
      <c r="K21" s="0" t="n">
        <f aca="false">K19*K20</f>
        <v>2275.60678132725</v>
      </c>
      <c r="L21" s="0" t="n">
        <f aca="false">L19*L20</f>
        <v>2192.17401554249</v>
      </c>
    </row>
    <row r="23" customFormat="false" ht="15" hidden="false" customHeight="false" outlineLevel="0" collapsed="false">
      <c r="A23" s="0" t="s">
        <v>98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103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104</v>
      </c>
      <c r="B29" s="4" t="n">
        <f aca="false">Assumptions!$B$50</f>
        <v>13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18436.8140845281</v>
      </c>
    </row>
    <row r="31" customFormat="false" ht="15" hidden="false" customHeight="false" outlineLevel="0" collapsed="false">
      <c r="A31" s="0" t="s">
        <v>126</v>
      </c>
      <c r="B31" s="0" t="n">
        <f aca="false">L19</f>
        <v>4956.46915094323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92821.1495540277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64434.098962262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64434.098962262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28498.2622020524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46935.0762865805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46294.4762865805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45.7364764459719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0.979934045280167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518.706735666457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864.130919810083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47.1026463852706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42543.0268789294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22.6482149641824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2" t="s">
        <v>143</v>
      </c>
      <c r="B3" s="2" t="s">
        <v>144</v>
      </c>
      <c r="C3" s="2" t="s">
        <v>134</v>
      </c>
      <c r="D3" s="2" t="s">
        <v>145</v>
      </c>
      <c r="E3" s="2" t="s">
        <v>137</v>
      </c>
      <c r="F3" s="2" t="s">
        <v>146</v>
      </c>
    </row>
    <row r="4" customFormat="false" ht="15" hidden="false" customHeight="false" outlineLevel="0" collapsed="false">
      <c r="A4" s="0" t="s">
        <v>147</v>
      </c>
      <c r="B4" s="4" t="n">
        <f aca="false">DCF_Bear!$B$38</f>
        <v>20.0403186079753</v>
      </c>
      <c r="C4" s="0" t="n">
        <f aca="false">B4/Assumptions!$B$2-1</f>
        <v>-0.132453739914491</v>
      </c>
      <c r="D4" s="4" t="n">
        <f aca="false">Assumptions!$B$24</f>
        <v>0.25</v>
      </c>
      <c r="E4" s="4" t="n">
        <f aca="false">DCF_Bear!$B$43</f>
        <v>20.826471155969</v>
      </c>
      <c r="F4" s="4" t="n">
        <f aca="false">DCF_Bear!$B$47</f>
        <v>11.7126716612533</v>
      </c>
    </row>
    <row r="5" customFormat="false" ht="15" hidden="false" customHeight="false" outlineLevel="0" collapsed="false">
      <c r="A5" s="0" t="s">
        <v>148</v>
      </c>
      <c r="B5" s="4" t="n">
        <f aca="false">DCF_Base!$B$38</f>
        <v>33.7408705234863</v>
      </c>
      <c r="C5" s="0" t="n">
        <f aca="false">B5/Assumptions!$B$2-1</f>
        <v>0.460643745605469</v>
      </c>
      <c r="D5" s="4" t="n">
        <f aca="false">Assumptions!$B$38</f>
        <v>0.5</v>
      </c>
      <c r="E5" s="4" t="n">
        <f aca="false">DCF_Base!$B$43</f>
        <v>34.8305656002922</v>
      </c>
      <c r="F5" s="4" t="n">
        <f aca="false">DCF_Base!$B$47</f>
        <v>17.8063041592599</v>
      </c>
    </row>
    <row r="6" customFormat="false" ht="15" hidden="false" customHeight="false" outlineLevel="0" collapsed="false">
      <c r="A6" s="0" t="s">
        <v>149</v>
      </c>
      <c r="B6" s="4" t="n">
        <f aca="false">DCF_Bull!$B$38</f>
        <v>45.7364764459719</v>
      </c>
      <c r="C6" s="0" t="n">
        <f aca="false">B6/Assumptions!$B$2-1</f>
        <v>0.979934045280167</v>
      </c>
      <c r="D6" s="4" t="n">
        <f aca="false">Assumptions!$B$52</f>
        <v>0.25</v>
      </c>
      <c r="E6" s="4" t="n">
        <f aca="false">DCF_Bull!$B$43</f>
        <v>47.1026463852706</v>
      </c>
      <c r="F6" s="4" t="n">
        <f aca="false">DCF_Bull!$B$47</f>
        <v>22.6482149641824</v>
      </c>
    </row>
    <row r="8" customFormat="false" ht="15" hidden="false" customHeight="false" outlineLevel="0" collapsed="false">
      <c r="A8" s="0" t="s">
        <v>150</v>
      </c>
      <c r="B8" s="0" t="n">
        <f aca="false">SUMPRODUCT(B4:B6,D4:D6)</f>
        <v>33.31463402523</v>
      </c>
    </row>
    <row r="9" customFormat="false" ht="15" hidden="false" customHeight="false" outlineLevel="0" collapsed="false">
      <c r="A9" s="0" t="s">
        <v>151</v>
      </c>
      <c r="B9" s="0" t="n">
        <f aca="false">SUMPRODUCT(E4:E6,D4:D6)</f>
        <v>34.397562185456</v>
      </c>
    </row>
    <row r="10" customFormat="false" ht="15" hidden="false" customHeight="false" outlineLevel="0" collapsed="false">
      <c r="A10" s="0" t="s">
        <v>152</v>
      </c>
      <c r="B10" s="0" t="n">
        <f aca="false">1-Assumptions!$B$2/B8</f>
        <v>0.306611023176607</v>
      </c>
    </row>
    <row r="11" customFormat="false" ht="15" hidden="false" customHeight="false" outlineLevel="0" collapsed="false">
      <c r="A11" s="0" t="s">
        <v>153</v>
      </c>
      <c r="B11" s="0" t="n">
        <f aca="false">IF(ABS(B9-B8)&gt;0.01*ABS(B8),(Assumptions!$B$2-B8)/(B9-B8)*100,"n/a")</f>
        <v>-943.242072779557</v>
      </c>
    </row>
    <row r="12" customFormat="false" ht="15" hidden="false" customHeight="false" outlineLevel="0" collapsed="false">
      <c r="A12" s="0" t="s">
        <v>154</v>
      </c>
      <c r="B12" s="0" t="n">
        <f aca="false">SUMPRODUCT(F4:F6,D4:D6)</f>
        <v>17.4933737359889</v>
      </c>
    </row>
    <row r="14" customFormat="false" ht="15" hidden="false" customHeight="false" outlineLevel="0" collapsed="false">
      <c r="A14" s="2" t="s">
        <v>155</v>
      </c>
      <c r="C14" s="0" t="s">
        <v>156</v>
      </c>
    </row>
    <row r="15" customFormat="false" ht="15" hidden="false" customHeight="false" outlineLevel="0" collapsed="false">
      <c r="A15" s="0" t="s">
        <v>157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33.7408705234863</v>
      </c>
      <c r="C15" s="3" t="n">
        <v>8.5</v>
      </c>
    </row>
    <row r="16" customFormat="false" ht="15" hidden="false" customHeight="false" outlineLevel="0" collapsed="false">
      <c r="A16" s="0" t="s">
        <v>158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32.4882988677664</v>
      </c>
      <c r="C16" s="3" t="n">
        <v>9</v>
      </c>
    </row>
    <row r="17" customFormat="false" ht="15" hidden="false" customHeight="false" outlineLevel="0" collapsed="false">
      <c r="A17" s="0" t="s">
        <v>159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30.1494805363954</v>
      </c>
      <c r="C17" s="3" t="n">
        <v>10</v>
      </c>
    </row>
    <row r="18" customFormat="false" ht="15" hidden="false" customHeight="false" outlineLevel="0" collapsed="false">
      <c r="A18" s="0" t="s">
        <v>160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28.0140985910458</v>
      </c>
      <c r="C18" s="3" t="n">
        <v>11</v>
      </c>
    </row>
    <row r="19" customFormat="false" ht="15" hidden="false" customHeight="false" outlineLevel="0" collapsed="false">
      <c r="A19" s="0" t="s">
        <v>161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24.6792698620899</v>
      </c>
      <c r="C19" s="3" t="n">
        <v>12</v>
      </c>
    </row>
    <row r="20" customFormat="false" ht="15" hidden="false" customHeight="false" outlineLevel="0" collapsed="false">
      <c r="A20" s="0" t="s">
        <v>162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17.8063041592599</v>
      </c>
      <c r="C20" s="3" t="n">
        <v>15</v>
      </c>
    </row>
    <row r="22" customFormat="false" ht="15" hidden="false" customHeight="false" outlineLevel="0" collapsed="false">
      <c r="A22" s="2" t="s">
        <v>163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39.3787054660952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39.3787054660952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39.3787054660952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39.3787054660952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39.3787054660952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36.4275436009131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36.4275436009131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36.4275436009131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36.4275436009131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36.4275436009131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33.7408705234863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33.7408705234863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33.7408705234863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33.7408705234863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33.7408705234863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31.292124942944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31.292124942944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31.292124942944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31.292124942944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31.292124942944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28.1134508493325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29.0576576048523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29.0576576048523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29.0576576048523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29.0576576048523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2026-10-10T22:33:43Z</dcterms:created>
  <dc:creator>openpyxl</dc:creator>
  <dc:description/>
  <dc:language>en-NZ</dc:language>
  <cp:lastModifiedBy/>
  <dcterms:modified xsi:type="dcterms:W3CDTF">2026-10-10T22:33:43Z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