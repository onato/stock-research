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<sst xmlns="http://schemas.openxmlformats.org/spreadsheetml/2006/main" count="355" uniqueCount="165">
  <si>
    <t xml:space="preserve">Ticker</t>
  </si>
  <si>
    <t xml:space="preserve">1060.HK</t>
  </si>
  <si>
    <t xml:space="preserve">Company</t>
  </si>
  <si>
    <t xml:space="preserve">Damai Entertainment Holdings Limited</t>
  </si>
  <si>
    <t xml:space="preserve">Valuation date</t>
  </si>
  <si>
    <t xml:space="preserve">2026-10-12</t>
  </si>
  <si>
    <t xml:space="preserve">Current price</t>
  </si>
  <si>
    <t xml:space="preserve">Price as of</t>
  </si>
  <si>
    <t xml:space="preserve">2026-10-09T08:08:06Z regular close, HKEX (last trading day before valuation date; daily bars carry normal volume, ticker is live not frozen)</t>
  </si>
  <si>
    <t xml:space="preserve">Balance sheet date</t>
  </si>
  <si>
    <t xml:space="preserve">2026-03-31</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</si>
  <si>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</si>
  <si>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</si>
  <si>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</si>
  <si>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</si>
  <si>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</si>
  <si>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</si>
  <si>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</si>
  <si>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</si>
  <si>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</si>
  <si>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</si>
  <si>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</si>
  <si>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2026-10-11T14:45:34Z</t>
  </si>
  <si>
    <t xml:space="preserve">Drivers file</t>
  </si>
  <si>
    <t xml:space="preserve">1060.HK_Drivers.json</t>
  </si>
  <si>
    <t xml:space="preserve">Convention</t>
  </si>
  <si>
    <t xml:space="preserve">Percents stored as percents; formulas divide by 100. Blue = input, green = link, black = formula.</t>
  </si>
  <si>
    <t xml:space="preserve">Methodology</t>
  </si>
  <si>
    <t xml:space="preserve">summary: Owner-FCF DCF on the consolidated operating business plus net cash and bridge assets at (haircut) book. At the current price the market capitalisation (~HK$13.3bn, ~RMB11.4bn) is roughly equal to net cash (RMB10.8bn) plus bridge assets (RMB0.6bn): the operating business - RMB2bn of segment profit, ~RMB570m of EBIT, the leading ticketing platform in China - is being priced at approximately zero. The DCF credits the cash at face, which is correct for an owner who controls it; a minority holder in a 53.6% Alibaba-controlled company that has never paid a dividend does not, and the gap between the DCF and the price is mostly the market's discount on that pile. Read the bear case as the floor only if the cash is preserved.
key_risks_to_valuation: Net cash is ~95% of the market price and is credited at face: every 10% haircut (controlled-company discount, trapped cash, poor deployment) is worth ~HK$0.042/share.; Distribution and payments dependency on Alibaba platforms (Alipay, Taobao/Tmall) under continuing connected-transaction agreements: a change in intra-group terms or de-prioritisation would hit user acquisition and take rate directly (Analysis JSON: high severity).; Controlling shareholder (Alibaba 53.56%) with extensive connected transactions (Tmall, Alipay, Youku, parent SBC settlements); capital allocation into film/drama content has destroyed value in FY2019-2023 (cumulative losses ~RMB3.5bn).; Regulatory: PRC rules on concert ticket pricing, real-name ticketing and refunds can compress Damai's take rate; film censorship and release windows.; Working-capital volatility: FY2025 -RMB1.9bn / FY2026 +RMB1.8bn swings from film-rights investment and promoter payables; reported FCF is not a readable annual signal.; FX: ~RMB2.6bn of cash is USD-denominated; continued CNY appreciation reduces its RMB value (RMB227m translation loss in FY2026).; Share-price collapse from HK$0.99 (Dec-2025) to HK$0.445 is unexplained by the 27-May-2026 annual report; H1 FY2027 results (due Nov-2026) are the next evidence.; IP merchandising (+60% in FY2026) rides a Chiikawa/pop-toy cycle that may not persist; drama (+142%) is project-lumpy.</t>
  </si>
  <si>
    <t xml:space="preserve">Data sources</t>
  </si>
  <si>
    <t xml:space="preserve">price: Yahoo Finance chart API at inputs.price_as_of (HKEX regular close); 52-week range HK$0.41-1.08; CNY-&gt;HKD 1.1722 from Yahoo CNYHKD=X 2026-10-12
financials: research/1060.HK/Extracted/1060.HK_Annual_FY2025.txt (year ended 31-Mar-2026: income statement lines 8017-8052, balance sheet 8095-8179, cash flow 8304-8374, note 7 other gains 10847, note 10 finance income 10998, note 11 tax 11025, note 12 diluted shares 11138, note 23 deposits 11851, note 30 operating reconciliation 12295, segment MD&amp;A lines 177-535); research/1060.HK/Reports/1060.HK_Metrics.csv and kpis table (TermDeposits, InterestIncome, CashTaxesPaid, NetIncomeTotal) for history
qualitative: research/1060.HK/Reports/1060.HK_Analysis.json (read after the first build; it confirms the scenario axes used here - Alibaba dependency, hit-driven film/drama, Chiikawa-concentrated IP merchandising, unproven MAISEAT, governance and nil dividends - and describes the 2026 share-price fall as a market de-rating with no disclosed event; sell-side targets fell from ~HK$1.3-1.6 to ~HK$0.9). No driver path was changed as a result; FY2026 MD&amp;A segment reviews and prospects remain the quantitative anchors.</t>
  </si>
  <si>
    <t xml:space="preserve">Scenario narrative: bear</t>
  </si>
  <si>
    <t xml:space="preserve">Ticketing take-rate regulation and concert-market normalisation flatten revenue for three years; the pop-toy IP cycle fades; film returns to losses; margins compress to 7.5%; capital is deployed at 3% of revenue into content and venues with no return and working capital absorbs cash. Net cash still provides most of the value - the risk the model cannot price is that the cash itself is spent badly or never returned.</t>
  </si>
  <si>
    <t xml:space="preserve">Scenario narrative: base</t>
  </si>
  <si>
    <t xml:space="preserve">Damai remains China's leading live-entertainment ticketing platform, growing a few points faster than a +6% industry while its gross margin stabilises around 50%; Alifish IP merchandising keeps compounding at 25% then decelerates as the flagship-store model matures; film is run as a small, low-risk slate and drama grows modestly off a lumpy year. Group revenue grows 11% in FY2027 fading to 3% by FY2034; operating EBITDA margin (pre-SBC, ex one-offs) rises from 10.1% to 13% on admin leverage; cash tax ramps 22% to 25%; capex converges to D&amp;A. The RMB10.8bn net cash pile (zero borrowings) is credited at face but earns nothing inside the flows. FY2026's RMB2.4bn owner FCF is treated as a working-capital windfall; the model's year-1 owner FCF is ~RMB480m, in line with the FY2024-26 average of RMB581m.</t>
  </si>
  <si>
    <t xml:space="preserve">Scenario narrative: bull</t>
  </si>
  <si>
    <t xml:space="preserve">IP merchandising and international (Maiseat, overseas tours) become second and third growth engines alongside ticketing; margins reach 15.5% by year 9; the ticketing float grows with GMV. Revenue roughly doubles over ten years.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</si>
  <si>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</si>
  <si>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</si>
  <si>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</si>
  <si>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</si>
  <si>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</si>
  <si>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</si>
  <si>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</si>
  <si>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</si>
  <si>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</si>
  <si>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</si>
  <si>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</si>
  <si>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</si>
  <si>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</si>
  <si>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</si>
  <si>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</si>
  <si>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</si>
  <si>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</si>
  <si>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</si>
  <si>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</si>
  <si>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</si>
  <si>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</si>
  <si>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</si>
  <si>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</si>
  <si>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</si>
  <si>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</si>
  <si>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</si>
  <si>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</si>
  <si>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NetIncomeTotal</t>
  </si>
  <si>
    <t xml:space="preserve">TermDeposits</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</si>
  <si>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</si>
  <si>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</si>
  <si>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</si>
  <si>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</si>
  <si>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</si>
  <si>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</si>
  <si>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</si>
  <si>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</si>
  <si>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</si>
  <si>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</si>
  <si>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</si>
  <si>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</si>
  <si>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</si>
  <si>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</si>
  <si>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</si>
  <si>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</si>
  <si>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</si>
  <si>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</si>
  <si>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</si>
  <si>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</si>
  <si>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</si>
  <si>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</si>
  <si>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</si>
  <si>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</si>
  <si>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</si>
  <si>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</si>
  <si>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</si>
  <si>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</si>
  <si>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</si>
  <si>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</si>
  <si>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</si>
  <si>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</si>
  <si>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</si>
  <si>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</si>
  <si>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</si>
  <si>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</si>
  <si>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</si>
  <si>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</si>
  <si>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</si>
  <si>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</si>
  <si>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</si>
  <si>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</si>
  <si>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</si>
  <si>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</si>
  <si>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</si>
  <si>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1060.HK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</si>
  <si>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</si>
  <si>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</si>
  <si>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</si>
  <si>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</si>
  <si>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</si>
  <si>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</si>
  <si>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</si>
  <si>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</si>
  <si>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</si>
  <si>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</si>
  <si>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</si>
  <si>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</si>
  <si>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</si>
  <si>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</si>
  <si>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</si>
  <si>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</si>
  <si>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</si>
  <si>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</si>
  <si>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</si>
  <si>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</si>
  <si>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</si>
  <si>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</si>
  <si>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</si>
  <si>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</si>
  <si>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</si>
  <si>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</si>
  <si>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</si>
  <si>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</si>
  <si>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</si>
  <si>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</si>
  <si>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1060.HK owner-FCF component DCF: base case (millions, CNY)</t>
  </si>
  <si>
    <t xml:space="preserve">1060.HK owner-FCF component DCF: bull case (millions, CNY)</t>
  </si>
  <si>
    <t xml:space="preserve">1060.HK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</si>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</sst>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0.445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row>
    <row r="2" customFormat="false" ht="15" hidden="false" customHeight="false" outlineLevel="0" collapsed="false">
      <c r="A2" s="0" t="s">
        <v>66</v>
      </c>
      <c r="B2" s="0" t="n">
        <v>3033.844</v>
      </c>
      <c r="C2" s="0" t="n">
        <v>1267.681</v>
      </c>
      <c r="D2" s="0" t="n">
        <v>1766.163</v>
      </c>
      <c r="E2" s="0" t="n">
        <v>58.2</v>
      </c>
      <c r="F2" s="0" t="n">
        <v>-496.996</v>
      </c>
      <c r="G2" s="0" t="n">
        <v>-16.4</v>
      </c>
      <c r="I2" s="0" t="n">
        <v>-253.57</v>
      </c>
      <c r="J2" s="0" t="n">
        <v>-8.4</v>
      </c>
      <c r="K2" s="0" t="n">
        <v>-0.01</v>
      </c>
      <c r="L2" s="0" t="n">
        <v>-1376.845</v>
      </c>
      <c r="M2" s="0" t="n">
        <v>58.682</v>
      </c>
      <c r="N2" s="0" t="n">
        <v>-1435.527</v>
      </c>
      <c r="O2" s="0" t="n">
        <v>14856.443</v>
      </c>
      <c r="P2" s="0" t="n">
        <v>16617.783</v>
      </c>
      <c r="Q2" s="0" t="n">
        <v>1665.588</v>
      </c>
      <c r="R2" s="0" t="n">
        <v>717.31</v>
      </c>
      <c r="S2" s="0" t="n">
        <v>3341.47</v>
      </c>
      <c r="T2" s="0" t="n">
        <v>25401.893</v>
      </c>
      <c r="U2" s="0" t="n">
        <v>54.943</v>
      </c>
      <c r="AA2" s="0" t="s">
        <v>18</v>
      </c>
      <c r="AB2" s="0" t="s">
        <v>14</v>
      </c>
      <c r="AC2" s="0" t="n">
        <v>-295.95</v>
      </c>
      <c r="AD2" s="0" t="n">
        <v>878.872</v>
      </c>
    </row>
    <row r="3" customFormat="false" ht="15" hidden="false" customHeight="false" outlineLevel="0" collapsed="false">
      <c r="A3" s="0" t="s">
        <v>67</v>
      </c>
      <c r="B3" s="0" t="n">
        <v>2874.694</v>
      </c>
      <c r="C3" s="0" t="n">
        <v>1307.95</v>
      </c>
      <c r="D3" s="0" t="n">
        <v>1566.744</v>
      </c>
      <c r="E3" s="0" t="n">
        <v>54.5</v>
      </c>
      <c r="F3" s="0" t="n">
        <v>-981.252</v>
      </c>
      <c r="G3" s="0" t="n">
        <v>-34.1</v>
      </c>
      <c r="I3" s="0" t="n">
        <v>-1150.57</v>
      </c>
      <c r="J3" s="0" t="n">
        <v>-40</v>
      </c>
      <c r="K3" s="0" t="n">
        <v>-0.0435</v>
      </c>
      <c r="L3" s="0" t="n">
        <v>-776.148</v>
      </c>
      <c r="M3" s="0" t="n">
        <v>11.843</v>
      </c>
      <c r="N3" s="0" t="n">
        <v>-787.991</v>
      </c>
      <c r="O3" s="0" t="n">
        <v>13898.376</v>
      </c>
      <c r="P3" s="0" t="n">
        <v>15847.879</v>
      </c>
      <c r="Q3" s="0" t="n">
        <v>1871.409</v>
      </c>
      <c r="R3" s="0" t="n">
        <v>394.435</v>
      </c>
      <c r="S3" s="0" t="n">
        <v>4004.528</v>
      </c>
      <c r="T3" s="0" t="n">
        <v>26478.317</v>
      </c>
      <c r="U3" s="0" t="n">
        <v>116.962</v>
      </c>
      <c r="AA3" s="0" t="s">
        <v>18</v>
      </c>
      <c r="AB3" s="0" t="s">
        <v>14</v>
      </c>
      <c r="AC3" s="0" t="n">
        <v>-1165.816</v>
      </c>
      <c r="AD3" s="0" t="n">
        <v>159.496</v>
      </c>
    </row>
    <row r="4" customFormat="false" ht="15" hidden="false" customHeight="false" outlineLevel="0" collapsed="false">
      <c r="A4" s="0" t="s">
        <v>68</v>
      </c>
      <c r="B4" s="0" t="n">
        <v>2858.897</v>
      </c>
      <c r="C4" s="0" t="n">
        <v>1471.489</v>
      </c>
      <c r="D4" s="0" t="n">
        <v>1387.408</v>
      </c>
      <c r="E4" s="0" t="n">
        <v>48.5</v>
      </c>
      <c r="F4" s="0" t="n">
        <v>-107.528</v>
      </c>
      <c r="G4" s="0" t="n">
        <v>-3.8</v>
      </c>
      <c r="I4" s="0" t="n">
        <v>-96.311</v>
      </c>
      <c r="J4" s="0" t="n">
        <v>-3.4</v>
      </c>
      <c r="K4" s="0" t="n">
        <v>-0.0036</v>
      </c>
      <c r="L4" s="0" t="n">
        <v>264.952</v>
      </c>
      <c r="M4" s="0" t="n">
        <v>22.458</v>
      </c>
      <c r="N4" s="0" t="n">
        <v>242.494</v>
      </c>
      <c r="O4" s="0" t="n">
        <v>13786.321</v>
      </c>
      <c r="P4" s="0" t="n">
        <v>15540.882</v>
      </c>
      <c r="Q4" s="0" t="n">
        <v>1702.944</v>
      </c>
      <c r="R4" s="0" t="n">
        <v>30</v>
      </c>
      <c r="S4" s="0" t="n">
        <v>3897.802</v>
      </c>
      <c r="T4" s="0" t="n">
        <v>26605.014</v>
      </c>
      <c r="U4" s="0" t="n">
        <v>142.042</v>
      </c>
      <c r="AA4" s="0" t="s">
        <v>18</v>
      </c>
      <c r="AB4" s="0" t="s">
        <v>14</v>
      </c>
      <c r="AC4" s="0" t="n">
        <v>-117.185</v>
      </c>
      <c r="AD4" s="0" t="n">
        <v>0</v>
      </c>
    </row>
    <row r="5" customFormat="false" ht="15" hidden="false" customHeight="false" outlineLevel="0" collapsed="false">
      <c r="A5" s="0" t="s">
        <v>69</v>
      </c>
      <c r="B5" s="0" t="n">
        <v>3652.17</v>
      </c>
      <c r="C5" s="0" t="n">
        <v>2157.025</v>
      </c>
      <c r="D5" s="0" t="n">
        <v>1495.145</v>
      </c>
      <c r="E5" s="0" t="n">
        <v>40.9</v>
      </c>
      <c r="F5" s="0" t="n">
        <v>279.216</v>
      </c>
      <c r="G5" s="0" t="n">
        <v>7.6</v>
      </c>
      <c r="I5" s="0" t="n">
        <v>169.853</v>
      </c>
      <c r="J5" s="0" t="n">
        <v>4.7</v>
      </c>
      <c r="K5" s="0" t="n">
        <v>0.0064</v>
      </c>
      <c r="L5" s="0" t="n">
        <v>-497.634</v>
      </c>
      <c r="M5" s="0" t="n">
        <v>16.535</v>
      </c>
      <c r="N5" s="0" t="n">
        <v>-514.169</v>
      </c>
      <c r="O5" s="0" t="n">
        <v>14017.107</v>
      </c>
      <c r="P5" s="0" t="n">
        <v>15576.698</v>
      </c>
      <c r="Q5" s="0" t="n">
        <v>1533.696</v>
      </c>
      <c r="R5" s="0" t="n">
        <v>9.375</v>
      </c>
      <c r="S5" s="0" t="n">
        <v>3538.214</v>
      </c>
      <c r="T5" s="0" t="n">
        <v>26614.256</v>
      </c>
      <c r="U5" s="0" t="n">
        <v>146.891</v>
      </c>
      <c r="AA5" s="0" t="s">
        <v>18</v>
      </c>
      <c r="AB5" s="0" t="s">
        <v>14</v>
      </c>
      <c r="AC5" s="0" t="n">
        <v>154.315</v>
      </c>
      <c r="AD5" s="0" t="n">
        <v>0</v>
      </c>
    </row>
    <row r="6" customFormat="false" ht="15" hidden="false" customHeight="false" outlineLevel="0" collapsed="false">
      <c r="A6" s="0" t="s">
        <v>70</v>
      </c>
      <c r="B6" s="0" t="n">
        <v>3520.357</v>
      </c>
      <c r="C6" s="0" t="n">
        <v>2390.888</v>
      </c>
      <c r="D6" s="0" t="n">
        <v>1129.469</v>
      </c>
      <c r="E6" s="0" t="n">
        <v>32.1</v>
      </c>
      <c r="F6" s="0" t="n">
        <v>-220.972</v>
      </c>
      <c r="G6" s="0" t="n">
        <v>-6.3</v>
      </c>
      <c r="I6" s="0" t="n">
        <v>-291.132</v>
      </c>
      <c r="J6" s="0" t="n">
        <v>-8.3</v>
      </c>
      <c r="K6" s="0" t="n">
        <v>-0.0109</v>
      </c>
      <c r="L6" s="0" t="n">
        <v>580.364</v>
      </c>
      <c r="M6" s="0" t="n">
        <v>9.858</v>
      </c>
      <c r="N6" s="0" t="n">
        <v>570.506</v>
      </c>
      <c r="O6" s="0" t="n">
        <v>14069.835</v>
      </c>
      <c r="P6" s="0" t="n">
        <v>15571.638</v>
      </c>
      <c r="Q6" s="0" t="n">
        <v>1461.427</v>
      </c>
      <c r="R6" s="0" t="n">
        <v>0</v>
      </c>
      <c r="S6" s="0" t="n">
        <v>3919.526</v>
      </c>
      <c r="T6" s="0" t="n">
        <v>26790.977</v>
      </c>
      <c r="U6" s="0" t="n">
        <v>147.152</v>
      </c>
      <c r="AA6" s="0" t="s">
        <v>18</v>
      </c>
      <c r="AB6" s="0" t="s">
        <v>14</v>
      </c>
      <c r="AC6" s="0" t="n">
        <v>-278.907</v>
      </c>
      <c r="AD6" s="0" t="n">
        <v>300.88</v>
      </c>
    </row>
    <row r="7" customFormat="false" ht="15" hidden="false" customHeight="false" outlineLevel="0" collapsed="false">
      <c r="A7" s="0" t="s">
        <v>71</v>
      </c>
      <c r="B7" s="0" t="n">
        <v>5035.713</v>
      </c>
      <c r="C7" s="0" t="n">
        <v>3018.67</v>
      </c>
      <c r="D7" s="0" t="n">
        <v>2017.043</v>
      </c>
      <c r="E7" s="0" t="n">
        <v>40.1</v>
      </c>
      <c r="F7" s="0" t="n">
        <v>309.68</v>
      </c>
      <c r="G7" s="0" t="n">
        <v>6.1</v>
      </c>
      <c r="I7" s="0" t="n">
        <v>284.79</v>
      </c>
      <c r="J7" s="0" t="n">
        <v>5.7</v>
      </c>
      <c r="K7" s="0" t="n">
        <v>0.0103</v>
      </c>
      <c r="L7" s="0" t="n">
        <v>822.191</v>
      </c>
      <c r="M7" s="0" t="n">
        <v>11.883</v>
      </c>
      <c r="N7" s="0" t="n">
        <v>810.308</v>
      </c>
      <c r="O7" s="0" t="n">
        <v>15722.396</v>
      </c>
      <c r="P7" s="0" t="n">
        <v>21459.9</v>
      </c>
      <c r="Q7" s="0" t="n">
        <v>5639.02</v>
      </c>
      <c r="R7" s="0" t="n">
        <v>0</v>
      </c>
      <c r="S7" s="0" t="n">
        <v>4413.697</v>
      </c>
      <c r="T7" s="0" t="n">
        <v>27651.787</v>
      </c>
      <c r="U7" s="0" t="n">
        <v>120.274</v>
      </c>
      <c r="AA7" s="0" t="s">
        <v>18</v>
      </c>
      <c r="AB7" s="0" t="s">
        <v>14</v>
      </c>
      <c r="AC7" s="0" t="n">
        <v>297.469</v>
      </c>
      <c r="AD7" s="0" t="n">
        <v>4220.65</v>
      </c>
    </row>
    <row r="8" customFormat="false" ht="15" hidden="false" customHeight="false" outlineLevel="0" collapsed="false">
      <c r="A8" s="0" t="s">
        <v>72</v>
      </c>
      <c r="B8" s="0" t="n">
        <v>6702.326</v>
      </c>
      <c r="C8" s="0" t="n">
        <v>4224.196</v>
      </c>
      <c r="D8" s="0" t="n">
        <v>2478.13</v>
      </c>
      <c r="E8" s="0" t="n">
        <v>37</v>
      </c>
      <c r="F8" s="0" t="n">
        <v>648.735</v>
      </c>
      <c r="G8" s="0" t="n">
        <v>9.7</v>
      </c>
      <c r="I8" s="0" t="n">
        <v>363.576</v>
      </c>
      <c r="J8" s="0" t="n">
        <v>5.4</v>
      </c>
      <c r="K8" s="0" t="n">
        <v>0.0123</v>
      </c>
      <c r="L8" s="0" t="n">
        <v>-1055.774</v>
      </c>
      <c r="M8" s="0" t="n">
        <v>176.409</v>
      </c>
      <c r="N8" s="0" t="n">
        <v>-1232.183</v>
      </c>
      <c r="O8" s="0" t="n">
        <v>16227.56</v>
      </c>
      <c r="P8" s="0" t="n">
        <v>23499.383</v>
      </c>
      <c r="Q8" s="0" t="n">
        <v>7034.083</v>
      </c>
      <c r="R8" s="0" t="n">
        <v>396.685</v>
      </c>
      <c r="S8" s="0" t="n">
        <v>2505.808</v>
      </c>
      <c r="T8" s="0" t="n">
        <v>29467.845</v>
      </c>
      <c r="U8" s="0" t="n">
        <v>124.815</v>
      </c>
      <c r="AA8" s="0" t="s">
        <v>18</v>
      </c>
      <c r="AB8" s="0" t="s">
        <v>14</v>
      </c>
      <c r="AC8" s="0" t="n">
        <v>386.392</v>
      </c>
      <c r="AD8" s="0" t="n">
        <v>5894.684</v>
      </c>
    </row>
    <row r="9" customFormat="false" ht="15" hidden="false" customHeight="false" outlineLevel="0" collapsed="false">
      <c r="A9" s="0" t="s">
        <v>73</v>
      </c>
      <c r="B9" s="0" t="n">
        <v>8024.447</v>
      </c>
      <c r="C9" s="0" t="n">
        <v>5259.221</v>
      </c>
      <c r="D9" s="0" t="n">
        <v>2765.226</v>
      </c>
      <c r="E9" s="0" t="n">
        <v>34.5</v>
      </c>
      <c r="F9" s="0" t="n">
        <v>738.19</v>
      </c>
      <c r="G9" s="0" t="n">
        <v>9.2</v>
      </c>
      <c r="I9" s="0" t="n">
        <v>705.193</v>
      </c>
      <c r="J9" s="0" t="n">
        <v>8.8</v>
      </c>
      <c r="K9" s="0" t="n">
        <v>0.0235</v>
      </c>
      <c r="L9" s="0" t="n">
        <v>2649.968</v>
      </c>
      <c r="M9" s="0" t="n">
        <v>163.41</v>
      </c>
      <c r="N9" s="0" t="n">
        <v>2486.558</v>
      </c>
      <c r="O9" s="0" t="n">
        <v>16832.41</v>
      </c>
      <c r="P9" s="0" t="n">
        <v>25879.937</v>
      </c>
      <c r="Q9" s="0" t="n">
        <v>8795.061</v>
      </c>
      <c r="R9" s="0" t="n">
        <v>0</v>
      </c>
      <c r="S9" s="0" t="n">
        <v>3573.632</v>
      </c>
      <c r="T9" s="0" t="n">
        <v>29636.119</v>
      </c>
      <c r="U9" s="0" t="n">
        <v>75.559</v>
      </c>
      <c r="AA9" s="0" t="s">
        <v>18</v>
      </c>
      <c r="AB9" s="0" t="s">
        <v>14</v>
      </c>
      <c r="AC9" s="0" t="n">
        <v>692.188</v>
      </c>
      <c r="AD9" s="0" t="n">
        <v>7264.815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0.445</v>
      </c>
    </row>
    <row r="3" customFormat="false" ht="15" hidden="false" customHeight="false" outlineLevel="0" collapsed="false">
      <c r="A3" s="0" t="s">
        <v>77</v>
      </c>
      <c r="B3" s="3" t="n">
        <v>29952.094</v>
      </c>
    </row>
    <row r="4" customFormat="false" ht="15" hidden="false" customHeight="false" outlineLevel="0" collapsed="false">
      <c r="A4" s="0" t="s">
        <v>78</v>
      </c>
      <c r="B4" s="3" t="n">
        <v>-10838.435</v>
      </c>
    </row>
    <row r="5" customFormat="false" ht="15" hidden="false" customHeight="false" outlineLevel="0" collapsed="false">
      <c r="A5" s="0" t="s">
        <v>79</v>
      </c>
      <c r="B5" s="3" t="n">
        <v>604.215</v>
      </c>
    </row>
    <row r="6" customFormat="false" ht="15" hidden="false" customHeight="false" outlineLevel="0" collapsed="false">
      <c r="A6" s="0" t="s">
        <v>80</v>
      </c>
      <c r="B6" s="3" t="n">
        <v>15</v>
      </c>
    </row>
    <row r="7" customFormat="false" ht="15" hidden="false" customHeight="false" outlineLevel="0" collapsed="false">
      <c r="A7" s="0" t="s">
        <v>81</v>
      </c>
      <c r="B7" s="3" t="n">
        <v>8024.447</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1.1722</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2</v>
      </c>
      <c r="D13" s="3" t="n">
        <v>0</v>
      </c>
      <c r="E13" s="3" t="n">
        <v>0</v>
      </c>
      <c r="F13" s="3" t="n">
        <v>1</v>
      </c>
      <c r="G13" s="3" t="n">
        <v>1</v>
      </c>
      <c r="H13" s="3" t="n">
        <v>2</v>
      </c>
      <c r="I13" s="3" t="n">
        <v>2</v>
      </c>
      <c r="J13" s="3" t="n">
        <v>2</v>
      </c>
      <c r="K13" s="3" t="n">
        <v>2</v>
      </c>
      <c r="L13" s="3" t="n">
        <v>2</v>
      </c>
    </row>
    <row r="14" customFormat="false" ht="15" hidden="false" customHeight="false" outlineLevel="0" collapsed="false">
      <c r="A14" s="0" t="s">
        <v>98</v>
      </c>
      <c r="C14" s="3" t="n">
        <v>9.5</v>
      </c>
      <c r="D14" s="3" t="n">
        <v>9</v>
      </c>
      <c r="E14" s="3" t="n">
        <v>8.5</v>
      </c>
      <c r="F14" s="3" t="n">
        <v>8</v>
      </c>
      <c r="G14" s="3" t="n">
        <v>7.8</v>
      </c>
      <c r="H14" s="3" t="n">
        <v>7.5</v>
      </c>
      <c r="I14" s="3" t="n">
        <v>7.5</v>
      </c>
      <c r="J14" s="3" t="n">
        <v>7.5</v>
      </c>
      <c r="K14" s="3" t="n">
        <v>7.5</v>
      </c>
      <c r="L14" s="3" t="n">
        <v>7.5</v>
      </c>
    </row>
    <row r="15" customFormat="false" ht="15" hidden="false" customHeight="false" outlineLevel="0" collapsed="false">
      <c r="A15" s="0" t="s">
        <v>99</v>
      </c>
      <c r="C15" s="3" t="n">
        <v>0.9</v>
      </c>
      <c r="D15" s="3" t="n">
        <v>0.9</v>
      </c>
      <c r="E15" s="3" t="n">
        <v>0.9</v>
      </c>
      <c r="F15" s="3" t="n">
        <v>0.9</v>
      </c>
      <c r="G15" s="3" t="n">
        <v>0.9</v>
      </c>
      <c r="H15" s="3" t="n">
        <v>0.9</v>
      </c>
      <c r="I15" s="3" t="n">
        <v>0.9</v>
      </c>
      <c r="J15" s="3" t="n">
        <v>0.9</v>
      </c>
      <c r="K15" s="3" t="n">
        <v>0.9</v>
      </c>
      <c r="L15" s="3" t="n">
        <v>0.9</v>
      </c>
    </row>
    <row r="16" customFormat="false" ht="15" hidden="false" customHeight="false" outlineLevel="0" collapsed="false">
      <c r="A16" s="0" t="s">
        <v>100</v>
      </c>
      <c r="C16" s="3" t="n">
        <v>0.45</v>
      </c>
      <c r="D16" s="3" t="n">
        <v>0.45</v>
      </c>
      <c r="E16" s="3" t="n">
        <v>0.45</v>
      </c>
      <c r="F16" s="3" t="n">
        <v>0.45</v>
      </c>
      <c r="G16" s="3" t="n">
        <v>0.45</v>
      </c>
      <c r="H16" s="3" t="n">
        <v>0.45</v>
      </c>
      <c r="I16" s="3" t="n">
        <v>0.45</v>
      </c>
      <c r="J16" s="3" t="n">
        <v>0.45</v>
      </c>
      <c r="K16" s="3" t="n">
        <v>0.45</v>
      </c>
      <c r="L16" s="3" t="n">
        <v>0.45</v>
      </c>
    </row>
    <row r="17" customFormat="false" ht="15" hidden="false" customHeight="false" outlineLevel="0" collapsed="false">
      <c r="A17" s="0" t="s">
        <v>101</v>
      </c>
      <c r="C17" s="3" t="n">
        <v>1.6</v>
      </c>
      <c r="D17" s="3" t="n">
        <v>1.6</v>
      </c>
      <c r="E17" s="3" t="n">
        <v>1.6</v>
      </c>
      <c r="F17" s="3" t="n">
        <v>1.6</v>
      </c>
      <c r="G17" s="3" t="n">
        <v>1.6</v>
      </c>
      <c r="H17" s="3" t="n">
        <v>1.6</v>
      </c>
      <c r="I17" s="3" t="n">
        <v>1.6</v>
      </c>
      <c r="J17" s="3" t="n">
        <v>1.6</v>
      </c>
      <c r="K17" s="3" t="n">
        <v>1.6</v>
      </c>
      <c r="L17" s="3" t="n">
        <v>1.6</v>
      </c>
    </row>
    <row r="18" customFormat="false" ht="15" hidden="false" customHeight="false" outlineLevel="0" collapsed="false">
      <c r="A18" s="0" t="s">
        <v>102</v>
      </c>
      <c r="C18" s="3" t="n">
        <v>3</v>
      </c>
      <c r="D18" s="3" t="n">
        <v>3</v>
      </c>
      <c r="E18" s="3" t="n">
        <v>3</v>
      </c>
      <c r="F18" s="3" t="n">
        <v>3</v>
      </c>
      <c r="G18" s="3" t="n">
        <v>3</v>
      </c>
      <c r="H18" s="3" t="n">
        <v>3</v>
      </c>
      <c r="I18" s="3" t="n">
        <v>3</v>
      </c>
      <c r="J18" s="3" t="n">
        <v>3</v>
      </c>
      <c r="K18" s="3" t="n">
        <v>3</v>
      </c>
      <c r="L18" s="3" t="n">
        <v>3</v>
      </c>
    </row>
    <row r="19" customFormat="false" ht="15" hidden="false" customHeight="false" outlineLevel="0" collapsed="false">
      <c r="A19" s="0" t="s">
        <v>103</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104</v>
      </c>
      <c r="B20" s="3" t="n">
        <v>9</v>
      </c>
    </row>
    <row r="21" customFormat="false" ht="15" hidden="false" customHeight="false" outlineLevel="0" collapsed="false">
      <c r="A21" s="0" t="s">
        <v>105</v>
      </c>
      <c r="B21" s="3" t="n">
        <v>2</v>
      </c>
    </row>
    <row r="22" customFormat="false" ht="15" hidden="false" customHeight="false" outlineLevel="0" collapsed="false">
      <c r="A22" s="0" t="s">
        <v>106</v>
      </c>
      <c r="B22" s="3" t="n">
        <v>15</v>
      </c>
    </row>
    <row r="23" customFormat="false" ht="15" hidden="false" customHeight="false" outlineLevel="0" collapsed="false">
      <c r="A23" s="0" t="s">
        <v>107</v>
      </c>
      <c r="B23" s="3" t="n">
        <v>-5</v>
      </c>
    </row>
    <row r="24" customFormat="false" ht="15" hidden="false" customHeight="false" outlineLevel="0" collapsed="false">
      <c r="A24" s="0" t="s">
        <v>108</v>
      </c>
      <c r="B24" s="3" t="n">
        <v>0.25</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11</v>
      </c>
      <c r="D27" s="3" t="n">
        <v>9</v>
      </c>
      <c r="E27" s="3" t="n">
        <v>7</v>
      </c>
      <c r="F27" s="3" t="n">
        <v>6</v>
      </c>
      <c r="G27" s="3" t="n">
        <v>5</v>
      </c>
      <c r="H27" s="3" t="n">
        <v>4</v>
      </c>
      <c r="I27" s="3" t="n">
        <v>3.5</v>
      </c>
      <c r="J27" s="3" t="n">
        <v>3</v>
      </c>
      <c r="K27" s="3" t="n">
        <v>3</v>
      </c>
      <c r="L27" s="3" t="n">
        <v>3</v>
      </c>
    </row>
    <row r="28" customFormat="false" ht="15" hidden="false" customHeight="false" outlineLevel="0" collapsed="false">
      <c r="A28" s="0" t="s">
        <v>98</v>
      </c>
      <c r="C28" s="3" t="n">
        <v>10.3</v>
      </c>
      <c r="D28" s="3" t="n">
        <v>10.8</v>
      </c>
      <c r="E28" s="3" t="n">
        <v>11.3</v>
      </c>
      <c r="F28" s="3" t="n">
        <v>11.8</v>
      </c>
      <c r="G28" s="3" t="n">
        <v>12.2</v>
      </c>
      <c r="H28" s="3" t="n">
        <v>12.5</v>
      </c>
      <c r="I28" s="3" t="n">
        <v>12.8</v>
      </c>
      <c r="J28" s="3" t="n">
        <v>13</v>
      </c>
      <c r="K28" s="3" t="n">
        <v>13</v>
      </c>
      <c r="L28" s="3" t="n">
        <v>13</v>
      </c>
    </row>
    <row r="29" customFormat="false" ht="15" hidden="false" customHeight="false" outlineLevel="0" collapsed="false">
      <c r="A29" s="0" t="s">
        <v>99</v>
      </c>
      <c r="C29" s="3" t="n">
        <v>0.9</v>
      </c>
      <c r="D29" s="3" t="n">
        <v>0.9</v>
      </c>
      <c r="E29" s="3" t="n">
        <v>0.9</v>
      </c>
      <c r="F29" s="3" t="n">
        <v>0.85</v>
      </c>
      <c r="G29" s="3" t="n">
        <v>0.85</v>
      </c>
      <c r="H29" s="3" t="n">
        <v>0.8</v>
      </c>
      <c r="I29" s="3" t="n">
        <v>0.8</v>
      </c>
      <c r="J29" s="3" t="n">
        <v>0.8</v>
      </c>
      <c r="K29" s="3" t="n">
        <v>0.8</v>
      </c>
      <c r="L29" s="3" t="n">
        <v>0.8</v>
      </c>
    </row>
    <row r="30" customFormat="false" ht="15" hidden="false" customHeight="false" outlineLevel="0" collapsed="false">
      <c r="A30" s="0" t="s">
        <v>100</v>
      </c>
      <c r="C30" s="3" t="n">
        <v>0.45</v>
      </c>
      <c r="D30" s="3" t="n">
        <v>0.45</v>
      </c>
      <c r="E30" s="3" t="n">
        <v>0.45</v>
      </c>
      <c r="F30" s="3" t="n">
        <v>0.45</v>
      </c>
      <c r="G30" s="3" t="n">
        <v>0.45</v>
      </c>
      <c r="H30" s="3" t="n">
        <v>0.45</v>
      </c>
      <c r="I30" s="3" t="n">
        <v>0.45</v>
      </c>
      <c r="J30" s="3" t="n">
        <v>0.45</v>
      </c>
      <c r="K30" s="3" t="n">
        <v>0.45</v>
      </c>
      <c r="L30" s="3" t="n">
        <v>0.45</v>
      </c>
    </row>
    <row r="31" customFormat="false" ht="15" hidden="false" customHeight="false" outlineLevel="0" collapsed="false">
      <c r="A31" s="0" t="s">
        <v>101</v>
      </c>
      <c r="C31" s="3" t="n">
        <v>1.6</v>
      </c>
      <c r="D31" s="3" t="n">
        <v>1.6</v>
      </c>
      <c r="E31" s="3" t="n">
        <v>1.6</v>
      </c>
      <c r="F31" s="3" t="n">
        <v>1.6</v>
      </c>
      <c r="G31" s="3" t="n">
        <v>1.6</v>
      </c>
      <c r="H31" s="3" t="n">
        <v>1.5</v>
      </c>
      <c r="I31" s="3" t="n">
        <v>1.5</v>
      </c>
      <c r="J31" s="3" t="n">
        <v>1.5</v>
      </c>
      <c r="K31" s="3" t="n">
        <v>1.5</v>
      </c>
      <c r="L31" s="3" t="n">
        <v>1.5</v>
      </c>
    </row>
    <row r="32" customFormat="false" ht="15" hidden="false" customHeight="false" outlineLevel="0" collapsed="false">
      <c r="A32" s="0" t="s">
        <v>102</v>
      </c>
      <c r="C32" s="3" t="n">
        <v>2</v>
      </c>
      <c r="D32" s="3" t="n">
        <v>2</v>
      </c>
      <c r="E32" s="3" t="n">
        <v>1.8</v>
      </c>
      <c r="F32" s="3" t="n">
        <v>1.8</v>
      </c>
      <c r="G32" s="3" t="n">
        <v>1.6</v>
      </c>
      <c r="H32" s="3" t="n">
        <v>1.6</v>
      </c>
      <c r="I32" s="3" t="n">
        <v>1.5</v>
      </c>
      <c r="J32" s="3" t="n">
        <v>1.5</v>
      </c>
      <c r="K32" s="3" t="n">
        <v>1.5</v>
      </c>
      <c r="L32" s="3" t="n">
        <v>1.5</v>
      </c>
    </row>
    <row r="33" customFormat="false" ht="15" hidden="false" customHeight="false" outlineLevel="0" collapsed="false">
      <c r="A33" s="0" t="s">
        <v>103</v>
      </c>
      <c r="C33" s="3" t="n">
        <v>22</v>
      </c>
      <c r="D33" s="3" t="n">
        <v>23</v>
      </c>
      <c r="E33" s="3" t="n">
        <v>24</v>
      </c>
      <c r="F33" s="3" t="n">
        <v>25</v>
      </c>
      <c r="G33" s="3" t="n">
        <v>25</v>
      </c>
      <c r="H33" s="3" t="n">
        <v>25</v>
      </c>
      <c r="I33" s="3" t="n">
        <v>25</v>
      </c>
      <c r="J33" s="3" t="n">
        <v>25</v>
      </c>
      <c r="K33" s="3" t="n">
        <v>25</v>
      </c>
      <c r="L33" s="3" t="n">
        <v>25</v>
      </c>
    </row>
    <row r="34" customFormat="false" ht="15" hidden="false" customHeight="false" outlineLevel="0" collapsed="false">
      <c r="A34" s="0" t="s">
        <v>104</v>
      </c>
      <c r="B34" s="3" t="n">
        <v>9</v>
      </c>
    </row>
    <row r="35" customFormat="false" ht="15" hidden="false" customHeight="false" outlineLevel="0" collapsed="false">
      <c r="A35" s="0" t="s">
        <v>105</v>
      </c>
      <c r="B35" s="3" t="n">
        <v>2.5</v>
      </c>
    </row>
    <row r="36" customFormat="false" ht="15" hidden="false" customHeight="false" outlineLevel="0" collapsed="false">
      <c r="A36" s="0" t="s">
        <v>106</v>
      </c>
      <c r="B36" s="3" t="n">
        <v>15</v>
      </c>
    </row>
    <row r="37" customFormat="false" ht="15" hidden="false" customHeight="false" outlineLevel="0" collapsed="false">
      <c r="A37" s="0" t="s">
        <v>107</v>
      </c>
      <c r="B37" s="3" t="n">
        <v>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16</v>
      </c>
      <c r="D41" s="3" t="n">
        <v>14</v>
      </c>
      <c r="E41" s="3" t="n">
        <v>12</v>
      </c>
      <c r="F41" s="3" t="n">
        <v>10</v>
      </c>
      <c r="G41" s="3" t="n">
        <v>8</v>
      </c>
      <c r="H41" s="3" t="n">
        <v>6</v>
      </c>
      <c r="I41" s="3" t="n">
        <v>5</v>
      </c>
      <c r="J41" s="3" t="n">
        <v>4</v>
      </c>
      <c r="K41" s="3" t="n">
        <v>3.5</v>
      </c>
      <c r="L41" s="3" t="n">
        <v>3</v>
      </c>
    </row>
    <row r="42" customFormat="false" ht="15" hidden="false" customHeight="false" outlineLevel="0" collapsed="false">
      <c r="A42" s="0" t="s">
        <v>98</v>
      </c>
      <c r="C42" s="3" t="n">
        <v>10.8</v>
      </c>
      <c r="D42" s="3" t="n">
        <v>11.8</v>
      </c>
      <c r="E42" s="3" t="n">
        <v>12.8</v>
      </c>
      <c r="F42" s="3" t="n">
        <v>13.6</v>
      </c>
      <c r="G42" s="3" t="n">
        <v>14.2</v>
      </c>
      <c r="H42" s="3" t="n">
        <v>14.7</v>
      </c>
      <c r="I42" s="3" t="n">
        <v>15.1</v>
      </c>
      <c r="J42" s="3" t="n">
        <v>15.4</v>
      </c>
      <c r="K42" s="3" t="n">
        <v>15.5</v>
      </c>
      <c r="L42" s="3" t="n">
        <v>15.5</v>
      </c>
    </row>
    <row r="43" customFormat="false" ht="15" hidden="false" customHeight="false" outlineLevel="0" collapsed="false">
      <c r="A43" s="0" t="s">
        <v>99</v>
      </c>
      <c r="C43" s="3" t="n">
        <v>0.9</v>
      </c>
      <c r="D43" s="3" t="n">
        <v>0.9</v>
      </c>
      <c r="E43" s="3" t="n">
        <v>0.85</v>
      </c>
      <c r="F43" s="3" t="n">
        <v>0.85</v>
      </c>
      <c r="G43" s="3" t="n">
        <v>0.8</v>
      </c>
      <c r="H43" s="3" t="n">
        <v>0.8</v>
      </c>
      <c r="I43" s="3" t="n">
        <v>0.8</v>
      </c>
      <c r="J43" s="3" t="n">
        <v>0.8</v>
      </c>
      <c r="K43" s="3" t="n">
        <v>0.8</v>
      </c>
      <c r="L43" s="3" t="n">
        <v>0.8</v>
      </c>
    </row>
    <row r="44" customFormat="false" ht="15" hidden="false" customHeight="false" outlineLevel="0" collapsed="false">
      <c r="A44" s="0" t="s">
        <v>100</v>
      </c>
      <c r="C44" s="3" t="n">
        <v>0.45</v>
      </c>
      <c r="D44" s="3" t="n">
        <v>0.45</v>
      </c>
      <c r="E44" s="3" t="n">
        <v>0.45</v>
      </c>
      <c r="F44" s="3" t="n">
        <v>0.45</v>
      </c>
      <c r="G44" s="3" t="n">
        <v>0.45</v>
      </c>
      <c r="H44" s="3" t="n">
        <v>0.45</v>
      </c>
      <c r="I44" s="3" t="n">
        <v>0.45</v>
      </c>
      <c r="J44" s="3" t="n">
        <v>0.45</v>
      </c>
      <c r="K44" s="3" t="n">
        <v>0.45</v>
      </c>
      <c r="L44" s="3" t="n">
        <v>0.45</v>
      </c>
    </row>
    <row r="45" customFormat="false" ht="15" hidden="false" customHeight="false" outlineLevel="0" collapsed="false">
      <c r="A45" s="0" t="s">
        <v>101</v>
      </c>
      <c r="C45" s="3" t="n">
        <v>1.6</v>
      </c>
      <c r="D45" s="3" t="n">
        <v>1.6</v>
      </c>
      <c r="E45" s="3" t="n">
        <v>1.6</v>
      </c>
      <c r="F45" s="3" t="n">
        <v>1.5</v>
      </c>
      <c r="G45" s="3" t="n">
        <v>1.5</v>
      </c>
      <c r="H45" s="3" t="n">
        <v>1.5</v>
      </c>
      <c r="I45" s="3" t="n">
        <v>1.5</v>
      </c>
      <c r="J45" s="3" t="n">
        <v>1.5</v>
      </c>
      <c r="K45" s="3" t="n">
        <v>1.5</v>
      </c>
      <c r="L45" s="3" t="n">
        <v>1.5</v>
      </c>
    </row>
    <row r="46" customFormat="false" ht="15" hidden="false" customHeight="false" outlineLevel="0" collapsed="false">
      <c r="A46" s="0" t="s">
        <v>102</v>
      </c>
      <c r="C46" s="3" t="n">
        <v>2</v>
      </c>
      <c r="D46" s="3" t="n">
        <v>1.9</v>
      </c>
      <c r="E46" s="3" t="n">
        <v>1.8</v>
      </c>
      <c r="F46" s="3" t="n">
        <v>1.7</v>
      </c>
      <c r="G46" s="3" t="n">
        <v>1.6</v>
      </c>
      <c r="H46" s="3" t="n">
        <v>1.5</v>
      </c>
      <c r="I46" s="3" t="n">
        <v>1.5</v>
      </c>
      <c r="J46" s="3" t="n">
        <v>1.5</v>
      </c>
      <c r="K46" s="3" t="n">
        <v>1.5</v>
      </c>
      <c r="L46" s="3" t="n">
        <v>1.5</v>
      </c>
    </row>
    <row r="47" customFormat="false" ht="15" hidden="false" customHeight="false" outlineLevel="0" collapsed="false">
      <c r="A47" s="0" t="s">
        <v>103</v>
      </c>
      <c r="C47" s="3" t="n">
        <v>22</v>
      </c>
      <c r="D47" s="3" t="n">
        <v>23</v>
      </c>
      <c r="E47" s="3" t="n">
        <v>24</v>
      </c>
      <c r="F47" s="3" t="n">
        <v>25</v>
      </c>
      <c r="G47" s="3" t="n">
        <v>25</v>
      </c>
      <c r="H47" s="3" t="n">
        <v>25</v>
      </c>
      <c r="I47" s="3" t="n">
        <v>25</v>
      </c>
      <c r="J47" s="3" t="n">
        <v>25</v>
      </c>
      <c r="K47" s="3" t="n">
        <v>25</v>
      </c>
      <c r="L47" s="3" t="n">
        <v>25</v>
      </c>
    </row>
    <row r="48" customFormat="false" ht="15" hidden="false" customHeight="false" outlineLevel="0" collapsed="false">
      <c r="A48" s="0" t="s">
        <v>104</v>
      </c>
      <c r="B48" s="3" t="n">
        <v>9</v>
      </c>
    </row>
    <row r="49" customFormat="false" ht="15" hidden="false" customHeight="false" outlineLevel="0" collapsed="false">
      <c r="A49" s="0" t="s">
        <v>105</v>
      </c>
      <c r="B49" s="3" t="n">
        <v>2.5</v>
      </c>
    </row>
    <row r="50" customFormat="false" ht="15" hidden="false" customHeight="false" outlineLevel="0" collapsed="false">
      <c r="A50" s="0" t="s">
        <v>106</v>
      </c>
      <c r="B50" s="3" t="n">
        <v>15</v>
      </c>
    </row>
    <row r="51" customFormat="false" ht="15" hidden="false" customHeight="false" outlineLevel="0" collapsed="false">
      <c r="A51" s="0" t="s">
        <v>107</v>
      </c>
      <c r="B51" s="3" t="n">
        <v>5</v>
      </c>
    </row>
    <row r="52" customFormat="false" ht="15" hidden="false" customHeight="false" outlineLevel="0" collapsed="false">
      <c r="A52" s="0" t="s">
        <v>108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2</v>
      </c>
      <c r="D5" s="4" t="n">
        <f aca="false">Assumptions!D13</f>
        <v>0</v>
      </c>
      <c r="E5" s="4" t="n">
        <f aca="false">Assumptions!E13</f>
        <v>0</v>
      </c>
      <c r="F5" s="4" t="n">
        <f aca="false">Assumptions!F13</f>
        <v>1</v>
      </c>
      <c r="G5" s="4" t="n">
        <f aca="false">Assumptions!G13</f>
        <v>1</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8024.447</v>
      </c>
      <c r="C6" s="0" t="n">
        <f aca="false">B6*(1+C5/100)</f>
        <v>8184.93594</v>
      </c>
      <c r="D6" s="0" t="n">
        <f aca="false">C6*(1+D5/100)</f>
        <v>8184.93594</v>
      </c>
      <c r="E6" s="0" t="n">
        <f aca="false">D6*(1+E5/100)</f>
        <v>8184.93594</v>
      </c>
      <c r="F6" s="0" t="n">
        <f aca="false">E6*(1+F5/100)</f>
        <v>8266.7852994</v>
      </c>
      <c r="G6" s="0" t="n">
        <f aca="false">F6*(1+G5/100)</f>
        <v>8349.453152394</v>
      </c>
      <c r="H6" s="0" t="n">
        <f aca="false">G6*(1+H5/100)</f>
        <v>8516.44221544188</v>
      </c>
      <c r="I6" s="0" t="n">
        <f aca="false">H6*(1+I5/100)</f>
        <v>8686.77105975072</v>
      </c>
      <c r="J6" s="0" t="n">
        <f aca="false">I6*(1+J5/100)</f>
        <v>8860.50648094573</v>
      </c>
      <c r="K6" s="0" t="n">
        <f aca="false">J6*(1+K5/100)</f>
        <v>9037.71661056465</v>
      </c>
      <c r="L6" s="0" t="n">
        <f aca="false">K6*(1+L5/100)</f>
        <v>9218.47094277594</v>
      </c>
    </row>
    <row r="7" customFormat="false" ht="15" hidden="false" customHeight="false" outlineLevel="0" collapsed="false">
      <c r="A7" s="0" t="s">
        <v>98</v>
      </c>
      <c r="C7" s="4" t="n">
        <f aca="false">Assumptions!C14</f>
        <v>9.5</v>
      </c>
      <c r="D7" s="4" t="n">
        <f aca="false">Assumptions!D14</f>
        <v>9</v>
      </c>
      <c r="E7" s="4" t="n">
        <f aca="false">Assumptions!E14</f>
        <v>8.5</v>
      </c>
      <c r="F7" s="4" t="n">
        <f aca="false">Assumptions!F14</f>
        <v>8</v>
      </c>
      <c r="G7" s="4" t="n">
        <f aca="false">Assumptions!G14</f>
        <v>7.8</v>
      </c>
      <c r="H7" s="4" t="n">
        <f aca="false">Assumptions!H14</f>
        <v>7.5</v>
      </c>
      <c r="I7" s="4" t="n">
        <f aca="false">Assumptions!I14</f>
        <v>7.5</v>
      </c>
      <c r="J7" s="4" t="n">
        <f aca="false">Assumptions!J14</f>
        <v>7.5</v>
      </c>
      <c r="K7" s="4" t="n">
        <f aca="false">Assumptions!K14</f>
        <v>7.5</v>
      </c>
      <c r="L7" s="4" t="n">
        <f aca="false">Assumptions!L14</f>
        <v>7.5</v>
      </c>
    </row>
    <row r="8" customFormat="false" ht="15" hidden="false" customHeight="false" outlineLevel="0" collapsed="false">
      <c r="A8" s="0" t="s">
        <v>44</v>
      </c>
      <c r="C8" s="0" t="n">
        <f aca="false">C6*C7/100</f>
        <v>777.5689143</v>
      </c>
      <c r="D8" s="0" t="n">
        <f aca="false">D6*D7/100</f>
        <v>736.6442346</v>
      </c>
      <c r="E8" s="0" t="n">
        <f aca="false">E6*E7/100</f>
        <v>695.7195549</v>
      </c>
      <c r="F8" s="0" t="n">
        <f aca="false">F6*F7/100</f>
        <v>661.342823952</v>
      </c>
      <c r="G8" s="0" t="n">
        <f aca="false">G6*G7/100</f>
        <v>651.257345886732</v>
      </c>
      <c r="H8" s="0" t="n">
        <f aca="false">H6*H7/100</f>
        <v>638.733166158141</v>
      </c>
      <c r="I8" s="0" t="n">
        <f aca="false">I6*I7/100</f>
        <v>651.507829481304</v>
      </c>
      <c r="J8" s="0" t="n">
        <f aca="false">J6*J7/100</f>
        <v>664.53798607093</v>
      </c>
      <c r="K8" s="0" t="n">
        <f aca="false">K6*K7/100</f>
        <v>677.828745792349</v>
      </c>
      <c r="L8" s="0" t="n">
        <f aca="false">L6*L7/100</f>
        <v>691.385320708196</v>
      </c>
    </row>
    <row r="9" customFormat="false" ht="15" hidden="false" customHeight="false" outlineLevel="0" collapsed="false">
      <c r="A9" s="0" t="s">
        <v>99</v>
      </c>
      <c r="C9" s="4" t="n">
        <f aca="false">Assumptions!C15</f>
        <v>0.9</v>
      </c>
      <c r="D9" s="4" t="n">
        <f aca="false">Assumptions!D15</f>
        <v>0.9</v>
      </c>
      <c r="E9" s="4" t="n">
        <f aca="false">Assumptions!E15</f>
        <v>0.9</v>
      </c>
      <c r="F9" s="4" t="n">
        <f aca="false">Assumptions!F15</f>
        <v>0.9</v>
      </c>
      <c r="G9" s="4" t="n">
        <f aca="false">Assumptions!G15</f>
        <v>0.9</v>
      </c>
      <c r="H9" s="4" t="n">
        <f aca="false">Assumptions!H15</f>
        <v>0.9</v>
      </c>
      <c r="I9" s="4" t="n">
        <f aca="false">Assumptions!I15</f>
        <v>0.9</v>
      </c>
      <c r="J9" s="4" t="n">
        <f aca="false">Assumptions!J15</f>
        <v>0.9</v>
      </c>
      <c r="K9" s="4" t="n">
        <f aca="false">Assumptions!K15</f>
        <v>0.9</v>
      </c>
      <c r="L9" s="4" t="n">
        <f aca="false">Assumptions!L15</f>
        <v>0.9</v>
      </c>
    </row>
    <row r="10" customFormat="false" ht="15" hidden="false" customHeight="false" outlineLevel="0" collapsed="false">
      <c r="A10" s="0" t="s">
        <v>114</v>
      </c>
      <c r="C10" s="0" t="n">
        <f aca="false">-C6*C9/100</f>
        <v>-73.66442346</v>
      </c>
      <c r="D10" s="0" t="n">
        <f aca="false">-D6*D9/100</f>
        <v>-73.66442346</v>
      </c>
      <c r="E10" s="0" t="n">
        <f aca="false">-E6*E9/100</f>
        <v>-73.66442346</v>
      </c>
      <c r="F10" s="0" t="n">
        <f aca="false">-F6*F9/100</f>
        <v>-74.4010676946</v>
      </c>
      <c r="G10" s="0" t="n">
        <f aca="false">-G6*G9/100</f>
        <v>-75.145078371546</v>
      </c>
      <c r="H10" s="0" t="n">
        <f aca="false">-H6*H9/100</f>
        <v>-76.6479799389769</v>
      </c>
      <c r="I10" s="0" t="n">
        <f aca="false">-I6*I9/100</f>
        <v>-78.1809395377565</v>
      </c>
      <c r="J10" s="0" t="n">
        <f aca="false">-J6*J9/100</f>
        <v>-79.7445583285116</v>
      </c>
      <c r="K10" s="0" t="n">
        <f aca="false">-K6*K9/100</f>
        <v>-81.3394494950819</v>
      </c>
      <c r="L10" s="0" t="n">
        <f aca="false">-L6*L9/100</f>
        <v>-82.9662384849835</v>
      </c>
    </row>
    <row r="11" customFormat="false" ht="15" hidden="false" customHeight="false" outlineLevel="0" collapsed="false">
      <c r="A11" s="0" t="s">
        <v>115</v>
      </c>
      <c r="C11" s="0" t="n">
        <f aca="false">C8+C10+C24</f>
        <v>667.07227911</v>
      </c>
      <c r="D11" s="0" t="n">
        <f aca="false">D8+D10+D24</f>
        <v>626.14759941</v>
      </c>
      <c r="E11" s="0" t="n">
        <f aca="false">E8+E10+E24</f>
        <v>585.22291971</v>
      </c>
      <c r="F11" s="0" t="n">
        <f aca="false">F8+F10+F24</f>
        <v>549.7412224101</v>
      </c>
      <c r="G11" s="0" t="n">
        <f aca="false">G8+G10+G24</f>
        <v>538.539728329413</v>
      </c>
      <c r="H11" s="0" t="n">
        <f aca="false">H8+H10+H24</f>
        <v>523.761196249676</v>
      </c>
      <c r="I11" s="0" t="n">
        <f aca="false">I8+I10+I24</f>
        <v>534.236420174669</v>
      </c>
      <c r="J11" s="0" t="n">
        <f aca="false">J8+J10+J24</f>
        <v>544.921148578163</v>
      </c>
      <c r="K11" s="0" t="n">
        <f aca="false">K8+K10+K24</f>
        <v>555.819571549726</v>
      </c>
      <c r="L11" s="0" t="n">
        <f aca="false">L8+L10+L24</f>
        <v>566.93596298072</v>
      </c>
    </row>
    <row r="12" customFormat="false" ht="15" hidden="false" customHeight="false" outlineLevel="0" collapsed="false">
      <c r="A12" s="0" t="s">
        <v>116</v>
      </c>
      <c r="C12" s="4" t="n">
        <f aca="false">-C6*Assumptions!C17/100</f>
        <v>-130.95897504</v>
      </c>
      <c r="D12" s="4" t="n">
        <f aca="false">-D6*Assumptions!D17/100</f>
        <v>-130.95897504</v>
      </c>
      <c r="E12" s="4" t="n">
        <f aca="false">-E6*Assumptions!E17/100</f>
        <v>-130.95897504</v>
      </c>
      <c r="F12" s="4" t="n">
        <f aca="false">-F6*Assumptions!F17/100</f>
        <v>-132.2685647904</v>
      </c>
      <c r="G12" s="4" t="n">
        <f aca="false">-G6*Assumptions!G17/100</f>
        <v>-133.591250438304</v>
      </c>
      <c r="H12" s="4" t="n">
        <f aca="false">-H6*Assumptions!H17/100</f>
        <v>-136.26307544707</v>
      </c>
      <c r="I12" s="4" t="n">
        <f aca="false">-I6*Assumptions!I17/100</f>
        <v>-138.988336956012</v>
      </c>
      <c r="J12" s="4" t="n">
        <f aca="false">-J6*Assumptions!J17/100</f>
        <v>-141.768103695132</v>
      </c>
      <c r="K12" s="4" t="n">
        <f aca="false">-K6*Assumptions!K17/100</f>
        <v>-144.603465769034</v>
      </c>
      <c r="L12" s="4" t="n">
        <f aca="false">-L6*Assumptions!L17/100</f>
        <v>-147.495535084415</v>
      </c>
    </row>
    <row r="13" customFormat="false" ht="15" hidden="false" customHeight="false" outlineLevel="0" collapsed="false">
      <c r="A13" s="0" t="s">
        <v>117</v>
      </c>
      <c r="C13" s="0" t="n">
        <f aca="false">C11+C12</f>
        <v>536.11330407</v>
      </c>
      <c r="D13" s="0" t="n">
        <f aca="false">D11+D12</f>
        <v>495.18862437</v>
      </c>
      <c r="E13" s="0" t="n">
        <f aca="false">E11+E12</f>
        <v>454.26394467</v>
      </c>
      <c r="F13" s="0" t="n">
        <f aca="false">F11+F12</f>
        <v>417.4726576197</v>
      </c>
      <c r="G13" s="0" t="n">
        <f aca="false">G11+G12</f>
        <v>404.948477891109</v>
      </c>
      <c r="H13" s="0" t="n">
        <f aca="false">H11+H12</f>
        <v>387.498120802605</v>
      </c>
      <c r="I13" s="0" t="n">
        <f aca="false">I11+I12</f>
        <v>395.248083218658</v>
      </c>
      <c r="J13" s="0" t="n">
        <f aca="false">J11+J12</f>
        <v>403.153044883031</v>
      </c>
      <c r="K13" s="0" t="n">
        <f aca="false">K11+K12</f>
        <v>411.216105780692</v>
      </c>
      <c r="L13" s="0" t="n">
        <f aca="false">L11+L12</f>
        <v>419.440427896305</v>
      </c>
    </row>
    <row r="14" customFormat="false" ht="15" hidden="false" customHeight="false" outlineLevel="0" collapsed="false">
      <c r="A14" s="0" t="s">
        <v>103</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118</v>
      </c>
      <c r="C15" s="0" t="n">
        <f aca="false">C13-MAX(0,C13)*C14/100</f>
        <v>402.0849780525</v>
      </c>
      <c r="D15" s="0" t="n">
        <f aca="false">D13-MAX(0,D13)*D14/100</f>
        <v>371.3914682775</v>
      </c>
      <c r="E15" s="0" t="n">
        <f aca="false">E13-MAX(0,E13)*E14/100</f>
        <v>340.6979585025</v>
      </c>
      <c r="F15" s="0" t="n">
        <f aca="false">F13-MAX(0,F13)*F14/100</f>
        <v>313.104493214775</v>
      </c>
      <c r="G15" s="0" t="n">
        <f aca="false">G13-MAX(0,G13)*G14/100</f>
        <v>303.711358418332</v>
      </c>
      <c r="H15" s="0" t="n">
        <f aca="false">H13-MAX(0,H13)*H14/100</f>
        <v>290.623590601954</v>
      </c>
      <c r="I15" s="0" t="n">
        <f aca="false">I13-MAX(0,I13)*I14/100</f>
        <v>296.436062413993</v>
      </c>
      <c r="J15" s="0" t="n">
        <f aca="false">J13-MAX(0,J13)*J14/100</f>
        <v>302.364783662273</v>
      </c>
      <c r="K15" s="0" t="n">
        <f aca="false">K13-MAX(0,K13)*K14/100</f>
        <v>308.412079335519</v>
      </c>
      <c r="L15" s="0" t="n">
        <f aca="false">L13-MAX(0,L13)*L14/100</f>
        <v>314.580320922229</v>
      </c>
    </row>
    <row r="16" customFormat="false" ht="15" hidden="false" customHeight="false" outlineLevel="0" collapsed="false">
      <c r="A16" s="0" t="s">
        <v>119</v>
      </c>
      <c r="C16" s="0" t="n">
        <f aca="false">-C12</f>
        <v>130.95897504</v>
      </c>
      <c r="D16" s="0" t="n">
        <f aca="false">-D12</f>
        <v>130.95897504</v>
      </c>
      <c r="E16" s="0" t="n">
        <f aca="false">-E12</f>
        <v>130.95897504</v>
      </c>
      <c r="F16" s="0" t="n">
        <f aca="false">-F12</f>
        <v>132.2685647904</v>
      </c>
      <c r="G16" s="0" t="n">
        <f aca="false">-G12</f>
        <v>133.591250438304</v>
      </c>
      <c r="H16" s="0" t="n">
        <f aca="false">-H12</f>
        <v>136.26307544707</v>
      </c>
      <c r="I16" s="0" t="n">
        <f aca="false">-I12</f>
        <v>138.988336956012</v>
      </c>
      <c r="J16" s="0" t="n">
        <f aca="false">-J12</f>
        <v>141.768103695132</v>
      </c>
      <c r="K16" s="0" t="n">
        <f aca="false">-K12</f>
        <v>144.603465769034</v>
      </c>
      <c r="L16" s="0" t="n">
        <f aca="false">-L12</f>
        <v>147.495535084415</v>
      </c>
    </row>
    <row r="17" customFormat="false" ht="15" hidden="false" customHeight="false" outlineLevel="0" collapsed="false">
      <c r="A17" s="0" t="s">
        <v>120</v>
      </c>
      <c r="C17" s="4" t="n">
        <f aca="false">-C6*Assumptions!C18/100</f>
        <v>-245.5480782</v>
      </c>
      <c r="D17" s="4" t="n">
        <f aca="false">-D6*Assumptions!D18/100</f>
        <v>-245.5480782</v>
      </c>
      <c r="E17" s="4" t="n">
        <f aca="false">-E6*Assumptions!E18/100</f>
        <v>-245.5480782</v>
      </c>
      <c r="F17" s="4" t="n">
        <f aca="false">-F6*Assumptions!F18/100</f>
        <v>-248.003558982</v>
      </c>
      <c r="G17" s="4" t="n">
        <f aca="false">-G6*Assumptions!G18/100</f>
        <v>-250.48359457182</v>
      </c>
      <c r="H17" s="4" t="n">
        <f aca="false">-H6*Assumptions!H18/100</f>
        <v>-255.493266463256</v>
      </c>
      <c r="I17" s="4" t="n">
        <f aca="false">-I6*Assumptions!I18/100</f>
        <v>-260.603131792522</v>
      </c>
      <c r="J17" s="4" t="n">
        <f aca="false">-J6*Assumptions!J18/100</f>
        <v>-265.815194428372</v>
      </c>
      <c r="K17" s="4" t="n">
        <f aca="false">-K6*Assumptions!K18/100</f>
        <v>-271.13149831694</v>
      </c>
      <c r="L17" s="4" t="n">
        <f aca="false">-L6*Assumptions!L18/100</f>
        <v>-276.554128283278</v>
      </c>
    </row>
    <row r="18" customFormat="false" ht="15" hidden="false" customHeight="false" outlineLevel="0" collapsed="false">
      <c r="A18" s="0" t="s">
        <v>121</v>
      </c>
      <c r="C18" s="4" t="n">
        <f aca="false">(C6-B6)*Assumptions!$B$23/100</f>
        <v>-8.02444700000001</v>
      </c>
      <c r="D18" s="4" t="n">
        <f aca="false">(D6-C6)*Assumptions!$B$23/100</f>
        <v>-0</v>
      </c>
      <c r="E18" s="4" t="n">
        <f aca="false">(E6-D6)*Assumptions!$B$23/100</f>
        <v>-0</v>
      </c>
      <c r="F18" s="4" t="n">
        <f aca="false">(F6-E6)*Assumptions!$B$23/100</f>
        <v>-4.09246797000001</v>
      </c>
      <c r="G18" s="4" t="n">
        <f aca="false">(G6-F6)*Assumptions!$B$23/100</f>
        <v>-4.1333926497</v>
      </c>
      <c r="H18" s="4" t="n">
        <f aca="false">(H6-G6)*Assumptions!$B$23/100</f>
        <v>-8.34945315239402</v>
      </c>
      <c r="I18" s="4" t="n">
        <f aca="false">(I6-H6)*Assumptions!$B$23/100</f>
        <v>-8.51644221544193</v>
      </c>
      <c r="J18" s="4" t="n">
        <f aca="false">(J6-I6)*Assumptions!$B$23/100</f>
        <v>-8.68677105975075</v>
      </c>
      <c r="K18" s="4" t="n">
        <f aca="false">(K6-J6)*Assumptions!$B$23/100</f>
        <v>-8.86050648094579</v>
      </c>
      <c r="L18" s="4" t="n">
        <f aca="false">(L6-K6)*Assumptions!$B$23/100</f>
        <v>-9.03771661056462</v>
      </c>
    </row>
    <row r="19" customFormat="false" ht="15" hidden="false" customHeight="false" outlineLevel="0" collapsed="false">
      <c r="A19" s="0" t="s">
        <v>122</v>
      </c>
      <c r="C19" s="0" t="n">
        <f aca="false">C15+C16+C17+C18</f>
        <v>279.4714278925</v>
      </c>
      <c r="D19" s="0" t="n">
        <f aca="false">D15+D16+D17+D18</f>
        <v>256.8023651175</v>
      </c>
      <c r="E19" s="0" t="n">
        <f aca="false">E15+E16+E17+E18</f>
        <v>226.1088553425</v>
      </c>
      <c r="F19" s="0" t="n">
        <f aca="false">F15+F16+F17+F18</f>
        <v>193.277031053175</v>
      </c>
      <c r="G19" s="0" t="n">
        <f aca="false">G15+G16+G17+G18</f>
        <v>182.685621635116</v>
      </c>
      <c r="H19" s="0" t="n">
        <f aca="false">H15+H16+H17+H18</f>
        <v>163.043946433374</v>
      </c>
      <c r="I19" s="0" t="n">
        <f aca="false">I15+I16+I17+I18</f>
        <v>166.304825362041</v>
      </c>
      <c r="J19" s="0" t="n">
        <f aca="false">J15+J16+J17+J18</f>
        <v>169.630921869282</v>
      </c>
      <c r="K19" s="0" t="n">
        <f aca="false">K15+K16+K17+K18</f>
        <v>173.023540306668</v>
      </c>
      <c r="L19" s="0" t="n">
        <f aca="false">L15+L16+L17+L18</f>
        <v>176.484011112801</v>
      </c>
    </row>
    <row r="20" customFormat="false" ht="15" hidden="false" customHeight="false" outlineLevel="0" collapsed="false">
      <c r="A20" s="0" t="s">
        <v>123</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124</v>
      </c>
      <c r="C21" s="0" t="n">
        <f aca="false">C19*C20</f>
        <v>256.395805405963</v>
      </c>
      <c r="D21" s="0" t="n">
        <f aca="false">D19*D20</f>
        <v>216.145412942934</v>
      </c>
      <c r="E21" s="0" t="n">
        <f aca="false">E19*E20</f>
        <v>174.597522790995</v>
      </c>
      <c r="F21" s="0" t="n">
        <f aca="false">F19*F20</f>
        <v>136.9223215179</v>
      </c>
      <c r="G21" s="0" t="n">
        <f aca="false">G19*G20</f>
        <v>118.733119326086</v>
      </c>
      <c r="H21" s="0" t="n">
        <f aca="false">H19*H20</f>
        <v>97.2177781036658</v>
      </c>
      <c r="I21" s="0" t="n">
        <f aca="false">I19*I20</f>
        <v>90.974434555724</v>
      </c>
      <c r="J21" s="0" t="n">
        <f aca="false">J19*J20</f>
        <v>85.1320396759986</v>
      </c>
      <c r="K21" s="0" t="n">
        <f aca="false">K19*K20</f>
        <v>79.6648444674483</v>
      </c>
      <c r="L21" s="0" t="n">
        <f aca="false">L19*L20</f>
        <v>74.5487535383461</v>
      </c>
    </row>
    <row r="23" customFormat="false" ht="15" hidden="false" customHeight="false" outlineLevel="0" collapsed="false">
      <c r="A23" s="0" t="s">
        <v>100</v>
      </c>
      <c r="C23" s="4" t="n">
        <f aca="false">Assumptions!C16</f>
        <v>0.45</v>
      </c>
      <c r="D23" s="4" t="n">
        <f aca="false">Assumptions!D16</f>
        <v>0.45</v>
      </c>
      <c r="E23" s="4" t="n">
        <f aca="false">Assumptions!E16</f>
        <v>0.45</v>
      </c>
      <c r="F23" s="4" t="n">
        <f aca="false">Assumptions!F16</f>
        <v>0.45</v>
      </c>
      <c r="G23" s="4" t="n">
        <f aca="false">Assumptions!G16</f>
        <v>0.45</v>
      </c>
      <c r="H23" s="4" t="n">
        <f aca="false">Assumptions!H16</f>
        <v>0.45</v>
      </c>
      <c r="I23" s="4" t="n">
        <f aca="false">Assumptions!I16</f>
        <v>0.45</v>
      </c>
      <c r="J23" s="4" t="n">
        <f aca="false">Assumptions!J16</f>
        <v>0.45</v>
      </c>
      <c r="K23" s="4" t="n">
        <f aca="false">Assumptions!K16</f>
        <v>0.45</v>
      </c>
      <c r="L23" s="4" t="n">
        <f aca="false">Assumptions!L16</f>
        <v>0.45</v>
      </c>
    </row>
    <row r="24" customFormat="false" ht="15" hidden="false" customHeight="false" outlineLevel="0" collapsed="false">
      <c r="A24" s="0" t="s">
        <v>125</v>
      </c>
      <c r="C24" s="0" t="n">
        <f aca="false">-C6*C23/100</f>
        <v>-36.83221173</v>
      </c>
      <c r="D24" s="0" t="n">
        <f aca="false">-D6*D23/100</f>
        <v>-36.83221173</v>
      </c>
      <c r="E24" s="0" t="n">
        <f aca="false">-E6*E23/100</f>
        <v>-36.83221173</v>
      </c>
      <c r="F24" s="0" t="n">
        <f aca="false">-F6*F23/100</f>
        <v>-37.2005338473</v>
      </c>
      <c r="G24" s="0" t="n">
        <f aca="false">-G6*G23/100</f>
        <v>-37.572539185773</v>
      </c>
      <c r="H24" s="0" t="n">
        <f aca="false">-H6*H23/100</f>
        <v>-38.3239899694885</v>
      </c>
      <c r="I24" s="0" t="n">
        <f aca="false">-I6*I23/100</f>
        <v>-39.0904697688782</v>
      </c>
      <c r="J24" s="0" t="n">
        <f aca="false">-J6*J23/100</f>
        <v>-39.8722791642558</v>
      </c>
      <c r="K24" s="0" t="n">
        <f aca="false">-K6*K23/100</f>
        <v>-40.6697247475409</v>
      </c>
      <c r="L24" s="0" t="n">
        <f aca="false">-L6*L23/100</f>
        <v>-41.4831192424917</v>
      </c>
    </row>
    <row r="26" customFormat="false" ht="15" hidden="false" customHeight="false" outlineLevel="0" collapsed="false">
      <c r="A26" s="2" t="s">
        <v>126</v>
      </c>
    </row>
    <row r="27" customFormat="false" ht="15" hidden="false" customHeight="false" outlineLevel="0" collapsed="false">
      <c r="A27" s="0" t="s">
        <v>104</v>
      </c>
      <c r="B27" s="4" t="n">
        <f aca="false">Assumptions!$B$20</f>
        <v>9</v>
      </c>
    </row>
    <row r="28" customFormat="false" ht="15" hidden="false" customHeight="false" outlineLevel="0" collapsed="false">
      <c r="A28" s="0" t="s">
        <v>105</v>
      </c>
      <c r="B28" s="4" t="n">
        <f aca="false">Assumptions!$B$21</f>
        <v>2</v>
      </c>
    </row>
    <row r="29" customFormat="false" ht="15" hidden="false" customHeight="false" outlineLevel="0" collapsed="false">
      <c r="A29" s="0" t="s">
        <v>106</v>
      </c>
      <c r="B29" s="4" t="n">
        <f aca="false">Assumptions!$B$22</f>
        <v>15</v>
      </c>
    </row>
    <row r="30" customFormat="false" ht="15" hidden="false" customHeight="false" outlineLevel="0" collapsed="false">
      <c r="A30" s="0" t="s">
        <v>127</v>
      </c>
      <c r="B30" s="0" t="n">
        <f aca="false">SUM(C21:L21)</f>
        <v>1330.33203232506</v>
      </c>
    </row>
    <row r="31" customFormat="false" ht="15" hidden="false" customHeight="false" outlineLevel="0" collapsed="false">
      <c r="A31" s="0" t="s">
        <v>128</v>
      </c>
      <c r="B31" s="0" t="n">
        <f aca="false">L19</f>
        <v>176.484011112801</v>
      </c>
    </row>
    <row r="32" customFormat="false" ht="15" hidden="false" customHeight="false" outlineLevel="0" collapsed="false">
      <c r="A32" s="0" t="s">
        <v>129</v>
      </c>
      <c r="B32" s="0" t="n">
        <f aca="false">IF(B27&gt;B28,B31*(1+B28/100)/((B27-B28)/100),B31*B29)</f>
        <v>2571.62416192939</v>
      </c>
    </row>
    <row r="33" customFormat="false" ht="15" hidden="false" customHeight="false" outlineLevel="0" collapsed="false">
      <c r="A33" s="0" t="s">
        <v>130</v>
      </c>
      <c r="B33" s="0" t="n">
        <f aca="false">B31*B29</f>
        <v>2647.26016669202</v>
      </c>
    </row>
    <row r="34" customFormat="false" ht="15" hidden="false" customHeight="false" outlineLevel="0" collapsed="false">
      <c r="A34" s="0" t="s">
        <v>131</v>
      </c>
      <c r="B34" s="0" t="n">
        <f aca="false">MAX(0,MIN(B32,B33))</f>
        <v>2571.62416192939</v>
      </c>
    </row>
    <row r="35" customFormat="false" ht="15" hidden="false" customHeight="false" outlineLevel="0" collapsed="false">
      <c r="A35" s="0" t="s">
        <v>132</v>
      </c>
      <c r="B35" s="0" t="n">
        <f aca="false">B34/(1+B27/100)^L4</f>
        <v>1086.28183727304</v>
      </c>
    </row>
    <row r="36" customFormat="false" ht="15" hidden="false" customHeight="false" outlineLevel="0" collapsed="false">
      <c r="A36" s="0" t="s">
        <v>133</v>
      </c>
      <c r="B36" s="0" t="n">
        <f aca="false">B30+B35</f>
        <v>2416.6138695981</v>
      </c>
    </row>
    <row r="37" customFormat="false" ht="15" hidden="false" customHeight="false" outlineLevel="0" collapsed="false">
      <c r="A37" s="0" t="s">
        <v>134</v>
      </c>
      <c r="B37" s="0" t="n">
        <f aca="false">B36+Assumptions!$B$5-Assumptions!$B$4</f>
        <v>13859.2638695981</v>
      </c>
    </row>
    <row r="38" customFormat="false" ht="15" hidden="false" customHeight="false" outlineLevel="0" collapsed="false">
      <c r="A38" s="0" t="s">
        <v>135</v>
      </c>
      <c r="B38" s="0" t="n">
        <f aca="false">B37/Assumptions!$B$3*Assumptions!$B$10</f>
        <v>0.542393767458893</v>
      </c>
    </row>
    <row r="39" customFormat="false" ht="15" hidden="false" customHeight="false" outlineLevel="0" collapsed="false">
      <c r="A39" s="0" t="s">
        <v>136</v>
      </c>
      <c r="B39" s="4" t="n">
        <f aca="false">B38/Assumptions!$B$2-1</f>
        <v>0.218862398784029</v>
      </c>
    </row>
    <row r="41" customFormat="false" ht="15" hidden="false" customHeight="false" outlineLevel="0" collapsed="false">
      <c r="A41" s="0" t="s">
        <v>137</v>
      </c>
      <c r="B41" s="0" t="n">
        <f aca="false">SUMPRODUCT(-C10:L10/(1+$B$27/100)^C4:L4)</f>
        <v>489.001319226134</v>
      </c>
    </row>
    <row r="42" customFormat="false" ht="15" hidden="false" customHeight="false" outlineLevel="0" collapsed="false">
      <c r="A42" s="0" t="s">
        <v>138</v>
      </c>
      <c r="B42" s="0" t="n">
        <f aca="false">IF(B27&gt;B28,-L10*(1+B28/100)/((B27-B28)/100),-L10*20)/(1+B27/100)^L4</f>
        <v>510.667892263041</v>
      </c>
    </row>
    <row r="43" customFormat="false" ht="15" hidden="false" customHeight="false" outlineLevel="0" collapsed="false">
      <c r="A43" s="0" t="s">
        <v>139</v>
      </c>
      <c r="B43" s="0" t="n">
        <f aca="false">(B37+B41+B42)/Assumptions!$B$3*Assumptions!$B$10</f>
        <v>0.581516649809209</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1384.72070257736</v>
      </c>
    </row>
    <row r="47" customFormat="false" ht="15" hidden="false" customHeight="false" outlineLevel="0" collapsed="false">
      <c r="A47" s="0" t="s">
        <v>141</v>
      </c>
      <c r="B47" s="0" t="n">
        <f aca="false">(SUMPRODUCT(C19:L19/(1+B45/100)^C4:L4)+B46/(1+B45/100)^L4+Assumptions!$B$5-Assumptions!$B$4)/Assumptions!$B$3*Assumptions!$B$10</f>
        <v>0.503028584164275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11</v>
      </c>
      <c r="D5" s="4" t="n">
        <f aca="false">Assumptions!D27</f>
        <v>9</v>
      </c>
      <c r="E5" s="4" t="n">
        <f aca="false">Assumptions!E27</f>
        <v>7</v>
      </c>
      <c r="F5" s="4" t="n">
        <f aca="false">Assumptions!F27</f>
        <v>6</v>
      </c>
      <c r="G5" s="4" t="n">
        <f aca="false">Assumptions!G27</f>
        <v>5</v>
      </c>
      <c r="H5" s="4" t="n">
        <f aca="false">Assumptions!H27</f>
        <v>4</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38</v>
      </c>
      <c r="B6" s="3" t="n">
        <v>8024.447</v>
      </c>
      <c r="C6" s="0" t="n">
        <f aca="false">B6*(1+C5/100)</f>
        <v>8907.13617</v>
      </c>
      <c r="D6" s="0" t="n">
        <f aca="false">C6*(1+D5/100)</f>
        <v>9708.7784253</v>
      </c>
      <c r="E6" s="0" t="n">
        <f aca="false">D6*(1+E5/100)</f>
        <v>10388.392915071</v>
      </c>
      <c r="F6" s="0" t="n">
        <f aca="false">E6*(1+F5/100)</f>
        <v>11011.6964899753</v>
      </c>
      <c r="G6" s="0" t="n">
        <f aca="false">F6*(1+G5/100)</f>
        <v>11562.281314474</v>
      </c>
      <c r="H6" s="0" t="n">
        <f aca="false">G6*(1+H5/100)</f>
        <v>12024.772567053</v>
      </c>
      <c r="I6" s="0" t="n">
        <f aca="false">H6*(1+I5/100)</f>
        <v>12445.6396068998</v>
      </c>
      <c r="J6" s="0" t="n">
        <f aca="false">I6*(1+J5/100)</f>
        <v>12819.0087951068</v>
      </c>
      <c r="K6" s="0" t="n">
        <f aca="false">J6*(1+K5/100)</f>
        <v>13203.57905896</v>
      </c>
      <c r="L6" s="0" t="n">
        <f aca="false">K6*(1+L5/100)</f>
        <v>13599.6864307288</v>
      </c>
    </row>
    <row r="7" customFormat="false" ht="15" hidden="false" customHeight="false" outlineLevel="0" collapsed="false">
      <c r="A7" s="0" t="s">
        <v>98</v>
      </c>
      <c r="C7" s="4" t="n">
        <f aca="false">Assumptions!C28</f>
        <v>10.3</v>
      </c>
      <c r="D7" s="4" t="n">
        <f aca="false">Assumptions!D28</f>
        <v>10.8</v>
      </c>
      <c r="E7" s="4" t="n">
        <f aca="false">Assumptions!E28</f>
        <v>11.3</v>
      </c>
      <c r="F7" s="4" t="n">
        <f aca="false">Assumptions!F28</f>
        <v>11.8</v>
      </c>
      <c r="G7" s="4" t="n">
        <f aca="false">Assumptions!G28</f>
        <v>12.2</v>
      </c>
      <c r="H7" s="4" t="n">
        <f aca="false">Assumptions!H28</f>
        <v>12.5</v>
      </c>
      <c r="I7" s="4" t="n">
        <f aca="false">Assumptions!I28</f>
        <v>12.8</v>
      </c>
      <c r="J7" s="4" t="n">
        <f aca="false">Assumptions!J28</f>
        <v>13</v>
      </c>
      <c r="K7" s="4" t="n">
        <f aca="false">Assumptions!K28</f>
        <v>13</v>
      </c>
      <c r="L7" s="4" t="n">
        <f aca="false">Assumptions!L28</f>
        <v>13</v>
      </c>
    </row>
    <row r="8" customFormat="false" ht="15" hidden="false" customHeight="false" outlineLevel="0" collapsed="false">
      <c r="A8" s="0" t="s">
        <v>44</v>
      </c>
      <c r="C8" s="0" t="n">
        <f aca="false">C6*C7/100</f>
        <v>917.43502551</v>
      </c>
      <c r="D8" s="0" t="n">
        <f aca="false">D6*D7/100</f>
        <v>1048.5480699324</v>
      </c>
      <c r="E8" s="0" t="n">
        <f aca="false">E6*E7/100</f>
        <v>1173.88839940302</v>
      </c>
      <c r="F8" s="0" t="n">
        <f aca="false">F6*F7/100</f>
        <v>1299.38018581708</v>
      </c>
      <c r="G8" s="0" t="n">
        <f aca="false">G6*G7/100</f>
        <v>1410.59832036583</v>
      </c>
      <c r="H8" s="0" t="n">
        <f aca="false">H6*H7/100</f>
        <v>1503.09657088162</v>
      </c>
      <c r="I8" s="0" t="n">
        <f aca="false">I6*I7/100</f>
        <v>1593.04186968318</v>
      </c>
      <c r="J8" s="0" t="n">
        <f aca="false">J6*J7/100</f>
        <v>1666.47114336389</v>
      </c>
      <c r="K8" s="0" t="n">
        <f aca="false">K6*K7/100</f>
        <v>1716.46527766481</v>
      </c>
      <c r="L8" s="0" t="n">
        <f aca="false">L6*L7/100</f>
        <v>1767.95923599475</v>
      </c>
    </row>
    <row r="9" customFormat="false" ht="15" hidden="false" customHeight="false" outlineLevel="0" collapsed="false">
      <c r="A9" s="0" t="s">
        <v>99</v>
      </c>
      <c r="C9" s="4" t="n">
        <f aca="false">Assumptions!C29</f>
        <v>0.9</v>
      </c>
      <c r="D9" s="4" t="n">
        <f aca="false">Assumptions!D29</f>
        <v>0.9</v>
      </c>
      <c r="E9" s="4" t="n">
        <f aca="false">Assumptions!E29</f>
        <v>0.9</v>
      </c>
      <c r="F9" s="4" t="n">
        <f aca="false">Assumptions!F29</f>
        <v>0.85</v>
      </c>
      <c r="G9" s="4" t="n">
        <f aca="false">Assumptions!G29</f>
        <v>0.85</v>
      </c>
      <c r="H9" s="4" t="n">
        <f aca="false">Assumptions!H29</f>
        <v>0.8</v>
      </c>
      <c r="I9" s="4" t="n">
        <f aca="false">Assumptions!I29</f>
        <v>0.8</v>
      </c>
      <c r="J9" s="4" t="n">
        <f aca="false">Assumptions!J29</f>
        <v>0.8</v>
      </c>
      <c r="K9" s="4" t="n">
        <f aca="false">Assumptions!K29</f>
        <v>0.8</v>
      </c>
      <c r="L9" s="4" t="n">
        <f aca="false">Assumptions!L29</f>
        <v>0.8</v>
      </c>
    </row>
    <row r="10" customFormat="false" ht="15" hidden="false" customHeight="false" outlineLevel="0" collapsed="false">
      <c r="A10" s="0" t="s">
        <v>114</v>
      </c>
      <c r="C10" s="0" t="n">
        <f aca="false">-C6*C9/100</f>
        <v>-80.16422553</v>
      </c>
      <c r="D10" s="0" t="n">
        <f aca="false">-D6*D9/100</f>
        <v>-87.3790058277</v>
      </c>
      <c r="E10" s="0" t="n">
        <f aca="false">-E6*E9/100</f>
        <v>-93.495536235639</v>
      </c>
      <c r="F10" s="0" t="n">
        <f aca="false">-F6*F9/100</f>
        <v>-93.5994201647897</v>
      </c>
      <c r="G10" s="0" t="n">
        <f aca="false">-G6*G9/100</f>
        <v>-98.2793911730292</v>
      </c>
      <c r="H10" s="0" t="n">
        <f aca="false">-H6*H9/100</f>
        <v>-96.1981805364239</v>
      </c>
      <c r="I10" s="0" t="n">
        <f aca="false">-I6*I9/100</f>
        <v>-99.5651168551987</v>
      </c>
      <c r="J10" s="0" t="n">
        <f aca="false">-J6*J9/100</f>
        <v>-102.552070360855</v>
      </c>
      <c r="K10" s="0" t="n">
        <f aca="false">-K6*K9/100</f>
        <v>-105.62863247168</v>
      </c>
      <c r="L10" s="0" t="n">
        <f aca="false">-L6*L9/100</f>
        <v>-108.797491445831</v>
      </c>
    </row>
    <row r="11" customFormat="false" ht="15" hidden="false" customHeight="false" outlineLevel="0" collapsed="false">
      <c r="A11" s="0" t="s">
        <v>115</v>
      </c>
      <c r="C11" s="0" t="n">
        <f aca="false">C8+C10+C24</f>
        <v>797.188687215</v>
      </c>
      <c r="D11" s="0" t="n">
        <f aca="false">D8+D10+D24</f>
        <v>917.479561190851</v>
      </c>
      <c r="E11" s="0" t="n">
        <f aca="false">E8+E10+E24</f>
        <v>1033.64509504956</v>
      </c>
      <c r="F11" s="0" t="n">
        <f aca="false">F8+F10+F24</f>
        <v>1156.2281314474</v>
      </c>
      <c r="G11" s="0" t="n">
        <f aca="false">G8+G10+G24</f>
        <v>1260.28866327767</v>
      </c>
      <c r="H11" s="0" t="n">
        <f aca="false">H8+H10+H24</f>
        <v>1352.78691379346</v>
      </c>
      <c r="I11" s="0" t="n">
        <f aca="false">I8+I10+I24</f>
        <v>1437.47137459693</v>
      </c>
      <c r="J11" s="0" t="n">
        <f aca="false">J8+J10+J24</f>
        <v>1506.23353342505</v>
      </c>
      <c r="K11" s="0" t="n">
        <f aca="false">K8+K10+K24</f>
        <v>1551.42053942781</v>
      </c>
      <c r="L11" s="0" t="n">
        <f aca="false">L8+L10+L24</f>
        <v>1597.96315561064</v>
      </c>
    </row>
    <row r="12" customFormat="false" ht="15" hidden="false" customHeight="false" outlineLevel="0" collapsed="false">
      <c r="A12" s="0" t="s">
        <v>116</v>
      </c>
      <c r="C12" s="4" t="n">
        <f aca="false">-C6*Assumptions!C31/100</f>
        <v>-142.51417872</v>
      </c>
      <c r="D12" s="4" t="n">
        <f aca="false">-D6*Assumptions!D31/100</f>
        <v>-155.3404548048</v>
      </c>
      <c r="E12" s="4" t="n">
        <f aca="false">-E6*Assumptions!E31/100</f>
        <v>-166.214286641136</v>
      </c>
      <c r="F12" s="4" t="n">
        <f aca="false">-F6*Assumptions!F31/100</f>
        <v>-176.187143839604</v>
      </c>
      <c r="G12" s="4" t="n">
        <f aca="false">-G6*Assumptions!G31/100</f>
        <v>-184.996501031584</v>
      </c>
      <c r="H12" s="4" t="n">
        <f aca="false">-H6*Assumptions!H31/100</f>
        <v>-180.371588505795</v>
      </c>
      <c r="I12" s="4" t="n">
        <f aca="false">-I6*Assumptions!I31/100</f>
        <v>-186.684594103498</v>
      </c>
      <c r="J12" s="4" t="n">
        <f aca="false">-J6*Assumptions!J31/100</f>
        <v>-192.285131926603</v>
      </c>
      <c r="K12" s="4" t="n">
        <f aca="false">-K6*Assumptions!K31/100</f>
        <v>-198.053685884401</v>
      </c>
      <c r="L12" s="4" t="n">
        <f aca="false">-L6*Assumptions!L31/100</f>
        <v>-203.995296460933</v>
      </c>
    </row>
    <row r="13" customFormat="false" ht="15" hidden="false" customHeight="false" outlineLevel="0" collapsed="false">
      <c r="A13" s="0" t="s">
        <v>117</v>
      </c>
      <c r="C13" s="0" t="n">
        <f aca="false">C11+C12</f>
        <v>654.674508495</v>
      </c>
      <c r="D13" s="0" t="n">
        <f aca="false">D11+D12</f>
        <v>762.139106386051</v>
      </c>
      <c r="E13" s="0" t="n">
        <f aca="false">E11+E12</f>
        <v>867.430808408429</v>
      </c>
      <c r="F13" s="0" t="n">
        <f aca="false">F11+F12</f>
        <v>980.040987607799</v>
      </c>
      <c r="G13" s="0" t="n">
        <f aca="false">G11+G12</f>
        <v>1075.29216224608</v>
      </c>
      <c r="H13" s="0" t="n">
        <f aca="false">H11+H12</f>
        <v>1172.41532528767</v>
      </c>
      <c r="I13" s="0" t="n">
        <f aca="false">I11+I12</f>
        <v>1250.78678049343</v>
      </c>
      <c r="J13" s="0" t="n">
        <f aca="false">J11+J12</f>
        <v>1313.94840149845</v>
      </c>
      <c r="K13" s="0" t="n">
        <f aca="false">K11+K12</f>
        <v>1353.3668535434</v>
      </c>
      <c r="L13" s="0" t="n">
        <f aca="false">L11+L12</f>
        <v>1393.96785914971</v>
      </c>
    </row>
    <row r="14" customFormat="false" ht="15" hidden="false" customHeight="false" outlineLevel="0" collapsed="false">
      <c r="A14" s="0" t="s">
        <v>103</v>
      </c>
      <c r="C14" s="4" t="n">
        <f aca="false">Assumptions!C33</f>
        <v>22</v>
      </c>
      <c r="D14" s="4" t="n">
        <f aca="false">Assumptions!D33</f>
        <v>23</v>
      </c>
      <c r="E14" s="4" t="n">
        <f aca="false">Assumptions!E33</f>
        <v>24</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118</v>
      </c>
      <c r="C15" s="0" t="n">
        <f aca="false">C13-MAX(0,C13)*C14/100</f>
        <v>510.6461166261</v>
      </c>
      <c r="D15" s="0" t="n">
        <f aca="false">D13-MAX(0,D13)*D14/100</f>
        <v>586.847111917259</v>
      </c>
      <c r="E15" s="0" t="n">
        <f aca="false">E13-MAX(0,E13)*E14/100</f>
        <v>659.247414390406</v>
      </c>
      <c r="F15" s="0" t="n">
        <f aca="false">F13-MAX(0,F13)*F14/100</f>
        <v>735.030740705849</v>
      </c>
      <c r="G15" s="0" t="n">
        <f aca="false">G13-MAX(0,G13)*G14/100</f>
        <v>806.469121684563</v>
      </c>
      <c r="H15" s="0" t="n">
        <f aca="false">H13-MAX(0,H13)*H14/100</f>
        <v>879.31149396575</v>
      </c>
      <c r="I15" s="0" t="n">
        <f aca="false">I13-MAX(0,I13)*I14/100</f>
        <v>938.090085370076</v>
      </c>
      <c r="J15" s="0" t="n">
        <f aca="false">J13-MAX(0,J13)*J14/100</f>
        <v>985.461301123838</v>
      </c>
      <c r="K15" s="0" t="n">
        <f aca="false">K13-MAX(0,K13)*K14/100</f>
        <v>1015.02514015755</v>
      </c>
      <c r="L15" s="0" t="n">
        <f aca="false">L13-MAX(0,L13)*L14/100</f>
        <v>1045.47589436228</v>
      </c>
    </row>
    <row r="16" customFormat="false" ht="15" hidden="false" customHeight="false" outlineLevel="0" collapsed="false">
      <c r="A16" s="0" t="s">
        <v>119</v>
      </c>
      <c r="C16" s="0" t="n">
        <f aca="false">-C12</f>
        <v>142.51417872</v>
      </c>
      <c r="D16" s="0" t="n">
        <f aca="false">-D12</f>
        <v>155.3404548048</v>
      </c>
      <c r="E16" s="0" t="n">
        <f aca="false">-E12</f>
        <v>166.214286641136</v>
      </c>
      <c r="F16" s="0" t="n">
        <f aca="false">-F12</f>
        <v>176.187143839604</v>
      </c>
      <c r="G16" s="0" t="n">
        <f aca="false">-G12</f>
        <v>184.996501031584</v>
      </c>
      <c r="H16" s="0" t="n">
        <f aca="false">-H12</f>
        <v>180.371588505795</v>
      </c>
      <c r="I16" s="0" t="n">
        <f aca="false">-I12</f>
        <v>186.684594103498</v>
      </c>
      <c r="J16" s="0" t="n">
        <f aca="false">-J12</f>
        <v>192.285131926603</v>
      </c>
      <c r="K16" s="0" t="n">
        <f aca="false">-K12</f>
        <v>198.053685884401</v>
      </c>
      <c r="L16" s="0" t="n">
        <f aca="false">-L12</f>
        <v>203.995296460933</v>
      </c>
    </row>
    <row r="17" customFormat="false" ht="15" hidden="false" customHeight="false" outlineLevel="0" collapsed="false">
      <c r="A17" s="0" t="s">
        <v>120</v>
      </c>
      <c r="C17" s="4" t="n">
        <f aca="false">-C6*Assumptions!C32/100</f>
        <v>-178.1427234</v>
      </c>
      <c r="D17" s="4" t="n">
        <f aca="false">-D6*Assumptions!D32/100</f>
        <v>-194.175568506</v>
      </c>
      <c r="E17" s="4" t="n">
        <f aca="false">-E6*Assumptions!E32/100</f>
        <v>-186.991072471278</v>
      </c>
      <c r="F17" s="4" t="n">
        <f aca="false">-F6*Assumptions!F32/100</f>
        <v>-198.210536819555</v>
      </c>
      <c r="G17" s="4" t="n">
        <f aca="false">-G6*Assumptions!G32/100</f>
        <v>-184.996501031584</v>
      </c>
      <c r="H17" s="4" t="n">
        <f aca="false">-H6*Assumptions!H32/100</f>
        <v>-192.396361072848</v>
      </c>
      <c r="I17" s="4" t="n">
        <f aca="false">-I6*Assumptions!I32/100</f>
        <v>-186.684594103498</v>
      </c>
      <c r="J17" s="4" t="n">
        <f aca="false">-J6*Assumptions!J32/100</f>
        <v>-192.285131926603</v>
      </c>
      <c r="K17" s="4" t="n">
        <f aca="false">-K6*Assumptions!K32/100</f>
        <v>-198.053685884401</v>
      </c>
      <c r="L17" s="4" t="n">
        <f aca="false">-L6*Assumptions!L32/100</f>
        <v>-203.995296460933</v>
      </c>
    </row>
    <row r="18" customFormat="false" ht="15" hidden="false" customHeight="false" outlineLevel="0" collapsed="false">
      <c r="A18" s="0" t="s">
        <v>121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122</v>
      </c>
      <c r="C19" s="0" t="n">
        <f aca="false">C15+C16+C17+C18</f>
        <v>475.0175719461</v>
      </c>
      <c r="D19" s="0" t="n">
        <f aca="false">D15+D16+D17+D18</f>
        <v>548.011998216059</v>
      </c>
      <c r="E19" s="0" t="n">
        <f aca="false">E15+E16+E17+E18</f>
        <v>638.470628560264</v>
      </c>
      <c r="F19" s="0" t="n">
        <f aca="false">F15+F16+F17+F18</f>
        <v>713.007347725898</v>
      </c>
      <c r="G19" s="0" t="n">
        <f aca="false">G15+G16+G17+G18</f>
        <v>806.469121684563</v>
      </c>
      <c r="H19" s="0" t="n">
        <f aca="false">H15+H16+H17+H18</f>
        <v>867.286721398697</v>
      </c>
      <c r="I19" s="0" t="n">
        <f aca="false">I15+I16+I17+I18</f>
        <v>938.090085370076</v>
      </c>
      <c r="J19" s="0" t="n">
        <f aca="false">J15+J16+J17+J18</f>
        <v>985.461301123838</v>
      </c>
      <c r="K19" s="0" t="n">
        <f aca="false">K15+K16+K17+K18</f>
        <v>1015.02514015755</v>
      </c>
      <c r="L19" s="0" t="n">
        <f aca="false">L15+L16+L17+L18</f>
        <v>1045.47589436228</v>
      </c>
    </row>
    <row r="20" customFormat="false" ht="15" hidden="false" customHeight="false" outlineLevel="0" collapsed="false">
      <c r="A20" s="0" t="s">
        <v>123</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124</v>
      </c>
      <c r="C21" s="0" t="n">
        <f aca="false">C19*C20</f>
        <v>435.795937565229</v>
      </c>
      <c r="D21" s="0" t="n">
        <f aca="false">D19*D20</f>
        <v>461.250734968487</v>
      </c>
      <c r="E21" s="0" t="n">
        <f aca="false">E19*E20</f>
        <v>493.01647187844</v>
      </c>
      <c r="F21" s="0" t="n">
        <f aca="false">F19*F20</f>
        <v>505.112380803755</v>
      </c>
      <c r="G21" s="0" t="n">
        <f aca="false">G19*G20</f>
        <v>524.149594263257</v>
      </c>
      <c r="H21" s="0" t="n">
        <f aca="false">H19*H20</f>
        <v>517.13473500624</v>
      </c>
      <c r="I21" s="0" t="n">
        <f aca="false">I19*I20</f>
        <v>513.167401445422</v>
      </c>
      <c r="J21" s="0" t="n">
        <f aca="false">J19*J20</f>
        <v>494.569796956506</v>
      </c>
      <c r="K21" s="0" t="n">
        <f aca="false">K19*K20</f>
        <v>467.345771435965</v>
      </c>
      <c r="L21" s="0" t="n">
        <f aca="false">L19*L20</f>
        <v>441.620316127563</v>
      </c>
    </row>
    <row r="23" customFormat="false" ht="15" hidden="false" customHeight="false" outlineLevel="0" collapsed="false">
      <c r="A23" s="0" t="s">
        <v>100</v>
      </c>
      <c r="C23" s="4" t="n">
        <f aca="false">Assumptions!C30</f>
        <v>0.45</v>
      </c>
      <c r="D23" s="4" t="n">
        <f aca="false">Assumptions!D30</f>
        <v>0.45</v>
      </c>
      <c r="E23" s="4" t="n">
        <f aca="false">Assumptions!E30</f>
        <v>0.45</v>
      </c>
      <c r="F23" s="4" t="n">
        <f aca="false">Assumptions!F30</f>
        <v>0.45</v>
      </c>
      <c r="G23" s="4" t="n">
        <f aca="false">Assumptions!G30</f>
        <v>0.45</v>
      </c>
      <c r="H23" s="4" t="n">
        <f aca="false">Assumptions!H30</f>
        <v>0.45</v>
      </c>
      <c r="I23" s="4" t="n">
        <f aca="false">Assumptions!I30</f>
        <v>0.45</v>
      </c>
      <c r="J23" s="4" t="n">
        <f aca="false">Assumptions!J30</f>
        <v>0.45</v>
      </c>
      <c r="K23" s="4" t="n">
        <f aca="false">Assumptions!K30</f>
        <v>0.45</v>
      </c>
      <c r="L23" s="4" t="n">
        <f aca="false">Assumptions!L30</f>
        <v>0.45</v>
      </c>
    </row>
    <row r="24" customFormat="false" ht="15" hidden="false" customHeight="false" outlineLevel="0" collapsed="false">
      <c r="A24" s="0" t="s">
        <v>125</v>
      </c>
      <c r="C24" s="0" t="n">
        <f aca="false">-C6*C23/100</f>
        <v>-40.082112765</v>
      </c>
      <c r="D24" s="0" t="n">
        <f aca="false">-D6*D23/100</f>
        <v>-43.68950291385</v>
      </c>
      <c r="E24" s="0" t="n">
        <f aca="false">-E6*E23/100</f>
        <v>-46.7477681178195</v>
      </c>
      <c r="F24" s="0" t="n">
        <f aca="false">-F6*F23/100</f>
        <v>-49.5526342048887</v>
      </c>
      <c r="G24" s="0" t="n">
        <f aca="false">-G6*G23/100</f>
        <v>-52.0302659151331</v>
      </c>
      <c r="H24" s="0" t="n">
        <f aca="false">-H6*H23/100</f>
        <v>-54.1114765517385</v>
      </c>
      <c r="I24" s="0" t="n">
        <f aca="false">-I6*I23/100</f>
        <v>-56.0053782310493</v>
      </c>
      <c r="J24" s="0" t="n">
        <f aca="false">-J6*J23/100</f>
        <v>-57.6855395779808</v>
      </c>
      <c r="K24" s="0" t="n">
        <f aca="false">-K6*K23/100</f>
        <v>-59.4161057653202</v>
      </c>
      <c r="L24" s="0" t="n">
        <f aca="false">-L6*L23/100</f>
        <v>-61.1985889382798</v>
      </c>
    </row>
    <row r="26" customFormat="false" ht="15" hidden="false" customHeight="false" outlineLevel="0" collapsed="false">
      <c r="A26" s="2" t="s">
        <v>126</v>
      </c>
    </row>
    <row r="27" customFormat="false" ht="15" hidden="false" customHeight="false" outlineLevel="0" collapsed="false">
      <c r="A27" s="0" t="s">
        <v>104</v>
      </c>
      <c r="B27" s="4" t="n">
        <f aca="false">Assumptions!$B$34</f>
        <v>9</v>
      </c>
    </row>
    <row r="28" customFormat="false" ht="15" hidden="false" customHeight="false" outlineLevel="0" collapsed="false">
      <c r="A28" s="0" t="s">
        <v>105</v>
      </c>
      <c r="B28" s="4" t="n">
        <f aca="false">Assumptions!$B$35</f>
        <v>2.5</v>
      </c>
    </row>
    <row r="29" customFormat="false" ht="15" hidden="false" customHeight="false" outlineLevel="0" collapsed="false">
      <c r="A29" s="0" t="s">
        <v>106</v>
      </c>
      <c r="B29" s="4" t="n">
        <f aca="false">Assumptions!$B$36</f>
        <v>15</v>
      </c>
    </row>
    <row r="30" customFormat="false" ht="15" hidden="false" customHeight="false" outlineLevel="0" collapsed="false">
      <c r="A30" s="0" t="s">
        <v>127</v>
      </c>
      <c r="B30" s="0" t="n">
        <f aca="false">SUM(C21:L21)</f>
        <v>4853.16314045086</v>
      </c>
    </row>
    <row r="31" customFormat="false" ht="15" hidden="false" customHeight="false" outlineLevel="0" collapsed="false">
      <c r="A31" s="0" t="s">
        <v>128</v>
      </c>
      <c r="B31" s="0" t="n">
        <f aca="false">L19</f>
        <v>1045.47589436228</v>
      </c>
    </row>
    <row r="32" customFormat="false" ht="15" hidden="false" customHeight="false" outlineLevel="0" collapsed="false">
      <c r="A32" s="0" t="s">
        <v>129</v>
      </c>
      <c r="B32" s="0" t="n">
        <f aca="false">IF(B27&gt;B28,B31*(1+B28/100)/((B27-B28)/100),B31*B29)</f>
        <v>16486.3506418667</v>
      </c>
    </row>
    <row r="33" customFormat="false" ht="15" hidden="false" customHeight="false" outlineLevel="0" collapsed="false">
      <c r="A33" s="0" t="s">
        <v>130</v>
      </c>
      <c r="B33" s="0" t="n">
        <f aca="false">B31*B29</f>
        <v>15682.1384154342</v>
      </c>
    </row>
    <row r="34" customFormat="false" ht="15" hidden="false" customHeight="false" outlineLevel="0" collapsed="false">
      <c r="A34" s="0" t="s">
        <v>131</v>
      </c>
      <c r="B34" s="0" t="n">
        <f aca="false">MAX(0,MIN(B32,B33))</f>
        <v>15682.1384154342</v>
      </c>
    </row>
    <row r="35" customFormat="false" ht="15" hidden="false" customHeight="false" outlineLevel="0" collapsed="false">
      <c r="A35" s="0" t="s">
        <v>132</v>
      </c>
      <c r="B35" s="0" t="n">
        <f aca="false">B34/(1+B27/100)^L4</f>
        <v>6624.30474191344</v>
      </c>
    </row>
    <row r="36" customFormat="false" ht="15" hidden="false" customHeight="false" outlineLevel="0" collapsed="false">
      <c r="A36" s="0" t="s">
        <v>133</v>
      </c>
      <c r="B36" s="0" t="n">
        <f aca="false">B30+B35</f>
        <v>11477.4678823643</v>
      </c>
    </row>
    <row r="37" customFormat="false" ht="15" hidden="false" customHeight="false" outlineLevel="0" collapsed="false">
      <c r="A37" s="0" t="s">
        <v>134</v>
      </c>
      <c r="B37" s="0" t="n">
        <f aca="false">B36+Assumptions!$B$5-Assumptions!$B$4</f>
        <v>22920.1178823643</v>
      </c>
    </row>
    <row r="38" customFormat="false" ht="15" hidden="false" customHeight="false" outlineLevel="0" collapsed="false">
      <c r="A38" s="0" t="s">
        <v>135</v>
      </c>
      <c r="B38" s="0" t="n">
        <f aca="false">B37/Assumptions!$B$3*Assumptions!$B$10</f>
        <v>0.896997791930923</v>
      </c>
    </row>
    <row r="39" customFormat="false" ht="15" hidden="false" customHeight="false" outlineLevel="0" collapsed="false">
      <c r="A39" s="0" t="s">
        <v>136</v>
      </c>
      <c r="B39" s="4" t="n">
        <f aca="false">B38/Assumptions!$B$2-1</f>
        <v>1.01572537512567</v>
      </c>
    </row>
    <row r="41" customFormat="false" ht="15" hidden="false" customHeight="false" outlineLevel="0" collapsed="false">
      <c r="A41" s="0" t="s">
        <v>137</v>
      </c>
      <c r="B41" s="0" t="n">
        <f aca="false">SUMPRODUCT(-C10:L10/(1+$B$27/100)^C4:L4)</f>
        <v>607.353459897071</v>
      </c>
    </row>
    <row r="42" customFormat="false" ht="15" hidden="false" customHeight="false" outlineLevel="0" collapsed="false">
      <c r="A42" s="0" t="s">
        <v>138</v>
      </c>
      <c r="B42" s="0" t="n">
        <f aca="false">IF(B27&gt;B28,-L10*(1+B28/100)/((B27-B28)/100),-L10*20)/(1+B27/100)^L4</f>
        <v>724.71026236318</v>
      </c>
    </row>
    <row r="43" customFormat="false" ht="15" hidden="false" customHeight="false" outlineLevel="0" collapsed="false">
      <c r="A43" s="0" t="s">
        <v>139</v>
      </c>
      <c r="B43" s="0" t="n">
        <f aca="false">(B37+B41+B42)/Assumptions!$B$3*Assumptions!$B$10</f>
        <v>0.949129208693753</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8572.9023337707</v>
      </c>
    </row>
    <row r="47" customFormat="false" ht="15" hidden="false" customHeight="false" outlineLevel="0" collapsed="false">
      <c r="A47" s="0" t="s">
        <v>141</v>
      </c>
      <c r="B47" s="0" t="n">
        <f aca="false">(SUMPRODUCT(C19:L19/(1+B45/100)^C4:L4)+B46/(1+B45/100)^L4+Assumptions!$B$5-Assumptions!$B$4)/Assumptions!$B$3*Assumptions!$B$10</f>
        <v>0.673696848945968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16</v>
      </c>
      <c r="D5" s="4" t="n">
        <f aca="false">Assumptions!D41</f>
        <v>14</v>
      </c>
      <c r="E5" s="4" t="n">
        <f aca="false">Assumptions!E41</f>
        <v>12</v>
      </c>
      <c r="F5" s="4" t="n">
        <f aca="false">Assumptions!F41</f>
        <v>10</v>
      </c>
      <c r="G5" s="4" t="n">
        <f aca="false">Assumptions!G41</f>
        <v>8</v>
      </c>
      <c r="H5" s="4" t="n">
        <f aca="false">Assumptions!H41</f>
        <v>6</v>
      </c>
      <c r="I5" s="4" t="n">
        <f aca="false">Assumptions!I41</f>
        <v>5</v>
      </c>
      <c r="J5" s="4" t="n">
        <f aca="false">Assumptions!J41</f>
        <v>4</v>
      </c>
      <c r="K5" s="4" t="n">
        <f aca="false">Assumptions!K41</f>
        <v>3.5</v>
      </c>
      <c r="L5" s="4" t="n">
        <f aca="false">Assumptions!L41</f>
        <v>3</v>
      </c>
    </row>
    <row r="6" customFormat="false" ht="15" hidden="false" customHeight="false" outlineLevel="0" collapsed="false">
      <c r="A6" s="0" t="s">
        <v>38</v>
      </c>
      <c r="B6" s="3" t="n">
        <v>8024.447</v>
      </c>
      <c r="C6" s="0" t="n">
        <f aca="false">B6*(1+C5/100)</f>
        <v>9308.35852</v>
      </c>
      <c r="D6" s="0" t="n">
        <f aca="false">C6*(1+D5/100)</f>
        <v>10611.5287128</v>
      </c>
      <c r="E6" s="0" t="n">
        <f aca="false">D6*(1+E5/100)</f>
        <v>11884.912158336</v>
      </c>
      <c r="F6" s="0" t="n">
        <f aca="false">E6*(1+F5/100)</f>
        <v>13073.4033741696</v>
      </c>
      <c r="G6" s="0" t="n">
        <f aca="false">F6*(1+G5/100)</f>
        <v>14119.2756441032</v>
      </c>
      <c r="H6" s="0" t="n">
        <f aca="false">G6*(1+H5/100)</f>
        <v>14966.4321827494</v>
      </c>
      <c r="I6" s="0" t="n">
        <f aca="false">H6*(1+I5/100)</f>
        <v>15714.7537918868</v>
      </c>
      <c r="J6" s="0" t="n">
        <f aca="false">I6*(1+J5/100)</f>
        <v>16343.3439435623</v>
      </c>
      <c r="K6" s="0" t="n">
        <f aca="false">J6*(1+K5/100)</f>
        <v>16915.360981587</v>
      </c>
      <c r="L6" s="0" t="n">
        <f aca="false">K6*(1+L5/100)</f>
        <v>17422.8218110346</v>
      </c>
    </row>
    <row r="7" customFormat="false" ht="15" hidden="false" customHeight="false" outlineLevel="0" collapsed="false">
      <c r="A7" s="0" t="s">
        <v>98</v>
      </c>
      <c r="C7" s="4" t="n">
        <f aca="false">Assumptions!C42</f>
        <v>10.8</v>
      </c>
      <c r="D7" s="4" t="n">
        <f aca="false">Assumptions!D42</f>
        <v>11.8</v>
      </c>
      <c r="E7" s="4" t="n">
        <f aca="false">Assumptions!E42</f>
        <v>12.8</v>
      </c>
      <c r="F7" s="4" t="n">
        <f aca="false">Assumptions!F42</f>
        <v>13.6</v>
      </c>
      <c r="G7" s="4" t="n">
        <f aca="false">Assumptions!G42</f>
        <v>14.2</v>
      </c>
      <c r="H7" s="4" t="n">
        <f aca="false">Assumptions!H42</f>
        <v>14.7</v>
      </c>
      <c r="I7" s="4" t="n">
        <f aca="false">Assumptions!I42</f>
        <v>15.1</v>
      </c>
      <c r="J7" s="4" t="n">
        <f aca="false">Assumptions!J42</f>
        <v>15.4</v>
      </c>
      <c r="K7" s="4" t="n">
        <f aca="false">Assumptions!K42</f>
        <v>15.5</v>
      </c>
      <c r="L7" s="4" t="n">
        <f aca="false">Assumptions!L42</f>
        <v>15.5</v>
      </c>
    </row>
    <row r="8" customFormat="false" ht="15" hidden="false" customHeight="false" outlineLevel="0" collapsed="false">
      <c r="A8" s="0" t="s">
        <v>44</v>
      </c>
      <c r="C8" s="0" t="n">
        <f aca="false">C6*C7/100</f>
        <v>1005.30272016</v>
      </c>
      <c r="D8" s="0" t="n">
        <f aca="false">D6*D7/100</f>
        <v>1252.1603881104</v>
      </c>
      <c r="E8" s="0" t="n">
        <f aca="false">E6*E7/100</f>
        <v>1521.26875626701</v>
      </c>
      <c r="F8" s="0" t="n">
        <f aca="false">F6*F7/100</f>
        <v>1777.98285888707</v>
      </c>
      <c r="G8" s="0" t="n">
        <f aca="false">G6*G7/100</f>
        <v>2004.93714146265</v>
      </c>
      <c r="H8" s="0" t="n">
        <f aca="false">H6*H7/100</f>
        <v>2200.06553086416</v>
      </c>
      <c r="I8" s="0" t="n">
        <f aca="false">I6*I7/100</f>
        <v>2372.92782257491</v>
      </c>
      <c r="J8" s="0" t="n">
        <f aca="false">J6*J7/100</f>
        <v>2516.8749673086</v>
      </c>
      <c r="K8" s="0" t="n">
        <f aca="false">K6*K7/100</f>
        <v>2621.88095214598</v>
      </c>
      <c r="L8" s="0" t="n">
        <f aca="false">L6*L7/100</f>
        <v>2700.53738071036</v>
      </c>
    </row>
    <row r="9" customFormat="false" ht="15" hidden="false" customHeight="false" outlineLevel="0" collapsed="false">
      <c r="A9" s="0" t="s">
        <v>99</v>
      </c>
      <c r="C9" s="4" t="n">
        <f aca="false">Assumptions!C43</f>
        <v>0.9</v>
      </c>
      <c r="D9" s="4" t="n">
        <f aca="false">Assumptions!D43</f>
        <v>0.9</v>
      </c>
      <c r="E9" s="4" t="n">
        <f aca="false">Assumptions!E43</f>
        <v>0.85</v>
      </c>
      <c r="F9" s="4" t="n">
        <f aca="false">Assumptions!F43</f>
        <v>0.85</v>
      </c>
      <c r="G9" s="4" t="n">
        <f aca="false">Assumptions!G43</f>
        <v>0.8</v>
      </c>
      <c r="H9" s="4" t="n">
        <f aca="false">Assumptions!H43</f>
        <v>0.8</v>
      </c>
      <c r="I9" s="4" t="n">
        <f aca="false">Assumptions!I43</f>
        <v>0.8</v>
      </c>
      <c r="J9" s="4" t="n">
        <f aca="false">Assumptions!J43</f>
        <v>0.8</v>
      </c>
      <c r="K9" s="4" t="n">
        <f aca="false">Assumptions!K43</f>
        <v>0.8</v>
      </c>
      <c r="L9" s="4" t="n">
        <f aca="false">Assumptions!L43</f>
        <v>0.8</v>
      </c>
    </row>
    <row r="10" customFormat="false" ht="15" hidden="false" customHeight="false" outlineLevel="0" collapsed="false">
      <c r="A10" s="0" t="s">
        <v>114</v>
      </c>
      <c r="C10" s="0" t="n">
        <f aca="false">-C6*C9/100</f>
        <v>-83.77522668</v>
      </c>
      <c r="D10" s="0" t="n">
        <f aca="false">-D6*D9/100</f>
        <v>-95.5037584152</v>
      </c>
      <c r="E10" s="0" t="n">
        <f aca="false">-E6*E9/100</f>
        <v>-101.021753345856</v>
      </c>
      <c r="F10" s="0" t="n">
        <f aca="false">-F6*F9/100</f>
        <v>-111.123928680442</v>
      </c>
      <c r="G10" s="0" t="n">
        <f aca="false">-G6*G9/100</f>
        <v>-112.954205152825</v>
      </c>
      <c r="H10" s="0" t="n">
        <f aca="false">-H6*H9/100</f>
        <v>-119.731457461995</v>
      </c>
      <c r="I10" s="0" t="n">
        <f aca="false">-I6*I9/100</f>
        <v>-125.718030335095</v>
      </c>
      <c r="J10" s="0" t="n">
        <f aca="false">-J6*J9/100</f>
        <v>-130.746751548498</v>
      </c>
      <c r="K10" s="0" t="n">
        <f aca="false">-K6*K9/100</f>
        <v>-135.322887852696</v>
      </c>
      <c r="L10" s="0" t="n">
        <f aca="false">-L6*L9/100</f>
        <v>-139.382574488277</v>
      </c>
    </row>
    <row r="11" customFormat="false" ht="15" hidden="false" customHeight="false" outlineLevel="0" collapsed="false">
      <c r="A11" s="0" t="s">
        <v>115</v>
      </c>
      <c r="C11" s="0" t="n">
        <f aca="false">C8+C10+C24</f>
        <v>879.63988014</v>
      </c>
      <c r="D11" s="0" t="n">
        <f aca="false">D8+D10+D24</f>
        <v>1108.9047504876</v>
      </c>
      <c r="E11" s="0" t="n">
        <f aca="false">E8+E10+E24</f>
        <v>1366.76489820864</v>
      </c>
      <c r="F11" s="0" t="n">
        <f aca="false">F8+F10+F24</f>
        <v>1608.02861502286</v>
      </c>
      <c r="G11" s="0" t="n">
        <f aca="false">G8+G10+G24</f>
        <v>1828.44619591136</v>
      </c>
      <c r="H11" s="0" t="n">
        <f aca="false">H8+H10+H24</f>
        <v>2012.98512857979</v>
      </c>
      <c r="I11" s="0" t="n">
        <f aca="false">I8+I10+I24</f>
        <v>2176.49340017633</v>
      </c>
      <c r="J11" s="0" t="n">
        <f aca="false">J8+J10+J24</f>
        <v>2312.58316801407</v>
      </c>
      <c r="K11" s="0" t="n">
        <f aca="false">K8+K10+K24</f>
        <v>2410.43893987615</v>
      </c>
      <c r="L11" s="0" t="n">
        <f aca="false">L8+L10+L24</f>
        <v>2482.75210807243</v>
      </c>
    </row>
    <row r="12" customFormat="false" ht="15" hidden="false" customHeight="false" outlineLevel="0" collapsed="false">
      <c r="A12" s="0" t="s">
        <v>116</v>
      </c>
      <c r="C12" s="4" t="n">
        <f aca="false">-C6*Assumptions!C45/100</f>
        <v>-148.93373632</v>
      </c>
      <c r="D12" s="4" t="n">
        <f aca="false">-D6*Assumptions!D45/100</f>
        <v>-169.7844594048</v>
      </c>
      <c r="E12" s="4" t="n">
        <f aca="false">-E6*Assumptions!E45/100</f>
        <v>-190.158594533376</v>
      </c>
      <c r="F12" s="4" t="n">
        <f aca="false">-F6*Assumptions!F45/100</f>
        <v>-196.101050612544</v>
      </c>
      <c r="G12" s="4" t="n">
        <f aca="false">-G6*Assumptions!G45/100</f>
        <v>-211.789134661548</v>
      </c>
      <c r="H12" s="4" t="n">
        <f aca="false">-H6*Assumptions!H45/100</f>
        <v>-224.49648274124</v>
      </c>
      <c r="I12" s="4" t="n">
        <f aca="false">-I6*Assumptions!I45/100</f>
        <v>-235.721306878302</v>
      </c>
      <c r="J12" s="4" t="n">
        <f aca="false">-J6*Assumptions!J45/100</f>
        <v>-245.150159153435</v>
      </c>
      <c r="K12" s="4" t="n">
        <f aca="false">-K6*Assumptions!K45/100</f>
        <v>-253.730414723805</v>
      </c>
      <c r="L12" s="4" t="n">
        <f aca="false">-L6*Assumptions!L45/100</f>
        <v>-261.342327165519</v>
      </c>
    </row>
    <row r="13" customFormat="false" ht="15" hidden="false" customHeight="false" outlineLevel="0" collapsed="false">
      <c r="A13" s="0" t="s">
        <v>117</v>
      </c>
      <c r="C13" s="0" t="n">
        <f aca="false">C11+C12</f>
        <v>730.70614382</v>
      </c>
      <c r="D13" s="0" t="n">
        <f aca="false">D11+D12</f>
        <v>939.1202910828</v>
      </c>
      <c r="E13" s="0" t="n">
        <f aca="false">E11+E12</f>
        <v>1176.60630367526</v>
      </c>
      <c r="F13" s="0" t="n">
        <f aca="false">F11+F12</f>
        <v>1411.92756441032</v>
      </c>
      <c r="G13" s="0" t="n">
        <f aca="false">G11+G12</f>
        <v>1616.65706124981</v>
      </c>
      <c r="H13" s="0" t="n">
        <f aca="false">H11+H12</f>
        <v>1788.48864583855</v>
      </c>
      <c r="I13" s="0" t="n">
        <f aca="false">I11+I12</f>
        <v>1940.77209329802</v>
      </c>
      <c r="J13" s="0" t="n">
        <f aca="false">J11+J12</f>
        <v>2067.43300886063</v>
      </c>
      <c r="K13" s="0" t="n">
        <f aca="false">K11+K12</f>
        <v>2156.70852515234</v>
      </c>
      <c r="L13" s="0" t="n">
        <f aca="false">L11+L12</f>
        <v>2221.40978090691</v>
      </c>
    </row>
    <row r="14" customFormat="false" ht="15" hidden="false" customHeight="false" outlineLevel="0" collapsed="false">
      <c r="A14" s="0" t="s">
        <v>103</v>
      </c>
      <c r="C14" s="4" t="n">
        <f aca="false">Assumptions!C47</f>
        <v>22</v>
      </c>
      <c r="D14" s="4" t="n">
        <f aca="false">Assumptions!D47</f>
        <v>23</v>
      </c>
      <c r="E14" s="4" t="n">
        <f aca="false">Assumptions!E47</f>
        <v>24</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118</v>
      </c>
      <c r="C15" s="0" t="n">
        <f aca="false">C13-MAX(0,C13)*C14/100</f>
        <v>569.9507921796</v>
      </c>
      <c r="D15" s="0" t="n">
        <f aca="false">D13-MAX(0,D13)*D14/100</f>
        <v>723.122624133756</v>
      </c>
      <c r="E15" s="0" t="n">
        <f aca="false">E13-MAX(0,E13)*E14/100</f>
        <v>894.220790793201</v>
      </c>
      <c r="F15" s="0" t="n">
        <f aca="false">F13-MAX(0,F13)*F14/100</f>
        <v>1058.94567330774</v>
      </c>
      <c r="G15" s="0" t="n">
        <f aca="false">G13-MAX(0,G13)*G14/100</f>
        <v>1212.49279593736</v>
      </c>
      <c r="H15" s="0" t="n">
        <f aca="false">H13-MAX(0,H13)*H14/100</f>
        <v>1341.36648437891</v>
      </c>
      <c r="I15" s="0" t="n">
        <f aca="false">I13-MAX(0,I13)*I14/100</f>
        <v>1455.57906997352</v>
      </c>
      <c r="J15" s="0" t="n">
        <f aca="false">J13-MAX(0,J13)*J14/100</f>
        <v>1550.57475664547</v>
      </c>
      <c r="K15" s="0" t="n">
        <f aca="false">K13-MAX(0,K13)*K14/100</f>
        <v>1617.53139386426</v>
      </c>
      <c r="L15" s="0" t="n">
        <f aca="false">L13-MAX(0,L13)*L14/100</f>
        <v>1666.05733568018</v>
      </c>
    </row>
    <row r="16" customFormat="false" ht="15" hidden="false" customHeight="false" outlineLevel="0" collapsed="false">
      <c r="A16" s="0" t="s">
        <v>119</v>
      </c>
      <c r="C16" s="0" t="n">
        <f aca="false">-C12</f>
        <v>148.93373632</v>
      </c>
      <c r="D16" s="0" t="n">
        <f aca="false">-D12</f>
        <v>169.7844594048</v>
      </c>
      <c r="E16" s="0" t="n">
        <f aca="false">-E12</f>
        <v>190.158594533376</v>
      </c>
      <c r="F16" s="0" t="n">
        <f aca="false">-F12</f>
        <v>196.101050612544</v>
      </c>
      <c r="G16" s="0" t="n">
        <f aca="false">-G12</f>
        <v>211.789134661548</v>
      </c>
      <c r="H16" s="0" t="n">
        <f aca="false">-H12</f>
        <v>224.49648274124</v>
      </c>
      <c r="I16" s="0" t="n">
        <f aca="false">-I12</f>
        <v>235.721306878302</v>
      </c>
      <c r="J16" s="0" t="n">
        <f aca="false">-J12</f>
        <v>245.150159153435</v>
      </c>
      <c r="K16" s="0" t="n">
        <f aca="false">-K12</f>
        <v>253.730414723805</v>
      </c>
      <c r="L16" s="0" t="n">
        <f aca="false">-L12</f>
        <v>261.342327165519</v>
      </c>
    </row>
    <row r="17" customFormat="false" ht="15" hidden="false" customHeight="false" outlineLevel="0" collapsed="false">
      <c r="A17" s="0" t="s">
        <v>120</v>
      </c>
      <c r="C17" s="4" t="n">
        <f aca="false">-C6*Assumptions!C46/100</f>
        <v>-186.1671704</v>
      </c>
      <c r="D17" s="4" t="n">
        <f aca="false">-D6*Assumptions!D46/100</f>
        <v>-201.6190455432</v>
      </c>
      <c r="E17" s="4" t="n">
        <f aca="false">-E6*Assumptions!E46/100</f>
        <v>-213.928418850048</v>
      </c>
      <c r="F17" s="4" t="n">
        <f aca="false">-F6*Assumptions!F46/100</f>
        <v>-222.247857360883</v>
      </c>
      <c r="G17" s="4" t="n">
        <f aca="false">-G6*Assumptions!G46/100</f>
        <v>-225.908410305651</v>
      </c>
      <c r="H17" s="4" t="n">
        <f aca="false">-H6*Assumptions!H46/100</f>
        <v>-224.49648274124</v>
      </c>
      <c r="I17" s="4" t="n">
        <f aca="false">-I6*Assumptions!I46/100</f>
        <v>-235.721306878302</v>
      </c>
      <c r="J17" s="4" t="n">
        <f aca="false">-J6*Assumptions!J46/100</f>
        <v>-245.150159153435</v>
      </c>
      <c r="K17" s="4" t="n">
        <f aca="false">-K6*Assumptions!K46/100</f>
        <v>-253.730414723805</v>
      </c>
      <c r="L17" s="4" t="n">
        <f aca="false">-L6*Assumptions!L46/100</f>
        <v>-261.342327165519</v>
      </c>
    </row>
    <row r="18" customFormat="false" ht="15" hidden="false" customHeight="false" outlineLevel="0" collapsed="false">
      <c r="A18" s="0" t="s">
        <v>121</v>
      </c>
      <c r="C18" s="4" t="n">
        <f aca="false">(C6-B6)*Assumptions!$B$51/100</f>
        <v>64.195576</v>
      </c>
      <c r="D18" s="4" t="n">
        <f aca="false">(D6-C6)*Assumptions!$B$51/100</f>
        <v>65.15850964</v>
      </c>
      <c r="E18" s="4" t="n">
        <f aca="false">(E6-D6)*Assumptions!$B$51/100</f>
        <v>63.6691722768001</v>
      </c>
      <c r="F18" s="4" t="n">
        <f aca="false">(F6-E6)*Assumptions!$B$51/100</f>
        <v>59.4245607916801</v>
      </c>
      <c r="G18" s="4" t="n">
        <f aca="false">(G6-F6)*Assumptions!$B$51/100</f>
        <v>52.2936134966784</v>
      </c>
      <c r="H18" s="4" t="n">
        <f aca="false">(H6-G6)*Assumptions!$B$51/100</f>
        <v>42.3578269323096</v>
      </c>
      <c r="I18" s="4" t="n">
        <f aca="false">(I6-H6)*Assumptions!$B$51/100</f>
        <v>37.4160804568734</v>
      </c>
      <c r="J18" s="4" t="n">
        <f aca="false">(J6-I6)*Assumptions!$B$51/100</f>
        <v>31.4295075837737</v>
      </c>
      <c r="K18" s="4" t="n">
        <f aca="false">(K6-J6)*Assumptions!$B$51/100</f>
        <v>28.6008519012339</v>
      </c>
      <c r="L18" s="4" t="n">
        <f aca="false">(L6-K6)*Assumptions!$B$51/100</f>
        <v>25.3730414723805</v>
      </c>
    </row>
    <row r="19" customFormat="false" ht="15" hidden="false" customHeight="false" outlineLevel="0" collapsed="false">
      <c r="A19" s="0" t="s">
        <v>122</v>
      </c>
      <c r="C19" s="0" t="n">
        <f aca="false">C15+C16+C17+C18</f>
        <v>596.9129340996</v>
      </c>
      <c r="D19" s="0" t="n">
        <f aca="false">D15+D16+D17+D18</f>
        <v>756.446547635356</v>
      </c>
      <c r="E19" s="0" t="n">
        <f aca="false">E15+E16+E17+E18</f>
        <v>934.120138753329</v>
      </c>
      <c r="F19" s="0" t="n">
        <f aca="false">F15+F16+F17+F18</f>
        <v>1092.22342735108</v>
      </c>
      <c r="G19" s="0" t="n">
        <f aca="false">G15+G16+G17+G18</f>
        <v>1250.66713378994</v>
      </c>
      <c r="H19" s="0" t="n">
        <f aca="false">H15+H16+H17+H18</f>
        <v>1383.72431131122</v>
      </c>
      <c r="I19" s="0" t="n">
        <f aca="false">I15+I16+I17+I18</f>
        <v>1492.99515043039</v>
      </c>
      <c r="J19" s="0" t="n">
        <f aca="false">J15+J16+J17+J18</f>
        <v>1582.00426422925</v>
      </c>
      <c r="K19" s="0" t="n">
        <f aca="false">K15+K16+K17+K18</f>
        <v>1646.13224576549</v>
      </c>
      <c r="L19" s="0" t="n">
        <f aca="false">L15+L16+L17+L18</f>
        <v>1691.43037715256</v>
      </c>
    </row>
    <row r="20" customFormat="false" ht="15" hidden="false" customHeight="false" outlineLevel="0" collapsed="false">
      <c r="A20" s="0" t="s">
        <v>123</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124</v>
      </c>
      <c r="C21" s="0" t="n">
        <f aca="false">C19*C20</f>
        <v>547.626545045504</v>
      </c>
      <c r="D21" s="0" t="n">
        <f aca="false">D19*D20</f>
        <v>636.685925120239</v>
      </c>
      <c r="E21" s="0" t="n">
        <f aca="false">E19*E20</f>
        <v>721.312139537669</v>
      </c>
      <c r="F21" s="0" t="n">
        <f aca="false">F19*F20</f>
        <v>773.75861205154</v>
      </c>
      <c r="G21" s="0" t="n">
        <f aca="false">G19*G20</f>
        <v>812.847824061871</v>
      </c>
      <c r="H21" s="0" t="n">
        <f aca="false">H19*H20</f>
        <v>825.069596243326</v>
      </c>
      <c r="I21" s="0" t="n">
        <f aca="false">I19*I20</f>
        <v>816.719474670423</v>
      </c>
      <c r="J21" s="0" t="n">
        <f aca="false">J19*J20</f>
        <v>793.954594515187</v>
      </c>
      <c r="K21" s="0" t="n">
        <f aca="false">K19*K20</f>
        <v>757.925014707986</v>
      </c>
      <c r="L21" s="0" t="n">
        <f aca="false">L19*L20</f>
        <v>714.478470420894</v>
      </c>
    </row>
    <row r="23" customFormat="false" ht="15" hidden="false" customHeight="false" outlineLevel="0" collapsed="false">
      <c r="A23" s="0" t="s">
        <v>100</v>
      </c>
      <c r="C23" s="4" t="n">
        <f aca="false">Assumptions!C44</f>
        <v>0.45</v>
      </c>
      <c r="D23" s="4" t="n">
        <f aca="false">Assumptions!D44</f>
        <v>0.45</v>
      </c>
      <c r="E23" s="4" t="n">
        <f aca="false">Assumptions!E44</f>
        <v>0.45</v>
      </c>
      <c r="F23" s="4" t="n">
        <f aca="false">Assumptions!F44</f>
        <v>0.45</v>
      </c>
      <c r="G23" s="4" t="n">
        <f aca="false">Assumptions!G44</f>
        <v>0.45</v>
      </c>
      <c r="H23" s="4" t="n">
        <f aca="false">Assumptions!H44</f>
        <v>0.45</v>
      </c>
      <c r="I23" s="4" t="n">
        <f aca="false">Assumptions!I44</f>
        <v>0.45</v>
      </c>
      <c r="J23" s="4" t="n">
        <f aca="false">Assumptions!J44</f>
        <v>0.45</v>
      </c>
      <c r="K23" s="4" t="n">
        <f aca="false">Assumptions!K44</f>
        <v>0.45</v>
      </c>
      <c r="L23" s="4" t="n">
        <f aca="false">Assumptions!L44</f>
        <v>0.45</v>
      </c>
    </row>
    <row r="24" customFormat="false" ht="15" hidden="false" customHeight="false" outlineLevel="0" collapsed="false">
      <c r="A24" s="0" t="s">
        <v>125</v>
      </c>
      <c r="C24" s="0" t="n">
        <f aca="false">-C6*C23/100</f>
        <v>-41.88761334</v>
      </c>
      <c r="D24" s="0" t="n">
        <f aca="false">-D6*D23/100</f>
        <v>-47.7518792076</v>
      </c>
      <c r="E24" s="0" t="n">
        <f aca="false">-E6*E23/100</f>
        <v>-53.482104712512</v>
      </c>
      <c r="F24" s="0" t="n">
        <f aca="false">-F6*F23/100</f>
        <v>-58.8303151837632</v>
      </c>
      <c r="G24" s="0" t="n">
        <f aca="false">-G6*G23/100</f>
        <v>-63.5367403984643</v>
      </c>
      <c r="H24" s="0" t="n">
        <f aca="false">-H6*H23/100</f>
        <v>-67.3489448223721</v>
      </c>
      <c r="I24" s="0" t="n">
        <f aca="false">-I6*I23/100</f>
        <v>-70.7163920634907</v>
      </c>
      <c r="J24" s="0" t="n">
        <f aca="false">-J6*J23/100</f>
        <v>-73.5450477460304</v>
      </c>
      <c r="K24" s="0" t="n">
        <f aca="false">-K6*K23/100</f>
        <v>-76.1191244171414</v>
      </c>
      <c r="L24" s="0" t="n">
        <f aca="false">-L6*L23/100</f>
        <v>-78.4026981496557</v>
      </c>
    </row>
    <row r="26" customFormat="false" ht="15" hidden="false" customHeight="false" outlineLevel="0" collapsed="false">
      <c r="A26" s="2" t="s">
        <v>126</v>
      </c>
    </row>
    <row r="27" customFormat="false" ht="15" hidden="false" customHeight="false" outlineLevel="0" collapsed="false">
      <c r="A27" s="0" t="s">
        <v>104</v>
      </c>
      <c r="B27" s="4" t="n">
        <f aca="false">Assumptions!$B$48</f>
        <v>9</v>
      </c>
    </row>
    <row r="28" customFormat="false" ht="15" hidden="false" customHeight="false" outlineLevel="0" collapsed="false">
      <c r="A28" s="0" t="s">
        <v>105</v>
      </c>
      <c r="B28" s="4" t="n">
        <f aca="false">Assumptions!$B$49</f>
        <v>2.5</v>
      </c>
    </row>
    <row r="29" customFormat="false" ht="15" hidden="false" customHeight="false" outlineLevel="0" collapsed="false">
      <c r="A29" s="0" t="s">
        <v>106</v>
      </c>
      <c r="B29" s="4" t="n">
        <f aca="false">Assumptions!$B$50</f>
        <v>15</v>
      </c>
    </row>
    <row r="30" customFormat="false" ht="15" hidden="false" customHeight="false" outlineLevel="0" collapsed="false">
      <c r="A30" s="0" t="s">
        <v>127</v>
      </c>
      <c r="B30" s="0" t="n">
        <f aca="false">SUM(C21:L21)</f>
        <v>7400.37819637464</v>
      </c>
    </row>
    <row r="31" customFormat="false" ht="15" hidden="false" customHeight="false" outlineLevel="0" collapsed="false">
      <c r="A31" s="0" t="s">
        <v>128</v>
      </c>
      <c r="B31" s="0" t="n">
        <f aca="false">L19</f>
        <v>1691.43037715256</v>
      </c>
    </row>
    <row r="32" customFormat="false" ht="15" hidden="false" customHeight="false" outlineLevel="0" collapsed="false">
      <c r="A32" s="0" t="s">
        <v>129</v>
      </c>
      <c r="B32" s="0" t="n">
        <f aca="false">IF(B27&gt;B28,B31*(1+B28/100)/((B27-B28)/100),B31*B29)</f>
        <v>26672.5559474058</v>
      </c>
    </row>
    <row r="33" customFormat="false" ht="15" hidden="false" customHeight="false" outlineLevel="0" collapsed="false">
      <c r="A33" s="0" t="s">
        <v>130</v>
      </c>
      <c r="B33" s="0" t="n">
        <f aca="false">B31*B29</f>
        <v>25371.4556572885</v>
      </c>
    </row>
    <row r="34" customFormat="false" ht="15" hidden="false" customHeight="false" outlineLevel="0" collapsed="false">
      <c r="A34" s="0" t="s">
        <v>131</v>
      </c>
      <c r="B34" s="0" t="n">
        <f aca="false">MAX(0,MIN(B32,B33))</f>
        <v>25371.4556572885</v>
      </c>
    </row>
    <row r="35" customFormat="false" ht="15" hidden="false" customHeight="false" outlineLevel="0" collapsed="false">
      <c r="A35" s="0" t="s">
        <v>132</v>
      </c>
      <c r="B35" s="0" t="n">
        <f aca="false">B34/(1+B27/100)^L4</f>
        <v>10717.1770563134</v>
      </c>
    </row>
    <row r="36" customFormat="false" ht="15" hidden="false" customHeight="false" outlineLevel="0" collapsed="false">
      <c r="A36" s="0" t="s">
        <v>133</v>
      </c>
      <c r="B36" s="0" t="n">
        <f aca="false">B30+B35</f>
        <v>18117.555252688</v>
      </c>
    </row>
    <row r="37" customFormat="false" ht="15" hidden="false" customHeight="false" outlineLevel="0" collapsed="false">
      <c r="A37" s="0" t="s">
        <v>134</v>
      </c>
      <c r="B37" s="0" t="n">
        <f aca="false">B36+Assumptions!$B$5-Assumptions!$B$4</f>
        <v>29560.205252688</v>
      </c>
    </row>
    <row r="38" customFormat="false" ht="15" hidden="false" customHeight="false" outlineLevel="0" collapsed="false">
      <c r="A38" s="0" t="s">
        <v>135</v>
      </c>
      <c r="B38" s="0" t="n">
        <f aca="false">B37/Assumptions!$B$3*Assumptions!$B$10</f>
        <v>1.15686310937729</v>
      </c>
    </row>
    <row r="39" customFormat="false" ht="15" hidden="false" customHeight="false" outlineLevel="0" collapsed="false">
      <c r="A39" s="0" t="s">
        <v>136</v>
      </c>
      <c r="B39" s="4" t="n">
        <f aca="false">B38/Assumptions!$B$2-1</f>
        <v>1.59969238062313</v>
      </c>
    </row>
    <row r="41" customFormat="false" ht="15" hidden="false" customHeight="false" outlineLevel="0" collapsed="false">
      <c r="A41" s="0" t="s">
        <v>137</v>
      </c>
      <c r="B41" s="0" t="n">
        <f aca="false">SUMPRODUCT(-C10:L10/(1+$B$27/100)^C4:L4)</f>
        <v>714.34894588104</v>
      </c>
    </row>
    <row r="42" customFormat="false" ht="15" hidden="false" customHeight="false" outlineLevel="0" collapsed="false">
      <c r="A42" s="0" t="s">
        <v>138</v>
      </c>
      <c r="B42" s="0" t="n">
        <f aca="false">IF(B27&gt;B28,-L10*(1+B28/100)/((B27-B28)/100),-L10*20)/(1+B27/100)^L4</f>
        <v>928.440360010942</v>
      </c>
    </row>
    <row r="43" customFormat="false" ht="15" hidden="false" customHeight="false" outlineLevel="0" collapsed="false">
      <c r="A43" s="0" t="s">
        <v>139</v>
      </c>
      <c r="B43" s="0" t="n">
        <f aca="false">(B37+B41+B42)/Assumptions!$B$3*Assumptions!$B$10</f>
        <v>1.22115502914646</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13869.729092651</v>
      </c>
    </row>
    <row r="47" customFormat="false" ht="15" hidden="false" customHeight="false" outlineLevel="0" collapsed="false">
      <c r="A47" s="0" t="s">
        <v>141</v>
      </c>
      <c r="B47" s="0" t="n">
        <f aca="false">(SUMPRODUCT(C19:L19/(1+B45/100)^C4:L4)+B46/(1+B45/100)^L4+Assumptions!$B$5-Assumptions!$B$4)/Assumptions!$B$3*Assumptions!$B$10</f>
        <v>0.797793230371783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0.542393767458893</v>
      </c>
      <c r="C4" s="0" t="n">
        <f aca="false">B4/Assumptions!$B$2-1</f>
        <v>0.218862398784029</v>
      </c>
      <c r="D4" s="4" t="n">
        <f aca="false">Assumptions!$B$24</f>
        <v>0.25</v>
      </c>
      <c r="E4" s="4" t="n">
        <f aca="false">DCF_Bear!$B$43</f>
        <v>0.581516649809209</v>
      </c>
      <c r="F4" s="4" t="n">
        <f aca="false">DCF_Bear!$B$47</f>
        <v>0.503028584164275</v>
      </c>
    </row>
    <row r="5" customFormat="false" ht="15" hidden="false" customHeight="false" outlineLevel="0" collapsed="false">
      <c r="A5" s="0" t="s">
        <v>150</v>
      </c>
      <c r="B5" s="4" t="n">
        <f aca="false">DCF_Base!$B$38</f>
        <v>0.896997791930923</v>
      </c>
      <c r="C5" s="0" t="n">
        <f aca="false">B5/Assumptions!$B$2-1</f>
        <v>1.01572537512567</v>
      </c>
      <c r="D5" s="4" t="n">
        <f aca="false">Assumptions!$B$38</f>
        <v>0.5</v>
      </c>
      <c r="E5" s="4" t="n">
        <f aca="false">DCF_Base!$B$43</f>
        <v>0.949129208693753</v>
      </c>
      <c r="F5" s="4" t="n">
        <f aca="false">DCF_Base!$B$47</f>
        <v>0.673696848945968</v>
      </c>
    </row>
    <row r="6" customFormat="false" ht="15" hidden="false" customHeight="false" outlineLevel="0" collapsed="false">
      <c r="A6" s="0" t="s">
        <v>151</v>
      </c>
      <c r="B6" s="4" t="n">
        <f aca="false">DCF_Bull!$B$38</f>
        <v>1.15686310937729</v>
      </c>
      <c r="C6" s="0" t="n">
        <f aca="false">B6/Assumptions!$B$2-1</f>
        <v>1.59969238062313</v>
      </c>
      <c r="D6" s="4" t="n">
        <f aca="false">Assumptions!$B$52</f>
        <v>0.25</v>
      </c>
      <c r="E6" s="4" t="n">
        <f aca="false">DCF_Bull!$B$43</f>
        <v>1.22115502914646</v>
      </c>
      <c r="F6" s="4" t="n">
        <f aca="false">DCF_Bull!$B$47</f>
        <v>0.797793230371783</v>
      </c>
    </row>
    <row r="8" customFormat="false" ht="15" hidden="false" customHeight="false" outlineLevel="0" collapsed="false">
      <c r="A8" s="0" t="s">
        <v>152</v>
      </c>
      <c r="B8" s="0" t="n">
        <f aca="false">SUMPRODUCT(B4:B6,D4:D6)</f>
        <v>0.873313115174508</v>
      </c>
    </row>
    <row r="9" customFormat="false" ht="15" hidden="false" customHeight="false" outlineLevel="0" collapsed="false">
      <c r="A9" s="0" t="s">
        <v>153</v>
      </c>
      <c r="B9" s="0" t="n">
        <f aca="false">SUMPRODUCT(E4:E6,D4:D6)</f>
        <v>0.925232524085794</v>
      </c>
    </row>
    <row r="10" customFormat="false" ht="15" hidden="false" customHeight="false" outlineLevel="0" collapsed="false">
      <c r="A10" s="0" t="s">
        <v>154</v>
      </c>
      <c r="B10" s="0" t="n">
        <f aca="false">1-Assumptions!$B$2/B8</f>
        <v>0.490446218809987</v>
      </c>
    </row>
    <row r="11" customFormat="false" ht="15" hidden="false" customHeight="false" outlineLevel="0" collapsed="false">
      <c r="A11" s="0" t="s">
        <v>155</v>
      </c>
      <c r="B11" s="0" t="n">
        <f aca="false">IF(ABS(B9-B8)&gt;0.01*ABS(B8),(Assumptions!$B$2-B8)/(B9-B8)*100,"n/a")</f>
        <v>-824.957610565944</v>
      </c>
    </row>
    <row r="12" customFormat="false" ht="15" hidden="false" customHeight="false" outlineLevel="0" collapsed="false">
      <c r="A12" s="0" t="s">
        <v>156</v>
      </c>
      <c r="B12" s="0" t="n">
        <f aca="false">SUMPRODUCT(F4:F6,D4:D6)</f>
        <v>0.662053878106998</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0.896997791930923</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0.844071952555447</v>
      </c>
      <c r="C16" s="3" t="n">
        <v>10</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0.793623831340814</v>
      </c>
      <c r="C17" s="3" t="n">
        <v>11</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0.753956882488077</v>
      </c>
      <c r="C18" s="3" t="n">
        <v>12</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0.673696848945968</v>
      </c>
      <c r="C19" s="3" t="n">
        <v>15</v>
      </c>
    </row>
    <row r="21" customFormat="false" ht="15" hidden="false" customHeight="false" outlineLevel="0" collapsed="false">
      <c r="A21" s="2" t="s">
        <v>164</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0.970435860620242</v>
      </c>
      <c r="C23" s="0" t="n">
        <f aca="false">(SUMPRODUCT(DCF_Base!$C$19:$L$19/(1+$A$23/100)^DCF_Base!$C$4:$L$4)+MAX(0,MIN(IF($A$23&gt;$C$22,DCF_Base!$L$19*(1+$C$22/100)/(($A$23-$C$22)/100),DCF_Base!$L$19*DCF_Base!$B$29),DCF_Base!$L$19*DCF_Base!$B$29))/(1+$A$23/100)^DCF_Base!$L$4+Assumptions!$B$5-Assumptions!$B$4)/Assumptions!$B$3*Assumptions!$B$10</f>
        <v>0.970435860620242</v>
      </c>
      <c r="D23" s="0" t="n">
        <f aca="false">(SUMPRODUCT(DCF_Base!$C$19:$L$19/(1+$A$23/100)^DCF_Base!$C$4:$L$4)+MAX(0,MIN(IF($A$23&gt;$D$22,DCF_Base!$L$19*(1+$D$22/100)/(($A$23-$D$22)/100),DCF_Base!$L$19*DCF_Base!$B$29),DCF_Base!$L$19*DCF_Base!$B$29))/(1+$A$23/100)^DCF_Base!$L$4+Assumptions!$B$5-Assumptions!$B$4)/Assumptions!$B$3*Assumptions!$B$10</f>
        <v>0.970435860620242</v>
      </c>
      <c r="E23" s="0" t="n">
        <f aca="false">(SUMPRODUCT(DCF_Base!$C$19:$L$19/(1+$A$23/100)^DCF_Base!$C$4:$L$4)+MAX(0,MIN(IF($A$23&gt;$E$22,DCF_Base!$L$19*(1+$E$22/100)/(($A$23-$E$22)/100),DCF_Base!$L$19*DCF_Base!$B$29),DCF_Base!$L$19*DCF_Base!$B$29))/(1+$A$23/100)^DCF_Base!$L$4+Assumptions!$B$5-Assumptions!$B$4)/Assumptions!$B$3*Assumptions!$B$10</f>
        <v>0.970435860620242</v>
      </c>
      <c r="F23" s="0" t="n">
        <f aca="false">(SUMPRODUCT(DCF_Base!$C$19:$L$19/(1+$A$23/100)^DCF_Base!$C$4:$L$4)+MAX(0,MIN(IF($A$23&gt;$F$22,DCF_Base!$L$19*(1+$F$22/100)/(($A$23-$F$22)/100),DCF_Base!$L$19*DCF_Base!$B$29),DCF_Base!$L$19*DCF_Base!$B$29))/(1+$A$23/100)^DCF_Base!$L$4+Assumptions!$B$5-Assumptions!$B$4)/Assumptions!$B$3*Assumptions!$B$10</f>
        <v>0.970435860620242</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0.931992674882109</v>
      </c>
      <c r="C24" s="0" t="n">
        <f aca="false">(SUMPRODUCT(DCF_Base!$C$19:$L$19/(1+$A$24/100)^DCF_Base!$C$4:$L$4)+MAX(0,MIN(IF($A$24&gt;$C$22,DCF_Base!$L$19*(1+$C$22/100)/(($A$24-$C$22)/100),DCF_Base!$L$19*DCF_Base!$B$29),DCF_Base!$L$19*DCF_Base!$B$29))/(1+$A$24/100)^DCF_Base!$L$4+Assumptions!$B$5-Assumptions!$B$4)/Assumptions!$B$3*Assumptions!$B$10</f>
        <v>0.931992674882109</v>
      </c>
      <c r="D24" s="0" t="n">
        <f aca="false">(SUMPRODUCT(DCF_Base!$C$19:$L$19/(1+$A$24/100)^DCF_Base!$C$4:$L$4)+MAX(0,MIN(IF($A$24&gt;$D$22,DCF_Base!$L$19*(1+$D$22/100)/(($A$24-$D$22)/100),DCF_Base!$L$19*DCF_Base!$B$29),DCF_Base!$L$19*DCF_Base!$B$29))/(1+$A$24/100)^DCF_Base!$L$4+Assumptions!$B$5-Assumptions!$B$4)/Assumptions!$B$3*Assumptions!$B$10</f>
        <v>0.931992674882109</v>
      </c>
      <c r="E24" s="0" t="n">
        <f aca="false">(SUMPRODUCT(DCF_Base!$C$19:$L$19/(1+$A$24/100)^DCF_Base!$C$4:$L$4)+MAX(0,MIN(IF($A$24&gt;$E$22,DCF_Base!$L$19*(1+$E$22/100)/(($A$24-$E$22)/100),DCF_Base!$L$19*DCF_Base!$B$29),DCF_Base!$L$19*DCF_Base!$B$29))/(1+$A$24/100)^DCF_Base!$L$4+Assumptions!$B$5-Assumptions!$B$4)/Assumptions!$B$3*Assumptions!$B$10</f>
        <v>0.931992674882109</v>
      </c>
      <c r="F24" s="0" t="n">
        <f aca="false">(SUMPRODUCT(DCF_Base!$C$19:$L$19/(1+$A$24/100)^DCF_Base!$C$4:$L$4)+MAX(0,MIN(IF($A$24&gt;$F$22,DCF_Base!$L$19*(1+$F$22/100)/(($A$24-$F$22)/100),DCF_Base!$L$19*DCF_Base!$B$29),DCF_Base!$L$19*DCF_Base!$B$29))/(1+$A$24/100)^DCF_Base!$L$4+Assumptions!$B$5-Assumptions!$B$4)/Assumptions!$B$3*Assumptions!$B$10</f>
        <v>0.931992674882109</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0.871649132701011</v>
      </c>
      <c r="C25" s="0" t="n">
        <f aca="false">(SUMPRODUCT(DCF_Base!$C$19:$L$19/(1+$A$25/100)^DCF_Base!$C$4:$L$4)+MAX(0,MIN(IF($A$25&gt;$C$22,DCF_Base!$L$19*(1+$C$22/100)/(($A$25-$C$22)/100),DCF_Base!$L$19*DCF_Base!$B$29),DCF_Base!$L$19*DCF_Base!$B$29))/(1+$A$25/100)^DCF_Base!$L$4+Assumptions!$B$5-Assumptions!$B$4)/Assumptions!$B$3*Assumptions!$B$10</f>
        <v>0.889590716181922</v>
      </c>
      <c r="D25" s="0" t="n">
        <f aca="false">(SUMPRODUCT(DCF_Base!$C$19:$L$19/(1+$A$25/100)^DCF_Base!$C$4:$L$4)+MAX(0,MIN(IF($A$25&gt;$D$22,DCF_Base!$L$19*(1+$D$22/100)/(($A$25-$D$22)/100),DCF_Base!$L$19*DCF_Base!$B$29),DCF_Base!$L$19*DCF_Base!$B$29))/(1+$A$25/100)^DCF_Base!$L$4+Assumptions!$B$5-Assumptions!$B$4)/Assumptions!$B$3*Assumptions!$B$10</f>
        <v>0.896997791930923</v>
      </c>
      <c r="E25" s="0" t="n">
        <f aca="false">(SUMPRODUCT(DCF_Base!$C$19:$L$19/(1+$A$25/100)^DCF_Base!$C$4:$L$4)+MAX(0,MIN(IF($A$25&gt;$E$22,DCF_Base!$L$19*(1+$E$22/100)/(($A$25-$E$22)/100),DCF_Base!$L$19*DCF_Base!$B$29),DCF_Base!$L$19*DCF_Base!$B$29))/(1+$A$25/100)^DCF_Base!$L$4+Assumptions!$B$5-Assumptions!$B$4)/Assumptions!$B$3*Assumptions!$B$10</f>
        <v>0.896997791930923</v>
      </c>
      <c r="F25" s="0" t="n">
        <f aca="false">(SUMPRODUCT(DCF_Base!$C$19:$L$19/(1+$A$25/100)^DCF_Base!$C$4:$L$4)+MAX(0,MIN(IF($A$25&gt;$F$22,DCF_Base!$L$19*(1+$F$22/100)/(($A$25-$F$22)/100),DCF_Base!$L$19*DCF_Base!$B$29),DCF_Base!$L$19*DCF_Base!$B$29))/(1+$A$25/100)^DCF_Base!$L$4+Assumptions!$B$5-Assumptions!$B$4)/Assumptions!$B$3*Assumptions!$B$10</f>
        <v>0.896997791930923</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0.816852825352349</v>
      </c>
      <c r="C26" s="0" t="n">
        <f aca="false">(SUMPRODUCT(DCF_Base!$C$19:$L$19/(1+$A$26/100)^DCF_Base!$C$4:$L$4)+MAX(0,MIN(IF($A$26&gt;$C$22,DCF_Base!$L$19*(1+$C$22/100)/(($A$26-$C$22)/100),DCF_Base!$L$19*DCF_Base!$B$29),DCF_Base!$L$19*DCF_Base!$B$29))/(1+$A$26/100)^DCF_Base!$L$4+Assumptions!$B$5-Assumptions!$B$4)/Assumptions!$B$3*Assumptions!$B$10</f>
        <v>0.829611791228802</v>
      </c>
      <c r="D26" s="0" t="n">
        <f aca="false">(SUMPRODUCT(DCF_Base!$C$19:$L$19/(1+$A$26/100)^DCF_Base!$C$4:$L$4)+MAX(0,MIN(IF($A$26&gt;$D$22,DCF_Base!$L$19*(1+$D$22/100)/(($A$26-$D$22)/100),DCF_Base!$L$19*DCF_Base!$B$29),DCF_Base!$L$19*DCF_Base!$B$29))/(1+$A$26/100)^DCF_Base!$L$4+Assumptions!$B$5-Assumptions!$B$4)/Assumptions!$B$3*Assumptions!$B$10</f>
        <v>0.844071952555447</v>
      </c>
      <c r="E26" s="0" t="n">
        <f aca="false">(SUMPRODUCT(DCF_Base!$C$19:$L$19/(1+$A$26/100)^DCF_Base!$C$4:$L$4)+MAX(0,MIN(IF($A$26&gt;$E$22,DCF_Base!$L$19*(1+$E$22/100)/(($A$26-$E$22)/100),DCF_Base!$L$19*DCF_Base!$B$29),DCF_Base!$L$19*DCF_Base!$B$29))/(1+$A$26/100)^DCF_Base!$L$4+Assumptions!$B$5-Assumptions!$B$4)/Assumptions!$B$3*Assumptions!$B$10</f>
        <v>0.86059785121447</v>
      </c>
      <c r="F26" s="0" t="n">
        <f aca="false">(SUMPRODUCT(DCF_Base!$C$19:$L$19/(1+$A$26/100)^DCF_Base!$C$4:$L$4)+MAX(0,MIN(IF($A$26&gt;$F$22,DCF_Base!$L$19*(1+$F$22/100)/(($A$26-$F$22)/100),DCF_Base!$L$19*DCF_Base!$B$29),DCF_Base!$L$19*DCF_Base!$B$29))/(1+$A$26/100)^DCF_Base!$L$4+Assumptions!$B$5-Assumptions!$B$4)/Assumptions!$B$3*Assumptions!$B$10</f>
        <v>0.865104914485113</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0.773815895956008</v>
      </c>
      <c r="C27" s="0" t="n">
        <f aca="false">(SUMPRODUCT(DCF_Base!$C$19:$L$19/(1+$A$27/100)^DCF_Base!$C$4:$L$4)+MAX(0,MIN(IF($A$27&gt;$C$22,DCF_Base!$L$19*(1+$C$22/100)/(($A$27-$C$22)/100),DCF_Base!$L$19*DCF_Base!$B$29),DCF_Base!$L$19*DCF_Base!$B$29))/(1+$A$27/100)^DCF_Base!$L$4+Assumptions!$B$5-Assumptions!$B$4)/Assumptions!$B$3*Assumptions!$B$10</f>
        <v>0.783169643221055</v>
      </c>
      <c r="D27" s="0" t="n">
        <f aca="false">(SUMPRODUCT(DCF_Base!$C$19:$L$19/(1+$A$27/100)^DCF_Base!$C$4:$L$4)+MAX(0,MIN(IF($A$27&gt;$D$22,DCF_Base!$L$19*(1+$D$22/100)/(($A$27-$D$22)/100),DCF_Base!$L$19*DCF_Base!$B$29),DCF_Base!$L$19*DCF_Base!$B$29))/(1+$A$27/100)^DCF_Base!$L$4+Assumptions!$B$5-Assumptions!$B$4)/Assumptions!$B$3*Assumptions!$B$10</f>
        <v>0.793623831340814</v>
      </c>
      <c r="E27" s="0" t="n">
        <f aca="false">(SUMPRODUCT(DCF_Base!$C$19:$L$19/(1+$A$27/100)^DCF_Base!$C$4:$L$4)+MAX(0,MIN(IF($A$27&gt;$E$22,DCF_Base!$L$19*(1+$E$22/100)/(($A$27-$E$22)/100),DCF_Base!$L$19*DCF_Base!$B$29),DCF_Base!$L$19*DCF_Base!$B$29))/(1+$A$27/100)^DCF_Base!$L$4+Assumptions!$B$5-Assumptions!$B$4)/Assumptions!$B$3*Assumptions!$B$10</f>
        <v>0.805384792975542</v>
      </c>
      <c r="F27" s="0" t="n">
        <f aca="false">(SUMPRODUCT(DCF_Base!$C$19:$L$19/(1+$A$27/100)^DCF_Base!$C$4:$L$4)+MAX(0,MIN(IF($A$27&gt;$F$22,DCF_Base!$L$19*(1+$F$22/100)/(($A$27-$F$22)/100),DCF_Base!$L$19*DCF_Base!$B$29),DCF_Base!$L$19*DCF_Base!$B$29))/(1+$A$27/100)^DCF_Base!$L$4+Assumptions!$B$5-Assumptions!$B$4)/Assumptions!$B$3*Assumptions!$B$10</f>
        <v>0.818713882828234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2026-10-11T14:45:34Z</dcterms:created>
  <dc:creator>openpyxl</dc:creator>
  <dc:description/>
  <dc:language>en-NZ</dc:language>
  <cp:lastModifiedBy/>
  <dcterms:modified xsi:type="dcterms:W3CDTF">2026-10-11T14:45:34Z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