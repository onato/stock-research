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<sst xmlns="http://schemas.openxmlformats.org/spreadsheetml/2006/main" count="373" uniqueCount="172">
  <si>
    <t xml:space="preserve">Ticker</t>
  </si>
  <si>
    <t xml:space="preserve">AIR.PA</t>
  </si>
  <si>
    <t xml:space="preserve">Company</t>
  </si>
  <si>
    <t xml:space="preserve">Airbus SE</t>
  </si>
  <si>
    <t xml:space="preserve">Valuation date</t>
  </si>
  <si>
    <t xml:space="preserve">2026-10-25</t>
  </si>
  <si>
    <t xml:space="preserve">Current price</t>
  </si>
  <si>
    <t xml:space="preserve">Price as of</t>
  </si>
  <si>
    <t xml:space="preserve">2026-10-23T15:37:44Z regular close (Euronext Paris, Friday); Q3/9M 2026 results due 28 Oct 2026 -- refresh after that print</t>
  </si>
  <si>
    <t xml:space="preserve">Balance sheet date</t>
  </si>
  <si>
    <t xml:space="preserve">2026-06-30</t>
  </si>
  <si>
    <t xml:space="preserve">Model</t>
  </si>
  <si>
    <t xml:space="preserve">owner_fcf_dcf_component</t>
  </si>
  <si>
    <t xml:space="preserve">Currency (model)</t>
  </si>
  <si>
    <t xml:space="preserve">EUR</t>
  </si>
  <si>
    <t xml:space="preserve">Currency (quote)</t>
  </si>
  <si>
    <t xml:space="preserve">Units</t>
  </si>
  <si>
    <t xml:space="preserve">millions</t>
  </si>
  <si>
    <t xml:space="preserve">Engine</t>
  </si>
  <si>
    <t xml:space="preserve">dcf_engine v1</t>
  </si>
  <si>
    <t xml:space="preserve">Built at</t>
  </si>
  <si>
    <t xml:space="preserve">2026-10-25T09:02:08Z</t>
  </si>
  <si>
    <t xml:space="preserve">Drivers file</t>
  </si>
  <si>
    <t xml:space="preserve">AIR.PA_Drivers.json</t>
  </si>
  <si>
    <t xml:space="preserve">Convention</t>
  </si>
  <si>
    <t xml:space="preserve">Percents stored as percents; formulas divide by 100. Blue = input, green = link, black = formula.</t>
  </si>
  <si>
    <t xml:space="preserve">Methodology</t>
  </si>
  <si>
    <t xml:space="preserve">summary: House basis: owner FCF with IFRS 2 share-based payment expensed, interest income on the EUR 23bn gross cash stripped from the flows and the net cash added once in the bridge, leases as debt, EUR-built 8.5% WACC applied uniformly, terminal value the lower of Gordon (2.5%) and 18x year-10 owner FCF, three component-built scenarios weighted 25/50/25, and a 15% hurdle entry price with its terminal value rebuilt at the hurdle. The valuation is deliberately anchored to reported EBIT rather than Airbus's EBIT Adjusted because the recurring adjustments (dollar hedge revaluation, A400M, Space) are real costs. The street-basis memo differs little from house because SBC is only 0.45% of revenue.
key_risks_to_valuation: Engine supply (Pratt &amp; Whitney GTF durability, CFM LEAP capacity) is the single largest swing factor for FY2026-27 deliveries, revenue and the H2-weighted cash flow; a miss on ~870 moves Y1 FCF by EUR 1bn+; Terminal value is ~60% of enterprise value and the Gordon formula binds at 8.5%/2.5%; each 50bp of WACC is worth roughly EUR 15-20/share (see sensitivity grid); EUR/USD: &gt;75% of revenue is dollar-denominated against euro costs with ~60% natural hedge; a 10c stronger euro on the unhedged book is ~EUR 1bn of EBIT; European Governments' refundable advances (EUR 3.8bn) are not treated as debt, following Airbus; treating them as debt would reduce value by ~EUR 4.8/share; Defence &amp; Space and A400M programme charges have recurred (EUR 1.3bn Space charge FY2024); the base assumes they fade to a normal run-rate, which is the history's exception not its rule; Working capital is modelled neutral in the base; a sustained inventory build (gliders awaiting engines) or a drop in PDP inflows as book-to-bill falls to 1 would cut FCF by several hundred million a year; Price anchor predates the 28 Oct 2026 Q3/9M print; the balance-sheet anchor is the seasonally weak June 2026 position (post EUR 2.5bn dividend, pre H2 cash generation); Cash tax is assumed to normalise to 24%; if deferred-tax assets last longer the base is conservative by ~EUR 400m/yr in the early years</t>
  </si>
  <si>
    <t xml:space="preserve">Data sources</t>
  </si>
  <si>
    <t xml:space="preserve">price: Yahoo Finance chart API (query1.finance.yahoo.com v8 chart, AIR.PA) at inputs.price_as_of; 52-week range 157.42-221.30 EUR
financials: research/AIR.PA/Reports/AIR.PA_Metrics.csv (core_metrics, metrics_normalized, kpis via make dcf-context); AIR.PA_Annual_FY2025_FinancialStatements.txt (net cash note 36, financing liabilities 36.3, share capital 34, EPS note, cash flow statement); AIR.PA_HalfYear_H1-2026.txt (net cash note 21, financing liabilities, NCI, pensions note 17, diluted EPS note 13); AIR.PA_Annual_FY2024.txt (EBIT Adjusted reconciliation, lease liabilities)
qualitative: research/AIR.PA/Reports/AIR.PA_Analysis.json (2026-10-25): business model, segment mix, guidance as of 29 Jul 2026 H1 results, bull/bear axes, recent developments incl. Spirit sites, Unical, Thales/Leonardo space JV</t>
  </si>
  <si>
    <t xml:space="preserve">Scenario narrative: bear</t>
  </si>
  <si>
    <t xml:space="preserve">The GTF/LEAP shortage persists, FY2026 deliveries land near the bottom of guidance and rate 75 slips two years; under-absorption, tariffs and a stronger euro pin EBITDA near 13%, Space/A400M charges recur, inventory keeps absorbing cash, and COMAC erodes Chinese single-aisle demand from 2030 so terminal growth is 2%. Net cash keeps this a value-erosion case rather than a solvency case.</t>
  </si>
  <si>
    <t xml:space="preserve">Scenario narrative: base</t>
  </si>
  <si>
    <t xml:space="preserve">Airbus works through a ~9,200-aircraft backlog that is supply- rather than demand-constrained. Deliveries rise from 793 (FY2025) to ~870 (FY2026 guidance, reaffirmed July 2026) and toward ~990 by 2028 as A320-family rate 75 and A350 rate 12 are reached, then growth decays to traffic-like 2.5-3%. Pre-SBC EBITDA margin climbs from 13.0% to 15.5% (EBIT ~10.8%) on final-assembly leverage, services mix and a restored Defence &amp; Space margin; cash tax normalises from 16% to 24% as deferred-tax assets are consumed; capex settles near 4.4% of revenue plus lease renewal. Working capital is neutral. The axes that decide which scenario materialises are (1) engine availability from Pratt &amp; Whitney and CFM, (2) rate-75 industrial execution incl. the integrated Spirit sites, (3) EUR/USD on the ~40% unhedged dollar revenue, and (4) Defence &amp; Space charge discipline.</t>
  </si>
  <si>
    <t xml:space="preserve">Scenario narrative: bull</t>
  </si>
  <si>
    <t xml:space="preserve">Engine supply normalises in 2026-27, deliveries reach ~1,000 by 2028, A321XLR/A350F win share from a Boeing still fixing MAX 10 and 777X, European rearmament lifts Defence &amp; Space to a 7-8% margin and the space JV removes the satellite losses; pre-SBC EBITDA reaches 17% and growing PDPs make working capital a small cash source.</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</si>
  <si>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</si>
  <si>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</si>
  <si>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</si>
  <si>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</si>
  <si>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</si>
  <si>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</si>
  <si>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</si>
  <si>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</si>
  <si>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</si>
  <si>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</si>
  <si>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</si>
  <si>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</si>
  <si>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</si>
  <si>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</si>
  <si>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</si>
  <si>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</si>
  <si>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</si>
  <si>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</si>
  <si>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</si>
  <si>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</si>
  <si>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</si>
  <si>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</si>
  <si>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</si>
  <si>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</si>
  <si>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</si>
  <si>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</si>
  <si>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</si>
  <si>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AircraftDeliveries</t>
  </si>
  <si>
    <t xml:space="preserve">Backlog</t>
  </si>
  <si>
    <t xml:space="preserve">HelicopterDeliveries</t>
  </si>
  <si>
    <t xml:space="preserve">NetAircraftOrders</t>
  </si>
  <si>
    <t xml:space="preserve">FY2013</t>
  </si>
  <si>
    <t xml:space="preserve">FY2014</t>
  </si>
  <si>
    <t xml:space="preserve">FY2015</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</si>
  <si>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</si>
  <si>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</si>
  <si>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</si>
  <si>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</si>
  <si>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</si>
  <si>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</si>
  <si>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</si>
  <si>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</si>
  <si>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</si>
  <si>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</si>
  <si>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</si>
  <si>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</si>
  <si>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</si>
  <si>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</si>
  <si>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</si>
  <si>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</si>
  <si>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</si>
  <si>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</si>
  <si>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</si>
  <si>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</si>
  <si>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EUR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</si>
  <si>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</si>
  <si>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</si>
  <si>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</si>
  <si>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</si>
  <si>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</si>
  <si>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</si>
  <si>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</si>
  <si>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</si>
  <si>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</si>
  <si>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</si>
  <si>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</si>
  <si>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</si>
  <si>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</si>
  <si>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</si>
  <si>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</si>
  <si>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</si>
  <si>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</si>
  <si>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</si>
  <si>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</si>
  <si>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</si>
  <si>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</si>
  <si>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</si>
  <si>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</si>
  <si>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</si>
  <si>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</si>
  <si>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</si>
  <si>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AIR.PA owner-FCF component DCF: bear case (millions, EUR)</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</si>
  <si>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</si>
  <si>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</si>
  <si>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</si>
  <si>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</si>
  <si>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</si>
  <si>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</si>
  <si>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</si>
  <si>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</si>
  <si>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</si>
  <si>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</si>
  <si>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</si>
  <si>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</si>
  <si>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</si>
  <si>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</si>
  <si>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</si>
  <si>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</si>
  <si>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</si>
  <si>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</si>
  <si>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</si>
  <si>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</si>
  <si>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</si>
  <si>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</si>
  <si>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</si>
  <si>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</si>
  <si>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</si>
  <si>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</si>
  <si>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</si>
  <si>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</si>
  <si>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</si>
  <si>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</si>
  <si>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AIR.PA owner-FCF component DCF: base case (millions, EUR)</t>
  </si>
  <si>
    <t xml:space="preserve">AIR.PA owner-FCF component DCF: bull case (millions, EUR)</t>
  </si>
  <si>
    <t xml:space="preserve">AIR.PA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</si>
  <si>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</si>
  <si>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</si>
  <si>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</si>
  <si>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</si>
  <si>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</si>
  <si>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</si>
  <si>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</si>
  <si>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</si>
  <si>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</si>
  <si>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</si>
  <si>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</si>
  <si>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</si>
  <si>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</si>
  <si>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</si>
  <si>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8.5% (WACC)</t>
  </si>
  <si>
    <t xml:space="preserve">Value per share at 9%</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</si>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</sst>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192.46</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c r="AC1" s="2" t="s">
        <v>63</v>
      </c>
      <c r="AD1" s="2" t="s">
        <v>64</v>
      </c>
      <c r="AE1" s="2" t="s">
        <v>65</v>
      </c>
      <c r="AF1" s="2" t="s">
        <v>66</v>
      </c>
    </row>
    <row r="2" customFormat="false" ht="15" hidden="false" customHeight="false" outlineLevel="0" collapsed="false">
      <c r="A2" s="0" t="s">
        <v>67</v>
      </c>
      <c r="B2" s="0" t="n">
        <v>57567</v>
      </c>
      <c r="C2" s="0" t="n">
        <v>-49613</v>
      </c>
      <c r="D2" s="0" t="n">
        <v>7954</v>
      </c>
      <c r="E2" s="0" t="n">
        <v>13.8</v>
      </c>
      <c r="F2" s="0" t="n">
        <v>2570</v>
      </c>
      <c r="G2" s="0" t="n">
        <v>4.5</v>
      </c>
      <c r="I2" s="0" t="n">
        <v>1473</v>
      </c>
      <c r="J2" s="0" t="n">
        <v>2.6</v>
      </c>
      <c r="L2" s="0" t="n">
        <v>1829</v>
      </c>
      <c r="M2" s="0" t="n">
        <v>2918</v>
      </c>
      <c r="N2" s="0" t="n">
        <v>-1089</v>
      </c>
      <c r="O2" s="0" t="n">
        <v>10864</v>
      </c>
      <c r="P2" s="0" t="n">
        <v>90274</v>
      </c>
      <c r="Q2" s="0" t="n">
        <v>79368</v>
      </c>
      <c r="R2" s="0" t="n">
        <v>5630</v>
      </c>
      <c r="S2" s="0" t="n">
        <v>7201</v>
      </c>
      <c r="AA2" s="0" t="s">
        <v>17</v>
      </c>
      <c r="AB2" s="0" t="s">
        <v>14</v>
      </c>
      <c r="AC2" s="0" t="n">
        <v>626</v>
      </c>
      <c r="AE2" s="0" t="n">
        <v>497</v>
      </c>
    </row>
    <row r="3" customFormat="false" ht="15" hidden="false" customHeight="false" outlineLevel="0" collapsed="false">
      <c r="A3" s="0" t="s">
        <v>68</v>
      </c>
      <c r="B3" s="0" t="n">
        <v>60713</v>
      </c>
      <c r="C3" s="0" t="n">
        <v>-51776</v>
      </c>
      <c r="D3" s="0" t="n">
        <v>8937</v>
      </c>
      <c r="E3" s="0" t="n">
        <v>14.7</v>
      </c>
      <c r="F3" s="0" t="n">
        <v>3991</v>
      </c>
      <c r="G3" s="0" t="n">
        <v>6.6</v>
      </c>
      <c r="I3" s="0" t="n">
        <v>2343</v>
      </c>
      <c r="J3" s="0" t="n">
        <v>3.9</v>
      </c>
      <c r="K3" s="0" t="n">
        <v>2.99</v>
      </c>
      <c r="L3" s="0" t="n">
        <v>2560</v>
      </c>
      <c r="M3" s="0" t="n">
        <v>2548</v>
      </c>
      <c r="N3" s="0" t="n">
        <v>12</v>
      </c>
      <c r="O3" s="0" t="n">
        <v>7061</v>
      </c>
      <c r="P3" s="0" t="n">
        <v>96102</v>
      </c>
      <c r="Q3" s="0" t="n">
        <v>89023</v>
      </c>
      <c r="R3" s="0" t="n">
        <v>7351</v>
      </c>
      <c r="S3" s="0" t="n">
        <v>7271</v>
      </c>
      <c r="U3" s="0" t="n">
        <v>-5</v>
      </c>
      <c r="AA3" s="0" t="s">
        <v>17</v>
      </c>
      <c r="AB3" s="0" t="s">
        <v>14</v>
      </c>
      <c r="AC3" s="0" t="n">
        <v>629</v>
      </c>
      <c r="AE3" s="0" t="n">
        <v>471</v>
      </c>
    </row>
    <row r="4" customFormat="false" ht="15" hidden="false" customHeight="false" outlineLevel="0" collapsed="false">
      <c r="A4" s="0" t="s">
        <v>69</v>
      </c>
      <c r="B4" s="0" t="n">
        <v>64450</v>
      </c>
      <c r="C4" s="0" t="n">
        <v>-55599</v>
      </c>
      <c r="D4" s="0" t="n">
        <v>8851</v>
      </c>
      <c r="E4" s="0" t="n">
        <v>13.7</v>
      </c>
      <c r="F4" s="0" t="n">
        <v>4062</v>
      </c>
      <c r="G4" s="0" t="n">
        <v>6.3</v>
      </c>
      <c r="I4" s="0" t="n">
        <v>2696</v>
      </c>
      <c r="J4" s="0" t="n">
        <v>4.2</v>
      </c>
      <c r="K4" s="0" t="n">
        <v>3.42</v>
      </c>
      <c r="L4" s="0" t="n">
        <v>3600</v>
      </c>
      <c r="M4" s="0" t="n">
        <v>2924</v>
      </c>
      <c r="N4" s="0" t="n">
        <v>676</v>
      </c>
      <c r="O4" s="0" t="n">
        <v>5966</v>
      </c>
      <c r="P4" s="0" t="n">
        <v>106681</v>
      </c>
      <c r="Q4" s="0" t="n">
        <v>100708</v>
      </c>
      <c r="R4" s="0" t="n">
        <v>9125</v>
      </c>
      <c r="S4" s="0" t="n">
        <v>7489</v>
      </c>
      <c r="T4" s="0" t="n">
        <v>788.492</v>
      </c>
      <c r="U4" s="0" t="n">
        <v>29</v>
      </c>
      <c r="AA4" s="0" t="s">
        <v>17</v>
      </c>
      <c r="AB4" s="0" t="s">
        <v>14</v>
      </c>
      <c r="AC4" s="0" t="n">
        <v>635</v>
      </c>
      <c r="AE4" s="0" t="n">
        <v>395</v>
      </c>
    </row>
    <row r="5" customFormat="false" ht="15" hidden="false" customHeight="false" outlineLevel="0" collapsed="false">
      <c r="A5" s="0" t="s">
        <v>70</v>
      </c>
      <c r="B5" s="0" t="n">
        <v>66581</v>
      </c>
      <c r="C5" s="0" t="n">
        <v>-61317</v>
      </c>
      <c r="D5" s="0" t="n">
        <v>5264</v>
      </c>
      <c r="E5" s="0" t="n">
        <v>7.9</v>
      </c>
      <c r="F5" s="0" t="n">
        <v>2258</v>
      </c>
      <c r="G5" s="0" t="n">
        <v>3.4</v>
      </c>
      <c r="I5" s="0" t="n">
        <v>995</v>
      </c>
      <c r="J5" s="0" t="n">
        <v>1.5</v>
      </c>
      <c r="K5" s="0" t="n">
        <v>1.29</v>
      </c>
      <c r="L5" s="0" t="n">
        <v>3470</v>
      </c>
      <c r="M5" s="0" t="n">
        <v>3060</v>
      </c>
      <c r="N5" s="0" t="n">
        <v>410</v>
      </c>
      <c r="O5" s="0" t="n">
        <v>3657</v>
      </c>
      <c r="P5" s="0" t="n">
        <v>111133</v>
      </c>
      <c r="Q5" s="0" t="n">
        <v>107481</v>
      </c>
      <c r="R5" s="0" t="n">
        <v>10478</v>
      </c>
      <c r="S5" s="0" t="n">
        <v>10143</v>
      </c>
      <c r="T5" s="0" t="n">
        <v>779.11</v>
      </c>
      <c r="U5" s="0" t="n">
        <v>31</v>
      </c>
      <c r="AA5" s="0" t="s">
        <v>17</v>
      </c>
      <c r="AB5" s="0" t="s">
        <v>14</v>
      </c>
      <c r="AC5" s="0" t="n">
        <v>688</v>
      </c>
      <c r="AD5" s="0" t="n">
        <v>6874</v>
      </c>
      <c r="AE5" s="0" t="n">
        <v>418</v>
      </c>
    </row>
    <row r="6" customFormat="false" ht="15" hidden="false" customHeight="false" outlineLevel="0" collapsed="false">
      <c r="A6" s="0" t="s">
        <v>71</v>
      </c>
      <c r="B6" s="0" t="n">
        <v>66767</v>
      </c>
      <c r="C6" s="0" t="n">
        <v>-59160</v>
      </c>
      <c r="D6" s="0" t="n">
        <v>7607</v>
      </c>
      <c r="E6" s="0" t="n">
        <v>11.4</v>
      </c>
      <c r="F6" s="0" t="n">
        <v>3421</v>
      </c>
      <c r="G6" s="0" t="n">
        <v>5.1</v>
      </c>
      <c r="I6" s="0" t="n">
        <v>2873</v>
      </c>
      <c r="J6" s="0" t="n">
        <v>4.3</v>
      </c>
      <c r="K6" s="0" t="n">
        <v>3.7</v>
      </c>
      <c r="L6" s="0" t="n">
        <v>4444</v>
      </c>
      <c r="M6" s="0" t="n">
        <v>2558</v>
      </c>
      <c r="N6" s="0" t="n">
        <v>1886</v>
      </c>
      <c r="O6" s="0" t="n">
        <v>10740</v>
      </c>
      <c r="P6" s="0" t="n">
        <v>111074</v>
      </c>
      <c r="Q6" s="0" t="n">
        <v>100332</v>
      </c>
      <c r="R6" s="0" t="n">
        <v>11197</v>
      </c>
      <c r="S6" s="0" t="n">
        <v>12016</v>
      </c>
      <c r="T6" s="0" t="n">
        <v>774.365</v>
      </c>
      <c r="U6" s="0" t="n">
        <v>36</v>
      </c>
      <c r="AA6" s="0" t="s">
        <v>17</v>
      </c>
      <c r="AB6" s="0" t="s">
        <v>14</v>
      </c>
      <c r="AC6" s="0" t="n">
        <v>718</v>
      </c>
      <c r="AE6" s="0" t="n">
        <v>409</v>
      </c>
      <c r="AF6" s="0" t="n">
        <v>1109</v>
      </c>
    </row>
    <row r="7" customFormat="false" ht="15" hidden="false" customHeight="false" outlineLevel="0" collapsed="false">
      <c r="A7" s="0" t="s">
        <v>72</v>
      </c>
      <c r="B7" s="0" t="n">
        <v>63707</v>
      </c>
      <c r="C7" s="0" t="n">
        <v>-54920</v>
      </c>
      <c r="D7" s="0" t="n">
        <v>8787</v>
      </c>
      <c r="E7" s="0" t="n">
        <v>13.8</v>
      </c>
      <c r="F7" s="0" t="n">
        <v>5048</v>
      </c>
      <c r="G7" s="0" t="n">
        <v>7.9</v>
      </c>
      <c r="I7" s="0" t="n">
        <v>3054</v>
      </c>
      <c r="J7" s="0" t="n">
        <v>4.8</v>
      </c>
      <c r="K7" s="0" t="n">
        <v>3.92</v>
      </c>
      <c r="L7" s="0" t="n">
        <v>2318</v>
      </c>
      <c r="M7" s="0" t="n">
        <v>2285</v>
      </c>
      <c r="N7" s="0" t="n">
        <v>33</v>
      </c>
      <c r="O7" s="0" t="n">
        <v>9724</v>
      </c>
      <c r="P7" s="0" t="n">
        <v>115198</v>
      </c>
      <c r="Q7" s="0" t="n">
        <v>105479</v>
      </c>
      <c r="R7" s="0" t="n">
        <v>8926</v>
      </c>
      <c r="S7" s="0" t="n">
        <v>9413</v>
      </c>
      <c r="T7" s="0" t="n">
        <v>775.731</v>
      </c>
      <c r="U7" s="0" t="n">
        <v>62</v>
      </c>
      <c r="AA7" s="0" t="s">
        <v>17</v>
      </c>
      <c r="AB7" s="0" t="s">
        <v>14</v>
      </c>
      <c r="AC7" s="0" t="n">
        <v>800</v>
      </c>
      <c r="AE7" s="0" t="n">
        <v>356</v>
      </c>
    </row>
    <row r="8" customFormat="false" ht="15" hidden="false" customHeight="false" outlineLevel="0" collapsed="false">
      <c r="A8" s="0" t="s">
        <v>73</v>
      </c>
      <c r="B8" s="0" t="n">
        <v>70478</v>
      </c>
      <c r="C8" s="0" t="n">
        <v>-59973</v>
      </c>
      <c r="D8" s="0" t="n">
        <v>10505</v>
      </c>
      <c r="E8" s="0" t="n">
        <v>14.9</v>
      </c>
      <c r="F8" s="0" t="n">
        <v>1339</v>
      </c>
      <c r="G8" s="0" t="n">
        <v>1.9</v>
      </c>
      <c r="I8" s="0" t="n">
        <v>-1362</v>
      </c>
      <c r="J8" s="0" t="n">
        <v>-1.9</v>
      </c>
      <c r="K8" s="0" t="n">
        <v>-1.75</v>
      </c>
      <c r="L8" s="0" t="n">
        <v>3917</v>
      </c>
      <c r="M8" s="0" t="n">
        <v>2340</v>
      </c>
      <c r="N8" s="0" t="n">
        <v>1577</v>
      </c>
      <c r="O8" s="0" t="n">
        <v>5975</v>
      </c>
      <c r="P8" s="0" t="n">
        <v>114409</v>
      </c>
      <c r="Q8" s="0" t="n">
        <v>108419</v>
      </c>
      <c r="R8" s="0" t="n">
        <v>10148</v>
      </c>
      <c r="S8" s="0" t="n">
        <v>9314</v>
      </c>
      <c r="T8" s="0" t="n">
        <v>777.04</v>
      </c>
      <c r="U8" s="0" t="n">
        <v>76</v>
      </c>
      <c r="AA8" s="0" t="s">
        <v>17</v>
      </c>
      <c r="AB8" s="0" t="s">
        <v>14</v>
      </c>
      <c r="AC8" s="0" t="n">
        <v>863</v>
      </c>
      <c r="AE8" s="0" t="n">
        <v>332</v>
      </c>
    </row>
    <row r="9" customFormat="false" ht="15" hidden="false" customHeight="false" outlineLevel="0" collapsed="false">
      <c r="A9" s="0" t="s">
        <v>74</v>
      </c>
      <c r="B9" s="0" t="n">
        <v>49912</v>
      </c>
      <c r="C9" s="0" t="n">
        <v>-44250</v>
      </c>
      <c r="D9" s="0" t="n">
        <v>5662</v>
      </c>
      <c r="E9" s="0" t="n">
        <v>11.3</v>
      </c>
      <c r="F9" s="0" t="n">
        <v>-510</v>
      </c>
      <c r="G9" s="0" t="n">
        <v>-1</v>
      </c>
      <c r="I9" s="0" t="n">
        <v>-1133</v>
      </c>
      <c r="J9" s="0" t="n">
        <v>-2.3</v>
      </c>
      <c r="K9" s="0" t="n">
        <v>-1.45</v>
      </c>
      <c r="L9" s="0" t="n">
        <v>-5380</v>
      </c>
      <c r="M9" s="0" t="n">
        <v>1759</v>
      </c>
      <c r="N9" s="0" t="n">
        <v>-7139</v>
      </c>
      <c r="O9" s="0" t="n">
        <v>6445</v>
      </c>
      <c r="P9" s="0" t="n">
        <v>110095</v>
      </c>
      <c r="Q9" s="0" t="n">
        <v>103639</v>
      </c>
      <c r="R9" s="0" t="n">
        <v>17095</v>
      </c>
      <c r="S9" s="0" t="n">
        <v>14439</v>
      </c>
      <c r="T9" s="0" t="n">
        <v>783.178</v>
      </c>
      <c r="U9" s="0" t="n">
        <v>42</v>
      </c>
      <c r="AA9" s="0" t="s">
        <v>17</v>
      </c>
      <c r="AB9" s="0" t="s">
        <v>14</v>
      </c>
      <c r="AC9" s="0" t="n">
        <v>566</v>
      </c>
      <c r="AD9" s="0" t="n">
        <v>7184</v>
      </c>
      <c r="AE9" s="0" t="n">
        <v>300</v>
      </c>
      <c r="AF9" s="0" t="n">
        <v>268</v>
      </c>
    </row>
    <row r="10" customFormat="false" ht="15" hidden="false" customHeight="false" outlineLevel="0" collapsed="false">
      <c r="A10" s="0" t="s">
        <v>75</v>
      </c>
      <c r="B10" s="0" t="n">
        <v>52149</v>
      </c>
      <c r="C10" s="0" t="n">
        <v>-42518</v>
      </c>
      <c r="D10" s="0" t="n">
        <v>9631</v>
      </c>
      <c r="E10" s="0" t="n">
        <v>18.5</v>
      </c>
      <c r="F10" s="0" t="n">
        <v>5342</v>
      </c>
      <c r="G10" s="0" t="n">
        <v>10.2</v>
      </c>
      <c r="I10" s="0" t="n">
        <v>4213</v>
      </c>
      <c r="J10" s="0" t="n">
        <v>8.1</v>
      </c>
      <c r="K10" s="0" t="n">
        <v>5.36</v>
      </c>
      <c r="L10" s="0" t="n">
        <v>4556</v>
      </c>
      <c r="M10" s="0" t="n">
        <v>1928</v>
      </c>
      <c r="N10" s="0" t="n">
        <v>2628</v>
      </c>
      <c r="O10" s="0" t="n">
        <v>9466</v>
      </c>
      <c r="P10" s="0" t="n">
        <v>107047</v>
      </c>
      <c r="Q10" s="0" t="n">
        <v>97561</v>
      </c>
      <c r="R10" s="0" t="n">
        <v>15040</v>
      </c>
      <c r="S10" s="0" t="n">
        <v>14572</v>
      </c>
      <c r="T10" s="0" t="n">
        <v>785.326</v>
      </c>
      <c r="U10" s="0" t="n">
        <v>61</v>
      </c>
      <c r="AA10" s="0" t="s">
        <v>17</v>
      </c>
      <c r="AB10" s="0" t="s">
        <v>14</v>
      </c>
      <c r="AC10" s="0" t="n">
        <v>611</v>
      </c>
      <c r="AE10" s="0" t="n">
        <v>338</v>
      </c>
    </row>
    <row r="11" customFormat="false" ht="15" hidden="false" customHeight="false" outlineLevel="0" collapsed="false">
      <c r="A11" s="0" t="s">
        <v>76</v>
      </c>
      <c r="B11" s="0" t="n">
        <v>58763</v>
      </c>
      <c r="C11" s="0" t="n">
        <v>-48192</v>
      </c>
      <c r="D11" s="0" t="n">
        <v>10571</v>
      </c>
      <c r="E11" s="0" t="n">
        <v>18</v>
      </c>
      <c r="F11" s="0" t="n">
        <v>5325</v>
      </c>
      <c r="G11" s="0" t="n">
        <v>9.1</v>
      </c>
      <c r="I11" s="0" t="n">
        <v>4247</v>
      </c>
      <c r="J11" s="0" t="n">
        <v>7.2</v>
      </c>
      <c r="K11" s="0" t="n">
        <v>5.39</v>
      </c>
      <c r="L11" s="0" t="n">
        <v>6288</v>
      </c>
      <c r="M11" s="0" t="n">
        <v>2464</v>
      </c>
      <c r="N11" s="0" t="n">
        <v>3824</v>
      </c>
      <c r="O11" s="0" t="n">
        <v>12950</v>
      </c>
      <c r="P11" s="0" t="n">
        <v>115944</v>
      </c>
      <c r="Q11" s="0" t="n">
        <v>102962</v>
      </c>
      <c r="R11" s="0" t="n">
        <v>12773</v>
      </c>
      <c r="S11" s="0" t="n">
        <v>15823</v>
      </c>
      <c r="T11" s="0" t="n">
        <v>787.081</v>
      </c>
      <c r="U11" s="0" t="n">
        <v>115</v>
      </c>
      <c r="AA11" s="0" t="s">
        <v>17</v>
      </c>
      <c r="AB11" s="0" t="s">
        <v>14</v>
      </c>
      <c r="AC11" s="0" t="n">
        <v>661</v>
      </c>
      <c r="AE11" s="0" t="n">
        <v>344</v>
      </c>
    </row>
    <row r="12" customFormat="false" ht="15" hidden="false" customHeight="false" outlineLevel="0" collapsed="false">
      <c r="A12" s="0" t="s">
        <v>77</v>
      </c>
      <c r="B12" s="0" t="n">
        <v>65446</v>
      </c>
      <c r="C12" s="0" t="n">
        <v>-55402</v>
      </c>
      <c r="D12" s="0" t="n">
        <v>10044</v>
      </c>
      <c r="E12" s="0" t="n">
        <v>15.3</v>
      </c>
      <c r="F12" s="0" t="n">
        <v>4603</v>
      </c>
      <c r="G12" s="0" t="n">
        <v>7</v>
      </c>
      <c r="H12" s="0" t="n">
        <v>6845</v>
      </c>
      <c r="I12" s="0" t="n">
        <v>3789</v>
      </c>
      <c r="J12" s="0" t="n">
        <v>5.8</v>
      </c>
      <c r="K12" s="0" t="n">
        <v>4.8</v>
      </c>
      <c r="L12" s="0" t="n">
        <v>6255</v>
      </c>
      <c r="M12" s="0" t="n">
        <v>3051</v>
      </c>
      <c r="N12" s="0" t="n">
        <v>3204</v>
      </c>
      <c r="O12" s="0" t="n">
        <v>17695</v>
      </c>
      <c r="P12" s="0" t="n">
        <v>118871</v>
      </c>
      <c r="Q12" s="0" t="n">
        <v>101141</v>
      </c>
      <c r="R12" s="0" t="n">
        <v>13591</v>
      </c>
      <c r="S12" s="0" t="n">
        <v>16469</v>
      </c>
      <c r="T12" s="0" t="n">
        <v>788.721</v>
      </c>
      <c r="U12" s="0" t="n">
        <v>168</v>
      </c>
      <c r="AA12" s="0" t="s">
        <v>17</v>
      </c>
      <c r="AB12" s="0" t="s">
        <v>14</v>
      </c>
      <c r="AC12" s="0" t="n">
        <v>735</v>
      </c>
      <c r="AE12" s="0" t="n">
        <v>346</v>
      </c>
    </row>
    <row r="13" customFormat="false" ht="15" hidden="false" customHeight="false" outlineLevel="0" collapsed="false">
      <c r="A13" s="0" t="s">
        <v>78</v>
      </c>
      <c r="B13" s="0" t="n">
        <v>69230</v>
      </c>
      <c r="C13" s="0" t="n">
        <v>-58555</v>
      </c>
      <c r="D13" s="0" t="n">
        <v>10675</v>
      </c>
      <c r="E13" s="0" t="n">
        <v>15.4</v>
      </c>
      <c r="F13" s="0" t="n">
        <v>5304</v>
      </c>
      <c r="G13" s="0" t="n">
        <v>7.7</v>
      </c>
      <c r="H13" s="0" t="n">
        <v>8157</v>
      </c>
      <c r="I13" s="0" t="n">
        <v>4232</v>
      </c>
      <c r="J13" s="0" t="n">
        <v>6.1</v>
      </c>
      <c r="K13" s="0" t="n">
        <v>5.35</v>
      </c>
      <c r="L13" s="0" t="n">
        <v>7402</v>
      </c>
      <c r="M13" s="0" t="n">
        <v>3669</v>
      </c>
      <c r="N13" s="0" t="n">
        <v>3733</v>
      </c>
      <c r="O13" s="0" t="n">
        <v>19606</v>
      </c>
      <c r="P13" s="0" t="n">
        <v>129213</v>
      </c>
      <c r="Q13" s="0" t="n">
        <v>109517</v>
      </c>
      <c r="R13" s="0" t="n">
        <v>14279</v>
      </c>
      <c r="S13" s="0" t="n">
        <v>15003</v>
      </c>
      <c r="T13" s="0" t="n">
        <v>789.962</v>
      </c>
      <c r="U13" s="0" t="n">
        <v>310</v>
      </c>
      <c r="AA13" s="0" t="s">
        <v>17</v>
      </c>
      <c r="AB13" s="0" t="s">
        <v>14</v>
      </c>
      <c r="AC13" s="0" t="n">
        <v>766</v>
      </c>
      <c r="AD13" s="0" t="n">
        <v>8658</v>
      </c>
      <c r="AE13" s="0" t="n">
        <v>361</v>
      </c>
      <c r="AF13" s="0" t="n">
        <v>826</v>
      </c>
    </row>
    <row r="14" customFormat="false" ht="15" hidden="false" customHeight="false" outlineLevel="0" collapsed="false">
      <c r="A14" s="0" t="s">
        <v>79</v>
      </c>
      <c r="B14" s="0" t="n">
        <v>73420</v>
      </c>
      <c r="C14" s="0" t="n">
        <v>-62453</v>
      </c>
      <c r="D14" s="0" t="n">
        <v>10967</v>
      </c>
      <c r="E14" s="0" t="n">
        <v>14.9</v>
      </c>
      <c r="F14" s="0" t="n">
        <v>6082</v>
      </c>
      <c r="G14" s="0" t="n">
        <v>8.3</v>
      </c>
      <c r="H14" s="0" t="n">
        <v>9215</v>
      </c>
      <c r="I14" s="0" t="n">
        <v>5221</v>
      </c>
      <c r="J14" s="0" t="n">
        <v>7.1</v>
      </c>
      <c r="K14" s="0" t="n">
        <v>6.6</v>
      </c>
      <c r="L14" s="0" t="n">
        <v>7995</v>
      </c>
      <c r="M14" s="0" t="n">
        <v>3964</v>
      </c>
      <c r="N14" s="0" t="n">
        <v>4031</v>
      </c>
      <c r="O14" s="0" t="n">
        <v>26104</v>
      </c>
      <c r="P14" s="0" t="n">
        <v>134939</v>
      </c>
      <c r="Q14" s="0" t="n">
        <v>108755</v>
      </c>
      <c r="R14" s="0" t="n">
        <v>14249</v>
      </c>
      <c r="S14" s="0" t="n">
        <v>14128</v>
      </c>
      <c r="T14" s="0" t="n">
        <v>789.573</v>
      </c>
      <c r="U14" s="0" t="n">
        <v>335</v>
      </c>
      <c r="AA14" s="0" t="s">
        <v>17</v>
      </c>
      <c r="AB14" s="0" t="s">
        <v>14</v>
      </c>
      <c r="AC14" s="0" t="n">
        <v>793</v>
      </c>
      <c r="AE14" s="0" t="n">
        <v>392</v>
      </c>
      <c r="AF14" s="0" t="n">
        <v>889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80</v>
      </c>
      <c r="B1" s="2" t="s">
        <v>81</v>
      </c>
    </row>
    <row r="2" customFormat="false" ht="15" hidden="false" customHeight="false" outlineLevel="0" collapsed="false">
      <c r="A2" s="0" t="s">
        <v>82</v>
      </c>
      <c r="B2" s="3" t="n">
        <v>192.46</v>
      </c>
    </row>
    <row r="3" customFormat="false" ht="15" hidden="false" customHeight="false" outlineLevel="0" collapsed="false">
      <c r="A3" s="0" t="s">
        <v>83</v>
      </c>
      <c r="B3" s="3" t="n">
        <v>789.86</v>
      </c>
    </row>
    <row r="4" customFormat="false" ht="15" hidden="false" customHeight="false" outlineLevel="0" collapsed="false">
      <c r="A4" s="0" t="s">
        <v>84</v>
      </c>
      <c r="B4" s="3" t="n">
        <v>-8360</v>
      </c>
    </row>
    <row r="5" customFormat="false" ht="15" hidden="false" customHeight="false" outlineLevel="0" collapsed="false">
      <c r="A5" s="0" t="s">
        <v>85</v>
      </c>
      <c r="B5" s="3" t="n">
        <v>590</v>
      </c>
    </row>
    <row r="6" customFormat="false" ht="15" hidden="false" customHeight="false" outlineLevel="0" collapsed="false">
      <c r="A6" s="0" t="s">
        <v>86</v>
      </c>
      <c r="B6" s="3" t="n">
        <v>15</v>
      </c>
    </row>
    <row r="7" customFormat="false" ht="15" hidden="false" customHeight="false" outlineLevel="0" collapsed="false">
      <c r="A7" s="0" t="s">
        <v>87</v>
      </c>
      <c r="B7" s="3" t="n">
        <v>73420</v>
      </c>
    </row>
    <row r="8" customFormat="false" ht="15" hidden="false" customHeight="false" outlineLevel="0" collapsed="false">
      <c r="A8" s="0" t="s">
        <v>88</v>
      </c>
      <c r="B8" s="3" t="s">
        <v>79</v>
      </c>
    </row>
    <row r="9" customFormat="false" ht="15" hidden="false" customHeight="false" outlineLevel="0" collapsed="false">
      <c r="A9" s="0" t="s">
        <v>89</v>
      </c>
      <c r="B9" s="3" t="s">
        <v>90</v>
      </c>
    </row>
    <row r="10" customFormat="false" ht="15" hidden="false" customHeight="false" outlineLevel="0" collapsed="false">
      <c r="A10" s="0" t="s">
        <v>91</v>
      </c>
      <c r="B10" s="3" t="n">
        <v>1</v>
      </c>
    </row>
    <row r="12" customFormat="false" ht="15" hidden="false" customHeight="false" outlineLevel="0" collapsed="false">
      <c r="A12" s="2" t="s">
        <v>92</v>
      </c>
      <c r="C12" s="2" t="s">
        <v>93</v>
      </c>
      <c r="D12" s="2" t="s">
        <v>94</v>
      </c>
      <c r="E12" s="2" t="s">
        <v>95</v>
      </c>
      <c r="F12" s="2" t="s">
        <v>96</v>
      </c>
      <c r="G12" s="2" t="s">
        <v>97</v>
      </c>
      <c r="H12" s="2" t="s">
        <v>98</v>
      </c>
      <c r="I12" s="2" t="s">
        <v>99</v>
      </c>
      <c r="J12" s="2" t="s">
        <v>100</v>
      </c>
      <c r="K12" s="2" t="s">
        <v>101</v>
      </c>
      <c r="L12" s="2" t="s">
        <v>102</v>
      </c>
    </row>
    <row r="13" customFormat="false" ht="15" hidden="false" customHeight="false" outlineLevel="0" collapsed="false">
      <c r="A13" s="0" t="s">
        <v>103</v>
      </c>
      <c r="C13" s="3" t="n">
        <v>6</v>
      </c>
      <c r="D13" s="3" t="n">
        <v>3</v>
      </c>
      <c r="E13" s="3" t="n">
        <v>4</v>
      </c>
      <c r="F13" s="3" t="n">
        <v>4</v>
      </c>
      <c r="G13" s="3" t="n">
        <v>3.5</v>
      </c>
      <c r="H13" s="3" t="n">
        <v>3</v>
      </c>
      <c r="I13" s="3" t="n">
        <v>3</v>
      </c>
      <c r="J13" s="3" t="n">
        <v>2.5</v>
      </c>
      <c r="K13" s="3" t="n">
        <v>2.5</v>
      </c>
      <c r="L13" s="3" t="n">
        <v>2</v>
      </c>
    </row>
    <row r="14" customFormat="false" ht="15" hidden="false" customHeight="false" outlineLevel="0" collapsed="false">
      <c r="A14" s="0" t="s">
        <v>104</v>
      </c>
      <c r="C14" s="3" t="n">
        <v>12.6</v>
      </c>
      <c r="D14" s="3" t="n">
        <v>12.6</v>
      </c>
      <c r="E14" s="3" t="n">
        <v>12.9</v>
      </c>
      <c r="F14" s="3" t="n">
        <v>13.1</v>
      </c>
      <c r="G14" s="3" t="n">
        <v>13.3</v>
      </c>
      <c r="H14" s="3" t="n">
        <v>13.4</v>
      </c>
      <c r="I14" s="3" t="n">
        <v>13.5</v>
      </c>
      <c r="J14" s="3" t="n">
        <v>13.5</v>
      </c>
      <c r="K14" s="3" t="n">
        <v>13.5</v>
      </c>
      <c r="L14" s="3" t="n">
        <v>13.5</v>
      </c>
    </row>
    <row r="15" customFormat="false" ht="15" hidden="false" customHeight="false" outlineLevel="0" collapsed="false">
      <c r="A15" s="0" t="s">
        <v>105</v>
      </c>
      <c r="C15" s="3" t="n">
        <v>0.45</v>
      </c>
      <c r="D15" s="3" t="n">
        <v>0.45</v>
      </c>
      <c r="E15" s="3" t="n">
        <v>0.45</v>
      </c>
      <c r="F15" s="3" t="n">
        <v>0.45</v>
      </c>
      <c r="G15" s="3" t="n">
        <v>0.45</v>
      </c>
      <c r="H15" s="3" t="n">
        <v>0.45</v>
      </c>
      <c r="I15" s="3" t="n">
        <v>0.45</v>
      </c>
      <c r="J15" s="3" t="n">
        <v>0.45</v>
      </c>
      <c r="K15" s="3" t="n">
        <v>0.45</v>
      </c>
      <c r="L15" s="3" t="n">
        <v>0.45</v>
      </c>
    </row>
    <row r="16" customFormat="false" ht="15" hidden="false" customHeight="false" outlineLevel="0" collapsed="false">
      <c r="A16" s="0" t="s">
        <v>106</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107</v>
      </c>
      <c r="C17" s="3" t="n">
        <v>4.4</v>
      </c>
      <c r="D17" s="3" t="n">
        <v>4.5</v>
      </c>
      <c r="E17" s="3" t="n">
        <v>4.5</v>
      </c>
      <c r="F17" s="3" t="n">
        <v>4.4</v>
      </c>
      <c r="G17" s="3" t="n">
        <v>4.4</v>
      </c>
      <c r="H17" s="3" t="n">
        <v>4.3</v>
      </c>
      <c r="I17" s="3" t="n">
        <v>4.3</v>
      </c>
      <c r="J17" s="3" t="n">
        <v>4.3</v>
      </c>
      <c r="K17" s="3" t="n">
        <v>4.3</v>
      </c>
      <c r="L17" s="3" t="n">
        <v>4.3</v>
      </c>
    </row>
    <row r="18" customFormat="false" ht="15" hidden="false" customHeight="false" outlineLevel="0" collapsed="false">
      <c r="A18" s="0" t="s">
        <v>108</v>
      </c>
      <c r="C18" s="3" t="n">
        <v>6</v>
      </c>
      <c r="D18" s="3" t="n">
        <v>6</v>
      </c>
      <c r="E18" s="3" t="n">
        <v>5.8</v>
      </c>
      <c r="F18" s="3" t="n">
        <v>5.6</v>
      </c>
      <c r="G18" s="3" t="n">
        <v>5.5</v>
      </c>
      <c r="H18" s="3" t="n">
        <v>5.4</v>
      </c>
      <c r="I18" s="3" t="n">
        <v>5.3</v>
      </c>
      <c r="J18" s="3" t="n">
        <v>5.2</v>
      </c>
      <c r="K18" s="3" t="n">
        <v>5.2</v>
      </c>
      <c r="L18" s="3" t="n">
        <v>5.2</v>
      </c>
    </row>
    <row r="19" customFormat="false" ht="15" hidden="false" customHeight="false" outlineLevel="0" collapsed="false">
      <c r="A19" s="0" t="s">
        <v>109</v>
      </c>
      <c r="C19" s="3" t="n">
        <v>17</v>
      </c>
      <c r="D19" s="3" t="n">
        <v>18</v>
      </c>
      <c r="E19" s="3" t="n">
        <v>19</v>
      </c>
      <c r="F19" s="3" t="n">
        <v>20</v>
      </c>
      <c r="G19" s="3" t="n">
        <v>21</v>
      </c>
      <c r="H19" s="3" t="n">
        <v>22</v>
      </c>
      <c r="I19" s="3" t="n">
        <v>23</v>
      </c>
      <c r="J19" s="3" t="n">
        <v>24</v>
      </c>
      <c r="K19" s="3" t="n">
        <v>24</v>
      </c>
      <c r="L19" s="3" t="n">
        <v>24</v>
      </c>
    </row>
    <row r="20" customFormat="false" ht="15" hidden="false" customHeight="false" outlineLevel="0" collapsed="false">
      <c r="A20" s="0" t="s">
        <v>110</v>
      </c>
      <c r="B20" s="3" t="n">
        <v>8.5</v>
      </c>
    </row>
    <row r="21" customFormat="false" ht="15" hidden="false" customHeight="false" outlineLevel="0" collapsed="false">
      <c r="A21" s="0" t="s">
        <v>111</v>
      </c>
      <c r="B21" s="3" t="n">
        <v>2</v>
      </c>
    </row>
    <row r="22" customFormat="false" ht="15" hidden="false" customHeight="false" outlineLevel="0" collapsed="false">
      <c r="A22" s="0" t="s">
        <v>112</v>
      </c>
      <c r="B22" s="3" t="n">
        <v>18</v>
      </c>
    </row>
    <row r="23" customFormat="false" ht="15" hidden="false" customHeight="false" outlineLevel="0" collapsed="false">
      <c r="A23" s="0" t="s">
        <v>113</v>
      </c>
      <c r="B23" s="3" t="n">
        <v>-10</v>
      </c>
    </row>
    <row r="24" customFormat="false" ht="15" hidden="false" customHeight="false" outlineLevel="0" collapsed="false">
      <c r="A24" s="0" t="s">
        <v>114</v>
      </c>
      <c r="B24" s="3" t="n">
        <v>0.25</v>
      </c>
    </row>
    <row r="26" customFormat="false" ht="15" hidden="false" customHeight="false" outlineLevel="0" collapsed="false">
      <c r="A26" s="2" t="s">
        <v>115</v>
      </c>
      <c r="C26" s="2" t="s">
        <v>93</v>
      </c>
      <c r="D26" s="2" t="s">
        <v>94</v>
      </c>
      <c r="E26" s="2" t="s">
        <v>95</v>
      </c>
      <c r="F26" s="2" t="s">
        <v>96</v>
      </c>
      <c r="G26" s="2" t="s">
        <v>97</v>
      </c>
      <c r="H26" s="2" t="s">
        <v>98</v>
      </c>
      <c r="I26" s="2" t="s">
        <v>99</v>
      </c>
      <c r="J26" s="2" t="s">
        <v>100</v>
      </c>
      <c r="K26" s="2" t="s">
        <v>101</v>
      </c>
      <c r="L26" s="2" t="s">
        <v>102</v>
      </c>
    </row>
    <row r="27" customFormat="false" ht="15" hidden="false" customHeight="false" outlineLevel="0" collapsed="false">
      <c r="A27" s="0" t="s">
        <v>103</v>
      </c>
      <c r="C27" s="3" t="n">
        <v>9</v>
      </c>
      <c r="D27" s="3" t="n">
        <v>7.5</v>
      </c>
      <c r="E27" s="3" t="n">
        <v>6.5</v>
      </c>
      <c r="F27" s="3" t="n">
        <v>5.5</v>
      </c>
      <c r="G27" s="3" t="n">
        <v>4.5</v>
      </c>
      <c r="H27" s="3" t="n">
        <v>4</v>
      </c>
      <c r="I27" s="3" t="n">
        <v>3.5</v>
      </c>
      <c r="J27" s="3" t="n">
        <v>3</v>
      </c>
      <c r="K27" s="3" t="n">
        <v>3</v>
      </c>
      <c r="L27" s="3" t="n">
        <v>2.5</v>
      </c>
    </row>
    <row r="28" customFormat="false" ht="15" hidden="false" customHeight="false" outlineLevel="0" collapsed="false">
      <c r="A28" s="0" t="s">
        <v>104</v>
      </c>
      <c r="C28" s="3" t="n">
        <v>13.4</v>
      </c>
      <c r="D28" s="3" t="n">
        <v>13.9</v>
      </c>
      <c r="E28" s="3" t="n">
        <v>14.4</v>
      </c>
      <c r="F28" s="3" t="n">
        <v>14.8</v>
      </c>
      <c r="G28" s="3" t="n">
        <v>15.1</v>
      </c>
      <c r="H28" s="3" t="n">
        <v>15.3</v>
      </c>
      <c r="I28" s="3" t="n">
        <v>15.4</v>
      </c>
      <c r="J28" s="3" t="n">
        <v>15.5</v>
      </c>
      <c r="K28" s="3" t="n">
        <v>15.5</v>
      </c>
      <c r="L28" s="3" t="n">
        <v>15.5</v>
      </c>
    </row>
    <row r="29" customFormat="false" ht="15" hidden="false" customHeight="false" outlineLevel="0" collapsed="false">
      <c r="A29" s="0" t="s">
        <v>105</v>
      </c>
      <c r="C29" s="3" t="n">
        <v>0.45</v>
      </c>
      <c r="D29" s="3" t="n">
        <v>0.45</v>
      </c>
      <c r="E29" s="3" t="n">
        <v>0.45</v>
      </c>
      <c r="F29" s="3" t="n">
        <v>0.45</v>
      </c>
      <c r="G29" s="3" t="n">
        <v>0.45</v>
      </c>
      <c r="H29" s="3" t="n">
        <v>0.45</v>
      </c>
      <c r="I29" s="3" t="n">
        <v>0.45</v>
      </c>
      <c r="J29" s="3" t="n">
        <v>0.45</v>
      </c>
      <c r="K29" s="3" t="n">
        <v>0.45</v>
      </c>
      <c r="L29" s="3" t="n">
        <v>0.45</v>
      </c>
    </row>
    <row r="30" customFormat="false" ht="15" hidden="false" customHeight="false" outlineLevel="0" collapsed="false">
      <c r="A30" s="0" t="s">
        <v>106</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107</v>
      </c>
      <c r="C31" s="3" t="n">
        <v>4.4</v>
      </c>
      <c r="D31" s="3" t="n">
        <v>4.4</v>
      </c>
      <c r="E31" s="3" t="n">
        <v>4.3</v>
      </c>
      <c r="F31" s="3" t="n">
        <v>4.3</v>
      </c>
      <c r="G31" s="3" t="n">
        <v>4.3</v>
      </c>
      <c r="H31" s="3" t="n">
        <v>4.2</v>
      </c>
      <c r="I31" s="3" t="n">
        <v>4.2</v>
      </c>
      <c r="J31" s="3" t="n">
        <v>4.2</v>
      </c>
      <c r="K31" s="3" t="n">
        <v>4.2</v>
      </c>
      <c r="L31" s="3" t="n">
        <v>4.2</v>
      </c>
    </row>
    <row r="32" customFormat="false" ht="15" hidden="false" customHeight="false" outlineLevel="0" collapsed="false">
      <c r="A32" s="0" t="s">
        <v>108</v>
      </c>
      <c r="C32" s="3" t="n">
        <v>5.9</v>
      </c>
      <c r="D32" s="3" t="n">
        <v>5.8</v>
      </c>
      <c r="E32" s="3" t="n">
        <v>5.6</v>
      </c>
      <c r="F32" s="3" t="n">
        <v>5.4</v>
      </c>
      <c r="G32" s="3" t="n">
        <v>5.2</v>
      </c>
      <c r="H32" s="3" t="n">
        <v>5.1</v>
      </c>
      <c r="I32" s="3" t="n">
        <v>5</v>
      </c>
      <c r="J32" s="3" t="n">
        <v>5</v>
      </c>
      <c r="K32" s="3" t="n">
        <v>4.9</v>
      </c>
      <c r="L32" s="3" t="n">
        <v>4.9</v>
      </c>
    </row>
    <row r="33" customFormat="false" ht="15" hidden="false" customHeight="false" outlineLevel="0" collapsed="false">
      <c r="A33" s="0" t="s">
        <v>109</v>
      </c>
      <c r="C33" s="3" t="n">
        <v>17</v>
      </c>
      <c r="D33" s="3" t="n">
        <v>18</v>
      </c>
      <c r="E33" s="3" t="n">
        <v>19</v>
      </c>
      <c r="F33" s="3" t="n">
        <v>20</v>
      </c>
      <c r="G33" s="3" t="n">
        <v>21</v>
      </c>
      <c r="H33" s="3" t="n">
        <v>22</v>
      </c>
      <c r="I33" s="3" t="n">
        <v>23</v>
      </c>
      <c r="J33" s="3" t="n">
        <v>24</v>
      </c>
      <c r="K33" s="3" t="n">
        <v>24</v>
      </c>
      <c r="L33" s="3" t="n">
        <v>24</v>
      </c>
    </row>
    <row r="34" customFormat="false" ht="15" hidden="false" customHeight="false" outlineLevel="0" collapsed="false">
      <c r="A34" s="0" t="s">
        <v>110</v>
      </c>
      <c r="B34" s="3" t="n">
        <v>8.5</v>
      </c>
    </row>
    <row r="35" customFormat="false" ht="15" hidden="false" customHeight="false" outlineLevel="0" collapsed="false">
      <c r="A35" s="0" t="s">
        <v>111</v>
      </c>
      <c r="B35" s="3" t="n">
        <v>2.5</v>
      </c>
    </row>
    <row r="36" customFormat="false" ht="15" hidden="false" customHeight="false" outlineLevel="0" collapsed="false">
      <c r="A36" s="0" t="s">
        <v>112</v>
      </c>
      <c r="B36" s="3" t="n">
        <v>18</v>
      </c>
    </row>
    <row r="37" customFormat="false" ht="15" hidden="false" customHeight="false" outlineLevel="0" collapsed="false">
      <c r="A37" s="0" t="s">
        <v>113</v>
      </c>
      <c r="B37" s="3" t="n">
        <v>0</v>
      </c>
    </row>
    <row r="38" customFormat="false" ht="15" hidden="false" customHeight="false" outlineLevel="0" collapsed="false">
      <c r="A38" s="0" t="s">
        <v>114</v>
      </c>
      <c r="B38" s="3" t="n">
        <v>0.5</v>
      </c>
    </row>
    <row r="40" customFormat="false" ht="15" hidden="false" customHeight="false" outlineLevel="0" collapsed="false">
      <c r="A40" s="2" t="s">
        <v>116</v>
      </c>
      <c r="C40" s="2" t="s">
        <v>93</v>
      </c>
      <c r="D40" s="2" t="s">
        <v>94</v>
      </c>
      <c r="E40" s="2" t="s">
        <v>95</v>
      </c>
      <c r="F40" s="2" t="s">
        <v>96</v>
      </c>
      <c r="G40" s="2" t="s">
        <v>97</v>
      </c>
      <c r="H40" s="2" t="s">
        <v>98</v>
      </c>
      <c r="I40" s="2" t="s">
        <v>99</v>
      </c>
      <c r="J40" s="2" t="s">
        <v>100</v>
      </c>
      <c r="K40" s="2" t="s">
        <v>101</v>
      </c>
      <c r="L40" s="2" t="s">
        <v>102</v>
      </c>
    </row>
    <row r="41" customFormat="false" ht="15" hidden="false" customHeight="false" outlineLevel="0" collapsed="false">
      <c r="A41" s="0" t="s">
        <v>103</v>
      </c>
      <c r="C41" s="3" t="n">
        <v>10.5</v>
      </c>
      <c r="D41" s="3" t="n">
        <v>9.5</v>
      </c>
      <c r="E41" s="3" t="n">
        <v>8.5</v>
      </c>
      <c r="F41" s="3" t="n">
        <v>7</v>
      </c>
      <c r="G41" s="3" t="n">
        <v>5.5</v>
      </c>
      <c r="H41" s="3" t="n">
        <v>4.5</v>
      </c>
      <c r="I41" s="3" t="n">
        <v>4</v>
      </c>
      <c r="J41" s="3" t="n">
        <v>3.5</v>
      </c>
      <c r="K41" s="3" t="n">
        <v>3</v>
      </c>
      <c r="L41" s="3" t="n">
        <v>3</v>
      </c>
    </row>
    <row r="42" customFormat="false" ht="15" hidden="false" customHeight="false" outlineLevel="0" collapsed="false">
      <c r="A42" s="0" t="s">
        <v>104</v>
      </c>
      <c r="C42" s="3" t="n">
        <v>13.8</v>
      </c>
      <c r="D42" s="3" t="n">
        <v>14.6</v>
      </c>
      <c r="E42" s="3" t="n">
        <v>15.3</v>
      </c>
      <c r="F42" s="3" t="n">
        <v>15.9</v>
      </c>
      <c r="G42" s="3" t="n">
        <v>16.3</v>
      </c>
      <c r="H42" s="3" t="n">
        <v>16.6</v>
      </c>
      <c r="I42" s="3" t="n">
        <v>16.8</v>
      </c>
      <c r="J42" s="3" t="n">
        <v>17</v>
      </c>
      <c r="K42" s="3" t="n">
        <v>17</v>
      </c>
      <c r="L42" s="3" t="n">
        <v>17</v>
      </c>
    </row>
    <row r="43" customFormat="false" ht="15" hidden="false" customHeight="false" outlineLevel="0" collapsed="false">
      <c r="A43" s="0" t="s">
        <v>105</v>
      </c>
      <c r="C43" s="3" t="n">
        <v>0.45</v>
      </c>
      <c r="D43" s="3" t="n">
        <v>0.45</v>
      </c>
      <c r="E43" s="3" t="n">
        <v>0.45</v>
      </c>
      <c r="F43" s="3" t="n">
        <v>0.45</v>
      </c>
      <c r="G43" s="3" t="n">
        <v>0.45</v>
      </c>
      <c r="H43" s="3" t="n">
        <v>0.45</v>
      </c>
      <c r="I43" s="3" t="n">
        <v>0.45</v>
      </c>
      <c r="J43" s="3" t="n">
        <v>0.45</v>
      </c>
      <c r="K43" s="3" t="n">
        <v>0.45</v>
      </c>
      <c r="L43" s="3" t="n">
        <v>0.45</v>
      </c>
    </row>
    <row r="44" customFormat="false" ht="15" hidden="false" customHeight="false" outlineLevel="0" collapsed="false">
      <c r="A44" s="0" t="s">
        <v>106</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107</v>
      </c>
      <c r="C45" s="3" t="n">
        <v>4.4</v>
      </c>
      <c r="D45" s="3" t="n">
        <v>4.4</v>
      </c>
      <c r="E45" s="3" t="n">
        <v>4.3</v>
      </c>
      <c r="F45" s="3" t="n">
        <v>4.3</v>
      </c>
      <c r="G45" s="3" t="n">
        <v>4.2</v>
      </c>
      <c r="H45" s="3" t="n">
        <v>4.2</v>
      </c>
      <c r="I45" s="3" t="n">
        <v>4.2</v>
      </c>
      <c r="J45" s="3" t="n">
        <v>4.1</v>
      </c>
      <c r="K45" s="3" t="n">
        <v>4.1</v>
      </c>
      <c r="L45" s="3" t="n">
        <v>4.1</v>
      </c>
    </row>
    <row r="46" customFormat="false" ht="15" hidden="false" customHeight="false" outlineLevel="0" collapsed="false">
      <c r="A46" s="0" t="s">
        <v>108</v>
      </c>
      <c r="C46" s="3" t="n">
        <v>5.9</v>
      </c>
      <c r="D46" s="3" t="n">
        <v>5.7</v>
      </c>
      <c r="E46" s="3" t="n">
        <v>5.5</v>
      </c>
      <c r="F46" s="3" t="n">
        <v>5.2</v>
      </c>
      <c r="G46" s="3" t="n">
        <v>5</v>
      </c>
      <c r="H46" s="3" t="n">
        <v>4.9</v>
      </c>
      <c r="I46" s="3" t="n">
        <v>4.8</v>
      </c>
      <c r="J46" s="3" t="n">
        <v>4.8</v>
      </c>
      <c r="K46" s="3" t="n">
        <v>4.8</v>
      </c>
      <c r="L46" s="3" t="n">
        <v>4.8</v>
      </c>
    </row>
    <row r="47" customFormat="false" ht="15" hidden="false" customHeight="false" outlineLevel="0" collapsed="false">
      <c r="A47" s="0" t="s">
        <v>109</v>
      </c>
      <c r="C47" s="3" t="n">
        <v>17</v>
      </c>
      <c r="D47" s="3" t="n">
        <v>18</v>
      </c>
      <c r="E47" s="3" t="n">
        <v>19</v>
      </c>
      <c r="F47" s="3" t="n">
        <v>20</v>
      </c>
      <c r="G47" s="3" t="n">
        <v>21</v>
      </c>
      <c r="H47" s="3" t="n">
        <v>22</v>
      </c>
      <c r="I47" s="3" t="n">
        <v>23</v>
      </c>
      <c r="J47" s="3" t="n">
        <v>24</v>
      </c>
      <c r="K47" s="3" t="n">
        <v>24</v>
      </c>
      <c r="L47" s="3" t="n">
        <v>24</v>
      </c>
    </row>
    <row r="48" customFormat="false" ht="15" hidden="false" customHeight="false" outlineLevel="0" collapsed="false">
      <c r="A48" s="0" t="s">
        <v>110</v>
      </c>
      <c r="B48" s="3" t="n">
        <v>8.5</v>
      </c>
    </row>
    <row r="49" customFormat="false" ht="15" hidden="false" customHeight="false" outlineLevel="0" collapsed="false">
      <c r="A49" s="0" t="s">
        <v>111</v>
      </c>
      <c r="B49" s="3" t="n">
        <v>2.5</v>
      </c>
    </row>
    <row r="50" customFormat="false" ht="15" hidden="false" customHeight="false" outlineLevel="0" collapsed="false">
      <c r="A50" s="0" t="s">
        <v>112</v>
      </c>
      <c r="B50" s="3" t="n">
        <v>18</v>
      </c>
    </row>
    <row r="51" customFormat="false" ht="15" hidden="false" customHeight="false" outlineLevel="0" collapsed="false">
      <c r="A51" s="0" t="s">
        <v>113</v>
      </c>
      <c r="B51" s="3" t="n">
        <v>5</v>
      </c>
    </row>
    <row r="52" customFormat="false" ht="15" hidden="false" customHeight="false" outlineLevel="0" collapsed="false">
      <c r="A52" s="0" t="s">
        <v>114</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117</v>
      </c>
    </row>
    <row r="3" customFormat="false" ht="15" hidden="false" customHeight="false" outlineLevel="0" collapsed="false">
      <c r="A3" s="0" t="s">
        <v>118</v>
      </c>
      <c r="B3" s="0" t="s">
        <v>79</v>
      </c>
      <c r="C3" s="2" t="s">
        <v>93</v>
      </c>
      <c r="D3" s="2" t="s">
        <v>94</v>
      </c>
      <c r="E3" s="2" t="s">
        <v>95</v>
      </c>
      <c r="F3" s="2" t="s">
        <v>96</v>
      </c>
      <c r="G3" s="2" t="s">
        <v>97</v>
      </c>
      <c r="H3" s="2" t="s">
        <v>98</v>
      </c>
      <c r="I3" s="2" t="s">
        <v>99</v>
      </c>
      <c r="J3" s="2" t="s">
        <v>100</v>
      </c>
      <c r="K3" s="2" t="s">
        <v>101</v>
      </c>
      <c r="L3" s="2" t="s">
        <v>102</v>
      </c>
    </row>
    <row r="4" customFormat="false" ht="15" hidden="false" customHeight="false" outlineLevel="0" collapsed="false">
      <c r="A4" s="0" t="s">
        <v>119</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103</v>
      </c>
      <c r="C5" s="4" t="n">
        <f aca="false">Assumptions!C13</f>
        <v>6</v>
      </c>
      <c r="D5" s="4" t="n">
        <f aca="false">Assumptions!D13</f>
        <v>3</v>
      </c>
      <c r="E5" s="4" t="n">
        <f aca="false">Assumptions!E13</f>
        <v>4</v>
      </c>
      <c r="F5" s="4" t="n">
        <f aca="false">Assumptions!F13</f>
        <v>4</v>
      </c>
      <c r="G5" s="4" t="n">
        <f aca="false">Assumptions!G13</f>
        <v>3.5</v>
      </c>
      <c r="H5" s="4" t="n">
        <f aca="false">Assumptions!H13</f>
        <v>3</v>
      </c>
      <c r="I5" s="4" t="n">
        <f aca="false">Assumptions!I13</f>
        <v>3</v>
      </c>
      <c r="J5" s="4" t="n">
        <f aca="false">Assumptions!J13</f>
        <v>2.5</v>
      </c>
      <c r="K5" s="4" t="n">
        <f aca="false">Assumptions!K13</f>
        <v>2.5</v>
      </c>
      <c r="L5" s="4" t="n">
        <f aca="false">Assumptions!L13</f>
        <v>2</v>
      </c>
    </row>
    <row r="6" customFormat="false" ht="15" hidden="false" customHeight="false" outlineLevel="0" collapsed="false">
      <c r="A6" s="0" t="s">
        <v>37</v>
      </c>
      <c r="B6" s="3" t="n">
        <v>73420</v>
      </c>
      <c r="C6" s="0" t="n">
        <f aca="false">B6*(1+C5/100)</f>
        <v>77825.2</v>
      </c>
      <c r="D6" s="0" t="n">
        <f aca="false">C6*(1+D5/100)</f>
        <v>80159.956</v>
      </c>
      <c r="E6" s="0" t="n">
        <f aca="false">D6*(1+E5/100)</f>
        <v>83366.35424</v>
      </c>
      <c r="F6" s="0" t="n">
        <f aca="false">E6*(1+F5/100)</f>
        <v>86701.0084096</v>
      </c>
      <c r="G6" s="0" t="n">
        <f aca="false">F6*(1+G5/100)</f>
        <v>89735.543703936</v>
      </c>
      <c r="H6" s="0" t="n">
        <f aca="false">G6*(1+H5/100)</f>
        <v>92427.6100150541</v>
      </c>
      <c r="I6" s="0" t="n">
        <f aca="false">H6*(1+I5/100)</f>
        <v>95200.4383155057</v>
      </c>
      <c r="J6" s="0" t="n">
        <f aca="false">I6*(1+J5/100)</f>
        <v>97580.4492733933</v>
      </c>
      <c r="K6" s="0" t="n">
        <f aca="false">J6*(1+K5/100)</f>
        <v>100019.960505228</v>
      </c>
      <c r="L6" s="0" t="n">
        <f aca="false">K6*(1+L5/100)</f>
        <v>102020.359715333</v>
      </c>
    </row>
    <row r="7" customFormat="false" ht="15" hidden="false" customHeight="false" outlineLevel="0" collapsed="false">
      <c r="A7" s="0" t="s">
        <v>104</v>
      </c>
      <c r="C7" s="4" t="n">
        <f aca="false">Assumptions!C14</f>
        <v>12.6</v>
      </c>
      <c r="D7" s="4" t="n">
        <f aca="false">Assumptions!D14</f>
        <v>12.6</v>
      </c>
      <c r="E7" s="4" t="n">
        <f aca="false">Assumptions!E14</f>
        <v>12.9</v>
      </c>
      <c r="F7" s="4" t="n">
        <f aca="false">Assumptions!F14</f>
        <v>13.1</v>
      </c>
      <c r="G7" s="4" t="n">
        <f aca="false">Assumptions!G14</f>
        <v>13.3</v>
      </c>
      <c r="H7" s="4" t="n">
        <f aca="false">Assumptions!H14</f>
        <v>13.4</v>
      </c>
      <c r="I7" s="4" t="n">
        <f aca="false">Assumptions!I14</f>
        <v>13.5</v>
      </c>
      <c r="J7" s="4" t="n">
        <f aca="false">Assumptions!J14</f>
        <v>13.5</v>
      </c>
      <c r="K7" s="4" t="n">
        <f aca="false">Assumptions!K14</f>
        <v>13.5</v>
      </c>
      <c r="L7" s="4" t="n">
        <f aca="false">Assumptions!L14</f>
        <v>13.5</v>
      </c>
    </row>
    <row r="8" customFormat="false" ht="15" hidden="false" customHeight="false" outlineLevel="0" collapsed="false">
      <c r="A8" s="0" t="s">
        <v>43</v>
      </c>
      <c r="C8" s="0" t="n">
        <f aca="false">C6*C7/100</f>
        <v>9805.9752</v>
      </c>
      <c r="D8" s="0" t="n">
        <f aca="false">D6*D7/100</f>
        <v>10100.154456</v>
      </c>
      <c r="E8" s="0" t="n">
        <f aca="false">E6*E7/100</f>
        <v>10754.25969696</v>
      </c>
      <c r="F8" s="0" t="n">
        <f aca="false">F6*F7/100</f>
        <v>11357.8321016576</v>
      </c>
      <c r="G8" s="0" t="n">
        <f aca="false">G6*G7/100</f>
        <v>11934.8273126235</v>
      </c>
      <c r="H8" s="0" t="n">
        <f aca="false">H6*H7/100</f>
        <v>12385.2997420172</v>
      </c>
      <c r="I8" s="0" t="n">
        <f aca="false">I6*I7/100</f>
        <v>12852.0591725933</v>
      </c>
      <c r="J8" s="0" t="n">
        <f aca="false">J6*J7/100</f>
        <v>13173.3606519081</v>
      </c>
      <c r="K8" s="0" t="n">
        <f aca="false">K6*K7/100</f>
        <v>13502.6946682058</v>
      </c>
      <c r="L8" s="0" t="n">
        <f aca="false">L6*L7/100</f>
        <v>13772.7485615699</v>
      </c>
    </row>
    <row r="9" customFormat="false" ht="15" hidden="false" customHeight="false" outlineLevel="0" collapsed="false">
      <c r="A9" s="0" t="s">
        <v>105</v>
      </c>
      <c r="C9" s="4" t="n">
        <f aca="false">Assumptions!C15</f>
        <v>0.45</v>
      </c>
      <c r="D9" s="4" t="n">
        <f aca="false">Assumptions!D15</f>
        <v>0.45</v>
      </c>
      <c r="E9" s="4" t="n">
        <f aca="false">Assumptions!E15</f>
        <v>0.45</v>
      </c>
      <c r="F9" s="4" t="n">
        <f aca="false">Assumptions!F15</f>
        <v>0.45</v>
      </c>
      <c r="G9" s="4" t="n">
        <f aca="false">Assumptions!G15</f>
        <v>0.45</v>
      </c>
      <c r="H9" s="4" t="n">
        <f aca="false">Assumptions!H15</f>
        <v>0.45</v>
      </c>
      <c r="I9" s="4" t="n">
        <f aca="false">Assumptions!I15</f>
        <v>0.45</v>
      </c>
      <c r="J9" s="4" t="n">
        <f aca="false">Assumptions!J15</f>
        <v>0.45</v>
      </c>
      <c r="K9" s="4" t="n">
        <f aca="false">Assumptions!K15</f>
        <v>0.45</v>
      </c>
      <c r="L9" s="4" t="n">
        <f aca="false">Assumptions!L15</f>
        <v>0.45</v>
      </c>
    </row>
    <row r="10" customFormat="false" ht="15" hidden="false" customHeight="false" outlineLevel="0" collapsed="false">
      <c r="A10" s="0" t="s">
        <v>120</v>
      </c>
      <c r="C10" s="0" t="n">
        <f aca="false">-C6*C9/100</f>
        <v>-350.2134</v>
      </c>
      <c r="D10" s="0" t="n">
        <f aca="false">-D6*D9/100</f>
        <v>-360.719802</v>
      </c>
      <c r="E10" s="0" t="n">
        <f aca="false">-E6*E9/100</f>
        <v>-375.14859408</v>
      </c>
      <c r="F10" s="0" t="n">
        <f aca="false">-F6*F9/100</f>
        <v>-390.1545378432</v>
      </c>
      <c r="G10" s="0" t="n">
        <f aca="false">-G6*G9/100</f>
        <v>-403.809946667712</v>
      </c>
      <c r="H10" s="0" t="n">
        <f aca="false">-H6*H9/100</f>
        <v>-415.924245067743</v>
      </c>
      <c r="I10" s="0" t="n">
        <f aca="false">-I6*I9/100</f>
        <v>-428.401972419776</v>
      </c>
      <c r="J10" s="0" t="n">
        <f aca="false">-J6*J9/100</f>
        <v>-439.11202173027</v>
      </c>
      <c r="K10" s="0" t="n">
        <f aca="false">-K6*K9/100</f>
        <v>-450.089822273527</v>
      </c>
      <c r="L10" s="0" t="n">
        <f aca="false">-L6*L9/100</f>
        <v>-459.091618718997</v>
      </c>
    </row>
    <row r="11" customFormat="false" ht="15" hidden="false" customHeight="false" outlineLevel="0" collapsed="false">
      <c r="A11" s="0" t="s">
        <v>121</v>
      </c>
      <c r="C11" s="0" t="n">
        <f aca="false">C8+C10+C24</f>
        <v>9455.7618</v>
      </c>
      <c r="D11" s="0" t="n">
        <f aca="false">D8+D10+D24</f>
        <v>9739.434654</v>
      </c>
      <c r="E11" s="0" t="n">
        <f aca="false">E8+E10+E24</f>
        <v>10379.11110288</v>
      </c>
      <c r="F11" s="0" t="n">
        <f aca="false">F8+F10+F24</f>
        <v>10967.6775638144</v>
      </c>
      <c r="G11" s="0" t="n">
        <f aca="false">G8+G10+G24</f>
        <v>11531.0173659558</v>
      </c>
      <c r="H11" s="0" t="n">
        <f aca="false">H8+H10+H24</f>
        <v>11969.3754969495</v>
      </c>
      <c r="I11" s="0" t="n">
        <f aca="false">I8+I10+I24</f>
        <v>12423.6572001735</v>
      </c>
      <c r="J11" s="0" t="n">
        <f aca="false">J8+J10+J24</f>
        <v>12734.2486301778</v>
      </c>
      <c r="K11" s="0" t="n">
        <f aca="false">K8+K10+K24</f>
        <v>13052.6048459323</v>
      </c>
      <c r="L11" s="0" t="n">
        <f aca="false">L8+L10+L24</f>
        <v>13313.6569428509</v>
      </c>
    </row>
    <row r="12" customFormat="false" ht="15" hidden="false" customHeight="false" outlineLevel="0" collapsed="false">
      <c r="A12" s="0" t="s">
        <v>122</v>
      </c>
      <c r="C12" s="4" t="n">
        <f aca="false">-C6*Assumptions!C17/100</f>
        <v>-3424.3088</v>
      </c>
      <c r="D12" s="4" t="n">
        <f aca="false">-D6*Assumptions!D17/100</f>
        <v>-3607.19802</v>
      </c>
      <c r="E12" s="4" t="n">
        <f aca="false">-E6*Assumptions!E17/100</f>
        <v>-3751.4859408</v>
      </c>
      <c r="F12" s="4" t="n">
        <f aca="false">-F6*Assumptions!F17/100</f>
        <v>-3814.8443700224</v>
      </c>
      <c r="G12" s="4" t="n">
        <f aca="false">-G6*Assumptions!G17/100</f>
        <v>-3948.36392297319</v>
      </c>
      <c r="H12" s="4" t="n">
        <f aca="false">-H6*Assumptions!H17/100</f>
        <v>-3974.38723064733</v>
      </c>
      <c r="I12" s="4" t="n">
        <f aca="false">-I6*Assumptions!I17/100</f>
        <v>-4093.61884756675</v>
      </c>
      <c r="J12" s="4" t="n">
        <f aca="false">-J6*Assumptions!J17/100</f>
        <v>-4195.95931875591</v>
      </c>
      <c r="K12" s="4" t="n">
        <f aca="false">-K6*Assumptions!K17/100</f>
        <v>-4300.85830172481</v>
      </c>
      <c r="L12" s="4" t="n">
        <f aca="false">-L6*Assumptions!L17/100</f>
        <v>-4386.87546775931</v>
      </c>
    </row>
    <row r="13" customFormat="false" ht="15" hidden="false" customHeight="false" outlineLevel="0" collapsed="false">
      <c r="A13" s="0" t="s">
        <v>123</v>
      </c>
      <c r="C13" s="0" t="n">
        <f aca="false">C11+C12</f>
        <v>6031.453</v>
      </c>
      <c r="D13" s="0" t="n">
        <f aca="false">D11+D12</f>
        <v>6132.236634</v>
      </c>
      <c r="E13" s="0" t="n">
        <f aca="false">E11+E12</f>
        <v>6627.62516208</v>
      </c>
      <c r="F13" s="0" t="n">
        <f aca="false">F11+F12</f>
        <v>7152.833193792</v>
      </c>
      <c r="G13" s="0" t="n">
        <f aca="false">G11+G12</f>
        <v>7582.65344298259</v>
      </c>
      <c r="H13" s="0" t="n">
        <f aca="false">H11+H12</f>
        <v>7994.98826630218</v>
      </c>
      <c r="I13" s="0" t="n">
        <f aca="false">I11+I12</f>
        <v>8330.03835260675</v>
      </c>
      <c r="J13" s="0" t="n">
        <f aca="false">J11+J12</f>
        <v>8538.28931142192</v>
      </c>
      <c r="K13" s="0" t="n">
        <f aca="false">K11+K12</f>
        <v>8751.74654420746</v>
      </c>
      <c r="L13" s="0" t="n">
        <f aca="false">L11+L12</f>
        <v>8926.78147509162</v>
      </c>
    </row>
    <row r="14" customFormat="false" ht="15" hidden="false" customHeight="false" outlineLevel="0" collapsed="false">
      <c r="A14" s="0" t="s">
        <v>109</v>
      </c>
      <c r="C14" s="4" t="n">
        <f aca="false">Assumptions!C19</f>
        <v>17</v>
      </c>
      <c r="D14" s="4" t="n">
        <f aca="false">Assumptions!D19</f>
        <v>18</v>
      </c>
      <c r="E14" s="4" t="n">
        <f aca="false">Assumptions!E19</f>
        <v>19</v>
      </c>
      <c r="F14" s="4" t="n">
        <f aca="false">Assumptions!F19</f>
        <v>20</v>
      </c>
      <c r="G14" s="4" t="n">
        <f aca="false">Assumptions!G19</f>
        <v>21</v>
      </c>
      <c r="H14" s="4" t="n">
        <f aca="false">Assumptions!H19</f>
        <v>22</v>
      </c>
      <c r="I14" s="4" t="n">
        <f aca="false">Assumptions!I19</f>
        <v>23</v>
      </c>
      <c r="J14" s="4" t="n">
        <f aca="false">Assumptions!J19</f>
        <v>24</v>
      </c>
      <c r="K14" s="4" t="n">
        <f aca="false">Assumptions!K19</f>
        <v>24</v>
      </c>
      <c r="L14" s="4" t="n">
        <f aca="false">Assumptions!L19</f>
        <v>24</v>
      </c>
    </row>
    <row r="15" customFormat="false" ht="15" hidden="false" customHeight="false" outlineLevel="0" collapsed="false">
      <c r="A15" s="0" t="s">
        <v>124</v>
      </c>
      <c r="C15" s="0" t="n">
        <f aca="false">C13-MAX(0,C13)*C14/100</f>
        <v>5006.10599</v>
      </c>
      <c r="D15" s="0" t="n">
        <f aca="false">D13-MAX(0,D13)*D14/100</f>
        <v>5028.43403988</v>
      </c>
      <c r="E15" s="0" t="n">
        <f aca="false">E13-MAX(0,E13)*E14/100</f>
        <v>5368.3763812848</v>
      </c>
      <c r="F15" s="0" t="n">
        <f aca="false">F13-MAX(0,F13)*F14/100</f>
        <v>5722.2665550336</v>
      </c>
      <c r="G15" s="0" t="n">
        <f aca="false">G13-MAX(0,G13)*G14/100</f>
        <v>5990.29621995625</v>
      </c>
      <c r="H15" s="0" t="n">
        <f aca="false">H13-MAX(0,H13)*H14/100</f>
        <v>6236.0908477157</v>
      </c>
      <c r="I15" s="0" t="n">
        <f aca="false">I13-MAX(0,I13)*I14/100</f>
        <v>6414.1295315072</v>
      </c>
      <c r="J15" s="0" t="n">
        <f aca="false">J13-MAX(0,J13)*J14/100</f>
        <v>6489.09987668066</v>
      </c>
      <c r="K15" s="0" t="n">
        <f aca="false">K13-MAX(0,K13)*K14/100</f>
        <v>6651.32737359767</v>
      </c>
      <c r="L15" s="0" t="n">
        <f aca="false">L13-MAX(0,L13)*L14/100</f>
        <v>6784.35392106963</v>
      </c>
    </row>
    <row r="16" customFormat="false" ht="15" hidden="false" customHeight="false" outlineLevel="0" collapsed="false">
      <c r="A16" s="0" t="s">
        <v>125</v>
      </c>
      <c r="C16" s="0" t="n">
        <f aca="false">-C12</f>
        <v>3424.3088</v>
      </c>
      <c r="D16" s="0" t="n">
        <f aca="false">-D12</f>
        <v>3607.19802</v>
      </c>
      <c r="E16" s="0" t="n">
        <f aca="false">-E12</f>
        <v>3751.4859408</v>
      </c>
      <c r="F16" s="0" t="n">
        <f aca="false">-F12</f>
        <v>3814.8443700224</v>
      </c>
      <c r="G16" s="0" t="n">
        <f aca="false">-G12</f>
        <v>3948.36392297319</v>
      </c>
      <c r="H16" s="0" t="n">
        <f aca="false">-H12</f>
        <v>3974.38723064733</v>
      </c>
      <c r="I16" s="0" t="n">
        <f aca="false">-I12</f>
        <v>4093.61884756675</v>
      </c>
      <c r="J16" s="0" t="n">
        <f aca="false">-J12</f>
        <v>4195.95931875591</v>
      </c>
      <c r="K16" s="0" t="n">
        <f aca="false">-K12</f>
        <v>4300.85830172481</v>
      </c>
      <c r="L16" s="0" t="n">
        <f aca="false">-L12</f>
        <v>4386.87546775931</v>
      </c>
    </row>
    <row r="17" customFormat="false" ht="15" hidden="false" customHeight="false" outlineLevel="0" collapsed="false">
      <c r="A17" s="0" t="s">
        <v>126</v>
      </c>
      <c r="C17" s="4" t="n">
        <f aca="false">-C6*Assumptions!C18/100</f>
        <v>-4669.512</v>
      </c>
      <c r="D17" s="4" t="n">
        <f aca="false">-D6*Assumptions!D18/100</f>
        <v>-4809.59736</v>
      </c>
      <c r="E17" s="4" t="n">
        <f aca="false">-E6*Assumptions!E18/100</f>
        <v>-4835.24854592</v>
      </c>
      <c r="F17" s="4" t="n">
        <f aca="false">-F6*Assumptions!F18/100</f>
        <v>-4855.2564709376</v>
      </c>
      <c r="G17" s="4" t="n">
        <f aca="false">-G6*Assumptions!G18/100</f>
        <v>-4935.45490371648</v>
      </c>
      <c r="H17" s="4" t="n">
        <f aca="false">-H6*Assumptions!H18/100</f>
        <v>-4991.09094081292</v>
      </c>
      <c r="I17" s="4" t="n">
        <f aca="false">-I6*Assumptions!I18/100</f>
        <v>-5045.6232307218</v>
      </c>
      <c r="J17" s="4" t="n">
        <f aca="false">-J6*Assumptions!J18/100</f>
        <v>-5074.18336221645</v>
      </c>
      <c r="K17" s="4" t="n">
        <f aca="false">-K6*Assumptions!K18/100</f>
        <v>-5201.03794627187</v>
      </c>
      <c r="L17" s="4" t="n">
        <f aca="false">-L6*Assumptions!L18/100</f>
        <v>-5305.0587051973</v>
      </c>
    </row>
    <row r="18" customFormat="false" ht="15" hidden="false" customHeight="false" outlineLevel="0" collapsed="false">
      <c r="A18" s="0" t="s">
        <v>127</v>
      </c>
      <c r="C18" s="4" t="n">
        <f aca="false">(C6-B6)*Assumptions!$B$23/100</f>
        <v>-440.52</v>
      </c>
      <c r="D18" s="4" t="n">
        <f aca="false">(D6-C6)*Assumptions!$B$23/100</f>
        <v>-233.475600000001</v>
      </c>
      <c r="E18" s="4" t="n">
        <f aca="false">(E6-D6)*Assumptions!$B$23/100</f>
        <v>-320.639824000001</v>
      </c>
      <c r="F18" s="4" t="n">
        <f aca="false">(F6-E6)*Assumptions!$B$23/100</f>
        <v>-333.465416960001</v>
      </c>
      <c r="G18" s="4" t="n">
        <f aca="false">(G6-F6)*Assumptions!$B$23/100</f>
        <v>-303.453529433599</v>
      </c>
      <c r="H18" s="4" t="n">
        <f aca="false">(H6-G6)*Assumptions!$B$23/100</f>
        <v>-269.206631111808</v>
      </c>
      <c r="I18" s="4" t="n">
        <f aca="false">(I6-H6)*Assumptions!$B$23/100</f>
        <v>-277.282830045163</v>
      </c>
      <c r="J18" s="4" t="n">
        <f aca="false">(J6-I6)*Assumptions!$B$23/100</f>
        <v>-238.001095788763</v>
      </c>
      <c r="K18" s="4" t="n">
        <f aca="false">(K6-J6)*Assumptions!$B$23/100</f>
        <v>-243.951123183483</v>
      </c>
      <c r="L18" s="4" t="n">
        <f aca="false">(L6-K6)*Assumptions!$B$23/100</f>
        <v>-200.039921010456</v>
      </c>
    </row>
    <row r="19" customFormat="false" ht="15" hidden="false" customHeight="false" outlineLevel="0" collapsed="false">
      <c r="A19" s="0" t="s">
        <v>128</v>
      </c>
      <c r="C19" s="0" t="n">
        <f aca="false">C15+C16+C17+C18</f>
        <v>3320.38279</v>
      </c>
      <c r="D19" s="0" t="n">
        <f aca="false">D15+D16+D17+D18</f>
        <v>3592.55909988</v>
      </c>
      <c r="E19" s="0" t="n">
        <f aca="false">E15+E16+E17+E18</f>
        <v>3963.9739521648</v>
      </c>
      <c r="F19" s="0" t="n">
        <f aca="false">F15+F16+F17+F18</f>
        <v>4348.3890371584</v>
      </c>
      <c r="G19" s="0" t="n">
        <f aca="false">G15+G16+G17+G18</f>
        <v>4699.75170977935</v>
      </c>
      <c r="H19" s="0" t="n">
        <f aca="false">H15+H16+H17+H18</f>
        <v>4950.1805064383</v>
      </c>
      <c r="I19" s="0" t="n">
        <f aca="false">I15+I16+I17+I18</f>
        <v>5184.84231830698</v>
      </c>
      <c r="J19" s="0" t="n">
        <f aca="false">J15+J16+J17+J18</f>
        <v>5372.87473743136</v>
      </c>
      <c r="K19" s="0" t="n">
        <f aca="false">K15+K16+K17+K18</f>
        <v>5507.19660586714</v>
      </c>
      <c r="L19" s="0" t="n">
        <f aca="false">L15+L16+L17+L18</f>
        <v>5666.13076262118</v>
      </c>
    </row>
    <row r="20" customFormat="false" ht="15" hidden="false" customHeight="false" outlineLevel="0" collapsed="false">
      <c r="A20" s="0" t="s">
        <v>129</v>
      </c>
      <c r="C20" s="0" t="n">
        <f aca="false">1/(1+$B$27/100)^C4</f>
        <v>0.921658986175115</v>
      </c>
      <c r="D20" s="0" t="n">
        <f aca="false">1/(1+$B$27/100)^D4</f>
        <v>0.849455286797341</v>
      </c>
      <c r="E20" s="0" t="n">
        <f aca="false">1/(1+$B$27/100)^E4</f>
        <v>0.782908098430729</v>
      </c>
      <c r="F20" s="0" t="n">
        <f aca="false">1/(1+$B$27/100)^F4</f>
        <v>0.721574284267953</v>
      </c>
      <c r="G20" s="0" t="n">
        <f aca="false">1/(1+$B$27/100)^G4</f>
        <v>0.665045423288436</v>
      </c>
      <c r="H20" s="0" t="n">
        <f aca="false">1/(1+$B$27/100)^H4</f>
        <v>0.612945090588421</v>
      </c>
      <c r="I20" s="0" t="n">
        <f aca="false">1/(1+$B$27/100)^I4</f>
        <v>0.564926350772738</v>
      </c>
      <c r="J20" s="0" t="n">
        <f aca="false">1/(1+$B$27/100)^J4</f>
        <v>0.520669447716809</v>
      </c>
      <c r="K20" s="0" t="n">
        <f aca="false">1/(1+$B$27/100)^K4</f>
        <v>0.479879675315031</v>
      </c>
      <c r="L20" s="0" t="n">
        <f aca="false">1/(1+$B$27/100)^L4</f>
        <v>0.442285415036895</v>
      </c>
    </row>
    <row r="21" customFormat="false" ht="15" hidden="false" customHeight="false" outlineLevel="0" collapsed="false">
      <c r="A21" s="0" t="s">
        <v>130</v>
      </c>
      <c r="C21" s="0" t="n">
        <f aca="false">C19*C20</f>
        <v>3060.2606359447</v>
      </c>
      <c r="D21" s="0" t="n">
        <f aca="false">D19*D20</f>
        <v>3051.71832052496</v>
      </c>
      <c r="E21" s="0" t="n">
        <f aca="false">E19*E20</f>
        <v>3103.42730911829</v>
      </c>
      <c r="F21" s="0" t="n">
        <f aca="false">F19*F20</f>
        <v>3137.68570720619</v>
      </c>
      <c r="G21" s="0" t="n">
        <f aca="false">G19*G20</f>
        <v>3125.54836518076</v>
      </c>
      <c r="H21" s="0" t="n">
        <f aca="false">H19*H20</f>
        <v>3034.18883894786</v>
      </c>
      <c r="I21" s="0" t="n">
        <f aca="false">I19*I20</f>
        <v>2929.05405021322</v>
      </c>
      <c r="J21" s="0" t="n">
        <f aca="false">J19*J20</f>
        <v>2797.49172218998</v>
      </c>
      <c r="K21" s="0" t="n">
        <f aca="false">K19*K20</f>
        <v>2642.79171911956</v>
      </c>
      <c r="L21" s="0" t="n">
        <f aca="false">L19*L20</f>
        <v>2506.04699599923</v>
      </c>
    </row>
    <row r="23" customFormat="false" ht="15" hidden="false" customHeight="false" outlineLevel="0" collapsed="false">
      <c r="A23" s="0" t="s">
        <v>106</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131</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132</v>
      </c>
    </row>
    <row r="27" customFormat="false" ht="15" hidden="false" customHeight="false" outlineLevel="0" collapsed="false">
      <c r="A27" s="0" t="s">
        <v>110</v>
      </c>
      <c r="B27" s="4" t="n">
        <f aca="false">Assumptions!$B$20</f>
        <v>8.5</v>
      </c>
    </row>
    <row r="28" customFormat="false" ht="15" hidden="false" customHeight="false" outlineLevel="0" collapsed="false">
      <c r="A28" s="0" t="s">
        <v>111</v>
      </c>
      <c r="B28" s="4" t="n">
        <f aca="false">Assumptions!$B$21</f>
        <v>2</v>
      </c>
    </row>
    <row r="29" customFormat="false" ht="15" hidden="false" customHeight="false" outlineLevel="0" collapsed="false">
      <c r="A29" s="0" t="s">
        <v>112</v>
      </c>
      <c r="B29" s="4" t="n">
        <f aca="false">Assumptions!$B$22</f>
        <v>18</v>
      </c>
    </row>
    <row r="30" customFormat="false" ht="15" hidden="false" customHeight="false" outlineLevel="0" collapsed="false">
      <c r="A30" s="0" t="s">
        <v>133</v>
      </c>
      <c r="B30" s="0" t="n">
        <f aca="false">SUM(C21:L21)</f>
        <v>29388.2136644448</v>
      </c>
    </row>
    <row r="31" customFormat="false" ht="15" hidden="false" customHeight="false" outlineLevel="0" collapsed="false">
      <c r="A31" s="0" t="s">
        <v>134</v>
      </c>
      <c r="B31" s="0" t="n">
        <f aca="false">L19</f>
        <v>5666.13076262118</v>
      </c>
    </row>
    <row r="32" customFormat="false" ht="15" hidden="false" customHeight="false" outlineLevel="0" collapsed="false">
      <c r="A32" s="0" t="s">
        <v>135</v>
      </c>
      <c r="B32" s="0" t="n">
        <f aca="false">IF(B27&gt;B28,B31*(1+B28/100)/((B27-B28)/100),B31*B29)</f>
        <v>88914.6673519016</v>
      </c>
    </row>
    <row r="33" customFormat="false" ht="15" hidden="false" customHeight="false" outlineLevel="0" collapsed="false">
      <c r="A33" s="0" t="s">
        <v>136</v>
      </c>
      <c r="B33" s="0" t="n">
        <f aca="false">B31*B29</f>
        <v>101990.353727181</v>
      </c>
    </row>
    <row r="34" customFormat="false" ht="15" hidden="false" customHeight="false" outlineLevel="0" collapsed="false">
      <c r="A34" s="0" t="s">
        <v>137</v>
      </c>
      <c r="B34" s="0" t="n">
        <f aca="false">MAX(0,MIN(B32,B33))</f>
        <v>88914.6673519016</v>
      </c>
    </row>
    <row r="35" customFormat="false" ht="15" hidden="false" customHeight="false" outlineLevel="0" collapsed="false">
      <c r="A35" s="0" t="s">
        <v>138</v>
      </c>
      <c r="B35" s="0" t="n">
        <f aca="false">B34/(1+B27/100)^L4</f>
        <v>39325.6605526033</v>
      </c>
    </row>
    <row r="36" customFormat="false" ht="15" hidden="false" customHeight="false" outlineLevel="0" collapsed="false">
      <c r="A36" s="0" t="s">
        <v>139</v>
      </c>
      <c r="B36" s="0" t="n">
        <f aca="false">B30+B35</f>
        <v>68713.874217048</v>
      </c>
    </row>
    <row r="37" customFormat="false" ht="15" hidden="false" customHeight="false" outlineLevel="0" collapsed="false">
      <c r="A37" s="0" t="s">
        <v>140</v>
      </c>
      <c r="B37" s="0" t="n">
        <f aca="false">B36+Assumptions!$B$5-Assumptions!$B$4</f>
        <v>77663.874217048</v>
      </c>
    </row>
    <row r="38" customFormat="false" ht="15" hidden="false" customHeight="false" outlineLevel="0" collapsed="false">
      <c r="A38" s="0" t="s">
        <v>141</v>
      </c>
      <c r="B38" s="0" t="n">
        <f aca="false">B37/Assumptions!$B$3*Assumptions!$B$10</f>
        <v>98.3261264237308</v>
      </c>
    </row>
    <row r="39" customFormat="false" ht="15" hidden="false" customHeight="false" outlineLevel="0" collapsed="false">
      <c r="A39" s="0" t="s">
        <v>142</v>
      </c>
      <c r="B39" s="4" t="n">
        <f aca="false">B38/Assumptions!$B$2-1</f>
        <v>-0.489108768451986</v>
      </c>
    </row>
    <row r="41" customFormat="false" ht="15" hidden="false" customHeight="false" outlineLevel="0" collapsed="false">
      <c r="A41" s="0" t="s">
        <v>143</v>
      </c>
      <c r="B41" s="0" t="n">
        <f aca="false">SUMPRODUCT(-C10:L10/(1+$B$27/100)^C4:L4)</f>
        <v>2617.60196653261</v>
      </c>
    </row>
    <row r="42" customFormat="false" ht="15" hidden="false" customHeight="false" outlineLevel="0" collapsed="false">
      <c r="A42" s="0" t="s">
        <v>144</v>
      </c>
      <c r="B42" s="0" t="n">
        <f aca="false">IF(B27&gt;B28,-L10*(1+B28/100)/((B27-B28)/100),-L10*20)/(1+B27/100)^L4</f>
        <v>3186.31565642452</v>
      </c>
    </row>
    <row r="43" customFormat="false" ht="15" hidden="false" customHeight="false" outlineLevel="0" collapsed="false">
      <c r="A43" s="0" t="s">
        <v>145</v>
      </c>
      <c r="B43" s="0" t="n">
        <f aca="false">(B37+B41+B42)/Assumptions!$B$3*Assumptions!$B$10</f>
        <v>105.674159775157</v>
      </c>
    </row>
    <row r="45" customFormat="false" ht="15" hidden="false" customHeight="false" outlineLevel="0" collapsed="false">
      <c r="A45" s="0" t="s">
        <v>86</v>
      </c>
      <c r="B45" s="4" t="n">
        <f aca="false">Assumptions!$B$6</f>
        <v>15</v>
      </c>
    </row>
    <row r="46" customFormat="false" ht="15" hidden="false" customHeight="false" outlineLevel="0" collapsed="false">
      <c r="A46" s="0" t="s">
        <v>146</v>
      </c>
      <c r="B46" s="0" t="n">
        <f aca="false">MAX(0,MIN(IF(B45&gt;B28,B31*(1+B28/100)/((B45-B28)/100),B31*B29),B31*B29))</f>
        <v>44457.3336759508</v>
      </c>
    </row>
    <row r="47" customFormat="false" ht="15" hidden="false" customHeight="false" outlineLevel="0" collapsed="false">
      <c r="A47" s="0" t="s">
        <v>147</v>
      </c>
      <c r="B47" s="0" t="n">
        <f aca="false">(SUMPRODUCT(C19:L19/(1+B45/100)^C4:L4)+B46/(1+B45/100)^L4+Assumptions!$B$5-Assumptions!$B$4)/Assumptions!$B$3*Assumptions!$B$10</f>
        <v>52.9003737145385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148</v>
      </c>
    </row>
    <row r="3" customFormat="false" ht="15" hidden="false" customHeight="false" outlineLevel="0" collapsed="false">
      <c r="A3" s="0" t="s">
        <v>118</v>
      </c>
      <c r="B3" s="0" t="s">
        <v>79</v>
      </c>
      <c r="C3" s="2" t="s">
        <v>93</v>
      </c>
      <c r="D3" s="2" t="s">
        <v>94</v>
      </c>
      <c r="E3" s="2" t="s">
        <v>95</v>
      </c>
      <c r="F3" s="2" t="s">
        <v>96</v>
      </c>
      <c r="G3" s="2" t="s">
        <v>97</v>
      </c>
      <c r="H3" s="2" t="s">
        <v>98</v>
      </c>
      <c r="I3" s="2" t="s">
        <v>99</v>
      </c>
      <c r="J3" s="2" t="s">
        <v>100</v>
      </c>
      <c r="K3" s="2" t="s">
        <v>101</v>
      </c>
      <c r="L3" s="2" t="s">
        <v>102</v>
      </c>
    </row>
    <row r="4" customFormat="false" ht="15" hidden="false" customHeight="false" outlineLevel="0" collapsed="false">
      <c r="A4" s="0" t="s">
        <v>119</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103</v>
      </c>
      <c r="C5" s="4" t="n">
        <f aca="false">Assumptions!C27</f>
        <v>9</v>
      </c>
      <c r="D5" s="4" t="n">
        <f aca="false">Assumptions!D27</f>
        <v>7.5</v>
      </c>
      <c r="E5" s="4" t="n">
        <f aca="false">Assumptions!E27</f>
        <v>6.5</v>
      </c>
      <c r="F5" s="4" t="n">
        <f aca="false">Assumptions!F27</f>
        <v>5.5</v>
      </c>
      <c r="G5" s="4" t="n">
        <f aca="false">Assumptions!G27</f>
        <v>4.5</v>
      </c>
      <c r="H5" s="4" t="n">
        <f aca="false">Assumptions!H27</f>
        <v>4</v>
      </c>
      <c r="I5" s="4" t="n">
        <f aca="false">Assumptions!I27</f>
        <v>3.5</v>
      </c>
      <c r="J5" s="4" t="n">
        <f aca="false">Assumptions!J27</f>
        <v>3</v>
      </c>
      <c r="K5" s="4" t="n">
        <f aca="false">Assumptions!K27</f>
        <v>3</v>
      </c>
      <c r="L5" s="4" t="n">
        <f aca="false">Assumptions!L27</f>
        <v>2.5</v>
      </c>
    </row>
    <row r="6" customFormat="false" ht="15" hidden="false" customHeight="false" outlineLevel="0" collapsed="false">
      <c r="A6" s="0" t="s">
        <v>37</v>
      </c>
      <c r="B6" s="3" t="n">
        <v>73420</v>
      </c>
      <c r="C6" s="0" t="n">
        <f aca="false">B6*(1+C5/100)</f>
        <v>80027.8</v>
      </c>
      <c r="D6" s="0" t="n">
        <f aca="false">C6*(1+D5/100)</f>
        <v>86029.885</v>
      </c>
      <c r="E6" s="0" t="n">
        <f aca="false">D6*(1+E5/100)</f>
        <v>91621.827525</v>
      </c>
      <c r="F6" s="0" t="n">
        <f aca="false">E6*(1+F5/100)</f>
        <v>96661.028038875</v>
      </c>
      <c r="G6" s="0" t="n">
        <f aca="false">F6*(1+G5/100)</f>
        <v>101010.774300624</v>
      </c>
      <c r="H6" s="0" t="n">
        <f aca="false">G6*(1+H5/100)</f>
        <v>105051.205272649</v>
      </c>
      <c r="I6" s="0" t="n">
        <f aca="false">H6*(1+I5/100)</f>
        <v>108727.997457192</v>
      </c>
      <c r="J6" s="0" t="n">
        <f aca="false">I6*(1+J5/100)</f>
        <v>111989.837380908</v>
      </c>
      <c r="K6" s="0" t="n">
        <f aca="false">J6*(1+K5/100)</f>
        <v>115349.532502335</v>
      </c>
      <c r="L6" s="0" t="n">
        <f aca="false">K6*(1+L5/100)</f>
        <v>118233.270814893</v>
      </c>
    </row>
    <row r="7" customFormat="false" ht="15" hidden="false" customHeight="false" outlineLevel="0" collapsed="false">
      <c r="A7" s="0" t="s">
        <v>104</v>
      </c>
      <c r="C7" s="4" t="n">
        <f aca="false">Assumptions!C28</f>
        <v>13.4</v>
      </c>
      <c r="D7" s="4" t="n">
        <f aca="false">Assumptions!D28</f>
        <v>13.9</v>
      </c>
      <c r="E7" s="4" t="n">
        <f aca="false">Assumptions!E28</f>
        <v>14.4</v>
      </c>
      <c r="F7" s="4" t="n">
        <f aca="false">Assumptions!F28</f>
        <v>14.8</v>
      </c>
      <c r="G7" s="4" t="n">
        <f aca="false">Assumptions!G28</f>
        <v>15.1</v>
      </c>
      <c r="H7" s="4" t="n">
        <f aca="false">Assumptions!H28</f>
        <v>15.3</v>
      </c>
      <c r="I7" s="4" t="n">
        <f aca="false">Assumptions!I28</f>
        <v>15.4</v>
      </c>
      <c r="J7" s="4" t="n">
        <f aca="false">Assumptions!J28</f>
        <v>15.5</v>
      </c>
      <c r="K7" s="4" t="n">
        <f aca="false">Assumptions!K28</f>
        <v>15.5</v>
      </c>
      <c r="L7" s="4" t="n">
        <f aca="false">Assumptions!L28</f>
        <v>15.5</v>
      </c>
    </row>
    <row r="8" customFormat="false" ht="15" hidden="false" customHeight="false" outlineLevel="0" collapsed="false">
      <c r="A8" s="0" t="s">
        <v>43</v>
      </c>
      <c r="C8" s="0" t="n">
        <f aca="false">C6*C7/100</f>
        <v>10723.7252</v>
      </c>
      <c r="D8" s="0" t="n">
        <f aca="false">D6*D7/100</f>
        <v>11958.154015</v>
      </c>
      <c r="E8" s="0" t="n">
        <f aca="false">E6*E7/100</f>
        <v>13193.5431636</v>
      </c>
      <c r="F8" s="0" t="n">
        <f aca="false">F6*F7/100</f>
        <v>14305.8321497535</v>
      </c>
      <c r="G8" s="0" t="n">
        <f aca="false">G6*G7/100</f>
        <v>15252.6269193943</v>
      </c>
      <c r="H8" s="0" t="n">
        <f aca="false">H6*H7/100</f>
        <v>16072.8344067153</v>
      </c>
      <c r="I8" s="0" t="n">
        <f aca="false">I6*I7/100</f>
        <v>16744.1116084076</v>
      </c>
      <c r="J8" s="0" t="n">
        <f aca="false">J6*J7/100</f>
        <v>17358.4247940407</v>
      </c>
      <c r="K8" s="0" t="n">
        <f aca="false">K6*K7/100</f>
        <v>17879.1775378619</v>
      </c>
      <c r="L8" s="0" t="n">
        <f aca="false">L6*L7/100</f>
        <v>18326.1569763085</v>
      </c>
    </row>
    <row r="9" customFormat="false" ht="15" hidden="false" customHeight="false" outlineLevel="0" collapsed="false">
      <c r="A9" s="0" t="s">
        <v>105</v>
      </c>
      <c r="C9" s="4" t="n">
        <f aca="false">Assumptions!C29</f>
        <v>0.45</v>
      </c>
      <c r="D9" s="4" t="n">
        <f aca="false">Assumptions!D29</f>
        <v>0.45</v>
      </c>
      <c r="E9" s="4" t="n">
        <f aca="false">Assumptions!E29</f>
        <v>0.45</v>
      </c>
      <c r="F9" s="4" t="n">
        <f aca="false">Assumptions!F29</f>
        <v>0.45</v>
      </c>
      <c r="G9" s="4" t="n">
        <f aca="false">Assumptions!G29</f>
        <v>0.45</v>
      </c>
      <c r="H9" s="4" t="n">
        <f aca="false">Assumptions!H29</f>
        <v>0.45</v>
      </c>
      <c r="I9" s="4" t="n">
        <f aca="false">Assumptions!I29</f>
        <v>0.45</v>
      </c>
      <c r="J9" s="4" t="n">
        <f aca="false">Assumptions!J29</f>
        <v>0.45</v>
      </c>
      <c r="K9" s="4" t="n">
        <f aca="false">Assumptions!K29</f>
        <v>0.45</v>
      </c>
      <c r="L9" s="4" t="n">
        <f aca="false">Assumptions!L29</f>
        <v>0.45</v>
      </c>
    </row>
    <row r="10" customFormat="false" ht="15" hidden="false" customHeight="false" outlineLevel="0" collapsed="false">
      <c r="A10" s="0" t="s">
        <v>120</v>
      </c>
      <c r="C10" s="0" t="n">
        <f aca="false">-C6*C9/100</f>
        <v>-360.1251</v>
      </c>
      <c r="D10" s="0" t="n">
        <f aca="false">-D6*D9/100</f>
        <v>-387.1344825</v>
      </c>
      <c r="E10" s="0" t="n">
        <f aca="false">-E6*E9/100</f>
        <v>-412.2982238625</v>
      </c>
      <c r="F10" s="0" t="n">
        <f aca="false">-F6*F9/100</f>
        <v>-434.974626174937</v>
      </c>
      <c r="G10" s="0" t="n">
        <f aca="false">-G6*G9/100</f>
        <v>-454.54848435281</v>
      </c>
      <c r="H10" s="0" t="n">
        <f aca="false">-H6*H9/100</f>
        <v>-472.730423726922</v>
      </c>
      <c r="I10" s="0" t="n">
        <f aca="false">-I6*I9/100</f>
        <v>-489.275988557364</v>
      </c>
      <c r="J10" s="0" t="n">
        <f aca="false">-J6*J9/100</f>
        <v>-503.954268214085</v>
      </c>
      <c r="K10" s="0" t="n">
        <f aca="false">-K6*K9/100</f>
        <v>-519.072896260508</v>
      </c>
      <c r="L10" s="0" t="n">
        <f aca="false">-L6*L9/100</f>
        <v>-532.04971866702</v>
      </c>
    </row>
    <row r="11" customFormat="false" ht="15" hidden="false" customHeight="false" outlineLevel="0" collapsed="false">
      <c r="A11" s="0" t="s">
        <v>121</v>
      </c>
      <c r="C11" s="0" t="n">
        <f aca="false">C8+C10+C24</f>
        <v>10363.6001</v>
      </c>
      <c r="D11" s="0" t="n">
        <f aca="false">D8+D10+D24</f>
        <v>11571.0195325</v>
      </c>
      <c r="E11" s="0" t="n">
        <f aca="false">E8+E10+E24</f>
        <v>12781.2449397375</v>
      </c>
      <c r="F11" s="0" t="n">
        <f aca="false">F8+F10+F24</f>
        <v>13870.8575235786</v>
      </c>
      <c r="G11" s="0" t="n">
        <f aca="false">G8+G10+G24</f>
        <v>14798.0784350415</v>
      </c>
      <c r="H11" s="0" t="n">
        <f aca="false">H8+H10+H24</f>
        <v>15600.1039829884</v>
      </c>
      <c r="I11" s="0" t="n">
        <f aca="false">I8+I10+I24</f>
        <v>16254.8356198502</v>
      </c>
      <c r="J11" s="0" t="n">
        <f aca="false">J8+J10+J24</f>
        <v>16854.4705258266</v>
      </c>
      <c r="K11" s="0" t="n">
        <f aca="false">K8+K10+K24</f>
        <v>17360.1046416014</v>
      </c>
      <c r="L11" s="0" t="n">
        <f aca="false">L8+L10+L24</f>
        <v>17794.1072576415</v>
      </c>
    </row>
    <row r="12" customFormat="false" ht="15" hidden="false" customHeight="false" outlineLevel="0" collapsed="false">
      <c r="A12" s="0" t="s">
        <v>122</v>
      </c>
      <c r="C12" s="4" t="n">
        <f aca="false">-C6*Assumptions!C31/100</f>
        <v>-3521.2232</v>
      </c>
      <c r="D12" s="4" t="n">
        <f aca="false">-D6*Assumptions!D31/100</f>
        <v>-3785.31494</v>
      </c>
      <c r="E12" s="4" t="n">
        <f aca="false">-E6*Assumptions!E31/100</f>
        <v>-3939.738583575</v>
      </c>
      <c r="F12" s="4" t="n">
        <f aca="false">-F6*Assumptions!F31/100</f>
        <v>-4156.42420567162</v>
      </c>
      <c r="G12" s="4" t="n">
        <f aca="false">-G6*Assumptions!G31/100</f>
        <v>-4343.46329492685</v>
      </c>
      <c r="H12" s="4" t="n">
        <f aca="false">-H6*Assumptions!H31/100</f>
        <v>-4412.15062145127</v>
      </c>
      <c r="I12" s="4" t="n">
        <f aca="false">-I6*Assumptions!I31/100</f>
        <v>-4566.57589320207</v>
      </c>
      <c r="J12" s="4" t="n">
        <f aca="false">-J6*Assumptions!J31/100</f>
        <v>-4703.57316999813</v>
      </c>
      <c r="K12" s="4" t="n">
        <f aca="false">-K6*Assumptions!K31/100</f>
        <v>-4844.68036509807</v>
      </c>
      <c r="L12" s="4" t="n">
        <f aca="false">-L6*Assumptions!L31/100</f>
        <v>-4965.79737422552</v>
      </c>
    </row>
    <row r="13" customFormat="false" ht="15" hidden="false" customHeight="false" outlineLevel="0" collapsed="false">
      <c r="A13" s="0" t="s">
        <v>123</v>
      </c>
      <c r="C13" s="0" t="n">
        <f aca="false">C11+C12</f>
        <v>6842.3769</v>
      </c>
      <c r="D13" s="0" t="n">
        <f aca="false">D11+D12</f>
        <v>7785.7045925</v>
      </c>
      <c r="E13" s="0" t="n">
        <f aca="false">E11+E12</f>
        <v>8841.5063561625</v>
      </c>
      <c r="F13" s="0" t="n">
        <f aca="false">F11+F12</f>
        <v>9714.43331790694</v>
      </c>
      <c r="G13" s="0" t="n">
        <f aca="false">G11+G12</f>
        <v>10454.6151401146</v>
      </c>
      <c r="H13" s="0" t="n">
        <f aca="false">H11+H12</f>
        <v>11187.9533615372</v>
      </c>
      <c r="I13" s="0" t="n">
        <f aca="false">I11+I12</f>
        <v>11688.2597266481</v>
      </c>
      <c r="J13" s="0" t="n">
        <f aca="false">J11+J12</f>
        <v>12150.8973558285</v>
      </c>
      <c r="K13" s="0" t="n">
        <f aca="false">K11+K12</f>
        <v>12515.4242765034</v>
      </c>
      <c r="L13" s="0" t="n">
        <f aca="false">L11+L12</f>
        <v>12828.3098834159</v>
      </c>
    </row>
    <row r="14" customFormat="false" ht="15" hidden="false" customHeight="false" outlineLevel="0" collapsed="false">
      <c r="A14" s="0" t="s">
        <v>109</v>
      </c>
      <c r="C14" s="4" t="n">
        <f aca="false">Assumptions!C33</f>
        <v>17</v>
      </c>
      <c r="D14" s="4" t="n">
        <f aca="false">Assumptions!D33</f>
        <v>18</v>
      </c>
      <c r="E14" s="4" t="n">
        <f aca="false">Assumptions!E33</f>
        <v>19</v>
      </c>
      <c r="F14" s="4" t="n">
        <f aca="false">Assumptions!F33</f>
        <v>20</v>
      </c>
      <c r="G14" s="4" t="n">
        <f aca="false">Assumptions!G33</f>
        <v>21</v>
      </c>
      <c r="H14" s="4" t="n">
        <f aca="false">Assumptions!H33</f>
        <v>22</v>
      </c>
      <c r="I14" s="4" t="n">
        <f aca="false">Assumptions!I33</f>
        <v>23</v>
      </c>
      <c r="J14" s="4" t="n">
        <f aca="false">Assumptions!J33</f>
        <v>24</v>
      </c>
      <c r="K14" s="4" t="n">
        <f aca="false">Assumptions!K33</f>
        <v>24</v>
      </c>
      <c r="L14" s="4" t="n">
        <f aca="false">Assumptions!L33</f>
        <v>24</v>
      </c>
    </row>
    <row r="15" customFormat="false" ht="15" hidden="false" customHeight="false" outlineLevel="0" collapsed="false">
      <c r="A15" s="0" t="s">
        <v>124</v>
      </c>
      <c r="C15" s="0" t="n">
        <f aca="false">C13-MAX(0,C13)*C14/100</f>
        <v>5679.172827</v>
      </c>
      <c r="D15" s="0" t="n">
        <f aca="false">D13-MAX(0,D13)*D14/100</f>
        <v>6384.27776585</v>
      </c>
      <c r="E15" s="0" t="n">
        <f aca="false">E13-MAX(0,E13)*E14/100</f>
        <v>7161.62014849163</v>
      </c>
      <c r="F15" s="0" t="n">
        <f aca="false">F13-MAX(0,F13)*F14/100</f>
        <v>7771.54665432555</v>
      </c>
      <c r="G15" s="0" t="n">
        <f aca="false">G13-MAX(0,G13)*G14/100</f>
        <v>8259.14596069055</v>
      </c>
      <c r="H15" s="0" t="n">
        <f aca="false">H13-MAX(0,H13)*H14/100</f>
        <v>8726.60362199898</v>
      </c>
      <c r="I15" s="0" t="n">
        <f aca="false">I13-MAX(0,I13)*I14/100</f>
        <v>8999.95998951907</v>
      </c>
      <c r="J15" s="0" t="n">
        <f aca="false">J13-MAX(0,J13)*J14/100</f>
        <v>9234.68199042966</v>
      </c>
      <c r="K15" s="0" t="n">
        <f aca="false">K13-MAX(0,K13)*K14/100</f>
        <v>9511.72245014255</v>
      </c>
      <c r="L15" s="0" t="n">
        <f aca="false">L13-MAX(0,L13)*L14/100</f>
        <v>9749.51551139611</v>
      </c>
    </row>
    <row r="16" customFormat="false" ht="15" hidden="false" customHeight="false" outlineLevel="0" collapsed="false">
      <c r="A16" s="0" t="s">
        <v>125</v>
      </c>
      <c r="C16" s="0" t="n">
        <f aca="false">-C12</f>
        <v>3521.2232</v>
      </c>
      <c r="D16" s="0" t="n">
        <f aca="false">-D12</f>
        <v>3785.31494</v>
      </c>
      <c r="E16" s="0" t="n">
        <f aca="false">-E12</f>
        <v>3939.738583575</v>
      </c>
      <c r="F16" s="0" t="n">
        <f aca="false">-F12</f>
        <v>4156.42420567162</v>
      </c>
      <c r="G16" s="0" t="n">
        <f aca="false">-G12</f>
        <v>4343.46329492685</v>
      </c>
      <c r="H16" s="0" t="n">
        <f aca="false">-H12</f>
        <v>4412.15062145127</v>
      </c>
      <c r="I16" s="0" t="n">
        <f aca="false">-I12</f>
        <v>4566.57589320207</v>
      </c>
      <c r="J16" s="0" t="n">
        <f aca="false">-J12</f>
        <v>4703.57316999813</v>
      </c>
      <c r="K16" s="0" t="n">
        <f aca="false">-K12</f>
        <v>4844.68036509807</v>
      </c>
      <c r="L16" s="0" t="n">
        <f aca="false">-L12</f>
        <v>4965.79737422552</v>
      </c>
    </row>
    <row r="17" customFormat="false" ht="15" hidden="false" customHeight="false" outlineLevel="0" collapsed="false">
      <c r="A17" s="0" t="s">
        <v>126</v>
      </c>
      <c r="C17" s="4" t="n">
        <f aca="false">-C6*Assumptions!C32/100</f>
        <v>-4721.6402</v>
      </c>
      <c r="D17" s="4" t="n">
        <f aca="false">-D6*Assumptions!D32/100</f>
        <v>-4989.73333</v>
      </c>
      <c r="E17" s="4" t="n">
        <f aca="false">-E6*Assumptions!E32/100</f>
        <v>-5130.8223414</v>
      </c>
      <c r="F17" s="4" t="n">
        <f aca="false">-F6*Assumptions!F32/100</f>
        <v>-5219.69551409925</v>
      </c>
      <c r="G17" s="4" t="n">
        <f aca="false">-G6*Assumptions!G32/100</f>
        <v>-5252.56026363247</v>
      </c>
      <c r="H17" s="4" t="n">
        <f aca="false">-H6*Assumptions!H32/100</f>
        <v>-5357.61146890512</v>
      </c>
      <c r="I17" s="4" t="n">
        <f aca="false">-I6*Assumptions!I32/100</f>
        <v>-5436.3998728596</v>
      </c>
      <c r="J17" s="4" t="n">
        <f aca="false">-J6*Assumptions!J32/100</f>
        <v>-5599.49186904539</v>
      </c>
      <c r="K17" s="4" t="n">
        <f aca="false">-K6*Assumptions!K32/100</f>
        <v>-5652.12709261442</v>
      </c>
      <c r="L17" s="4" t="n">
        <f aca="false">-L6*Assumptions!L32/100</f>
        <v>-5793.43026992978</v>
      </c>
    </row>
    <row r="18" customFormat="false" ht="15" hidden="false" customHeight="false" outlineLevel="0" collapsed="false">
      <c r="A18" s="0" t="s">
        <v>127</v>
      </c>
      <c r="C18" s="4" t="n">
        <f aca="false">(C6-B6)*Assumptions!$B$37/100</f>
        <v>0</v>
      </c>
      <c r="D18" s="4" t="n">
        <f aca="false">(D6-C6)*Assumptions!$B$37/100</f>
        <v>0</v>
      </c>
      <c r="E18" s="4" t="n">
        <f aca="false">(E6-D6)*Assumptions!$B$37/100</f>
        <v>0</v>
      </c>
      <c r="F18" s="4" t="n">
        <f aca="false">(F6-E6)*Assumptions!$B$37/100</f>
        <v>0</v>
      </c>
      <c r="G18" s="4" t="n">
        <f aca="false">(G6-F6)*Assumptions!$B$37/100</f>
        <v>0</v>
      </c>
      <c r="H18" s="4" t="n">
        <f aca="false">(H6-G6)*Assumptions!$B$37/100</f>
        <v>0</v>
      </c>
      <c r="I18" s="4" t="n">
        <f aca="false">(I6-H6)*Assumptions!$B$37/100</f>
        <v>0</v>
      </c>
      <c r="J18" s="4" t="n">
        <f aca="false">(J6-I6)*Assumptions!$B$37/100</f>
        <v>0</v>
      </c>
      <c r="K18" s="4" t="n">
        <f aca="false">(K6-J6)*Assumptions!$B$37/100</f>
        <v>0</v>
      </c>
      <c r="L18" s="4" t="n">
        <f aca="false">(L6-K6)*Assumptions!$B$37/100</f>
        <v>0</v>
      </c>
    </row>
    <row r="19" customFormat="false" ht="15" hidden="false" customHeight="false" outlineLevel="0" collapsed="false">
      <c r="A19" s="0" t="s">
        <v>128</v>
      </c>
      <c r="C19" s="0" t="n">
        <f aca="false">C15+C16+C17+C18</f>
        <v>4478.755827</v>
      </c>
      <c r="D19" s="0" t="n">
        <f aca="false">D15+D16+D17+D18</f>
        <v>5179.85937585</v>
      </c>
      <c r="E19" s="0" t="n">
        <f aca="false">E15+E16+E17+E18</f>
        <v>5970.53639066662</v>
      </c>
      <c r="F19" s="0" t="n">
        <f aca="false">F15+F16+F17+F18</f>
        <v>6708.27534589792</v>
      </c>
      <c r="G19" s="0" t="n">
        <f aca="false">G15+G16+G17+G18</f>
        <v>7350.04899198493</v>
      </c>
      <c r="H19" s="0" t="n">
        <f aca="false">H15+H16+H17+H18</f>
        <v>7781.14277454514</v>
      </c>
      <c r="I19" s="0" t="n">
        <f aca="false">I15+I16+I17+I18</f>
        <v>8130.13600986154</v>
      </c>
      <c r="J19" s="0" t="n">
        <f aca="false">J15+J16+J17+J18</f>
        <v>8338.7632913824</v>
      </c>
      <c r="K19" s="0" t="n">
        <f aca="false">K15+K16+K17+K18</f>
        <v>8704.2757226262</v>
      </c>
      <c r="L19" s="0" t="n">
        <f aca="false">L15+L16+L17+L18</f>
        <v>8921.88261569186</v>
      </c>
    </row>
    <row r="20" customFormat="false" ht="15" hidden="false" customHeight="false" outlineLevel="0" collapsed="false">
      <c r="A20" s="0" t="s">
        <v>129</v>
      </c>
      <c r="C20" s="0" t="n">
        <f aca="false">1/(1+$B$27/100)^C4</f>
        <v>0.921658986175115</v>
      </c>
      <c r="D20" s="0" t="n">
        <f aca="false">1/(1+$B$27/100)^D4</f>
        <v>0.849455286797341</v>
      </c>
      <c r="E20" s="0" t="n">
        <f aca="false">1/(1+$B$27/100)^E4</f>
        <v>0.782908098430729</v>
      </c>
      <c r="F20" s="0" t="n">
        <f aca="false">1/(1+$B$27/100)^F4</f>
        <v>0.721574284267953</v>
      </c>
      <c r="G20" s="0" t="n">
        <f aca="false">1/(1+$B$27/100)^G4</f>
        <v>0.665045423288436</v>
      </c>
      <c r="H20" s="0" t="n">
        <f aca="false">1/(1+$B$27/100)^H4</f>
        <v>0.612945090588421</v>
      </c>
      <c r="I20" s="0" t="n">
        <f aca="false">1/(1+$B$27/100)^I4</f>
        <v>0.564926350772738</v>
      </c>
      <c r="J20" s="0" t="n">
        <f aca="false">1/(1+$B$27/100)^J4</f>
        <v>0.520669447716809</v>
      </c>
      <c r="K20" s="0" t="n">
        <f aca="false">1/(1+$B$27/100)^K4</f>
        <v>0.479879675315031</v>
      </c>
      <c r="L20" s="0" t="n">
        <f aca="false">1/(1+$B$27/100)^L4</f>
        <v>0.442285415036895</v>
      </c>
    </row>
    <row r="21" customFormat="false" ht="15" hidden="false" customHeight="false" outlineLevel="0" collapsed="false">
      <c r="A21" s="0" t="s">
        <v>130</v>
      </c>
      <c r="C21" s="0" t="n">
        <f aca="false">C19*C20</f>
        <v>4127.88555483871</v>
      </c>
      <c r="D21" s="0" t="n">
        <f aca="false">D19*D20</f>
        <v>4400.05893168256</v>
      </c>
      <c r="E21" s="0" t="n">
        <f aca="false">E19*E20</f>
        <v>4674.38129222828</v>
      </c>
      <c r="F21" s="0" t="n">
        <f aca="false">F19*F20</f>
        <v>4840.51898138865</v>
      </c>
      <c r="G21" s="0" t="n">
        <f aca="false">G19*G20</f>
        <v>4888.11644306536</v>
      </c>
      <c r="H21" s="0" t="n">
        <f aca="false">H19*H20</f>
        <v>4769.413262825</v>
      </c>
      <c r="I21" s="0" t="n">
        <f aca="false">I19*I20</f>
        <v>4592.92806733711</v>
      </c>
      <c r="J21" s="0" t="n">
        <f aca="false">J19*J20</f>
        <v>4341.73927756527</v>
      </c>
      <c r="K21" s="0" t="n">
        <f aca="false">K19*K20</f>
        <v>4177.00500762637</v>
      </c>
      <c r="L21" s="0" t="n">
        <f aca="false">L19*L20</f>
        <v>3946.01855559173</v>
      </c>
    </row>
    <row r="23" customFormat="false" ht="15" hidden="false" customHeight="false" outlineLevel="0" collapsed="false">
      <c r="A23" s="0" t="s">
        <v>106</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131</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132</v>
      </c>
    </row>
    <row r="27" customFormat="false" ht="15" hidden="false" customHeight="false" outlineLevel="0" collapsed="false">
      <c r="A27" s="0" t="s">
        <v>110</v>
      </c>
      <c r="B27" s="4" t="n">
        <f aca="false">Assumptions!$B$34</f>
        <v>8.5</v>
      </c>
    </row>
    <row r="28" customFormat="false" ht="15" hidden="false" customHeight="false" outlineLevel="0" collapsed="false">
      <c r="A28" s="0" t="s">
        <v>111</v>
      </c>
      <c r="B28" s="4" t="n">
        <f aca="false">Assumptions!$B$35</f>
        <v>2.5</v>
      </c>
    </row>
    <row r="29" customFormat="false" ht="15" hidden="false" customHeight="false" outlineLevel="0" collapsed="false">
      <c r="A29" s="0" t="s">
        <v>112</v>
      </c>
      <c r="B29" s="4" t="n">
        <f aca="false">Assumptions!$B$36</f>
        <v>18</v>
      </c>
    </row>
    <row r="30" customFormat="false" ht="15" hidden="false" customHeight="false" outlineLevel="0" collapsed="false">
      <c r="A30" s="0" t="s">
        <v>133</v>
      </c>
      <c r="B30" s="0" t="n">
        <f aca="false">SUM(C21:L21)</f>
        <v>44758.065374149</v>
      </c>
    </row>
    <row r="31" customFormat="false" ht="15" hidden="false" customHeight="false" outlineLevel="0" collapsed="false">
      <c r="A31" s="0" t="s">
        <v>134</v>
      </c>
      <c r="B31" s="0" t="n">
        <f aca="false">L19</f>
        <v>8921.88261569186</v>
      </c>
    </row>
    <row r="32" customFormat="false" ht="15" hidden="false" customHeight="false" outlineLevel="0" collapsed="false">
      <c r="A32" s="0" t="s">
        <v>135</v>
      </c>
      <c r="B32" s="0" t="n">
        <f aca="false">IF(B27&gt;B28,B31*(1+B28/100)/((B27-B28)/100),B31*B29)</f>
        <v>152415.494684736</v>
      </c>
    </row>
    <row r="33" customFormat="false" ht="15" hidden="false" customHeight="false" outlineLevel="0" collapsed="false">
      <c r="A33" s="0" t="s">
        <v>136</v>
      </c>
      <c r="B33" s="0" t="n">
        <f aca="false">B31*B29</f>
        <v>160593.887082453</v>
      </c>
    </row>
    <row r="34" customFormat="false" ht="15" hidden="false" customHeight="false" outlineLevel="0" collapsed="false">
      <c r="A34" s="0" t="s">
        <v>137</v>
      </c>
      <c r="B34" s="0" t="n">
        <f aca="false">MAX(0,MIN(B32,B33))</f>
        <v>152415.494684736</v>
      </c>
    </row>
    <row r="35" customFormat="false" ht="15" hidden="false" customHeight="false" outlineLevel="0" collapsed="false">
      <c r="A35" s="0" t="s">
        <v>138</v>
      </c>
      <c r="B35" s="0" t="n">
        <f aca="false">B34/(1+B27/100)^L4</f>
        <v>67411.1503246921</v>
      </c>
    </row>
    <row r="36" customFormat="false" ht="15" hidden="false" customHeight="false" outlineLevel="0" collapsed="false">
      <c r="A36" s="0" t="s">
        <v>139</v>
      </c>
      <c r="B36" s="0" t="n">
        <f aca="false">B30+B35</f>
        <v>112169.215698841</v>
      </c>
    </row>
    <row r="37" customFormat="false" ht="15" hidden="false" customHeight="false" outlineLevel="0" collapsed="false">
      <c r="A37" s="0" t="s">
        <v>140</v>
      </c>
      <c r="B37" s="0" t="n">
        <f aca="false">B36+Assumptions!$B$5-Assumptions!$B$4</f>
        <v>121119.215698841</v>
      </c>
    </row>
    <row r="38" customFormat="false" ht="15" hidden="false" customHeight="false" outlineLevel="0" collapsed="false">
      <c r="A38" s="0" t="s">
        <v>141</v>
      </c>
      <c r="B38" s="0" t="n">
        <f aca="false">B37/Assumptions!$B$3*Assumptions!$B$10</f>
        <v>153.342637554555</v>
      </c>
    </row>
    <row r="39" customFormat="false" ht="15" hidden="false" customHeight="false" outlineLevel="0" collapsed="false">
      <c r="A39" s="0" t="s">
        <v>142</v>
      </c>
      <c r="B39" s="4" t="n">
        <f aca="false">B38/Assumptions!$B$2-1</f>
        <v>-0.203249311261793</v>
      </c>
    </row>
    <row r="41" customFormat="false" ht="15" hidden="false" customHeight="false" outlineLevel="0" collapsed="false">
      <c r="A41" s="0" t="s">
        <v>143</v>
      </c>
      <c r="B41" s="0" t="n">
        <f aca="false">SUMPRODUCT(-C10:L10/(1+$B$27/100)^C4:L4)</f>
        <v>2912.6861247928</v>
      </c>
    </row>
    <row r="42" customFormat="false" ht="15" hidden="false" customHeight="false" outlineLevel="0" collapsed="false">
      <c r="A42" s="0" t="s">
        <v>144</v>
      </c>
      <c r="B42" s="0" t="n">
        <f aca="false">IF(B27&gt;B28,-L10*(1+B28/100)/((B27-B28)/100),-L10*20)/(1+B27/100)^L4</f>
        <v>4020.01294011549</v>
      </c>
    </row>
    <row r="43" customFormat="false" ht="15" hidden="false" customHeight="false" outlineLevel="0" collapsed="false">
      <c r="A43" s="0" t="s">
        <v>145</v>
      </c>
      <c r="B43" s="0" t="n">
        <f aca="false">(B37+B41+B42)/Assumptions!$B$3*Assumptions!$B$10</f>
        <v>162.119761430822</v>
      </c>
    </row>
    <row r="45" customFormat="false" ht="15" hidden="false" customHeight="false" outlineLevel="0" collapsed="false">
      <c r="A45" s="0" t="s">
        <v>86</v>
      </c>
      <c r="B45" s="4" t="n">
        <f aca="false">Assumptions!$B$6</f>
        <v>15</v>
      </c>
    </row>
    <row r="46" customFormat="false" ht="15" hidden="false" customHeight="false" outlineLevel="0" collapsed="false">
      <c r="A46" s="0" t="s">
        <v>146</v>
      </c>
      <c r="B46" s="0" t="n">
        <f aca="false">MAX(0,MIN(IF(B45&gt;B28,B31*(1+B28/100)/((B45-B28)/100),B31*B29),B31*B29))</f>
        <v>73159.4374486732</v>
      </c>
    </row>
    <row r="47" customFormat="false" ht="15" hidden="false" customHeight="false" outlineLevel="0" collapsed="false">
      <c r="A47" s="0" t="s">
        <v>147</v>
      </c>
      <c r="B47" s="0" t="n">
        <f aca="false">(SUMPRODUCT(C19:L19/(1+B45/100)^C4:L4)+B46/(1+B45/100)^L4+Assumptions!$B$5-Assumptions!$B$4)/Assumptions!$B$3*Assumptions!$B$10</f>
        <v>76.0725802322447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149</v>
      </c>
    </row>
    <row r="3" customFormat="false" ht="15" hidden="false" customHeight="false" outlineLevel="0" collapsed="false">
      <c r="A3" s="0" t="s">
        <v>118</v>
      </c>
      <c r="B3" s="0" t="s">
        <v>79</v>
      </c>
      <c r="C3" s="2" t="s">
        <v>93</v>
      </c>
      <c r="D3" s="2" t="s">
        <v>94</v>
      </c>
      <c r="E3" s="2" t="s">
        <v>95</v>
      </c>
      <c r="F3" s="2" t="s">
        <v>96</v>
      </c>
      <c r="G3" s="2" t="s">
        <v>97</v>
      </c>
      <c r="H3" s="2" t="s">
        <v>98</v>
      </c>
      <c r="I3" s="2" t="s">
        <v>99</v>
      </c>
      <c r="J3" s="2" t="s">
        <v>100</v>
      </c>
      <c r="K3" s="2" t="s">
        <v>101</v>
      </c>
      <c r="L3" s="2" t="s">
        <v>102</v>
      </c>
    </row>
    <row r="4" customFormat="false" ht="15" hidden="false" customHeight="false" outlineLevel="0" collapsed="false">
      <c r="A4" s="0" t="s">
        <v>119</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103</v>
      </c>
      <c r="C5" s="4" t="n">
        <f aca="false">Assumptions!C41</f>
        <v>10.5</v>
      </c>
      <c r="D5" s="4" t="n">
        <f aca="false">Assumptions!D41</f>
        <v>9.5</v>
      </c>
      <c r="E5" s="4" t="n">
        <f aca="false">Assumptions!E41</f>
        <v>8.5</v>
      </c>
      <c r="F5" s="4" t="n">
        <f aca="false">Assumptions!F41</f>
        <v>7</v>
      </c>
      <c r="G5" s="4" t="n">
        <f aca="false">Assumptions!G41</f>
        <v>5.5</v>
      </c>
      <c r="H5" s="4" t="n">
        <f aca="false">Assumptions!H41</f>
        <v>4.5</v>
      </c>
      <c r="I5" s="4" t="n">
        <f aca="false">Assumptions!I41</f>
        <v>4</v>
      </c>
      <c r="J5" s="4" t="n">
        <f aca="false">Assumptions!J41</f>
        <v>3.5</v>
      </c>
      <c r="K5" s="4" t="n">
        <f aca="false">Assumptions!K41</f>
        <v>3</v>
      </c>
      <c r="L5" s="4" t="n">
        <f aca="false">Assumptions!L41</f>
        <v>3</v>
      </c>
    </row>
    <row r="6" customFormat="false" ht="15" hidden="false" customHeight="false" outlineLevel="0" collapsed="false">
      <c r="A6" s="0" t="s">
        <v>37</v>
      </c>
      <c r="B6" s="3" t="n">
        <v>73420</v>
      </c>
      <c r="C6" s="0" t="n">
        <f aca="false">B6*(1+C5/100)</f>
        <v>81129.1</v>
      </c>
      <c r="D6" s="0" t="n">
        <f aca="false">C6*(1+D5/100)</f>
        <v>88836.3645</v>
      </c>
      <c r="E6" s="0" t="n">
        <f aca="false">D6*(1+E5/100)</f>
        <v>96387.4554825</v>
      </c>
      <c r="F6" s="0" t="n">
        <f aca="false">E6*(1+F5/100)</f>
        <v>103134.577366275</v>
      </c>
      <c r="G6" s="0" t="n">
        <f aca="false">F6*(1+G5/100)</f>
        <v>108806.97912142</v>
      </c>
      <c r="H6" s="0" t="n">
        <f aca="false">G6*(1+H5/100)</f>
        <v>113703.293181884</v>
      </c>
      <c r="I6" s="0" t="n">
        <f aca="false">H6*(1+I5/100)</f>
        <v>118251.424909159</v>
      </c>
      <c r="J6" s="0" t="n">
        <f aca="false">I6*(1+J5/100)</f>
        <v>122390.22478098</v>
      </c>
      <c r="K6" s="0" t="n">
        <f aca="false">J6*(1+K5/100)</f>
        <v>126061.931524409</v>
      </c>
      <c r="L6" s="0" t="n">
        <f aca="false">K6*(1+L5/100)</f>
        <v>129843.789470142</v>
      </c>
    </row>
    <row r="7" customFormat="false" ht="15" hidden="false" customHeight="false" outlineLevel="0" collapsed="false">
      <c r="A7" s="0" t="s">
        <v>104</v>
      </c>
      <c r="C7" s="4" t="n">
        <f aca="false">Assumptions!C42</f>
        <v>13.8</v>
      </c>
      <c r="D7" s="4" t="n">
        <f aca="false">Assumptions!D42</f>
        <v>14.6</v>
      </c>
      <c r="E7" s="4" t="n">
        <f aca="false">Assumptions!E42</f>
        <v>15.3</v>
      </c>
      <c r="F7" s="4" t="n">
        <f aca="false">Assumptions!F42</f>
        <v>15.9</v>
      </c>
      <c r="G7" s="4" t="n">
        <f aca="false">Assumptions!G42</f>
        <v>16.3</v>
      </c>
      <c r="H7" s="4" t="n">
        <f aca="false">Assumptions!H42</f>
        <v>16.6</v>
      </c>
      <c r="I7" s="4" t="n">
        <f aca="false">Assumptions!I42</f>
        <v>16.8</v>
      </c>
      <c r="J7" s="4" t="n">
        <f aca="false">Assumptions!J42</f>
        <v>17</v>
      </c>
      <c r="K7" s="4" t="n">
        <f aca="false">Assumptions!K42</f>
        <v>17</v>
      </c>
      <c r="L7" s="4" t="n">
        <f aca="false">Assumptions!L42</f>
        <v>17</v>
      </c>
    </row>
    <row r="8" customFormat="false" ht="15" hidden="false" customHeight="false" outlineLevel="0" collapsed="false">
      <c r="A8" s="0" t="s">
        <v>43</v>
      </c>
      <c r="C8" s="0" t="n">
        <f aca="false">C6*C7/100</f>
        <v>11195.8158</v>
      </c>
      <c r="D8" s="0" t="n">
        <f aca="false">D6*D7/100</f>
        <v>12970.109217</v>
      </c>
      <c r="E8" s="0" t="n">
        <f aca="false">E6*E7/100</f>
        <v>14747.2806888225</v>
      </c>
      <c r="F8" s="0" t="n">
        <f aca="false">F6*F7/100</f>
        <v>16398.3978012377</v>
      </c>
      <c r="G8" s="0" t="n">
        <f aca="false">G6*G7/100</f>
        <v>17735.5375967915</v>
      </c>
      <c r="H8" s="0" t="n">
        <f aca="false">H6*H7/100</f>
        <v>18874.7466681928</v>
      </c>
      <c r="I8" s="0" t="n">
        <f aca="false">I6*I7/100</f>
        <v>19866.2393847388</v>
      </c>
      <c r="J8" s="0" t="n">
        <f aca="false">J6*J7/100</f>
        <v>20806.3382127666</v>
      </c>
      <c r="K8" s="0" t="n">
        <f aca="false">K6*K7/100</f>
        <v>21430.5283591496</v>
      </c>
      <c r="L8" s="0" t="n">
        <f aca="false">L6*L7/100</f>
        <v>22073.4442099241</v>
      </c>
    </row>
    <row r="9" customFormat="false" ht="15" hidden="false" customHeight="false" outlineLevel="0" collapsed="false">
      <c r="A9" s="0" t="s">
        <v>105</v>
      </c>
      <c r="C9" s="4" t="n">
        <f aca="false">Assumptions!C43</f>
        <v>0.45</v>
      </c>
      <c r="D9" s="4" t="n">
        <f aca="false">Assumptions!D43</f>
        <v>0.45</v>
      </c>
      <c r="E9" s="4" t="n">
        <f aca="false">Assumptions!E43</f>
        <v>0.45</v>
      </c>
      <c r="F9" s="4" t="n">
        <f aca="false">Assumptions!F43</f>
        <v>0.45</v>
      </c>
      <c r="G9" s="4" t="n">
        <f aca="false">Assumptions!G43</f>
        <v>0.45</v>
      </c>
      <c r="H9" s="4" t="n">
        <f aca="false">Assumptions!H43</f>
        <v>0.45</v>
      </c>
      <c r="I9" s="4" t="n">
        <f aca="false">Assumptions!I43</f>
        <v>0.45</v>
      </c>
      <c r="J9" s="4" t="n">
        <f aca="false">Assumptions!J43</f>
        <v>0.45</v>
      </c>
      <c r="K9" s="4" t="n">
        <f aca="false">Assumptions!K43</f>
        <v>0.45</v>
      </c>
      <c r="L9" s="4" t="n">
        <f aca="false">Assumptions!L43</f>
        <v>0.45</v>
      </c>
    </row>
    <row r="10" customFormat="false" ht="15" hidden="false" customHeight="false" outlineLevel="0" collapsed="false">
      <c r="A10" s="0" t="s">
        <v>120</v>
      </c>
      <c r="C10" s="0" t="n">
        <f aca="false">-C6*C9/100</f>
        <v>-365.08095</v>
      </c>
      <c r="D10" s="0" t="n">
        <f aca="false">-D6*D9/100</f>
        <v>-399.76364025</v>
      </c>
      <c r="E10" s="0" t="n">
        <f aca="false">-E6*E9/100</f>
        <v>-433.74354967125</v>
      </c>
      <c r="F10" s="0" t="n">
        <f aca="false">-F6*F9/100</f>
        <v>-464.105598148238</v>
      </c>
      <c r="G10" s="0" t="n">
        <f aca="false">-G6*G9/100</f>
        <v>-489.631406046391</v>
      </c>
      <c r="H10" s="0" t="n">
        <f aca="false">-H6*H9/100</f>
        <v>-511.664819318478</v>
      </c>
      <c r="I10" s="0" t="n">
        <f aca="false">-I6*I9/100</f>
        <v>-532.131412091217</v>
      </c>
      <c r="J10" s="0" t="n">
        <f aca="false">-J6*J9/100</f>
        <v>-550.75601151441</v>
      </c>
      <c r="K10" s="0" t="n">
        <f aca="false">-K6*K9/100</f>
        <v>-567.278691859842</v>
      </c>
      <c r="L10" s="0" t="n">
        <f aca="false">-L6*L9/100</f>
        <v>-584.297052615637</v>
      </c>
    </row>
    <row r="11" customFormat="false" ht="15" hidden="false" customHeight="false" outlineLevel="0" collapsed="false">
      <c r="A11" s="0" t="s">
        <v>121</v>
      </c>
      <c r="C11" s="0" t="n">
        <f aca="false">C8+C10+C24</f>
        <v>10830.73485</v>
      </c>
      <c r="D11" s="0" t="n">
        <f aca="false">D8+D10+D24</f>
        <v>12570.34557675</v>
      </c>
      <c r="E11" s="0" t="n">
        <f aca="false">E8+E10+E24</f>
        <v>14313.5371391513</v>
      </c>
      <c r="F11" s="0" t="n">
        <f aca="false">F8+F10+F24</f>
        <v>15934.2922030895</v>
      </c>
      <c r="G11" s="0" t="n">
        <f aca="false">G8+G10+G24</f>
        <v>17245.9061907451</v>
      </c>
      <c r="H11" s="0" t="n">
        <f aca="false">H8+H10+H24</f>
        <v>18363.0818488743</v>
      </c>
      <c r="I11" s="0" t="n">
        <f aca="false">I8+I10+I24</f>
        <v>19334.1079726476</v>
      </c>
      <c r="J11" s="0" t="n">
        <f aca="false">J8+J10+J24</f>
        <v>20255.5822012522</v>
      </c>
      <c r="K11" s="0" t="n">
        <f aca="false">K8+K10+K24</f>
        <v>20863.2496672898</v>
      </c>
      <c r="L11" s="0" t="n">
        <f aca="false">L8+L10+L24</f>
        <v>21489.1471573084</v>
      </c>
    </row>
    <row r="12" customFormat="false" ht="15" hidden="false" customHeight="false" outlineLevel="0" collapsed="false">
      <c r="A12" s="0" t="s">
        <v>122</v>
      </c>
      <c r="C12" s="4" t="n">
        <f aca="false">-C6*Assumptions!C45/100</f>
        <v>-3569.6804</v>
      </c>
      <c r="D12" s="4" t="n">
        <f aca="false">-D6*Assumptions!D45/100</f>
        <v>-3908.800038</v>
      </c>
      <c r="E12" s="4" t="n">
        <f aca="false">-E6*Assumptions!E45/100</f>
        <v>-4144.6605857475</v>
      </c>
      <c r="F12" s="4" t="n">
        <f aca="false">-F6*Assumptions!F45/100</f>
        <v>-4434.78682674983</v>
      </c>
      <c r="G12" s="4" t="n">
        <f aca="false">-G6*Assumptions!G45/100</f>
        <v>-4569.89312309965</v>
      </c>
      <c r="H12" s="4" t="n">
        <f aca="false">-H6*Assumptions!H45/100</f>
        <v>-4775.53831363913</v>
      </c>
      <c r="I12" s="4" t="n">
        <f aca="false">-I6*Assumptions!I45/100</f>
        <v>-4966.5598461847</v>
      </c>
      <c r="J12" s="4" t="n">
        <f aca="false">-J6*Assumptions!J45/100</f>
        <v>-5017.99921602018</v>
      </c>
      <c r="K12" s="4" t="n">
        <f aca="false">-K6*Assumptions!K45/100</f>
        <v>-5168.53919250078</v>
      </c>
      <c r="L12" s="4" t="n">
        <f aca="false">-L6*Assumptions!L45/100</f>
        <v>-5323.59536827581</v>
      </c>
    </row>
    <row r="13" customFormat="false" ht="15" hidden="false" customHeight="false" outlineLevel="0" collapsed="false">
      <c r="A13" s="0" t="s">
        <v>123</v>
      </c>
      <c r="C13" s="0" t="n">
        <f aca="false">C11+C12</f>
        <v>7261.05445</v>
      </c>
      <c r="D13" s="0" t="n">
        <f aca="false">D11+D12</f>
        <v>8661.54553875</v>
      </c>
      <c r="E13" s="0" t="n">
        <f aca="false">E11+E12</f>
        <v>10168.8765534038</v>
      </c>
      <c r="F13" s="0" t="n">
        <f aca="false">F11+F12</f>
        <v>11499.5053763397</v>
      </c>
      <c r="G13" s="0" t="n">
        <f aca="false">G11+G12</f>
        <v>12676.0130676454</v>
      </c>
      <c r="H13" s="0" t="n">
        <f aca="false">H11+H12</f>
        <v>13587.5435352351</v>
      </c>
      <c r="I13" s="0" t="n">
        <f aca="false">I11+I12</f>
        <v>14367.5481264629</v>
      </c>
      <c r="J13" s="0" t="n">
        <f aca="false">J11+J12</f>
        <v>15237.582985232</v>
      </c>
      <c r="K13" s="0" t="n">
        <f aca="false">K11+K12</f>
        <v>15694.710474789</v>
      </c>
      <c r="L13" s="0" t="n">
        <f aca="false">L11+L12</f>
        <v>16165.5517890326</v>
      </c>
    </row>
    <row r="14" customFormat="false" ht="15" hidden="false" customHeight="false" outlineLevel="0" collapsed="false">
      <c r="A14" s="0" t="s">
        <v>109</v>
      </c>
      <c r="C14" s="4" t="n">
        <f aca="false">Assumptions!C47</f>
        <v>17</v>
      </c>
      <c r="D14" s="4" t="n">
        <f aca="false">Assumptions!D47</f>
        <v>18</v>
      </c>
      <c r="E14" s="4" t="n">
        <f aca="false">Assumptions!E47</f>
        <v>19</v>
      </c>
      <c r="F14" s="4" t="n">
        <f aca="false">Assumptions!F47</f>
        <v>20</v>
      </c>
      <c r="G14" s="4" t="n">
        <f aca="false">Assumptions!G47</f>
        <v>21</v>
      </c>
      <c r="H14" s="4" t="n">
        <f aca="false">Assumptions!H47</f>
        <v>22</v>
      </c>
      <c r="I14" s="4" t="n">
        <f aca="false">Assumptions!I47</f>
        <v>23</v>
      </c>
      <c r="J14" s="4" t="n">
        <f aca="false">Assumptions!J47</f>
        <v>24</v>
      </c>
      <c r="K14" s="4" t="n">
        <f aca="false">Assumptions!K47</f>
        <v>24</v>
      </c>
      <c r="L14" s="4" t="n">
        <f aca="false">Assumptions!L47</f>
        <v>24</v>
      </c>
    </row>
    <row r="15" customFormat="false" ht="15" hidden="false" customHeight="false" outlineLevel="0" collapsed="false">
      <c r="A15" s="0" t="s">
        <v>124</v>
      </c>
      <c r="C15" s="0" t="n">
        <f aca="false">C13-MAX(0,C13)*C14/100</f>
        <v>6026.6751935</v>
      </c>
      <c r="D15" s="0" t="n">
        <f aca="false">D13-MAX(0,D13)*D14/100</f>
        <v>7102.467341775</v>
      </c>
      <c r="E15" s="0" t="n">
        <f aca="false">E13-MAX(0,E13)*E14/100</f>
        <v>8236.79000825704</v>
      </c>
      <c r="F15" s="0" t="n">
        <f aca="false">F13-MAX(0,F13)*F14/100</f>
        <v>9199.60430107173</v>
      </c>
      <c r="G15" s="0" t="n">
        <f aca="false">G13-MAX(0,G13)*G14/100</f>
        <v>10014.0503234399</v>
      </c>
      <c r="H15" s="0" t="n">
        <f aca="false">H13-MAX(0,H13)*H14/100</f>
        <v>10598.2839574834</v>
      </c>
      <c r="I15" s="0" t="n">
        <f aca="false">I13-MAX(0,I13)*I14/100</f>
        <v>11063.0120573764</v>
      </c>
      <c r="J15" s="0" t="n">
        <f aca="false">J13-MAX(0,J13)*J14/100</f>
        <v>11580.5630687763</v>
      </c>
      <c r="K15" s="0" t="n">
        <f aca="false">K13-MAX(0,K13)*K14/100</f>
        <v>11927.9799608396</v>
      </c>
      <c r="L15" s="0" t="n">
        <f aca="false">L13-MAX(0,L13)*L14/100</f>
        <v>12285.8193596648</v>
      </c>
    </row>
    <row r="16" customFormat="false" ht="15" hidden="false" customHeight="false" outlineLevel="0" collapsed="false">
      <c r="A16" s="0" t="s">
        <v>125</v>
      </c>
      <c r="C16" s="0" t="n">
        <f aca="false">-C12</f>
        <v>3569.6804</v>
      </c>
      <c r="D16" s="0" t="n">
        <f aca="false">-D12</f>
        <v>3908.800038</v>
      </c>
      <c r="E16" s="0" t="n">
        <f aca="false">-E12</f>
        <v>4144.6605857475</v>
      </c>
      <c r="F16" s="0" t="n">
        <f aca="false">-F12</f>
        <v>4434.78682674983</v>
      </c>
      <c r="G16" s="0" t="n">
        <f aca="false">-G12</f>
        <v>4569.89312309965</v>
      </c>
      <c r="H16" s="0" t="n">
        <f aca="false">-H12</f>
        <v>4775.53831363913</v>
      </c>
      <c r="I16" s="0" t="n">
        <f aca="false">-I12</f>
        <v>4966.5598461847</v>
      </c>
      <c r="J16" s="0" t="n">
        <f aca="false">-J12</f>
        <v>5017.99921602018</v>
      </c>
      <c r="K16" s="0" t="n">
        <f aca="false">-K12</f>
        <v>5168.53919250078</v>
      </c>
      <c r="L16" s="0" t="n">
        <f aca="false">-L12</f>
        <v>5323.59536827581</v>
      </c>
    </row>
    <row r="17" customFormat="false" ht="15" hidden="false" customHeight="false" outlineLevel="0" collapsed="false">
      <c r="A17" s="0" t="s">
        <v>126</v>
      </c>
      <c r="C17" s="4" t="n">
        <f aca="false">-C6*Assumptions!C46/100</f>
        <v>-4786.6169</v>
      </c>
      <c r="D17" s="4" t="n">
        <f aca="false">-D6*Assumptions!D46/100</f>
        <v>-5063.6727765</v>
      </c>
      <c r="E17" s="4" t="n">
        <f aca="false">-E6*Assumptions!E46/100</f>
        <v>-5301.3100515375</v>
      </c>
      <c r="F17" s="4" t="n">
        <f aca="false">-F6*Assumptions!F46/100</f>
        <v>-5362.9980230463</v>
      </c>
      <c r="G17" s="4" t="n">
        <f aca="false">-G6*Assumptions!G46/100</f>
        <v>-5440.34895607101</v>
      </c>
      <c r="H17" s="4" t="n">
        <f aca="false">-H6*Assumptions!H46/100</f>
        <v>-5571.46136591232</v>
      </c>
      <c r="I17" s="4" t="n">
        <f aca="false">-I6*Assumptions!I46/100</f>
        <v>-5676.06839563965</v>
      </c>
      <c r="J17" s="4" t="n">
        <f aca="false">-J6*Assumptions!J46/100</f>
        <v>-5874.73078948704</v>
      </c>
      <c r="K17" s="4" t="n">
        <f aca="false">-K6*Assumptions!K46/100</f>
        <v>-6050.97271317165</v>
      </c>
      <c r="L17" s="4" t="n">
        <f aca="false">-L6*Assumptions!L46/100</f>
        <v>-6232.5018945668</v>
      </c>
    </row>
    <row r="18" customFormat="false" ht="15" hidden="false" customHeight="false" outlineLevel="0" collapsed="false">
      <c r="A18" s="0" t="s">
        <v>127</v>
      </c>
      <c r="C18" s="4" t="n">
        <f aca="false">(C6-B6)*Assumptions!$B$51/100</f>
        <v>385.455</v>
      </c>
      <c r="D18" s="4" t="n">
        <f aca="false">(D6-C6)*Assumptions!$B$51/100</f>
        <v>385.363225</v>
      </c>
      <c r="E18" s="4" t="n">
        <f aca="false">(E6-D6)*Assumptions!$B$51/100</f>
        <v>377.554549125</v>
      </c>
      <c r="F18" s="4" t="n">
        <f aca="false">(F6-E6)*Assumptions!$B$51/100</f>
        <v>337.35609418875</v>
      </c>
      <c r="G18" s="4" t="n">
        <f aca="false">(G6-F6)*Assumptions!$B$51/100</f>
        <v>283.620087757256</v>
      </c>
      <c r="H18" s="4" t="n">
        <f aca="false">(H6-G6)*Assumptions!$B$51/100</f>
        <v>244.815703023195</v>
      </c>
      <c r="I18" s="4" t="n">
        <f aca="false">(I6-H6)*Assumptions!$B$51/100</f>
        <v>227.406586363768</v>
      </c>
      <c r="J18" s="4" t="n">
        <f aca="false">(J6-I6)*Assumptions!$B$51/100</f>
        <v>206.939993591028</v>
      </c>
      <c r="K18" s="4" t="n">
        <f aca="false">(K6-J6)*Assumptions!$B$51/100</f>
        <v>183.58533717147</v>
      </c>
      <c r="L18" s="4" t="n">
        <f aca="false">(L6-K6)*Assumptions!$B$51/100</f>
        <v>189.092897286614</v>
      </c>
    </row>
    <row r="19" customFormat="false" ht="15" hidden="false" customHeight="false" outlineLevel="0" collapsed="false">
      <c r="A19" s="0" t="s">
        <v>128</v>
      </c>
      <c r="C19" s="0" t="n">
        <f aca="false">C15+C16+C17+C18</f>
        <v>5195.1936935</v>
      </c>
      <c r="D19" s="0" t="n">
        <f aca="false">D15+D16+D17+D18</f>
        <v>6332.957828275</v>
      </c>
      <c r="E19" s="0" t="n">
        <f aca="false">E15+E16+E17+E18</f>
        <v>7457.69509159204</v>
      </c>
      <c r="F19" s="0" t="n">
        <f aca="false">F15+F16+F17+F18</f>
        <v>8608.74919896401</v>
      </c>
      <c r="G19" s="0" t="n">
        <f aca="false">G15+G16+G17+G18</f>
        <v>9427.2145782258</v>
      </c>
      <c r="H19" s="0" t="n">
        <f aca="false">H15+H16+H17+H18</f>
        <v>10047.1766082334</v>
      </c>
      <c r="I19" s="0" t="n">
        <f aca="false">I15+I16+I17+I18</f>
        <v>10580.9100942852</v>
      </c>
      <c r="J19" s="0" t="n">
        <f aca="false">J15+J16+J17+J18</f>
        <v>10930.7714889005</v>
      </c>
      <c r="K19" s="0" t="n">
        <f aca="false">K15+K16+K17+K18</f>
        <v>11229.1317773402</v>
      </c>
      <c r="L19" s="0" t="n">
        <f aca="false">L15+L16+L17+L18</f>
        <v>11566.0057306604</v>
      </c>
    </row>
    <row r="20" customFormat="false" ht="15" hidden="false" customHeight="false" outlineLevel="0" collapsed="false">
      <c r="A20" s="0" t="s">
        <v>129</v>
      </c>
      <c r="C20" s="0" t="n">
        <f aca="false">1/(1+$B$27/100)^C4</f>
        <v>0.921658986175115</v>
      </c>
      <c r="D20" s="0" t="n">
        <f aca="false">1/(1+$B$27/100)^D4</f>
        <v>0.849455286797341</v>
      </c>
      <c r="E20" s="0" t="n">
        <f aca="false">1/(1+$B$27/100)^E4</f>
        <v>0.782908098430729</v>
      </c>
      <c r="F20" s="0" t="n">
        <f aca="false">1/(1+$B$27/100)^F4</f>
        <v>0.721574284267953</v>
      </c>
      <c r="G20" s="0" t="n">
        <f aca="false">1/(1+$B$27/100)^G4</f>
        <v>0.665045423288436</v>
      </c>
      <c r="H20" s="0" t="n">
        <f aca="false">1/(1+$B$27/100)^H4</f>
        <v>0.612945090588421</v>
      </c>
      <c r="I20" s="0" t="n">
        <f aca="false">1/(1+$B$27/100)^I4</f>
        <v>0.564926350772738</v>
      </c>
      <c r="J20" s="0" t="n">
        <f aca="false">1/(1+$B$27/100)^J4</f>
        <v>0.520669447716809</v>
      </c>
      <c r="K20" s="0" t="n">
        <f aca="false">1/(1+$B$27/100)^K4</f>
        <v>0.479879675315031</v>
      </c>
      <c r="L20" s="0" t="n">
        <f aca="false">1/(1+$B$27/100)^L4</f>
        <v>0.442285415036895</v>
      </c>
    </row>
    <row r="21" customFormat="false" ht="15" hidden="false" customHeight="false" outlineLevel="0" collapsed="false">
      <c r="A21" s="0" t="s">
        <v>130</v>
      </c>
      <c r="C21" s="0" t="n">
        <f aca="false">C19*C20</f>
        <v>4788.19695253456</v>
      </c>
      <c r="D21" s="0" t="n">
        <f aca="false">D19*D20</f>
        <v>5379.56450829281</v>
      </c>
      <c r="E21" s="0" t="n">
        <f aca="false">E19*E20</f>
        <v>5838.68988283451</v>
      </c>
      <c r="F21" s="0" t="n">
        <f aca="false">F19*F20</f>
        <v>6211.85204168477</v>
      </c>
      <c r="G21" s="0" t="n">
        <f aca="false">G19*G20</f>
        <v>6269.52590960709</v>
      </c>
      <c r="H21" s="0" t="n">
        <f aca="false">H19*H20</f>
        <v>6158.36757629149</v>
      </c>
      <c r="I21" s="0" t="n">
        <f aca="false">I19*I20</f>
        <v>5977.43492741898</v>
      </c>
      <c r="J21" s="0" t="n">
        <f aca="false">J19*J20</f>
        <v>5691.31875424446</v>
      </c>
      <c r="K21" s="0" t="n">
        <f aca="false">K19*K20</f>
        <v>5388.63211137973</v>
      </c>
      <c r="L21" s="0" t="n">
        <f aca="false">L19*L20</f>
        <v>5115.47564490426</v>
      </c>
    </row>
    <row r="23" customFormat="false" ht="15" hidden="false" customHeight="false" outlineLevel="0" collapsed="false">
      <c r="A23" s="0" t="s">
        <v>106</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131</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132</v>
      </c>
    </row>
    <row r="27" customFormat="false" ht="15" hidden="false" customHeight="false" outlineLevel="0" collapsed="false">
      <c r="A27" s="0" t="s">
        <v>110</v>
      </c>
      <c r="B27" s="4" t="n">
        <f aca="false">Assumptions!$B$48</f>
        <v>8.5</v>
      </c>
    </row>
    <row r="28" customFormat="false" ht="15" hidden="false" customHeight="false" outlineLevel="0" collapsed="false">
      <c r="A28" s="0" t="s">
        <v>111</v>
      </c>
      <c r="B28" s="4" t="n">
        <f aca="false">Assumptions!$B$49</f>
        <v>2.5</v>
      </c>
    </row>
    <row r="29" customFormat="false" ht="15" hidden="false" customHeight="false" outlineLevel="0" collapsed="false">
      <c r="A29" s="0" t="s">
        <v>112</v>
      </c>
      <c r="B29" s="4" t="n">
        <f aca="false">Assumptions!$B$50</f>
        <v>18</v>
      </c>
    </row>
    <row r="30" customFormat="false" ht="15" hidden="false" customHeight="false" outlineLevel="0" collapsed="false">
      <c r="A30" s="0" t="s">
        <v>133</v>
      </c>
      <c r="B30" s="0" t="n">
        <f aca="false">SUM(C21:L21)</f>
        <v>56819.0583091927</v>
      </c>
    </row>
    <row r="31" customFormat="false" ht="15" hidden="false" customHeight="false" outlineLevel="0" collapsed="false">
      <c r="A31" s="0" t="s">
        <v>134</v>
      </c>
      <c r="B31" s="0" t="n">
        <f aca="false">L19</f>
        <v>11566.0057306604</v>
      </c>
    </row>
    <row r="32" customFormat="false" ht="15" hidden="false" customHeight="false" outlineLevel="0" collapsed="false">
      <c r="A32" s="0" t="s">
        <v>135</v>
      </c>
      <c r="B32" s="0" t="n">
        <f aca="false">IF(B27&gt;B28,B31*(1+B28/100)/((B27-B28)/100),B31*B29)</f>
        <v>197585.931232116</v>
      </c>
    </row>
    <row r="33" customFormat="false" ht="15" hidden="false" customHeight="false" outlineLevel="0" collapsed="false">
      <c r="A33" s="0" t="s">
        <v>136</v>
      </c>
      <c r="B33" s="0" t="n">
        <f aca="false">B31*B29</f>
        <v>208188.103151888</v>
      </c>
    </row>
    <row r="34" customFormat="false" ht="15" hidden="false" customHeight="false" outlineLevel="0" collapsed="false">
      <c r="A34" s="0" t="s">
        <v>137</v>
      </c>
      <c r="B34" s="0" t="n">
        <f aca="false">MAX(0,MIN(B32,B33))</f>
        <v>197585.931232116</v>
      </c>
    </row>
    <row r="35" customFormat="false" ht="15" hidden="false" customHeight="false" outlineLevel="0" collapsed="false">
      <c r="A35" s="0" t="s">
        <v>138</v>
      </c>
      <c r="B35" s="0" t="n">
        <f aca="false">B34/(1+B27/100)^L4</f>
        <v>87389.3756004477</v>
      </c>
    </row>
    <row r="36" customFormat="false" ht="15" hidden="false" customHeight="false" outlineLevel="0" collapsed="false">
      <c r="A36" s="0" t="s">
        <v>139</v>
      </c>
      <c r="B36" s="0" t="n">
        <f aca="false">B30+B35</f>
        <v>144208.43390964</v>
      </c>
    </row>
    <row r="37" customFormat="false" ht="15" hidden="false" customHeight="false" outlineLevel="0" collapsed="false">
      <c r="A37" s="0" t="s">
        <v>140</v>
      </c>
      <c r="B37" s="0" t="n">
        <f aca="false">B36+Assumptions!$B$5-Assumptions!$B$4</f>
        <v>153158.43390964</v>
      </c>
    </row>
    <row r="38" customFormat="false" ht="15" hidden="false" customHeight="false" outlineLevel="0" collapsed="false">
      <c r="A38" s="0" t="s">
        <v>141</v>
      </c>
      <c r="B38" s="0" t="n">
        <f aca="false">B37/Assumptions!$B$3*Assumptions!$B$10</f>
        <v>193.905798381536</v>
      </c>
    </row>
    <row r="39" customFormat="false" ht="15" hidden="false" customHeight="false" outlineLevel="0" collapsed="false">
      <c r="A39" s="0" t="s">
        <v>142</v>
      </c>
      <c r="B39" s="4" t="n">
        <f aca="false">B38/Assumptions!$B$2-1</f>
        <v>0.00751220192006863</v>
      </c>
    </row>
    <row r="41" customFormat="false" ht="15" hidden="false" customHeight="false" outlineLevel="0" collapsed="false">
      <c r="A41" s="0" t="s">
        <v>143</v>
      </c>
      <c r="B41" s="0" t="n">
        <f aca="false">SUMPRODUCT(-C10:L10/(1+$B$27/100)^C4:L4)</f>
        <v>3107.80750712428</v>
      </c>
    </row>
    <row r="42" customFormat="false" ht="15" hidden="false" customHeight="false" outlineLevel="0" collapsed="false">
      <c r="A42" s="0" t="s">
        <v>144</v>
      </c>
      <c r="B42" s="0" t="n">
        <f aca="false">IF(B27&gt;B28,-L10*(1+B28/100)/((B27-B28)/100),-L10*20)/(1+B27/100)^L4</f>
        <v>4414.77860052442</v>
      </c>
    </row>
    <row r="43" customFormat="false" ht="15" hidden="false" customHeight="false" outlineLevel="0" collapsed="false">
      <c r="A43" s="0" t="s">
        <v>145</v>
      </c>
      <c r="B43" s="0" t="n">
        <f aca="false">(B37+B41+B42)/Assumptions!$B$3*Assumptions!$B$10</f>
        <v>203.429747065669</v>
      </c>
    </row>
    <row r="45" customFormat="false" ht="15" hidden="false" customHeight="false" outlineLevel="0" collapsed="false">
      <c r="A45" s="0" t="s">
        <v>86</v>
      </c>
      <c r="B45" s="4" t="n">
        <f aca="false">Assumptions!$B$6</f>
        <v>15</v>
      </c>
    </row>
    <row r="46" customFormat="false" ht="15" hidden="false" customHeight="false" outlineLevel="0" collapsed="false">
      <c r="A46" s="0" t="s">
        <v>146</v>
      </c>
      <c r="B46" s="0" t="n">
        <f aca="false">MAX(0,MIN(IF(B45&gt;B28,B31*(1+B28/100)/((B45-B28)/100),B31*B29),B31*B29))</f>
        <v>94841.2469914155</v>
      </c>
    </row>
    <row r="47" customFormat="false" ht="15" hidden="false" customHeight="false" outlineLevel="0" collapsed="false">
      <c r="A47" s="0" t="s">
        <v>147</v>
      </c>
      <c r="B47" s="0" t="n">
        <f aca="false">(SUMPRODUCT(C19:L19/(1+B45/100)^C4:L4)+B46/(1+B45/100)^L4+Assumptions!$B$5-Assumptions!$B$4)/Assumptions!$B$3*Assumptions!$B$10</f>
        <v>93.8872651201312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150</v>
      </c>
    </row>
    <row r="3" customFormat="false" ht="15" hidden="false" customHeight="false" outlineLevel="0" collapsed="false">
      <c r="A3" s="2" t="s">
        <v>151</v>
      </c>
      <c r="B3" s="2" t="s">
        <v>152</v>
      </c>
      <c r="C3" s="2" t="s">
        <v>142</v>
      </c>
      <c r="D3" s="2" t="s">
        <v>153</v>
      </c>
      <c r="E3" s="2" t="s">
        <v>145</v>
      </c>
      <c r="F3" s="2" t="s">
        <v>154</v>
      </c>
    </row>
    <row r="4" customFormat="false" ht="15" hidden="false" customHeight="false" outlineLevel="0" collapsed="false">
      <c r="A4" s="0" t="s">
        <v>155</v>
      </c>
      <c r="B4" s="4" t="n">
        <f aca="false">DCF_Bear!$B$38</f>
        <v>98.3261264237308</v>
      </c>
      <c r="C4" s="0" t="n">
        <f aca="false">B4/Assumptions!$B$2-1</f>
        <v>-0.489108768451986</v>
      </c>
      <c r="D4" s="4" t="n">
        <f aca="false">Assumptions!$B$24</f>
        <v>0.25</v>
      </c>
      <c r="E4" s="4" t="n">
        <f aca="false">DCF_Bear!$B$43</f>
        <v>105.674159775157</v>
      </c>
      <c r="F4" s="4" t="n">
        <f aca="false">DCF_Bear!$B$47</f>
        <v>52.9003737145385</v>
      </c>
    </row>
    <row r="5" customFormat="false" ht="15" hidden="false" customHeight="false" outlineLevel="0" collapsed="false">
      <c r="A5" s="0" t="s">
        <v>156</v>
      </c>
      <c r="B5" s="4" t="n">
        <f aca="false">DCF_Base!$B$38</f>
        <v>153.342637554555</v>
      </c>
      <c r="C5" s="0" t="n">
        <f aca="false">B5/Assumptions!$B$2-1</f>
        <v>-0.203249311261793</v>
      </c>
      <c r="D5" s="4" t="n">
        <f aca="false">Assumptions!$B$38</f>
        <v>0.5</v>
      </c>
      <c r="E5" s="4" t="n">
        <f aca="false">DCF_Base!$B$43</f>
        <v>162.119761430822</v>
      </c>
      <c r="F5" s="4" t="n">
        <f aca="false">DCF_Base!$B$47</f>
        <v>76.0725802322447</v>
      </c>
    </row>
    <row r="6" customFormat="false" ht="15" hidden="false" customHeight="false" outlineLevel="0" collapsed="false">
      <c r="A6" s="0" t="s">
        <v>157</v>
      </c>
      <c r="B6" s="4" t="n">
        <f aca="false">DCF_Bull!$B$38</f>
        <v>193.905798381536</v>
      </c>
      <c r="C6" s="0" t="n">
        <f aca="false">B6/Assumptions!$B$2-1</f>
        <v>0.00751220192006863</v>
      </c>
      <c r="D6" s="4" t="n">
        <f aca="false">Assumptions!$B$52</f>
        <v>0.25</v>
      </c>
      <c r="E6" s="4" t="n">
        <f aca="false">DCF_Bull!$B$43</f>
        <v>203.429747065669</v>
      </c>
      <c r="F6" s="4" t="n">
        <f aca="false">DCF_Bull!$B$47</f>
        <v>93.8872651201312</v>
      </c>
    </row>
    <row r="8" customFormat="false" ht="15" hidden="false" customHeight="false" outlineLevel="0" collapsed="false">
      <c r="A8" s="0" t="s">
        <v>158</v>
      </c>
      <c r="B8" s="0" t="n">
        <f aca="false">SUMPRODUCT(B4:B6,D4:D6)</f>
        <v>149.729299978595</v>
      </c>
    </row>
    <row r="9" customFormat="false" ht="15" hidden="false" customHeight="false" outlineLevel="0" collapsed="false">
      <c r="A9" s="0" t="s">
        <v>159</v>
      </c>
      <c r="B9" s="0" t="n">
        <f aca="false">SUMPRODUCT(E4:E6,D4:D6)</f>
        <v>158.335857425618</v>
      </c>
    </row>
    <row r="10" customFormat="false" ht="15" hidden="false" customHeight="false" outlineLevel="0" collapsed="false">
      <c r="A10" s="0" t="s">
        <v>160</v>
      </c>
      <c r="B10" s="0" t="n">
        <f aca="false">1-Assumptions!$B$2/B8</f>
        <v>-0.285386360769164</v>
      </c>
    </row>
    <row r="11" customFormat="false" ht="15" hidden="false" customHeight="false" outlineLevel="0" collapsed="false">
      <c r="A11" s="0" t="s">
        <v>161</v>
      </c>
      <c r="B11" s="0" t="n">
        <f aca="false">IF(ABS(B9-B8)&gt;0.01*ABS(B8),(Assumptions!$B$2-B8)/(B9-B8)*100,"n/a")</f>
        <v>496.49003430734</v>
      </c>
    </row>
    <row r="12" customFormat="false" ht="15" hidden="false" customHeight="false" outlineLevel="0" collapsed="false">
      <c r="A12" s="0" t="s">
        <v>162</v>
      </c>
      <c r="B12" s="0" t="n">
        <f aca="false">SUMPRODUCT(F4:F6,D4:D6)</f>
        <v>74.7331998247898</v>
      </c>
    </row>
    <row r="14" customFormat="false" ht="15" hidden="false" customHeight="false" outlineLevel="0" collapsed="false">
      <c r="A14" s="2" t="s">
        <v>163</v>
      </c>
      <c r="C14" s="0" t="s">
        <v>164</v>
      </c>
    </row>
    <row r="15" customFormat="false" ht="15" hidden="false" customHeight="false" outlineLevel="0" collapsed="false">
      <c r="A15" s="0" t="s">
        <v>165</v>
      </c>
      <c r="B15" s="0" t="n">
        <f aca="false">(SUMPRODUCT(DCF_Base!$C$19:$L$19/(1+$C$15/100)^DCF_Base!$C$4:$L$4)+MAX(0,MIN(IF($C$15&gt;DCF_Base!$B$28,DCF_Base!$L$19*(1+DCF_Base!$B$28/100)/(($C$15-DCF_Base!$B$28)/100),DCF_Base!$L$19*DCF_Base!$B$29),DCF_Base!$L$19*DCF_Base!$B$29))/(1+$C$15/100)^DCF_Base!$L$4+Assumptions!$B$5-Assumptions!$B$4)/Assumptions!$B$3*Assumptions!$B$10</f>
        <v>153.342637554555</v>
      </c>
      <c r="C15" s="3" t="n">
        <v>8.5</v>
      </c>
    </row>
    <row r="16" customFormat="false" ht="15" hidden="false" customHeight="false" outlineLevel="0" collapsed="false">
      <c r="A16" s="0" t="s">
        <v>166</v>
      </c>
      <c r="B16" s="0" t="n">
        <f aca="false">(SUMPRODUCT(DCF_Base!$C$19:$L$19/(1+$C$16/100)^DCF_Base!$C$4:$L$4)+MAX(0,MIN(IF($C$16&gt;DCF_Base!$B$28,DCF_Base!$L$19*(1+DCF_Base!$B$28/100)/(($C$16-DCF_Base!$B$28)/100),DCF_Base!$L$19*DCF_Base!$B$29),DCF_Base!$L$19*DCF_Base!$B$29))/(1+$C$16/100)^DCF_Base!$L$4+Assumptions!$B$5-Assumptions!$B$4)/Assumptions!$B$3*Assumptions!$B$10</f>
        <v>141.843307831676</v>
      </c>
      <c r="C16" s="3" t="n">
        <v>9</v>
      </c>
    </row>
    <row r="17" customFormat="false" ht="15" hidden="false" customHeight="false" outlineLevel="0" collapsed="false">
      <c r="A17" s="0" t="s">
        <v>167</v>
      </c>
      <c r="B17" s="0" t="n">
        <f aca="false">(SUMPRODUCT(DCF_Base!$C$19:$L$19/(1+$C$17/100)^DCF_Base!$C$4:$L$4)+MAX(0,MIN(IF($C$17&gt;DCF_Base!$B$28,DCF_Base!$L$19*(1+DCF_Base!$B$28/100)/(($C$17-DCF_Base!$B$28)/100),DCF_Base!$L$19*DCF_Base!$B$29),DCF_Base!$L$19*DCF_Base!$B$29))/(1+$C$17/100)^DCF_Base!$L$4+Assumptions!$B$5-Assumptions!$B$4)/Assumptions!$B$3*Assumptions!$B$10</f>
        <v>123.477213970217</v>
      </c>
      <c r="C17" s="3" t="n">
        <v>10</v>
      </c>
    </row>
    <row r="18" customFormat="false" ht="15" hidden="false" customHeight="false" outlineLevel="0" collapsed="false">
      <c r="A18" s="0" t="s">
        <v>168</v>
      </c>
      <c r="B18" s="0" t="n">
        <f aca="false">(SUMPRODUCT(DCF_Base!$C$19:$L$19/(1+$C$18/100)^DCF_Base!$C$4:$L$4)+MAX(0,MIN(IF($C$18&gt;DCF_Base!$B$28,DCF_Base!$L$19*(1+DCF_Base!$B$28/100)/(($C$18-DCF_Base!$B$28)/100),DCF_Base!$L$19*DCF_Base!$B$29),DCF_Base!$L$19*DCF_Base!$B$29))/(1+$C$18/100)^DCF_Base!$L$4+Assumptions!$B$5-Assumptions!$B$4)/Assumptions!$B$3*Assumptions!$B$10</f>
        <v>109.469287300767</v>
      </c>
      <c r="C18" s="3" t="n">
        <v>11</v>
      </c>
    </row>
    <row r="19" customFormat="false" ht="15" hidden="false" customHeight="false" outlineLevel="0" collapsed="false">
      <c r="A19" s="0" t="s">
        <v>169</v>
      </c>
      <c r="B19" s="0" t="n">
        <f aca="false">(SUMPRODUCT(DCF_Base!$C$19:$L$19/(1+$C$19/100)^DCF_Base!$C$4:$L$4)+MAX(0,MIN(IF($C$19&gt;DCF_Base!$B$28,DCF_Base!$L$19*(1+DCF_Base!$B$28/100)/(($C$19-DCF_Base!$B$28)/100),DCF_Base!$L$19*DCF_Base!$B$29),DCF_Base!$L$19*DCF_Base!$B$29))/(1+$C$19/100)^DCF_Base!$L$4+Assumptions!$B$5-Assumptions!$B$4)/Assumptions!$B$3*Assumptions!$B$10</f>
        <v>98.4413588404164</v>
      </c>
      <c r="C19" s="3" t="n">
        <v>12</v>
      </c>
    </row>
    <row r="20" customFormat="false" ht="15" hidden="false" customHeight="false" outlineLevel="0" collapsed="false">
      <c r="A20" s="0" t="s">
        <v>170</v>
      </c>
      <c r="B20" s="0" t="n">
        <f aca="false">(SUMPRODUCT(DCF_Base!$C$19:$L$19/(1+$C$20/100)^DCF_Base!$C$4:$L$4)+MAX(0,MIN(IF($C$20&gt;DCF_Base!$B$28,DCF_Base!$L$19*(1+DCF_Base!$B$28/100)/(($C$20-DCF_Base!$B$28)/100),DCF_Base!$L$19*DCF_Base!$B$29),DCF_Base!$L$19*DCF_Base!$B$29))/(1+$C$20/100)^DCF_Base!$L$4+Assumptions!$B$5-Assumptions!$B$4)/Assumptions!$B$3*Assumptions!$B$10</f>
        <v>76.0725802322447</v>
      </c>
      <c r="C20" s="3" t="n">
        <v>15</v>
      </c>
    </row>
    <row r="22" customFormat="false" ht="15" hidden="false" customHeight="false" outlineLevel="0" collapsed="false">
      <c r="A22" s="2" t="s">
        <v>171</v>
      </c>
    </row>
    <row r="23" customFormat="false" ht="15" hidden="false" customHeight="false" outlineLevel="0" collapsed="false">
      <c r="B23" s="3" t="n">
        <v>1.5</v>
      </c>
      <c r="C23" s="3" t="n">
        <v>2</v>
      </c>
      <c r="D23" s="3" t="n">
        <v>2.5</v>
      </c>
      <c r="E23" s="3" t="n">
        <v>3</v>
      </c>
      <c r="F23" s="3" t="n">
        <v>3.5</v>
      </c>
    </row>
    <row r="24" customFormat="false" ht="15" hidden="false" customHeight="false" outlineLevel="0" collapsed="false">
      <c r="A24" s="3" t="n">
        <v>6.5</v>
      </c>
      <c r="B24" s="0" t="n">
        <f aca="false">(SUMPRODUCT(DCF_Base!$C$19:$L$19/(1+$A$24/100)^DCF_Base!$C$4:$L$4)+MAX(0,MIN(IF($A$24&gt;$B$23,DCF_Base!$L$19*(1+$B$23/100)/(($A$24-$B$23)/100),DCF_Base!$L$19*DCF_Base!$B$29),DCF_Base!$L$19*DCF_Base!$B$29))/(1+$A$24/100)^DCF_Base!$L$4+Assumptions!$B$5-Assumptions!$B$4)/Assumptions!$B$3*Assumptions!$B$10</f>
        <v>182.426019036807</v>
      </c>
      <c r="C24" s="0" t="n">
        <f aca="false">(SUMPRODUCT(DCF_Base!$C$19:$L$19/(1+$A$24/100)^DCF_Base!$C$4:$L$4)+MAX(0,MIN(IF($A$24&gt;$C$23,DCF_Base!$L$19*(1+$C$23/100)/(($A$24-$C$23)/100),DCF_Base!$L$19*DCF_Base!$B$29),DCF_Base!$L$19*DCF_Base!$B$29))/(1+$A$24/100)^DCF_Base!$L$4+Assumptions!$B$5-Assumptions!$B$4)/Assumptions!$B$3*Assumptions!$B$10</f>
        <v>182.426019036807</v>
      </c>
      <c r="D24" s="0" t="n">
        <f aca="false">(SUMPRODUCT(DCF_Base!$C$19:$L$19/(1+$A$24/100)^DCF_Base!$C$4:$L$4)+MAX(0,MIN(IF($A$24&gt;$D$23,DCF_Base!$L$19*(1+$D$23/100)/(($A$24-$D$23)/100),DCF_Base!$L$19*DCF_Base!$B$29),DCF_Base!$L$19*DCF_Base!$B$29))/(1+$A$24/100)^DCF_Base!$L$4+Assumptions!$B$5-Assumptions!$B$4)/Assumptions!$B$3*Assumptions!$B$10</f>
        <v>182.426019036807</v>
      </c>
      <c r="E24" s="0" t="n">
        <f aca="false">(SUMPRODUCT(DCF_Base!$C$19:$L$19/(1+$A$24/100)^DCF_Base!$C$4:$L$4)+MAX(0,MIN(IF($A$24&gt;$E$23,DCF_Base!$L$19*(1+$E$23/100)/(($A$24-$E$23)/100),DCF_Base!$L$19*DCF_Base!$B$29),DCF_Base!$L$19*DCF_Base!$B$29))/(1+$A$24/100)^DCF_Base!$L$4+Assumptions!$B$5-Assumptions!$B$4)/Assumptions!$B$3*Assumptions!$B$10</f>
        <v>182.426019036807</v>
      </c>
      <c r="F24" s="0" t="n">
        <f aca="false">(SUMPRODUCT(DCF_Base!$C$19:$L$19/(1+$A$24/100)^DCF_Base!$C$4:$L$4)+MAX(0,MIN(IF($A$24&gt;$F$23,DCF_Base!$L$19*(1+$F$23/100)/(($A$24-$F$23)/100),DCF_Base!$L$19*DCF_Base!$B$29),DCF_Base!$L$19*DCF_Base!$B$29))/(1+$A$24/100)^DCF_Base!$L$4+Assumptions!$B$5-Assumptions!$B$4)/Assumptions!$B$3*Assumptions!$B$10</f>
        <v>182.426019036807</v>
      </c>
    </row>
    <row r="25" customFormat="false" ht="15" hidden="false" customHeight="false" outlineLevel="0" collapsed="false">
      <c r="A25" s="3" t="n">
        <v>7.5</v>
      </c>
      <c r="B25" s="0" t="n">
        <f aca="false">(SUMPRODUCT(DCF_Base!$C$19:$L$19/(1+$A$25/100)^DCF_Base!$C$4:$L$4)+MAX(0,MIN(IF($A$25&gt;$B$23,DCF_Base!$L$19*(1+$B$23/100)/(($A$25-$B$23)/100),DCF_Base!$L$19*DCF_Base!$B$29),DCF_Base!$L$19*DCF_Base!$B$29))/(1+$A$25/100)^DCF_Base!$L$4+Assumptions!$B$5-Assumptions!$B$4)/Assumptions!$B$3*Assumptions!$B$10</f>
        <v>163.654197306215</v>
      </c>
      <c r="C25" s="0" t="n">
        <f aca="false">(SUMPRODUCT(DCF_Base!$C$19:$L$19/(1+$A$25/100)^DCF_Base!$C$4:$L$4)+MAX(0,MIN(IF($A$25&gt;$C$23,DCF_Base!$L$19*(1+$C$23/100)/(($A$25-$C$23)/100),DCF_Base!$L$19*DCF_Base!$B$29),DCF_Base!$L$19*DCF_Base!$B$29))/(1+$A$25/100)^DCF_Base!$L$4+Assumptions!$B$5-Assumptions!$B$4)/Assumptions!$B$3*Assumptions!$B$10</f>
        <v>169.591426959147</v>
      </c>
      <c r="D25" s="0" t="n">
        <f aca="false">(SUMPRODUCT(DCF_Base!$C$19:$L$19/(1+$A$25/100)^DCF_Base!$C$4:$L$4)+MAX(0,MIN(IF($A$25&gt;$D$23,DCF_Base!$L$19*(1+$D$23/100)/(($A$25-$D$23)/100),DCF_Base!$L$19*DCF_Base!$B$29),DCF_Base!$L$19*DCF_Base!$B$29))/(1+$A$25/100)^DCF_Base!$L$4+Assumptions!$B$5-Assumptions!$B$4)/Assumptions!$B$3*Assumptions!$B$10</f>
        <v>169.591426959147</v>
      </c>
      <c r="E25" s="0" t="n">
        <f aca="false">(SUMPRODUCT(DCF_Base!$C$19:$L$19/(1+$A$25/100)^DCF_Base!$C$4:$L$4)+MAX(0,MIN(IF($A$25&gt;$E$23,DCF_Base!$L$19*(1+$E$23/100)/(($A$25-$E$23)/100),DCF_Base!$L$19*DCF_Base!$B$29),DCF_Base!$L$19*DCF_Base!$B$29))/(1+$A$25/100)^DCF_Base!$L$4+Assumptions!$B$5-Assumptions!$B$4)/Assumptions!$B$3*Assumptions!$B$10</f>
        <v>169.591426959147</v>
      </c>
      <c r="F25" s="0" t="n">
        <f aca="false">(SUMPRODUCT(DCF_Base!$C$19:$L$19/(1+$A$25/100)^DCF_Base!$C$4:$L$4)+MAX(0,MIN(IF($A$25&gt;$F$23,DCF_Base!$L$19*(1+$F$23/100)/(($A$25-$F$23)/100),DCF_Base!$L$19*DCF_Base!$B$29),DCF_Base!$L$19*DCF_Base!$B$29))/(1+$A$25/100)^DCF_Base!$L$4+Assumptions!$B$5-Assumptions!$B$4)/Assumptions!$B$3*Assumptions!$B$10</f>
        <v>169.591426959147</v>
      </c>
    </row>
    <row r="26" customFormat="false" ht="15" hidden="false" customHeight="false" outlineLevel="0" collapsed="false">
      <c r="A26" s="3" t="n">
        <v>8.5</v>
      </c>
      <c r="B26" s="0" t="n">
        <f aca="false">(SUMPRODUCT(DCF_Base!$C$19:$L$19/(1+$A$26/100)^DCF_Base!$C$4:$L$4)+MAX(0,MIN(IF($A$26&gt;$B$23,DCF_Base!$L$19*(1+$B$23/100)/(($A$26-$B$23)/100),DCF_Base!$L$19*DCF_Base!$B$29),DCF_Base!$L$19*DCF_Base!$B$29))/(1+$A$26/100)^DCF_Base!$L$4+Assumptions!$B$5-Assumptions!$B$4)/Assumptions!$B$3*Assumptions!$B$10</f>
        <v>140.436703251499</v>
      </c>
      <c r="C26" s="0" t="n">
        <f aca="false">(SUMPRODUCT(DCF_Base!$C$19:$L$19/(1+$A$26/100)^DCF_Base!$C$4:$L$4)+MAX(0,MIN(IF($A$26&gt;$C$23,DCF_Base!$L$19*(1+$C$23/100)/(($A$26-$C$23)/100),DCF_Base!$L$19*DCF_Base!$B$29),DCF_Base!$L$19*DCF_Base!$B$29))/(1+$A$26/100)^DCF_Base!$L$4+Assumptions!$B$5-Assumptions!$B$4)/Assumptions!$B$3*Assumptions!$B$10</f>
        <v>146.393288314448</v>
      </c>
      <c r="D26" s="0" t="n">
        <f aca="false">(SUMPRODUCT(DCF_Base!$C$19:$L$19/(1+$A$26/100)^DCF_Base!$C$4:$L$4)+MAX(0,MIN(IF($A$26&gt;$D$23,DCF_Base!$L$19*(1+$D$23/100)/(($A$26-$D$23)/100),DCF_Base!$L$19*DCF_Base!$B$29),DCF_Base!$L$19*DCF_Base!$B$29))/(1+$A$26/100)^DCF_Base!$L$4+Assumptions!$B$5-Assumptions!$B$4)/Assumptions!$B$3*Assumptions!$B$10</f>
        <v>153.342637554555</v>
      </c>
      <c r="E26" s="0" t="n">
        <f aca="false">(SUMPRODUCT(DCF_Base!$C$19:$L$19/(1+$A$26/100)^DCF_Base!$C$4:$L$4)+MAX(0,MIN(IF($A$26&gt;$E$23,DCF_Base!$L$19*(1+$E$23/100)/(($A$26-$E$23)/100),DCF_Base!$L$19*DCF_Base!$B$29),DCF_Base!$L$19*DCF_Base!$B$29))/(1+$A$26/100)^DCF_Base!$L$4+Assumptions!$B$5-Assumptions!$B$4)/Assumptions!$B$3*Assumptions!$B$10</f>
        <v>157.922162629833</v>
      </c>
      <c r="F26" s="0" t="n">
        <f aca="false">(SUMPRODUCT(DCF_Base!$C$19:$L$19/(1+$A$26/100)^DCF_Base!$C$4:$L$4)+MAX(0,MIN(IF($A$26&gt;$F$23,DCF_Base!$L$19*(1+$F$23/100)/(($A$26-$F$23)/100),DCF_Base!$L$19*DCF_Base!$B$29),DCF_Base!$L$19*DCF_Base!$B$29))/(1+$A$26/100)^DCF_Base!$L$4+Assumptions!$B$5-Assumptions!$B$4)/Assumptions!$B$3*Assumptions!$B$10</f>
        <v>157.922162629833</v>
      </c>
    </row>
    <row r="27" customFormat="false" ht="15" hidden="false" customHeight="false" outlineLevel="0" collapsed="false">
      <c r="A27" s="3" t="n">
        <v>9.5</v>
      </c>
      <c r="B27" s="0" t="n">
        <f aca="false">(SUMPRODUCT(DCF_Base!$C$19:$L$19/(1+$A$27/100)^DCF_Base!$C$4:$L$4)+MAX(0,MIN(IF($A$27&gt;$B$23,DCF_Base!$L$19*(1+$B$23/100)/(($A$27-$B$23)/100),DCF_Base!$L$19*DCF_Base!$B$29),DCF_Base!$L$19*DCF_Base!$B$29))/(1+$A$27/100)^DCF_Base!$L$4+Assumptions!$B$5-Assumptions!$B$4)/Assumptions!$B$3*Assumptions!$B$10</f>
        <v>123.086253570124</v>
      </c>
      <c r="C27" s="0" t="n">
        <f aca="false">(SUMPRODUCT(DCF_Base!$C$19:$L$19/(1+$A$27/100)^DCF_Base!$C$4:$L$4)+MAX(0,MIN(IF($A$27&gt;$C$23,DCF_Base!$L$19*(1+$C$23/100)/(($A$27-$C$23)/100),DCF_Base!$L$19*DCF_Base!$B$29),DCF_Base!$L$19*DCF_Base!$B$29))/(1+$A$27/100)^DCF_Base!$L$4+Assumptions!$B$5-Assumptions!$B$4)/Assumptions!$B$3*Assumptions!$B$10</f>
        <v>127.245341148516</v>
      </c>
      <c r="D27" s="0" t="n">
        <f aca="false">(SUMPRODUCT(DCF_Base!$C$19:$L$19/(1+$A$27/100)^DCF_Base!$C$4:$L$4)+MAX(0,MIN(IF($A$27&gt;$D$23,DCF_Base!$L$19*(1+$D$23/100)/(($A$27-$D$23)/100),DCF_Base!$L$19*DCF_Base!$B$29),DCF_Base!$L$19*DCF_Base!$B$29))/(1+$A$27/100)^DCF_Base!$L$4+Assumptions!$B$5-Assumptions!$B$4)/Assumptions!$B$3*Assumptions!$B$10</f>
        <v>131.998584095249</v>
      </c>
      <c r="E27" s="0" t="n">
        <f aca="false">(SUMPRODUCT(DCF_Base!$C$19:$L$19/(1+$A$27/100)^DCF_Base!$C$4:$L$4)+MAX(0,MIN(IF($A$27&gt;$E$23,DCF_Base!$L$19*(1+$E$23/100)/(($A$27-$E$23)/100),DCF_Base!$L$19*DCF_Base!$B$29),DCF_Base!$L$19*DCF_Base!$B$29))/(1+$A$27/100)^DCF_Base!$L$4+Assumptions!$B$5-Assumptions!$B$4)/Assumptions!$B$3*Assumptions!$B$10</f>
        <v>137.483095187634</v>
      </c>
      <c r="F27" s="0" t="n">
        <f aca="false">(SUMPRODUCT(DCF_Base!$C$19:$L$19/(1+$A$27/100)^DCF_Base!$C$4:$L$4)+MAX(0,MIN(IF($A$27&gt;$F$23,DCF_Base!$L$19*(1+$F$23/100)/(($A$27-$F$23)/100),DCF_Base!$L$19*DCF_Base!$B$29),DCF_Base!$L$19*DCF_Base!$B$29))/(1+$A$27/100)^DCF_Base!$L$4+Assumptions!$B$5-Assumptions!$B$4)/Assumptions!$B$3*Assumptions!$B$10</f>
        <v>143.881691462082</v>
      </c>
    </row>
    <row r="28" customFormat="false" ht="15" hidden="false" customHeight="false" outlineLevel="0" collapsed="false">
      <c r="A28" s="3" t="n">
        <v>10.5</v>
      </c>
      <c r="B28" s="0" t="n">
        <f aca="false">(SUMPRODUCT(DCF_Base!$C$19:$L$19/(1+$A$28/100)^DCF_Base!$C$4:$L$4)+MAX(0,MIN(IF($A$28&gt;$B$23,DCF_Base!$L$19*(1+$B$23/100)/(($A$28-$B$23)/100),DCF_Base!$L$19*DCF_Base!$B$29),DCF_Base!$L$19*DCF_Base!$B$29))/(1+$A$28/100)^DCF_Base!$L$4+Assumptions!$B$5-Assumptions!$B$4)/Assumptions!$B$3*Assumptions!$B$10</f>
        <v>109.643527446424</v>
      </c>
      <c r="C28" s="0" t="n">
        <f aca="false">(SUMPRODUCT(DCF_Base!$C$19:$L$19/(1+$A$28/100)^DCF_Base!$C$4:$L$4)+MAX(0,MIN(IF($A$28&gt;$C$23,DCF_Base!$L$19*(1+$C$23/100)/(($A$28-$C$23)/100),DCF_Base!$L$19*DCF_Base!$B$29),DCF_Base!$L$19*DCF_Base!$B$29))/(1+$A$28/100)^DCF_Base!$L$4+Assumptions!$B$5-Assumptions!$B$4)/Assumptions!$B$3*Assumptions!$B$10</f>
        <v>112.649288487479</v>
      </c>
      <c r="D28" s="0" t="n">
        <f aca="false">(SUMPRODUCT(DCF_Base!$C$19:$L$19/(1+$A$28/100)^DCF_Base!$C$4:$L$4)+MAX(0,MIN(IF($A$28&gt;$D$23,DCF_Base!$L$19*(1+$D$23/100)/(($A$28-$D$23)/100),DCF_Base!$L$19*DCF_Base!$B$29),DCF_Base!$L$19*DCF_Base!$B$29))/(1+$A$28/100)^DCF_Base!$L$4+Assumptions!$B$5-Assumptions!$B$4)/Assumptions!$B$3*Assumptions!$B$10</f>
        <v>116.030769658665</v>
      </c>
      <c r="E28" s="0" t="n">
        <f aca="false">(SUMPRODUCT(DCF_Base!$C$19:$L$19/(1+$A$28/100)^DCF_Base!$C$4:$L$4)+MAX(0,MIN(IF($A$28&gt;$E$23,DCF_Base!$L$19*(1+$E$23/100)/(($A$28-$E$23)/100),DCF_Base!$L$19*DCF_Base!$B$29),DCF_Base!$L$19*DCF_Base!$B$29))/(1+$A$28/100)^DCF_Base!$L$4+Assumptions!$B$5-Assumptions!$B$4)/Assumptions!$B$3*Assumptions!$B$10</f>
        <v>119.863114986011</v>
      </c>
      <c r="F28" s="0" t="n">
        <f aca="false">(SUMPRODUCT(DCF_Base!$C$19:$L$19/(1+$A$28/100)^DCF_Base!$C$4:$L$4)+MAX(0,MIN(IF($A$28&gt;$F$23,DCF_Base!$L$19*(1+$F$23/100)/(($A$28-$F$23)/100),DCF_Base!$L$19*DCF_Base!$B$29),DCF_Base!$L$19*DCF_Base!$B$29))/(1+$A$28/100)^DCF_Base!$L$4+Assumptions!$B$5-Assumptions!$B$4)/Assumptions!$B$3*Assumptions!$B$10</f>
        <v>124.242938217262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2026-10-25T09:02:08Z</dcterms:created>
  <dc:creator>openpyxl</dc:creator>
  <dc:description/>
  <dc:language>en-NZ</dc:language>
  <cp:lastModifiedBy/>
  <dcterms:modified xsi:type="dcterms:W3CDTF">2026-10-25T09:02:08Z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