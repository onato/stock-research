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<sst xmlns="http://schemas.openxmlformats.org/spreadsheetml/2006/main" count="363" uniqueCount="166">
  <si>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</si>
  <si>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FME.DE</t>
  </si>
  <si>
    <t xml:space="preserve">Company</t>
  </si>
  <si>
    <t xml:space="preserve">Fresenius Medical Care AG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</si>
  <si>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</si>
  <si>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</si>
  <si>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</si>
  <si>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</si>
  <si>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2026-10-23T15:35:53Z (Xetra regular close,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</si>
  <si>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</si>
  <si>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</si>
  <si>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</si>
  <si>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</si>
  <si>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</si>
  <si>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</si>
  <si>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</si>
  <si>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</si>
  <si>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</si>
  <si>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</si>
  <si>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</si>
  <si>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</si>
  <si>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2026-10-24T22:20:53Z</t>
  </si>
  <si>
    <t xml:space="preserve">Drivers file</t>
  </si>
  <si>
    <t xml:space="preserve">FME.DE_Drivers.json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</si>
  <si>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</si>
  <si>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</si>
  <si>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</si>
  <si>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dialysis duopolist priced like a utility whose regulator is also its largest customer. Value depends almost entirely on the margin path, not on volume: the base case gives credit for half of the Reignite margin aspiration and charges the real costs the company's adjusted figures leave out (IFRS-16 lease cash, recurring special items, minority partners' share of the US clinics).
key_risks_to_valuation: US reimbursement policy (CMS ESRD PPS rate, ACA subsidy expiry, OBBBA Medicaid cuts, Marietta) moves the margin path more than any operating lever; NCI valuation: 11x LTM NCI earnings is a judgment; each 1x is ~EUR0.94/share; EUR/USD: ~70% of flows are USD; a 10% stronger euro cuts EUR value roughly pro rata; Leadership transition and 5008X rollout execution in 2026-27; Terminal value is cap-bound at 15x owner FCF in the base case, so most of the value sits beyond 2035</t>
  </si>
  <si>
    <t xml:space="preserve">Data sources</t>
  </si>
  <si>
    <t xml:space="preserve">price: Yahoo Finance chart API (FME.DE, Xetra) at inputs.price_as_of; 52-week range 34.57-47.54
financials: FME.DE_Metrics.csv (core_metrics, FY2015-H1 2026); FY2025 20-F cash-flow statement, balance sheet, lease note 24 and NCI lines; H1-2026 interim report balance sheet, buyback table and net-leverage reconciliation
qualitative: FME.DE_Analysis.json (2026-10-25): FY2026 guidance as reaffirmed at Q2 2026, FME Reignite / FME25+ targets, the October 2026 CEO change and the September 2026 cyberattack</t>
  </si>
  <si>
    <t xml:space="preserve">Scenario narrative: bear</t>
  </si>
  <si>
    <t xml:space="preserve">US reimbursement does the damage: ACA exchange subsidy expiry and the Marietta ruling push commercial patients onto Medicare/Medicaid, OBBBA Medicaid cuts bite, and same-market treatment growth stays negative as GLP-1s slow ESRD incidence. The 5008X conversion runs late and over budget under a new, external CEO, and China volume-based procurement keeps Care Enablement at the bottom of its band. The 2025 margin breakout reverses toward the FY2023 trough (reported EBITDA ~16.2%), revenue grows ~2% nominal, and the exit multiple compresses to 12x for a regulated, ex-growth utility.</t>
  </si>
  <si>
    <t xml:space="preserve">Scenario narrative: base</t>
  </si>
  <si>
    <t xml:space="preserve">2026 is the guided transition year: flat constant-currency revenue, translated down ~3% into EUR, and operating income roughly flat as EUR250m of FME25+ savings offsets inflation, TDAPA phase-out and ACA-subsidy payor-mix drag. From 2027 the 5008X/HVHDF rollout and Value-Based Care growth take revenue to the low end of the CMD's 3-7% aspiration, while US same-market treatments stay close to flat on GLP-1/SGLT2 and referral softness. The margin recovers about half the way toward the mid-teens 2030 aspiration (reported EBITDA 17.4% to 19.5%) as restructuring special items fade after 2027. The new CEO keeps Reignite broadly intact; the cyberattack has no material operating cost.</t>
  </si>
  <si>
    <t xml:space="preserve">Scenario narrative: bull</t>
  </si>
  <si>
    <t xml:space="preserve">HVHDF becomes the US standard of care on the CONVINCE mortality data, lifting both product pull-through (Care Enablement to a mid-teens margin) and clinic economics. Interwell Health scales profitably and US payor mix holds despite the ACA subsidy expiry. Revenue runs at the middle of the 3-7% aspiration, and the group reaches roughly the mid-teens operating margin (reported EBITDA ~21.5%, about the FY2020-21 IFRS-16 level). External CEO Korangy speeds up portfolio pruning and capital returns.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</si>
  <si>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</si>
  <si>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</si>
  <si>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</si>
  <si>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</si>
  <si>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</si>
  <si>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</si>
  <si>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</si>
  <si>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</si>
  <si>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</si>
  <si>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</si>
  <si>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</si>
  <si>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</si>
  <si>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</si>
  <si>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</si>
  <si>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</si>
  <si>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</si>
  <si>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</si>
  <si>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</si>
  <si>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</si>
  <si>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</si>
  <si>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</si>
  <si>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</si>
  <si>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</si>
  <si>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</si>
  <si>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</si>
  <si>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</si>
  <si>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</si>
  <si>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</si>
  <si>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</si>
  <si>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</si>
  <si>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</si>
  <si>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</si>
  <si>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</si>
  <si>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</si>
  <si>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</si>
  <si>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</si>
  <si>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</si>
  <si>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</si>
  <si>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</si>
  <si>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</si>
  <si>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</si>
  <si>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</si>
  <si>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</si>
  <si>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</si>
  <si>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</si>
  <si>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</si>
  <si>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</si>
  <si>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</si>
  <si>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</si>
  <si>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</si>
  <si>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</si>
  <si>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</si>
  <si>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</si>
  <si>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</si>
  <si>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</si>
  <si>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</si>
  <si>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</si>
  <si>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</si>
  <si>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</si>
  <si>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</si>
  <si>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</si>
  <si>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</si>
  <si>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</si>
  <si>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</si>
  <si>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</si>
  <si>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</si>
  <si>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</si>
  <si>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</si>
  <si>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</si>
  <si>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</si>
  <si>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</si>
  <si>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</si>
  <si>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</si>
  <si>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</si>
  <si>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</si>
  <si>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FME.DE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</si>
  <si>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</si>
  <si>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</si>
  <si>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</si>
  <si>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</si>
  <si>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</si>
  <si>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</si>
  <si>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</si>
  <si>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</si>
  <si>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</si>
  <si>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</si>
  <si>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</si>
  <si>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</si>
  <si>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</si>
  <si>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</si>
  <si>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</si>
  <si>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</si>
  <si>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</si>
  <si>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</si>
  <si>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</si>
  <si>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</si>
  <si>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</si>
  <si>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</si>
  <si>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</si>
  <si>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</si>
  <si>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</si>
  <si>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</si>
  <si>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</si>
  <si>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</si>
  <si>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</si>
  <si>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</si>
  <si>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FME.DE owner-FCF component DCF: base case (millions, EUR)</t>
  </si>
  <si>
    <t xml:space="preserve">FME.DE owner-FCF component DCF: bull case (millions, EUR)</t>
  </si>
  <si>
    <t xml:space="preserve">FME.DE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</si>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</sst>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40.46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15454.858</v>
      </c>
      <c r="C2" s="0" t="n">
        <v>10277.692</v>
      </c>
      <c r="D2" s="0" t="n">
        <v>5177.166</v>
      </c>
      <c r="E2" s="0" t="n">
        <v>33.5</v>
      </c>
      <c r="F2" s="0" t="n">
        <v>2128.501</v>
      </c>
      <c r="G2" s="0" t="n">
        <v>13.8</v>
      </c>
      <c r="H2" s="0" t="n">
        <v>2776.668</v>
      </c>
      <c r="I2" s="0" t="n">
        <v>954.946</v>
      </c>
      <c r="J2" s="0" t="n">
        <v>6.2</v>
      </c>
      <c r="K2" s="0" t="n">
        <v>3.13</v>
      </c>
      <c r="L2" s="0" t="n">
        <v>1766.604</v>
      </c>
      <c r="M2" s="0" t="n">
        <v>858.894</v>
      </c>
      <c r="N2" s="0" t="n">
        <v>907.71</v>
      </c>
      <c r="T2" s="0" t="n">
        <v>304.44</v>
      </c>
      <c r="U2" s="0" t="n">
        <v>8.37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16569.715</v>
      </c>
      <c r="C3" s="0" t="n">
        <v>10953.769</v>
      </c>
      <c r="D3" s="0" t="n">
        <v>5615.946</v>
      </c>
      <c r="E3" s="0" t="n">
        <v>33.9</v>
      </c>
      <c r="F3" s="0" t="n">
        <v>2408.902</v>
      </c>
      <c r="G3" s="0" t="n">
        <v>14.5</v>
      </c>
      <c r="H3" s="0" t="n">
        <v>3110.438</v>
      </c>
      <c r="I3" s="0" t="n">
        <v>1143.98</v>
      </c>
      <c r="J3" s="0" t="n">
        <v>6.9</v>
      </c>
      <c r="K3" s="0" t="n">
        <v>3.73</v>
      </c>
      <c r="L3" s="0" t="n">
        <v>1931.973</v>
      </c>
      <c r="M3" s="0" t="n">
        <v>930.52</v>
      </c>
      <c r="N3" s="0" t="n">
        <v>1001.453</v>
      </c>
      <c r="O3" s="0" t="n">
        <v>9977.657</v>
      </c>
      <c r="P3" s="0" t="n">
        <v>25503.54</v>
      </c>
      <c r="Q3" s="0" t="n">
        <v>14452.408</v>
      </c>
      <c r="R3" s="0" t="n">
        <v>8132.114</v>
      </c>
      <c r="S3" s="0" t="n">
        <v>708.882</v>
      </c>
      <c r="T3" s="0" t="n">
        <v>305.748</v>
      </c>
      <c r="U3" s="0" t="n">
        <v>27.433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17783.572</v>
      </c>
      <c r="C4" s="0" t="n">
        <v>11779.852</v>
      </c>
      <c r="D4" s="0" t="n">
        <v>6003.72</v>
      </c>
      <c r="E4" s="0" t="n">
        <v>33.8</v>
      </c>
      <c r="F4" s="0" t="n">
        <v>2362.439</v>
      </c>
      <c r="G4" s="0" t="n">
        <v>13.3</v>
      </c>
      <c r="H4" s="0" t="n">
        <v>3097.918</v>
      </c>
      <c r="I4" s="0" t="n">
        <v>1279.788</v>
      </c>
      <c r="J4" s="0" t="n">
        <v>7.2</v>
      </c>
      <c r="K4" s="0" t="n">
        <v>4.16</v>
      </c>
      <c r="L4" s="0" t="n">
        <v>2191.811</v>
      </c>
      <c r="M4" s="0" t="n">
        <v>944.46</v>
      </c>
      <c r="N4" s="0" t="n">
        <v>1247.351</v>
      </c>
      <c r="O4" s="0" t="n">
        <v>9820.102</v>
      </c>
      <c r="P4" s="0" t="n">
        <v>24025.128</v>
      </c>
      <c r="Q4" s="0" t="n">
        <v>13196.942</v>
      </c>
      <c r="R4" s="0" t="n">
        <v>7447.686</v>
      </c>
      <c r="S4" s="0" t="n">
        <v>978.109</v>
      </c>
      <c r="T4" s="0" t="n">
        <v>306.563</v>
      </c>
      <c r="U4" s="0" t="n">
        <v>46.811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16546.873</v>
      </c>
      <c r="C5" s="0" t="n">
        <v>11392.13</v>
      </c>
      <c r="D5" s="0" t="n">
        <v>5154.743</v>
      </c>
      <c r="E5" s="0" t="n">
        <v>31.2</v>
      </c>
      <c r="F5" s="0" t="n">
        <v>3037.798</v>
      </c>
      <c r="G5" s="0" t="n">
        <v>18.4</v>
      </c>
      <c r="H5" s="0" t="n">
        <v>3827.364</v>
      </c>
      <c r="I5" s="0" t="n">
        <v>1981.924</v>
      </c>
      <c r="J5" s="0" t="n">
        <v>12</v>
      </c>
      <c r="K5" s="0" t="n">
        <v>6.45</v>
      </c>
      <c r="L5" s="0" t="n">
        <v>2061.911</v>
      </c>
      <c r="M5" s="0" t="n">
        <v>1057.276</v>
      </c>
      <c r="N5" s="0" t="n">
        <v>1004.635</v>
      </c>
      <c r="O5" s="0" t="n">
        <v>11758.411</v>
      </c>
      <c r="P5" s="0" t="n">
        <v>26242.268</v>
      </c>
      <c r="Q5" s="0" t="n">
        <v>13340.31</v>
      </c>
      <c r="R5" s="0" t="n">
        <v>7546.228</v>
      </c>
      <c r="S5" s="0" t="n">
        <v>2145.632</v>
      </c>
      <c r="T5" s="0" t="n">
        <v>306.542</v>
      </c>
      <c r="U5" s="0" t="n">
        <v>10.745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17476.555</v>
      </c>
      <c r="C6" s="0" t="n">
        <v>12080.704</v>
      </c>
      <c r="D6" s="0" t="n">
        <v>5395.851</v>
      </c>
      <c r="E6" s="0" t="n">
        <v>30.9</v>
      </c>
      <c r="F6" s="0" t="n">
        <v>2269.558</v>
      </c>
      <c r="G6" s="0" t="n">
        <v>13</v>
      </c>
      <c r="H6" s="0" t="n">
        <v>3862.718</v>
      </c>
      <c r="I6" s="0" t="n">
        <v>1199.619</v>
      </c>
      <c r="J6" s="0" t="n">
        <v>6.9</v>
      </c>
      <c r="K6" s="0" t="n">
        <v>3.96</v>
      </c>
      <c r="L6" s="0" t="n">
        <v>2566.951</v>
      </c>
      <c r="M6" s="0" t="n">
        <v>1124.791</v>
      </c>
      <c r="N6" s="0" t="n">
        <v>1442.16</v>
      </c>
      <c r="O6" s="0" t="n">
        <v>11957.913</v>
      </c>
      <c r="P6" s="0" t="n">
        <v>32934.735</v>
      </c>
      <c r="Q6" s="0" t="n">
        <v>19707.498</v>
      </c>
      <c r="R6" s="0" t="n">
        <v>9077.41</v>
      </c>
      <c r="S6" s="0" t="n">
        <v>1007.723</v>
      </c>
      <c r="T6" s="0" t="n">
        <v>302.691</v>
      </c>
      <c r="U6" s="0" t="n">
        <v>1.992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17859.063</v>
      </c>
      <c r="C7" s="0" t="n">
        <v>12321.618</v>
      </c>
      <c r="D7" s="0" t="n">
        <v>5537.445</v>
      </c>
      <c r="E7" s="0" t="n">
        <v>31</v>
      </c>
      <c r="F7" s="0" t="n">
        <v>2304.409</v>
      </c>
      <c r="G7" s="0" t="n">
        <v>12.9</v>
      </c>
      <c r="H7" s="0" t="n">
        <v>4090.308</v>
      </c>
      <c r="I7" s="0" t="n">
        <v>1164.377</v>
      </c>
      <c r="J7" s="0" t="n">
        <v>6.5</v>
      </c>
      <c r="K7" s="0" t="n">
        <v>3.96</v>
      </c>
      <c r="L7" s="0" t="n">
        <v>4233.156</v>
      </c>
      <c r="M7" s="0" t="n">
        <v>1051.983</v>
      </c>
      <c r="N7" s="0" t="n">
        <v>3181.173</v>
      </c>
      <c r="O7" s="0" t="n">
        <v>11215.08</v>
      </c>
      <c r="P7" s="0" t="n">
        <v>31689.036</v>
      </c>
      <c r="Q7" s="0" t="n">
        <v>19357.726</v>
      </c>
      <c r="R7" s="0" t="n">
        <v>7887.73</v>
      </c>
      <c r="S7" s="0" t="n">
        <v>1081.539</v>
      </c>
      <c r="T7" s="0" t="n">
        <v>294.056</v>
      </c>
      <c r="U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17618.685</v>
      </c>
      <c r="C8" s="0" t="n">
        <v>12541.656</v>
      </c>
      <c r="D8" s="0" t="n">
        <v>5077.029</v>
      </c>
      <c r="E8" s="0" t="n">
        <v>28.8</v>
      </c>
      <c r="F8" s="0" t="n">
        <v>1852.29</v>
      </c>
      <c r="G8" s="0" t="n">
        <v>10.5</v>
      </c>
      <c r="H8" s="0" t="n">
        <v>3475.966</v>
      </c>
      <c r="I8" s="0" t="n">
        <v>969.308</v>
      </c>
      <c r="J8" s="0" t="n">
        <v>5.5</v>
      </c>
      <c r="K8" s="0" t="n">
        <v>3.31</v>
      </c>
      <c r="L8" s="0" t="n">
        <v>2489.498</v>
      </c>
      <c r="M8" s="0" t="n">
        <v>854.36</v>
      </c>
      <c r="N8" s="0" t="n">
        <v>1635.138</v>
      </c>
      <c r="O8" s="0" t="n">
        <v>12698.783</v>
      </c>
      <c r="P8" s="0" t="n">
        <v>34366.558</v>
      </c>
      <c r="Q8" s="0" t="n">
        <v>20387.521</v>
      </c>
      <c r="R8" s="0" t="n">
        <v>8570.768</v>
      </c>
      <c r="S8" s="0" t="n">
        <v>1481.655</v>
      </c>
      <c r="T8" s="0" t="n">
        <v>292.945</v>
      </c>
      <c r="U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19398.017</v>
      </c>
      <c r="C9" s="0" t="n">
        <v>14087.765</v>
      </c>
      <c r="D9" s="0" t="n">
        <v>5310.252</v>
      </c>
      <c r="E9" s="0" t="n">
        <v>27.4</v>
      </c>
      <c r="F9" s="0" t="n">
        <v>1511.755</v>
      </c>
      <c r="G9" s="0" t="n">
        <v>7.8</v>
      </c>
      <c r="H9" s="0" t="n">
        <v>3350.118</v>
      </c>
      <c r="I9" s="0" t="n">
        <v>673.405</v>
      </c>
      <c r="J9" s="0" t="n">
        <v>3.5</v>
      </c>
      <c r="K9" s="0" t="n">
        <v>2.3</v>
      </c>
      <c r="L9" s="0" t="n">
        <v>2167.379</v>
      </c>
      <c r="M9" s="0" t="n">
        <v>723.988</v>
      </c>
      <c r="N9" s="0" t="n">
        <v>1443.391</v>
      </c>
      <c r="O9" s="0" t="n">
        <v>13989.453</v>
      </c>
      <c r="P9" s="0" t="n">
        <v>35754.114</v>
      </c>
      <c r="Q9" s="0" t="n">
        <v>20304.935</v>
      </c>
      <c r="R9" s="0" t="n">
        <v>8533.809</v>
      </c>
      <c r="S9" s="0" t="n">
        <v>1273.787</v>
      </c>
      <c r="T9" s="0" t="n">
        <v>293.246</v>
      </c>
      <c r="U9" s="0" t="n">
        <v>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19453.617</v>
      </c>
      <c r="C10" s="0" t="n">
        <v>14528.612</v>
      </c>
      <c r="D10" s="0" t="n">
        <v>4925.005</v>
      </c>
      <c r="E10" s="0" t="n">
        <v>25.3</v>
      </c>
      <c r="F10" s="0" t="n">
        <v>1369.438</v>
      </c>
      <c r="G10" s="0" t="n">
        <v>7</v>
      </c>
      <c r="H10" s="0" t="n">
        <v>3121.409</v>
      </c>
      <c r="I10" s="0" t="n">
        <v>498.997</v>
      </c>
      <c r="J10" s="0" t="n">
        <v>2.6</v>
      </c>
      <c r="K10" s="0" t="n">
        <v>1.7</v>
      </c>
      <c r="L10" s="0" t="n">
        <v>2628.801</v>
      </c>
      <c r="M10" s="0" t="n">
        <v>684.596</v>
      </c>
      <c r="N10" s="0" t="n">
        <v>1944.205</v>
      </c>
      <c r="O10" s="0" t="n">
        <v>13620.261</v>
      </c>
      <c r="P10" s="0" t="n">
        <v>33929.808</v>
      </c>
      <c r="Q10" s="0" t="n">
        <v>19103.273</v>
      </c>
      <c r="R10" s="0" t="n">
        <v>7904.466</v>
      </c>
      <c r="S10" s="0" t="n">
        <v>1403.492</v>
      </c>
      <c r="T10" s="0" t="n">
        <v>293.413</v>
      </c>
      <c r="U10" s="0" t="n">
        <v>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19335.909</v>
      </c>
      <c r="C11" s="0" t="n">
        <v>14579.257</v>
      </c>
      <c r="D11" s="0" t="n">
        <v>4756.652</v>
      </c>
      <c r="E11" s="0" t="n">
        <v>24.6</v>
      </c>
      <c r="F11" s="0" t="n">
        <v>1392.395</v>
      </c>
      <c r="G11" s="0" t="n">
        <v>7.2</v>
      </c>
      <c r="H11" s="0" t="n">
        <v>3134.652</v>
      </c>
      <c r="I11" s="0" t="n">
        <v>537.913</v>
      </c>
      <c r="J11" s="0" t="n">
        <v>2.8</v>
      </c>
      <c r="K11" s="0" t="n">
        <v>1.83</v>
      </c>
      <c r="L11" s="0" t="n">
        <v>2386.144</v>
      </c>
      <c r="M11" s="0" t="n">
        <v>699.358</v>
      </c>
      <c r="N11" s="0" t="n">
        <v>1686.786</v>
      </c>
      <c r="O11" s="0" t="n">
        <v>14576.563</v>
      </c>
      <c r="P11" s="0" t="n">
        <v>33566.579</v>
      </c>
      <c r="Q11" s="0" t="n">
        <v>17798.066</v>
      </c>
      <c r="R11" s="0" t="n">
        <v>6838.207</v>
      </c>
      <c r="S11" s="0" t="n">
        <v>1180.187</v>
      </c>
      <c r="T11" s="0" t="n">
        <v>293.413</v>
      </c>
      <c r="U11" s="0" t="n">
        <v>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19627.602</v>
      </c>
      <c r="C12" s="0" t="n">
        <v>14598.673</v>
      </c>
      <c r="D12" s="0" t="n">
        <v>5028.929</v>
      </c>
      <c r="E12" s="0" t="n">
        <v>25.6</v>
      </c>
      <c r="F12" s="0" t="n">
        <v>1827.036</v>
      </c>
      <c r="G12" s="0" t="n">
        <v>9.3</v>
      </c>
      <c r="H12" s="0" t="n">
        <v>3327.445</v>
      </c>
      <c r="I12" s="0" t="n">
        <v>978.367</v>
      </c>
      <c r="J12" s="0" t="n">
        <v>5</v>
      </c>
      <c r="K12" s="0" t="n">
        <v>3.36</v>
      </c>
      <c r="L12" s="0" t="n">
        <v>2680.999</v>
      </c>
      <c r="M12" s="0" t="n">
        <v>915.369</v>
      </c>
      <c r="N12" s="0" t="n">
        <v>1765.63</v>
      </c>
      <c r="O12" s="0" t="n">
        <v>13309.832</v>
      </c>
      <c r="P12" s="0" t="n">
        <v>31002.333</v>
      </c>
      <c r="Q12" s="0" t="n">
        <v>16719.524</v>
      </c>
      <c r="R12" s="0" t="n">
        <v>7304.896</v>
      </c>
      <c r="S12" s="0" t="n">
        <v>1599.113</v>
      </c>
      <c r="T12" s="0" t="n">
        <v>291.191</v>
      </c>
      <c r="U12" s="0" t="n">
        <v>8.182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40.46</v>
      </c>
    </row>
    <row r="3" customFormat="false" ht="15" hidden="false" customHeight="false" outlineLevel="0" collapsed="false">
      <c r="A3" s="0" t="s">
        <v>77</v>
      </c>
      <c r="B3" s="3" t="n">
        <v>266.11</v>
      </c>
    </row>
    <row r="4" customFormat="false" ht="15" hidden="false" customHeight="false" outlineLevel="0" collapsed="false">
      <c r="A4" s="0" t="s">
        <v>78</v>
      </c>
      <c r="B4" s="3" t="n">
        <v>6504.6</v>
      </c>
    </row>
    <row r="5" customFormat="false" ht="15" hidden="false" customHeight="false" outlineLevel="0" collapsed="false">
      <c r="A5" s="0" t="s">
        <v>79</v>
      </c>
      <c r="B5" s="3" t="n">
        <v>-3323.2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19627.602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-3.5</v>
      </c>
      <c r="D13" s="3" t="n">
        <v>1.5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17</v>
      </c>
      <c r="D14" s="3" t="n">
        <v>16.8</v>
      </c>
      <c r="E14" s="3" t="n">
        <v>16.6</v>
      </c>
      <c r="F14" s="3" t="n">
        <v>16.5</v>
      </c>
      <c r="G14" s="3" t="n">
        <v>16.4</v>
      </c>
      <c r="H14" s="3" t="n">
        <v>16.3</v>
      </c>
      <c r="I14" s="3" t="n">
        <v>16.2</v>
      </c>
      <c r="J14" s="3" t="n">
        <v>16.2</v>
      </c>
      <c r="K14" s="3" t="n">
        <v>16.2</v>
      </c>
      <c r="L14" s="3" t="n">
        <v>16.2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4</v>
      </c>
      <c r="D16" s="3" t="n">
        <v>4</v>
      </c>
      <c r="E16" s="3" t="n">
        <v>4</v>
      </c>
      <c r="F16" s="3" t="n">
        <v>4</v>
      </c>
      <c r="G16" s="3" t="n">
        <v>4</v>
      </c>
      <c r="H16" s="3" t="n">
        <v>4</v>
      </c>
      <c r="I16" s="3" t="n">
        <v>4</v>
      </c>
      <c r="J16" s="3" t="n">
        <v>4</v>
      </c>
      <c r="K16" s="3" t="n">
        <v>4</v>
      </c>
      <c r="L16" s="3" t="n">
        <v>4</v>
      </c>
    </row>
    <row r="17" customFormat="false" ht="15" hidden="false" customHeight="false" outlineLevel="0" collapsed="false">
      <c r="A17" s="0" t="s">
        <v>101</v>
      </c>
      <c r="C17" s="3" t="n">
        <v>4.3</v>
      </c>
      <c r="D17" s="3" t="n">
        <v>4.3</v>
      </c>
      <c r="E17" s="3" t="n">
        <v>4.3</v>
      </c>
      <c r="F17" s="3" t="n">
        <v>4.3</v>
      </c>
      <c r="G17" s="3" t="n">
        <v>4.3</v>
      </c>
      <c r="H17" s="3" t="n">
        <v>4.3</v>
      </c>
      <c r="I17" s="3" t="n">
        <v>4.3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102</v>
      </c>
      <c r="C18" s="3" t="n">
        <v>5</v>
      </c>
      <c r="D18" s="3" t="n">
        <v>4.8</v>
      </c>
      <c r="E18" s="3" t="n">
        <v>4.6</v>
      </c>
      <c r="F18" s="3" t="n">
        <v>4.5</v>
      </c>
      <c r="G18" s="3" t="n">
        <v>4.4</v>
      </c>
      <c r="H18" s="3" t="n">
        <v>4.3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103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-2.7</v>
      </c>
      <c r="D27" s="3" t="n">
        <v>3.5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17.4</v>
      </c>
      <c r="D28" s="3" t="n">
        <v>17.9</v>
      </c>
      <c r="E28" s="3" t="n">
        <v>18.4</v>
      </c>
      <c r="F28" s="3" t="n">
        <v>18.8</v>
      </c>
      <c r="G28" s="3" t="n">
        <v>19.1</v>
      </c>
      <c r="H28" s="3" t="n">
        <v>19.3</v>
      </c>
      <c r="I28" s="3" t="n">
        <v>19.4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4</v>
      </c>
      <c r="D30" s="3" t="n">
        <v>4</v>
      </c>
      <c r="E30" s="3" t="n">
        <v>4</v>
      </c>
      <c r="F30" s="3" t="n">
        <v>4</v>
      </c>
      <c r="G30" s="3" t="n">
        <v>4</v>
      </c>
      <c r="H30" s="3" t="n">
        <v>4</v>
      </c>
      <c r="I30" s="3" t="n">
        <v>4</v>
      </c>
      <c r="J30" s="3" t="n">
        <v>4</v>
      </c>
      <c r="K30" s="3" t="n">
        <v>4</v>
      </c>
      <c r="L30" s="3" t="n">
        <v>4</v>
      </c>
    </row>
    <row r="31" customFormat="false" ht="15" hidden="false" customHeight="false" outlineLevel="0" collapsed="false">
      <c r="A31" s="0" t="s">
        <v>101</v>
      </c>
      <c r="C31" s="3" t="n">
        <v>4.3</v>
      </c>
      <c r="D31" s="3" t="n">
        <v>4.3</v>
      </c>
      <c r="E31" s="3" t="n">
        <v>4.3</v>
      </c>
      <c r="F31" s="3" t="n">
        <v>4.3</v>
      </c>
      <c r="G31" s="3" t="n">
        <v>4.3</v>
      </c>
      <c r="H31" s="3" t="n">
        <v>4.3</v>
      </c>
      <c r="I31" s="3" t="n">
        <v>4.3</v>
      </c>
      <c r="J31" s="3" t="n">
        <v>4.3</v>
      </c>
      <c r="K31" s="3" t="n">
        <v>4.3</v>
      </c>
      <c r="L31" s="3" t="n">
        <v>4.3</v>
      </c>
    </row>
    <row r="32" customFormat="false" ht="15" hidden="false" customHeight="false" outlineLevel="0" collapsed="false">
      <c r="A32" s="0" t="s">
        <v>102</v>
      </c>
      <c r="C32" s="3" t="n">
        <v>5</v>
      </c>
      <c r="D32" s="3" t="n">
        <v>4.8</v>
      </c>
      <c r="E32" s="3" t="n">
        <v>4.6</v>
      </c>
      <c r="F32" s="3" t="n">
        <v>4.5</v>
      </c>
      <c r="G32" s="3" t="n">
        <v>4.4</v>
      </c>
      <c r="H32" s="3" t="n">
        <v>4.3</v>
      </c>
      <c r="I32" s="3" t="n">
        <v>4.3</v>
      </c>
      <c r="J32" s="3" t="n">
        <v>4.3</v>
      </c>
      <c r="K32" s="3" t="n">
        <v>4.3</v>
      </c>
      <c r="L32" s="3" t="n">
        <v>4.3</v>
      </c>
    </row>
    <row r="33" customFormat="false" ht="15" hidden="false" customHeight="false" outlineLevel="0" collapsed="false">
      <c r="A33" s="0" t="s">
        <v>103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-2</v>
      </c>
      <c r="D41" s="3" t="n">
        <v>5.5</v>
      </c>
      <c r="E41" s="3" t="n">
        <v>6</v>
      </c>
      <c r="F41" s="3" t="n">
        <v>6</v>
      </c>
      <c r="G41" s="3" t="n">
        <v>5.5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17.6</v>
      </c>
      <c r="D42" s="3" t="n">
        <v>18.5</v>
      </c>
      <c r="E42" s="3" t="n">
        <v>19.4</v>
      </c>
      <c r="F42" s="3" t="n">
        <v>20.2</v>
      </c>
      <c r="G42" s="3" t="n">
        <v>20.8</v>
      </c>
      <c r="H42" s="3" t="n">
        <v>21.2</v>
      </c>
      <c r="I42" s="3" t="n">
        <v>21.4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4</v>
      </c>
      <c r="D44" s="3" t="n">
        <v>4</v>
      </c>
      <c r="E44" s="3" t="n">
        <v>4</v>
      </c>
      <c r="F44" s="3" t="n">
        <v>4</v>
      </c>
      <c r="G44" s="3" t="n">
        <v>4</v>
      </c>
      <c r="H44" s="3" t="n">
        <v>4</v>
      </c>
      <c r="I44" s="3" t="n">
        <v>4</v>
      </c>
      <c r="J44" s="3" t="n">
        <v>4</v>
      </c>
      <c r="K44" s="3" t="n">
        <v>4</v>
      </c>
      <c r="L44" s="3" t="n">
        <v>4</v>
      </c>
    </row>
    <row r="45" customFormat="false" ht="15" hidden="false" customHeight="false" outlineLevel="0" collapsed="false">
      <c r="A45" s="0" t="s">
        <v>101</v>
      </c>
      <c r="C45" s="3" t="n">
        <v>4.3</v>
      </c>
      <c r="D45" s="3" t="n">
        <v>4.3</v>
      </c>
      <c r="E45" s="3" t="n">
        <v>4.3</v>
      </c>
      <c r="F45" s="3" t="n">
        <v>4.3</v>
      </c>
      <c r="G45" s="3" t="n">
        <v>4.3</v>
      </c>
      <c r="H45" s="3" t="n">
        <v>4.3</v>
      </c>
      <c r="I45" s="3" t="n">
        <v>4.3</v>
      </c>
      <c r="J45" s="3" t="n">
        <v>4.3</v>
      </c>
      <c r="K45" s="3" t="n">
        <v>4.3</v>
      </c>
      <c r="L45" s="3" t="n">
        <v>4.3</v>
      </c>
    </row>
    <row r="46" customFormat="false" ht="15" hidden="false" customHeight="false" outlineLevel="0" collapsed="false">
      <c r="A46" s="0" t="s">
        <v>102</v>
      </c>
      <c r="C46" s="3" t="n">
        <v>5</v>
      </c>
      <c r="D46" s="3" t="n">
        <v>4.8</v>
      </c>
      <c r="E46" s="3" t="n">
        <v>4.6</v>
      </c>
      <c r="F46" s="3" t="n">
        <v>4.5</v>
      </c>
      <c r="G46" s="3" t="n">
        <v>4.4</v>
      </c>
      <c r="H46" s="3" t="n">
        <v>4.3</v>
      </c>
      <c r="I46" s="3" t="n">
        <v>4.3</v>
      </c>
      <c r="J46" s="3" t="n">
        <v>4.3</v>
      </c>
      <c r="K46" s="3" t="n">
        <v>4.3</v>
      </c>
      <c r="L46" s="3" t="n">
        <v>4.3</v>
      </c>
    </row>
    <row r="47" customFormat="false" ht="15" hidden="false" customHeight="false" outlineLevel="0" collapsed="false">
      <c r="A47" s="0" t="s">
        <v>103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-3.5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19627.602</v>
      </c>
      <c r="C6" s="0" t="n">
        <f aca="false">B6*(1+C5/100)</f>
        <v>18940.63593</v>
      </c>
      <c r="D6" s="0" t="n">
        <f aca="false">C6*(1+D5/100)</f>
        <v>19224.74546895</v>
      </c>
      <c r="E6" s="0" t="n">
        <f aca="false">D6*(1+E5/100)</f>
        <v>19609.240378329</v>
      </c>
      <c r="F6" s="0" t="n">
        <f aca="false">E6*(1+F5/100)</f>
        <v>20001.4251858956</v>
      </c>
      <c r="G6" s="0" t="n">
        <f aca="false">F6*(1+G5/100)</f>
        <v>20401.4536896135</v>
      </c>
      <c r="H6" s="0" t="n">
        <f aca="false">G6*(1+H5/100)</f>
        <v>20809.4827634058</v>
      </c>
      <c r="I6" s="0" t="n">
        <f aca="false">H6*(1+I5/100)</f>
        <v>21225.6724186739</v>
      </c>
      <c r="J6" s="0" t="n">
        <f aca="false">I6*(1+J5/100)</f>
        <v>21650.1858670474</v>
      </c>
      <c r="K6" s="0" t="n">
        <f aca="false">J6*(1+K5/100)</f>
        <v>22083.1895843883</v>
      </c>
      <c r="L6" s="0" t="n">
        <f aca="false">K6*(1+L5/100)</f>
        <v>22524.8533760761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17</v>
      </c>
      <c r="D7" s="4" t="n">
        <f aca="false">Assumptions!D14</f>
        <v>16.8</v>
      </c>
      <c r="E7" s="4" t="n">
        <f aca="false">Assumptions!E14</f>
        <v>16.6</v>
      </c>
      <c r="F7" s="4" t="n">
        <f aca="false">Assumptions!F14</f>
        <v>16.5</v>
      </c>
      <c r="G7" s="4" t="n">
        <f aca="false">Assumptions!G14</f>
        <v>16.4</v>
      </c>
      <c r="H7" s="4" t="n">
        <f aca="false">Assumptions!H14</f>
        <v>16.3</v>
      </c>
      <c r="I7" s="4" t="n">
        <f aca="false">Assumptions!I14</f>
        <v>16.2</v>
      </c>
      <c r="J7" s="4" t="n">
        <f aca="false">Assumptions!J14</f>
        <v>16.2</v>
      </c>
      <c r="K7" s="4" t="n">
        <f aca="false">Assumptions!K14</f>
        <v>16.2</v>
      </c>
      <c r="L7" s="4" t="n">
        <f aca="false">Assumptions!L14</f>
        <v>16.2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3219.9081081</v>
      </c>
      <c r="D8" s="0" t="n">
        <f aca="false">D6*D7/100</f>
        <v>3229.7572387836</v>
      </c>
      <c r="E8" s="0" t="n">
        <f aca="false">E6*E7/100</f>
        <v>3255.13390280261</v>
      </c>
      <c r="F8" s="0" t="n">
        <f aca="false">F6*F7/100</f>
        <v>3300.23515567277</v>
      </c>
      <c r="G8" s="0" t="n">
        <f aca="false">G6*G7/100</f>
        <v>3345.83840509661</v>
      </c>
      <c r="H8" s="0" t="n">
        <f aca="false">H6*H7/100</f>
        <v>3391.94569043514</v>
      </c>
      <c r="I8" s="0" t="n">
        <f aca="false">I6*I7/100</f>
        <v>3438.55893182517</v>
      </c>
      <c r="J8" s="0" t="n">
        <f aca="false">J6*J7/100</f>
        <v>3507.33011046167</v>
      </c>
      <c r="K8" s="0" t="n">
        <f aca="false">K6*K7/100</f>
        <v>3577.4767126709</v>
      </c>
      <c r="L8" s="0" t="n">
        <f aca="false">L6*L7/100</f>
        <v>3649.02624692432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2462.2826709</v>
      </c>
      <c r="D11" s="0" t="n">
        <f aca="false">D8+D10+D24</f>
        <v>2460.7674200256</v>
      </c>
      <c r="E11" s="0" t="n">
        <f aca="false">E8+E10+E24</f>
        <v>2470.76428766945</v>
      </c>
      <c r="F11" s="0" t="n">
        <f aca="false">F8+F10+F24</f>
        <v>2500.17814823695</v>
      </c>
      <c r="G11" s="0" t="n">
        <f aca="false">G8+G10+G24</f>
        <v>2529.78025751207</v>
      </c>
      <c r="H11" s="0" t="n">
        <f aca="false">H8+H10+H24</f>
        <v>2559.56637989891</v>
      </c>
      <c r="I11" s="0" t="n">
        <f aca="false">I8+I10+I24</f>
        <v>2589.53203507821</v>
      </c>
      <c r="J11" s="0" t="n">
        <f aca="false">J8+J10+J24</f>
        <v>2641.32267577978</v>
      </c>
      <c r="K11" s="0" t="n">
        <f aca="false">K8+K10+K24</f>
        <v>2694.14912929537</v>
      </c>
      <c r="L11" s="0" t="n">
        <f aca="false">L8+L10+L24</f>
        <v>2748.03211188128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-814.44734499</v>
      </c>
      <c r="D12" s="4" t="n">
        <f aca="false">-D6*Assumptions!D17/100</f>
        <v>-826.66405516485</v>
      </c>
      <c r="E12" s="4" t="n">
        <f aca="false">-E6*Assumptions!E17/100</f>
        <v>-843.197336268147</v>
      </c>
      <c r="F12" s="4" t="n">
        <f aca="false">-F6*Assumptions!F17/100</f>
        <v>-860.06128299351</v>
      </c>
      <c r="G12" s="4" t="n">
        <f aca="false">-G6*Assumptions!G17/100</f>
        <v>-877.26250865338</v>
      </c>
      <c r="H12" s="4" t="n">
        <f aca="false">-H6*Assumptions!H17/100</f>
        <v>-894.807758826448</v>
      </c>
      <c r="I12" s="4" t="n">
        <f aca="false">-I6*Assumptions!I17/100</f>
        <v>-912.703914002977</v>
      </c>
      <c r="J12" s="4" t="n">
        <f aca="false">-J6*Assumptions!J17/100</f>
        <v>-930.957992283036</v>
      </c>
      <c r="K12" s="4" t="n">
        <f aca="false">-K6*Assumptions!K17/100</f>
        <v>-949.577152128697</v>
      </c>
      <c r="L12" s="4" t="n">
        <f aca="false">-L6*Assumptions!L17/100</f>
        <v>-968.568695171271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1647.83532591</v>
      </c>
      <c r="D13" s="0" t="n">
        <f aca="false">D11+D12</f>
        <v>1634.10336486075</v>
      </c>
      <c r="E13" s="0" t="n">
        <f aca="false">E11+E12</f>
        <v>1627.56695140131</v>
      </c>
      <c r="F13" s="0" t="n">
        <f aca="false">F11+F12</f>
        <v>1640.11686524344</v>
      </c>
      <c r="G13" s="0" t="n">
        <f aca="false">G11+G12</f>
        <v>1652.51774885869</v>
      </c>
      <c r="H13" s="0" t="n">
        <f aca="false">H11+H12</f>
        <v>1664.75862107246</v>
      </c>
      <c r="I13" s="0" t="n">
        <f aca="false">I11+I12</f>
        <v>1676.82812107524</v>
      </c>
      <c r="J13" s="0" t="n">
        <f aca="false">J11+J12</f>
        <v>1710.36468349674</v>
      </c>
      <c r="K13" s="0" t="n">
        <f aca="false">K11+K12</f>
        <v>1744.57197716668</v>
      </c>
      <c r="L13" s="0" t="n">
        <f aca="false">L11+L12</f>
        <v>1779.46341671001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1202.9197879143</v>
      </c>
      <c r="D15" s="0" t="n">
        <f aca="false">D13-MAX(0,D13)*D14/100</f>
        <v>1192.89545634835</v>
      </c>
      <c r="E15" s="0" t="n">
        <f aca="false">E13-MAX(0,E13)*E14/100</f>
        <v>1188.12387452295</v>
      </c>
      <c r="F15" s="0" t="n">
        <f aca="false">F13-MAX(0,F13)*F14/100</f>
        <v>1197.28531162771</v>
      </c>
      <c r="G15" s="0" t="n">
        <f aca="false">G13-MAX(0,G13)*G14/100</f>
        <v>1206.33795666685</v>
      </c>
      <c r="H15" s="0" t="n">
        <f aca="false">H13-MAX(0,H13)*H14/100</f>
        <v>1215.2737933829</v>
      </c>
      <c r="I15" s="0" t="n">
        <f aca="false">I13-MAX(0,I13)*I14/100</f>
        <v>1224.08452838492</v>
      </c>
      <c r="J15" s="0" t="n">
        <f aca="false">J13-MAX(0,J13)*J14/100</f>
        <v>1248.56621895262</v>
      </c>
      <c r="K15" s="0" t="n">
        <f aca="false">K13-MAX(0,K13)*K14/100</f>
        <v>1273.53754333167</v>
      </c>
      <c r="L15" s="0" t="n">
        <f aca="false">L13-MAX(0,L13)*L14/100</f>
        <v>1299.00829419831</v>
      </c>
    </row>
    <row r="16" customFormat="false" ht="15" hidden="false" customHeight="false" outlineLevel="0" collapsed="false">
      <c r="A16" s="0" t="s">
        <v>119</v>
      </c>
      <c r="C16" s="0" t="n">
        <f aca="false">-C12</f>
        <v>814.44734499</v>
      </c>
      <c r="D16" s="0" t="n">
        <f aca="false">-D12</f>
        <v>826.66405516485</v>
      </c>
      <c r="E16" s="0" t="n">
        <f aca="false">-E12</f>
        <v>843.197336268147</v>
      </c>
      <c r="F16" s="0" t="n">
        <f aca="false">-F12</f>
        <v>860.06128299351</v>
      </c>
      <c r="G16" s="0" t="n">
        <f aca="false">-G12</f>
        <v>877.26250865338</v>
      </c>
      <c r="H16" s="0" t="n">
        <f aca="false">-H12</f>
        <v>894.807758826448</v>
      </c>
      <c r="I16" s="0" t="n">
        <f aca="false">-I12</f>
        <v>912.703914002977</v>
      </c>
      <c r="J16" s="0" t="n">
        <f aca="false">-J12</f>
        <v>930.957992283036</v>
      </c>
      <c r="K16" s="0" t="n">
        <f aca="false">-K12</f>
        <v>949.577152128697</v>
      </c>
      <c r="L16" s="0" t="n">
        <f aca="false">-L12</f>
        <v>968.568695171271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-947.0317965</v>
      </c>
      <c r="D17" s="4" t="n">
        <f aca="false">-D6*Assumptions!D18/100</f>
        <v>-922.7877825096</v>
      </c>
      <c r="E17" s="4" t="n">
        <f aca="false">-E6*Assumptions!E18/100</f>
        <v>-902.025057403134</v>
      </c>
      <c r="F17" s="4" t="n">
        <f aca="false">-F6*Assumptions!F18/100</f>
        <v>-900.064133365301</v>
      </c>
      <c r="G17" s="4" t="n">
        <f aca="false">-G6*Assumptions!G18/100</f>
        <v>-897.663962342994</v>
      </c>
      <c r="H17" s="4" t="n">
        <f aca="false">-H6*Assumptions!H18/100</f>
        <v>-894.807758826448</v>
      </c>
      <c r="I17" s="4" t="n">
        <f aca="false">-I6*Assumptions!I18/100</f>
        <v>-912.703914002977</v>
      </c>
      <c r="J17" s="4" t="n">
        <f aca="false">-J6*Assumptions!J18/100</f>
        <v>-930.957992283036</v>
      </c>
      <c r="K17" s="4" t="n">
        <f aca="false">-K6*Assumptions!K18/100</f>
        <v>-949.577152128697</v>
      </c>
      <c r="L17" s="4" t="n">
        <f aca="false">-L6*Assumptions!L18/100</f>
        <v>-968.568695171271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68.6966070000002</v>
      </c>
      <c r="D18" s="4" t="n">
        <f aca="false">(D6-C6)*Assumptions!$B$23/100</f>
        <v>-28.4109538949997</v>
      </c>
      <c r="E18" s="4" t="n">
        <f aca="false">(E6-D6)*Assumptions!$B$23/100</f>
        <v>-38.4494909379002</v>
      </c>
      <c r="F18" s="4" t="n">
        <f aca="false">(F6-E6)*Assumptions!$B$23/100</f>
        <v>-39.218480756658</v>
      </c>
      <c r="G18" s="4" t="n">
        <f aca="false">(G6-F6)*Assumptions!$B$23/100</f>
        <v>-40.0028503717913</v>
      </c>
      <c r="H18" s="4" t="n">
        <f aca="false">(H6-G6)*Assumptions!$B$23/100</f>
        <v>-40.802907379227</v>
      </c>
      <c r="I18" s="4" t="n">
        <f aca="false">(I6-H6)*Assumptions!$B$23/100</f>
        <v>-41.6189655268117</v>
      </c>
      <c r="J18" s="4" t="n">
        <f aca="false">(J6-I6)*Assumptions!$B$23/100</f>
        <v>-42.4513448373476</v>
      </c>
      <c r="K18" s="4" t="n">
        <f aca="false">(K6-J6)*Assumptions!$B$23/100</f>
        <v>-43.3003717340947</v>
      </c>
      <c r="L18" s="4" t="n">
        <f aca="false">(L6-K6)*Assumptions!$B$23/100</f>
        <v>-44.1663791687766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1139.0319434043</v>
      </c>
      <c r="D19" s="0" t="n">
        <f aca="false">D15+D16+D17+D18</f>
        <v>1068.3607751086</v>
      </c>
      <c r="E19" s="0" t="n">
        <f aca="false">E15+E16+E17+E18</f>
        <v>1090.84666245007</v>
      </c>
      <c r="F19" s="0" t="n">
        <f aca="false">F15+F16+F17+F18</f>
        <v>1118.06398049926</v>
      </c>
      <c r="G19" s="0" t="n">
        <f aca="false">G15+G16+G17+G18</f>
        <v>1145.93365260544</v>
      </c>
      <c r="H19" s="0" t="n">
        <f aca="false">H15+H16+H17+H18</f>
        <v>1174.47088600367</v>
      </c>
      <c r="I19" s="0" t="n">
        <f aca="false">I15+I16+I17+I18</f>
        <v>1182.46556285811</v>
      </c>
      <c r="J19" s="0" t="n">
        <f aca="false">J15+J16+J17+J18</f>
        <v>1206.11487411527</v>
      </c>
      <c r="K19" s="0" t="n">
        <f aca="false">K15+K16+K17+K18</f>
        <v>1230.23717159758</v>
      </c>
      <c r="L19" s="0" t="n">
        <f aca="false">L15+L16+L17+L18</f>
        <v>1254.84191502953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1064.51583495729</v>
      </c>
      <c r="D21" s="0" t="n">
        <f aca="false">D19*D20</f>
        <v>933.147676747836</v>
      </c>
      <c r="E21" s="0" t="n">
        <f aca="false">E19*E20</f>
        <v>890.455814571461</v>
      </c>
      <c r="F21" s="0" t="n">
        <f aca="false">F19*F20</f>
        <v>852.965657485683</v>
      </c>
      <c r="G21" s="0" t="n">
        <f aca="false">G19*G20</f>
        <v>817.034856912918</v>
      </c>
      <c r="H21" s="0" t="n">
        <f aca="false">H19*H20</f>
        <v>782.599541987434</v>
      </c>
      <c r="I21" s="0" t="n">
        <f aca="false">I19*I20</f>
        <v>736.380124057306</v>
      </c>
      <c r="J21" s="0" t="n">
        <f aca="false">J19*J20</f>
        <v>701.969837886404</v>
      </c>
      <c r="K21" s="0" t="n">
        <f aca="false">K19*K20</f>
        <v>669.167509013207</v>
      </c>
      <c r="L21" s="0" t="n">
        <f aca="false">L19*L20</f>
        <v>637.897999246235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4</v>
      </c>
      <c r="D23" s="4" t="n">
        <f aca="false">Assumptions!D16</f>
        <v>4</v>
      </c>
      <c r="E23" s="4" t="n">
        <f aca="false">Assumptions!E16</f>
        <v>4</v>
      </c>
      <c r="F23" s="4" t="n">
        <f aca="false">Assumptions!F16</f>
        <v>4</v>
      </c>
      <c r="G23" s="4" t="n">
        <f aca="false">Assumptions!G16</f>
        <v>4</v>
      </c>
      <c r="H23" s="4" t="n">
        <f aca="false">Assumptions!H16</f>
        <v>4</v>
      </c>
      <c r="I23" s="4" t="n">
        <f aca="false">Assumptions!I16</f>
        <v>4</v>
      </c>
      <c r="J23" s="4" t="n">
        <f aca="false">Assumptions!J16</f>
        <v>4</v>
      </c>
      <c r="K23" s="4" t="n">
        <f aca="false">Assumptions!K16</f>
        <v>4</v>
      </c>
      <c r="L23" s="4" t="n">
        <f aca="false">Assumptions!L16</f>
        <v>4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-757.6254372</v>
      </c>
      <c r="D24" s="0" t="n">
        <f aca="false">-D6*D23/100</f>
        <v>-768.989818758</v>
      </c>
      <c r="E24" s="0" t="n">
        <f aca="false">-E6*E23/100</f>
        <v>-784.36961513316</v>
      </c>
      <c r="F24" s="0" t="n">
        <f aca="false">-F6*F23/100</f>
        <v>-800.057007435823</v>
      </c>
      <c r="G24" s="0" t="n">
        <f aca="false">-G6*G23/100</f>
        <v>-816.05814758454</v>
      </c>
      <c r="H24" s="0" t="n">
        <f aca="false">-H6*H23/100</f>
        <v>-832.37931053623</v>
      </c>
      <c r="I24" s="0" t="n">
        <f aca="false">-I6*I23/100</f>
        <v>-849.026896746955</v>
      </c>
      <c r="J24" s="0" t="n">
        <f aca="false">-J6*J23/100</f>
        <v>-866.007434681894</v>
      </c>
      <c r="K24" s="0" t="n">
        <f aca="false">-K6*K23/100</f>
        <v>-883.327583375532</v>
      </c>
      <c r="L24" s="0" t="n">
        <f aca="false">-L6*L23/100</f>
        <v>-900.994135043043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8086.13485286577</v>
      </c>
    </row>
    <row r="31" customFormat="false" ht="15" hidden="false" customHeight="false" outlineLevel="0" collapsed="false">
      <c r="A31" s="0" t="s">
        <v>128</v>
      </c>
      <c r="B31" s="0" t="n">
        <f aca="false">L19</f>
        <v>1254.84191502953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23157.5371591813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15058.1029803544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15058.1029803544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7654.77599095482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15740.9108438206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5913.11084382059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22.2205510646747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-0.450802000378776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22.2205510646747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9434.55217596276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-6.63158379525474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-2.7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19627.602</v>
      </c>
      <c r="C6" s="0" t="n">
        <f aca="false">B6*(1+C5/100)</f>
        <v>19097.656746</v>
      </c>
      <c r="D6" s="0" t="n">
        <f aca="false">C6*(1+D5/100)</f>
        <v>19766.07473211</v>
      </c>
      <c r="E6" s="0" t="n">
        <f aca="false">D6*(1+E5/100)</f>
        <v>20556.7177213944</v>
      </c>
      <c r="F6" s="0" t="n">
        <f aca="false">E6*(1+F5/100)</f>
        <v>21378.9864302502</v>
      </c>
      <c r="G6" s="0" t="n">
        <f aca="false">F6*(1+G5/100)</f>
        <v>22127.2509553089</v>
      </c>
      <c r="H6" s="0" t="n">
        <f aca="false">G6*(1+H5/100)</f>
        <v>22791.0684839682</v>
      </c>
      <c r="I6" s="0" t="n">
        <f aca="false">H6*(1+I5/100)</f>
        <v>23474.8005384872</v>
      </c>
      <c r="J6" s="0" t="n">
        <f aca="false">I6*(1+J5/100)</f>
        <v>24061.6705519494</v>
      </c>
      <c r="K6" s="0" t="n">
        <f aca="false">J6*(1+K5/100)</f>
        <v>24663.2123157482</v>
      </c>
      <c r="L6" s="0" t="n">
        <f aca="false">K6*(1+L5/100)</f>
        <v>25279.7926236419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17.4</v>
      </c>
      <c r="D7" s="4" t="n">
        <f aca="false">Assumptions!D28</f>
        <v>17.9</v>
      </c>
      <c r="E7" s="4" t="n">
        <f aca="false">Assumptions!E28</f>
        <v>18.4</v>
      </c>
      <c r="F7" s="4" t="n">
        <f aca="false">Assumptions!F28</f>
        <v>18.8</v>
      </c>
      <c r="G7" s="4" t="n">
        <f aca="false">Assumptions!G28</f>
        <v>19.1</v>
      </c>
      <c r="H7" s="4" t="n">
        <f aca="false">Assumptions!H28</f>
        <v>19.3</v>
      </c>
      <c r="I7" s="4" t="n">
        <f aca="false">Assumptions!I28</f>
        <v>19.4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3322.992273804</v>
      </c>
      <c r="D8" s="0" t="n">
        <f aca="false">D6*D7/100</f>
        <v>3538.12737704769</v>
      </c>
      <c r="E8" s="0" t="n">
        <f aca="false">E6*E7/100</f>
        <v>3782.43606073657</v>
      </c>
      <c r="F8" s="0" t="n">
        <f aca="false">F6*F7/100</f>
        <v>4019.24944888703</v>
      </c>
      <c r="G8" s="0" t="n">
        <f aca="false">G6*G7/100</f>
        <v>4226.30493246401</v>
      </c>
      <c r="H8" s="0" t="n">
        <f aca="false">H6*H7/100</f>
        <v>4398.67621740586</v>
      </c>
      <c r="I8" s="0" t="n">
        <f aca="false">I6*I7/100</f>
        <v>4554.11130446652</v>
      </c>
      <c r="J8" s="0" t="n">
        <f aca="false">J6*J7/100</f>
        <v>4692.02575763014</v>
      </c>
      <c r="K8" s="0" t="n">
        <f aca="false">K6*K7/100</f>
        <v>4809.32640157089</v>
      </c>
      <c r="L8" s="0" t="n">
        <f aca="false">L6*L7/100</f>
        <v>4929.55956161016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2559.086003964</v>
      </c>
      <c r="D11" s="0" t="n">
        <f aca="false">D8+D10+D24</f>
        <v>2747.48438776329</v>
      </c>
      <c r="E11" s="0" t="n">
        <f aca="false">E8+E10+E24</f>
        <v>2960.16735188079</v>
      </c>
      <c r="F11" s="0" t="n">
        <f aca="false">F8+F10+F24</f>
        <v>3164.08999167703</v>
      </c>
      <c r="G11" s="0" t="n">
        <f aca="false">G8+G10+G24</f>
        <v>3341.21489425165</v>
      </c>
      <c r="H11" s="0" t="n">
        <f aca="false">H8+H10+H24</f>
        <v>3487.03347804713</v>
      </c>
      <c r="I11" s="0" t="n">
        <f aca="false">I8+I10+I24</f>
        <v>3615.11928292703</v>
      </c>
      <c r="J11" s="0" t="n">
        <f aca="false">J8+J10+J24</f>
        <v>3729.55893555216</v>
      </c>
      <c r="K11" s="0" t="n">
        <f aca="false">K8+K10+K24</f>
        <v>3822.79790894096</v>
      </c>
      <c r="L11" s="0" t="n">
        <f aca="false">L8+L10+L24</f>
        <v>3918.36785666449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-821.199240078</v>
      </c>
      <c r="D12" s="4" t="n">
        <f aca="false">-D6*Assumptions!D31/100</f>
        <v>-849.94121348073</v>
      </c>
      <c r="E12" s="4" t="n">
        <f aca="false">-E6*Assumptions!E31/100</f>
        <v>-883.938862019959</v>
      </c>
      <c r="F12" s="4" t="n">
        <f aca="false">-F6*Assumptions!F31/100</f>
        <v>-919.296416500757</v>
      </c>
      <c r="G12" s="4" t="n">
        <f aca="false">-G6*Assumptions!G31/100</f>
        <v>-951.471791078284</v>
      </c>
      <c r="H12" s="4" t="n">
        <f aca="false">-H6*Assumptions!H31/100</f>
        <v>-980.015944810632</v>
      </c>
      <c r="I12" s="4" t="n">
        <f aca="false">-I6*Assumptions!I31/100</f>
        <v>-1009.41642315495</v>
      </c>
      <c r="J12" s="4" t="n">
        <f aca="false">-J6*Assumptions!J31/100</f>
        <v>-1034.65183373382</v>
      </c>
      <c r="K12" s="4" t="n">
        <f aca="false">-K6*Assumptions!K31/100</f>
        <v>-1060.51812957717</v>
      </c>
      <c r="L12" s="4" t="n">
        <f aca="false">-L6*Assumptions!L31/100</f>
        <v>-1087.0310828166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1737.886763886</v>
      </c>
      <c r="D13" s="0" t="n">
        <f aca="false">D11+D12</f>
        <v>1897.54317428256</v>
      </c>
      <c r="E13" s="0" t="n">
        <f aca="false">E11+E12</f>
        <v>2076.22848986083</v>
      </c>
      <c r="F13" s="0" t="n">
        <f aca="false">F11+F12</f>
        <v>2244.79357517627</v>
      </c>
      <c r="G13" s="0" t="n">
        <f aca="false">G11+G12</f>
        <v>2389.74310317336</v>
      </c>
      <c r="H13" s="0" t="n">
        <f aca="false">H11+H12</f>
        <v>2507.0175332365</v>
      </c>
      <c r="I13" s="0" t="n">
        <f aca="false">I11+I12</f>
        <v>2605.70285977208</v>
      </c>
      <c r="J13" s="0" t="n">
        <f aca="false">J11+J12</f>
        <v>2694.90710181834</v>
      </c>
      <c r="K13" s="0" t="n">
        <f aca="false">K11+K12</f>
        <v>2762.27977936379</v>
      </c>
      <c r="L13" s="0" t="n">
        <f aca="false">L11+L12</f>
        <v>2831.33677384789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1286.03620527564</v>
      </c>
      <c r="D15" s="0" t="n">
        <f aca="false">D13-MAX(0,D13)*D14/100</f>
        <v>1404.18194896909</v>
      </c>
      <c r="E15" s="0" t="n">
        <f aca="false">E13-MAX(0,E13)*E14/100</f>
        <v>1536.40908249702</v>
      </c>
      <c r="F15" s="0" t="n">
        <f aca="false">F13-MAX(0,F13)*F14/100</f>
        <v>1661.14724563044</v>
      </c>
      <c r="G15" s="0" t="n">
        <f aca="false">G13-MAX(0,G13)*G14/100</f>
        <v>1768.40989634829</v>
      </c>
      <c r="H15" s="0" t="n">
        <f aca="false">H13-MAX(0,H13)*H14/100</f>
        <v>1855.19297459501</v>
      </c>
      <c r="I15" s="0" t="n">
        <f aca="false">I13-MAX(0,I13)*I14/100</f>
        <v>1928.22011623134</v>
      </c>
      <c r="J15" s="0" t="n">
        <f aca="false">J13-MAX(0,J13)*J14/100</f>
        <v>1994.23125534557</v>
      </c>
      <c r="K15" s="0" t="n">
        <f aca="false">K13-MAX(0,K13)*K14/100</f>
        <v>2044.08703672921</v>
      </c>
      <c r="L15" s="0" t="n">
        <f aca="false">L13-MAX(0,L13)*L14/100</f>
        <v>2095.18921264744</v>
      </c>
    </row>
    <row r="16" customFormat="false" ht="15" hidden="false" customHeight="false" outlineLevel="0" collapsed="false">
      <c r="A16" s="0" t="s">
        <v>119</v>
      </c>
      <c r="C16" s="0" t="n">
        <f aca="false">-C12</f>
        <v>821.199240078</v>
      </c>
      <c r="D16" s="0" t="n">
        <f aca="false">-D12</f>
        <v>849.94121348073</v>
      </c>
      <c r="E16" s="0" t="n">
        <f aca="false">-E12</f>
        <v>883.938862019959</v>
      </c>
      <c r="F16" s="0" t="n">
        <f aca="false">-F12</f>
        <v>919.296416500757</v>
      </c>
      <c r="G16" s="0" t="n">
        <f aca="false">-G12</f>
        <v>951.471791078284</v>
      </c>
      <c r="H16" s="0" t="n">
        <f aca="false">-H12</f>
        <v>980.015944810632</v>
      </c>
      <c r="I16" s="0" t="n">
        <f aca="false">-I12</f>
        <v>1009.41642315495</v>
      </c>
      <c r="J16" s="0" t="n">
        <f aca="false">-J12</f>
        <v>1034.65183373382</v>
      </c>
      <c r="K16" s="0" t="n">
        <f aca="false">-K12</f>
        <v>1060.51812957717</v>
      </c>
      <c r="L16" s="0" t="n">
        <f aca="false">-L12</f>
        <v>1087.0310828166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-954.8828373</v>
      </c>
      <c r="D17" s="4" t="n">
        <f aca="false">-D6*Assumptions!D32/100</f>
        <v>-948.77158714128</v>
      </c>
      <c r="E17" s="4" t="n">
        <f aca="false">-E6*Assumptions!E32/100</f>
        <v>-945.609015184142</v>
      </c>
      <c r="F17" s="4" t="n">
        <f aca="false">-F6*Assumptions!F32/100</f>
        <v>-962.054389361258</v>
      </c>
      <c r="G17" s="4" t="n">
        <f aca="false">-G6*Assumptions!G32/100</f>
        <v>-973.599042033593</v>
      </c>
      <c r="H17" s="4" t="n">
        <f aca="false">-H6*Assumptions!H32/100</f>
        <v>-980.015944810632</v>
      </c>
      <c r="I17" s="4" t="n">
        <f aca="false">-I6*Assumptions!I32/100</f>
        <v>-1009.41642315495</v>
      </c>
      <c r="J17" s="4" t="n">
        <f aca="false">-J6*Assumptions!J32/100</f>
        <v>-1034.65183373382</v>
      </c>
      <c r="K17" s="4" t="n">
        <f aca="false">-K6*Assumptions!K32/100</f>
        <v>-1060.51812957717</v>
      </c>
      <c r="L17" s="4" t="n">
        <f aca="false">-L6*Assumptions!L32/100</f>
        <v>-1087.0310828166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52.9945254000002</v>
      </c>
      <c r="D18" s="4" t="n">
        <f aca="false">(D6-C6)*Assumptions!$B$37/100</f>
        <v>-66.8417986109998</v>
      </c>
      <c r="E18" s="4" t="n">
        <f aca="false">(E6-D6)*Assumptions!$B$37/100</f>
        <v>-79.0642989284399</v>
      </c>
      <c r="F18" s="4" t="n">
        <f aca="false">(F6-E6)*Assumptions!$B$37/100</f>
        <v>-82.2268708855776</v>
      </c>
      <c r="G18" s="4" t="n">
        <f aca="false">(G6-F6)*Assumptions!$B$37/100</f>
        <v>-74.8264525058756</v>
      </c>
      <c r="H18" s="4" t="n">
        <f aca="false">(H6-G6)*Assumptions!$B$37/100</f>
        <v>-66.3817528659267</v>
      </c>
      <c r="I18" s="4" t="n">
        <f aca="false">(I6-H6)*Assumptions!$B$37/100</f>
        <v>-68.3732054519045</v>
      </c>
      <c r="J18" s="4" t="n">
        <f aca="false">(J6-I6)*Assumptions!$B$37/100</f>
        <v>-58.687001346218</v>
      </c>
      <c r="K18" s="4" t="n">
        <f aca="false">(K6-J6)*Assumptions!$B$37/100</f>
        <v>-60.1541763798734</v>
      </c>
      <c r="L18" s="4" t="n">
        <f aca="false">(L6-K6)*Assumptions!$B$37/100</f>
        <v>-61.6580307893702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1205.34713345364</v>
      </c>
      <c r="D19" s="0" t="n">
        <f aca="false">D15+D16+D17+D18</f>
        <v>1238.50977669754</v>
      </c>
      <c r="E19" s="0" t="n">
        <f aca="false">E15+E16+E17+E18</f>
        <v>1395.67463040439</v>
      </c>
      <c r="F19" s="0" t="n">
        <f aca="false">F15+F16+F17+F18</f>
        <v>1536.16240188436</v>
      </c>
      <c r="G19" s="0" t="n">
        <f aca="false">G15+G16+G17+G18</f>
        <v>1671.4561928871</v>
      </c>
      <c r="H19" s="0" t="n">
        <f aca="false">H15+H16+H17+H18</f>
        <v>1788.81122172908</v>
      </c>
      <c r="I19" s="0" t="n">
        <f aca="false">I15+I16+I17+I18</f>
        <v>1859.84691077944</v>
      </c>
      <c r="J19" s="0" t="n">
        <f aca="false">J15+J16+J17+J18</f>
        <v>1935.54425399935</v>
      </c>
      <c r="K19" s="0" t="n">
        <f aca="false">K15+K16+K17+K18</f>
        <v>1983.93286034933</v>
      </c>
      <c r="L19" s="0" t="n">
        <f aca="false">L15+L16+L17+L18</f>
        <v>2033.53118185807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1126.49264808751</v>
      </c>
      <c r="D21" s="0" t="n">
        <f aca="false">D19*D20</f>
        <v>1081.76240431264</v>
      </c>
      <c r="E21" s="0" t="n">
        <f aca="false">E19*E20</f>
        <v>1139.28623762953</v>
      </c>
      <c r="F21" s="0" t="n">
        <f aca="false">F19*F20</f>
        <v>1171.930941325</v>
      </c>
      <c r="G21" s="0" t="n">
        <f aca="false">G19*G20</f>
        <v>1191.72516514089</v>
      </c>
      <c r="H21" s="0" t="n">
        <f aca="false">H19*H20</f>
        <v>1191.96044747489</v>
      </c>
      <c r="I21" s="0" t="n">
        <f aca="false">I19*I20</f>
        <v>1158.21918363275</v>
      </c>
      <c r="J21" s="0" t="n">
        <f aca="false">J19*J20</f>
        <v>1126.50437811617</v>
      </c>
      <c r="K21" s="0" t="n">
        <f aca="false">K19*K20</f>
        <v>1079.12802576549</v>
      </c>
      <c r="L21" s="0" t="n">
        <f aca="false">L19*L20</f>
        <v>1033.74413683142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4</v>
      </c>
      <c r="D23" s="4" t="n">
        <f aca="false">Assumptions!D30</f>
        <v>4</v>
      </c>
      <c r="E23" s="4" t="n">
        <f aca="false">Assumptions!E30</f>
        <v>4</v>
      </c>
      <c r="F23" s="4" t="n">
        <f aca="false">Assumptions!F30</f>
        <v>4</v>
      </c>
      <c r="G23" s="4" t="n">
        <f aca="false">Assumptions!G30</f>
        <v>4</v>
      </c>
      <c r="H23" s="4" t="n">
        <f aca="false">Assumptions!H30</f>
        <v>4</v>
      </c>
      <c r="I23" s="4" t="n">
        <f aca="false">Assumptions!I30</f>
        <v>4</v>
      </c>
      <c r="J23" s="4" t="n">
        <f aca="false">Assumptions!J30</f>
        <v>4</v>
      </c>
      <c r="K23" s="4" t="n">
        <f aca="false">Assumptions!K30</f>
        <v>4</v>
      </c>
      <c r="L23" s="4" t="n">
        <f aca="false">Assumptions!L30</f>
        <v>4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-763.90626984</v>
      </c>
      <c r="D24" s="0" t="n">
        <f aca="false">-D6*D23/100</f>
        <v>-790.6429892844</v>
      </c>
      <c r="E24" s="0" t="n">
        <f aca="false">-E6*E23/100</f>
        <v>-822.268708855776</v>
      </c>
      <c r="F24" s="0" t="n">
        <f aca="false">-F6*F23/100</f>
        <v>-855.159457210007</v>
      </c>
      <c r="G24" s="0" t="n">
        <f aca="false">-G6*G23/100</f>
        <v>-885.090038212357</v>
      </c>
      <c r="H24" s="0" t="n">
        <f aca="false">-H6*H23/100</f>
        <v>-911.642739358728</v>
      </c>
      <c r="I24" s="0" t="n">
        <f aca="false">-I6*I23/100</f>
        <v>-938.99202153949</v>
      </c>
      <c r="J24" s="0" t="n">
        <f aca="false">-J6*J23/100</f>
        <v>-962.466822077977</v>
      </c>
      <c r="K24" s="0" t="n">
        <f aca="false">-K6*K23/100</f>
        <v>-986.528492629926</v>
      </c>
      <c r="L24" s="0" t="n">
        <f aca="false">-L6*L23/100</f>
        <v>-1011.19170494567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11300.7535683163</v>
      </c>
    </row>
    <row r="31" customFormat="false" ht="15" hidden="false" customHeight="false" outlineLevel="0" collapsed="false">
      <c r="A31" s="0" t="s">
        <v>128</v>
      </c>
      <c r="B31" s="0" t="n">
        <f aca="false">L19</f>
        <v>2033.53118185807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41484.0361099046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30502.967727871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30502.967727871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15506.1620524714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26806.9156207877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16979.1156207877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63.8048762571405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0.576986560977274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63.8048762571405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15955.3985038094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7.13851207747835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-2</v>
      </c>
      <c r="D5" s="4" t="n">
        <f aca="false">Assumptions!D41</f>
        <v>5.5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19627.602</v>
      </c>
      <c r="C6" s="0" t="n">
        <f aca="false">B6*(1+C5/100)</f>
        <v>19235.04996</v>
      </c>
      <c r="D6" s="0" t="n">
        <f aca="false">C6*(1+D5/100)</f>
        <v>20292.9777078</v>
      </c>
      <c r="E6" s="0" t="n">
        <f aca="false">D6*(1+E5/100)</f>
        <v>21510.556370268</v>
      </c>
      <c r="F6" s="0" t="n">
        <f aca="false">E6*(1+F5/100)</f>
        <v>22801.1897524841</v>
      </c>
      <c r="G6" s="0" t="n">
        <f aca="false">F6*(1+G5/100)</f>
        <v>24055.2551888707</v>
      </c>
      <c r="H6" s="0" t="n">
        <f aca="false">G6*(1+H5/100)</f>
        <v>25137.7416723699</v>
      </c>
      <c r="I6" s="0" t="n">
        <f aca="false">H6*(1+I5/100)</f>
        <v>26143.2513392647</v>
      </c>
      <c r="J6" s="0" t="n">
        <f aca="false">I6*(1+J5/100)</f>
        <v>27058.2651361389</v>
      </c>
      <c r="K6" s="0" t="n">
        <f aca="false">J6*(1+K5/100)</f>
        <v>27870.0130902231</v>
      </c>
      <c r="L6" s="0" t="n">
        <f aca="false">K6*(1+L5/100)</f>
        <v>28706.1134829298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17.6</v>
      </c>
      <c r="D7" s="4" t="n">
        <f aca="false">Assumptions!D42</f>
        <v>18.5</v>
      </c>
      <c r="E7" s="4" t="n">
        <f aca="false">Assumptions!E42</f>
        <v>19.4</v>
      </c>
      <c r="F7" s="4" t="n">
        <f aca="false">Assumptions!F42</f>
        <v>20.2</v>
      </c>
      <c r="G7" s="4" t="n">
        <f aca="false">Assumptions!G42</f>
        <v>20.8</v>
      </c>
      <c r="H7" s="4" t="n">
        <f aca="false">Assumptions!H42</f>
        <v>21.2</v>
      </c>
      <c r="I7" s="4" t="n">
        <f aca="false">Assumptions!I42</f>
        <v>21.4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3385.36879296</v>
      </c>
      <c r="D8" s="0" t="n">
        <f aca="false">D6*D7/100</f>
        <v>3754.200875943</v>
      </c>
      <c r="E8" s="0" t="n">
        <f aca="false">E6*E7/100</f>
        <v>4173.04793583199</v>
      </c>
      <c r="F8" s="0" t="n">
        <f aca="false">F6*F7/100</f>
        <v>4605.84033000178</v>
      </c>
      <c r="G8" s="0" t="n">
        <f aca="false">G6*G7/100</f>
        <v>5003.49307928511</v>
      </c>
      <c r="H8" s="0" t="n">
        <f aca="false">H6*H7/100</f>
        <v>5329.20123454242</v>
      </c>
      <c r="I8" s="0" t="n">
        <f aca="false">I6*I7/100</f>
        <v>5594.65578660264</v>
      </c>
      <c r="J8" s="0" t="n">
        <f aca="false">J6*J7/100</f>
        <v>5817.52700426987</v>
      </c>
      <c r="K8" s="0" t="n">
        <f aca="false">K6*K7/100</f>
        <v>5992.05281439797</v>
      </c>
      <c r="L8" s="0" t="n">
        <f aca="false">L6*L7/100</f>
        <v>6171.81439882991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2615.96679456</v>
      </c>
      <c r="D11" s="0" t="n">
        <f aca="false">D8+D10+D24</f>
        <v>2942.481767631</v>
      </c>
      <c r="E11" s="0" t="n">
        <f aca="false">E8+E10+E24</f>
        <v>3312.62568102127</v>
      </c>
      <c r="F11" s="0" t="n">
        <f aca="false">F8+F10+F24</f>
        <v>3693.79273990242</v>
      </c>
      <c r="G11" s="0" t="n">
        <f aca="false">G8+G10+G24</f>
        <v>4041.28287173028</v>
      </c>
      <c r="H11" s="0" t="n">
        <f aca="false">H8+H10+H24</f>
        <v>4323.69156764762</v>
      </c>
      <c r="I11" s="0" t="n">
        <f aca="false">I8+I10+I24</f>
        <v>4548.92573303205</v>
      </c>
      <c r="J11" s="0" t="n">
        <f aca="false">J8+J10+J24</f>
        <v>4735.19639882431</v>
      </c>
      <c r="K11" s="0" t="n">
        <f aca="false">K8+K10+K24</f>
        <v>4877.25229078905</v>
      </c>
      <c r="L11" s="0" t="n">
        <f aca="false">L8+L10+L24</f>
        <v>5023.56985951272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-827.10714828</v>
      </c>
      <c r="D12" s="4" t="n">
        <f aca="false">-D6*Assumptions!D45/100</f>
        <v>-872.5980414354</v>
      </c>
      <c r="E12" s="4" t="n">
        <f aca="false">-E6*Assumptions!E45/100</f>
        <v>-924.953923921524</v>
      </c>
      <c r="F12" s="4" t="n">
        <f aca="false">-F6*Assumptions!F45/100</f>
        <v>-980.451159356815</v>
      </c>
      <c r="G12" s="4" t="n">
        <f aca="false">-G6*Assumptions!G45/100</f>
        <v>-1034.37597312144</v>
      </c>
      <c r="H12" s="4" t="n">
        <f aca="false">-H6*Assumptions!H45/100</f>
        <v>-1080.92289191191</v>
      </c>
      <c r="I12" s="4" t="n">
        <f aca="false">-I6*Assumptions!I45/100</f>
        <v>-1124.15980758838</v>
      </c>
      <c r="J12" s="4" t="n">
        <f aca="false">-J6*Assumptions!J45/100</f>
        <v>-1163.50540085397</v>
      </c>
      <c r="K12" s="4" t="n">
        <f aca="false">-K6*Assumptions!K45/100</f>
        <v>-1198.41056287959</v>
      </c>
      <c r="L12" s="4" t="n">
        <f aca="false">-L6*Assumptions!L45/100</f>
        <v>-1234.36287976598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1788.85964628</v>
      </c>
      <c r="D13" s="0" t="n">
        <f aca="false">D11+D12</f>
        <v>2069.8837261956</v>
      </c>
      <c r="E13" s="0" t="n">
        <f aca="false">E11+E12</f>
        <v>2387.67175709975</v>
      </c>
      <c r="F13" s="0" t="n">
        <f aca="false">F11+F12</f>
        <v>2713.34158054561</v>
      </c>
      <c r="G13" s="0" t="n">
        <f aca="false">G11+G12</f>
        <v>3006.90689860884</v>
      </c>
      <c r="H13" s="0" t="n">
        <f aca="false">H11+H12</f>
        <v>3242.76867573572</v>
      </c>
      <c r="I13" s="0" t="n">
        <f aca="false">I11+I12</f>
        <v>3424.76592544367</v>
      </c>
      <c r="J13" s="0" t="n">
        <f aca="false">J11+J12</f>
        <v>3571.69099797034</v>
      </c>
      <c r="K13" s="0" t="n">
        <f aca="false">K11+K12</f>
        <v>3678.84172790945</v>
      </c>
      <c r="L13" s="0" t="n">
        <f aca="false">L11+L12</f>
        <v>3789.20697974673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1323.7561382472</v>
      </c>
      <c r="D15" s="0" t="n">
        <f aca="false">D13-MAX(0,D13)*D14/100</f>
        <v>1531.71395738474</v>
      </c>
      <c r="E15" s="0" t="n">
        <f aca="false">E13-MAX(0,E13)*E14/100</f>
        <v>1766.87710025381</v>
      </c>
      <c r="F15" s="0" t="n">
        <f aca="false">F13-MAX(0,F13)*F14/100</f>
        <v>2007.87276960375</v>
      </c>
      <c r="G15" s="0" t="n">
        <f aca="false">G13-MAX(0,G13)*G14/100</f>
        <v>2225.11110497054</v>
      </c>
      <c r="H15" s="0" t="n">
        <f aca="false">H13-MAX(0,H13)*H14/100</f>
        <v>2399.64882004443</v>
      </c>
      <c r="I15" s="0" t="n">
        <f aca="false">I13-MAX(0,I13)*I14/100</f>
        <v>2534.32678482832</v>
      </c>
      <c r="J15" s="0" t="n">
        <f aca="false">J13-MAX(0,J13)*J14/100</f>
        <v>2643.05133849805</v>
      </c>
      <c r="K15" s="0" t="n">
        <f aca="false">K13-MAX(0,K13)*K14/100</f>
        <v>2722.34287865299</v>
      </c>
      <c r="L15" s="0" t="n">
        <f aca="false">L13-MAX(0,L13)*L14/100</f>
        <v>2804.01316501258</v>
      </c>
    </row>
    <row r="16" customFormat="false" ht="15" hidden="false" customHeight="false" outlineLevel="0" collapsed="false">
      <c r="A16" s="0" t="s">
        <v>119</v>
      </c>
      <c r="C16" s="0" t="n">
        <f aca="false">-C12</f>
        <v>827.10714828</v>
      </c>
      <c r="D16" s="0" t="n">
        <f aca="false">-D12</f>
        <v>872.5980414354</v>
      </c>
      <c r="E16" s="0" t="n">
        <f aca="false">-E12</f>
        <v>924.953923921524</v>
      </c>
      <c r="F16" s="0" t="n">
        <f aca="false">-F12</f>
        <v>980.451159356815</v>
      </c>
      <c r="G16" s="0" t="n">
        <f aca="false">-G12</f>
        <v>1034.37597312144</v>
      </c>
      <c r="H16" s="0" t="n">
        <f aca="false">-H12</f>
        <v>1080.92289191191</v>
      </c>
      <c r="I16" s="0" t="n">
        <f aca="false">-I12</f>
        <v>1124.15980758838</v>
      </c>
      <c r="J16" s="0" t="n">
        <f aca="false">-J12</f>
        <v>1163.50540085397</v>
      </c>
      <c r="K16" s="0" t="n">
        <f aca="false">-K12</f>
        <v>1198.41056287959</v>
      </c>
      <c r="L16" s="0" t="n">
        <f aca="false">-L12</f>
        <v>1234.36287976598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-961.752498</v>
      </c>
      <c r="D17" s="4" t="n">
        <f aca="false">-D6*Assumptions!D46/100</f>
        <v>-974.0629299744</v>
      </c>
      <c r="E17" s="4" t="n">
        <f aca="false">-E6*Assumptions!E46/100</f>
        <v>-989.485593032328</v>
      </c>
      <c r="F17" s="4" t="n">
        <f aca="false">-F6*Assumptions!F46/100</f>
        <v>-1026.05353886178</v>
      </c>
      <c r="G17" s="4" t="n">
        <f aca="false">-G6*Assumptions!G46/100</f>
        <v>-1058.43122831031</v>
      </c>
      <c r="H17" s="4" t="n">
        <f aca="false">-H6*Assumptions!H46/100</f>
        <v>-1080.92289191191</v>
      </c>
      <c r="I17" s="4" t="n">
        <f aca="false">-I6*Assumptions!I46/100</f>
        <v>-1124.15980758838</v>
      </c>
      <c r="J17" s="4" t="n">
        <f aca="false">-J6*Assumptions!J46/100</f>
        <v>-1163.50540085397</v>
      </c>
      <c r="K17" s="4" t="n">
        <f aca="false">-K6*Assumptions!K46/100</f>
        <v>-1198.41056287959</v>
      </c>
      <c r="L17" s="4" t="n">
        <f aca="false">-L6*Assumptions!L46/100</f>
        <v>-1234.36287976598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39.2552039999999</v>
      </c>
      <c r="D18" s="4" t="n">
        <f aca="false">(D6-C6)*Assumptions!$B$51/100</f>
        <v>-105.79277478</v>
      </c>
      <c r="E18" s="4" t="n">
        <f aca="false">(E6-D6)*Assumptions!$B$51/100</f>
        <v>-121.7578662468</v>
      </c>
      <c r="F18" s="4" t="n">
        <f aca="false">(F6-E6)*Assumptions!$B$51/100</f>
        <v>-129.063338221608</v>
      </c>
      <c r="G18" s="4" t="n">
        <f aca="false">(G6-F6)*Assumptions!$B$51/100</f>
        <v>-125.406543638662</v>
      </c>
      <c r="H18" s="4" t="n">
        <f aca="false">(H6-G6)*Assumptions!$B$51/100</f>
        <v>-108.248648349918</v>
      </c>
      <c r="I18" s="4" t="n">
        <f aca="false">(I6-H6)*Assumptions!$B$51/100</f>
        <v>-100.55096668948</v>
      </c>
      <c r="J18" s="4" t="n">
        <f aca="false">(J6-I6)*Assumptions!$B$51/100</f>
        <v>-91.501379687426</v>
      </c>
      <c r="K18" s="4" t="n">
        <f aca="false">(K6-J6)*Assumptions!$B$51/100</f>
        <v>-81.1747954084171</v>
      </c>
      <c r="L18" s="4" t="n">
        <f aca="false">(L6-K6)*Assumptions!$B$51/100</f>
        <v>-83.6100392706696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1228.3659925272</v>
      </c>
      <c r="D19" s="0" t="n">
        <f aca="false">D15+D16+D17+D18</f>
        <v>1324.45629406574</v>
      </c>
      <c r="E19" s="0" t="n">
        <f aca="false">E15+E16+E17+E18</f>
        <v>1580.58756489621</v>
      </c>
      <c r="F19" s="0" t="n">
        <f aca="false">F15+F16+F17+F18</f>
        <v>1833.20705187717</v>
      </c>
      <c r="G19" s="0" t="n">
        <f aca="false">G15+G16+G17+G18</f>
        <v>2075.64930614301</v>
      </c>
      <c r="H19" s="0" t="n">
        <f aca="false">H15+H16+H17+H18</f>
        <v>2291.40017169451</v>
      </c>
      <c r="I19" s="0" t="n">
        <f aca="false">I15+I16+I17+I18</f>
        <v>2433.77581813884</v>
      </c>
      <c r="J19" s="0" t="n">
        <f aca="false">J15+J16+J17+J18</f>
        <v>2551.54995881063</v>
      </c>
      <c r="K19" s="0" t="n">
        <f aca="false">K15+K16+K17+K18</f>
        <v>2641.16808324458</v>
      </c>
      <c r="L19" s="0" t="n">
        <f aca="false">L15+L16+L17+L18</f>
        <v>2720.40312574191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1148.00560049271</v>
      </c>
      <c r="D21" s="0" t="n">
        <f aca="false">D19*D20</f>
        <v>1156.83142114223</v>
      </c>
      <c r="E21" s="0" t="n">
        <f aca="false">E19*E20</f>
        <v>1290.23027346486</v>
      </c>
      <c r="F21" s="0" t="n">
        <f aca="false">F19*F20</f>
        <v>1398.54488256885</v>
      </c>
      <c r="G21" s="0" t="n">
        <f aca="false">G19*G20</f>
        <v>1479.90926873483</v>
      </c>
      <c r="H21" s="0" t="n">
        <f aca="false">H19*H20</f>
        <v>1526.85668606046</v>
      </c>
      <c r="I21" s="0" t="n">
        <f aca="false">I19*I20</f>
        <v>1515.63326255092</v>
      </c>
      <c r="J21" s="0" t="n">
        <f aca="false">J19*J20</f>
        <v>1485.02530678033</v>
      </c>
      <c r="K21" s="0" t="n">
        <f aca="false">K19*K20</f>
        <v>1436.62044031302</v>
      </c>
      <c r="L21" s="0" t="n">
        <f aca="false">L19*L20</f>
        <v>1382.91500329198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4</v>
      </c>
      <c r="D23" s="4" t="n">
        <f aca="false">Assumptions!D44</f>
        <v>4</v>
      </c>
      <c r="E23" s="4" t="n">
        <f aca="false">Assumptions!E44</f>
        <v>4</v>
      </c>
      <c r="F23" s="4" t="n">
        <f aca="false">Assumptions!F44</f>
        <v>4</v>
      </c>
      <c r="G23" s="4" t="n">
        <f aca="false">Assumptions!G44</f>
        <v>4</v>
      </c>
      <c r="H23" s="4" t="n">
        <f aca="false">Assumptions!H44</f>
        <v>4</v>
      </c>
      <c r="I23" s="4" t="n">
        <f aca="false">Assumptions!I44</f>
        <v>4</v>
      </c>
      <c r="J23" s="4" t="n">
        <f aca="false">Assumptions!J44</f>
        <v>4</v>
      </c>
      <c r="K23" s="4" t="n">
        <f aca="false">Assumptions!K44</f>
        <v>4</v>
      </c>
      <c r="L23" s="4" t="n">
        <f aca="false">Assumptions!L44</f>
        <v>4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-769.4019984</v>
      </c>
      <c r="D24" s="0" t="n">
        <f aca="false">-D6*D23/100</f>
        <v>-811.719108312</v>
      </c>
      <c r="E24" s="0" t="n">
        <f aca="false">-E6*E23/100</f>
        <v>-860.42225481072</v>
      </c>
      <c r="F24" s="0" t="n">
        <f aca="false">-F6*F23/100</f>
        <v>-912.047590099363</v>
      </c>
      <c r="G24" s="0" t="n">
        <f aca="false">-G6*G23/100</f>
        <v>-962.210207554828</v>
      </c>
      <c r="H24" s="0" t="n">
        <f aca="false">-H6*H23/100</f>
        <v>-1005.5096668948</v>
      </c>
      <c r="I24" s="0" t="n">
        <f aca="false">-I6*I23/100</f>
        <v>-1045.73005357059</v>
      </c>
      <c r="J24" s="0" t="n">
        <f aca="false">-J6*J23/100</f>
        <v>-1082.33060544556</v>
      </c>
      <c r="K24" s="0" t="n">
        <f aca="false">-K6*K23/100</f>
        <v>-1114.80052360892</v>
      </c>
      <c r="L24" s="0" t="n">
        <f aca="false">-L6*L23/100</f>
        <v>-1148.24453931719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13820.5721454002</v>
      </c>
    </row>
    <row r="31" customFormat="false" ht="15" hidden="false" customHeight="false" outlineLevel="0" collapsed="false">
      <c r="A31" s="0" t="s">
        <v>128</v>
      </c>
      <c r="B31" s="0" t="n">
        <f aca="false">L19</f>
        <v>2720.40312574191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61964.7378641214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43526.4500118706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43526.4500118706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22126.6400526716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35947.2121980718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26119.4121980718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98.152689482063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1.42591916663527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98.152689482063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22307.3056310837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18.9325167964741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22.2205510646747</v>
      </c>
      <c r="C4" s="0" t="n">
        <f aca="false">B4/Assumptions!$B$2-1</f>
        <v>-0.450802000378776</v>
      </c>
      <c r="D4" s="4" t="n">
        <f aca="false">Assumptions!$B$24</f>
        <v>0.25</v>
      </c>
      <c r="E4" s="4" t="n">
        <f aca="false">DCF_Bear!$B$43</f>
        <v>22.2205510646747</v>
      </c>
      <c r="F4" s="4" t="n">
        <f aca="false">DCF_Bear!$B$47</f>
        <v>-6.63158379525474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63.8048762571405</v>
      </c>
      <c r="C5" s="0" t="n">
        <f aca="false">B5/Assumptions!$B$2-1</f>
        <v>0.576986560977274</v>
      </c>
      <c r="D5" s="4" t="n">
        <f aca="false">Assumptions!$B$38</f>
        <v>0.5</v>
      </c>
      <c r="E5" s="4" t="n">
        <f aca="false">DCF_Base!$B$43</f>
        <v>63.8048762571405</v>
      </c>
      <c r="F5" s="4" t="n">
        <f aca="false">DCF_Base!$B$47</f>
        <v>7.13851207747835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98.152689482063</v>
      </c>
      <c r="C6" s="0" t="n">
        <f aca="false">B6/Assumptions!$B$2-1</f>
        <v>1.42591916663527</v>
      </c>
      <c r="D6" s="4" t="n">
        <f aca="false">Assumptions!$B$52</f>
        <v>0.25</v>
      </c>
      <c r="E6" s="4" t="n">
        <f aca="false">DCF_Bull!$B$43</f>
        <v>98.152689482063</v>
      </c>
      <c r="F6" s="4" t="n">
        <f aca="false">DCF_Bull!$B$47</f>
        <v>18.9325167964741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61.9957482652547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61.9957482652547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0.347374600159868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6.64448928904401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63.8048762571405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48.5409822720639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37.2621910816344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28.5150873475693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21.5387693851252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7.13851207747835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80.5782692381695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80.5782692381695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80.5782692381695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80.5782692381695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80.5782692381695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71.79003563598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71.79003563598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71.79003563598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71.79003563598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71.79003563598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63.8048762571405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63.8048762571405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63.8048762571405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63.8048762571405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63.8048762571405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54.5180329819072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56.5406517727484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56.5406517727484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56.5406517727484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56.5406517727484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42.2580390836934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45.1900792382663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48.5409822720639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49.9243826071179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49.9243826071179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2026-10-24T22:20:53Z</dcterms:created>
  <dc:creator>openpyxl</dc:creator>
  <dc:description/>
  <dc:language>en-NZ</dc:language>
  <cp:lastModifiedBy/>
  <dcterms:modified xsi:type="dcterms:W3CDTF">2026-10-24T22:20:53Z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