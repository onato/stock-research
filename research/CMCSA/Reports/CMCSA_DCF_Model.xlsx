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<sst xmlns="http://schemas.openxmlformats.org/spreadsheetml/2006/main" count="390" uniqueCount="176">
  <si>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</si>
  <si>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CMCSA</t>
  </si>
  <si>
    <t xml:space="preserve">Company</t>
  </si>
  <si>
    <t xml:space="preserve">Comcast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</si>
  <si>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</si>
  <si>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</si>
  <si>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</si>
  <si>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</si>
  <si>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</si>
  <si>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</si>
  <si>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</si>
  <si>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</si>
  <si>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</si>
  <si>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</si>
  <si>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</si>
  <si>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</si>
  <si>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</si>
  <si>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</si>
  <si>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</si>
  <si>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</si>
  <si>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</si>
  <si>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2026-09-26T00:50:14Z</t>
  </si>
  <si>
    <t xml:space="preserve">Drivers file</t>
  </si>
  <si>
    <t xml:space="preserve">CMCSA_Drivers.json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</si>
  <si>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</si>
  <si>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</si>
  <si>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</si>
  <si>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a pro forma ex-Versant base, charging SBC once (flows expensed, count flat), with capitalised software counted as capex and cash taxes normalised from the OBBBA trough. The market at ~8-9x EV/owner-FCF is pricing a long harvest of a shrinking broadband franchise; the model asks how bad that decline must be to justify today's price.
key_risks_to_valuation: Broadband subscriber and ARPU decline steeper than the bear path (fibre + FWA repricing); Revenue base is an estimate: Versant FY2025 revenue (~6.8bn) and EBITDA (~2.4bn) are not restated in the filings; Cash tax normalisation pace under OBBBA full expensing (each 5pp of cash tax ~ 1bn/yr of FCF); Separation dis-synergies, one-off costs and leverage allocation between the two companies (mid-2027); Book value of debt used in the bridge; long-dated low-coupon bonds trade well below par, which would raise equity value on a market-value bridge; Theme-park attendance softness and advertising cyclicality</t>
  </si>
  <si>
    <t xml:space="preserve">Data sources</t>
  </si>
  <si>
    <t xml:space="preserve">price: Yahoo Finance chart API at inputs.price_as_of; 52-week range 21.28-32.86
financials: SEC XBRL companyfacts CIK 1166691 (10-K FY2025 filed 2026-02-03; 10-Q Q2-2026 filed 2026-07-23); CMCSA_Metrics.csv
qualitative: CMCSA_Analysis.json (2026-09-26): Q2-2026 results, separation announcement June 2026, Versant spin January 2026, CFO broadband commentary September 2026</t>
  </si>
  <si>
    <t xml:space="preserve">Scenario narrative: bear</t>
  </si>
  <si>
    <t xml:space="preserve">Broadband enters a full repricing cycle: fibre passings grow 4-5% a year and FWA undercuts on price, subscriber losses worsen (KeyBanc ~665k in 2027) and ARPU falls, so the ~70%-margin connectivity profit pool shrinks year after year. Comcast must keep capex near 11.5-12% to match fibre speeds, theme-park attendance softness persists, linear advertising erodes, and separation adds dis-synergies. Revenue declines 1-3% a year and pre-SBC EBITDA margin compresses to 24% - a harvest business capitalised at 8x with -1% terminal growth.</t>
  </si>
  <si>
    <t xml:space="preserve">Scenario narrative: base</t>
  </si>
  <si>
    <t xml:space="preserve">Broadband keeps losing subscribers to fibre overbuild and T-Mobile/Verizon fixed wireless and domestic broadband revenue falls ~4-5% a year, but converged wireless (record 448k lines in Q2-26), business services, Epic Universe and a now-profitable Peacock roughly offset it: revenue ~1% a year ex-events, pre-SBC EBITDA margin slips from ~30% to 29%, capex stays ~11% of revenue, and cash taxes normalise from the OBBBA trough to 23%. The mid-2027 NBCU/Sky spin is value-neutral in aggregate.</t>
  </si>
  <si>
    <t xml:space="preserve">Scenario narrative: bull</t>
  </si>
  <si>
    <t xml:space="preserve">Broadband losses peak in 2026-27 as 'irrational' sub-$40 gigabit pricing rationalises and the convergence bundle (wireless penetration of the ~31m broadband base) stems churn; Peacock scales from breakeven to a 1-2bn EBITDA contributor; Epic Universe sustains Orlando attendance; the separation sharpens capital allocation and removes the conglomerate discount. Revenue grows 2-2.5%, margin expands to 31.5%, capex intensity eases to 10.5%.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</si>
  <si>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</si>
  <si>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</si>
  <si>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</si>
  <si>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</si>
  <si>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</si>
  <si>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</si>
  <si>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</si>
  <si>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</si>
  <si>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</si>
  <si>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</si>
  <si>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</si>
  <si>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</si>
  <si>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</si>
  <si>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</si>
  <si>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</si>
  <si>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</si>
  <si>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</si>
  <si>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</si>
  <si>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</si>
  <si>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</si>
  <si>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</si>
  <si>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</si>
  <si>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</si>
  <si>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</si>
  <si>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</si>
  <si>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</si>
  <si>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</si>
  <si>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</si>
  <si>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</si>
  <si>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</si>
  <si>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</si>
  <si>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</si>
  <si>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</si>
  <si>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</si>
  <si>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</si>
  <si>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</si>
  <si>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</si>
  <si>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</si>
  <si>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</si>
  <si>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</si>
  <si>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</si>
  <si>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</si>
  <si>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</si>
  <si>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</si>
  <si>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</si>
  <si>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</si>
  <si>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</si>
  <si>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</si>
  <si>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</si>
  <si>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</si>
  <si>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</si>
  <si>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</si>
  <si>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</si>
  <si>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</si>
  <si>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</si>
  <si>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</si>
  <si>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FY2025 (pro forma ex-Versant)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</si>
  <si>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</si>
  <si>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</si>
  <si>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</si>
  <si>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</si>
  <si>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</si>
  <si>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</si>
  <si>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</si>
  <si>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</si>
  <si>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</si>
  <si>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</si>
  <si>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</si>
  <si>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</si>
  <si>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</si>
  <si>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</si>
  <si>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</si>
  <si>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</si>
  <si>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</si>
  <si>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</si>
  <si>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</si>
  <si>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</si>
  <si>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</si>
  <si>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</si>
  <si>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</si>
  <si>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</si>
  <si>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</si>
  <si>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</si>
  <si>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</si>
  <si>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</si>
  <si>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CMCSA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</si>
  <si>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</si>
  <si>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</si>
  <si>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</si>
  <si>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</si>
  <si>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</si>
  <si>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</si>
  <si>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</si>
  <si>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</si>
  <si>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</si>
  <si>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</si>
  <si>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</si>
  <si>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</si>
  <si>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</si>
  <si>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</si>
  <si>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</si>
  <si>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</si>
  <si>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</si>
  <si>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</si>
  <si>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</si>
  <si>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</si>
  <si>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</si>
  <si>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</si>
  <si>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</si>
  <si>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</si>
  <si>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</si>
  <si>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</si>
  <si>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</si>
  <si>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</si>
  <si>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</si>
  <si>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</si>
  <si>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CMCSA owner-FCF component DCF: base case (millions, USD)</t>
  </si>
  <si>
    <t xml:space="preserve">CMCSA owner-FCF component DCF: bull case (millions, USD)</t>
  </si>
  <si>
    <t xml:space="preserve">CMCSA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</si>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</sst>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21.91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41345</v>
      </c>
      <c r="S2" s="0" t="n">
        <v>1239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31060</v>
      </c>
      <c r="F3" s="0" t="n">
        <v>5578</v>
      </c>
      <c r="G3" s="0" t="n">
        <v>17.958789439794</v>
      </c>
      <c r="I3" s="0" t="n">
        <v>2587</v>
      </c>
      <c r="J3" s="0" t="n">
        <v>8.3290405666452</v>
      </c>
      <c r="K3" s="0" t="n">
        <v>0.84</v>
      </c>
      <c r="L3" s="0" t="n">
        <v>8189</v>
      </c>
      <c r="M3" s="0" t="n">
        <v>6158</v>
      </c>
      <c r="N3" s="0" t="n">
        <v>2031</v>
      </c>
      <c r="O3" s="0" t="n">
        <v>41489</v>
      </c>
      <c r="S3" s="0" t="n">
        <v>963</v>
      </c>
      <c r="U3" s="0" t="n">
        <v>212</v>
      </c>
      <c r="V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34423</v>
      </c>
      <c r="F4" s="0" t="n">
        <v>6732</v>
      </c>
      <c r="G4" s="0" t="n">
        <v>19.5566917467972</v>
      </c>
      <c r="H4" s="0" t="n">
        <v>13132</v>
      </c>
      <c r="I4" s="0" t="n">
        <v>2547</v>
      </c>
      <c r="J4" s="0" t="n">
        <v>7.39912267960375</v>
      </c>
      <c r="K4" s="0" t="n">
        <v>0.87</v>
      </c>
      <c r="L4" s="0" t="n">
        <v>10231</v>
      </c>
      <c r="M4" s="0" t="n">
        <v>5750</v>
      </c>
      <c r="N4" s="0" t="n">
        <v>4481</v>
      </c>
      <c r="O4" s="0" t="n">
        <v>40576</v>
      </c>
      <c r="P4" s="0" t="n">
        <v>113017</v>
      </c>
      <c r="R4" s="0" t="n">
        <v>32456</v>
      </c>
      <c r="S4" s="0" t="n">
        <v>1195</v>
      </c>
      <c r="T4" s="0" t="n">
        <v>2952</v>
      </c>
      <c r="U4" s="0" t="n">
        <v>258</v>
      </c>
      <c r="V4" s="0" t="n">
        <v>0.25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35756</v>
      </c>
      <c r="F5" s="0" t="n">
        <v>7214</v>
      </c>
      <c r="G5" s="0" t="n">
        <v>20.1756348584853</v>
      </c>
      <c r="H5" s="0" t="n">
        <v>13714</v>
      </c>
      <c r="I5" s="0" t="n">
        <v>3638</v>
      </c>
      <c r="J5" s="0" t="n">
        <v>10.1745161651191</v>
      </c>
      <c r="K5" s="0" t="n">
        <v>1.27</v>
      </c>
      <c r="L5" s="0" t="n">
        <v>10281</v>
      </c>
      <c r="M5" s="0" t="n">
        <v>5117</v>
      </c>
      <c r="N5" s="0" t="n">
        <v>5164</v>
      </c>
      <c r="O5" s="0" t="n">
        <v>42811</v>
      </c>
      <c r="P5" s="0" t="n">
        <v>112733</v>
      </c>
      <c r="R5" s="0" t="n">
        <v>29096</v>
      </c>
      <c r="S5" s="0" t="n">
        <v>671</v>
      </c>
      <c r="T5" s="0" t="n">
        <v>2885</v>
      </c>
      <c r="U5" s="0" t="n">
        <v>257</v>
      </c>
      <c r="V5" s="0" t="n">
        <v>0.297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37937</v>
      </c>
      <c r="F6" s="0" t="n">
        <v>7980</v>
      </c>
      <c r="G6" s="0" t="n">
        <v>21.0348736062419</v>
      </c>
      <c r="H6" s="0" t="n">
        <v>14596</v>
      </c>
      <c r="I6" s="0" t="n">
        <v>3668</v>
      </c>
      <c r="J6" s="0" t="n">
        <v>9.66866120146559</v>
      </c>
      <c r="K6" s="0" t="n">
        <v>1.29</v>
      </c>
      <c r="L6" s="0" t="n">
        <v>11179</v>
      </c>
      <c r="M6" s="0" t="n">
        <v>4961</v>
      </c>
      <c r="N6" s="0" t="n">
        <v>6218</v>
      </c>
      <c r="O6" s="0" t="n">
        <v>44434</v>
      </c>
      <c r="P6" s="0" t="n">
        <v>118534</v>
      </c>
      <c r="R6" s="0" t="n">
        <v>31415</v>
      </c>
      <c r="S6" s="0" t="n">
        <v>5984</v>
      </c>
      <c r="T6" s="0" t="n">
        <v>2820</v>
      </c>
      <c r="U6" s="0" t="n">
        <v>300</v>
      </c>
      <c r="V6" s="0" t="n">
        <v>0.378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55842</v>
      </c>
      <c r="F7" s="0" t="n">
        <v>10721</v>
      </c>
      <c r="G7" s="0" t="n">
        <v>19.1988109308406</v>
      </c>
      <c r="H7" s="0" t="n">
        <v>18357</v>
      </c>
      <c r="I7" s="0" t="n">
        <v>5157</v>
      </c>
      <c r="J7" s="0" t="n">
        <v>9.23498442032878</v>
      </c>
      <c r="K7" s="0" t="n">
        <v>1.51</v>
      </c>
      <c r="L7" s="0" t="n">
        <v>14345</v>
      </c>
      <c r="M7" s="0" t="n">
        <v>5307</v>
      </c>
      <c r="N7" s="0" t="n">
        <v>9038</v>
      </c>
      <c r="O7" s="0" t="n">
        <v>47655</v>
      </c>
      <c r="P7" s="0" t="n">
        <v>157818</v>
      </c>
      <c r="R7" s="0" t="n">
        <v>39309</v>
      </c>
      <c r="S7" s="0" t="n">
        <v>1620</v>
      </c>
      <c r="T7" s="0" t="n">
        <v>2778</v>
      </c>
      <c r="U7" s="0" t="n">
        <v>344</v>
      </c>
      <c r="V7" s="0" t="n">
        <v>0.45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62570</v>
      </c>
      <c r="F8" s="0" t="n">
        <v>12179</v>
      </c>
      <c r="G8" s="0" t="n">
        <v>19.4645996483938</v>
      </c>
      <c r="H8" s="0" t="n">
        <v>19977</v>
      </c>
      <c r="I8" s="0" t="n">
        <v>7865</v>
      </c>
      <c r="J8" s="0" t="n">
        <v>12.5699216877098</v>
      </c>
      <c r="K8" s="0" t="n">
        <v>2.32</v>
      </c>
      <c r="L8" s="0" t="n">
        <v>14854</v>
      </c>
      <c r="M8" s="0" t="n">
        <v>5714</v>
      </c>
      <c r="N8" s="0" t="n">
        <v>9140</v>
      </c>
      <c r="O8" s="0" t="n">
        <v>49796</v>
      </c>
      <c r="P8" s="0" t="n">
        <v>164971</v>
      </c>
      <c r="R8" s="0" t="n">
        <v>40458</v>
      </c>
      <c r="S8" s="0" t="n">
        <v>10951</v>
      </c>
      <c r="T8" s="0" t="n">
        <v>2717</v>
      </c>
      <c r="U8" s="0" t="n">
        <v>371</v>
      </c>
      <c r="V8" s="0" t="n">
        <v>0.65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64657</v>
      </c>
      <c r="F9" s="0" t="n">
        <v>13563</v>
      </c>
      <c r="G9" s="0" t="n">
        <v>20.9768470544566</v>
      </c>
      <c r="H9" s="0" t="n">
        <v>21434</v>
      </c>
      <c r="I9" s="0" t="n">
        <v>7135</v>
      </c>
      <c r="J9" s="0" t="n">
        <v>11.035154739626</v>
      </c>
      <c r="K9" s="0" t="n">
        <v>2.6</v>
      </c>
      <c r="L9" s="0" t="n">
        <v>14160</v>
      </c>
      <c r="M9" s="0" t="n">
        <v>6596</v>
      </c>
      <c r="N9" s="0" t="n">
        <v>7564</v>
      </c>
      <c r="O9" s="0" t="n">
        <v>51058</v>
      </c>
      <c r="P9" s="0" t="n">
        <v>158813</v>
      </c>
      <c r="R9" s="0" t="n">
        <v>47847</v>
      </c>
      <c r="S9" s="0" t="n">
        <v>1718</v>
      </c>
      <c r="T9" s="0" t="n">
        <v>2665</v>
      </c>
      <c r="U9" s="0" t="n">
        <v>419</v>
      </c>
      <c r="V9" s="0" t="n">
        <v>0.78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68775</v>
      </c>
      <c r="F10" s="0" t="n">
        <v>14904</v>
      </c>
      <c r="G10" s="0" t="n">
        <v>21.6706652126499</v>
      </c>
      <c r="H10" s="0" t="n">
        <v>22923</v>
      </c>
      <c r="I10" s="0" t="n">
        <v>8592</v>
      </c>
      <c r="J10" s="0" t="n">
        <v>12.4929116684842</v>
      </c>
      <c r="K10" s="0" t="n">
        <v>3.24</v>
      </c>
      <c r="L10" s="0" t="n">
        <v>16945</v>
      </c>
      <c r="M10" s="0" t="n">
        <v>7420</v>
      </c>
      <c r="N10" s="0" t="n">
        <v>9525</v>
      </c>
      <c r="O10" s="0" t="n">
        <v>53068</v>
      </c>
      <c r="P10" s="0" t="n">
        <v>159186</v>
      </c>
      <c r="R10" s="0" t="n">
        <v>48081</v>
      </c>
      <c r="S10" s="0" t="n">
        <v>3910</v>
      </c>
      <c r="T10" s="0" t="n">
        <v>2620</v>
      </c>
      <c r="U10" s="0" t="n">
        <v>513</v>
      </c>
      <c r="V10" s="0" t="n">
        <v>0.9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74510</v>
      </c>
      <c r="F11" s="0" t="n">
        <v>15998</v>
      </c>
      <c r="G11" s="0" t="n">
        <v>21.4709434975171</v>
      </c>
      <c r="H11" s="0" t="n">
        <v>24678</v>
      </c>
      <c r="I11" s="0" t="n">
        <v>8413</v>
      </c>
      <c r="J11" s="0" t="n">
        <v>11.2911018655214</v>
      </c>
      <c r="K11" s="0" t="n">
        <v>1.64</v>
      </c>
      <c r="L11" s="0" t="n">
        <v>19485</v>
      </c>
      <c r="M11" s="0" t="n">
        <v>8499</v>
      </c>
      <c r="N11" s="0" t="n">
        <v>10986</v>
      </c>
      <c r="O11" s="0" t="n">
        <v>53978</v>
      </c>
      <c r="P11" s="0" t="n">
        <v>166574</v>
      </c>
      <c r="R11" s="0" t="n">
        <v>52621</v>
      </c>
      <c r="S11" s="0" t="n">
        <v>2295</v>
      </c>
      <c r="T11" s="0" t="n">
        <v>5035</v>
      </c>
      <c r="U11" s="0" t="n">
        <v>567</v>
      </c>
      <c r="V11" s="0" t="n">
        <v>0.5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80736</v>
      </c>
      <c r="F12" s="0" t="n">
        <v>16831</v>
      </c>
      <c r="G12" s="0" t="n">
        <v>20.846957986524</v>
      </c>
      <c r="H12" s="0" t="n">
        <v>26257</v>
      </c>
      <c r="I12" s="0" t="n">
        <v>9028</v>
      </c>
      <c r="J12" s="0" t="n">
        <v>11.1821244550139</v>
      </c>
      <c r="K12" s="0" t="n">
        <v>1.8</v>
      </c>
      <c r="L12" s="0" t="n">
        <v>19691</v>
      </c>
      <c r="M12" s="0" t="n">
        <v>9135</v>
      </c>
      <c r="N12" s="0" t="n">
        <v>10556</v>
      </c>
      <c r="O12" s="0" t="n">
        <v>56163</v>
      </c>
      <c r="P12" s="0" t="n">
        <v>180500</v>
      </c>
      <c r="R12" s="0" t="n">
        <v>61046</v>
      </c>
      <c r="S12" s="0" t="n">
        <v>3301</v>
      </c>
      <c r="T12" s="0" t="n">
        <v>4875</v>
      </c>
      <c r="U12" s="0" t="n">
        <v>640</v>
      </c>
      <c r="V12" s="0" t="n">
        <v>0.55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85029</v>
      </c>
      <c r="F13" s="0" t="n">
        <v>18018</v>
      </c>
      <c r="G13" s="0" t="n">
        <v>21.1904173870091</v>
      </c>
      <c r="H13" s="0" t="n">
        <v>28148</v>
      </c>
      <c r="I13" s="0" t="n">
        <v>22922</v>
      </c>
      <c r="J13" s="0" t="n">
        <v>26.9578614355102</v>
      </c>
      <c r="K13" s="0" t="n">
        <v>4.83</v>
      </c>
      <c r="L13" s="0" t="n">
        <v>21261</v>
      </c>
      <c r="M13" s="0" t="n">
        <v>9550</v>
      </c>
      <c r="N13" s="0" t="n">
        <v>11711</v>
      </c>
      <c r="O13" s="0" t="n">
        <v>69459</v>
      </c>
      <c r="P13" s="0" t="n">
        <v>187462</v>
      </c>
      <c r="R13" s="0" t="n">
        <v>64556</v>
      </c>
      <c r="S13" s="0" t="n">
        <v>3428</v>
      </c>
      <c r="T13" s="0" t="n">
        <v>4786</v>
      </c>
      <c r="U13" s="0" t="n">
        <v>751</v>
      </c>
      <c r="V13" s="0" t="n">
        <v>0.63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94507</v>
      </c>
      <c r="F14" s="0" t="n">
        <v>19009</v>
      </c>
      <c r="G14" s="0" t="n">
        <v>20.1138540002328</v>
      </c>
      <c r="H14" s="0" t="n">
        <v>30026</v>
      </c>
      <c r="I14" s="0" t="n">
        <v>11862</v>
      </c>
      <c r="J14" s="0" t="n">
        <v>12.5514512152539</v>
      </c>
      <c r="K14" s="0" t="n">
        <v>2.56</v>
      </c>
      <c r="L14" s="0" t="n">
        <v>24297</v>
      </c>
      <c r="M14" s="0" t="n">
        <v>9774</v>
      </c>
      <c r="N14" s="0" t="n">
        <v>14523</v>
      </c>
      <c r="O14" s="0" t="n">
        <v>72502</v>
      </c>
      <c r="P14" s="0" t="n">
        <v>251684</v>
      </c>
      <c r="R14" s="0" t="n">
        <v>111743</v>
      </c>
      <c r="S14" s="0" t="n">
        <v>3814</v>
      </c>
      <c r="T14" s="0" t="n">
        <v>4640</v>
      </c>
      <c r="U14" s="0" t="n">
        <v>826</v>
      </c>
      <c r="V14" s="0" t="n">
        <v>0.76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108942</v>
      </c>
      <c r="F15" s="0" t="n">
        <v>21125</v>
      </c>
      <c r="G15" s="0" t="n">
        <v>19.3910521194764</v>
      </c>
      <c r="H15" s="0" t="n">
        <v>34078</v>
      </c>
      <c r="I15" s="0" t="n">
        <v>13323</v>
      </c>
      <c r="J15" s="0" t="n">
        <v>12.2294431899543</v>
      </c>
      <c r="K15" s="0" t="n">
        <v>2.87</v>
      </c>
      <c r="L15" s="0" t="n">
        <v>25697</v>
      </c>
      <c r="M15" s="0" t="n">
        <v>9953</v>
      </c>
      <c r="N15" s="0" t="n">
        <v>15744</v>
      </c>
      <c r="O15" s="0" t="n">
        <v>83874</v>
      </c>
      <c r="P15" s="0" t="n">
        <v>263414</v>
      </c>
      <c r="R15" s="0" t="n">
        <v>102217</v>
      </c>
      <c r="S15" s="0" t="n">
        <v>5500</v>
      </c>
      <c r="T15" s="0" t="n">
        <v>4610</v>
      </c>
      <c r="U15" s="0" t="n">
        <v>1021</v>
      </c>
      <c r="V15" s="0" t="n">
        <v>0.84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103564</v>
      </c>
      <c r="F16" s="0" t="n">
        <v>17493</v>
      </c>
      <c r="G16" s="0" t="n">
        <v>16.8910045961917</v>
      </c>
      <c r="H16" s="0" t="n">
        <v>30593</v>
      </c>
      <c r="I16" s="0" t="n">
        <v>10701</v>
      </c>
      <c r="J16" s="0" t="n">
        <v>10.3327411069484</v>
      </c>
      <c r="K16" s="0" t="n">
        <v>2.3</v>
      </c>
      <c r="L16" s="0" t="n">
        <v>24737</v>
      </c>
      <c r="M16" s="0" t="n">
        <v>9179</v>
      </c>
      <c r="N16" s="0" t="n">
        <v>15558</v>
      </c>
      <c r="O16" s="0" t="n">
        <v>91738</v>
      </c>
      <c r="P16" s="0" t="n">
        <v>273869</v>
      </c>
      <c r="R16" s="0" t="n">
        <v>103760</v>
      </c>
      <c r="S16" s="0" t="n">
        <v>11740</v>
      </c>
      <c r="T16" s="0" t="n">
        <v>4624</v>
      </c>
      <c r="U16" s="0" t="n">
        <v>1193</v>
      </c>
      <c r="V16" s="0" t="n">
        <v>0.92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116385</v>
      </c>
      <c r="F17" s="0" t="n">
        <v>20817</v>
      </c>
      <c r="G17" s="0" t="n">
        <v>17.8863255574172</v>
      </c>
      <c r="H17" s="0" t="n">
        <v>34621</v>
      </c>
      <c r="I17" s="0" t="n">
        <v>14159</v>
      </c>
      <c r="J17" s="0" t="n">
        <v>12.1656570863943</v>
      </c>
      <c r="K17" s="0" t="n">
        <v>3.09</v>
      </c>
      <c r="L17" s="0" t="n">
        <v>29146</v>
      </c>
      <c r="M17" s="0" t="n">
        <v>9174</v>
      </c>
      <c r="N17" s="0" t="n">
        <v>19972</v>
      </c>
      <c r="O17" s="0" t="n">
        <v>97490</v>
      </c>
      <c r="P17" s="0" t="n">
        <v>275905</v>
      </c>
      <c r="R17" s="0" t="n">
        <v>94850</v>
      </c>
      <c r="S17" s="0" t="n">
        <v>8711</v>
      </c>
      <c r="T17" s="0" t="n">
        <v>4654</v>
      </c>
      <c r="U17" s="0" t="n">
        <v>1315</v>
      </c>
      <c r="V17" s="0" t="n">
        <v>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121427</v>
      </c>
      <c r="F18" s="0" t="n">
        <v>14041</v>
      </c>
      <c r="G18" s="0" t="n">
        <v>11.5633261136321</v>
      </c>
      <c r="H18" s="0" t="n">
        <v>27862</v>
      </c>
      <c r="I18" s="0" t="n">
        <v>5370</v>
      </c>
      <c r="J18" s="0" t="n">
        <v>4.42241017236694</v>
      </c>
      <c r="K18" s="0" t="n">
        <v>1.22</v>
      </c>
      <c r="L18" s="0" t="n">
        <v>26413</v>
      </c>
      <c r="M18" s="0" t="n">
        <v>10626</v>
      </c>
      <c r="N18" s="0" t="n">
        <v>15787</v>
      </c>
      <c r="O18" s="0" t="n">
        <v>81627</v>
      </c>
      <c r="P18" s="0" t="n">
        <v>257275</v>
      </c>
      <c r="R18" s="0" t="n">
        <v>94811</v>
      </c>
      <c r="S18" s="0" t="n">
        <v>4749</v>
      </c>
      <c r="T18" s="0" t="n">
        <v>4430</v>
      </c>
      <c r="U18" s="0" t="n">
        <v>1336</v>
      </c>
      <c r="V18" s="0" t="n">
        <v>1.08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121572</v>
      </c>
      <c r="F19" s="0" t="n">
        <v>23314</v>
      </c>
      <c r="G19" s="0" t="n">
        <v>19.1771131510545</v>
      </c>
      <c r="H19" s="0" t="n">
        <v>37650</v>
      </c>
      <c r="I19" s="0" t="n">
        <v>15388</v>
      </c>
      <c r="J19" s="0" t="n">
        <v>12.6575198236436</v>
      </c>
      <c r="K19" s="0" t="n">
        <v>3.73</v>
      </c>
      <c r="L19" s="0" t="n">
        <v>28501</v>
      </c>
      <c r="M19" s="0" t="n">
        <v>12242</v>
      </c>
      <c r="N19" s="0" t="n">
        <v>16259</v>
      </c>
      <c r="O19" s="0" t="n">
        <v>83226</v>
      </c>
      <c r="P19" s="0" t="n">
        <v>264811</v>
      </c>
      <c r="R19" s="0" t="n">
        <v>97090</v>
      </c>
      <c r="S19" s="0" t="n">
        <v>6215</v>
      </c>
      <c r="T19" s="0" t="n">
        <v>4148</v>
      </c>
      <c r="U19" s="0" t="n">
        <v>1241</v>
      </c>
      <c r="V19" s="0" t="n">
        <v>1.16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123731</v>
      </c>
      <c r="F20" s="0" t="n">
        <v>23297</v>
      </c>
      <c r="G20" s="0" t="n">
        <v>18.8287494645643</v>
      </c>
      <c r="H20" s="0" t="n">
        <v>38099</v>
      </c>
      <c r="I20" s="0" t="n">
        <v>16192</v>
      </c>
      <c r="J20" s="0" t="n">
        <v>13.0864536777364</v>
      </c>
      <c r="K20" s="0" t="n">
        <v>4.17</v>
      </c>
      <c r="L20" s="0" t="n">
        <v>27673</v>
      </c>
      <c r="M20" s="0" t="n">
        <v>12181</v>
      </c>
      <c r="N20" s="0" t="n">
        <v>15492</v>
      </c>
      <c r="O20" s="0" t="n">
        <v>86038</v>
      </c>
      <c r="P20" s="0" t="n">
        <v>266211</v>
      </c>
      <c r="R20" s="0" t="n">
        <v>99093</v>
      </c>
      <c r="S20" s="0" t="n">
        <v>7322</v>
      </c>
      <c r="T20" s="0" t="n">
        <v>3908</v>
      </c>
      <c r="U20" s="0" t="n">
        <v>1288</v>
      </c>
      <c r="V20" s="0" t="n">
        <v>1.24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123707</v>
      </c>
      <c r="F21" s="0" t="n">
        <v>20672</v>
      </c>
      <c r="G21" s="0" t="n">
        <v>16.7104529250568</v>
      </c>
      <c r="H21" s="0" t="n">
        <v>36882</v>
      </c>
      <c r="I21" s="0" t="n">
        <v>19998</v>
      </c>
      <c r="J21" s="0" t="n">
        <v>16.1656171437348</v>
      </c>
      <c r="K21" s="0" t="n">
        <v>5.41</v>
      </c>
      <c r="L21" s="0" t="n">
        <v>33643</v>
      </c>
      <c r="M21" s="0" t="n">
        <v>11750</v>
      </c>
      <c r="N21" s="0" t="n">
        <v>21893</v>
      </c>
      <c r="O21" s="0" t="n">
        <v>97151</v>
      </c>
      <c r="P21" s="0" t="n">
        <v>272631</v>
      </c>
      <c r="R21" s="0" t="n">
        <v>98937</v>
      </c>
      <c r="S21" s="0" t="n">
        <v>9481</v>
      </c>
      <c r="T21" s="0" t="n">
        <v>3709</v>
      </c>
      <c r="U21" s="0" t="n">
        <v>1288</v>
      </c>
      <c r="V21" s="0" t="n">
        <v>1.32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21.91</v>
      </c>
    </row>
    <row r="3" customFormat="false" ht="15" hidden="false" customHeight="false" outlineLevel="0" collapsed="false">
      <c r="A3" s="0" t="s">
        <v>86</v>
      </c>
      <c r="B3" s="3" t="n">
        <v>3570</v>
      </c>
    </row>
    <row r="4" customFormat="false" ht="15" hidden="false" customHeight="false" outlineLevel="0" collapsed="false">
      <c r="A4" s="0" t="s">
        <v>87</v>
      </c>
      <c r="B4" s="3" t="n">
        <v>82720</v>
      </c>
    </row>
    <row r="5" customFormat="false" ht="15" hidden="false" customHeight="false" outlineLevel="0" collapsed="false">
      <c r="A5" s="0" t="s">
        <v>88</v>
      </c>
      <c r="B5" s="3" t="n">
        <v>6891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116900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4.5</v>
      </c>
      <c r="D13" s="3" t="n">
        <v>-3</v>
      </c>
      <c r="E13" s="3" t="n">
        <v>0.5</v>
      </c>
      <c r="F13" s="3" t="n">
        <v>-2.5</v>
      </c>
      <c r="G13" s="3" t="n">
        <v>-1.5</v>
      </c>
      <c r="H13" s="3" t="n">
        <v>-1.5</v>
      </c>
      <c r="I13" s="3" t="n">
        <v>-1</v>
      </c>
      <c r="J13" s="3" t="n">
        <v>-1</v>
      </c>
      <c r="K13" s="3" t="n">
        <v>-1</v>
      </c>
      <c r="L13" s="3" t="n">
        <v>-1</v>
      </c>
    </row>
    <row r="14" customFormat="false" ht="15" hidden="false" customHeight="false" outlineLevel="0" collapsed="false">
      <c r="A14" s="0" t="s">
        <v>108</v>
      </c>
      <c r="C14" s="3" t="n">
        <v>29.3</v>
      </c>
      <c r="D14" s="3" t="n">
        <v>28.5</v>
      </c>
      <c r="E14" s="3" t="n">
        <v>27.5</v>
      </c>
      <c r="F14" s="3" t="n">
        <v>26.8</v>
      </c>
      <c r="G14" s="3" t="n">
        <v>26</v>
      </c>
      <c r="H14" s="3" t="n">
        <v>25.4</v>
      </c>
      <c r="I14" s="3" t="n">
        <v>25</v>
      </c>
      <c r="J14" s="3" t="n">
        <v>24.6</v>
      </c>
      <c r="K14" s="3" t="n">
        <v>24.3</v>
      </c>
      <c r="L14" s="3" t="n">
        <v>24</v>
      </c>
    </row>
    <row r="15" customFormat="false" ht="15" hidden="false" customHeight="false" outlineLevel="0" collapsed="false">
      <c r="A15" s="0" t="s">
        <v>109</v>
      </c>
      <c r="C15" s="3" t="n">
        <v>1.25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12.6</v>
      </c>
      <c r="D17" s="3" t="n">
        <v>12.6</v>
      </c>
      <c r="E17" s="3" t="n">
        <v>12.6</v>
      </c>
      <c r="F17" s="3" t="n">
        <v>12.6</v>
      </c>
      <c r="G17" s="3" t="n">
        <v>12.6</v>
      </c>
      <c r="H17" s="3" t="n">
        <v>12.6</v>
      </c>
      <c r="I17" s="3" t="n">
        <v>12.6</v>
      </c>
      <c r="J17" s="3" t="n">
        <v>12.6</v>
      </c>
      <c r="K17" s="3" t="n">
        <v>12.6</v>
      </c>
      <c r="L17" s="3" t="n">
        <v>12.6</v>
      </c>
    </row>
    <row r="18" customFormat="false" ht="15" hidden="false" customHeight="false" outlineLevel="0" collapsed="false">
      <c r="A18" s="0" t="s">
        <v>112</v>
      </c>
      <c r="C18" s="3" t="n">
        <v>11.8</v>
      </c>
      <c r="D18" s="3" t="n">
        <v>11.8</v>
      </c>
      <c r="E18" s="3" t="n">
        <v>11.8</v>
      </c>
      <c r="F18" s="3" t="n">
        <v>11.6</v>
      </c>
      <c r="G18" s="3" t="n">
        <v>11.5</v>
      </c>
      <c r="H18" s="3" t="n">
        <v>11.5</v>
      </c>
      <c r="I18" s="3" t="n">
        <v>11.5</v>
      </c>
      <c r="J18" s="3" t="n">
        <v>11.5</v>
      </c>
      <c r="K18" s="3" t="n">
        <v>11.5</v>
      </c>
      <c r="L18" s="3" t="n">
        <v>11.5</v>
      </c>
    </row>
    <row r="19" customFormat="false" ht="15" hidden="false" customHeight="false" outlineLevel="0" collapsed="false">
      <c r="A19" s="0" t="s">
        <v>113</v>
      </c>
      <c r="C19" s="3" t="n">
        <v>10</v>
      </c>
      <c r="D19" s="3" t="n">
        <v>17</v>
      </c>
      <c r="E19" s="3" t="n">
        <v>20</v>
      </c>
      <c r="F19" s="3" t="n">
        <v>22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114</v>
      </c>
      <c r="B20" s="3" t="n">
        <v>7</v>
      </c>
    </row>
    <row r="21" customFormat="false" ht="15" hidden="false" customHeight="false" outlineLevel="0" collapsed="false">
      <c r="A21" s="0" t="s">
        <v>115</v>
      </c>
      <c r="B21" s="3" t="n">
        <v>-1</v>
      </c>
    </row>
    <row r="22" customFormat="false" ht="15" hidden="false" customHeight="false" outlineLevel="0" collapsed="false">
      <c r="A22" s="0" t="s">
        <v>116</v>
      </c>
      <c r="B22" s="3" t="n">
        <v>8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0.3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</v>
      </c>
      <c r="D27" s="3" t="n">
        <v>-1</v>
      </c>
      <c r="E27" s="3" t="n">
        <v>2.5</v>
      </c>
      <c r="F27" s="3" t="n">
        <v>-0.5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0.5</v>
      </c>
      <c r="L27" s="3" t="n">
        <v>0.5</v>
      </c>
    </row>
    <row r="28" customFormat="false" ht="15" hidden="false" customHeight="false" outlineLevel="0" collapsed="false">
      <c r="A28" s="0" t="s">
        <v>108</v>
      </c>
      <c r="C28" s="3" t="n">
        <v>29.8</v>
      </c>
      <c r="D28" s="3" t="n">
        <v>30</v>
      </c>
      <c r="E28" s="3" t="n">
        <v>29.6</v>
      </c>
      <c r="F28" s="3" t="n">
        <v>29.7</v>
      </c>
      <c r="G28" s="3" t="n">
        <v>29.5</v>
      </c>
      <c r="H28" s="3" t="n">
        <v>29.3</v>
      </c>
      <c r="I28" s="3" t="n">
        <v>29.2</v>
      </c>
      <c r="J28" s="3" t="n">
        <v>29</v>
      </c>
      <c r="K28" s="3" t="n">
        <v>29</v>
      </c>
      <c r="L28" s="3" t="n">
        <v>29</v>
      </c>
    </row>
    <row r="29" customFormat="false" ht="15" hidden="false" customHeight="false" outlineLevel="0" collapsed="false">
      <c r="A29" s="0" t="s">
        <v>109</v>
      </c>
      <c r="C29" s="3" t="n">
        <v>1.25</v>
      </c>
      <c r="D29" s="3" t="n">
        <v>1.2</v>
      </c>
      <c r="E29" s="3" t="n">
        <v>1.2</v>
      </c>
      <c r="F29" s="3" t="n">
        <v>1.15</v>
      </c>
      <c r="G29" s="3" t="n">
        <v>1.15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12.6</v>
      </c>
      <c r="D31" s="3" t="n">
        <v>12.5</v>
      </c>
      <c r="E31" s="3" t="n">
        <v>12.4</v>
      </c>
      <c r="F31" s="3" t="n">
        <v>12.3</v>
      </c>
      <c r="G31" s="3" t="n">
        <v>12.2</v>
      </c>
      <c r="H31" s="3" t="n">
        <v>12.1</v>
      </c>
      <c r="I31" s="3" t="n">
        <v>12</v>
      </c>
      <c r="J31" s="3" t="n">
        <v>12</v>
      </c>
      <c r="K31" s="3" t="n">
        <v>12</v>
      </c>
      <c r="L31" s="3" t="n">
        <v>12</v>
      </c>
    </row>
    <row r="32" customFormat="false" ht="15" hidden="false" customHeight="false" outlineLevel="0" collapsed="false">
      <c r="A32" s="0" t="s">
        <v>112</v>
      </c>
      <c r="C32" s="3" t="n">
        <v>11.3</v>
      </c>
      <c r="D32" s="3" t="n">
        <v>11</v>
      </c>
      <c r="E32" s="3" t="n">
        <v>11</v>
      </c>
      <c r="F32" s="3" t="n">
        <v>11</v>
      </c>
      <c r="G32" s="3" t="n">
        <v>10.9</v>
      </c>
      <c r="H32" s="3" t="n">
        <v>10.8</v>
      </c>
      <c r="I32" s="3" t="n">
        <v>10.8</v>
      </c>
      <c r="J32" s="3" t="n">
        <v>10.8</v>
      </c>
      <c r="K32" s="3" t="n">
        <v>10.8</v>
      </c>
      <c r="L32" s="3" t="n">
        <v>10.8</v>
      </c>
    </row>
    <row r="33" customFormat="false" ht="15" hidden="false" customHeight="false" outlineLevel="0" collapsed="false">
      <c r="A33" s="0" t="s">
        <v>113</v>
      </c>
      <c r="C33" s="3" t="n">
        <v>10</v>
      </c>
      <c r="D33" s="3" t="n">
        <v>17</v>
      </c>
      <c r="E33" s="3" t="n">
        <v>20</v>
      </c>
      <c r="F33" s="3" t="n">
        <v>22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114</v>
      </c>
      <c r="B34" s="3" t="n">
        <v>7</v>
      </c>
    </row>
    <row r="35" customFormat="false" ht="15" hidden="false" customHeight="false" outlineLevel="0" collapsed="false">
      <c r="A35" s="0" t="s">
        <v>115</v>
      </c>
      <c r="B35" s="3" t="n">
        <v>0.5</v>
      </c>
    </row>
    <row r="36" customFormat="false" ht="15" hidden="false" customHeight="false" outlineLevel="0" collapsed="false">
      <c r="A36" s="0" t="s">
        <v>116</v>
      </c>
      <c r="B36" s="3" t="n">
        <v>10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5.5</v>
      </c>
      <c r="D41" s="3" t="n">
        <v>1</v>
      </c>
      <c r="E41" s="3" t="n">
        <v>4</v>
      </c>
      <c r="F41" s="3" t="n">
        <v>1.5</v>
      </c>
      <c r="G41" s="3" t="n">
        <v>2.5</v>
      </c>
      <c r="H41" s="3" t="n">
        <v>2.5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108</v>
      </c>
      <c r="C42" s="3" t="n">
        <v>30</v>
      </c>
      <c r="D42" s="3" t="n">
        <v>30.6</v>
      </c>
      <c r="E42" s="3" t="n">
        <v>30.6</v>
      </c>
      <c r="F42" s="3" t="n">
        <v>30.9</v>
      </c>
      <c r="G42" s="3" t="n">
        <v>31.1</v>
      </c>
      <c r="H42" s="3" t="n">
        <v>31.3</v>
      </c>
      <c r="I42" s="3" t="n">
        <v>31.4</v>
      </c>
      <c r="J42" s="3" t="n">
        <v>31.5</v>
      </c>
      <c r="K42" s="3" t="n">
        <v>31.5</v>
      </c>
      <c r="L42" s="3" t="n">
        <v>31.5</v>
      </c>
    </row>
    <row r="43" customFormat="false" ht="15" hidden="false" customHeight="false" outlineLevel="0" collapsed="false">
      <c r="A43" s="0" t="s">
        <v>109</v>
      </c>
      <c r="C43" s="3" t="n">
        <v>1.25</v>
      </c>
      <c r="D43" s="3" t="n">
        <v>1.2</v>
      </c>
      <c r="E43" s="3" t="n">
        <v>1.2</v>
      </c>
      <c r="F43" s="3" t="n">
        <v>1.15</v>
      </c>
      <c r="G43" s="3" t="n">
        <v>1.15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12.6</v>
      </c>
      <c r="D45" s="3" t="n">
        <v>12.5</v>
      </c>
      <c r="E45" s="3" t="n">
        <v>12.4</v>
      </c>
      <c r="F45" s="3" t="n">
        <v>12.3</v>
      </c>
      <c r="G45" s="3" t="n">
        <v>12.2</v>
      </c>
      <c r="H45" s="3" t="n">
        <v>12.1</v>
      </c>
      <c r="I45" s="3" t="n">
        <v>12</v>
      </c>
      <c r="J45" s="3" t="n">
        <v>12</v>
      </c>
      <c r="K45" s="3" t="n">
        <v>12</v>
      </c>
      <c r="L45" s="3" t="n">
        <v>12</v>
      </c>
    </row>
    <row r="46" customFormat="false" ht="15" hidden="false" customHeight="false" outlineLevel="0" collapsed="false">
      <c r="A46" s="0" t="s">
        <v>112</v>
      </c>
      <c r="C46" s="3" t="n">
        <v>11.2</v>
      </c>
      <c r="D46" s="3" t="n">
        <v>10.9</v>
      </c>
      <c r="E46" s="3" t="n">
        <v>10.8</v>
      </c>
      <c r="F46" s="3" t="n">
        <v>10.7</v>
      </c>
      <c r="G46" s="3" t="n">
        <v>10.6</v>
      </c>
      <c r="H46" s="3" t="n">
        <v>10.5</v>
      </c>
      <c r="I46" s="3" t="n">
        <v>10.5</v>
      </c>
      <c r="J46" s="3" t="n">
        <v>10.5</v>
      </c>
      <c r="K46" s="3" t="n">
        <v>10.5</v>
      </c>
      <c r="L46" s="3" t="n">
        <v>10.5</v>
      </c>
    </row>
    <row r="47" customFormat="false" ht="15" hidden="false" customHeight="false" outlineLevel="0" collapsed="false">
      <c r="A47" s="0" t="s">
        <v>113</v>
      </c>
      <c r="C47" s="3" t="n">
        <v>10</v>
      </c>
      <c r="D47" s="3" t="n">
        <v>17</v>
      </c>
      <c r="E47" s="3" t="n">
        <v>20</v>
      </c>
      <c r="F47" s="3" t="n">
        <v>22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114</v>
      </c>
      <c r="B48" s="3" t="n">
        <v>7</v>
      </c>
    </row>
    <row r="49" customFormat="false" ht="15" hidden="false" customHeight="false" outlineLevel="0" collapsed="false">
      <c r="A49" s="0" t="s">
        <v>115</v>
      </c>
      <c r="B49" s="3" t="n">
        <v>1.5</v>
      </c>
    </row>
    <row r="50" customFormat="false" ht="15" hidden="false" customHeight="false" outlineLevel="0" collapsed="false">
      <c r="A50" s="0" t="s">
        <v>116</v>
      </c>
      <c r="B50" s="3" t="n">
        <v>12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4.5</v>
      </c>
      <c r="D5" s="4" t="n">
        <f aca="false">Assumptions!D13</f>
        <v>-3</v>
      </c>
      <c r="E5" s="4" t="n">
        <f aca="false">Assumptions!E13</f>
        <v>0.5</v>
      </c>
      <c r="F5" s="4" t="n">
        <f aca="false">Assumptions!F13</f>
        <v>-2.5</v>
      </c>
      <c r="G5" s="4" t="n">
        <f aca="false">Assumptions!G13</f>
        <v>-1.5</v>
      </c>
      <c r="H5" s="4" t="n">
        <f aca="false">Assumptions!H13</f>
        <v>-1.5</v>
      </c>
      <c r="I5" s="4" t="n">
        <f aca="false">Assumptions!I13</f>
        <v>-1</v>
      </c>
      <c r="J5" s="4" t="n">
        <f aca="false">Assumptions!J13</f>
        <v>-1</v>
      </c>
      <c r="K5" s="4" t="n">
        <f aca="false">Assumptions!K13</f>
        <v>-1</v>
      </c>
      <c r="L5" s="4" t="n">
        <f aca="false">Assumptions!L13</f>
        <v>-1</v>
      </c>
    </row>
    <row r="6" customFormat="false" ht="15" hidden="false" customHeight="false" outlineLevel="0" collapsed="false">
      <c r="A6" s="0" t="s">
        <v>37</v>
      </c>
      <c r="B6" s="3" t="n">
        <v>116900</v>
      </c>
      <c r="C6" s="0" t="n">
        <f aca="false">B6*(1+C5/100)</f>
        <v>122160.5</v>
      </c>
      <c r="D6" s="0" t="n">
        <f aca="false">C6*(1+D5/100)</f>
        <v>118495.685</v>
      </c>
      <c r="E6" s="0" t="n">
        <f aca="false">D6*(1+E5/100)</f>
        <v>119088.163425</v>
      </c>
      <c r="F6" s="0" t="n">
        <f aca="false">E6*(1+F5/100)</f>
        <v>116110.959339375</v>
      </c>
      <c r="G6" s="0" t="n">
        <f aca="false">F6*(1+G5/100)</f>
        <v>114369.294949284</v>
      </c>
      <c r="H6" s="0" t="n">
        <f aca="false">G6*(1+H5/100)</f>
        <v>112653.755525045</v>
      </c>
      <c r="I6" s="0" t="n">
        <f aca="false">H6*(1+I5/100)</f>
        <v>111527.217969795</v>
      </c>
      <c r="J6" s="0" t="n">
        <f aca="false">I6*(1+J5/100)</f>
        <v>110411.945790097</v>
      </c>
      <c r="K6" s="0" t="n">
        <f aca="false">J6*(1+K5/100)</f>
        <v>109307.826332196</v>
      </c>
      <c r="L6" s="0" t="n">
        <f aca="false">K6*(1+L5/100)</f>
        <v>108214.748068874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29.3</v>
      </c>
      <c r="D7" s="4" t="n">
        <f aca="false">Assumptions!D14</f>
        <v>28.5</v>
      </c>
      <c r="E7" s="4" t="n">
        <f aca="false">Assumptions!E14</f>
        <v>27.5</v>
      </c>
      <c r="F7" s="4" t="n">
        <f aca="false">Assumptions!F14</f>
        <v>26.8</v>
      </c>
      <c r="G7" s="4" t="n">
        <f aca="false">Assumptions!G14</f>
        <v>26</v>
      </c>
      <c r="H7" s="4" t="n">
        <f aca="false">Assumptions!H14</f>
        <v>25.4</v>
      </c>
      <c r="I7" s="4" t="n">
        <f aca="false">Assumptions!I14</f>
        <v>25</v>
      </c>
      <c r="J7" s="4" t="n">
        <f aca="false">Assumptions!J14</f>
        <v>24.6</v>
      </c>
      <c r="K7" s="4" t="n">
        <f aca="false">Assumptions!K14</f>
        <v>24.3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35793.0265</v>
      </c>
      <c r="D8" s="0" t="n">
        <f aca="false">D6*D7/100</f>
        <v>33771.270225</v>
      </c>
      <c r="E8" s="0" t="n">
        <f aca="false">E6*E7/100</f>
        <v>32749.244941875</v>
      </c>
      <c r="F8" s="0" t="n">
        <f aca="false">F6*F7/100</f>
        <v>31117.7371029525</v>
      </c>
      <c r="G8" s="0" t="n">
        <f aca="false">G6*G7/100</f>
        <v>29736.0166868139</v>
      </c>
      <c r="H8" s="0" t="n">
        <f aca="false">H6*H7/100</f>
        <v>28614.0539033615</v>
      </c>
      <c r="I8" s="0" t="n">
        <f aca="false">I6*I7/100</f>
        <v>27881.8044924487</v>
      </c>
      <c r="J8" s="0" t="n">
        <f aca="false">J6*J7/100</f>
        <v>27161.3386643638</v>
      </c>
      <c r="K8" s="0" t="n">
        <f aca="false">K6*K7/100</f>
        <v>26561.8017987236</v>
      </c>
      <c r="L8" s="0" t="n">
        <f aca="false">L6*L7/100</f>
        <v>25971.5395365297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1.25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-1527.00625</v>
      </c>
      <c r="D10" s="0" t="n">
        <f aca="false">-D6*D9/100</f>
        <v>-1421.94822</v>
      </c>
      <c r="E10" s="0" t="n">
        <f aca="false">-E6*E9/100</f>
        <v>-1429.0579611</v>
      </c>
      <c r="F10" s="0" t="n">
        <f aca="false">-F6*F9/100</f>
        <v>-1393.3315120725</v>
      </c>
      <c r="G10" s="0" t="n">
        <f aca="false">-G6*G9/100</f>
        <v>-1372.43153939141</v>
      </c>
      <c r="H10" s="0" t="n">
        <f aca="false">-H6*H9/100</f>
        <v>-1351.84506630054</v>
      </c>
      <c r="I10" s="0" t="n">
        <f aca="false">-I6*I9/100</f>
        <v>-1338.32661563754</v>
      </c>
      <c r="J10" s="0" t="n">
        <f aca="false">-J6*J9/100</f>
        <v>-1324.94334948116</v>
      </c>
      <c r="K10" s="0" t="n">
        <f aca="false">-K6*K9/100</f>
        <v>-1311.69391598635</v>
      </c>
      <c r="L10" s="0" t="n">
        <f aca="false">-L6*L9/100</f>
        <v>-1298.57697682649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34266.02025</v>
      </c>
      <c r="D11" s="0" t="n">
        <f aca="false">D8+D10+D24</f>
        <v>32349.322005</v>
      </c>
      <c r="E11" s="0" t="n">
        <f aca="false">E8+E10+E24</f>
        <v>31320.186980775</v>
      </c>
      <c r="F11" s="0" t="n">
        <f aca="false">F8+F10+F24</f>
        <v>29724.40559088</v>
      </c>
      <c r="G11" s="0" t="n">
        <f aca="false">G8+G10+G24</f>
        <v>28363.5851474225</v>
      </c>
      <c r="H11" s="0" t="n">
        <f aca="false">H8+H10+H24</f>
        <v>27262.2088370609</v>
      </c>
      <c r="I11" s="0" t="n">
        <f aca="false">I8+I10+I24</f>
        <v>26543.4778768111</v>
      </c>
      <c r="J11" s="0" t="n">
        <f aca="false">J8+J10+J24</f>
        <v>25836.3953148826</v>
      </c>
      <c r="K11" s="0" t="n">
        <f aca="false">K8+K10+K24</f>
        <v>25250.1078827372</v>
      </c>
      <c r="L11" s="0" t="n">
        <f aca="false">L8+L10+L24</f>
        <v>24672.9625597032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-15392.223</v>
      </c>
      <c r="D12" s="4" t="n">
        <f aca="false">-D6*Assumptions!D17/100</f>
        <v>-14930.45631</v>
      </c>
      <c r="E12" s="4" t="n">
        <f aca="false">-E6*Assumptions!E17/100</f>
        <v>-15005.10859155</v>
      </c>
      <c r="F12" s="4" t="n">
        <f aca="false">-F6*Assumptions!F17/100</f>
        <v>-14629.9808767612</v>
      </c>
      <c r="G12" s="4" t="n">
        <f aca="false">-G6*Assumptions!G17/100</f>
        <v>-14410.5311636098</v>
      </c>
      <c r="H12" s="4" t="n">
        <f aca="false">-H6*Assumptions!H17/100</f>
        <v>-14194.3731961557</v>
      </c>
      <c r="I12" s="4" t="n">
        <f aca="false">-I6*Assumptions!I17/100</f>
        <v>-14052.4294641941</v>
      </c>
      <c r="J12" s="4" t="n">
        <f aca="false">-J6*Assumptions!J17/100</f>
        <v>-13911.9051695522</v>
      </c>
      <c r="K12" s="4" t="n">
        <f aca="false">-K6*Assumptions!K17/100</f>
        <v>-13772.7861178567</v>
      </c>
      <c r="L12" s="4" t="n">
        <f aca="false">-L6*Assumptions!L17/100</f>
        <v>-13635.0582566781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18873.79725</v>
      </c>
      <c r="D13" s="0" t="n">
        <f aca="false">D11+D12</f>
        <v>17418.865695</v>
      </c>
      <c r="E13" s="0" t="n">
        <f aca="false">E11+E12</f>
        <v>16315.078389225</v>
      </c>
      <c r="F13" s="0" t="n">
        <f aca="false">F11+F12</f>
        <v>15094.4247141188</v>
      </c>
      <c r="G13" s="0" t="n">
        <f aca="false">G11+G12</f>
        <v>13953.0539838127</v>
      </c>
      <c r="H13" s="0" t="n">
        <f aca="false">H11+H12</f>
        <v>13067.8356409052</v>
      </c>
      <c r="I13" s="0" t="n">
        <f aca="false">I11+I12</f>
        <v>12491.048412617</v>
      </c>
      <c r="J13" s="0" t="n">
        <f aca="false">J11+J12</f>
        <v>11924.4901453304</v>
      </c>
      <c r="K13" s="0" t="n">
        <f aca="false">K11+K12</f>
        <v>11477.3217648806</v>
      </c>
      <c r="L13" s="0" t="n">
        <f aca="false">L11+L12</f>
        <v>11037.9043030251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10</v>
      </c>
      <c r="D14" s="4" t="n">
        <f aca="false">Assumptions!D19</f>
        <v>17</v>
      </c>
      <c r="E14" s="4" t="n">
        <f aca="false">Assumptions!E19</f>
        <v>20</v>
      </c>
      <c r="F14" s="4" t="n">
        <f aca="false">Assumptions!F19</f>
        <v>22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16986.417525</v>
      </c>
      <c r="D15" s="0" t="n">
        <f aca="false">D13-MAX(0,D13)*D14/100</f>
        <v>14457.65852685</v>
      </c>
      <c r="E15" s="0" t="n">
        <f aca="false">E13-MAX(0,E13)*E14/100</f>
        <v>13052.06271138</v>
      </c>
      <c r="F15" s="0" t="n">
        <f aca="false">F13-MAX(0,F13)*F14/100</f>
        <v>11773.6512770126</v>
      </c>
      <c r="G15" s="0" t="n">
        <f aca="false">G13-MAX(0,G13)*G14/100</f>
        <v>10743.8515675358</v>
      </c>
      <c r="H15" s="0" t="n">
        <f aca="false">H13-MAX(0,H13)*H14/100</f>
        <v>10062.233443497</v>
      </c>
      <c r="I15" s="0" t="n">
        <f aca="false">I13-MAX(0,I13)*I14/100</f>
        <v>9618.10727771509</v>
      </c>
      <c r="J15" s="0" t="n">
        <f aca="false">J13-MAX(0,J13)*J14/100</f>
        <v>9181.85741190444</v>
      </c>
      <c r="K15" s="0" t="n">
        <f aca="false">K13-MAX(0,K13)*K14/100</f>
        <v>8837.53775895802</v>
      </c>
      <c r="L15" s="0" t="n">
        <f aca="false">L13-MAX(0,L13)*L14/100</f>
        <v>8499.18631332935</v>
      </c>
    </row>
    <row r="16" customFormat="false" ht="15" hidden="false" customHeight="false" outlineLevel="0" collapsed="false">
      <c r="A16" s="0" t="s">
        <v>129</v>
      </c>
      <c r="C16" s="0" t="n">
        <f aca="false">-C12</f>
        <v>15392.223</v>
      </c>
      <c r="D16" s="0" t="n">
        <f aca="false">-D12</f>
        <v>14930.45631</v>
      </c>
      <c r="E16" s="0" t="n">
        <f aca="false">-E12</f>
        <v>15005.10859155</v>
      </c>
      <c r="F16" s="0" t="n">
        <f aca="false">-F12</f>
        <v>14629.9808767612</v>
      </c>
      <c r="G16" s="0" t="n">
        <f aca="false">-G12</f>
        <v>14410.5311636098</v>
      </c>
      <c r="H16" s="0" t="n">
        <f aca="false">-H12</f>
        <v>14194.3731961557</v>
      </c>
      <c r="I16" s="0" t="n">
        <f aca="false">-I12</f>
        <v>14052.4294641941</v>
      </c>
      <c r="J16" s="0" t="n">
        <f aca="false">-J12</f>
        <v>13911.9051695522</v>
      </c>
      <c r="K16" s="0" t="n">
        <f aca="false">-K12</f>
        <v>13772.7861178567</v>
      </c>
      <c r="L16" s="0" t="n">
        <f aca="false">-L12</f>
        <v>13635.0582566781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-14414.939</v>
      </c>
      <c r="D17" s="4" t="n">
        <f aca="false">-D6*Assumptions!D18/100</f>
        <v>-13982.49083</v>
      </c>
      <c r="E17" s="4" t="n">
        <f aca="false">-E6*Assumptions!E18/100</f>
        <v>-14052.40328415</v>
      </c>
      <c r="F17" s="4" t="n">
        <f aca="false">-F6*Assumptions!F18/100</f>
        <v>-13468.8712833675</v>
      </c>
      <c r="G17" s="4" t="n">
        <f aca="false">-G6*Assumptions!G18/100</f>
        <v>-13152.4689191677</v>
      </c>
      <c r="H17" s="4" t="n">
        <f aca="false">-H6*Assumptions!H18/100</f>
        <v>-12955.1818853802</v>
      </c>
      <c r="I17" s="4" t="n">
        <f aca="false">-I6*Assumptions!I18/100</f>
        <v>-12825.6300665264</v>
      </c>
      <c r="J17" s="4" t="n">
        <f aca="false">-J6*Assumptions!J18/100</f>
        <v>-12697.3737658611</v>
      </c>
      <c r="K17" s="4" t="n">
        <f aca="false">-K6*Assumptions!K18/100</f>
        <v>-12570.4000282025</v>
      </c>
      <c r="L17" s="4" t="n">
        <f aca="false">-L6*Assumptions!L18/100</f>
        <v>-12444.6960279205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17963.701525</v>
      </c>
      <c r="D19" s="0" t="n">
        <f aca="false">D15+D16+D17+D18</f>
        <v>15405.62400685</v>
      </c>
      <c r="E19" s="0" t="n">
        <f aca="false">E15+E16+E17+E18</f>
        <v>14004.76801878</v>
      </c>
      <c r="F19" s="0" t="n">
        <f aca="false">F15+F16+F17+F18</f>
        <v>12934.7608704064</v>
      </c>
      <c r="G19" s="0" t="n">
        <f aca="false">G15+G16+G17+G18</f>
        <v>12001.9138119779</v>
      </c>
      <c r="H19" s="0" t="n">
        <f aca="false">H15+H16+H17+H18</f>
        <v>11301.4247542725</v>
      </c>
      <c r="I19" s="0" t="n">
        <f aca="false">I15+I16+I17+I18</f>
        <v>10844.9066753828</v>
      </c>
      <c r="J19" s="0" t="n">
        <f aca="false">J15+J16+J17+J18</f>
        <v>10396.3888155955</v>
      </c>
      <c r="K19" s="0" t="n">
        <f aca="false">K15+K16+K17+K18</f>
        <v>10039.9238486122</v>
      </c>
      <c r="L19" s="0" t="n">
        <f aca="false">L15+L16+L17+L18</f>
        <v>9689.54854208696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16788.5060981308</v>
      </c>
      <c r="D21" s="0" t="n">
        <f aca="false">D19*D20</f>
        <v>13455.8686407983</v>
      </c>
      <c r="E21" s="0" t="n">
        <f aca="false">E19*E20</f>
        <v>11432.062400079</v>
      </c>
      <c r="F21" s="0" t="n">
        <f aca="false">F19*F20</f>
        <v>9867.86713701271</v>
      </c>
      <c r="G21" s="0" t="n">
        <f aca="false">G19*G20</f>
        <v>8557.19867529439</v>
      </c>
      <c r="H21" s="0" t="n">
        <f aca="false">H19*H20</f>
        <v>7530.61650305693</v>
      </c>
      <c r="I21" s="0" t="n">
        <f aca="false">I19*I20</f>
        <v>6753.66283285714</v>
      </c>
      <c r="J21" s="0" t="n">
        <f aca="false">J19*J20</f>
        <v>6050.79294527472</v>
      </c>
      <c r="K21" s="0" t="n">
        <f aca="false">K19*K20</f>
        <v>5461.05335423546</v>
      </c>
      <c r="L21" s="0" t="n">
        <f aca="false">L19*L20</f>
        <v>4925.67514247489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-1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90823.3037292144</v>
      </c>
    </row>
    <row r="31" customFormat="false" ht="15" hidden="false" customHeight="false" outlineLevel="0" collapsed="false">
      <c r="A31" s="0" t="s">
        <v>138</v>
      </c>
      <c r="B31" s="0" t="n">
        <f aca="false">L19</f>
        <v>9689.54854208696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119908.163208326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77516.3883366957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77516.3883366957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39405.4011397991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130228.704869014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54399.7048690135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15.2380125683511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-0.3045179110748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9756.08929104556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8169.11725103329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20.2590788266365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59954.0816041631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1.80440679790375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</v>
      </c>
      <c r="D5" s="4" t="n">
        <f aca="false">Assumptions!D27</f>
        <v>-1</v>
      </c>
      <c r="E5" s="4" t="n">
        <f aca="false">Assumptions!E27</f>
        <v>2.5</v>
      </c>
      <c r="F5" s="4" t="n">
        <f aca="false">Assumptions!F27</f>
        <v>-0.5</v>
      </c>
      <c r="G5" s="4" t="n">
        <f aca="false">Assumptions!G27</f>
        <v>1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0.5</v>
      </c>
      <c r="L5" s="4" t="n">
        <f aca="false">Assumptions!L27</f>
        <v>0.5</v>
      </c>
    </row>
    <row r="6" customFormat="false" ht="15" hidden="false" customHeight="false" outlineLevel="0" collapsed="false">
      <c r="A6" s="0" t="s">
        <v>37</v>
      </c>
      <c r="B6" s="3" t="n">
        <v>116900</v>
      </c>
      <c r="C6" s="0" t="n">
        <f aca="false">B6*(1+C5/100)</f>
        <v>122745</v>
      </c>
      <c r="D6" s="0" t="n">
        <f aca="false">C6*(1+D5/100)</f>
        <v>121517.55</v>
      </c>
      <c r="E6" s="0" t="n">
        <f aca="false">D6*(1+E5/100)</f>
        <v>124555.48875</v>
      </c>
      <c r="F6" s="0" t="n">
        <f aca="false">E6*(1+F5/100)</f>
        <v>123932.71130625</v>
      </c>
      <c r="G6" s="0" t="n">
        <f aca="false">F6*(1+G5/100)</f>
        <v>125172.038419312</v>
      </c>
      <c r="H6" s="0" t="n">
        <f aca="false">G6*(1+H5/100)</f>
        <v>126423.758803506</v>
      </c>
      <c r="I6" s="0" t="n">
        <f aca="false">H6*(1+I5/100)</f>
        <v>127687.996391541</v>
      </c>
      <c r="J6" s="0" t="n">
        <f aca="false">I6*(1+J5/100)</f>
        <v>128964.876355456</v>
      </c>
      <c r="K6" s="0" t="n">
        <f aca="false">J6*(1+K5/100)</f>
        <v>129609.700737233</v>
      </c>
      <c r="L6" s="0" t="n">
        <f aca="false">K6*(1+L5/100)</f>
        <v>130257.74924092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29.8</v>
      </c>
      <c r="D7" s="4" t="n">
        <f aca="false">Assumptions!D28</f>
        <v>30</v>
      </c>
      <c r="E7" s="4" t="n">
        <f aca="false">Assumptions!E28</f>
        <v>29.6</v>
      </c>
      <c r="F7" s="4" t="n">
        <f aca="false">Assumptions!F28</f>
        <v>29.7</v>
      </c>
      <c r="G7" s="4" t="n">
        <f aca="false">Assumptions!G28</f>
        <v>29.5</v>
      </c>
      <c r="H7" s="4" t="n">
        <f aca="false">Assumptions!H28</f>
        <v>29.3</v>
      </c>
      <c r="I7" s="4" t="n">
        <f aca="false">Assumptions!I28</f>
        <v>29.2</v>
      </c>
      <c r="J7" s="4" t="n">
        <f aca="false">Assumptions!J28</f>
        <v>29</v>
      </c>
      <c r="K7" s="4" t="n">
        <f aca="false">Assumptions!K28</f>
        <v>29</v>
      </c>
      <c r="L7" s="4" t="n">
        <f aca="false">Assumptions!L28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36578.01</v>
      </c>
      <c r="D8" s="0" t="n">
        <f aca="false">D6*D7/100</f>
        <v>36455.265</v>
      </c>
      <c r="E8" s="0" t="n">
        <f aca="false">E6*E7/100</f>
        <v>36868.42467</v>
      </c>
      <c r="F8" s="0" t="n">
        <f aca="false">F6*F7/100</f>
        <v>36808.0152579563</v>
      </c>
      <c r="G8" s="0" t="n">
        <f aca="false">G6*G7/100</f>
        <v>36925.7513336972</v>
      </c>
      <c r="H8" s="0" t="n">
        <f aca="false">H6*H7/100</f>
        <v>37042.1613294271</v>
      </c>
      <c r="I8" s="0" t="n">
        <f aca="false">I6*I7/100</f>
        <v>37284.8949463299</v>
      </c>
      <c r="J8" s="0" t="n">
        <f aca="false">J6*J7/100</f>
        <v>37399.8141430823</v>
      </c>
      <c r="K8" s="0" t="n">
        <f aca="false">K6*K7/100</f>
        <v>37586.8132137977</v>
      </c>
      <c r="L8" s="0" t="n">
        <f aca="false">L6*L7/100</f>
        <v>37774.7472798667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1.25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-1534.3125</v>
      </c>
      <c r="D10" s="0" t="n">
        <f aca="false">-D6*D9/100</f>
        <v>-1458.2106</v>
      </c>
      <c r="E10" s="0" t="n">
        <f aca="false">-E6*E9/100</f>
        <v>-1494.665865</v>
      </c>
      <c r="F10" s="0" t="n">
        <f aca="false">-F6*F9/100</f>
        <v>-1425.22618002187</v>
      </c>
      <c r="G10" s="0" t="n">
        <f aca="false">-G6*G9/100</f>
        <v>-1439.47844182209</v>
      </c>
      <c r="H10" s="0" t="n">
        <f aca="false">-H6*H9/100</f>
        <v>-1390.66134683856</v>
      </c>
      <c r="I10" s="0" t="n">
        <f aca="false">-I6*I9/100</f>
        <v>-1404.56796030695</v>
      </c>
      <c r="J10" s="0" t="n">
        <f aca="false">-J6*J9/100</f>
        <v>-1418.61363991002</v>
      </c>
      <c r="K10" s="0" t="n">
        <f aca="false">-K6*K9/100</f>
        <v>-1425.70670810957</v>
      </c>
      <c r="L10" s="0" t="n">
        <f aca="false">-L6*L9/100</f>
        <v>-1432.83524165011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35043.6975</v>
      </c>
      <c r="D11" s="0" t="n">
        <f aca="false">D8+D10+D24</f>
        <v>34997.0544</v>
      </c>
      <c r="E11" s="0" t="n">
        <f aca="false">E8+E10+E24</f>
        <v>35373.758805</v>
      </c>
      <c r="F11" s="0" t="n">
        <f aca="false">F8+F10+F24</f>
        <v>35382.7890779344</v>
      </c>
      <c r="G11" s="0" t="n">
        <f aca="false">G8+G10+G24</f>
        <v>35486.2728918751</v>
      </c>
      <c r="H11" s="0" t="n">
        <f aca="false">H8+H10+H24</f>
        <v>35651.4999825886</v>
      </c>
      <c r="I11" s="0" t="n">
        <f aca="false">I8+I10+I24</f>
        <v>35880.3269860229</v>
      </c>
      <c r="J11" s="0" t="n">
        <f aca="false">J8+J10+J24</f>
        <v>35981.2005031723</v>
      </c>
      <c r="K11" s="0" t="n">
        <f aca="false">K8+K10+K24</f>
        <v>36161.1065056881</v>
      </c>
      <c r="L11" s="0" t="n">
        <f aca="false">L8+L10+L24</f>
        <v>36341.9120382165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-15465.87</v>
      </c>
      <c r="D12" s="4" t="n">
        <f aca="false">-D6*Assumptions!D31/100</f>
        <v>-15189.69375</v>
      </c>
      <c r="E12" s="4" t="n">
        <f aca="false">-E6*Assumptions!E31/100</f>
        <v>-15444.880605</v>
      </c>
      <c r="F12" s="4" t="n">
        <f aca="false">-F6*Assumptions!F31/100</f>
        <v>-15243.7234906688</v>
      </c>
      <c r="G12" s="4" t="n">
        <f aca="false">-G6*Assumptions!G31/100</f>
        <v>-15270.9886871561</v>
      </c>
      <c r="H12" s="4" t="n">
        <f aca="false">-H6*Assumptions!H31/100</f>
        <v>-15297.2748152242</v>
      </c>
      <c r="I12" s="4" t="n">
        <f aca="false">-I6*Assumptions!I31/100</f>
        <v>-15322.5595669849</v>
      </c>
      <c r="J12" s="4" t="n">
        <f aca="false">-J6*Assumptions!J31/100</f>
        <v>-15475.7851626547</v>
      </c>
      <c r="K12" s="4" t="n">
        <f aca="false">-K6*Assumptions!K31/100</f>
        <v>-15553.164088468</v>
      </c>
      <c r="L12" s="4" t="n">
        <f aca="false">-L6*Assumptions!L31/100</f>
        <v>-15630.9299089103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19577.8275</v>
      </c>
      <c r="D13" s="0" t="n">
        <f aca="false">D11+D12</f>
        <v>19807.36065</v>
      </c>
      <c r="E13" s="0" t="n">
        <f aca="false">E11+E12</f>
        <v>19928.8782</v>
      </c>
      <c r="F13" s="0" t="n">
        <f aca="false">F11+F12</f>
        <v>20139.0655872656</v>
      </c>
      <c r="G13" s="0" t="n">
        <f aca="false">G11+G12</f>
        <v>20215.284204719</v>
      </c>
      <c r="H13" s="0" t="n">
        <f aca="false">H11+H12</f>
        <v>20354.2251673644</v>
      </c>
      <c r="I13" s="0" t="n">
        <f aca="false">I11+I12</f>
        <v>20557.767419038</v>
      </c>
      <c r="J13" s="0" t="n">
        <f aca="false">J11+J12</f>
        <v>20505.4153405175</v>
      </c>
      <c r="K13" s="0" t="n">
        <f aca="false">K11+K12</f>
        <v>20607.9424172201</v>
      </c>
      <c r="L13" s="0" t="n">
        <f aca="false">L11+L12</f>
        <v>20710.9821293062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10</v>
      </c>
      <c r="D14" s="4" t="n">
        <f aca="false">Assumptions!D33</f>
        <v>17</v>
      </c>
      <c r="E14" s="4" t="n">
        <f aca="false">Assumptions!E33</f>
        <v>20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17620.04475</v>
      </c>
      <c r="D15" s="0" t="n">
        <f aca="false">D13-MAX(0,D13)*D14/100</f>
        <v>16440.1093395</v>
      </c>
      <c r="E15" s="0" t="n">
        <f aca="false">E13-MAX(0,E13)*E14/100</f>
        <v>15943.10256</v>
      </c>
      <c r="F15" s="0" t="n">
        <f aca="false">F13-MAX(0,F13)*F14/100</f>
        <v>15708.4711580672</v>
      </c>
      <c r="G15" s="0" t="n">
        <f aca="false">G13-MAX(0,G13)*G14/100</f>
        <v>15565.7688376336</v>
      </c>
      <c r="H15" s="0" t="n">
        <f aca="false">H13-MAX(0,H13)*H14/100</f>
        <v>15672.7533788706</v>
      </c>
      <c r="I15" s="0" t="n">
        <f aca="false">I13-MAX(0,I13)*I14/100</f>
        <v>15829.4809126593</v>
      </c>
      <c r="J15" s="0" t="n">
        <f aca="false">J13-MAX(0,J13)*J14/100</f>
        <v>15789.1698121985</v>
      </c>
      <c r="K15" s="0" t="n">
        <f aca="false">K13-MAX(0,K13)*K14/100</f>
        <v>15868.1156612595</v>
      </c>
      <c r="L15" s="0" t="n">
        <f aca="false">L13-MAX(0,L13)*L14/100</f>
        <v>15947.4562395658</v>
      </c>
    </row>
    <row r="16" customFormat="false" ht="15" hidden="false" customHeight="false" outlineLevel="0" collapsed="false">
      <c r="A16" s="0" t="s">
        <v>129</v>
      </c>
      <c r="C16" s="0" t="n">
        <f aca="false">-C12</f>
        <v>15465.87</v>
      </c>
      <c r="D16" s="0" t="n">
        <f aca="false">-D12</f>
        <v>15189.69375</v>
      </c>
      <c r="E16" s="0" t="n">
        <f aca="false">-E12</f>
        <v>15444.880605</v>
      </c>
      <c r="F16" s="0" t="n">
        <f aca="false">-F12</f>
        <v>15243.7234906688</v>
      </c>
      <c r="G16" s="0" t="n">
        <f aca="false">-G12</f>
        <v>15270.9886871561</v>
      </c>
      <c r="H16" s="0" t="n">
        <f aca="false">-H12</f>
        <v>15297.2748152242</v>
      </c>
      <c r="I16" s="0" t="n">
        <f aca="false">-I12</f>
        <v>15322.5595669849</v>
      </c>
      <c r="J16" s="0" t="n">
        <f aca="false">-J12</f>
        <v>15475.7851626547</v>
      </c>
      <c r="K16" s="0" t="n">
        <f aca="false">-K12</f>
        <v>15553.164088468</v>
      </c>
      <c r="L16" s="0" t="n">
        <f aca="false">-L12</f>
        <v>15630.9299089103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-13870.185</v>
      </c>
      <c r="D17" s="4" t="n">
        <f aca="false">-D6*Assumptions!D32/100</f>
        <v>-13366.9305</v>
      </c>
      <c r="E17" s="4" t="n">
        <f aca="false">-E6*Assumptions!E32/100</f>
        <v>-13701.1037625</v>
      </c>
      <c r="F17" s="4" t="n">
        <f aca="false">-F6*Assumptions!F32/100</f>
        <v>-13632.5982436875</v>
      </c>
      <c r="G17" s="4" t="n">
        <f aca="false">-G6*Assumptions!G32/100</f>
        <v>-13643.7521877051</v>
      </c>
      <c r="H17" s="4" t="n">
        <f aca="false">-H6*Assumptions!H32/100</f>
        <v>-13653.7659507786</v>
      </c>
      <c r="I17" s="4" t="n">
        <f aca="false">-I6*Assumptions!I32/100</f>
        <v>-13790.3036102864</v>
      </c>
      <c r="J17" s="4" t="n">
        <f aca="false">-J6*Assumptions!J32/100</f>
        <v>-13928.2066463893</v>
      </c>
      <c r="K17" s="4" t="n">
        <f aca="false">-K6*Assumptions!K32/100</f>
        <v>-13997.8476796212</v>
      </c>
      <c r="L17" s="4" t="n">
        <f aca="false">-L6*Assumptions!L32/100</f>
        <v>-14067.8369180193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-0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19215.72975</v>
      </c>
      <c r="D19" s="0" t="n">
        <f aca="false">D15+D16+D17+D18</f>
        <v>18262.8725895</v>
      </c>
      <c r="E19" s="0" t="n">
        <f aca="false">E15+E16+E17+E18</f>
        <v>17686.8794025</v>
      </c>
      <c r="F19" s="0" t="n">
        <f aca="false">F15+F16+F17+F18</f>
        <v>17319.5964050484</v>
      </c>
      <c r="G19" s="0" t="n">
        <f aca="false">G15+G16+G17+G18</f>
        <v>17193.0053370847</v>
      </c>
      <c r="H19" s="0" t="n">
        <f aca="false">H15+H16+H17+H18</f>
        <v>17316.2622433162</v>
      </c>
      <c r="I19" s="0" t="n">
        <f aca="false">I15+I16+I17+I18</f>
        <v>17361.7368693578</v>
      </c>
      <c r="J19" s="0" t="n">
        <f aca="false">J15+J16+J17+J18</f>
        <v>17336.748328464</v>
      </c>
      <c r="K19" s="0" t="n">
        <f aca="false">K15+K16+K17+K18</f>
        <v>17423.4320701063</v>
      </c>
      <c r="L19" s="0" t="n">
        <f aca="false">L15+L16+L17+L18</f>
        <v>17510.5492304568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17958.6259345794</v>
      </c>
      <c r="D21" s="0" t="n">
        <f aca="false">D19*D20</f>
        <v>15951.5002091886</v>
      </c>
      <c r="E21" s="0" t="n">
        <f aca="false">E19*E20</f>
        <v>14437.7621050853</v>
      </c>
      <c r="F21" s="0" t="n">
        <f aca="false">F19*F20</f>
        <v>13213.037172007</v>
      </c>
      <c r="G21" s="0" t="n">
        <f aca="false">G19*G20</f>
        <v>12258.3751891303</v>
      </c>
      <c r="H21" s="0" t="n">
        <f aca="false">H19*H20</f>
        <v>11538.5566914012</v>
      </c>
      <c r="I21" s="0" t="n">
        <f aca="false">I19*I20</f>
        <v>10812.0171540607</v>
      </c>
      <c r="J21" s="0" t="n">
        <f aca="false">J19*J20</f>
        <v>10090.1453707187</v>
      </c>
      <c r="K21" s="0" t="n">
        <f aca="false">K19*K20</f>
        <v>9477.19261455357</v>
      </c>
      <c r="L21" s="0" t="n">
        <f aca="false">L19*L20</f>
        <v>8901.47530619284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0.5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124638.687746918</v>
      </c>
    </row>
    <row r="31" customFormat="false" ht="15" hidden="false" customHeight="false" outlineLevel="0" collapsed="false">
      <c r="A31" s="0" t="s">
        <v>138</v>
      </c>
      <c r="B31" s="0" t="n">
        <f aca="false">L19</f>
        <v>17510.5492304568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270740.030409371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175105.492304568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175105.492304568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89014.7530619284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213653.440808846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137824.440808846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38.6062859408533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0.762039522631367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10172.1810935387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11261.8874575801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44.6102267114748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121366.220528339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12.2496542916444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5.5</v>
      </c>
      <c r="D5" s="4" t="n">
        <f aca="false">Assumptions!D41</f>
        <v>1</v>
      </c>
      <c r="E5" s="4" t="n">
        <f aca="false">Assumptions!E41</f>
        <v>4</v>
      </c>
      <c r="F5" s="4" t="n">
        <f aca="false">Assumptions!F41</f>
        <v>1.5</v>
      </c>
      <c r="G5" s="4" t="n">
        <f aca="false">Assumptions!G41</f>
        <v>2.5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116900</v>
      </c>
      <c r="C6" s="0" t="n">
        <f aca="false">B6*(1+C5/100)</f>
        <v>123329.5</v>
      </c>
      <c r="D6" s="0" t="n">
        <f aca="false">C6*(1+D5/100)</f>
        <v>124562.795</v>
      </c>
      <c r="E6" s="0" t="n">
        <f aca="false">D6*(1+E5/100)</f>
        <v>129545.3068</v>
      </c>
      <c r="F6" s="0" t="n">
        <f aca="false">E6*(1+F5/100)</f>
        <v>131488.486402</v>
      </c>
      <c r="G6" s="0" t="n">
        <f aca="false">F6*(1+G5/100)</f>
        <v>134775.69856205</v>
      </c>
      <c r="H6" s="0" t="n">
        <f aca="false">G6*(1+H5/100)</f>
        <v>138145.091026101</v>
      </c>
      <c r="I6" s="0" t="n">
        <f aca="false">H6*(1+I5/100)</f>
        <v>141598.718301754</v>
      </c>
      <c r="J6" s="0" t="n">
        <f aca="false">I6*(1+J5/100)</f>
        <v>144430.692667789</v>
      </c>
      <c r="K6" s="0" t="n">
        <f aca="false">J6*(1+K5/100)</f>
        <v>147319.306521145</v>
      </c>
      <c r="L6" s="0" t="n">
        <f aca="false">K6*(1+L5/100)</f>
        <v>150265.692651568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30</v>
      </c>
      <c r="D7" s="4" t="n">
        <f aca="false">Assumptions!D42</f>
        <v>30.6</v>
      </c>
      <c r="E7" s="4" t="n">
        <f aca="false">Assumptions!E42</f>
        <v>30.6</v>
      </c>
      <c r="F7" s="4" t="n">
        <f aca="false">Assumptions!F42</f>
        <v>30.9</v>
      </c>
      <c r="G7" s="4" t="n">
        <f aca="false">Assumptions!G42</f>
        <v>31.1</v>
      </c>
      <c r="H7" s="4" t="n">
        <f aca="false">Assumptions!H42</f>
        <v>31.3</v>
      </c>
      <c r="I7" s="4" t="n">
        <f aca="false">Assumptions!I42</f>
        <v>31.4</v>
      </c>
      <c r="J7" s="4" t="n">
        <f aca="false">Assumptions!J42</f>
        <v>31.5</v>
      </c>
      <c r="K7" s="4" t="n">
        <f aca="false">Assumptions!K42</f>
        <v>31.5</v>
      </c>
      <c r="L7" s="4" t="n">
        <f aca="false">Assumptions!L42</f>
        <v>31.5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36998.85</v>
      </c>
      <c r="D8" s="0" t="n">
        <f aca="false">D6*D7/100</f>
        <v>38116.21527</v>
      </c>
      <c r="E8" s="0" t="n">
        <f aca="false">E6*E7/100</f>
        <v>39640.8638808</v>
      </c>
      <c r="F8" s="0" t="n">
        <f aca="false">F6*F7/100</f>
        <v>40629.942298218</v>
      </c>
      <c r="G8" s="0" t="n">
        <f aca="false">G6*G7/100</f>
        <v>41915.2422527975</v>
      </c>
      <c r="H8" s="0" t="n">
        <f aca="false">H6*H7/100</f>
        <v>43239.4134911697</v>
      </c>
      <c r="I8" s="0" t="n">
        <f aca="false">I6*I7/100</f>
        <v>44461.9975467507</v>
      </c>
      <c r="J8" s="0" t="n">
        <f aca="false">J6*J7/100</f>
        <v>45495.6681903535</v>
      </c>
      <c r="K8" s="0" t="n">
        <f aca="false">K6*K7/100</f>
        <v>46405.5815541606</v>
      </c>
      <c r="L8" s="0" t="n">
        <f aca="false">L6*L7/100</f>
        <v>47333.6931852438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1.25</v>
      </c>
      <c r="D9" s="4" t="n">
        <f aca="false">Assumptions!D43</f>
        <v>1.2</v>
      </c>
      <c r="E9" s="4" t="n">
        <f aca="false">Assumptions!E43</f>
        <v>1.2</v>
      </c>
      <c r="F9" s="4" t="n">
        <f aca="false">Assumptions!F43</f>
        <v>1.15</v>
      </c>
      <c r="G9" s="4" t="n">
        <f aca="false">Assumptions!G43</f>
        <v>1.15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-1541.61875</v>
      </c>
      <c r="D10" s="0" t="n">
        <f aca="false">-D6*D9/100</f>
        <v>-1494.75354</v>
      </c>
      <c r="E10" s="0" t="n">
        <f aca="false">-E6*E9/100</f>
        <v>-1554.5436816</v>
      </c>
      <c r="F10" s="0" t="n">
        <f aca="false">-F6*F9/100</f>
        <v>-1512.117593623</v>
      </c>
      <c r="G10" s="0" t="n">
        <f aca="false">-G6*G9/100</f>
        <v>-1549.92053346357</v>
      </c>
      <c r="H10" s="0" t="n">
        <f aca="false">-H6*H9/100</f>
        <v>-1519.59600128711</v>
      </c>
      <c r="I10" s="0" t="n">
        <f aca="false">-I6*I9/100</f>
        <v>-1557.58590131929</v>
      </c>
      <c r="J10" s="0" t="n">
        <f aca="false">-J6*J9/100</f>
        <v>-1588.73761934568</v>
      </c>
      <c r="K10" s="0" t="n">
        <f aca="false">-K6*K9/100</f>
        <v>-1620.51237173259</v>
      </c>
      <c r="L10" s="0" t="n">
        <f aca="false">-L6*L9/100</f>
        <v>-1652.92261916724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35457.23125</v>
      </c>
      <c r="D11" s="0" t="n">
        <f aca="false">D8+D10+D24</f>
        <v>36621.46173</v>
      </c>
      <c r="E11" s="0" t="n">
        <f aca="false">E8+E10+E24</f>
        <v>38086.3201992</v>
      </c>
      <c r="F11" s="0" t="n">
        <f aca="false">F8+F10+F24</f>
        <v>39117.824704595</v>
      </c>
      <c r="G11" s="0" t="n">
        <f aca="false">G8+G10+G24</f>
        <v>40365.321719334</v>
      </c>
      <c r="H11" s="0" t="n">
        <f aca="false">H8+H10+H24</f>
        <v>41719.8174898826</v>
      </c>
      <c r="I11" s="0" t="n">
        <f aca="false">I8+I10+I24</f>
        <v>42904.4116454314</v>
      </c>
      <c r="J11" s="0" t="n">
        <f aca="false">J8+J10+J24</f>
        <v>43906.9305710078</v>
      </c>
      <c r="K11" s="0" t="n">
        <f aca="false">K8+K10+K24</f>
        <v>44785.069182428</v>
      </c>
      <c r="L11" s="0" t="n">
        <f aca="false">L8+L10+L24</f>
        <v>45680.7705660765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-15539.517</v>
      </c>
      <c r="D12" s="4" t="n">
        <f aca="false">-D6*Assumptions!D45/100</f>
        <v>-15570.349375</v>
      </c>
      <c r="E12" s="4" t="n">
        <f aca="false">-E6*Assumptions!E45/100</f>
        <v>-16063.6180432</v>
      </c>
      <c r="F12" s="4" t="n">
        <f aca="false">-F6*Assumptions!F45/100</f>
        <v>-16173.083827446</v>
      </c>
      <c r="G12" s="4" t="n">
        <f aca="false">-G6*Assumptions!G45/100</f>
        <v>-16442.6352245701</v>
      </c>
      <c r="H12" s="4" t="n">
        <f aca="false">-H6*Assumptions!H45/100</f>
        <v>-16715.5560141582</v>
      </c>
      <c r="I12" s="4" t="n">
        <f aca="false">-I6*Assumptions!I45/100</f>
        <v>-16991.8461962104</v>
      </c>
      <c r="J12" s="4" t="n">
        <f aca="false">-J6*Assumptions!J45/100</f>
        <v>-17331.6831201347</v>
      </c>
      <c r="K12" s="4" t="n">
        <f aca="false">-K6*Assumptions!K45/100</f>
        <v>-17678.3167825374</v>
      </c>
      <c r="L12" s="4" t="n">
        <f aca="false">-L6*Assumptions!L45/100</f>
        <v>-18031.8831181881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19917.71425</v>
      </c>
      <c r="D13" s="0" t="n">
        <f aca="false">D11+D12</f>
        <v>21051.112355</v>
      </c>
      <c r="E13" s="0" t="n">
        <f aca="false">E11+E12</f>
        <v>22022.702156</v>
      </c>
      <c r="F13" s="0" t="n">
        <f aca="false">F11+F12</f>
        <v>22944.740877149</v>
      </c>
      <c r="G13" s="0" t="n">
        <f aca="false">G11+G12</f>
        <v>23922.6864947639</v>
      </c>
      <c r="H13" s="0" t="n">
        <f aca="false">H11+H12</f>
        <v>25004.2614757243</v>
      </c>
      <c r="I13" s="0" t="n">
        <f aca="false">I11+I12</f>
        <v>25912.5654492209</v>
      </c>
      <c r="J13" s="0" t="n">
        <f aca="false">J11+J12</f>
        <v>26575.2474508731</v>
      </c>
      <c r="K13" s="0" t="n">
        <f aca="false">K11+K12</f>
        <v>27106.7523998906</v>
      </c>
      <c r="L13" s="0" t="n">
        <f aca="false">L11+L12</f>
        <v>27648.8874478884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10</v>
      </c>
      <c r="D14" s="4" t="n">
        <f aca="false">Assumptions!D47</f>
        <v>17</v>
      </c>
      <c r="E14" s="4" t="n">
        <f aca="false">Assumptions!E47</f>
        <v>20</v>
      </c>
      <c r="F14" s="4" t="n">
        <f aca="false">Assumptions!F47</f>
        <v>22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17925.942825</v>
      </c>
      <c r="D15" s="0" t="n">
        <f aca="false">D13-MAX(0,D13)*D14/100</f>
        <v>17472.42325465</v>
      </c>
      <c r="E15" s="0" t="n">
        <f aca="false">E13-MAX(0,E13)*E14/100</f>
        <v>17618.1617248</v>
      </c>
      <c r="F15" s="0" t="n">
        <f aca="false">F13-MAX(0,F13)*F14/100</f>
        <v>17896.8978841762</v>
      </c>
      <c r="G15" s="0" t="n">
        <f aca="false">G13-MAX(0,G13)*G14/100</f>
        <v>18420.4686009682</v>
      </c>
      <c r="H15" s="0" t="n">
        <f aca="false">H13-MAX(0,H13)*H14/100</f>
        <v>19253.2813363077</v>
      </c>
      <c r="I15" s="0" t="n">
        <f aca="false">I13-MAX(0,I13)*I14/100</f>
        <v>19952.6753959001</v>
      </c>
      <c r="J15" s="0" t="n">
        <f aca="false">J13-MAX(0,J13)*J14/100</f>
        <v>20462.9405371723</v>
      </c>
      <c r="K15" s="0" t="n">
        <f aca="false">K13-MAX(0,K13)*K14/100</f>
        <v>20872.1993479158</v>
      </c>
      <c r="L15" s="0" t="n">
        <f aca="false">L13-MAX(0,L13)*L14/100</f>
        <v>21289.6433348741</v>
      </c>
    </row>
    <row r="16" customFormat="false" ht="15" hidden="false" customHeight="false" outlineLevel="0" collapsed="false">
      <c r="A16" s="0" t="s">
        <v>129</v>
      </c>
      <c r="C16" s="0" t="n">
        <f aca="false">-C12</f>
        <v>15539.517</v>
      </c>
      <c r="D16" s="0" t="n">
        <f aca="false">-D12</f>
        <v>15570.349375</v>
      </c>
      <c r="E16" s="0" t="n">
        <f aca="false">-E12</f>
        <v>16063.6180432</v>
      </c>
      <c r="F16" s="0" t="n">
        <f aca="false">-F12</f>
        <v>16173.083827446</v>
      </c>
      <c r="G16" s="0" t="n">
        <f aca="false">-G12</f>
        <v>16442.6352245701</v>
      </c>
      <c r="H16" s="0" t="n">
        <f aca="false">-H12</f>
        <v>16715.5560141582</v>
      </c>
      <c r="I16" s="0" t="n">
        <f aca="false">-I12</f>
        <v>16991.8461962104</v>
      </c>
      <c r="J16" s="0" t="n">
        <f aca="false">-J12</f>
        <v>17331.6831201347</v>
      </c>
      <c r="K16" s="0" t="n">
        <f aca="false">-K12</f>
        <v>17678.3167825374</v>
      </c>
      <c r="L16" s="0" t="n">
        <f aca="false">-L12</f>
        <v>18031.8831181881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-13812.904</v>
      </c>
      <c r="D17" s="4" t="n">
        <f aca="false">-D6*Assumptions!D46/100</f>
        <v>-13577.344655</v>
      </c>
      <c r="E17" s="4" t="n">
        <f aca="false">-E6*Assumptions!E46/100</f>
        <v>-13990.8931344</v>
      </c>
      <c r="F17" s="4" t="n">
        <f aca="false">-F6*Assumptions!F46/100</f>
        <v>-14069.268045014</v>
      </c>
      <c r="G17" s="4" t="n">
        <f aca="false">-G6*Assumptions!G46/100</f>
        <v>-14286.2240475773</v>
      </c>
      <c r="H17" s="4" t="n">
        <f aca="false">-H6*Assumptions!H46/100</f>
        <v>-14505.2345577406</v>
      </c>
      <c r="I17" s="4" t="n">
        <f aca="false">-I6*Assumptions!I46/100</f>
        <v>-14867.8654216841</v>
      </c>
      <c r="J17" s="4" t="n">
        <f aca="false">-J6*Assumptions!J46/100</f>
        <v>-15165.2227301178</v>
      </c>
      <c r="K17" s="4" t="n">
        <f aca="false">-K6*Assumptions!K46/100</f>
        <v>-15468.5271847202</v>
      </c>
      <c r="L17" s="4" t="n">
        <f aca="false">-L6*Assumptions!L46/100</f>
        <v>-15777.8977284146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19652.555825</v>
      </c>
      <c r="D19" s="0" t="n">
        <f aca="false">D15+D16+D17+D18</f>
        <v>19465.42797465</v>
      </c>
      <c r="E19" s="0" t="n">
        <f aca="false">E15+E16+E17+E18</f>
        <v>19690.8866336</v>
      </c>
      <c r="F19" s="0" t="n">
        <f aca="false">F15+F16+F17+F18</f>
        <v>20000.7136666082</v>
      </c>
      <c r="G19" s="0" t="n">
        <f aca="false">G15+G16+G17+G18</f>
        <v>20576.879777961</v>
      </c>
      <c r="H19" s="0" t="n">
        <f aca="false">H15+H16+H17+H18</f>
        <v>21463.6027927254</v>
      </c>
      <c r="I19" s="0" t="n">
        <f aca="false">I15+I16+I17+I18</f>
        <v>22076.6561704264</v>
      </c>
      <c r="J19" s="0" t="n">
        <f aca="false">J15+J16+J17+J18</f>
        <v>22629.4009271892</v>
      </c>
      <c r="K19" s="0" t="n">
        <f aca="false">K15+K16+K17+K18</f>
        <v>23081.9889457329</v>
      </c>
      <c r="L19" s="0" t="n">
        <f aca="false">L15+L16+L17+L18</f>
        <v>23543.6287246476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18366.8746028037</v>
      </c>
      <c r="D21" s="0" t="n">
        <f aca="false">D19*D20</f>
        <v>17001.8586554721</v>
      </c>
      <c r="E21" s="0" t="n">
        <f aca="false">E19*E20</f>
        <v>16073.6289531061</v>
      </c>
      <c r="F21" s="0" t="n">
        <f aca="false">F19*F20</f>
        <v>15258.4486937889</v>
      </c>
      <c r="G21" s="0" t="n">
        <f aca="false">G19*G20</f>
        <v>14671.0308985831</v>
      </c>
      <c r="H21" s="0" t="n">
        <f aca="false">H19*H20</f>
        <v>14302.1048160189</v>
      </c>
      <c r="I21" s="0" t="n">
        <f aca="false">I19*I20</f>
        <v>13748.2319318079</v>
      </c>
      <c r="J21" s="0" t="n">
        <f aca="false">J19*J20</f>
        <v>13170.5173704766</v>
      </c>
      <c r="K21" s="0" t="n">
        <f aca="false">K19*K20</f>
        <v>12555.0726335384</v>
      </c>
      <c r="L21" s="0" t="n">
        <f aca="false">L19*L20</f>
        <v>11968.3869964572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147116.155552053</v>
      </c>
    </row>
    <row r="31" customFormat="false" ht="15" hidden="false" customHeight="false" outlineLevel="0" collapsed="false">
      <c r="A31" s="0" t="s">
        <v>138</v>
      </c>
      <c r="B31" s="0" t="n">
        <f aca="false">L19</f>
        <v>23543.6287246476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434486.966463951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282523.544695771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282523.544695771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143620.643957486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290736.79950954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214907.79950954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60.1982631679383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1.74752456266263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10902.9010753866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15506.6540737861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67.5958976635048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177013.208559387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20.0851518591662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15.2380125683511</v>
      </c>
      <c r="C4" s="0" t="n">
        <f aca="false">B4/Assumptions!$B$2-1</f>
        <v>-0.3045179110748</v>
      </c>
      <c r="D4" s="4" t="n">
        <f aca="false">Assumptions!$B$24</f>
        <v>0.3</v>
      </c>
      <c r="E4" s="4" t="n">
        <f aca="false">DCF_Bear!$B$43</f>
        <v>20.2590788266365</v>
      </c>
      <c r="F4" s="4" t="n">
        <f aca="false">DCF_Bear!$B$47</f>
        <v>1.80440679790375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38.6062859408533</v>
      </c>
      <c r="C5" s="0" t="n">
        <f aca="false">B5/Assumptions!$B$2-1</f>
        <v>0.762039522631367</v>
      </c>
      <c r="D5" s="4" t="n">
        <f aca="false">Assumptions!$B$38</f>
        <v>0.5</v>
      </c>
      <c r="E5" s="4" t="n">
        <f aca="false">DCF_Base!$B$43</f>
        <v>44.6102267114748</v>
      </c>
      <c r="F5" s="4" t="n">
        <f aca="false">DCF_Base!$B$47</f>
        <v>12.2496542916444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60.1982631679383</v>
      </c>
      <c r="C6" s="0" t="n">
        <f aca="false">B6/Assumptions!$B$2-1</f>
        <v>1.74752456266263</v>
      </c>
      <c r="D6" s="4" t="n">
        <f aca="false">Assumptions!$B$52</f>
        <v>0.2</v>
      </c>
      <c r="E6" s="4" t="n">
        <f aca="false">DCF_Bull!$B$43</f>
        <v>67.5958976635048</v>
      </c>
      <c r="F6" s="4" t="n">
        <f aca="false">DCF_Bull!$B$47</f>
        <v>20.0851518591662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35.9141993745196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41.9020165364293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0.389934889776641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-233.878206295352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10.6831795570266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38.6062859408533</v>
      </c>
      <c r="C15" s="3" t="n">
        <v>7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31.4234392237275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28.2770974246393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24.6491941427019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20.7448018330105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12.2496542916444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-0.5</v>
      </c>
      <c r="C23" s="3" t="n">
        <v>0</v>
      </c>
      <c r="D23" s="3" t="n">
        <v>0.5</v>
      </c>
      <c r="E23" s="3" t="n">
        <v>1</v>
      </c>
      <c r="F23" s="3" t="n">
        <v>1.5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47.2018634313131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47.2018634313131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47.2018634313131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47.2018634313131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47.2018634313131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42.7085021391899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42.7085021391899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42.7085021391899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42.7085021391899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42.7085021391899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38.6062859408533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38.6062859408533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38.6062859408533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38.6062859408533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38.6062859408533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34.8561801098716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34.8561801098716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34.8561801098716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34.8561801098716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34.8561801098716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31.4234392237275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31.4234392237275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31.4234392237275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31.4234392237275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31.4234392237275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2026-09-26T00:50:14Z</dcterms:created>
  <dc:creator>openpyxl</dc:creator>
  <dc:description/>
  <dc:language>en-NZ</dc:language>
  <cp:lastModifiedBy/>
  <dcterms:modified xsi:type="dcterms:W3CDTF">2026-09-26T00:50:14Z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