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<sst xmlns="http://schemas.openxmlformats.org/spreadsheetml/2006/main" count="364" uniqueCount="167">
  <si>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</si>
  <si>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5406.T</t>
  </si>
  <si>
    <t xml:space="preserve">Company</t>
  </si>
  <si>
    <t xml:space="preserve">Kobe Steel, Ltd. (Kobelco)</t>
  </si>
  <si>
    <t xml:space="preserve">Valuation date</t>
  </si>
  <si>
    <t xml:space="preserve">2026-10-31</t>
  </si>
  <si>
    <t xml:space="preserve">Current price</t>
  </si>
  <si>
    <t xml:space="preserve">Price as of</t>
  </si>
  <si>
    <t xml:space="preserve">2026-10-30T06:30:00Z regular close (TSE)</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</si>
  <si>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</si>
  <si>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</si>
  <si>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</si>
  <si>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</si>
  <si>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</si>
  <si>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</si>
  <si>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</si>
  <si>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</si>
  <si>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</si>
  <si>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</si>
  <si>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</si>
  <si>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</si>
  <si>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2026-10-31T09:31:29Z</t>
  </si>
  <si>
    <t xml:space="preserve">Drivers file</t>
  </si>
  <si>
    <t xml:space="preserve">5406.T_Drivers.json</t>
  </si>
  <si>
    <t xml:space="preserve">Convention</t>
  </si>
  <si>
    <t xml:space="preserve">Percents stored as percents; formulas divide by 100. Blue = input, green = link, black = formula.</t>
  </si>
  <si>
    <t xml:space="preserve">Methodology</t>
  </si>
  <si>
    <t xml:space="preserve">summary: Kobe Steel is valued as a consolidated cyclical industrial on an owner-FCF DCF with mid-cycle margins, not on the latest year or on guidance. The stock screens cheap on book (0.63x P/B, BVPS ~3,180 yen) and on earnings (~8x FY2027 guided EPS), but the DCF says those multiples are what a 30% EBITDA-to-FCF conversion, a 558bn-yen net debt stack ahead of equity and 1-2% nominal growth deserve. Non-operating assets (211bn of investment securities, haircut 10%) and NCI are bridged explicitly; leases are in net debt; NCI is charged once; SBC is nil so house and street coincide. The 13x FCF terminal cap (about 4x EBITDA) binds in every scenario, so the valuation does not depend on a re-rating.
key_risks_to_valuation: Discount rate: at a textbook market-weighted JPY WACC (~5-6%) the Gordon value is far higher; the 13x FCF cap then does all the work. The sensitivity grid (WACC 6-10%) is the honest range.; Mid-cycle EBITDA margin: each 1pp on the 10% base is worth roughly 25bn of EBITDA, ~17bn of FCF and ~450-500 yen/share. The FY2016-FY2021 history (mean ~7.9%) argues the 8.5% bear is not the floor.; FY2027 guidance (OP 150bn) is back-half loaded after a 20bn Q1; the base takes ~125bn. Delivery would move base toward bull.; Capex: the decarbonisation programme (large-scale EAF, ammonia co-firing) was cut to ~150bn over three years but could be restored; every 0.5pp of sustained capex/sales is ~13bn/yr of FCF.; Investment securities (190bn after haircut, ~480 yen/share) are a large part of equity value; their market value moves with the Nikkei and the company is selling them down.; Electric Power segment: merchant coal generation faces carbon-pricing / decarbonisation policy risk in Japan beyond the explicit horizon.</t>
  </si>
  <si>
    <t xml:space="preserve">Data sources</t>
  </si>
  <si>
    <t xml:space="preserve">price: Yahoo Finance chart API at inputs.price_as_of (TSE regular close); 52-week range 1,756-2,379.5
financials: 5406.T_Metrics.csv (core_metrics, FY2016-FY2026 annual plus Q1 FY2027); 5406.T_Annual_FY2025.txt (company fiscal 2025 = year ended 31 Mar 2026) for cash flow components, segment capex/D&amp;A and the FY2027 outlook; 5406.T_Quarterly_Q1-2026.txt (Q1 FY2027) for the 30 Jun 2026 balance sheet, share counts and the revised FY2027 forecast
qualitative: 5406.T_Analysis.json (2026-10-31)</t>
  </si>
  <si>
    <t xml:space="preserve">Scenario narrative: bear</t>
  </si>
  <si>
    <t xml:space="preserve">The Q1 FY2027 collapse persists: Steel stays at breakeven under Chinese export pressure, Electric Power's windfalls fade, margin reverts to the 10-yr average 8.5%, revenue flat. Equity value is thin because net debt of 558bn and NCI sit ahead of shareholders.</t>
  </si>
  <si>
    <t xml:space="preserve">Scenario narrative: base</t>
  </si>
  <si>
    <t xml:space="preserve">A mid-cycle Kobe Steel: FY2027 recovers only part-way to guidance (EBITDA margin 9.8%, OP ~125bn after a 20bn Q1), then the group earns a 10% EBITDA margin on ~2% nominal growth -- Steel &amp; Aluminum near breakeven-to-modest profit, Advanced Materials, Welding, Machinery, Engineering and Electric Power carrying the profit pool as they did in FY2026. Capex runs modestly above depreciation through the EAF transition. FCF conversion is structurally poor (~30% of EBITDA after 30% tax, capex &gt; D&amp;A and working-capital drag), so the terminal value is capped at 13x FCF, roughly 4x EBITDA.</t>
  </si>
  <si>
    <t xml:space="preserve">Scenario narrative: bull</t>
  </si>
  <si>
    <t xml:space="preserve">Guidance delivered and sustained: 2,690bn sales and 150bn OP in FY2027, margin matures to 11.5% on anti-dumping relief for domestic steel, aerospace/semiconductor-driven Advanced Materials and Machinery growth, Midrex DRI licensing, and the aluminium extrusion integration. Growth 3% fading to 1.5%.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</si>
  <si>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</si>
  <si>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</si>
  <si>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</si>
  <si>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</si>
  <si>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</si>
  <si>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</si>
  <si>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</si>
  <si>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</si>
  <si>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</si>
  <si>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</si>
  <si>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</si>
  <si>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</si>
  <si>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</si>
  <si>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</si>
  <si>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</si>
  <si>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</si>
  <si>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</si>
  <si>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</si>
  <si>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</si>
  <si>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</si>
  <si>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</si>
  <si>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</si>
  <si>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</si>
  <si>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</si>
  <si>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</si>
  <si>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</si>
  <si>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</si>
  <si>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OrdinaryProfit</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</si>
  <si>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</si>
  <si>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</si>
  <si>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</si>
  <si>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</si>
  <si>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</si>
  <si>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</si>
  <si>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</si>
  <si>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</si>
  <si>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</si>
  <si>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</si>
  <si>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</si>
  <si>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</si>
  <si>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</si>
  <si>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</si>
  <si>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</si>
  <si>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</si>
  <si>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</si>
  <si>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</si>
  <si>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</si>
  <si>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</si>
  <si>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</si>
  <si>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</si>
  <si>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</si>
  <si>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</si>
  <si>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</si>
  <si>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</si>
  <si>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</si>
  <si>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</si>
  <si>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</si>
  <si>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</si>
  <si>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</si>
  <si>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</si>
  <si>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</si>
  <si>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</si>
  <si>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</si>
  <si>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</si>
  <si>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</si>
  <si>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</si>
  <si>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</si>
  <si>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</si>
  <si>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</si>
  <si>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</si>
  <si>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</si>
  <si>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</si>
  <si>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</si>
  <si>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</si>
  <si>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</si>
  <si>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</si>
  <si>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5406.T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</si>
  <si>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</si>
  <si>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</si>
  <si>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</si>
  <si>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</si>
  <si>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</si>
  <si>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</si>
  <si>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</si>
  <si>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</si>
  <si>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</si>
  <si>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</si>
  <si>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</si>
  <si>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</si>
  <si>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</si>
  <si>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</si>
  <si>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</si>
  <si>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</si>
  <si>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</si>
  <si>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</si>
  <si>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</si>
  <si>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</si>
  <si>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</si>
  <si>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</si>
  <si>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</si>
  <si>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</si>
  <si>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</si>
  <si>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</si>
  <si>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</si>
  <si>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</si>
  <si>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</si>
  <si>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</si>
  <si>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5406.T owner-FCF component DCF: base case (millions, JPY)</t>
  </si>
  <si>
    <t xml:space="preserve">5406.T owner-FCF component DCF: bull case (millions, JPY)</t>
  </si>
  <si>
    <t xml:space="preserve">5406.T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</si>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</sst>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2000</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1822805</v>
      </c>
      <c r="C2" s="0" t="n">
        <v>1548384</v>
      </c>
      <c r="D2" s="0" t="n">
        <v>274421</v>
      </c>
      <c r="E2" s="0" t="n">
        <v>15.1</v>
      </c>
      <c r="F2" s="0" t="n">
        <v>68445</v>
      </c>
      <c r="G2" s="0" t="n">
        <v>3.8</v>
      </c>
      <c r="H2" s="0" t="n">
        <v>163257</v>
      </c>
      <c r="I2" s="0" t="n">
        <v>-21556</v>
      </c>
      <c r="J2" s="0" t="n">
        <v>-1.2</v>
      </c>
      <c r="K2" s="0" t="n">
        <v>-59.34</v>
      </c>
      <c r="L2" s="0" t="n">
        <v>97933</v>
      </c>
      <c r="M2" s="0" t="n">
        <v>99171</v>
      </c>
      <c r="N2" s="0" t="n">
        <v>-1238</v>
      </c>
      <c r="O2" s="0" t="n">
        <v>692007</v>
      </c>
      <c r="P2" s="0" t="n">
        <v>2261134</v>
      </c>
      <c r="Q2" s="0" t="n">
        <v>1515641</v>
      </c>
      <c r="R2" s="0" t="n">
        <v>789429</v>
      </c>
      <c r="S2" s="0" t="n">
        <v>155021</v>
      </c>
      <c r="T2" s="0" t="n">
        <v>363.4863</v>
      </c>
      <c r="V2" s="0" t="n">
        <v>20</v>
      </c>
      <c r="AA2" s="0" t="s">
        <v>17</v>
      </c>
      <c r="AB2" s="0" t="s">
        <v>14</v>
      </c>
      <c r="AC2" s="0" t="n">
        <v>28927</v>
      </c>
    </row>
    <row r="3" customFormat="false" ht="15" hidden="false" customHeight="false" outlineLevel="0" collapsed="false">
      <c r="A3" s="0" t="s">
        <v>65</v>
      </c>
      <c r="B3" s="0" t="n">
        <v>1695864</v>
      </c>
      <c r="C3" s="0" t="n">
        <v>1465577</v>
      </c>
      <c r="D3" s="0" t="n">
        <v>230286</v>
      </c>
      <c r="E3" s="0" t="n">
        <v>13.6</v>
      </c>
      <c r="F3" s="0" t="n">
        <v>9749</v>
      </c>
      <c r="G3" s="0" t="n">
        <v>0.6</v>
      </c>
      <c r="H3" s="0" t="n">
        <v>106030</v>
      </c>
      <c r="I3" s="0" t="n">
        <v>-23045</v>
      </c>
      <c r="J3" s="0" t="n">
        <v>-1.4</v>
      </c>
      <c r="K3" s="0" t="n">
        <v>-63.54</v>
      </c>
      <c r="L3" s="0" t="n">
        <v>141716</v>
      </c>
      <c r="M3" s="0" t="n">
        <v>138984</v>
      </c>
      <c r="N3" s="0" t="n">
        <v>2732</v>
      </c>
      <c r="O3" s="0" t="n">
        <v>673928</v>
      </c>
      <c r="P3" s="0" t="n">
        <v>2310435</v>
      </c>
      <c r="Q3" s="0" t="n">
        <v>1581031</v>
      </c>
      <c r="R3" s="0" t="n">
        <v>796926</v>
      </c>
      <c r="S3" s="0" t="n">
        <v>155763</v>
      </c>
      <c r="T3" s="0" t="n">
        <v>362.2558</v>
      </c>
      <c r="V3" s="0" t="n">
        <v>0</v>
      </c>
      <c r="AA3" s="0" t="s">
        <v>17</v>
      </c>
      <c r="AB3" s="0" t="s">
        <v>14</v>
      </c>
      <c r="AC3" s="0" t="n">
        <v>-19103</v>
      </c>
    </row>
    <row r="4" customFormat="false" ht="15" hidden="false" customHeight="false" outlineLevel="0" collapsed="false">
      <c r="A4" s="0" t="s">
        <v>66</v>
      </c>
      <c r="B4" s="0" t="n">
        <v>1881158</v>
      </c>
      <c r="C4" s="0" t="n">
        <v>1595229</v>
      </c>
      <c r="D4" s="0" t="n">
        <v>285928</v>
      </c>
      <c r="E4" s="0" t="n">
        <v>15.2</v>
      </c>
      <c r="F4" s="0" t="n">
        <v>88913</v>
      </c>
      <c r="G4" s="0" t="n">
        <v>4.7</v>
      </c>
      <c r="H4" s="0" t="n">
        <v>190945</v>
      </c>
      <c r="I4" s="0" t="n">
        <v>63188</v>
      </c>
      <c r="J4" s="0" t="n">
        <v>3.4</v>
      </c>
      <c r="K4" s="0" t="n">
        <v>174.43</v>
      </c>
      <c r="L4" s="0" t="n">
        <v>190832</v>
      </c>
      <c r="M4" s="0" t="n">
        <v>136648</v>
      </c>
      <c r="N4" s="0" t="n">
        <v>54184</v>
      </c>
      <c r="O4" s="0" t="n">
        <v>742588</v>
      </c>
      <c r="P4" s="0" t="n">
        <v>2352425</v>
      </c>
      <c r="Q4" s="0" t="n">
        <v>1561440</v>
      </c>
      <c r="R4" s="0" t="n">
        <v>738865</v>
      </c>
      <c r="S4" s="0" t="n">
        <v>165526</v>
      </c>
      <c r="T4" s="0" t="n">
        <v>362.2462</v>
      </c>
      <c r="V4" s="0" t="n">
        <v>30</v>
      </c>
      <c r="AA4" s="0" t="s">
        <v>17</v>
      </c>
      <c r="AB4" s="0" t="s">
        <v>14</v>
      </c>
      <c r="AC4" s="0" t="n">
        <v>71149</v>
      </c>
    </row>
    <row r="5" customFormat="false" ht="15" hidden="false" customHeight="false" outlineLevel="0" collapsed="false">
      <c r="A5" s="0" t="s">
        <v>67</v>
      </c>
      <c r="B5" s="0" t="n">
        <v>1971869</v>
      </c>
      <c r="C5" s="0" t="n">
        <v>1704972</v>
      </c>
      <c r="D5" s="0" t="n">
        <v>266897</v>
      </c>
      <c r="E5" s="0" t="n">
        <v>13.5</v>
      </c>
      <c r="F5" s="0" t="n">
        <v>48282</v>
      </c>
      <c r="G5" s="0" t="n">
        <v>2.4</v>
      </c>
      <c r="H5" s="0" t="n">
        <v>150871</v>
      </c>
      <c r="I5" s="0" t="n">
        <v>35940</v>
      </c>
      <c r="J5" s="0" t="n">
        <v>1.8</v>
      </c>
      <c r="K5" s="0" t="n">
        <v>99.2</v>
      </c>
      <c r="L5" s="0" t="n">
        <v>67136</v>
      </c>
      <c r="M5" s="0" t="n">
        <v>132456</v>
      </c>
      <c r="N5" s="0" t="n">
        <v>-65320</v>
      </c>
      <c r="O5" s="0" t="n">
        <v>739576</v>
      </c>
      <c r="P5" s="0" t="n">
        <v>2384973</v>
      </c>
      <c r="Q5" s="0" t="n">
        <v>1581660</v>
      </c>
      <c r="R5" s="0" t="n">
        <v>760363</v>
      </c>
      <c r="S5" s="0" t="n">
        <v>173899</v>
      </c>
      <c r="T5" s="0" t="n">
        <v>362.3083</v>
      </c>
      <c r="V5" s="0" t="n">
        <v>20</v>
      </c>
      <c r="AA5" s="0" t="s">
        <v>17</v>
      </c>
      <c r="AB5" s="0" t="s">
        <v>14</v>
      </c>
      <c r="AC5" s="0" t="n">
        <v>34629</v>
      </c>
    </row>
    <row r="6" customFormat="false" ht="15" hidden="false" customHeight="false" outlineLevel="0" collapsed="false">
      <c r="A6" s="0" t="s">
        <v>68</v>
      </c>
      <c r="B6" s="0" t="n">
        <v>1869835</v>
      </c>
      <c r="C6" s="0" t="n">
        <v>1638738</v>
      </c>
      <c r="D6" s="0" t="n">
        <v>231097</v>
      </c>
      <c r="E6" s="0" t="n">
        <v>12.4</v>
      </c>
      <c r="F6" s="0" t="n">
        <v>9863</v>
      </c>
      <c r="G6" s="0" t="n">
        <v>0.5</v>
      </c>
      <c r="H6" s="0" t="n">
        <v>115209</v>
      </c>
      <c r="I6" s="0" t="n">
        <v>-68008</v>
      </c>
      <c r="J6" s="0" t="n">
        <v>-3.6</v>
      </c>
      <c r="K6" s="0" t="n">
        <v>-187.55</v>
      </c>
      <c r="L6" s="0" t="n">
        <v>27040</v>
      </c>
      <c r="M6" s="0" t="n">
        <v>245386</v>
      </c>
      <c r="N6" s="0" t="n">
        <v>-218346</v>
      </c>
      <c r="O6" s="0" t="n">
        <v>656882</v>
      </c>
      <c r="P6" s="0" t="n">
        <v>2411191</v>
      </c>
      <c r="Q6" s="0" t="n">
        <v>1694822</v>
      </c>
      <c r="R6" s="0" t="n">
        <v>906638</v>
      </c>
      <c r="S6" s="0" t="n">
        <v>146044</v>
      </c>
      <c r="T6" s="0" t="n">
        <v>362.6973</v>
      </c>
      <c r="V6" s="0" t="n">
        <v>0</v>
      </c>
      <c r="AA6" s="0" t="s">
        <v>17</v>
      </c>
      <c r="AB6" s="0" t="s">
        <v>14</v>
      </c>
      <c r="AC6" s="0" t="n">
        <v>-8079</v>
      </c>
    </row>
    <row r="7" customFormat="false" ht="15" hidden="false" customHeight="false" outlineLevel="0" collapsed="false">
      <c r="A7" s="0" t="s">
        <v>69</v>
      </c>
      <c r="B7" s="0" t="n">
        <v>1705566</v>
      </c>
      <c r="C7" s="0" t="n">
        <v>1482378</v>
      </c>
      <c r="D7" s="0" t="n">
        <v>223188</v>
      </c>
      <c r="E7" s="0" t="n">
        <v>13.1</v>
      </c>
      <c r="F7" s="0" t="n">
        <v>30398</v>
      </c>
      <c r="G7" s="0" t="n">
        <v>1.8</v>
      </c>
      <c r="H7" s="0" t="n">
        <v>131254</v>
      </c>
      <c r="I7" s="0" t="n">
        <v>23234</v>
      </c>
      <c r="J7" s="0" t="n">
        <v>1.4</v>
      </c>
      <c r="K7" s="0" t="n">
        <v>64.05</v>
      </c>
      <c r="L7" s="0" t="n">
        <v>194798</v>
      </c>
      <c r="M7" s="0" t="n">
        <v>173221</v>
      </c>
      <c r="N7" s="0" t="n">
        <v>21577</v>
      </c>
      <c r="O7" s="0" t="n">
        <v>710362</v>
      </c>
      <c r="P7" s="0" t="n">
        <v>2582873</v>
      </c>
      <c r="Q7" s="0" t="n">
        <v>1813498</v>
      </c>
      <c r="R7" s="0" t="n">
        <v>987807</v>
      </c>
      <c r="S7" s="0" t="n">
        <v>262345</v>
      </c>
      <c r="T7" s="0" t="n">
        <v>362.694</v>
      </c>
      <c r="V7" s="0" t="n">
        <v>10</v>
      </c>
      <c r="AA7" s="0" t="s">
        <v>17</v>
      </c>
      <c r="AB7" s="0" t="s">
        <v>14</v>
      </c>
      <c r="AC7" s="0" t="n">
        <v>16188</v>
      </c>
    </row>
    <row r="8" customFormat="false" ht="15" hidden="false" customHeight="false" outlineLevel="0" collapsed="false">
      <c r="A8" s="0" t="s">
        <v>70</v>
      </c>
      <c r="B8" s="0" t="n">
        <v>2082582</v>
      </c>
      <c r="C8" s="0" t="n">
        <v>1774778</v>
      </c>
      <c r="D8" s="0" t="n">
        <v>307803</v>
      </c>
      <c r="E8" s="0" t="n">
        <v>14.8</v>
      </c>
      <c r="F8" s="0" t="n">
        <v>87622</v>
      </c>
      <c r="G8" s="0" t="n">
        <v>4.2</v>
      </c>
      <c r="H8" s="0" t="n">
        <v>192769</v>
      </c>
      <c r="I8" s="0" t="n">
        <v>60083</v>
      </c>
      <c r="J8" s="0" t="n">
        <v>2.9</v>
      </c>
      <c r="K8" s="0" t="n">
        <v>160.23</v>
      </c>
      <c r="L8" s="0" t="n">
        <v>168809</v>
      </c>
      <c r="M8" s="0" t="n">
        <v>156447</v>
      </c>
      <c r="N8" s="0" t="n">
        <v>12362</v>
      </c>
      <c r="O8" s="0" t="n">
        <v>815327</v>
      </c>
      <c r="P8" s="0" t="n">
        <v>2728745</v>
      </c>
      <c r="Q8" s="0" t="n">
        <v>1856399</v>
      </c>
      <c r="R8" s="0" t="n">
        <v>908441</v>
      </c>
      <c r="S8" s="0" t="n">
        <v>243502</v>
      </c>
      <c r="T8" s="0" t="n">
        <v>394.5477</v>
      </c>
      <c r="V8" s="0" t="n">
        <v>40</v>
      </c>
      <c r="AA8" s="0" t="s">
        <v>17</v>
      </c>
      <c r="AB8" s="0" t="s">
        <v>14</v>
      </c>
      <c r="AC8" s="0" t="n">
        <v>93233</v>
      </c>
    </row>
    <row r="9" customFormat="false" ht="15" hidden="false" customHeight="false" outlineLevel="0" collapsed="false">
      <c r="A9" s="0" t="s">
        <v>71</v>
      </c>
      <c r="B9" s="0" t="n">
        <v>2472508</v>
      </c>
      <c r="C9" s="0" t="n">
        <v>2151217</v>
      </c>
      <c r="D9" s="0" t="n">
        <v>321290</v>
      </c>
      <c r="E9" s="0" t="n">
        <v>13</v>
      </c>
      <c r="F9" s="0" t="n">
        <v>86365</v>
      </c>
      <c r="G9" s="0" t="n">
        <v>3.5</v>
      </c>
      <c r="H9" s="0" t="n">
        <v>198870</v>
      </c>
      <c r="I9" s="0" t="n">
        <v>72566</v>
      </c>
      <c r="J9" s="0" t="n">
        <v>2.9</v>
      </c>
      <c r="K9" s="0" t="n">
        <v>183.8</v>
      </c>
      <c r="L9" s="0" t="n">
        <v>119692</v>
      </c>
      <c r="M9" s="0" t="n">
        <v>98964</v>
      </c>
      <c r="N9" s="0" t="n">
        <v>20728</v>
      </c>
      <c r="O9" s="0" t="n">
        <v>913957</v>
      </c>
      <c r="P9" s="0" t="n">
        <v>2874751</v>
      </c>
      <c r="Q9" s="0" t="n">
        <v>1897098</v>
      </c>
      <c r="R9" s="0" t="n">
        <v>861813</v>
      </c>
      <c r="S9" s="0" t="n">
        <v>203520</v>
      </c>
      <c r="T9" s="0" t="n">
        <v>394.9138</v>
      </c>
      <c r="V9" s="0" t="n">
        <v>40</v>
      </c>
      <c r="AA9" s="0" t="s">
        <v>17</v>
      </c>
      <c r="AB9" s="0" t="s">
        <v>14</v>
      </c>
      <c r="AC9" s="0" t="n">
        <v>106837</v>
      </c>
    </row>
    <row r="10" customFormat="false" ht="15" hidden="false" customHeight="false" outlineLevel="0" collapsed="false">
      <c r="A10" s="0" t="s">
        <v>72</v>
      </c>
      <c r="B10" s="0" t="n">
        <v>2543142</v>
      </c>
      <c r="C10" s="0" t="n">
        <v>2107149</v>
      </c>
      <c r="D10" s="0" t="n">
        <v>435992</v>
      </c>
      <c r="E10" s="0" t="n">
        <v>17.1</v>
      </c>
      <c r="F10" s="0" t="n">
        <v>186628</v>
      </c>
      <c r="G10" s="0" t="n">
        <v>7.3</v>
      </c>
      <c r="H10" s="0" t="n">
        <v>305712</v>
      </c>
      <c r="I10" s="0" t="n">
        <v>109552</v>
      </c>
      <c r="J10" s="0" t="n">
        <v>4.3</v>
      </c>
      <c r="K10" s="0" t="n">
        <v>277.38</v>
      </c>
      <c r="L10" s="0" t="n">
        <v>205284</v>
      </c>
      <c r="M10" s="0" t="n">
        <v>94865</v>
      </c>
      <c r="N10" s="0" t="n">
        <v>110419</v>
      </c>
      <c r="O10" s="0" t="n">
        <v>1056562</v>
      </c>
      <c r="P10" s="0" t="n">
        <v>2919774</v>
      </c>
      <c r="Q10" s="0" t="n">
        <v>1792427</v>
      </c>
      <c r="R10" s="0" t="n">
        <v>823429</v>
      </c>
      <c r="S10" s="0" t="n">
        <v>278844</v>
      </c>
      <c r="T10" s="0" t="n">
        <v>394.9568</v>
      </c>
      <c r="V10" s="0" t="n">
        <v>90</v>
      </c>
      <c r="AA10" s="0" t="s">
        <v>17</v>
      </c>
      <c r="AB10" s="0" t="s">
        <v>14</v>
      </c>
      <c r="AC10" s="0" t="n">
        <v>160923</v>
      </c>
    </row>
    <row r="11" customFormat="false" ht="15" hidden="false" customHeight="false" outlineLevel="0" collapsed="false">
      <c r="A11" s="0" t="s">
        <v>73</v>
      </c>
      <c r="B11" s="0" t="n">
        <v>2555031</v>
      </c>
      <c r="C11" s="0" t="n">
        <v>2131813</v>
      </c>
      <c r="D11" s="0" t="n">
        <v>423218</v>
      </c>
      <c r="E11" s="0" t="n">
        <v>16.6</v>
      </c>
      <c r="F11" s="0" t="n">
        <v>158721</v>
      </c>
      <c r="G11" s="0" t="n">
        <v>6.2</v>
      </c>
      <c r="H11" s="0" t="n">
        <v>281160</v>
      </c>
      <c r="I11" s="0" t="n">
        <v>120180</v>
      </c>
      <c r="J11" s="0" t="n">
        <v>4.7</v>
      </c>
      <c r="K11" s="0" t="n">
        <v>304.64</v>
      </c>
      <c r="L11" s="0" t="n">
        <v>148261</v>
      </c>
      <c r="M11" s="0" t="n">
        <v>113266</v>
      </c>
      <c r="N11" s="0" t="n">
        <v>34995</v>
      </c>
      <c r="O11" s="0" t="n">
        <v>1161797</v>
      </c>
      <c r="P11" s="0" t="n">
        <v>2891053</v>
      </c>
      <c r="Q11" s="0" t="n">
        <v>1653993</v>
      </c>
      <c r="R11" s="0" t="n">
        <v>834519</v>
      </c>
      <c r="S11" s="0" t="n">
        <v>220122</v>
      </c>
      <c r="T11" s="0" t="n">
        <v>395.0146</v>
      </c>
      <c r="V11" s="0" t="n">
        <v>100</v>
      </c>
      <c r="AA11" s="0" t="s">
        <v>17</v>
      </c>
      <c r="AB11" s="0" t="s">
        <v>14</v>
      </c>
      <c r="AC11" s="0" t="n">
        <v>157192</v>
      </c>
    </row>
    <row r="12" customFormat="false" ht="15" hidden="false" customHeight="false" outlineLevel="0" collapsed="false">
      <c r="A12" s="0" t="s">
        <v>74</v>
      </c>
      <c r="B12" s="0" t="n">
        <v>2436581</v>
      </c>
      <c r="C12" s="0" t="n">
        <v>2033357</v>
      </c>
      <c r="D12" s="0" t="n">
        <v>403224</v>
      </c>
      <c r="E12" s="0" t="n">
        <v>16.5</v>
      </c>
      <c r="F12" s="0" t="n">
        <v>129883</v>
      </c>
      <c r="G12" s="0" t="n">
        <v>5.3</v>
      </c>
      <c r="H12" s="0" t="n">
        <v>253831</v>
      </c>
      <c r="I12" s="0" t="n">
        <v>93717</v>
      </c>
      <c r="J12" s="0" t="n">
        <v>3.8</v>
      </c>
      <c r="K12" s="0" t="n">
        <v>237.8</v>
      </c>
      <c r="L12" s="0" t="n">
        <v>201683</v>
      </c>
      <c r="M12" s="0" t="n">
        <v>124435</v>
      </c>
      <c r="N12" s="0" t="n">
        <v>77248</v>
      </c>
      <c r="O12" s="0" t="n">
        <v>1261325</v>
      </c>
      <c r="P12" s="0" t="n">
        <v>2865184</v>
      </c>
      <c r="Q12" s="0" t="n">
        <v>1534731</v>
      </c>
      <c r="R12" s="0" t="n">
        <v>743073</v>
      </c>
      <c r="S12" s="0" t="n">
        <v>189233</v>
      </c>
      <c r="T12" s="0" t="n">
        <v>395.453</v>
      </c>
      <c r="V12" s="0" t="n">
        <v>80</v>
      </c>
      <c r="AA12" s="0" t="s">
        <v>17</v>
      </c>
      <c r="AB12" s="0" t="s">
        <v>14</v>
      </c>
      <c r="AC12" s="0" t="n">
        <v>121336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2000</v>
      </c>
    </row>
    <row r="3" customFormat="false" ht="15" hidden="false" customHeight="false" outlineLevel="0" collapsed="false">
      <c r="A3" s="0" t="s">
        <v>78</v>
      </c>
      <c r="B3" s="3" t="n">
        <v>396.7</v>
      </c>
    </row>
    <row r="4" customFormat="false" ht="15" hidden="false" customHeight="false" outlineLevel="0" collapsed="false">
      <c r="A4" s="0" t="s">
        <v>79</v>
      </c>
      <c r="B4" s="3" t="n">
        <v>557768</v>
      </c>
    </row>
    <row r="5" customFormat="false" ht="15" hidden="false" customHeight="false" outlineLevel="0" collapsed="false">
      <c r="A5" s="0" t="s">
        <v>80</v>
      </c>
      <c r="B5" s="3" t="n">
        <v>122004</v>
      </c>
    </row>
    <row r="6" customFormat="false" ht="15" hidden="false" customHeight="false" outlineLevel="0" collapsed="false">
      <c r="A6" s="0" t="s">
        <v>81</v>
      </c>
      <c r="B6" s="3" t="n">
        <v>15</v>
      </c>
    </row>
    <row r="7" customFormat="false" ht="15" hidden="false" customHeight="false" outlineLevel="0" collapsed="false">
      <c r="A7" s="0" t="s">
        <v>82</v>
      </c>
      <c r="B7" s="3" t="n">
        <v>2436581</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3</v>
      </c>
      <c r="D13" s="3" t="n">
        <v>0</v>
      </c>
      <c r="E13" s="3" t="n">
        <v>0</v>
      </c>
      <c r="F13" s="3" t="n">
        <v>0.5</v>
      </c>
      <c r="G13" s="3" t="n">
        <v>0.5</v>
      </c>
      <c r="H13" s="3" t="n">
        <v>0.5</v>
      </c>
      <c r="I13" s="3" t="n">
        <v>0.5</v>
      </c>
      <c r="J13" s="3" t="n">
        <v>0.5</v>
      </c>
      <c r="K13" s="3" t="n">
        <v>0.5</v>
      </c>
      <c r="L13" s="3" t="n">
        <v>0.5</v>
      </c>
    </row>
    <row r="14" customFormat="false" ht="15" hidden="false" customHeight="false" outlineLevel="0" collapsed="false">
      <c r="A14" s="0" t="s">
        <v>99</v>
      </c>
      <c r="C14" s="3" t="n">
        <v>8.5</v>
      </c>
      <c r="D14" s="3" t="n">
        <v>8.5</v>
      </c>
      <c r="E14" s="3" t="n">
        <v>8.5</v>
      </c>
      <c r="F14" s="3" t="n">
        <v>8.5</v>
      </c>
      <c r="G14" s="3" t="n">
        <v>8.5</v>
      </c>
      <c r="H14" s="3" t="n">
        <v>8.5</v>
      </c>
      <c r="I14" s="3" t="n">
        <v>8.5</v>
      </c>
      <c r="J14" s="3" t="n">
        <v>8.5</v>
      </c>
      <c r="K14" s="3" t="n">
        <v>8.5</v>
      </c>
      <c r="L14" s="3" t="n">
        <v>8.5</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5</v>
      </c>
      <c r="D17" s="3" t="n">
        <v>5</v>
      </c>
      <c r="E17" s="3" t="n">
        <v>5</v>
      </c>
      <c r="F17" s="3" t="n">
        <v>5</v>
      </c>
      <c r="G17" s="3" t="n">
        <v>5</v>
      </c>
      <c r="H17" s="3" t="n">
        <v>5</v>
      </c>
      <c r="I17" s="3" t="n">
        <v>5</v>
      </c>
      <c r="J17" s="3" t="n">
        <v>5</v>
      </c>
      <c r="K17" s="3" t="n">
        <v>5</v>
      </c>
      <c r="L17" s="3" t="n">
        <v>5</v>
      </c>
    </row>
    <row r="18" customFormat="false" ht="15" hidden="false" customHeight="false" outlineLevel="0" collapsed="false">
      <c r="A18" s="0" t="s">
        <v>103</v>
      </c>
      <c r="C18" s="3" t="n">
        <v>5.6</v>
      </c>
      <c r="D18" s="3" t="n">
        <v>5.6</v>
      </c>
      <c r="E18" s="3" t="n">
        <v>5.5</v>
      </c>
      <c r="F18" s="3" t="n">
        <v>5.4</v>
      </c>
      <c r="G18" s="3" t="n">
        <v>5.4</v>
      </c>
      <c r="H18" s="3" t="n">
        <v>5.3</v>
      </c>
      <c r="I18" s="3" t="n">
        <v>5.3</v>
      </c>
      <c r="J18" s="3" t="n">
        <v>5.2</v>
      </c>
      <c r="K18" s="3" t="n">
        <v>5.2</v>
      </c>
      <c r="L18" s="3" t="n">
        <v>5.2</v>
      </c>
    </row>
    <row r="19" customFormat="false" ht="15" hidden="false" customHeight="false" outlineLevel="0" collapsed="false">
      <c r="A19" s="0" t="s">
        <v>104</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105</v>
      </c>
      <c r="B20" s="3" t="n">
        <v>8</v>
      </c>
    </row>
    <row r="21" customFormat="false" ht="15" hidden="false" customHeight="false" outlineLevel="0" collapsed="false">
      <c r="A21" s="0" t="s">
        <v>106</v>
      </c>
      <c r="B21" s="3" t="n">
        <v>1</v>
      </c>
    </row>
    <row r="22" customFormat="false" ht="15" hidden="false" customHeight="false" outlineLevel="0" collapsed="false">
      <c r="A22" s="0" t="s">
        <v>107</v>
      </c>
      <c r="B22" s="3" t="n">
        <v>13</v>
      </c>
    </row>
    <row r="23" customFormat="false" ht="15" hidden="false" customHeight="false" outlineLevel="0" collapsed="false">
      <c r="A23" s="0" t="s">
        <v>108</v>
      </c>
      <c r="B23" s="3" t="n">
        <v>-20</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7</v>
      </c>
      <c r="D27" s="3" t="n">
        <v>2</v>
      </c>
      <c r="E27" s="3" t="n">
        <v>2</v>
      </c>
      <c r="F27" s="3" t="n">
        <v>1.5</v>
      </c>
      <c r="G27" s="3" t="n">
        <v>1.5</v>
      </c>
      <c r="H27" s="3" t="n">
        <v>1.5</v>
      </c>
      <c r="I27" s="3" t="n">
        <v>1</v>
      </c>
      <c r="J27" s="3" t="n">
        <v>1</v>
      </c>
      <c r="K27" s="3" t="n">
        <v>1</v>
      </c>
      <c r="L27" s="3" t="n">
        <v>1</v>
      </c>
    </row>
    <row r="28" customFormat="false" ht="15" hidden="false" customHeight="false" outlineLevel="0" collapsed="false">
      <c r="A28" s="0" t="s">
        <v>99</v>
      </c>
      <c r="C28" s="3" t="n">
        <v>9.8</v>
      </c>
      <c r="D28" s="3" t="n">
        <v>10</v>
      </c>
      <c r="E28" s="3" t="n">
        <v>10</v>
      </c>
      <c r="F28" s="3" t="n">
        <v>10</v>
      </c>
      <c r="G28" s="3" t="n">
        <v>10</v>
      </c>
      <c r="H28" s="3" t="n">
        <v>10</v>
      </c>
      <c r="I28" s="3" t="n">
        <v>10</v>
      </c>
      <c r="J28" s="3" t="n">
        <v>10</v>
      </c>
      <c r="K28" s="3" t="n">
        <v>10</v>
      </c>
      <c r="L28" s="3" t="n">
        <v>10</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5</v>
      </c>
      <c r="D31" s="3" t="n">
        <v>5</v>
      </c>
      <c r="E31" s="3" t="n">
        <v>5</v>
      </c>
      <c r="F31" s="3" t="n">
        <v>5</v>
      </c>
      <c r="G31" s="3" t="n">
        <v>5</v>
      </c>
      <c r="H31" s="3" t="n">
        <v>5</v>
      </c>
      <c r="I31" s="3" t="n">
        <v>5</v>
      </c>
      <c r="J31" s="3" t="n">
        <v>5</v>
      </c>
      <c r="K31" s="3" t="n">
        <v>5</v>
      </c>
      <c r="L31" s="3" t="n">
        <v>5</v>
      </c>
    </row>
    <row r="32" customFormat="false" ht="15" hidden="false" customHeight="false" outlineLevel="0" collapsed="false">
      <c r="A32" s="0" t="s">
        <v>103</v>
      </c>
      <c r="C32" s="3" t="n">
        <v>5.6</v>
      </c>
      <c r="D32" s="3" t="n">
        <v>5.8</v>
      </c>
      <c r="E32" s="3" t="n">
        <v>5.8</v>
      </c>
      <c r="F32" s="3" t="n">
        <v>5.6</v>
      </c>
      <c r="G32" s="3" t="n">
        <v>5.5</v>
      </c>
      <c r="H32" s="3" t="n">
        <v>5.5</v>
      </c>
      <c r="I32" s="3" t="n">
        <v>5.3</v>
      </c>
      <c r="J32" s="3" t="n">
        <v>5.3</v>
      </c>
      <c r="K32" s="3" t="n">
        <v>5.2</v>
      </c>
      <c r="L32" s="3" t="n">
        <v>5.2</v>
      </c>
    </row>
    <row r="33" customFormat="false" ht="15" hidden="false" customHeight="false" outlineLevel="0" collapsed="false">
      <c r="A33" s="0" t="s">
        <v>104</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105</v>
      </c>
      <c r="B34" s="3" t="n">
        <v>8</v>
      </c>
    </row>
    <row r="35" customFormat="false" ht="15" hidden="false" customHeight="false" outlineLevel="0" collapsed="false">
      <c r="A35" s="0" t="s">
        <v>106</v>
      </c>
      <c r="B35" s="3" t="n">
        <v>1</v>
      </c>
    </row>
    <row r="36" customFormat="false" ht="15" hidden="false" customHeight="false" outlineLevel="0" collapsed="false">
      <c r="A36" s="0" t="s">
        <v>107</v>
      </c>
      <c r="B36" s="3" t="n">
        <v>13</v>
      </c>
    </row>
    <row r="37" customFormat="false" ht="15" hidden="false" customHeight="false" outlineLevel="0" collapsed="false">
      <c r="A37" s="0" t="s">
        <v>108</v>
      </c>
      <c r="B37" s="3" t="n">
        <v>-20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10.4</v>
      </c>
      <c r="D41" s="3" t="n">
        <v>3</v>
      </c>
      <c r="E41" s="3" t="n">
        <v>3</v>
      </c>
      <c r="F41" s="3" t="n">
        <v>2.5</v>
      </c>
      <c r="G41" s="3" t="n">
        <v>2</v>
      </c>
      <c r="H41" s="3" t="n">
        <v>2</v>
      </c>
      <c r="I41" s="3" t="n">
        <v>1.5</v>
      </c>
      <c r="J41" s="3" t="n">
        <v>1.5</v>
      </c>
      <c r="K41" s="3" t="n">
        <v>1.5</v>
      </c>
      <c r="L41" s="3" t="n">
        <v>1.5</v>
      </c>
    </row>
    <row r="42" customFormat="false" ht="15" hidden="false" customHeight="false" outlineLevel="0" collapsed="false">
      <c r="A42" s="0" t="s">
        <v>99</v>
      </c>
      <c r="C42" s="3" t="n">
        <v>10.8</v>
      </c>
      <c r="D42" s="3" t="n">
        <v>11</v>
      </c>
      <c r="E42" s="3" t="n">
        <v>11.2</v>
      </c>
      <c r="F42" s="3" t="n">
        <v>11.5</v>
      </c>
      <c r="G42" s="3" t="n">
        <v>11.5</v>
      </c>
      <c r="H42" s="3" t="n">
        <v>11.5</v>
      </c>
      <c r="I42" s="3" t="n">
        <v>11.5</v>
      </c>
      <c r="J42" s="3" t="n">
        <v>11.5</v>
      </c>
      <c r="K42" s="3" t="n">
        <v>11.5</v>
      </c>
      <c r="L42" s="3" t="n">
        <v>11.5</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5</v>
      </c>
      <c r="D45" s="3" t="n">
        <v>5</v>
      </c>
      <c r="E45" s="3" t="n">
        <v>5</v>
      </c>
      <c r="F45" s="3" t="n">
        <v>5</v>
      </c>
      <c r="G45" s="3" t="n">
        <v>5</v>
      </c>
      <c r="H45" s="3" t="n">
        <v>5</v>
      </c>
      <c r="I45" s="3" t="n">
        <v>5</v>
      </c>
      <c r="J45" s="3" t="n">
        <v>5</v>
      </c>
      <c r="K45" s="3" t="n">
        <v>5</v>
      </c>
      <c r="L45" s="3" t="n">
        <v>5</v>
      </c>
    </row>
    <row r="46" customFormat="false" ht="15" hidden="false" customHeight="false" outlineLevel="0" collapsed="false">
      <c r="A46" s="0" t="s">
        <v>103</v>
      </c>
      <c r="C46" s="3" t="n">
        <v>5.5</v>
      </c>
      <c r="D46" s="3" t="n">
        <v>5.6</v>
      </c>
      <c r="E46" s="3" t="n">
        <v>5.6</v>
      </c>
      <c r="F46" s="3" t="n">
        <v>5.5</v>
      </c>
      <c r="G46" s="3" t="n">
        <v>5.4</v>
      </c>
      <c r="H46" s="3" t="n">
        <v>5.4</v>
      </c>
      <c r="I46" s="3" t="n">
        <v>5.3</v>
      </c>
      <c r="J46" s="3" t="n">
        <v>5.3</v>
      </c>
      <c r="K46" s="3" t="n">
        <v>5.2</v>
      </c>
      <c r="L46" s="3" t="n">
        <v>5.2</v>
      </c>
    </row>
    <row r="47" customFormat="false" ht="15" hidden="false" customHeight="false" outlineLevel="0" collapsed="false">
      <c r="A47" s="0" t="s">
        <v>104</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105</v>
      </c>
      <c r="B48" s="3" t="n">
        <v>8</v>
      </c>
    </row>
    <row r="49" customFormat="false" ht="15" hidden="false" customHeight="false" outlineLevel="0" collapsed="false">
      <c r="A49" s="0" t="s">
        <v>106</v>
      </c>
      <c r="B49" s="3" t="n">
        <v>1</v>
      </c>
    </row>
    <row r="50" customFormat="false" ht="15" hidden="false" customHeight="false" outlineLevel="0" collapsed="false">
      <c r="A50" s="0" t="s">
        <v>107</v>
      </c>
      <c r="B50" s="3" t="n">
        <v>13</v>
      </c>
    </row>
    <row r="51" customFormat="false" ht="15" hidden="false" customHeight="false" outlineLevel="0" collapsed="false">
      <c r="A51" s="0" t="s">
        <v>108</v>
      </c>
      <c r="B51" s="3" t="n">
        <v>-20</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3</v>
      </c>
      <c r="D5" s="4" t="n">
        <f aca="false">Assumptions!D13</f>
        <v>0</v>
      </c>
      <c r="E5" s="4" t="n">
        <f aca="false">Assumptions!E13</f>
        <v>0</v>
      </c>
      <c r="F5" s="4" t="n">
        <f aca="false">Assumptions!F13</f>
        <v>0.5</v>
      </c>
      <c r="G5" s="4" t="n">
        <f aca="false">Assumptions!G13</f>
        <v>0.5</v>
      </c>
      <c r="H5" s="4" t="n">
        <f aca="false">Assumptions!H13</f>
        <v>0.5</v>
      </c>
      <c r="I5" s="4" t="n">
        <f aca="false">Assumptions!I13</f>
        <v>0.5</v>
      </c>
      <c r="J5" s="4" t="n">
        <f aca="false">Assumptions!J13</f>
        <v>0.5</v>
      </c>
      <c r="K5" s="4" t="n">
        <f aca="false">Assumptions!K13</f>
        <v>0.5</v>
      </c>
      <c r="L5" s="4" t="n">
        <f aca="false">Assumptions!L13</f>
        <v>0.5</v>
      </c>
    </row>
    <row r="6" customFormat="false" ht="15" hidden="false" customHeight="false" outlineLevel="0" collapsed="false">
      <c r="A6" s="0" t="s">
        <v>37</v>
      </c>
      <c r="B6" s="3" t="n">
        <v>2436581</v>
      </c>
      <c r="C6" s="0" t="n">
        <f aca="false">B6*(1+C5/100)</f>
        <v>2509678.43</v>
      </c>
      <c r="D6" s="0" t="n">
        <f aca="false">C6*(1+D5/100)</f>
        <v>2509678.43</v>
      </c>
      <c r="E6" s="0" t="n">
        <f aca="false">D6*(1+E5/100)</f>
        <v>2509678.43</v>
      </c>
      <c r="F6" s="0" t="n">
        <f aca="false">E6*(1+F5/100)</f>
        <v>2522226.82215</v>
      </c>
      <c r="G6" s="0" t="n">
        <f aca="false">F6*(1+G5/100)</f>
        <v>2534837.95626075</v>
      </c>
      <c r="H6" s="0" t="n">
        <f aca="false">G6*(1+H5/100)</f>
        <v>2547512.14604205</v>
      </c>
      <c r="I6" s="0" t="n">
        <f aca="false">H6*(1+I5/100)</f>
        <v>2560249.70677226</v>
      </c>
      <c r="J6" s="0" t="n">
        <f aca="false">I6*(1+J5/100)</f>
        <v>2573050.95530612</v>
      </c>
      <c r="K6" s="0" t="n">
        <f aca="false">J6*(1+K5/100)</f>
        <v>2585916.21008266</v>
      </c>
      <c r="L6" s="0" t="n">
        <f aca="false">K6*(1+L5/100)</f>
        <v>2598845.79113307</v>
      </c>
    </row>
    <row r="7" customFormat="false" ht="15" hidden="false" customHeight="false" outlineLevel="0" collapsed="false">
      <c r="A7" s="0" t="s">
        <v>99</v>
      </c>
      <c r="C7" s="4" t="n">
        <f aca="false">Assumptions!C14</f>
        <v>8.5</v>
      </c>
      <c r="D7" s="4" t="n">
        <f aca="false">Assumptions!D14</f>
        <v>8.5</v>
      </c>
      <c r="E7" s="4" t="n">
        <f aca="false">Assumptions!E14</f>
        <v>8.5</v>
      </c>
      <c r="F7" s="4" t="n">
        <f aca="false">Assumptions!F14</f>
        <v>8.5</v>
      </c>
      <c r="G7" s="4" t="n">
        <f aca="false">Assumptions!G14</f>
        <v>8.5</v>
      </c>
      <c r="H7" s="4" t="n">
        <f aca="false">Assumptions!H14</f>
        <v>8.5</v>
      </c>
      <c r="I7" s="4" t="n">
        <f aca="false">Assumptions!I14</f>
        <v>8.5</v>
      </c>
      <c r="J7" s="4" t="n">
        <f aca="false">Assumptions!J14</f>
        <v>8.5</v>
      </c>
      <c r="K7" s="4" t="n">
        <f aca="false">Assumptions!K14</f>
        <v>8.5</v>
      </c>
      <c r="L7" s="4" t="n">
        <f aca="false">Assumptions!L14</f>
        <v>8.5</v>
      </c>
    </row>
    <row r="8" customFormat="false" ht="15" hidden="false" customHeight="false" outlineLevel="0" collapsed="false">
      <c r="A8" s="0" t="s">
        <v>43</v>
      </c>
      <c r="C8" s="0" t="n">
        <f aca="false">C6*C7/100</f>
        <v>213322.66655</v>
      </c>
      <c r="D8" s="0" t="n">
        <f aca="false">D6*D7/100</f>
        <v>213322.66655</v>
      </c>
      <c r="E8" s="0" t="n">
        <f aca="false">E6*E7/100</f>
        <v>213322.66655</v>
      </c>
      <c r="F8" s="0" t="n">
        <f aca="false">F6*F7/100</f>
        <v>214389.27988275</v>
      </c>
      <c r="G8" s="0" t="n">
        <f aca="false">G6*G7/100</f>
        <v>215461.226282164</v>
      </c>
      <c r="H8" s="0" t="n">
        <f aca="false">H6*H7/100</f>
        <v>216538.532413575</v>
      </c>
      <c r="I8" s="0" t="n">
        <f aca="false">I6*I7/100</f>
        <v>217621.225075642</v>
      </c>
      <c r="J8" s="0" t="n">
        <f aca="false">J6*J7/100</f>
        <v>218709.331201021</v>
      </c>
      <c r="K8" s="0" t="n">
        <f aca="false">K6*K7/100</f>
        <v>219802.877857026</v>
      </c>
      <c r="L8" s="0" t="n">
        <f aca="false">L6*L7/100</f>
        <v>220901.892246311</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213322.66655</v>
      </c>
      <c r="D11" s="0" t="n">
        <f aca="false">D8+D10+D24</f>
        <v>213322.66655</v>
      </c>
      <c r="E11" s="0" t="n">
        <f aca="false">E8+E10+E24</f>
        <v>213322.66655</v>
      </c>
      <c r="F11" s="0" t="n">
        <f aca="false">F8+F10+F24</f>
        <v>214389.27988275</v>
      </c>
      <c r="G11" s="0" t="n">
        <f aca="false">G8+G10+G24</f>
        <v>215461.226282164</v>
      </c>
      <c r="H11" s="0" t="n">
        <f aca="false">H8+H10+H24</f>
        <v>216538.532413575</v>
      </c>
      <c r="I11" s="0" t="n">
        <f aca="false">I8+I10+I24</f>
        <v>217621.225075642</v>
      </c>
      <c r="J11" s="0" t="n">
        <f aca="false">J8+J10+J24</f>
        <v>218709.331201021</v>
      </c>
      <c r="K11" s="0" t="n">
        <f aca="false">K8+K10+K24</f>
        <v>219802.877857026</v>
      </c>
      <c r="L11" s="0" t="n">
        <f aca="false">L8+L10+L24</f>
        <v>220901.892246311</v>
      </c>
    </row>
    <row r="12" customFormat="false" ht="15" hidden="false" customHeight="false" outlineLevel="0" collapsed="false">
      <c r="A12" s="0" t="s">
        <v>117</v>
      </c>
      <c r="C12" s="4" t="n">
        <f aca="false">-C6*Assumptions!C17/100</f>
        <v>-125483.9215</v>
      </c>
      <c r="D12" s="4" t="n">
        <f aca="false">-D6*Assumptions!D17/100</f>
        <v>-125483.9215</v>
      </c>
      <c r="E12" s="4" t="n">
        <f aca="false">-E6*Assumptions!E17/100</f>
        <v>-125483.9215</v>
      </c>
      <c r="F12" s="4" t="n">
        <f aca="false">-F6*Assumptions!F17/100</f>
        <v>-126111.3411075</v>
      </c>
      <c r="G12" s="4" t="n">
        <f aca="false">-G6*Assumptions!G17/100</f>
        <v>-126741.897813037</v>
      </c>
      <c r="H12" s="4" t="n">
        <f aca="false">-H6*Assumptions!H17/100</f>
        <v>-127375.607302103</v>
      </c>
      <c r="I12" s="4" t="n">
        <f aca="false">-I6*Assumptions!I17/100</f>
        <v>-128012.485338613</v>
      </c>
      <c r="J12" s="4" t="n">
        <f aca="false">-J6*Assumptions!J17/100</f>
        <v>-128652.547765306</v>
      </c>
      <c r="K12" s="4" t="n">
        <f aca="false">-K6*Assumptions!K17/100</f>
        <v>-129295.810504133</v>
      </c>
      <c r="L12" s="4" t="n">
        <f aca="false">-L6*Assumptions!L17/100</f>
        <v>-129942.289556653</v>
      </c>
    </row>
    <row r="13" customFormat="false" ht="15" hidden="false" customHeight="false" outlineLevel="0" collapsed="false">
      <c r="A13" s="0" t="s">
        <v>118</v>
      </c>
      <c r="C13" s="0" t="n">
        <f aca="false">C11+C12</f>
        <v>87838.74505</v>
      </c>
      <c r="D13" s="0" t="n">
        <f aca="false">D11+D12</f>
        <v>87838.74505</v>
      </c>
      <c r="E13" s="0" t="n">
        <f aca="false">E11+E12</f>
        <v>87838.74505</v>
      </c>
      <c r="F13" s="0" t="n">
        <f aca="false">F11+F12</f>
        <v>88277.93877525</v>
      </c>
      <c r="G13" s="0" t="n">
        <f aca="false">G11+G12</f>
        <v>88719.3284691262</v>
      </c>
      <c r="H13" s="0" t="n">
        <f aca="false">H11+H12</f>
        <v>89162.9251114719</v>
      </c>
      <c r="I13" s="0" t="n">
        <f aca="false">I11+I12</f>
        <v>89608.7397370292</v>
      </c>
      <c r="J13" s="0" t="n">
        <f aca="false">J11+J12</f>
        <v>90056.7834357144</v>
      </c>
      <c r="K13" s="0" t="n">
        <f aca="false">K11+K12</f>
        <v>90507.067352893</v>
      </c>
      <c r="L13" s="0" t="n">
        <f aca="false">L11+L12</f>
        <v>90959.6026896574</v>
      </c>
    </row>
    <row r="14" customFormat="false" ht="15" hidden="false" customHeight="false" outlineLevel="0" collapsed="false">
      <c r="A14" s="0" t="s">
        <v>104</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119</v>
      </c>
      <c r="C15" s="0" t="n">
        <f aca="false">C13-MAX(0,C13)*C14/100</f>
        <v>61487.121535</v>
      </c>
      <c r="D15" s="0" t="n">
        <f aca="false">D13-MAX(0,D13)*D14/100</f>
        <v>61487.121535</v>
      </c>
      <c r="E15" s="0" t="n">
        <f aca="false">E13-MAX(0,E13)*E14/100</f>
        <v>61487.121535</v>
      </c>
      <c r="F15" s="0" t="n">
        <f aca="false">F13-MAX(0,F13)*F14/100</f>
        <v>61794.557142675</v>
      </c>
      <c r="G15" s="0" t="n">
        <f aca="false">G13-MAX(0,G13)*G14/100</f>
        <v>62103.5299283884</v>
      </c>
      <c r="H15" s="0" t="n">
        <f aca="false">H13-MAX(0,H13)*H14/100</f>
        <v>62414.0475780303</v>
      </c>
      <c r="I15" s="0" t="n">
        <f aca="false">I13-MAX(0,I13)*I14/100</f>
        <v>62726.1178159204</v>
      </c>
      <c r="J15" s="0" t="n">
        <f aca="false">J13-MAX(0,J13)*J14/100</f>
        <v>63039.7484050001</v>
      </c>
      <c r="K15" s="0" t="n">
        <f aca="false">K13-MAX(0,K13)*K14/100</f>
        <v>63354.9471470251</v>
      </c>
      <c r="L15" s="0" t="n">
        <f aca="false">L13-MAX(0,L13)*L14/100</f>
        <v>63671.7218827602</v>
      </c>
    </row>
    <row r="16" customFormat="false" ht="15" hidden="false" customHeight="false" outlineLevel="0" collapsed="false">
      <c r="A16" s="0" t="s">
        <v>120</v>
      </c>
      <c r="C16" s="0" t="n">
        <f aca="false">-C12</f>
        <v>125483.9215</v>
      </c>
      <c r="D16" s="0" t="n">
        <f aca="false">-D12</f>
        <v>125483.9215</v>
      </c>
      <c r="E16" s="0" t="n">
        <f aca="false">-E12</f>
        <v>125483.9215</v>
      </c>
      <c r="F16" s="0" t="n">
        <f aca="false">-F12</f>
        <v>126111.3411075</v>
      </c>
      <c r="G16" s="0" t="n">
        <f aca="false">-G12</f>
        <v>126741.897813037</v>
      </c>
      <c r="H16" s="0" t="n">
        <f aca="false">-H12</f>
        <v>127375.607302103</v>
      </c>
      <c r="I16" s="0" t="n">
        <f aca="false">-I12</f>
        <v>128012.485338613</v>
      </c>
      <c r="J16" s="0" t="n">
        <f aca="false">-J12</f>
        <v>128652.547765306</v>
      </c>
      <c r="K16" s="0" t="n">
        <f aca="false">-K12</f>
        <v>129295.810504133</v>
      </c>
      <c r="L16" s="0" t="n">
        <f aca="false">-L12</f>
        <v>129942.289556653</v>
      </c>
    </row>
    <row r="17" customFormat="false" ht="15" hidden="false" customHeight="false" outlineLevel="0" collapsed="false">
      <c r="A17" s="0" t="s">
        <v>121</v>
      </c>
      <c r="C17" s="4" t="n">
        <f aca="false">-C6*Assumptions!C18/100</f>
        <v>-140541.99208</v>
      </c>
      <c r="D17" s="4" t="n">
        <f aca="false">-D6*Assumptions!D18/100</f>
        <v>-140541.99208</v>
      </c>
      <c r="E17" s="4" t="n">
        <f aca="false">-E6*Assumptions!E18/100</f>
        <v>-138032.31365</v>
      </c>
      <c r="F17" s="4" t="n">
        <f aca="false">-F6*Assumptions!F18/100</f>
        <v>-136200.2483961</v>
      </c>
      <c r="G17" s="4" t="n">
        <f aca="false">-G6*Assumptions!G18/100</f>
        <v>-136881.24963808</v>
      </c>
      <c r="H17" s="4" t="n">
        <f aca="false">-H6*Assumptions!H18/100</f>
        <v>-135018.143740229</v>
      </c>
      <c r="I17" s="4" t="n">
        <f aca="false">-I6*Assumptions!I18/100</f>
        <v>-135693.23445893</v>
      </c>
      <c r="J17" s="4" t="n">
        <f aca="false">-J6*Assumptions!J18/100</f>
        <v>-133798.649675918</v>
      </c>
      <c r="K17" s="4" t="n">
        <f aca="false">-K6*Assumptions!K18/100</f>
        <v>-134467.642924298</v>
      </c>
      <c r="L17" s="4" t="n">
        <f aca="false">-L6*Assumptions!L18/100</f>
        <v>-135139.98113892</v>
      </c>
    </row>
    <row r="18" customFormat="false" ht="15" hidden="false" customHeight="false" outlineLevel="0" collapsed="false">
      <c r="A18" s="0" t="s">
        <v>122</v>
      </c>
      <c r="C18" s="4" t="n">
        <f aca="false">(C6-B6)*Assumptions!$B$23/100</f>
        <v>-14619.486</v>
      </c>
      <c r="D18" s="4" t="n">
        <f aca="false">(D6-C6)*Assumptions!$B$23/100</f>
        <v>-0</v>
      </c>
      <c r="E18" s="4" t="n">
        <f aca="false">(E6-D6)*Assumptions!$B$23/100</f>
        <v>-0</v>
      </c>
      <c r="F18" s="4" t="n">
        <f aca="false">(F6-E6)*Assumptions!$B$23/100</f>
        <v>-2509.67842999995</v>
      </c>
      <c r="G18" s="4" t="n">
        <f aca="false">(G6-F6)*Assumptions!$B$23/100</f>
        <v>-2522.22682214994</v>
      </c>
      <c r="H18" s="4" t="n">
        <f aca="false">(H6-G6)*Assumptions!$B$23/100</f>
        <v>-2534.8379562607</v>
      </c>
      <c r="I18" s="4" t="n">
        <f aca="false">(I6-H6)*Assumptions!$B$23/100</f>
        <v>-2547.51214604201</v>
      </c>
      <c r="J18" s="4" t="n">
        <f aca="false">(J6-I6)*Assumptions!$B$23/100</f>
        <v>-2560.24970677225</v>
      </c>
      <c r="K18" s="4" t="n">
        <f aca="false">(K6-J6)*Assumptions!$B$23/100</f>
        <v>-2573.05095530609</v>
      </c>
      <c r="L18" s="4" t="n">
        <f aca="false">(L6-K6)*Assumptions!$B$23/100</f>
        <v>-2585.91621008264</v>
      </c>
    </row>
    <row r="19" customFormat="false" ht="15" hidden="false" customHeight="false" outlineLevel="0" collapsed="false">
      <c r="A19" s="0" t="s">
        <v>123</v>
      </c>
      <c r="C19" s="0" t="n">
        <f aca="false">C15+C16+C17+C18</f>
        <v>31809.564955</v>
      </c>
      <c r="D19" s="0" t="n">
        <f aca="false">D15+D16+D17+D18</f>
        <v>46429.050955</v>
      </c>
      <c r="E19" s="0" t="n">
        <f aca="false">E15+E16+E17+E18</f>
        <v>48938.729385</v>
      </c>
      <c r="F19" s="0" t="n">
        <f aca="false">F15+F16+F17+F18</f>
        <v>49195.971424075</v>
      </c>
      <c r="G19" s="0" t="n">
        <f aca="false">G15+G16+G17+G18</f>
        <v>49441.9512811954</v>
      </c>
      <c r="H19" s="0" t="n">
        <f aca="false">H15+H16+H17+H18</f>
        <v>52236.6731836435</v>
      </c>
      <c r="I19" s="0" t="n">
        <f aca="false">I15+I16+I17+I18</f>
        <v>52497.8565495617</v>
      </c>
      <c r="J19" s="0" t="n">
        <f aca="false">J15+J16+J17+J18</f>
        <v>55333.3967876155</v>
      </c>
      <c r="K19" s="0" t="n">
        <f aca="false">K15+K16+K17+K18</f>
        <v>55610.0637715537</v>
      </c>
      <c r="L19" s="0" t="n">
        <f aca="false">L15+L16+L17+L18</f>
        <v>55888.1140904114</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29453.3008842592</v>
      </c>
      <c r="D21" s="0" t="n">
        <f aca="false">D19*D20</f>
        <v>39805.4277734911</v>
      </c>
      <c r="E21" s="0" t="n">
        <f aca="false">E19*E20</f>
        <v>38849.1412203742</v>
      </c>
      <c r="F21" s="0" t="n">
        <f aca="false">F19*F20</f>
        <v>36160.5076340164</v>
      </c>
      <c r="G21" s="0" t="n">
        <f aca="false">G19*G20</f>
        <v>33649.361270543</v>
      </c>
      <c r="H21" s="0" t="n">
        <f aca="false">H19*H20</f>
        <v>32917.9648497513</v>
      </c>
      <c r="I21" s="0" t="n">
        <f aca="false">I19*I20</f>
        <v>30631.9950685185</v>
      </c>
      <c r="J21" s="0" t="n">
        <f aca="false">J19*J20</f>
        <v>29894.9125581503</v>
      </c>
      <c r="K21" s="0" t="n">
        <f aca="false">K19*K20</f>
        <v>27818.8769638343</v>
      </c>
      <c r="L21" s="0" t="n">
        <f aca="false">L19*L20</f>
        <v>25887.0105080124</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8</v>
      </c>
    </row>
    <row r="28" customFormat="false" ht="15" hidden="false" customHeight="false" outlineLevel="0" collapsed="false">
      <c r="A28" s="0" t="s">
        <v>106</v>
      </c>
      <c r="B28" s="4" t="n">
        <f aca="false">Assumptions!$B$21</f>
        <v>1</v>
      </c>
    </row>
    <row r="29" customFormat="false" ht="15" hidden="false" customHeight="false" outlineLevel="0" collapsed="false">
      <c r="A29" s="0" t="s">
        <v>107</v>
      </c>
      <c r="B29" s="4" t="n">
        <f aca="false">Assumptions!$B$22</f>
        <v>13</v>
      </c>
    </row>
    <row r="30" customFormat="false" ht="15" hidden="false" customHeight="false" outlineLevel="0" collapsed="false">
      <c r="A30" s="0" t="s">
        <v>128</v>
      </c>
      <c r="B30" s="0" t="n">
        <f aca="false">SUM(C21:L21)</f>
        <v>325068.498730951</v>
      </c>
    </row>
    <row r="31" customFormat="false" ht="15" hidden="false" customHeight="false" outlineLevel="0" collapsed="false">
      <c r="A31" s="0" t="s">
        <v>129</v>
      </c>
      <c r="B31" s="0" t="n">
        <f aca="false">L19</f>
        <v>55888.1140904114</v>
      </c>
    </row>
    <row r="32" customFormat="false" ht="15" hidden="false" customHeight="false" outlineLevel="0" collapsed="false">
      <c r="A32" s="0" t="s">
        <v>130</v>
      </c>
      <c r="B32" s="0" t="n">
        <f aca="false">IF(B27&gt;B28,B31*(1+B28/100)/((B27-B28)/100),B31*B29)</f>
        <v>806385.64616165</v>
      </c>
    </row>
    <row r="33" customFormat="false" ht="15" hidden="false" customHeight="false" outlineLevel="0" collapsed="false">
      <c r="A33" s="0" t="s">
        <v>131</v>
      </c>
      <c r="B33" s="0" t="n">
        <f aca="false">B31*B29</f>
        <v>726545.483175348</v>
      </c>
    </row>
    <row r="34" customFormat="false" ht="15" hidden="false" customHeight="false" outlineLevel="0" collapsed="false">
      <c r="A34" s="0" t="s">
        <v>132</v>
      </c>
      <c r="B34" s="0" t="n">
        <f aca="false">MAX(0,MIN(B32,B33))</f>
        <v>726545.483175348</v>
      </c>
    </row>
    <row r="35" customFormat="false" ht="15" hidden="false" customHeight="false" outlineLevel="0" collapsed="false">
      <c r="A35" s="0" t="s">
        <v>133</v>
      </c>
      <c r="B35" s="0" t="n">
        <f aca="false">B34/(1+B27/100)^L4</f>
        <v>336531.136604162</v>
      </c>
    </row>
    <row r="36" customFormat="false" ht="15" hidden="false" customHeight="false" outlineLevel="0" collapsed="false">
      <c r="A36" s="0" t="s">
        <v>134</v>
      </c>
      <c r="B36" s="0" t="n">
        <f aca="false">B30+B35</f>
        <v>661599.635335112</v>
      </c>
    </row>
    <row r="37" customFormat="false" ht="15" hidden="false" customHeight="false" outlineLevel="0" collapsed="false">
      <c r="A37" s="0" t="s">
        <v>135</v>
      </c>
      <c r="B37" s="0" t="n">
        <f aca="false">B36+Assumptions!$B$5-Assumptions!$B$4</f>
        <v>225835.635335112</v>
      </c>
    </row>
    <row r="38" customFormat="false" ht="15" hidden="false" customHeight="false" outlineLevel="0" collapsed="false">
      <c r="A38" s="0" t="s">
        <v>136</v>
      </c>
      <c r="B38" s="0" t="n">
        <f aca="false">B37/Assumptions!$B$3*Assumptions!$B$10</f>
        <v>569.285695324206</v>
      </c>
    </row>
    <row r="39" customFormat="false" ht="15" hidden="false" customHeight="false" outlineLevel="0" collapsed="false">
      <c r="A39" s="0" t="s">
        <v>137</v>
      </c>
      <c r="B39" s="4" t="n">
        <f aca="false">B38/Assumptions!$B$2-1</f>
        <v>-0.715357152337897</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569.285695324206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403192.823080825</v>
      </c>
    </row>
    <row r="47" customFormat="false" ht="15" hidden="false" customHeight="false" outlineLevel="0" collapsed="false">
      <c r="A47" s="0" t="s">
        <v>142</v>
      </c>
      <c r="B47" s="0" t="n">
        <f aca="false">(SUMPRODUCT(C19:L19/(1+B45/100)^C4:L4)+B46/(1+B45/100)^L4+Assumptions!$B$5-Assumptions!$B$4)/Assumptions!$B$3*Assumptions!$B$10</f>
        <v>-248.085847139549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7</v>
      </c>
      <c r="D5" s="4" t="n">
        <f aca="false">Assumptions!D27</f>
        <v>2</v>
      </c>
      <c r="E5" s="4" t="n">
        <f aca="false">Assumptions!E27</f>
        <v>2</v>
      </c>
      <c r="F5" s="4" t="n">
        <f aca="false">Assumptions!F27</f>
        <v>1.5</v>
      </c>
      <c r="G5" s="4" t="n">
        <f aca="false">Assumptions!G27</f>
        <v>1.5</v>
      </c>
      <c r="H5" s="4" t="n">
        <f aca="false">Assumptions!H27</f>
        <v>1.5</v>
      </c>
      <c r="I5" s="4" t="n">
        <f aca="false">Assumptions!I27</f>
        <v>1</v>
      </c>
      <c r="J5" s="4" t="n">
        <f aca="false">Assumptions!J27</f>
        <v>1</v>
      </c>
      <c r="K5" s="4" t="n">
        <f aca="false">Assumptions!K27</f>
        <v>1</v>
      </c>
      <c r="L5" s="4" t="n">
        <f aca="false">Assumptions!L27</f>
        <v>1</v>
      </c>
    </row>
    <row r="6" customFormat="false" ht="15" hidden="false" customHeight="false" outlineLevel="0" collapsed="false">
      <c r="A6" s="0" t="s">
        <v>37</v>
      </c>
      <c r="B6" s="3" t="n">
        <v>2436581</v>
      </c>
      <c r="C6" s="0" t="n">
        <f aca="false">B6*(1+C5/100)</f>
        <v>2607141.67</v>
      </c>
      <c r="D6" s="0" t="n">
        <f aca="false">C6*(1+D5/100)</f>
        <v>2659284.5034</v>
      </c>
      <c r="E6" s="0" t="n">
        <f aca="false">D6*(1+E5/100)</f>
        <v>2712470.193468</v>
      </c>
      <c r="F6" s="0" t="n">
        <f aca="false">E6*(1+F5/100)</f>
        <v>2753157.24637002</v>
      </c>
      <c r="G6" s="0" t="n">
        <f aca="false">F6*(1+G5/100)</f>
        <v>2794454.60506557</v>
      </c>
      <c r="H6" s="0" t="n">
        <f aca="false">G6*(1+H5/100)</f>
        <v>2836371.42414155</v>
      </c>
      <c r="I6" s="0" t="n">
        <f aca="false">H6*(1+I5/100)</f>
        <v>2864735.13838297</v>
      </c>
      <c r="J6" s="0" t="n">
        <f aca="false">I6*(1+J5/100)</f>
        <v>2893382.4897668</v>
      </c>
      <c r="K6" s="0" t="n">
        <f aca="false">J6*(1+K5/100)</f>
        <v>2922316.31466447</v>
      </c>
      <c r="L6" s="0" t="n">
        <f aca="false">K6*(1+L5/100)</f>
        <v>2951539.47781111</v>
      </c>
    </row>
    <row r="7" customFormat="false" ht="15" hidden="false" customHeight="false" outlineLevel="0" collapsed="false">
      <c r="A7" s="0" t="s">
        <v>99</v>
      </c>
      <c r="C7" s="4" t="n">
        <f aca="false">Assumptions!C28</f>
        <v>9.8</v>
      </c>
      <c r="D7" s="4" t="n">
        <f aca="false">Assumptions!D28</f>
        <v>10</v>
      </c>
      <c r="E7" s="4" t="n">
        <f aca="false">Assumptions!E28</f>
        <v>10</v>
      </c>
      <c r="F7" s="4" t="n">
        <f aca="false">Assumptions!F28</f>
        <v>10</v>
      </c>
      <c r="G7" s="4" t="n">
        <f aca="false">Assumptions!G28</f>
        <v>10</v>
      </c>
      <c r="H7" s="4" t="n">
        <f aca="false">Assumptions!H28</f>
        <v>10</v>
      </c>
      <c r="I7" s="4" t="n">
        <f aca="false">Assumptions!I28</f>
        <v>10</v>
      </c>
      <c r="J7" s="4" t="n">
        <f aca="false">Assumptions!J28</f>
        <v>10</v>
      </c>
      <c r="K7" s="4" t="n">
        <f aca="false">Assumptions!K28</f>
        <v>10</v>
      </c>
      <c r="L7" s="4" t="n">
        <f aca="false">Assumptions!L28</f>
        <v>10</v>
      </c>
    </row>
    <row r="8" customFormat="false" ht="15" hidden="false" customHeight="false" outlineLevel="0" collapsed="false">
      <c r="A8" s="0" t="s">
        <v>43</v>
      </c>
      <c r="C8" s="0" t="n">
        <f aca="false">C6*C7/100</f>
        <v>255499.88366</v>
      </c>
      <c r="D8" s="0" t="n">
        <f aca="false">D6*D7/100</f>
        <v>265928.45034</v>
      </c>
      <c r="E8" s="0" t="n">
        <f aca="false">E6*E7/100</f>
        <v>271247.0193468</v>
      </c>
      <c r="F8" s="0" t="n">
        <f aca="false">F6*F7/100</f>
        <v>275315.724637002</v>
      </c>
      <c r="G8" s="0" t="n">
        <f aca="false">G6*G7/100</f>
        <v>279445.460506557</v>
      </c>
      <c r="H8" s="0" t="n">
        <f aca="false">H6*H7/100</f>
        <v>283637.142414155</v>
      </c>
      <c r="I8" s="0" t="n">
        <f aca="false">I6*I7/100</f>
        <v>286473.513838297</v>
      </c>
      <c r="J8" s="0" t="n">
        <f aca="false">J6*J7/100</f>
        <v>289338.24897668</v>
      </c>
      <c r="K8" s="0" t="n">
        <f aca="false">K6*K7/100</f>
        <v>292231.631466447</v>
      </c>
      <c r="L8" s="0" t="n">
        <f aca="false">L6*L7/100</f>
        <v>295153.947781111</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255499.88366</v>
      </c>
      <c r="D11" s="0" t="n">
        <f aca="false">D8+D10+D24</f>
        <v>265928.45034</v>
      </c>
      <c r="E11" s="0" t="n">
        <f aca="false">E8+E10+E24</f>
        <v>271247.0193468</v>
      </c>
      <c r="F11" s="0" t="n">
        <f aca="false">F8+F10+F24</f>
        <v>275315.724637002</v>
      </c>
      <c r="G11" s="0" t="n">
        <f aca="false">G8+G10+G24</f>
        <v>279445.460506557</v>
      </c>
      <c r="H11" s="0" t="n">
        <f aca="false">H8+H10+H24</f>
        <v>283637.142414155</v>
      </c>
      <c r="I11" s="0" t="n">
        <f aca="false">I8+I10+I24</f>
        <v>286473.513838297</v>
      </c>
      <c r="J11" s="0" t="n">
        <f aca="false">J8+J10+J24</f>
        <v>289338.24897668</v>
      </c>
      <c r="K11" s="0" t="n">
        <f aca="false">K8+K10+K24</f>
        <v>292231.631466447</v>
      </c>
      <c r="L11" s="0" t="n">
        <f aca="false">L8+L10+L24</f>
        <v>295153.947781111</v>
      </c>
    </row>
    <row r="12" customFormat="false" ht="15" hidden="false" customHeight="false" outlineLevel="0" collapsed="false">
      <c r="A12" s="0" t="s">
        <v>117</v>
      </c>
      <c r="C12" s="4" t="n">
        <f aca="false">-C6*Assumptions!C31/100</f>
        <v>-130357.0835</v>
      </c>
      <c r="D12" s="4" t="n">
        <f aca="false">-D6*Assumptions!D31/100</f>
        <v>-132964.22517</v>
      </c>
      <c r="E12" s="4" t="n">
        <f aca="false">-E6*Assumptions!E31/100</f>
        <v>-135623.5096734</v>
      </c>
      <c r="F12" s="4" t="n">
        <f aca="false">-F6*Assumptions!F31/100</f>
        <v>-137657.862318501</v>
      </c>
      <c r="G12" s="4" t="n">
        <f aca="false">-G6*Assumptions!G31/100</f>
        <v>-139722.730253278</v>
      </c>
      <c r="H12" s="4" t="n">
        <f aca="false">-H6*Assumptions!H31/100</f>
        <v>-141818.571207078</v>
      </c>
      <c r="I12" s="4" t="n">
        <f aca="false">-I6*Assumptions!I31/100</f>
        <v>-143236.756919148</v>
      </c>
      <c r="J12" s="4" t="n">
        <f aca="false">-J6*Assumptions!J31/100</f>
        <v>-144669.12448834</v>
      </c>
      <c r="K12" s="4" t="n">
        <f aca="false">-K6*Assumptions!K31/100</f>
        <v>-146115.815733223</v>
      </c>
      <c r="L12" s="4" t="n">
        <f aca="false">-L6*Assumptions!L31/100</f>
        <v>-147576.973890556</v>
      </c>
    </row>
    <row r="13" customFormat="false" ht="15" hidden="false" customHeight="false" outlineLevel="0" collapsed="false">
      <c r="A13" s="0" t="s">
        <v>118</v>
      </c>
      <c r="C13" s="0" t="n">
        <f aca="false">C11+C12</f>
        <v>125142.80016</v>
      </c>
      <c r="D13" s="0" t="n">
        <f aca="false">D11+D12</f>
        <v>132964.22517</v>
      </c>
      <c r="E13" s="0" t="n">
        <f aca="false">E11+E12</f>
        <v>135623.5096734</v>
      </c>
      <c r="F13" s="0" t="n">
        <f aca="false">F11+F12</f>
        <v>137657.862318501</v>
      </c>
      <c r="G13" s="0" t="n">
        <f aca="false">G11+G12</f>
        <v>139722.730253278</v>
      </c>
      <c r="H13" s="0" t="n">
        <f aca="false">H11+H12</f>
        <v>141818.571207078</v>
      </c>
      <c r="I13" s="0" t="n">
        <f aca="false">I11+I12</f>
        <v>143236.756919148</v>
      </c>
      <c r="J13" s="0" t="n">
        <f aca="false">J11+J12</f>
        <v>144669.12448834</v>
      </c>
      <c r="K13" s="0" t="n">
        <f aca="false">K11+K12</f>
        <v>146115.815733223</v>
      </c>
      <c r="L13" s="0" t="n">
        <f aca="false">L11+L12</f>
        <v>147576.973890556</v>
      </c>
    </row>
    <row r="14" customFormat="false" ht="15" hidden="false" customHeight="false" outlineLevel="0" collapsed="false">
      <c r="A14" s="0" t="s">
        <v>104</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119</v>
      </c>
      <c r="C15" s="0" t="n">
        <f aca="false">C13-MAX(0,C13)*C14/100</f>
        <v>87599.960112</v>
      </c>
      <c r="D15" s="0" t="n">
        <f aca="false">D13-MAX(0,D13)*D14/100</f>
        <v>93074.957619</v>
      </c>
      <c r="E15" s="0" t="n">
        <f aca="false">E13-MAX(0,E13)*E14/100</f>
        <v>94936.45677138</v>
      </c>
      <c r="F15" s="0" t="n">
        <f aca="false">F13-MAX(0,F13)*F14/100</f>
        <v>96360.5036229507</v>
      </c>
      <c r="G15" s="0" t="n">
        <f aca="false">G13-MAX(0,G13)*G14/100</f>
        <v>97805.9111772949</v>
      </c>
      <c r="H15" s="0" t="n">
        <f aca="false">H13-MAX(0,H13)*H14/100</f>
        <v>99272.9998449543</v>
      </c>
      <c r="I15" s="0" t="n">
        <f aca="false">I13-MAX(0,I13)*I14/100</f>
        <v>100265.729843404</v>
      </c>
      <c r="J15" s="0" t="n">
        <f aca="false">J13-MAX(0,J13)*J14/100</f>
        <v>101268.387141838</v>
      </c>
      <c r="K15" s="0" t="n">
        <f aca="false">K13-MAX(0,K13)*K14/100</f>
        <v>102281.071013256</v>
      </c>
      <c r="L15" s="0" t="n">
        <f aca="false">L13-MAX(0,L13)*L14/100</f>
        <v>103303.881723389</v>
      </c>
    </row>
    <row r="16" customFormat="false" ht="15" hidden="false" customHeight="false" outlineLevel="0" collapsed="false">
      <c r="A16" s="0" t="s">
        <v>120</v>
      </c>
      <c r="C16" s="0" t="n">
        <f aca="false">-C12</f>
        <v>130357.0835</v>
      </c>
      <c r="D16" s="0" t="n">
        <f aca="false">-D12</f>
        <v>132964.22517</v>
      </c>
      <c r="E16" s="0" t="n">
        <f aca="false">-E12</f>
        <v>135623.5096734</v>
      </c>
      <c r="F16" s="0" t="n">
        <f aca="false">-F12</f>
        <v>137657.862318501</v>
      </c>
      <c r="G16" s="0" t="n">
        <f aca="false">-G12</f>
        <v>139722.730253278</v>
      </c>
      <c r="H16" s="0" t="n">
        <f aca="false">-H12</f>
        <v>141818.571207078</v>
      </c>
      <c r="I16" s="0" t="n">
        <f aca="false">-I12</f>
        <v>143236.756919148</v>
      </c>
      <c r="J16" s="0" t="n">
        <f aca="false">-J12</f>
        <v>144669.12448834</v>
      </c>
      <c r="K16" s="0" t="n">
        <f aca="false">-K12</f>
        <v>146115.815733223</v>
      </c>
      <c r="L16" s="0" t="n">
        <f aca="false">-L12</f>
        <v>147576.973890556</v>
      </c>
    </row>
    <row r="17" customFormat="false" ht="15" hidden="false" customHeight="false" outlineLevel="0" collapsed="false">
      <c r="A17" s="0" t="s">
        <v>121</v>
      </c>
      <c r="C17" s="4" t="n">
        <f aca="false">-C6*Assumptions!C32/100</f>
        <v>-145999.93352</v>
      </c>
      <c r="D17" s="4" t="n">
        <f aca="false">-D6*Assumptions!D32/100</f>
        <v>-154238.5011972</v>
      </c>
      <c r="E17" s="4" t="n">
        <f aca="false">-E6*Assumptions!E32/100</f>
        <v>-157323.271221144</v>
      </c>
      <c r="F17" s="4" t="n">
        <f aca="false">-F6*Assumptions!F32/100</f>
        <v>-154176.805796721</v>
      </c>
      <c r="G17" s="4" t="n">
        <f aca="false">-G6*Assumptions!G32/100</f>
        <v>-153695.003278606</v>
      </c>
      <c r="H17" s="4" t="n">
        <f aca="false">-H6*Assumptions!H32/100</f>
        <v>-156000.428327785</v>
      </c>
      <c r="I17" s="4" t="n">
        <f aca="false">-I6*Assumptions!I32/100</f>
        <v>-151830.962334297</v>
      </c>
      <c r="J17" s="4" t="n">
        <f aca="false">-J6*Assumptions!J32/100</f>
        <v>-153349.27195764</v>
      </c>
      <c r="K17" s="4" t="n">
        <f aca="false">-K6*Assumptions!K32/100</f>
        <v>-151960.448362552</v>
      </c>
      <c r="L17" s="4" t="n">
        <f aca="false">-L6*Assumptions!L32/100</f>
        <v>-153480.052846178</v>
      </c>
    </row>
    <row r="18" customFormat="false" ht="15" hidden="false" customHeight="false" outlineLevel="0" collapsed="false">
      <c r="A18" s="0" t="s">
        <v>122</v>
      </c>
      <c r="C18" s="4" t="n">
        <f aca="false">(C6-B6)*Assumptions!$B$37/100</f>
        <v>-34112.134</v>
      </c>
      <c r="D18" s="4" t="n">
        <f aca="false">(D6-C6)*Assumptions!$B$37/100</f>
        <v>-10428.56668</v>
      </c>
      <c r="E18" s="4" t="n">
        <f aca="false">(E6-D6)*Assumptions!$B$37/100</f>
        <v>-10637.1380136</v>
      </c>
      <c r="F18" s="4" t="n">
        <f aca="false">(F6-E6)*Assumptions!$B$37/100</f>
        <v>-8137.41058040392</v>
      </c>
      <c r="G18" s="4" t="n">
        <f aca="false">(G6-F6)*Assumptions!$B$37/100</f>
        <v>-8259.47173910998</v>
      </c>
      <c r="H18" s="4" t="n">
        <f aca="false">(H6-G6)*Assumptions!$B$37/100</f>
        <v>-8383.3638151967</v>
      </c>
      <c r="I18" s="4" t="n">
        <f aca="false">(I6-H6)*Assumptions!$B$37/100</f>
        <v>-5672.74284828315</v>
      </c>
      <c r="J18" s="4" t="n">
        <f aca="false">(J6-I6)*Assumptions!$B$37/100</f>
        <v>-5729.4702767659</v>
      </c>
      <c r="K18" s="4" t="n">
        <f aca="false">(K6-J6)*Assumptions!$B$37/100</f>
        <v>-5786.76497953357</v>
      </c>
      <c r="L18" s="4" t="n">
        <f aca="false">(L6-K6)*Assumptions!$B$37/100</f>
        <v>-5844.63262932897</v>
      </c>
    </row>
    <row r="19" customFormat="false" ht="15" hidden="false" customHeight="false" outlineLevel="0" collapsed="false">
      <c r="A19" s="0" t="s">
        <v>123</v>
      </c>
      <c r="C19" s="0" t="n">
        <f aca="false">C15+C16+C17+C18</f>
        <v>37844.976092</v>
      </c>
      <c r="D19" s="0" t="n">
        <f aca="false">D15+D16+D17+D18</f>
        <v>61372.1149118</v>
      </c>
      <c r="E19" s="0" t="n">
        <f aca="false">E15+E16+E17+E18</f>
        <v>62599.557210036</v>
      </c>
      <c r="F19" s="0" t="n">
        <f aca="false">F15+F16+F17+F18</f>
        <v>71704.1495643266</v>
      </c>
      <c r="G19" s="0" t="n">
        <f aca="false">G15+G16+G17+G18</f>
        <v>75574.1664128571</v>
      </c>
      <c r="H19" s="0" t="n">
        <f aca="false">H15+H16+H17+H18</f>
        <v>76707.7789090498</v>
      </c>
      <c r="I19" s="0" t="n">
        <f aca="false">I15+I16+I17+I18</f>
        <v>85998.7815799718</v>
      </c>
      <c r="J19" s="0" t="n">
        <f aca="false">J15+J16+J17+J18</f>
        <v>86858.7693957716</v>
      </c>
      <c r="K19" s="0" t="n">
        <f aca="false">K15+K16+K17+K18</f>
        <v>90649.6734043939</v>
      </c>
      <c r="L19" s="0" t="n">
        <f aca="false">L15+L16+L17+L18</f>
        <v>91556.1701384377</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35041.6445296297</v>
      </c>
      <c r="D21" s="0" t="n">
        <f aca="false">D19*D20</f>
        <v>52616.6965979081</v>
      </c>
      <c r="E21" s="0" t="n">
        <f aca="false">E19*E20</f>
        <v>49693.5467869132</v>
      </c>
      <c r="F21" s="0" t="n">
        <f aca="false">F19*F20</f>
        <v>52704.6904991619</v>
      </c>
      <c r="G21" s="0" t="n">
        <f aca="false">G19*G20</f>
        <v>51434.5077904231</v>
      </c>
      <c r="H21" s="0" t="n">
        <f aca="false">H19*H20</f>
        <v>48338.9124141476</v>
      </c>
      <c r="I21" s="0" t="n">
        <f aca="false">I19*I20</f>
        <v>50179.4630561597</v>
      </c>
      <c r="J21" s="0" t="n">
        <f aca="false">J19*J20</f>
        <v>46927.0904506679</v>
      </c>
      <c r="K21" s="0" t="n">
        <f aca="false">K19*K20</f>
        <v>45347.4054913521</v>
      </c>
      <c r="L21" s="0" t="n">
        <f aca="false">L19*L20</f>
        <v>42408.2218020977</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8</v>
      </c>
    </row>
    <row r="28" customFormat="false" ht="15" hidden="false" customHeight="false" outlineLevel="0" collapsed="false">
      <c r="A28" s="0" t="s">
        <v>106</v>
      </c>
      <c r="B28" s="4" t="n">
        <f aca="false">Assumptions!$B$35</f>
        <v>1</v>
      </c>
    </row>
    <row r="29" customFormat="false" ht="15" hidden="false" customHeight="false" outlineLevel="0" collapsed="false">
      <c r="A29" s="0" t="s">
        <v>107</v>
      </c>
      <c r="B29" s="4" t="n">
        <f aca="false">Assumptions!$B$36</f>
        <v>13</v>
      </c>
    </row>
    <row r="30" customFormat="false" ht="15" hidden="false" customHeight="false" outlineLevel="0" collapsed="false">
      <c r="A30" s="0" t="s">
        <v>128</v>
      </c>
      <c r="B30" s="0" t="n">
        <f aca="false">SUM(C21:L21)</f>
        <v>474692.179418461</v>
      </c>
    </row>
    <row r="31" customFormat="false" ht="15" hidden="false" customHeight="false" outlineLevel="0" collapsed="false">
      <c r="A31" s="0" t="s">
        <v>129</v>
      </c>
      <c r="B31" s="0" t="n">
        <f aca="false">L19</f>
        <v>91556.1701384377</v>
      </c>
    </row>
    <row r="32" customFormat="false" ht="15" hidden="false" customHeight="false" outlineLevel="0" collapsed="false">
      <c r="A32" s="0" t="s">
        <v>130</v>
      </c>
      <c r="B32" s="0" t="n">
        <f aca="false">IF(B27&gt;B28,B31*(1+B28/100)/((B27-B28)/100),B31*B29)</f>
        <v>1321024.74056889</v>
      </c>
    </row>
    <row r="33" customFormat="false" ht="15" hidden="false" customHeight="false" outlineLevel="0" collapsed="false">
      <c r="A33" s="0" t="s">
        <v>131</v>
      </c>
      <c r="B33" s="0" t="n">
        <f aca="false">B31*B29</f>
        <v>1190230.21179969</v>
      </c>
    </row>
    <row r="34" customFormat="false" ht="15" hidden="false" customHeight="false" outlineLevel="0" collapsed="false">
      <c r="A34" s="0" t="s">
        <v>132</v>
      </c>
      <c r="B34" s="0" t="n">
        <f aca="false">MAX(0,MIN(B32,B33))</f>
        <v>1190230.21179969</v>
      </c>
    </row>
    <row r="35" customFormat="false" ht="15" hidden="false" customHeight="false" outlineLevel="0" collapsed="false">
      <c r="A35" s="0" t="s">
        <v>133</v>
      </c>
      <c r="B35" s="0" t="n">
        <f aca="false">B34/(1+B27/100)^L4</f>
        <v>551306.883427271</v>
      </c>
    </row>
    <row r="36" customFormat="false" ht="15" hidden="false" customHeight="false" outlineLevel="0" collapsed="false">
      <c r="A36" s="0" t="s">
        <v>134</v>
      </c>
      <c r="B36" s="0" t="n">
        <f aca="false">B30+B35</f>
        <v>1025999.06284573</v>
      </c>
    </row>
    <row r="37" customFormat="false" ht="15" hidden="false" customHeight="false" outlineLevel="0" collapsed="false">
      <c r="A37" s="0" t="s">
        <v>135</v>
      </c>
      <c r="B37" s="0" t="n">
        <f aca="false">B36+Assumptions!$B$5-Assumptions!$B$4</f>
        <v>590235.062845732</v>
      </c>
    </row>
    <row r="38" customFormat="false" ht="15" hidden="false" customHeight="false" outlineLevel="0" collapsed="false">
      <c r="A38" s="0" t="s">
        <v>136</v>
      </c>
      <c r="B38" s="0" t="n">
        <f aca="false">B37/Assumptions!$B$3*Assumptions!$B$10</f>
        <v>1487.86252292849</v>
      </c>
    </row>
    <row r="39" customFormat="false" ht="15" hidden="false" customHeight="false" outlineLevel="0" collapsed="false">
      <c r="A39" s="0" t="s">
        <v>137</v>
      </c>
      <c r="B39" s="4" t="n">
        <f aca="false">B38/Assumptions!$B$2-1</f>
        <v>-0.256068738535755</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1487.86252292849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660512.370284443</v>
      </c>
    </row>
    <row r="47" customFormat="false" ht="15" hidden="false" customHeight="false" outlineLevel="0" collapsed="false">
      <c r="A47" s="0" t="s">
        <v>142</v>
      </c>
      <c r="B47" s="0" t="n">
        <f aca="false">(SUMPRODUCT(C19:L19/(1+B45/100)^C4:L4)+B46/(1+B45/100)^L4+Assumptions!$B$5-Assumptions!$B$4)/Assumptions!$B$3*Assumptions!$B$10</f>
        <v>173.524759904402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10.4</v>
      </c>
      <c r="D5" s="4" t="n">
        <f aca="false">Assumptions!D41</f>
        <v>3</v>
      </c>
      <c r="E5" s="4" t="n">
        <f aca="false">Assumptions!E41</f>
        <v>3</v>
      </c>
      <c r="F5" s="4" t="n">
        <f aca="false">Assumptions!F41</f>
        <v>2.5</v>
      </c>
      <c r="G5" s="4" t="n">
        <f aca="false">Assumptions!G41</f>
        <v>2</v>
      </c>
      <c r="H5" s="4" t="n">
        <f aca="false">Assumptions!H41</f>
        <v>2</v>
      </c>
      <c r="I5" s="4" t="n">
        <f aca="false">Assumptions!I41</f>
        <v>1.5</v>
      </c>
      <c r="J5" s="4" t="n">
        <f aca="false">Assumptions!J41</f>
        <v>1.5</v>
      </c>
      <c r="K5" s="4" t="n">
        <f aca="false">Assumptions!K41</f>
        <v>1.5</v>
      </c>
      <c r="L5" s="4" t="n">
        <f aca="false">Assumptions!L41</f>
        <v>1.5</v>
      </c>
    </row>
    <row r="6" customFormat="false" ht="15" hidden="false" customHeight="false" outlineLevel="0" collapsed="false">
      <c r="A6" s="0" t="s">
        <v>37</v>
      </c>
      <c r="B6" s="3" t="n">
        <v>2436581</v>
      </c>
      <c r="C6" s="0" t="n">
        <f aca="false">B6*(1+C5/100)</f>
        <v>2689985.424</v>
      </c>
      <c r="D6" s="0" t="n">
        <f aca="false">C6*(1+D5/100)</f>
        <v>2770684.98672</v>
      </c>
      <c r="E6" s="0" t="n">
        <f aca="false">D6*(1+E5/100)</f>
        <v>2853805.5363216</v>
      </c>
      <c r="F6" s="0" t="n">
        <f aca="false">E6*(1+F5/100)</f>
        <v>2925150.67472964</v>
      </c>
      <c r="G6" s="0" t="n">
        <f aca="false">F6*(1+G5/100)</f>
        <v>2983653.68822423</v>
      </c>
      <c r="H6" s="0" t="n">
        <f aca="false">G6*(1+H5/100)</f>
        <v>3043326.76198872</v>
      </c>
      <c r="I6" s="0" t="n">
        <f aca="false">H6*(1+I5/100)</f>
        <v>3088976.66341855</v>
      </c>
      <c r="J6" s="0" t="n">
        <f aca="false">I6*(1+J5/100)</f>
        <v>3135311.31336983</v>
      </c>
      <c r="K6" s="0" t="n">
        <f aca="false">J6*(1+K5/100)</f>
        <v>3182340.98307037</v>
      </c>
      <c r="L6" s="0" t="n">
        <f aca="false">K6*(1+L5/100)</f>
        <v>3230076.09781643</v>
      </c>
    </row>
    <row r="7" customFormat="false" ht="15" hidden="false" customHeight="false" outlineLevel="0" collapsed="false">
      <c r="A7" s="0" t="s">
        <v>99</v>
      </c>
      <c r="C7" s="4" t="n">
        <f aca="false">Assumptions!C42</f>
        <v>10.8</v>
      </c>
      <c r="D7" s="4" t="n">
        <f aca="false">Assumptions!D42</f>
        <v>11</v>
      </c>
      <c r="E7" s="4" t="n">
        <f aca="false">Assumptions!E42</f>
        <v>11.2</v>
      </c>
      <c r="F7" s="4" t="n">
        <f aca="false">Assumptions!F42</f>
        <v>11.5</v>
      </c>
      <c r="G7" s="4" t="n">
        <f aca="false">Assumptions!G42</f>
        <v>11.5</v>
      </c>
      <c r="H7" s="4" t="n">
        <f aca="false">Assumptions!H42</f>
        <v>11.5</v>
      </c>
      <c r="I7" s="4" t="n">
        <f aca="false">Assumptions!I42</f>
        <v>11.5</v>
      </c>
      <c r="J7" s="4" t="n">
        <f aca="false">Assumptions!J42</f>
        <v>11.5</v>
      </c>
      <c r="K7" s="4" t="n">
        <f aca="false">Assumptions!K42</f>
        <v>11.5</v>
      </c>
      <c r="L7" s="4" t="n">
        <f aca="false">Assumptions!L42</f>
        <v>11.5</v>
      </c>
    </row>
    <row r="8" customFormat="false" ht="15" hidden="false" customHeight="false" outlineLevel="0" collapsed="false">
      <c r="A8" s="0" t="s">
        <v>43</v>
      </c>
      <c r="C8" s="0" t="n">
        <f aca="false">C6*C7/100</f>
        <v>290518.425792</v>
      </c>
      <c r="D8" s="0" t="n">
        <f aca="false">D6*D7/100</f>
        <v>304775.3485392</v>
      </c>
      <c r="E8" s="0" t="n">
        <f aca="false">E6*E7/100</f>
        <v>319626.220068019</v>
      </c>
      <c r="F8" s="0" t="n">
        <f aca="false">F6*F7/100</f>
        <v>336392.327593909</v>
      </c>
      <c r="G8" s="0" t="n">
        <f aca="false">G6*G7/100</f>
        <v>343120.174145787</v>
      </c>
      <c r="H8" s="0" t="n">
        <f aca="false">H6*H7/100</f>
        <v>349982.577628703</v>
      </c>
      <c r="I8" s="0" t="n">
        <f aca="false">I6*I7/100</f>
        <v>355232.316293133</v>
      </c>
      <c r="J8" s="0" t="n">
        <f aca="false">J6*J7/100</f>
        <v>360560.80103753</v>
      </c>
      <c r="K8" s="0" t="n">
        <f aca="false">K6*K7/100</f>
        <v>365969.213053093</v>
      </c>
      <c r="L8" s="0" t="n">
        <f aca="false">L6*L7/100</f>
        <v>371458.751248889</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290518.425792</v>
      </c>
      <c r="D11" s="0" t="n">
        <f aca="false">D8+D10+D24</f>
        <v>304775.3485392</v>
      </c>
      <c r="E11" s="0" t="n">
        <f aca="false">E8+E10+E24</f>
        <v>319626.220068019</v>
      </c>
      <c r="F11" s="0" t="n">
        <f aca="false">F8+F10+F24</f>
        <v>336392.327593909</v>
      </c>
      <c r="G11" s="0" t="n">
        <f aca="false">G8+G10+G24</f>
        <v>343120.174145787</v>
      </c>
      <c r="H11" s="0" t="n">
        <f aca="false">H8+H10+H24</f>
        <v>349982.577628703</v>
      </c>
      <c r="I11" s="0" t="n">
        <f aca="false">I8+I10+I24</f>
        <v>355232.316293133</v>
      </c>
      <c r="J11" s="0" t="n">
        <f aca="false">J8+J10+J24</f>
        <v>360560.80103753</v>
      </c>
      <c r="K11" s="0" t="n">
        <f aca="false">K8+K10+K24</f>
        <v>365969.213053093</v>
      </c>
      <c r="L11" s="0" t="n">
        <f aca="false">L8+L10+L24</f>
        <v>371458.751248889</v>
      </c>
    </row>
    <row r="12" customFormat="false" ht="15" hidden="false" customHeight="false" outlineLevel="0" collapsed="false">
      <c r="A12" s="0" t="s">
        <v>117</v>
      </c>
      <c r="C12" s="4" t="n">
        <f aca="false">-C6*Assumptions!C45/100</f>
        <v>-134499.2712</v>
      </c>
      <c r="D12" s="4" t="n">
        <f aca="false">-D6*Assumptions!D45/100</f>
        <v>-138534.249336</v>
      </c>
      <c r="E12" s="4" t="n">
        <f aca="false">-E6*Assumptions!E45/100</f>
        <v>-142690.27681608</v>
      </c>
      <c r="F12" s="4" t="n">
        <f aca="false">-F6*Assumptions!F45/100</f>
        <v>-146257.533736482</v>
      </c>
      <c r="G12" s="4" t="n">
        <f aca="false">-G6*Assumptions!G45/100</f>
        <v>-149182.684411212</v>
      </c>
      <c r="H12" s="4" t="n">
        <f aca="false">-H6*Assumptions!H45/100</f>
        <v>-152166.338099436</v>
      </c>
      <c r="I12" s="4" t="n">
        <f aca="false">-I6*Assumptions!I45/100</f>
        <v>-154448.833170927</v>
      </c>
      <c r="J12" s="4" t="n">
        <f aca="false">-J6*Assumptions!J45/100</f>
        <v>-156765.565668491</v>
      </c>
      <c r="K12" s="4" t="n">
        <f aca="false">-K6*Assumptions!K45/100</f>
        <v>-159117.049153519</v>
      </c>
      <c r="L12" s="4" t="n">
        <f aca="false">-L6*Assumptions!L45/100</f>
        <v>-161503.804890821</v>
      </c>
    </row>
    <row r="13" customFormat="false" ht="15" hidden="false" customHeight="false" outlineLevel="0" collapsed="false">
      <c r="A13" s="0" t="s">
        <v>118</v>
      </c>
      <c r="C13" s="0" t="n">
        <f aca="false">C11+C12</f>
        <v>156019.154592</v>
      </c>
      <c r="D13" s="0" t="n">
        <f aca="false">D11+D12</f>
        <v>166241.0992032</v>
      </c>
      <c r="E13" s="0" t="n">
        <f aca="false">E11+E12</f>
        <v>176935.943251939</v>
      </c>
      <c r="F13" s="0" t="n">
        <f aca="false">F11+F12</f>
        <v>190134.793857427</v>
      </c>
      <c r="G13" s="0" t="n">
        <f aca="false">G11+G12</f>
        <v>193937.489734575</v>
      </c>
      <c r="H13" s="0" t="n">
        <f aca="false">H11+H12</f>
        <v>197816.239529267</v>
      </c>
      <c r="I13" s="0" t="n">
        <f aca="false">I11+I12</f>
        <v>200783.483122206</v>
      </c>
      <c r="J13" s="0" t="n">
        <f aca="false">J11+J12</f>
        <v>203795.235369039</v>
      </c>
      <c r="K13" s="0" t="n">
        <f aca="false">K11+K12</f>
        <v>206852.163899574</v>
      </c>
      <c r="L13" s="0" t="n">
        <f aca="false">L11+L12</f>
        <v>209954.946358068</v>
      </c>
    </row>
    <row r="14" customFormat="false" ht="15" hidden="false" customHeight="false" outlineLevel="0" collapsed="false">
      <c r="A14" s="0" t="s">
        <v>104</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119</v>
      </c>
      <c r="C15" s="0" t="n">
        <f aca="false">C13-MAX(0,C13)*C14/100</f>
        <v>109213.4082144</v>
      </c>
      <c r="D15" s="0" t="n">
        <f aca="false">D13-MAX(0,D13)*D14/100</f>
        <v>116368.76944224</v>
      </c>
      <c r="E15" s="0" t="n">
        <f aca="false">E13-MAX(0,E13)*E14/100</f>
        <v>123855.160276357</v>
      </c>
      <c r="F15" s="0" t="n">
        <f aca="false">F13-MAX(0,F13)*F14/100</f>
        <v>133094.355700199</v>
      </c>
      <c r="G15" s="0" t="n">
        <f aca="false">G13-MAX(0,G13)*G14/100</f>
        <v>135756.242814203</v>
      </c>
      <c r="H15" s="0" t="n">
        <f aca="false">H13-MAX(0,H13)*H14/100</f>
        <v>138471.367670487</v>
      </c>
      <c r="I15" s="0" t="n">
        <f aca="false">I13-MAX(0,I13)*I14/100</f>
        <v>140548.438185544</v>
      </c>
      <c r="J15" s="0" t="n">
        <f aca="false">J13-MAX(0,J13)*J14/100</f>
        <v>142656.664758327</v>
      </c>
      <c r="K15" s="0" t="n">
        <f aca="false">K13-MAX(0,K13)*K14/100</f>
        <v>144796.514729702</v>
      </c>
      <c r="L15" s="0" t="n">
        <f aca="false">L13-MAX(0,L13)*L14/100</f>
        <v>146968.462450648</v>
      </c>
    </row>
    <row r="16" customFormat="false" ht="15" hidden="false" customHeight="false" outlineLevel="0" collapsed="false">
      <c r="A16" s="0" t="s">
        <v>120</v>
      </c>
      <c r="C16" s="0" t="n">
        <f aca="false">-C12</f>
        <v>134499.2712</v>
      </c>
      <c r="D16" s="0" t="n">
        <f aca="false">-D12</f>
        <v>138534.249336</v>
      </c>
      <c r="E16" s="0" t="n">
        <f aca="false">-E12</f>
        <v>142690.27681608</v>
      </c>
      <c r="F16" s="0" t="n">
        <f aca="false">-F12</f>
        <v>146257.533736482</v>
      </c>
      <c r="G16" s="0" t="n">
        <f aca="false">-G12</f>
        <v>149182.684411212</v>
      </c>
      <c r="H16" s="0" t="n">
        <f aca="false">-H12</f>
        <v>152166.338099436</v>
      </c>
      <c r="I16" s="0" t="n">
        <f aca="false">-I12</f>
        <v>154448.833170927</v>
      </c>
      <c r="J16" s="0" t="n">
        <f aca="false">-J12</f>
        <v>156765.565668491</v>
      </c>
      <c r="K16" s="0" t="n">
        <f aca="false">-K12</f>
        <v>159117.049153519</v>
      </c>
      <c r="L16" s="0" t="n">
        <f aca="false">-L12</f>
        <v>161503.804890821</v>
      </c>
    </row>
    <row r="17" customFormat="false" ht="15" hidden="false" customHeight="false" outlineLevel="0" collapsed="false">
      <c r="A17" s="0" t="s">
        <v>121</v>
      </c>
      <c r="C17" s="4" t="n">
        <f aca="false">-C6*Assumptions!C46/100</f>
        <v>-147949.19832</v>
      </c>
      <c r="D17" s="4" t="n">
        <f aca="false">-D6*Assumptions!D46/100</f>
        <v>-155158.35925632</v>
      </c>
      <c r="E17" s="4" t="n">
        <f aca="false">-E6*Assumptions!E46/100</f>
        <v>-159813.11003401</v>
      </c>
      <c r="F17" s="4" t="n">
        <f aca="false">-F6*Assumptions!F46/100</f>
        <v>-160883.28711013</v>
      </c>
      <c r="G17" s="4" t="n">
        <f aca="false">-G6*Assumptions!G46/100</f>
        <v>-161117.299164109</v>
      </c>
      <c r="H17" s="4" t="n">
        <f aca="false">-H6*Assumptions!H46/100</f>
        <v>-164339.645147391</v>
      </c>
      <c r="I17" s="4" t="n">
        <f aca="false">-I6*Assumptions!I46/100</f>
        <v>-163715.763161183</v>
      </c>
      <c r="J17" s="4" t="n">
        <f aca="false">-J6*Assumptions!J46/100</f>
        <v>-166171.499608601</v>
      </c>
      <c r="K17" s="4" t="n">
        <f aca="false">-K6*Assumptions!K46/100</f>
        <v>-165481.731119659</v>
      </c>
      <c r="L17" s="4" t="n">
        <f aca="false">-L6*Assumptions!L46/100</f>
        <v>-167963.957086454</v>
      </c>
    </row>
    <row r="18" customFormat="false" ht="15" hidden="false" customHeight="false" outlineLevel="0" collapsed="false">
      <c r="A18" s="0" t="s">
        <v>122</v>
      </c>
      <c r="C18" s="4" t="n">
        <f aca="false">(C6-B6)*Assumptions!$B$51/100</f>
        <v>-50680.8848</v>
      </c>
      <c r="D18" s="4" t="n">
        <f aca="false">(D6-C6)*Assumptions!$B$51/100</f>
        <v>-16139.9125440001</v>
      </c>
      <c r="E18" s="4" t="n">
        <f aca="false">(E6-D6)*Assumptions!$B$51/100</f>
        <v>-16624.10992032</v>
      </c>
      <c r="F18" s="4" t="n">
        <f aca="false">(F6-E6)*Assumptions!$B$51/100</f>
        <v>-14269.0276816079</v>
      </c>
      <c r="G18" s="4" t="n">
        <f aca="false">(G6-F6)*Assumptions!$B$51/100</f>
        <v>-11700.6026989185</v>
      </c>
      <c r="H18" s="4" t="n">
        <f aca="false">(H6-G6)*Assumptions!$B$51/100</f>
        <v>-11934.614752897</v>
      </c>
      <c r="I18" s="4" t="n">
        <f aca="false">(I6-H6)*Assumptions!$B$51/100</f>
        <v>-9129.98028596612</v>
      </c>
      <c r="J18" s="4" t="n">
        <f aca="false">(J6-I6)*Assumptions!$B$51/100</f>
        <v>-9266.92999025555</v>
      </c>
      <c r="K18" s="4" t="n">
        <f aca="false">(K6-J6)*Assumptions!$B$51/100</f>
        <v>-9405.93394010942</v>
      </c>
      <c r="L18" s="4" t="n">
        <f aca="false">(L6-K6)*Assumptions!$B$51/100</f>
        <v>-9547.02294921102</v>
      </c>
    </row>
    <row r="19" customFormat="false" ht="15" hidden="false" customHeight="false" outlineLevel="0" collapsed="false">
      <c r="A19" s="0" t="s">
        <v>123</v>
      </c>
      <c r="C19" s="0" t="n">
        <f aca="false">C15+C16+C17+C18</f>
        <v>45082.5962944</v>
      </c>
      <c r="D19" s="0" t="n">
        <f aca="false">D15+D16+D17+D18</f>
        <v>83604.74697792</v>
      </c>
      <c r="E19" s="0" t="n">
        <f aca="false">E15+E16+E17+E18</f>
        <v>90108.2171381078</v>
      </c>
      <c r="F19" s="0" t="n">
        <f aca="false">F15+F16+F17+F18</f>
        <v>104199.574644942</v>
      </c>
      <c r="G19" s="0" t="n">
        <f aca="false">G15+G16+G17+G18</f>
        <v>112121.025362387</v>
      </c>
      <c r="H19" s="0" t="n">
        <f aca="false">H15+H16+H17+H18</f>
        <v>114363.445869635</v>
      </c>
      <c r="I19" s="0" t="n">
        <f aca="false">I15+I16+I17+I18</f>
        <v>122151.527909322</v>
      </c>
      <c r="J19" s="0" t="n">
        <f aca="false">J15+J16+J17+J18</f>
        <v>123983.800827962</v>
      </c>
      <c r="K19" s="0" t="n">
        <f aca="false">K15+K16+K17+K18</f>
        <v>129025.898823452</v>
      </c>
      <c r="L19" s="0" t="n">
        <f aca="false">L15+L16+L17+L18</f>
        <v>130961.287305804</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41743.144717037</v>
      </c>
      <c r="D21" s="0" t="n">
        <f aca="false">D19*D20</f>
        <v>71677.595145679</v>
      </c>
      <c r="E21" s="0" t="n">
        <f aca="false">E19*E20</f>
        <v>71530.8079450762</v>
      </c>
      <c r="F21" s="0" t="n">
        <f aca="false">F19*F20</f>
        <v>76589.7980127251</v>
      </c>
      <c r="G21" s="0" t="n">
        <f aca="false">G19*G20</f>
        <v>76307.685895836</v>
      </c>
      <c r="H21" s="0" t="n">
        <f aca="false">H19*H20</f>
        <v>72068.3700127339</v>
      </c>
      <c r="I21" s="0" t="n">
        <f aca="false">I19*I20</f>
        <v>71274.243301684</v>
      </c>
      <c r="J21" s="0" t="n">
        <f aca="false">J19*J20</f>
        <v>66984.5897696382</v>
      </c>
      <c r="K21" s="0" t="n">
        <f aca="false">K19*K20</f>
        <v>64545.0726196399</v>
      </c>
      <c r="L21" s="0" t="n">
        <f aca="false">L19*L20</f>
        <v>60660.4154712356</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8</v>
      </c>
    </row>
    <row r="28" customFormat="false" ht="15" hidden="false" customHeight="false" outlineLevel="0" collapsed="false">
      <c r="A28" s="0" t="s">
        <v>106</v>
      </c>
      <c r="B28" s="4" t="n">
        <f aca="false">Assumptions!$B$49</f>
        <v>1</v>
      </c>
    </row>
    <row r="29" customFormat="false" ht="15" hidden="false" customHeight="false" outlineLevel="0" collapsed="false">
      <c r="A29" s="0" t="s">
        <v>107</v>
      </c>
      <c r="B29" s="4" t="n">
        <f aca="false">Assumptions!$B$50</f>
        <v>13</v>
      </c>
    </row>
    <row r="30" customFormat="false" ht="15" hidden="false" customHeight="false" outlineLevel="0" collapsed="false">
      <c r="A30" s="0" t="s">
        <v>128</v>
      </c>
      <c r="B30" s="0" t="n">
        <f aca="false">SUM(C21:L21)</f>
        <v>673381.722891285</v>
      </c>
    </row>
    <row r="31" customFormat="false" ht="15" hidden="false" customHeight="false" outlineLevel="0" collapsed="false">
      <c r="A31" s="0" t="s">
        <v>129</v>
      </c>
      <c r="B31" s="0" t="n">
        <f aca="false">L19</f>
        <v>130961.287305804</v>
      </c>
    </row>
    <row r="32" customFormat="false" ht="15" hidden="false" customHeight="false" outlineLevel="0" collapsed="false">
      <c r="A32" s="0" t="s">
        <v>130</v>
      </c>
      <c r="B32" s="0" t="n">
        <f aca="false">IF(B27&gt;B28,B31*(1+B28/100)/((B27-B28)/100),B31*B29)</f>
        <v>1889584.28826945</v>
      </c>
    </row>
    <row r="33" customFormat="false" ht="15" hidden="false" customHeight="false" outlineLevel="0" collapsed="false">
      <c r="A33" s="0" t="s">
        <v>131</v>
      </c>
      <c r="B33" s="0" t="n">
        <f aca="false">B31*B29</f>
        <v>1702496.73497545</v>
      </c>
    </row>
    <row r="34" customFormat="false" ht="15" hidden="false" customHeight="false" outlineLevel="0" collapsed="false">
      <c r="A34" s="0" t="s">
        <v>132</v>
      </c>
      <c r="B34" s="0" t="n">
        <f aca="false">MAX(0,MIN(B32,B33))</f>
        <v>1702496.73497545</v>
      </c>
    </row>
    <row r="35" customFormat="false" ht="15" hidden="false" customHeight="false" outlineLevel="0" collapsed="false">
      <c r="A35" s="0" t="s">
        <v>133</v>
      </c>
      <c r="B35" s="0" t="n">
        <f aca="false">B34/(1+B27/100)^L4</f>
        <v>788585.401126063</v>
      </c>
    </row>
    <row r="36" customFormat="false" ht="15" hidden="false" customHeight="false" outlineLevel="0" collapsed="false">
      <c r="A36" s="0" t="s">
        <v>134</v>
      </c>
      <c r="B36" s="0" t="n">
        <f aca="false">B30+B35</f>
        <v>1461967.12401735</v>
      </c>
    </row>
    <row r="37" customFormat="false" ht="15" hidden="false" customHeight="false" outlineLevel="0" collapsed="false">
      <c r="A37" s="0" t="s">
        <v>135</v>
      </c>
      <c r="B37" s="0" t="n">
        <f aca="false">B36+Assumptions!$B$5-Assumptions!$B$4</f>
        <v>1026203.12401735</v>
      </c>
    </row>
    <row r="38" customFormat="false" ht="15" hidden="false" customHeight="false" outlineLevel="0" collapsed="false">
      <c r="A38" s="0" t="s">
        <v>136</v>
      </c>
      <c r="B38" s="0" t="n">
        <f aca="false">B37/Assumptions!$B$3*Assumptions!$B$10</f>
        <v>2586.84931690786</v>
      </c>
    </row>
    <row r="39" customFormat="false" ht="15" hidden="false" customHeight="false" outlineLevel="0" collapsed="false">
      <c r="A39" s="0" t="s">
        <v>137</v>
      </c>
      <c r="B39" s="4" t="n">
        <f aca="false">B38/Assumptions!$B$2-1</f>
        <v>0.29342465845393</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2586.84931690786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944792.144134726</v>
      </c>
    </row>
    <row r="47" customFormat="false" ht="15" hidden="false" customHeight="false" outlineLevel="0" collapsed="false">
      <c r="A47" s="0" t="s">
        <v>142</v>
      </c>
      <c r="B47" s="0" t="n">
        <f aca="false">(SUMPRODUCT(C19:L19/(1+B45/100)^C4:L4)+B46/(1+B45/100)^L4+Assumptions!$B$5-Assumptions!$B$4)/Assumptions!$B$3*Assumptions!$B$10</f>
        <v>705.078836139682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569.285695324206</v>
      </c>
      <c r="C4" s="0" t="n">
        <f aca="false">B4/Assumptions!$B$2-1</f>
        <v>-0.715357152337897</v>
      </c>
      <c r="D4" s="4" t="n">
        <f aca="false">Assumptions!$B$24</f>
        <v>0.25</v>
      </c>
      <c r="E4" s="4" t="n">
        <f aca="false">DCF_Bear!$B$43</f>
        <v>569.285695324206</v>
      </c>
      <c r="F4" s="4" t="n">
        <f aca="false">DCF_Bear!$B$47</f>
        <v>-248.085847139549</v>
      </c>
    </row>
    <row r="5" customFormat="false" ht="15" hidden="false" customHeight="false" outlineLevel="0" collapsed="false">
      <c r="A5" s="0" t="s">
        <v>151</v>
      </c>
      <c r="B5" s="4" t="n">
        <f aca="false">DCF_Base!$B$38</f>
        <v>1487.86252292849</v>
      </c>
      <c r="C5" s="0" t="n">
        <f aca="false">B5/Assumptions!$B$2-1</f>
        <v>-0.256068738535755</v>
      </c>
      <c r="D5" s="4" t="n">
        <f aca="false">Assumptions!$B$38</f>
        <v>0.5</v>
      </c>
      <c r="E5" s="4" t="n">
        <f aca="false">DCF_Base!$B$43</f>
        <v>1487.86252292849</v>
      </c>
      <c r="F5" s="4" t="n">
        <f aca="false">DCF_Base!$B$47</f>
        <v>173.524759904402</v>
      </c>
    </row>
    <row r="6" customFormat="false" ht="15" hidden="false" customHeight="false" outlineLevel="0" collapsed="false">
      <c r="A6" s="0" t="s">
        <v>152</v>
      </c>
      <c r="B6" s="4" t="n">
        <f aca="false">DCF_Bull!$B$38</f>
        <v>2586.84931690786</v>
      </c>
      <c r="C6" s="0" t="n">
        <f aca="false">B6/Assumptions!$B$2-1</f>
        <v>0.29342465845393</v>
      </c>
      <c r="D6" s="4" t="n">
        <f aca="false">Assumptions!$B$52</f>
        <v>0.25</v>
      </c>
      <c r="E6" s="4" t="n">
        <f aca="false">DCF_Bull!$B$43</f>
        <v>2586.84931690786</v>
      </c>
      <c r="F6" s="4" t="n">
        <f aca="false">DCF_Bull!$B$47</f>
        <v>705.078836139682</v>
      </c>
    </row>
    <row r="8" customFormat="false" ht="15" hidden="false" customHeight="false" outlineLevel="0" collapsed="false">
      <c r="A8" s="0" t="s">
        <v>153</v>
      </c>
      <c r="B8" s="0" t="n">
        <f aca="false">SUMPRODUCT(B4:B6,D4:D6)</f>
        <v>1532.96501452226</v>
      </c>
    </row>
    <row r="9" customFormat="false" ht="15" hidden="false" customHeight="false" outlineLevel="0" collapsed="false">
      <c r="A9" s="0" t="s">
        <v>154</v>
      </c>
      <c r="B9" s="0" t="n">
        <f aca="false">SUMPRODUCT(E4:E6,D4:D6)</f>
        <v>1532.96501452226</v>
      </c>
    </row>
    <row r="10" customFormat="false" ht="15" hidden="false" customHeight="false" outlineLevel="0" collapsed="false">
      <c r="A10" s="0" t="s">
        <v>155</v>
      </c>
      <c r="B10" s="0" t="n">
        <f aca="false">1-Assumptions!$B$2/B8</f>
        <v>-0.304661216044312</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201.010627202234</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1487.86252292849</v>
      </c>
      <c r="C15" s="3" t="n">
        <v>8</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1270.26600548381</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983.411753647217</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754.911947132008</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568.795013154557</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173.524759904402</v>
      </c>
      <c r="C20" s="3" t="n">
        <v>15</v>
      </c>
    </row>
    <row r="22" customFormat="false" ht="15" hidden="false" customHeight="false" outlineLevel="0" collapsed="false">
      <c r="A22" s="2" t="s">
        <v>166</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1904.5977594686</v>
      </c>
      <c r="C24" s="0" t="n">
        <f aca="false">(SUMPRODUCT(DCF_Base!$C$19:$L$19/(1+$A$24/100)^DCF_Base!$C$4:$L$4)+MAX(0,MIN(IF($A$24&gt;$C$23,DCF_Base!$L$19*(1+$C$23/100)/(($A$24-$C$23)/100),DCF_Base!$L$19*DCF_Base!$B$29),DCF_Base!$L$19*DCF_Base!$B$29))/(1+$A$24/100)^DCF_Base!$L$4+Assumptions!$B$5-Assumptions!$B$4)/Assumptions!$B$3*Assumptions!$B$10</f>
        <v>1904.5977594686</v>
      </c>
      <c r="D24" s="0" t="n">
        <f aca="false">(SUMPRODUCT(DCF_Base!$C$19:$L$19/(1+$A$24/100)^DCF_Base!$C$4:$L$4)+MAX(0,MIN(IF($A$24&gt;$D$23,DCF_Base!$L$19*(1+$D$23/100)/(($A$24-$D$23)/100),DCF_Base!$L$19*DCF_Base!$B$29),DCF_Base!$L$19*DCF_Base!$B$29))/(1+$A$24/100)^DCF_Base!$L$4+Assumptions!$B$5-Assumptions!$B$4)/Assumptions!$B$3*Assumptions!$B$10</f>
        <v>1904.5977594686</v>
      </c>
      <c r="E24" s="0" t="n">
        <f aca="false">(SUMPRODUCT(DCF_Base!$C$19:$L$19/(1+$A$24/100)^DCF_Base!$C$4:$L$4)+MAX(0,MIN(IF($A$24&gt;$E$23,DCF_Base!$L$19*(1+$E$23/100)/(($A$24-$E$23)/100),DCF_Base!$L$19*DCF_Base!$B$29),DCF_Base!$L$19*DCF_Base!$B$29))/(1+$A$24/100)^DCF_Base!$L$4+Assumptions!$B$5-Assumptions!$B$4)/Assumptions!$B$3*Assumptions!$B$10</f>
        <v>1904.5977594686</v>
      </c>
      <c r="F24" s="0" t="n">
        <f aca="false">(SUMPRODUCT(DCF_Base!$C$19:$L$19/(1+$A$24/100)^DCF_Base!$C$4:$L$4)+MAX(0,MIN(IF($A$24&gt;$F$23,DCF_Base!$L$19*(1+$F$23/100)/(($A$24-$F$23)/100),DCF_Base!$L$19*DCF_Base!$B$29),DCF_Base!$L$19*DCF_Base!$B$29))/(1+$A$24/100)^DCF_Base!$L$4+Assumptions!$B$5-Assumptions!$B$4)/Assumptions!$B$3*Assumptions!$B$10</f>
        <v>1904.5977594686</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1686.46446786658</v>
      </c>
      <c r="C25" s="0" t="n">
        <f aca="false">(SUMPRODUCT(DCF_Base!$C$19:$L$19/(1+$A$25/100)^DCF_Base!$C$4:$L$4)+MAX(0,MIN(IF($A$25&gt;$C$23,DCF_Base!$L$19*(1+$C$23/100)/(($A$25-$C$23)/100),DCF_Base!$L$19*DCF_Base!$B$29),DCF_Base!$L$19*DCF_Base!$B$29))/(1+$A$25/100)^DCF_Base!$L$4+Assumptions!$B$5-Assumptions!$B$4)/Assumptions!$B$3*Assumptions!$B$10</f>
        <v>1686.46446786658</v>
      </c>
      <c r="D25" s="0" t="n">
        <f aca="false">(SUMPRODUCT(DCF_Base!$C$19:$L$19/(1+$A$25/100)^DCF_Base!$C$4:$L$4)+MAX(0,MIN(IF($A$25&gt;$D$23,DCF_Base!$L$19*(1+$D$23/100)/(($A$25-$D$23)/100),DCF_Base!$L$19*DCF_Base!$B$29),DCF_Base!$L$19*DCF_Base!$B$29))/(1+$A$25/100)^DCF_Base!$L$4+Assumptions!$B$5-Assumptions!$B$4)/Assumptions!$B$3*Assumptions!$B$10</f>
        <v>1686.46446786658</v>
      </c>
      <c r="E25" s="0" t="n">
        <f aca="false">(SUMPRODUCT(DCF_Base!$C$19:$L$19/(1+$A$25/100)^DCF_Base!$C$4:$L$4)+MAX(0,MIN(IF($A$25&gt;$E$23,DCF_Base!$L$19*(1+$E$23/100)/(($A$25-$E$23)/100),DCF_Base!$L$19*DCF_Base!$B$29),DCF_Base!$L$19*DCF_Base!$B$29))/(1+$A$25/100)^DCF_Base!$L$4+Assumptions!$B$5-Assumptions!$B$4)/Assumptions!$B$3*Assumptions!$B$10</f>
        <v>1686.46446786658</v>
      </c>
      <c r="F25" s="0" t="n">
        <f aca="false">(SUMPRODUCT(DCF_Base!$C$19:$L$19/(1+$A$25/100)^DCF_Base!$C$4:$L$4)+MAX(0,MIN(IF($A$25&gt;$F$23,DCF_Base!$L$19*(1+$F$23/100)/(($A$25-$F$23)/100),DCF_Base!$L$19*DCF_Base!$B$29),DCF_Base!$L$19*DCF_Base!$B$29))/(1+$A$25/100)^DCF_Base!$L$4+Assumptions!$B$5-Assumptions!$B$4)/Assumptions!$B$3*Assumptions!$B$10</f>
        <v>1686.46446786658</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1434.41127286283</v>
      </c>
      <c r="C26" s="0" t="n">
        <f aca="false">(SUMPRODUCT(DCF_Base!$C$19:$L$19/(1+$A$26/100)^DCF_Base!$C$4:$L$4)+MAX(0,MIN(IF($A$26&gt;$C$23,DCF_Base!$L$19*(1+$C$23/100)/(($A$26-$C$23)/100),DCF_Base!$L$19*DCF_Base!$B$29),DCF_Base!$L$19*DCF_Base!$B$29))/(1+$A$26/100)^DCF_Base!$L$4+Assumptions!$B$5-Assumptions!$B$4)/Assumptions!$B$3*Assumptions!$B$10</f>
        <v>1487.86252292849</v>
      </c>
      <c r="D26" s="0" t="n">
        <f aca="false">(SUMPRODUCT(DCF_Base!$C$19:$L$19/(1+$A$26/100)^DCF_Base!$C$4:$L$4)+MAX(0,MIN(IF($A$26&gt;$D$23,DCF_Base!$L$19*(1+$D$23/100)/(($A$26-$D$23)/100),DCF_Base!$L$19*DCF_Base!$B$29),DCF_Base!$L$19*DCF_Base!$B$29))/(1+$A$26/100)^DCF_Base!$L$4+Assumptions!$B$5-Assumptions!$B$4)/Assumptions!$B$3*Assumptions!$B$10</f>
        <v>1487.86252292849</v>
      </c>
      <c r="E26" s="0" t="n">
        <f aca="false">(SUMPRODUCT(DCF_Base!$C$19:$L$19/(1+$A$26/100)^DCF_Base!$C$4:$L$4)+MAX(0,MIN(IF($A$26&gt;$E$23,DCF_Base!$L$19*(1+$E$23/100)/(($A$26-$E$23)/100),DCF_Base!$L$19*DCF_Base!$B$29),DCF_Base!$L$19*DCF_Base!$B$29))/(1+$A$26/100)^DCF_Base!$L$4+Assumptions!$B$5-Assumptions!$B$4)/Assumptions!$B$3*Assumptions!$B$10</f>
        <v>1487.86252292849</v>
      </c>
      <c r="F26" s="0" t="n">
        <f aca="false">(SUMPRODUCT(DCF_Base!$C$19:$L$19/(1+$A$26/100)^DCF_Base!$C$4:$L$4)+MAX(0,MIN(IF($A$26&gt;$F$23,DCF_Base!$L$19*(1+$F$23/100)/(($A$26-$F$23)/100),DCF_Base!$L$19*DCF_Base!$B$29),DCF_Base!$L$19*DCF_Base!$B$29))/(1+$A$26/100)^DCF_Base!$L$4+Assumptions!$B$5-Assumptions!$B$4)/Assumptions!$B$3*Assumptions!$B$10</f>
        <v>1487.86252292849</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1122.67685289909</v>
      </c>
      <c r="C27" s="0" t="n">
        <f aca="false">(SUMPRODUCT(DCF_Base!$C$19:$L$19/(1+$A$27/100)^DCF_Base!$C$4:$L$4)+MAX(0,MIN(IF($A$27&gt;$C$23,DCF_Base!$L$19*(1+$C$23/100)/(($A$27-$C$23)/100),DCF_Base!$L$19*DCF_Base!$B$29),DCF_Base!$L$19*DCF_Base!$B$29))/(1+$A$27/100)^DCF_Base!$L$4+Assumptions!$B$5-Assumptions!$B$4)/Assumptions!$B$3*Assumptions!$B$10</f>
        <v>1192.13057176249</v>
      </c>
      <c r="D27" s="0" t="n">
        <f aca="false">(SUMPRODUCT(DCF_Base!$C$19:$L$19/(1+$A$27/100)^DCF_Base!$C$4:$L$4)+MAX(0,MIN(IF($A$27&gt;$D$23,DCF_Base!$L$19*(1+$D$23/100)/(($A$27-$D$23)/100),DCF_Base!$L$19*DCF_Base!$B$29),DCF_Base!$L$19*DCF_Base!$B$29))/(1+$A$27/100)^DCF_Base!$L$4+Assumptions!$B$5-Assumptions!$B$4)/Assumptions!$B$3*Assumptions!$B$10</f>
        <v>1270.26600548381</v>
      </c>
      <c r="E27" s="0" t="n">
        <f aca="false">(SUMPRODUCT(DCF_Base!$C$19:$L$19/(1+$A$27/100)^DCF_Base!$C$4:$L$4)+MAX(0,MIN(IF($A$27&gt;$E$23,DCF_Base!$L$19*(1+$E$23/100)/(($A$27-$E$23)/100),DCF_Base!$L$19*DCF_Base!$B$29),DCF_Base!$L$19*DCF_Base!$B$29))/(1+$A$27/100)^DCF_Base!$L$4+Assumptions!$B$5-Assumptions!$B$4)/Assumptions!$B$3*Assumptions!$B$10</f>
        <v>1306.82478639929</v>
      </c>
      <c r="F27" s="0" t="n">
        <f aca="false">(SUMPRODUCT(DCF_Base!$C$19:$L$19/(1+$A$27/100)^DCF_Base!$C$4:$L$4)+MAX(0,MIN(IF($A$27&gt;$F$23,DCF_Base!$L$19*(1+$F$23/100)/(($A$27-$F$23)/100),DCF_Base!$L$19*DCF_Base!$B$29),DCF_Base!$L$19*DCF_Base!$B$29))/(1+$A$27/100)^DCF_Base!$L$4+Assumptions!$B$5-Assumptions!$B$4)/Assumptions!$B$3*Assumptions!$B$10</f>
        <v>1306.82478639929</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874.656876737665</v>
      </c>
      <c r="C28" s="0" t="n">
        <f aca="false">(SUMPRODUCT(DCF_Base!$C$19:$L$19/(1+$A$28/100)^DCF_Base!$C$4:$L$4)+MAX(0,MIN(IF($A$28&gt;$C$23,DCF_Base!$L$19*(1+$C$23/100)/(($A$28-$C$23)/100),DCF_Base!$L$19*DCF_Base!$B$29),DCF_Base!$L$19*DCF_Base!$B$29))/(1+$A$28/100)^DCF_Base!$L$4+Assumptions!$B$5-Assumptions!$B$4)/Assumptions!$B$3*Assumptions!$B$10</f>
        <v>926.172344747452</v>
      </c>
      <c r="D28" s="0" t="n">
        <f aca="false">(SUMPRODUCT(DCF_Base!$C$19:$L$19/(1+$A$28/100)^DCF_Base!$C$4:$L$4)+MAX(0,MIN(IF($A$28&gt;$D$23,DCF_Base!$L$19*(1+$D$23/100)/(($A$28-$D$23)/100),DCF_Base!$L$19*DCF_Base!$B$29),DCF_Base!$L$19*DCF_Base!$B$29))/(1+$A$28/100)^DCF_Base!$L$4+Assumptions!$B$5-Assumptions!$B$4)/Assumptions!$B$3*Assumptions!$B$10</f>
        <v>983.411753647217</v>
      </c>
      <c r="E28" s="0" t="n">
        <f aca="false">(SUMPRODUCT(DCF_Base!$C$19:$L$19/(1+$A$28/100)^DCF_Base!$C$4:$L$4)+MAX(0,MIN(IF($A$28&gt;$E$23,DCF_Base!$L$19*(1+$E$23/100)/(($A$28-$E$23)/100),DCF_Base!$L$19*DCF_Base!$B$29),DCF_Base!$L$19*DCF_Base!$B$29))/(1+$A$28/100)^DCF_Base!$L$4+Assumptions!$B$5-Assumptions!$B$4)/Assumptions!$B$3*Assumptions!$B$10</f>
        <v>1047.38521065284</v>
      </c>
      <c r="F28" s="0" t="n">
        <f aca="false">(SUMPRODUCT(DCF_Base!$C$19:$L$19/(1+$A$28/100)^DCF_Base!$C$4:$L$4)+MAX(0,MIN(IF($A$28&gt;$F$23,DCF_Base!$L$19*(1+$F$23/100)/(($A$28-$F$23)/100),DCF_Base!$L$19*DCF_Base!$B$29),DCF_Base!$L$19*DCF_Base!$B$29))/(1+$A$28/100)^DCF_Base!$L$4+Assumptions!$B$5-Assumptions!$B$4)/Assumptions!$B$3*Assumptions!$B$10</f>
        <v>1119.35534978416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2026-10-31T09:31:29Z</dcterms:created>
  <dc:creator>openpyxl</dc:creator>
  <dc:description/>
  <dc:language>en-NZ</dc:language>
  <cp:lastModifiedBy/>
  <dcterms:modified xsi:type="dcterms:W3CDTF">2026-10-31T09:31:29Z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