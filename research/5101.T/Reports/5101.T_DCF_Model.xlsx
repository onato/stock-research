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<sst xmlns="http://schemas.openxmlformats.org/spreadsheetml/2006/main" count="409" uniqueCount="182">
  <si>
    <t xml:space="preserve">Ticker</t>
  </si>
  <si>
    <t xml:space="preserve">5101.T</t>
  </si>
  <si>
    <t xml:space="preserve">Company</t>
  </si>
  <si>
    <t xml:space="preserve">The Yokohama Rubber Company, Limited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</si>
  <si>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</si>
  <si>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</si>
  <si>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</si>
  <si>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</si>
  <si>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JST, Friday 30 Oct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</si>
  <si>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</si>
  <si>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</si>
  <si>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</si>
  <si>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</si>
  <si>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</si>
  <si>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</si>
  <si>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</si>
  <si>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</si>
  <si>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</si>
  <si>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</si>
  <si>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</si>
  <si>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</si>
  <si>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2026-10-31T06:47:22Z</t>
  </si>
  <si>
    <t xml:space="preserve">Drivers file</t>
  </si>
  <si>
    <t xml:space="preserve">5101.T_Drivers.json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</si>
  <si>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</si>
  <si>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</si>
  <si>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</si>
  <si>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tyre business as a stream of owner FCF after the capex programme and working-capital build that the headline P/E (~9x FY2025) ignores. Business profit, not operating profit or net income, is the anchor because FY2026 reported figures carry a 36bn one-off disposal gain. Risk is charged once, in three probability-weighted scenarios with the same JPY WACC; leases are an operating cost and lease liabilities are not debt; NCI and the non-operating financial assets are bridged once each.
key_risks_to_valuation: Working-capital capture (-40% of revenue growth) and the capex glide (9% -&gt; 6.5%) are the two drivers that convert a 9x P/E into a modest FCF yield; both are judgments on a company that has never shown sustained free-cash conversion at its current scale.; Terminal cap 13x owner FCF binds (Gordon at 7.5%/2% would be 18.5x); the value is sensitive to the cap, not to terminal growth.; USD/JPY: guidance assumes 156; a return to 130-140 removes several points of yen-denominated margin, and the model has no explicit FX driver beyond the bear margin path.; Goodwill of 340bn (30% of equity) on three OHT acquisitions; an impairment would not touch the flows but would mark the acquisitions as overpaid.; Non-current other financial assets (49.6bn) are bridged at book without a yuho breakdown; if they are mostly operating loans/deposits rather than securities the bridge is ~315/share too generous.; FY2026 EPS guidance (744) and H1 net profit (72.6bn) include a 36.2bn pre-tax disposal gain; screens built on reported EPS will overstate the run-rate by ~15%.</t>
  </si>
  <si>
    <t xml:space="preserve">Data sources</t>
  </si>
  <si>
    <t xml:space="preserve">price: Yahoo Finance chart API at inputs.price_as_of (TSE regular close); 52-week range 5,467-8,291.
financials: 5101.T_Metrics.csv (FY2000-H1 FY2026, millions of JPY, IFRS from FY2017); H1 FY2026 tanshin (balance sheet 30 Jun 2026, P&amp;L, cash flow, FY2026 forecast table); FY2025 tanshin (P&amp;L lines 766-772, segment D&amp;A line 1115, cash flow lines 981-1016, share-based payment line 1171); H1-2026 presentation deck (FY2026 key financial targets p18, shareholder return p19, YX2029 pages 21-24).
qualitative: No Analysis JSON exists for this ticker; the scenario axes are drawn from the H1-2026 deck (YX2026 completion / YX2029 grand design, OHT production allocation, capital allocation) and the FY2025 annual narrative.</t>
  </si>
  <si>
    <t xml:space="preserve">Scenario narrative: bear</t>
  </si>
  <si>
    <t xml:space="preserve">Peak-cycle earnings. Yen appreciation, tariffs on Asia-sourced volume, raw-material inflation and a prolonged ag downturn drop EBITDA margin back to 16% (FY2023-24 level) on flat FY2027 revenue. New-plant depreciation and interest on 615bn of gross debt (already up 8.5bn/yr) then land on a smaller profit base; goodwill impairment is the headline risk.</t>
  </si>
  <si>
    <t xml:space="preserve">Scenario narrative: base</t>
  </si>
  <si>
    <t xml:space="preserve">Yokohama's axes are (1) the OHT cycle -- agricultural and OTR tyres via ATG, Trelleborg Wheel Systems and the Feb-2025 Goodyear OTR deal are now ~30% of tyre revenue at above-group margins, and ag demand tracks grain prices; (2) US tariffs and USD/JPY (guidance assumes 156), both of which move the yen P&amp;L of a company with most of its sales outside Japan; (3) raw-material cost versus pricing power in consumer tyres (the ADVAN/GEOLANDAR premium mix); (4) a capex supercycle (9% of revenue: Mexico PCR, India OTR, China) and working capital that absorbs ~40% of revenue growth, which is why FY2025 net income of 105bn became FCF of 23bn; and (5) a balance sheet carrying 468bn net debt and 340bn of acquisition goodwill. Base: guidance for FY2026, GDP-plus growth after, margin eases 1pp to a mid-cycle 19% EBITDA, capex normalises by FY2033.</t>
  </si>
  <si>
    <t xml:space="preserve">Scenario narrative: bull</t>
  </si>
  <si>
    <t xml:space="preserve">YX2029 lands: plants fill, OHT ag recovers, G-OTR integration delivers synergies, yen stays weak and tariffs are priced through. EBITDA margin 21.5%, growth 5-6% for four years, better working-capital discipline. Dividend payout rises from 30% toward the 40-50% the YX2029 capital-allocation page sketches.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</si>
  <si>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</si>
  <si>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</si>
  <si>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</si>
  <si>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</si>
  <si>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</si>
  <si>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</si>
  <si>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</si>
  <si>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</si>
  <si>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</si>
  <si>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</si>
  <si>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</si>
  <si>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</si>
  <si>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</si>
  <si>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</si>
  <si>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</si>
  <si>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</si>
  <si>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</si>
  <si>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</si>
  <si>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</si>
  <si>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</si>
  <si>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</si>
  <si>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</si>
  <si>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</si>
  <si>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</si>
  <si>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</si>
  <si>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</si>
  <si>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</si>
  <si>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BusinessProfit</t>
  </si>
  <si>
    <t xml:space="preserve">FY2000</t>
  </si>
  <si>
    <t xml:space="preserve">FY2001</t>
  </si>
  <si>
    <t xml:space="preserve">FY2002</t>
  </si>
  <si>
    <t xml:space="preserve">FY2003</t>
  </si>
  <si>
    <t xml:space="preserve">FY2004</t>
  </si>
  <si>
    <t xml:space="preserve">FY2005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</si>
  <si>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</si>
  <si>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</si>
  <si>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</si>
  <si>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</si>
  <si>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</si>
  <si>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</si>
  <si>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</si>
  <si>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</si>
  <si>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</si>
  <si>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</si>
  <si>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</si>
  <si>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</si>
  <si>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</si>
  <si>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</si>
  <si>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</si>
  <si>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</si>
  <si>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</si>
  <si>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</si>
  <si>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</si>
  <si>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</si>
  <si>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</si>
  <si>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</si>
  <si>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</si>
  <si>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</si>
  <si>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</si>
  <si>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</si>
  <si>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</si>
  <si>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</si>
  <si>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</si>
  <si>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</si>
  <si>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</si>
  <si>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</si>
  <si>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</si>
  <si>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</si>
  <si>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</si>
  <si>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</si>
  <si>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</si>
  <si>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</si>
  <si>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</si>
  <si>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</si>
  <si>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</si>
  <si>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</si>
  <si>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</si>
  <si>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</si>
  <si>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</si>
  <si>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</si>
  <si>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</si>
  <si>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</si>
  <si>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</si>
  <si>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</si>
  <si>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</si>
  <si>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</si>
  <si>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</si>
  <si>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</si>
  <si>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</si>
  <si>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</si>
  <si>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</si>
  <si>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5101.T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</si>
  <si>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</si>
  <si>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</si>
  <si>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</si>
  <si>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</si>
  <si>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</si>
  <si>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</si>
  <si>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</si>
  <si>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</si>
  <si>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</si>
  <si>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</si>
  <si>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</si>
  <si>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</si>
  <si>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</si>
  <si>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</si>
  <si>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</si>
  <si>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</si>
  <si>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</si>
  <si>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</si>
  <si>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</si>
  <si>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</si>
  <si>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</si>
  <si>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</si>
  <si>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</si>
  <si>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</si>
  <si>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</si>
  <si>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</si>
  <si>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</si>
  <si>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</si>
  <si>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</si>
  <si>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</si>
  <si>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5101.T owner-FCF component DCF: base case (millions, JPY)</t>
  </si>
  <si>
    <t xml:space="preserve">5101.T owner-FCF component DCF: bull case (millions, JPY)</t>
  </si>
  <si>
    <t xml:space="preserve">5101.T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</si>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</sst>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6280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392193</v>
      </c>
      <c r="F2" s="0" t="n">
        <v>19043</v>
      </c>
      <c r="G2" s="0" t="n">
        <v>4.8555</v>
      </c>
      <c r="H2" s="0" t="n">
        <v>40965</v>
      </c>
      <c r="I2" s="0" t="n">
        <v>-9009</v>
      </c>
      <c r="J2" s="0" t="n">
        <v>-2.2971</v>
      </c>
      <c r="K2" s="0" t="n">
        <v>-52.6</v>
      </c>
      <c r="M2" s="0" t="n">
        <v>19470</v>
      </c>
      <c r="O2" s="0" t="n">
        <v>96837</v>
      </c>
      <c r="P2" s="0" t="n">
        <v>425927</v>
      </c>
      <c r="R2" s="0" t="n">
        <v>198930</v>
      </c>
      <c r="T2" s="0" t="n">
        <v>171.2738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387855</v>
      </c>
      <c r="F3" s="0" t="n">
        <v>19845</v>
      </c>
      <c r="G3" s="0" t="n">
        <v>5.1166</v>
      </c>
      <c r="H3" s="0" t="n">
        <v>39928</v>
      </c>
      <c r="I3" s="0" t="n">
        <v>96</v>
      </c>
      <c r="J3" s="0" t="n">
        <v>0.0248</v>
      </c>
      <c r="K3" s="0" t="n">
        <v>0.56</v>
      </c>
      <c r="M3" s="0" t="n">
        <v>18118</v>
      </c>
      <c r="O3" s="0" t="n">
        <v>114205</v>
      </c>
      <c r="P3" s="0" t="n">
        <v>448130</v>
      </c>
      <c r="R3" s="0" t="n">
        <v>191289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399824</v>
      </c>
      <c r="F4" s="0" t="n">
        <v>22701</v>
      </c>
      <c r="G4" s="0" t="n">
        <v>5.6777</v>
      </c>
      <c r="H4" s="0" t="n">
        <v>41948</v>
      </c>
      <c r="I4" s="0" t="n">
        <v>7363</v>
      </c>
      <c r="J4" s="0" t="n">
        <v>1.8416</v>
      </c>
      <c r="K4" s="0" t="n">
        <v>42.64</v>
      </c>
      <c r="M4" s="0" t="n">
        <v>16940</v>
      </c>
      <c r="P4" s="0" t="n">
        <v>437771</v>
      </c>
      <c r="R4" s="0" t="n">
        <v>179098</v>
      </c>
      <c r="T4" s="0" t="n">
        <v>172.6782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400448</v>
      </c>
      <c r="F5" s="0" t="n">
        <v>23184</v>
      </c>
      <c r="G5" s="0" t="n">
        <v>5.7895</v>
      </c>
      <c r="H5" s="0" t="n">
        <v>42224</v>
      </c>
      <c r="I5" s="0" t="n">
        <v>10144</v>
      </c>
      <c r="J5" s="0" t="n">
        <v>2.5332</v>
      </c>
      <c r="K5" s="0" t="n">
        <v>58.76</v>
      </c>
      <c r="M5" s="0" t="n">
        <v>22708</v>
      </c>
      <c r="O5" s="0" t="n">
        <v>114719</v>
      </c>
      <c r="P5" s="0" t="n">
        <v>412626</v>
      </c>
      <c r="R5" s="0" t="n">
        <v>167832</v>
      </c>
      <c r="T5" s="0" t="n">
        <v>172.6344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401718</v>
      </c>
      <c r="F6" s="0" t="n">
        <v>21073</v>
      </c>
      <c r="G6" s="0" t="n">
        <v>5.2457</v>
      </c>
      <c r="H6" s="0" t="n">
        <v>40272</v>
      </c>
      <c r="I6" s="0" t="n">
        <v>10331</v>
      </c>
      <c r="J6" s="0" t="n">
        <v>2.5717</v>
      </c>
      <c r="K6" s="0" t="n">
        <v>59.9</v>
      </c>
      <c r="M6" s="0" t="n">
        <v>23735</v>
      </c>
      <c r="O6" s="0" t="n">
        <v>130622</v>
      </c>
      <c r="P6" s="0" t="n">
        <v>429350</v>
      </c>
      <c r="R6" s="0" t="n">
        <v>159700</v>
      </c>
      <c r="T6" s="0" t="n">
        <v>172.4708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419789</v>
      </c>
      <c r="F7" s="0" t="n">
        <v>20955</v>
      </c>
      <c r="G7" s="0" t="n">
        <v>4.9918</v>
      </c>
      <c r="H7" s="0" t="n">
        <v>40571</v>
      </c>
      <c r="I7" s="0" t="n">
        <v>11322</v>
      </c>
      <c r="J7" s="0" t="n">
        <v>2.6971</v>
      </c>
      <c r="K7" s="0" t="n">
        <v>65.9</v>
      </c>
      <c r="M7" s="0" t="n">
        <v>27533</v>
      </c>
      <c r="O7" s="0" t="n">
        <v>139534</v>
      </c>
      <c r="P7" s="0" t="n">
        <v>432717</v>
      </c>
      <c r="R7" s="0" t="n">
        <v>151758</v>
      </c>
      <c r="T7" s="0" t="n">
        <v>171.8058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451911</v>
      </c>
      <c r="F8" s="0" t="n">
        <v>21947</v>
      </c>
      <c r="G8" s="0" t="n">
        <v>4.8565</v>
      </c>
      <c r="H8" s="0" t="n">
        <v>42438</v>
      </c>
      <c r="I8" s="0" t="n">
        <v>21447</v>
      </c>
      <c r="J8" s="0" t="n">
        <v>4.7458</v>
      </c>
      <c r="K8" s="0" t="n">
        <v>125.5</v>
      </c>
      <c r="M8" s="0" t="n">
        <v>29067</v>
      </c>
      <c r="O8" s="0" t="n">
        <v>174609</v>
      </c>
      <c r="P8" s="0" t="n">
        <v>502014</v>
      </c>
      <c r="R8" s="0" t="n">
        <v>163022</v>
      </c>
      <c r="T8" s="0" t="n">
        <v>170.8924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497396</v>
      </c>
      <c r="F9" s="0" t="n">
        <v>21070</v>
      </c>
      <c r="G9" s="0" t="n">
        <v>4.2361</v>
      </c>
      <c r="H9" s="0" t="n">
        <v>43236</v>
      </c>
      <c r="I9" s="0" t="n">
        <v>16363</v>
      </c>
      <c r="J9" s="0" t="n">
        <v>3.2897</v>
      </c>
      <c r="K9" s="0" t="n">
        <v>97.58</v>
      </c>
      <c r="M9" s="0" t="n">
        <v>40638</v>
      </c>
      <c r="O9" s="0" t="n">
        <v>186528</v>
      </c>
      <c r="P9" s="0" t="n">
        <v>536322</v>
      </c>
      <c r="R9" s="0" t="n">
        <v>167474</v>
      </c>
      <c r="T9" s="0" t="n">
        <v>167.6881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551431</v>
      </c>
      <c r="F10" s="0" t="n">
        <v>33119</v>
      </c>
      <c r="G10" s="0" t="n">
        <v>6.006</v>
      </c>
      <c r="H10" s="0" t="n">
        <v>60357</v>
      </c>
      <c r="I10" s="0" t="n">
        <v>21060</v>
      </c>
      <c r="J10" s="0" t="n">
        <v>3.8192</v>
      </c>
      <c r="K10" s="0" t="n">
        <v>125.62</v>
      </c>
      <c r="M10" s="0" t="n">
        <v>27292</v>
      </c>
      <c r="O10" s="0" t="n">
        <v>181538</v>
      </c>
      <c r="P10" s="0" t="n">
        <v>526192</v>
      </c>
      <c r="R10" s="0" t="n">
        <v>165614</v>
      </c>
      <c r="T10" s="0" t="n">
        <v>167.6485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517263</v>
      </c>
      <c r="F11" s="0" t="n">
        <v>12808</v>
      </c>
      <c r="G11" s="0" t="n">
        <v>2.4761</v>
      </c>
      <c r="H11" s="0" t="n">
        <v>41492</v>
      </c>
      <c r="I11" s="0" t="n">
        <v>-5654</v>
      </c>
      <c r="J11" s="0" t="n">
        <v>-1.0931</v>
      </c>
      <c r="K11" s="0" t="n">
        <v>-33.74</v>
      </c>
      <c r="M11" s="0" t="n">
        <v>43341</v>
      </c>
      <c r="O11" s="0" t="n">
        <v>144159</v>
      </c>
      <c r="P11" s="0" t="n">
        <v>473376</v>
      </c>
      <c r="R11" s="0" t="n">
        <v>179379</v>
      </c>
      <c r="T11" s="0" t="n">
        <v>167.5756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466358</v>
      </c>
      <c r="F12" s="0" t="n">
        <v>21455</v>
      </c>
      <c r="G12" s="0" t="n">
        <v>4.6005</v>
      </c>
      <c r="H12" s="0" t="n">
        <v>49639</v>
      </c>
      <c r="I12" s="0" t="n">
        <v>11487</v>
      </c>
      <c r="J12" s="0" t="n">
        <v>2.4631</v>
      </c>
      <c r="K12" s="0" t="n">
        <v>68.54</v>
      </c>
      <c r="M12" s="0" t="n">
        <v>17471</v>
      </c>
      <c r="O12" s="0" t="n">
        <v>163382</v>
      </c>
      <c r="P12" s="0" t="n">
        <v>466973</v>
      </c>
      <c r="R12" s="0" t="n">
        <v>154675</v>
      </c>
      <c r="T12" s="0" t="n">
        <v>167.5956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519742</v>
      </c>
      <c r="F13" s="0" t="n">
        <v>29491</v>
      </c>
      <c r="G13" s="0" t="n">
        <v>5.6742</v>
      </c>
      <c r="H13" s="0" t="n">
        <v>55376</v>
      </c>
      <c r="I13" s="0" t="n">
        <v>13924</v>
      </c>
      <c r="J13" s="0" t="n">
        <v>2.679</v>
      </c>
      <c r="K13" s="0" t="n">
        <v>83.1</v>
      </c>
      <c r="M13" s="0" t="n">
        <v>24944</v>
      </c>
      <c r="O13" s="0" t="n">
        <v>170872</v>
      </c>
      <c r="P13" s="0" t="n">
        <v>478916</v>
      </c>
      <c r="R13" s="0" t="n">
        <v>146773</v>
      </c>
      <c r="T13" s="0" t="n">
        <v>167.5572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559700</v>
      </c>
      <c r="F14" s="0" t="n">
        <v>49696</v>
      </c>
      <c r="G14" s="0" t="n">
        <v>8.879</v>
      </c>
      <c r="H14" s="0" t="n">
        <v>74703</v>
      </c>
      <c r="I14" s="0" t="n">
        <v>32611</v>
      </c>
      <c r="J14" s="0" t="n">
        <v>5.8265</v>
      </c>
      <c r="K14" s="0" t="n">
        <v>195.74</v>
      </c>
      <c r="M14" s="0" t="n">
        <v>28070</v>
      </c>
      <c r="O14" s="0" t="n">
        <v>211350</v>
      </c>
      <c r="P14" s="0" t="n">
        <v>543829</v>
      </c>
      <c r="R14" s="0" t="n">
        <v>146285</v>
      </c>
      <c r="T14" s="0" t="n">
        <v>166.6037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601630</v>
      </c>
      <c r="F15" s="0" t="n">
        <v>56647</v>
      </c>
      <c r="G15" s="0" t="n">
        <v>9.4156</v>
      </c>
      <c r="H15" s="0" t="n">
        <v>80629</v>
      </c>
      <c r="I15" s="0" t="n">
        <v>35008</v>
      </c>
      <c r="J15" s="0" t="n">
        <v>5.8189</v>
      </c>
      <c r="K15" s="0" t="n">
        <v>216.64</v>
      </c>
      <c r="M15" s="0" t="n">
        <v>33505</v>
      </c>
      <c r="O15" s="0" t="n">
        <v>279021</v>
      </c>
      <c r="P15" s="0" t="n">
        <v>653584</v>
      </c>
      <c r="R15" s="0" t="n">
        <v>175251</v>
      </c>
      <c r="T15" s="0" t="n">
        <v>161.5953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625246</v>
      </c>
      <c r="F16" s="0" t="n">
        <v>59067</v>
      </c>
      <c r="G16" s="0" t="n">
        <v>9.447</v>
      </c>
      <c r="H16" s="0" t="n">
        <v>86506</v>
      </c>
      <c r="I16" s="0" t="n">
        <v>40503</v>
      </c>
      <c r="J16" s="0" t="n">
        <v>6.4779</v>
      </c>
      <c r="K16" s="0" t="n">
        <v>250.68</v>
      </c>
      <c r="M16" s="0" t="n">
        <v>55325</v>
      </c>
      <c r="O16" s="0" t="n">
        <v>330782</v>
      </c>
      <c r="P16" s="0" t="n">
        <v>734512</v>
      </c>
      <c r="R16" s="0" t="n">
        <v>184336</v>
      </c>
      <c r="T16" s="0" t="n">
        <v>161.5725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629856</v>
      </c>
      <c r="F17" s="0" t="n">
        <v>54536</v>
      </c>
      <c r="G17" s="0" t="n">
        <v>8.6585</v>
      </c>
      <c r="H17" s="0" t="n">
        <v>85895</v>
      </c>
      <c r="I17" s="0" t="n">
        <v>36308</v>
      </c>
      <c r="J17" s="0" t="n">
        <v>5.7645</v>
      </c>
      <c r="M17" s="0" t="n">
        <v>50997</v>
      </c>
      <c r="O17" s="0" t="n">
        <v>344689</v>
      </c>
      <c r="P17" s="0" t="n">
        <v>710717</v>
      </c>
      <c r="R17" s="0" t="n">
        <v>190915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596193</v>
      </c>
      <c r="F18" s="0" t="n">
        <v>42317</v>
      </c>
      <c r="G18" s="0" t="n">
        <v>7.0979</v>
      </c>
      <c r="H18" s="0" t="n">
        <v>75520</v>
      </c>
      <c r="I18" s="0" t="n">
        <v>18787</v>
      </c>
      <c r="J18" s="0" t="n">
        <v>3.1512</v>
      </c>
      <c r="K18" s="0" t="n">
        <v>117.17</v>
      </c>
      <c r="M18" s="0" t="n">
        <v>35928</v>
      </c>
      <c r="O18" s="0" t="n">
        <v>355044</v>
      </c>
      <c r="P18" s="0" t="n">
        <v>902990</v>
      </c>
      <c r="R18" s="0" t="n">
        <v>336383</v>
      </c>
      <c r="T18" s="0" t="n">
        <v>160.3397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81</v>
      </c>
      <c r="B19" s="0" t="n">
        <v>646272</v>
      </c>
      <c r="C19" s="0" t="n">
        <v>433234</v>
      </c>
      <c r="D19" s="0" t="n">
        <v>213038</v>
      </c>
      <c r="E19" s="0" t="n">
        <v>32.9641</v>
      </c>
      <c r="F19" s="0" t="n">
        <v>54224</v>
      </c>
      <c r="G19" s="0" t="n">
        <v>8.3903</v>
      </c>
      <c r="H19" s="0" t="n">
        <v>88853</v>
      </c>
      <c r="I19" s="0" t="n">
        <v>39975</v>
      </c>
      <c r="J19" s="0" t="n">
        <v>6.1855</v>
      </c>
      <c r="K19" s="0" t="n">
        <v>249.32</v>
      </c>
      <c r="L19" s="0" t="n">
        <v>60466</v>
      </c>
      <c r="M19" s="0" t="n">
        <v>37409</v>
      </c>
      <c r="N19" s="0" t="n">
        <v>23057</v>
      </c>
      <c r="O19" s="0" t="n">
        <v>379778</v>
      </c>
      <c r="P19" s="0" t="n">
        <v>920776</v>
      </c>
      <c r="Q19" s="0" t="n">
        <v>533024</v>
      </c>
      <c r="R19" s="0" t="n">
        <v>315554</v>
      </c>
      <c r="S19" s="0" t="n">
        <v>58305</v>
      </c>
      <c r="T19" s="0" t="n">
        <v>160.3361</v>
      </c>
      <c r="AA19" s="0" t="s">
        <v>17</v>
      </c>
      <c r="AB19" s="0" t="s">
        <v>14</v>
      </c>
      <c r="AC19" s="0" t="n">
        <v>58265</v>
      </c>
    </row>
    <row r="20" customFormat="false" ht="15" hidden="false" customHeight="false" outlineLevel="0" collapsed="false">
      <c r="A20" s="0" t="s">
        <v>82</v>
      </c>
      <c r="B20" s="0" t="n">
        <v>650239</v>
      </c>
      <c r="C20" s="0" t="n">
        <v>434498</v>
      </c>
      <c r="D20" s="0" t="n">
        <v>215741</v>
      </c>
      <c r="E20" s="0" t="n">
        <v>33.1787</v>
      </c>
      <c r="F20" s="0" t="n">
        <v>53478</v>
      </c>
      <c r="G20" s="0" t="n">
        <v>8.2244</v>
      </c>
      <c r="H20" s="0" t="n">
        <v>90271</v>
      </c>
      <c r="I20" s="0" t="n">
        <v>35623</v>
      </c>
      <c r="J20" s="0" t="n">
        <v>5.4784</v>
      </c>
      <c r="K20" s="0" t="n">
        <v>222.12</v>
      </c>
      <c r="L20" s="0" t="n">
        <v>82821</v>
      </c>
      <c r="M20" s="0" t="n">
        <v>46684</v>
      </c>
      <c r="N20" s="0" t="n">
        <v>36137</v>
      </c>
      <c r="O20" s="0" t="n">
        <v>374027</v>
      </c>
      <c r="P20" s="0" t="n">
        <v>855812</v>
      </c>
      <c r="Q20" s="0" t="n">
        <v>473411</v>
      </c>
      <c r="R20" s="0" t="n">
        <v>260387</v>
      </c>
      <c r="S20" s="0" t="n">
        <v>31745</v>
      </c>
      <c r="T20" s="0" t="n">
        <v>160.3773</v>
      </c>
      <c r="AA20" s="0" t="s">
        <v>17</v>
      </c>
      <c r="AB20" s="0" t="s">
        <v>14</v>
      </c>
      <c r="AC20" s="0" t="n">
        <v>59257</v>
      </c>
    </row>
    <row r="21" customFormat="false" ht="15" hidden="false" customHeight="false" outlineLevel="0" collapsed="false">
      <c r="A21" s="0" t="s">
        <v>83</v>
      </c>
      <c r="B21" s="0" t="n">
        <v>650462</v>
      </c>
      <c r="C21" s="0" t="n">
        <v>441323</v>
      </c>
      <c r="D21" s="0" t="n">
        <v>209139</v>
      </c>
      <c r="E21" s="0" t="n">
        <v>32.1524</v>
      </c>
      <c r="F21" s="0" t="n">
        <v>58564</v>
      </c>
      <c r="G21" s="0" t="n">
        <v>9.0034</v>
      </c>
      <c r="H21" s="0" t="n">
        <v>100946</v>
      </c>
      <c r="I21" s="0" t="n">
        <v>41971</v>
      </c>
      <c r="J21" s="0" t="n">
        <v>6.4525</v>
      </c>
      <c r="K21" s="0" t="n">
        <v>261.61</v>
      </c>
      <c r="L21" s="0" t="n">
        <v>75374</v>
      </c>
      <c r="M21" s="0" t="n">
        <v>50195</v>
      </c>
      <c r="N21" s="0" t="n">
        <v>25179</v>
      </c>
      <c r="O21" s="0" t="n">
        <v>418893</v>
      </c>
      <c r="P21" s="0" t="n">
        <v>907560</v>
      </c>
      <c r="Q21" s="0" t="n">
        <v>479882</v>
      </c>
      <c r="R21" s="0" t="n">
        <v>239870</v>
      </c>
      <c r="S21" s="0" t="n">
        <v>27909</v>
      </c>
      <c r="T21" s="0" t="n">
        <v>160.4335</v>
      </c>
      <c r="AA21" s="0" t="s">
        <v>17</v>
      </c>
      <c r="AB21" s="0" t="s">
        <v>14</v>
      </c>
      <c r="AC21" s="0" t="n">
        <v>50129</v>
      </c>
    </row>
    <row r="22" customFormat="false" ht="15" hidden="false" customHeight="false" outlineLevel="0" collapsed="false">
      <c r="A22" s="0" t="s">
        <v>84</v>
      </c>
      <c r="B22" s="0" t="n">
        <v>551090</v>
      </c>
      <c r="C22" s="0" t="n">
        <v>375642</v>
      </c>
      <c r="D22" s="0" t="n">
        <v>175448</v>
      </c>
      <c r="E22" s="0" t="n">
        <v>31.8365</v>
      </c>
      <c r="F22" s="0" t="n">
        <v>35989</v>
      </c>
      <c r="G22" s="0" t="n">
        <v>6.5305</v>
      </c>
      <c r="H22" s="0" t="n">
        <v>80456</v>
      </c>
      <c r="I22" s="0" t="n">
        <v>26312</v>
      </c>
      <c r="J22" s="0" t="n">
        <v>4.7745</v>
      </c>
      <c r="K22" s="0" t="n">
        <v>163.92</v>
      </c>
      <c r="L22" s="0" t="n">
        <v>78294</v>
      </c>
      <c r="M22" s="0" t="n">
        <v>31281</v>
      </c>
      <c r="N22" s="0" t="n">
        <v>47013</v>
      </c>
      <c r="O22" s="0" t="n">
        <v>415547</v>
      </c>
      <c r="P22" s="0" t="n">
        <v>860372</v>
      </c>
      <c r="Q22" s="0" t="n">
        <v>437510</v>
      </c>
      <c r="R22" s="0" t="n">
        <v>207825</v>
      </c>
      <c r="S22" s="0" t="n">
        <v>30760</v>
      </c>
      <c r="T22" s="0" t="n">
        <v>160.5173</v>
      </c>
      <c r="AA22" s="0" t="s">
        <v>17</v>
      </c>
      <c r="AB22" s="0" t="s">
        <v>14</v>
      </c>
      <c r="AC22" s="0" t="n">
        <v>35875</v>
      </c>
    </row>
    <row r="23" customFormat="false" ht="15" hidden="false" customHeight="false" outlineLevel="0" collapsed="false">
      <c r="A23" s="0" t="s">
        <v>85</v>
      </c>
      <c r="B23" s="0" t="n">
        <v>670809</v>
      </c>
      <c r="C23" s="0" t="n">
        <v>447178</v>
      </c>
      <c r="D23" s="0" t="n">
        <v>223631</v>
      </c>
      <c r="E23" s="0" t="n">
        <v>33.3375</v>
      </c>
      <c r="F23" s="0" t="n">
        <v>83636</v>
      </c>
      <c r="G23" s="0" t="n">
        <v>12.4679</v>
      </c>
      <c r="H23" s="0" t="n">
        <v>129196</v>
      </c>
      <c r="I23" s="0" t="n">
        <v>65500</v>
      </c>
      <c r="J23" s="0" t="n">
        <v>9.7643</v>
      </c>
      <c r="K23" s="0" t="n">
        <v>407.86</v>
      </c>
      <c r="L23" s="0" t="n">
        <v>68303</v>
      </c>
      <c r="M23" s="0" t="n">
        <v>36300</v>
      </c>
      <c r="N23" s="0" t="n">
        <v>32003</v>
      </c>
      <c r="O23" s="0" t="n">
        <v>525312</v>
      </c>
      <c r="P23" s="0" t="n">
        <v>984988</v>
      </c>
      <c r="Q23" s="0" t="n">
        <v>452030</v>
      </c>
      <c r="R23" s="0" t="n">
        <v>177235</v>
      </c>
      <c r="S23" s="0" t="n">
        <v>42523</v>
      </c>
      <c r="T23" s="0" t="n">
        <v>160.5943</v>
      </c>
      <c r="AA23" s="0" t="s">
        <v>17</v>
      </c>
      <c r="AB23" s="0" t="s">
        <v>14</v>
      </c>
      <c r="AC23" s="0" t="n">
        <v>62162</v>
      </c>
    </row>
    <row r="24" customFormat="false" ht="15" hidden="false" customHeight="false" outlineLevel="0" collapsed="false">
      <c r="A24" s="0" t="s">
        <v>86</v>
      </c>
      <c r="B24" s="0" t="n">
        <v>860477</v>
      </c>
      <c r="C24" s="0" t="n">
        <v>572803</v>
      </c>
      <c r="D24" s="0" t="n">
        <v>287674</v>
      </c>
      <c r="E24" s="0" t="n">
        <v>33.4319</v>
      </c>
      <c r="F24" s="0" t="n">
        <v>68851</v>
      </c>
      <c r="G24" s="0" t="n">
        <v>8.0015</v>
      </c>
      <c r="H24" s="0" t="n">
        <v>118765</v>
      </c>
      <c r="I24" s="0" t="n">
        <v>45918</v>
      </c>
      <c r="J24" s="0" t="n">
        <v>5.3363</v>
      </c>
      <c r="K24" s="0" t="n">
        <v>285.8</v>
      </c>
      <c r="L24" s="0" t="n">
        <v>39231</v>
      </c>
      <c r="M24" s="0" t="n">
        <v>54892</v>
      </c>
      <c r="N24" s="0" t="n">
        <v>-15661</v>
      </c>
      <c r="O24" s="0" t="n">
        <v>614424</v>
      </c>
      <c r="P24" s="0" t="n">
        <v>1151076</v>
      </c>
      <c r="Q24" s="0" t="n">
        <v>527955</v>
      </c>
      <c r="R24" s="0" t="n">
        <v>238701</v>
      </c>
      <c r="S24" s="0" t="n">
        <v>75572</v>
      </c>
      <c r="T24" s="0" t="n">
        <v>160.6648</v>
      </c>
      <c r="AA24" s="0" t="s">
        <v>17</v>
      </c>
      <c r="AB24" s="0" t="s">
        <v>14</v>
      </c>
      <c r="AC24" s="0" t="n">
        <v>70089</v>
      </c>
    </row>
    <row r="25" customFormat="false" ht="15" hidden="false" customHeight="false" outlineLevel="0" collapsed="false">
      <c r="A25" s="0" t="s">
        <v>87</v>
      </c>
      <c r="B25" s="0" t="n">
        <v>985333</v>
      </c>
      <c r="C25" s="0" t="n">
        <v>659442</v>
      </c>
      <c r="D25" s="0" t="n">
        <v>325891</v>
      </c>
      <c r="E25" s="0" t="n">
        <v>33.0742</v>
      </c>
      <c r="F25" s="0" t="n">
        <v>100351</v>
      </c>
      <c r="G25" s="0" t="n">
        <v>10.1845</v>
      </c>
      <c r="H25" s="0" t="n">
        <v>159845</v>
      </c>
      <c r="I25" s="0" t="n">
        <v>67234</v>
      </c>
      <c r="J25" s="0" t="n">
        <v>6.8235</v>
      </c>
      <c r="K25" s="0" t="n">
        <v>418.31</v>
      </c>
      <c r="L25" s="0" t="n">
        <v>159741</v>
      </c>
      <c r="M25" s="0" t="n">
        <v>58726</v>
      </c>
      <c r="N25" s="0" t="n">
        <v>101015</v>
      </c>
      <c r="O25" s="0" t="n">
        <v>739565</v>
      </c>
      <c r="P25" s="0" t="n">
        <v>1600458</v>
      </c>
      <c r="Q25" s="0" t="n">
        <v>851663</v>
      </c>
      <c r="R25" s="0" t="n">
        <v>469356</v>
      </c>
      <c r="S25" s="0" t="n">
        <v>97613</v>
      </c>
      <c r="T25" s="0" t="n">
        <v>160.7277</v>
      </c>
      <c r="AA25" s="0" t="s">
        <v>17</v>
      </c>
      <c r="AB25" s="0" t="s">
        <v>14</v>
      </c>
      <c r="AC25" s="0" t="n">
        <v>99127</v>
      </c>
    </row>
    <row r="26" customFormat="false" ht="15" hidden="false" customHeight="false" outlineLevel="0" collapsed="false">
      <c r="A26" s="0" t="s">
        <v>88</v>
      </c>
      <c r="B26" s="0" t="n">
        <v>1094746</v>
      </c>
      <c r="C26" s="0" t="n">
        <v>704995</v>
      </c>
      <c r="D26" s="0" t="n">
        <v>389750</v>
      </c>
      <c r="E26" s="0" t="n">
        <v>35.6019</v>
      </c>
      <c r="F26" s="0" t="n">
        <v>119157</v>
      </c>
      <c r="G26" s="0" t="n">
        <v>10.8844</v>
      </c>
      <c r="H26" s="0" t="n">
        <v>185314</v>
      </c>
      <c r="I26" s="0" t="n">
        <v>74919</v>
      </c>
      <c r="J26" s="0" t="n">
        <v>6.8435</v>
      </c>
      <c r="K26" s="0" t="n">
        <v>466.57</v>
      </c>
      <c r="L26" s="0" t="n">
        <v>94496</v>
      </c>
      <c r="M26" s="0" t="n">
        <v>77790</v>
      </c>
      <c r="N26" s="0" t="n">
        <v>16706</v>
      </c>
      <c r="O26" s="0" t="n">
        <v>893971</v>
      </c>
      <c r="P26" s="0" t="n">
        <v>1735544</v>
      </c>
      <c r="Q26" s="0" t="n">
        <v>831531</v>
      </c>
      <c r="R26" s="0" t="n">
        <v>438022</v>
      </c>
      <c r="S26" s="0" t="n">
        <v>136215</v>
      </c>
      <c r="T26" s="0" t="n">
        <v>160.574</v>
      </c>
      <c r="AA26" s="0" t="s">
        <v>17</v>
      </c>
      <c r="AB26" s="0" t="s">
        <v>14</v>
      </c>
      <c r="AC26" s="0" t="n">
        <v>134379</v>
      </c>
    </row>
    <row r="27" customFormat="false" ht="15" hidden="false" customHeight="false" outlineLevel="0" collapsed="false">
      <c r="A27" s="0" t="s">
        <v>89</v>
      </c>
      <c r="B27" s="0" t="n">
        <v>1234959</v>
      </c>
      <c r="C27" s="0" t="n">
        <v>788154</v>
      </c>
      <c r="D27" s="0" t="n">
        <v>446805</v>
      </c>
      <c r="E27" s="0" t="n">
        <v>36.1797</v>
      </c>
      <c r="F27" s="0" t="n">
        <v>152901</v>
      </c>
      <c r="G27" s="0" t="n">
        <v>12.3811</v>
      </c>
      <c r="H27" s="0" t="n">
        <v>226523</v>
      </c>
      <c r="I27" s="0" t="n">
        <v>105398</v>
      </c>
      <c r="J27" s="0" t="n">
        <v>8.5345</v>
      </c>
      <c r="K27" s="0" t="n">
        <v>666.55</v>
      </c>
      <c r="L27" s="0" t="n">
        <v>135630</v>
      </c>
      <c r="M27" s="0" t="n">
        <v>112284</v>
      </c>
      <c r="N27" s="0" t="n">
        <v>23346</v>
      </c>
      <c r="O27" s="0" t="n">
        <v>1030851</v>
      </c>
      <c r="P27" s="0" t="n">
        <v>1998360</v>
      </c>
      <c r="Q27" s="0" t="n">
        <v>958130</v>
      </c>
      <c r="R27" s="0" t="n">
        <v>535770</v>
      </c>
      <c r="S27" s="0" t="n">
        <v>107391</v>
      </c>
      <c r="T27" s="0" t="n">
        <v>158.1247</v>
      </c>
      <c r="AA27" s="0" t="s">
        <v>17</v>
      </c>
      <c r="AB27" s="0" t="s">
        <v>14</v>
      </c>
      <c r="AC27" s="0" t="n">
        <v>166577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90</v>
      </c>
      <c r="B1" s="2" t="s">
        <v>91</v>
      </c>
    </row>
    <row r="2" customFormat="false" ht="15" hidden="false" customHeight="false" outlineLevel="0" collapsed="false">
      <c r="A2" s="0" t="s">
        <v>92</v>
      </c>
      <c r="B2" s="3" t="n">
        <v>6280</v>
      </c>
    </row>
    <row r="3" customFormat="false" ht="15" hidden="false" customHeight="false" outlineLevel="0" collapsed="false">
      <c r="A3" s="0" t="s">
        <v>93</v>
      </c>
      <c r="B3" s="3" t="n">
        <v>157.723</v>
      </c>
    </row>
    <row r="4" customFormat="false" ht="15" hidden="false" customHeight="false" outlineLevel="0" collapsed="false">
      <c r="A4" s="0" t="s">
        <v>94</v>
      </c>
      <c r="B4" s="3" t="n">
        <v>468163</v>
      </c>
    </row>
    <row r="5" customFormat="false" ht="15" hidden="false" customHeight="false" outlineLevel="0" collapsed="false">
      <c r="A5" s="0" t="s">
        <v>95</v>
      </c>
      <c r="B5" s="3" t="n">
        <v>40606</v>
      </c>
    </row>
    <row r="6" customFormat="false" ht="15" hidden="false" customHeight="false" outlineLevel="0" collapsed="false">
      <c r="A6" s="0" t="s">
        <v>96</v>
      </c>
      <c r="B6" s="3" t="n">
        <v>15</v>
      </c>
    </row>
    <row r="7" customFormat="false" ht="15" hidden="false" customHeight="false" outlineLevel="0" collapsed="false">
      <c r="A7" s="0" t="s">
        <v>97</v>
      </c>
      <c r="B7" s="3" t="n">
        <v>1234959</v>
      </c>
    </row>
    <row r="8" customFormat="false" ht="15" hidden="false" customHeight="false" outlineLevel="0" collapsed="false">
      <c r="A8" s="0" t="s">
        <v>98</v>
      </c>
      <c r="B8" s="3" t="s">
        <v>89</v>
      </c>
    </row>
    <row r="9" customFormat="false" ht="15" hidden="false" customHeight="false" outlineLevel="0" collapsed="false">
      <c r="A9" s="0" t="s">
        <v>99</v>
      </c>
      <c r="B9" s="3" t="s">
        <v>100</v>
      </c>
    </row>
    <row r="10" customFormat="false" ht="15" hidden="false" customHeight="false" outlineLevel="0" collapsed="false">
      <c r="A10" s="0" t="s">
        <v>101</v>
      </c>
      <c r="B10" s="3" t="n">
        <v>1</v>
      </c>
    </row>
    <row r="12" customFormat="false" ht="15" hidden="false" customHeight="false" outlineLevel="0" collapsed="false">
      <c r="A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111</v>
      </c>
      <c r="L12" s="2" t="s">
        <v>112</v>
      </c>
    </row>
    <row r="13" customFormat="false" ht="15" hidden="false" customHeight="false" outlineLevel="0" collapsed="false">
      <c r="A13" s="0" t="s">
        <v>113</v>
      </c>
      <c r="C13" s="3" t="n">
        <v>5</v>
      </c>
      <c r="D13" s="3" t="n">
        <v>0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114</v>
      </c>
      <c r="C14" s="3" t="n">
        <v>19.5</v>
      </c>
      <c r="D14" s="3" t="n">
        <v>17</v>
      </c>
      <c r="E14" s="3" t="n">
        <v>16</v>
      </c>
      <c r="F14" s="3" t="n">
        <v>16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115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116</v>
      </c>
      <c r="C16" s="3" t="n">
        <v>0.85</v>
      </c>
      <c r="D16" s="3" t="n">
        <v>0.85</v>
      </c>
      <c r="E16" s="3" t="n">
        <v>0.85</v>
      </c>
      <c r="F16" s="3" t="n">
        <v>0.85</v>
      </c>
      <c r="G16" s="3" t="n">
        <v>0.85</v>
      </c>
      <c r="H16" s="3" t="n">
        <v>0.85</v>
      </c>
      <c r="I16" s="3" t="n">
        <v>0.85</v>
      </c>
      <c r="J16" s="3" t="n">
        <v>0.85</v>
      </c>
      <c r="K16" s="3" t="n">
        <v>0.85</v>
      </c>
      <c r="L16" s="3" t="n">
        <v>0.85</v>
      </c>
    </row>
    <row r="17" customFormat="false" ht="15" hidden="false" customHeight="false" outlineLevel="0" collapsed="false">
      <c r="A17" s="0" t="s">
        <v>117</v>
      </c>
      <c r="C17" s="3" t="n">
        <v>5.3</v>
      </c>
      <c r="D17" s="3" t="n">
        <v>5.5</v>
      </c>
      <c r="E17" s="3" t="n">
        <v>5.7</v>
      </c>
      <c r="F17" s="3" t="n">
        <v>5.8</v>
      </c>
      <c r="G17" s="3" t="n">
        <v>5.9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118</v>
      </c>
      <c r="C18" s="3" t="n">
        <v>9</v>
      </c>
      <c r="D18" s="3" t="n">
        <v>8</v>
      </c>
      <c r="E18" s="3" t="n">
        <v>7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119</v>
      </c>
      <c r="C19" s="3" t="n">
        <v>32</v>
      </c>
      <c r="D19" s="3" t="n">
        <v>32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120</v>
      </c>
      <c r="B20" s="3" t="n">
        <v>7.5</v>
      </c>
    </row>
    <row r="21" customFormat="false" ht="15" hidden="false" customHeight="false" outlineLevel="0" collapsed="false">
      <c r="A21" s="0" t="s">
        <v>121</v>
      </c>
      <c r="B21" s="3" t="n">
        <v>1.5</v>
      </c>
    </row>
    <row r="22" customFormat="false" ht="15" hidden="false" customHeight="false" outlineLevel="0" collapsed="false">
      <c r="A22" s="0" t="s">
        <v>122</v>
      </c>
      <c r="B22" s="3" t="n">
        <v>12</v>
      </c>
    </row>
    <row r="23" customFormat="false" ht="15" hidden="false" customHeight="false" outlineLevel="0" collapsed="false">
      <c r="A23" s="0" t="s">
        <v>123</v>
      </c>
      <c r="B23" s="3" t="n">
        <v>-45</v>
      </c>
    </row>
    <row r="24" customFormat="false" ht="15" hidden="false" customHeight="false" outlineLevel="0" collapsed="false">
      <c r="A24" s="0" t="s">
        <v>124</v>
      </c>
      <c r="B24" s="3" t="n">
        <v>0.25</v>
      </c>
    </row>
    <row r="26" customFormat="false" ht="15" hidden="false" customHeight="false" outlineLevel="0" collapsed="false">
      <c r="A26" s="2" t="s">
        <v>125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107</v>
      </c>
      <c r="H26" s="2" t="s">
        <v>108</v>
      </c>
      <c r="I26" s="2" t="s">
        <v>109</v>
      </c>
      <c r="J26" s="2" t="s">
        <v>110</v>
      </c>
      <c r="K26" s="2" t="s">
        <v>111</v>
      </c>
      <c r="L26" s="2" t="s">
        <v>112</v>
      </c>
    </row>
    <row r="27" customFormat="false" ht="15" hidden="false" customHeight="false" outlineLevel="0" collapsed="false">
      <c r="A27" s="0" t="s">
        <v>113</v>
      </c>
      <c r="C27" s="3" t="n">
        <v>6.9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114</v>
      </c>
      <c r="C28" s="3" t="n">
        <v>20.2</v>
      </c>
      <c r="D28" s="3" t="n">
        <v>19.8</v>
      </c>
      <c r="E28" s="3" t="n">
        <v>19.5</v>
      </c>
      <c r="F28" s="3" t="n">
        <v>19.2</v>
      </c>
      <c r="G28" s="3" t="n">
        <v>19</v>
      </c>
      <c r="H28" s="3" t="n">
        <v>19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115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116</v>
      </c>
      <c r="C30" s="3" t="n">
        <v>0.85</v>
      </c>
      <c r="D30" s="3" t="n">
        <v>0.85</v>
      </c>
      <c r="E30" s="3" t="n">
        <v>0.85</v>
      </c>
      <c r="F30" s="3" t="n">
        <v>0.85</v>
      </c>
      <c r="G30" s="3" t="n">
        <v>0.85</v>
      </c>
      <c r="H30" s="3" t="n">
        <v>0.85</v>
      </c>
      <c r="I30" s="3" t="n">
        <v>0.85</v>
      </c>
      <c r="J30" s="3" t="n">
        <v>0.85</v>
      </c>
      <c r="K30" s="3" t="n">
        <v>0.85</v>
      </c>
      <c r="L30" s="3" t="n">
        <v>0.85</v>
      </c>
    </row>
    <row r="31" customFormat="false" ht="15" hidden="false" customHeight="false" outlineLevel="0" collapsed="false">
      <c r="A31" s="0" t="s">
        <v>117</v>
      </c>
      <c r="C31" s="3" t="n">
        <v>5.3</v>
      </c>
      <c r="D31" s="3" t="n">
        <v>5.5</v>
      </c>
      <c r="E31" s="3" t="n">
        <v>5.7</v>
      </c>
      <c r="F31" s="3" t="n">
        <v>5.8</v>
      </c>
      <c r="G31" s="3" t="n">
        <v>5.9</v>
      </c>
      <c r="H31" s="3" t="n">
        <v>6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118</v>
      </c>
      <c r="C32" s="3" t="n">
        <v>9</v>
      </c>
      <c r="D32" s="3" t="n">
        <v>8.5</v>
      </c>
      <c r="E32" s="3" t="n">
        <v>8</v>
      </c>
      <c r="F32" s="3" t="n">
        <v>7.5</v>
      </c>
      <c r="G32" s="3" t="n">
        <v>7</v>
      </c>
      <c r="H32" s="3" t="n">
        <v>6.8</v>
      </c>
      <c r="I32" s="3" t="n">
        <v>6.6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119</v>
      </c>
      <c r="C33" s="3" t="n">
        <v>32</v>
      </c>
      <c r="D33" s="3" t="n">
        <v>32</v>
      </c>
      <c r="E33" s="3" t="n">
        <v>32</v>
      </c>
      <c r="F33" s="3" t="n">
        <v>32</v>
      </c>
      <c r="G33" s="3" t="n">
        <v>32</v>
      </c>
      <c r="H33" s="3" t="n">
        <v>32</v>
      </c>
      <c r="I33" s="3" t="n">
        <v>32</v>
      </c>
      <c r="J33" s="3" t="n">
        <v>32</v>
      </c>
      <c r="K33" s="3" t="n">
        <v>32</v>
      </c>
      <c r="L33" s="3" t="n">
        <v>32</v>
      </c>
    </row>
    <row r="34" customFormat="false" ht="15" hidden="false" customHeight="false" outlineLevel="0" collapsed="false">
      <c r="A34" s="0" t="s">
        <v>120</v>
      </c>
      <c r="B34" s="3" t="n">
        <v>7.5</v>
      </c>
    </row>
    <row r="35" customFormat="false" ht="15" hidden="false" customHeight="false" outlineLevel="0" collapsed="false">
      <c r="A35" s="0" t="s">
        <v>121</v>
      </c>
      <c r="B35" s="3" t="n">
        <v>2</v>
      </c>
    </row>
    <row r="36" customFormat="false" ht="15" hidden="false" customHeight="false" outlineLevel="0" collapsed="false">
      <c r="A36" s="0" t="s">
        <v>122</v>
      </c>
      <c r="B36" s="3" t="n">
        <v>13</v>
      </c>
    </row>
    <row r="37" customFormat="false" ht="15" hidden="false" customHeight="false" outlineLevel="0" collapsed="false">
      <c r="A37" s="0" t="s">
        <v>123</v>
      </c>
      <c r="B37" s="3" t="n">
        <v>-40</v>
      </c>
    </row>
    <row r="38" customFormat="false" ht="15" hidden="false" customHeight="false" outlineLevel="0" collapsed="false">
      <c r="A38" s="0" t="s">
        <v>124</v>
      </c>
      <c r="B38" s="3" t="n">
        <v>0.5</v>
      </c>
    </row>
    <row r="40" customFormat="false" ht="15" hidden="false" customHeight="false" outlineLevel="0" collapsed="false">
      <c r="A40" s="2" t="s">
        <v>126</v>
      </c>
      <c r="C40" s="2" t="s">
        <v>103</v>
      </c>
      <c r="D40" s="2" t="s">
        <v>104</v>
      </c>
      <c r="E40" s="2" t="s">
        <v>105</v>
      </c>
      <c r="F40" s="2" t="s">
        <v>106</v>
      </c>
      <c r="G40" s="2" t="s">
        <v>107</v>
      </c>
      <c r="H40" s="2" t="s">
        <v>108</v>
      </c>
      <c r="I40" s="2" t="s">
        <v>109</v>
      </c>
      <c r="J40" s="2" t="s">
        <v>110</v>
      </c>
      <c r="K40" s="2" t="s">
        <v>111</v>
      </c>
      <c r="L40" s="2" t="s">
        <v>112</v>
      </c>
    </row>
    <row r="41" customFormat="false" ht="15" hidden="false" customHeight="false" outlineLevel="0" collapsed="false">
      <c r="A41" s="0" t="s">
        <v>113</v>
      </c>
      <c r="C41" s="3" t="n">
        <v>8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114</v>
      </c>
      <c r="C42" s="3" t="n">
        <v>20.8</v>
      </c>
      <c r="D42" s="3" t="n">
        <v>21</v>
      </c>
      <c r="E42" s="3" t="n">
        <v>21.2</v>
      </c>
      <c r="F42" s="3" t="n">
        <v>21.4</v>
      </c>
      <c r="G42" s="3" t="n">
        <v>21.5</v>
      </c>
      <c r="H42" s="3" t="n">
        <v>21.5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115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116</v>
      </c>
      <c r="C44" s="3" t="n">
        <v>0.85</v>
      </c>
      <c r="D44" s="3" t="n">
        <v>0.85</v>
      </c>
      <c r="E44" s="3" t="n">
        <v>0.85</v>
      </c>
      <c r="F44" s="3" t="n">
        <v>0.85</v>
      </c>
      <c r="G44" s="3" t="n">
        <v>0.85</v>
      </c>
      <c r="H44" s="3" t="n">
        <v>0.85</v>
      </c>
      <c r="I44" s="3" t="n">
        <v>0.85</v>
      </c>
      <c r="J44" s="3" t="n">
        <v>0.85</v>
      </c>
      <c r="K44" s="3" t="n">
        <v>0.85</v>
      </c>
      <c r="L44" s="3" t="n">
        <v>0.85</v>
      </c>
    </row>
    <row r="45" customFormat="false" ht="15" hidden="false" customHeight="false" outlineLevel="0" collapsed="false">
      <c r="A45" s="0" t="s">
        <v>117</v>
      </c>
      <c r="C45" s="3" t="n">
        <v>5.3</v>
      </c>
      <c r="D45" s="3" t="n">
        <v>5.5</v>
      </c>
      <c r="E45" s="3" t="n">
        <v>5.7</v>
      </c>
      <c r="F45" s="3" t="n">
        <v>5.8</v>
      </c>
      <c r="G45" s="3" t="n">
        <v>5.9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118</v>
      </c>
      <c r="C46" s="3" t="n">
        <v>9</v>
      </c>
      <c r="D46" s="3" t="n">
        <v>8.5</v>
      </c>
      <c r="E46" s="3" t="n">
        <v>8</v>
      </c>
      <c r="F46" s="3" t="n">
        <v>7.5</v>
      </c>
      <c r="G46" s="3" t="n">
        <v>7</v>
      </c>
      <c r="H46" s="3" t="n">
        <v>6.8</v>
      </c>
      <c r="I46" s="3" t="n">
        <v>6.6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119</v>
      </c>
      <c r="C47" s="3" t="n">
        <v>32</v>
      </c>
      <c r="D47" s="3" t="n">
        <v>32</v>
      </c>
      <c r="E47" s="3" t="n">
        <v>32</v>
      </c>
      <c r="F47" s="3" t="n">
        <v>32</v>
      </c>
      <c r="G47" s="3" t="n">
        <v>32</v>
      </c>
      <c r="H47" s="3" t="n">
        <v>32</v>
      </c>
      <c r="I47" s="3" t="n">
        <v>32</v>
      </c>
      <c r="J47" s="3" t="n">
        <v>32</v>
      </c>
      <c r="K47" s="3" t="n">
        <v>32</v>
      </c>
      <c r="L47" s="3" t="n">
        <v>32</v>
      </c>
    </row>
    <row r="48" customFormat="false" ht="15" hidden="false" customHeight="false" outlineLevel="0" collapsed="false">
      <c r="A48" s="0" t="s">
        <v>120</v>
      </c>
      <c r="B48" s="3" t="n">
        <v>7.5</v>
      </c>
    </row>
    <row r="49" customFormat="false" ht="15" hidden="false" customHeight="false" outlineLevel="0" collapsed="false">
      <c r="A49" s="0" t="s">
        <v>121</v>
      </c>
      <c r="B49" s="3" t="n">
        <v>2.5</v>
      </c>
    </row>
    <row r="50" customFormat="false" ht="15" hidden="false" customHeight="false" outlineLevel="0" collapsed="false">
      <c r="A50" s="0" t="s">
        <v>122</v>
      </c>
      <c r="B50" s="3" t="n">
        <v>14</v>
      </c>
    </row>
    <row r="51" customFormat="false" ht="15" hidden="false" customHeight="false" outlineLevel="0" collapsed="false">
      <c r="A51" s="0" t="s">
        <v>123</v>
      </c>
      <c r="B51" s="3" t="n">
        <v>-35</v>
      </c>
    </row>
    <row r="52" customFormat="false" ht="15" hidden="false" customHeight="false" outlineLevel="0" collapsed="false">
      <c r="A52" s="0" t="s">
        <v>124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127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Assumptions!C13</f>
        <v>5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1234959</v>
      </c>
      <c r="C6" s="0" t="n">
        <f aca="false">B6*(1+C5/100)</f>
        <v>1296706.95</v>
      </c>
      <c r="D6" s="0" t="n">
        <f aca="false">C6*(1+D5/100)</f>
        <v>1296706.95</v>
      </c>
      <c r="E6" s="0" t="n">
        <f aca="false">D6*(1+E5/100)</f>
        <v>1309674.0195</v>
      </c>
      <c r="F6" s="0" t="n">
        <f aca="false">E6*(1+F5/100)</f>
        <v>1335867.49989</v>
      </c>
      <c r="G6" s="0" t="n">
        <f aca="false">F6*(1+G5/100)</f>
        <v>1369264.18738725</v>
      </c>
      <c r="H6" s="0" t="n">
        <f aca="false">G6*(1+H5/100)</f>
        <v>1403495.79207193</v>
      </c>
      <c r="I6" s="0" t="n">
        <f aca="false">H6*(1+I5/100)</f>
        <v>1431565.70791337</v>
      </c>
      <c r="J6" s="0" t="n">
        <f aca="false">I6*(1+J5/100)</f>
        <v>1460197.02207164</v>
      </c>
      <c r="K6" s="0" t="n">
        <f aca="false">J6*(1+K5/100)</f>
        <v>1489400.96251307</v>
      </c>
      <c r="L6" s="0" t="n">
        <f aca="false">K6*(1+L5/100)</f>
        <v>1519188.98176333</v>
      </c>
    </row>
    <row r="7" customFormat="false" ht="15" hidden="false" customHeight="false" outlineLevel="0" collapsed="false">
      <c r="A7" s="0" t="s">
        <v>114</v>
      </c>
      <c r="C7" s="4" t="n">
        <f aca="false">Assumptions!C14</f>
        <v>19.5</v>
      </c>
      <c r="D7" s="4" t="n">
        <f aca="false">Assumptions!D14</f>
        <v>17</v>
      </c>
      <c r="E7" s="4" t="n">
        <f aca="false">Assumptions!E14</f>
        <v>16</v>
      </c>
      <c r="F7" s="4" t="n">
        <f aca="false">Assumptions!F14</f>
        <v>16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252857.85525</v>
      </c>
      <c r="D8" s="0" t="n">
        <f aca="false">D6*D7/100</f>
        <v>220440.1815</v>
      </c>
      <c r="E8" s="0" t="n">
        <f aca="false">E6*E7/100</f>
        <v>209547.84312</v>
      </c>
      <c r="F8" s="0" t="n">
        <f aca="false">F6*F7/100</f>
        <v>213738.7999824</v>
      </c>
      <c r="G8" s="0" t="n">
        <f aca="false">G6*G7/100</f>
        <v>219082.26998196</v>
      </c>
      <c r="H8" s="0" t="n">
        <f aca="false">H6*H7/100</f>
        <v>224559.326731509</v>
      </c>
      <c r="I8" s="0" t="n">
        <f aca="false">I6*I7/100</f>
        <v>229050.513266139</v>
      </c>
      <c r="J8" s="0" t="n">
        <f aca="false">J6*J7/100</f>
        <v>233631.523531462</v>
      </c>
      <c r="K8" s="0" t="n">
        <f aca="false">K6*K7/100</f>
        <v>238304.154002091</v>
      </c>
      <c r="L8" s="0" t="n">
        <f aca="false">L6*L7/100</f>
        <v>243070.237082133</v>
      </c>
    </row>
    <row r="9" customFormat="false" ht="15" hidden="false" customHeight="false" outlineLevel="0" collapsed="false">
      <c r="A9" s="0" t="s">
        <v>115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-518.68278</v>
      </c>
      <c r="D10" s="0" t="n">
        <f aca="false">-D6*D9/100</f>
        <v>-518.68278</v>
      </c>
      <c r="E10" s="0" t="n">
        <f aca="false">-E6*E9/100</f>
        <v>-523.8696078</v>
      </c>
      <c r="F10" s="0" t="n">
        <f aca="false">-F6*F9/100</f>
        <v>-534.346999956</v>
      </c>
      <c r="G10" s="0" t="n">
        <f aca="false">-G6*G9/100</f>
        <v>-547.7056749549</v>
      </c>
      <c r="H10" s="0" t="n">
        <f aca="false">-H6*H9/100</f>
        <v>-561.398316828772</v>
      </c>
      <c r="I10" s="0" t="n">
        <f aca="false">-I6*I9/100</f>
        <v>-572.626283165348</v>
      </c>
      <c r="J10" s="0" t="n">
        <f aca="false">-J6*J9/100</f>
        <v>-584.078808828655</v>
      </c>
      <c r="K10" s="0" t="n">
        <f aca="false">-K6*K9/100</f>
        <v>-595.760385005228</v>
      </c>
      <c r="L10" s="0" t="n">
        <f aca="false">-L6*L9/100</f>
        <v>-607.675592705332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241317.163395</v>
      </c>
      <c r="D11" s="0" t="n">
        <f aca="false">D8+D10+D24</f>
        <v>208899.489645</v>
      </c>
      <c r="E11" s="0" t="n">
        <f aca="false">E8+E10+E24</f>
        <v>197891.74434645</v>
      </c>
      <c r="F11" s="0" t="n">
        <f aca="false">F8+F10+F24</f>
        <v>201849.579233379</v>
      </c>
      <c r="G11" s="0" t="n">
        <f aca="false">G8+G10+G24</f>
        <v>206895.818714213</v>
      </c>
      <c r="H11" s="0" t="n">
        <f aca="false">H8+H10+H24</f>
        <v>212068.214182069</v>
      </c>
      <c r="I11" s="0" t="n">
        <f aca="false">I8+I10+I24</f>
        <v>216309.57846571</v>
      </c>
      <c r="J11" s="0" t="n">
        <f aca="false">J8+J10+J24</f>
        <v>220635.770035024</v>
      </c>
      <c r="K11" s="0" t="n">
        <f aca="false">K8+K10+K24</f>
        <v>225048.485435725</v>
      </c>
      <c r="L11" s="0" t="n">
        <f aca="false">L8+L10+L24</f>
        <v>229549.455144439</v>
      </c>
    </row>
    <row r="12" customFormat="false" ht="15" hidden="false" customHeight="false" outlineLevel="0" collapsed="false">
      <c r="A12" s="0" t="s">
        <v>132</v>
      </c>
      <c r="C12" s="4" t="n">
        <f aca="false">-C6*Assumptions!C17/100</f>
        <v>-68725.46835</v>
      </c>
      <c r="D12" s="4" t="n">
        <f aca="false">-D6*Assumptions!D17/100</f>
        <v>-71318.88225</v>
      </c>
      <c r="E12" s="4" t="n">
        <f aca="false">-E6*Assumptions!E17/100</f>
        <v>-74651.4191115</v>
      </c>
      <c r="F12" s="4" t="n">
        <f aca="false">-F6*Assumptions!F17/100</f>
        <v>-77480.31499362</v>
      </c>
      <c r="G12" s="4" t="n">
        <f aca="false">-G6*Assumptions!G17/100</f>
        <v>-80786.5870558477</v>
      </c>
      <c r="H12" s="4" t="n">
        <f aca="false">-H6*Assumptions!H17/100</f>
        <v>-84209.7475243158</v>
      </c>
      <c r="I12" s="4" t="n">
        <f aca="false">-I6*Assumptions!I17/100</f>
        <v>-85893.9424748022</v>
      </c>
      <c r="J12" s="4" t="n">
        <f aca="false">-J6*Assumptions!J17/100</f>
        <v>-87611.8213242982</v>
      </c>
      <c r="K12" s="4" t="n">
        <f aca="false">-K6*Assumptions!K17/100</f>
        <v>-89364.0577507842</v>
      </c>
      <c r="L12" s="4" t="n">
        <f aca="false">-L6*Assumptions!L17/100</f>
        <v>-91151.3389057999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172591.695045</v>
      </c>
      <c r="D13" s="0" t="n">
        <f aca="false">D11+D12</f>
        <v>137580.607395</v>
      </c>
      <c r="E13" s="0" t="n">
        <f aca="false">E11+E12</f>
        <v>123240.32523495</v>
      </c>
      <c r="F13" s="0" t="n">
        <f aca="false">F11+F12</f>
        <v>124369.264239759</v>
      </c>
      <c r="G13" s="0" t="n">
        <f aca="false">G11+G12</f>
        <v>126109.231658366</v>
      </c>
      <c r="H13" s="0" t="n">
        <f aca="false">H11+H12</f>
        <v>127858.466657753</v>
      </c>
      <c r="I13" s="0" t="n">
        <f aca="false">I11+I12</f>
        <v>130415.635990908</v>
      </c>
      <c r="J13" s="0" t="n">
        <f aca="false">J11+J12</f>
        <v>133023.948710726</v>
      </c>
      <c r="K13" s="0" t="n">
        <f aca="false">K11+K12</f>
        <v>135684.427684941</v>
      </c>
      <c r="L13" s="0" t="n">
        <f aca="false">L11+L12</f>
        <v>138398.116238639</v>
      </c>
    </row>
    <row r="14" customFormat="false" ht="15" hidden="false" customHeight="false" outlineLevel="0" collapsed="false">
      <c r="A14" s="0" t="s">
        <v>119</v>
      </c>
      <c r="C14" s="4" t="n">
        <f aca="false">Assumptions!C19</f>
        <v>32</v>
      </c>
      <c r="D14" s="4" t="n">
        <f aca="false">Assumptions!D19</f>
        <v>32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117362.3526306</v>
      </c>
      <c r="D15" s="0" t="n">
        <f aca="false">D13-MAX(0,D13)*D14/100</f>
        <v>93554.8130286</v>
      </c>
      <c r="E15" s="0" t="n">
        <f aca="false">E13-MAX(0,E13)*E14/100</f>
        <v>83803.421159766</v>
      </c>
      <c r="F15" s="0" t="n">
        <f aca="false">F13-MAX(0,F13)*F14/100</f>
        <v>84571.0996830361</v>
      </c>
      <c r="G15" s="0" t="n">
        <f aca="false">G13-MAX(0,G13)*G14/100</f>
        <v>85754.2775276887</v>
      </c>
      <c r="H15" s="0" t="n">
        <f aca="false">H13-MAX(0,H13)*H14/100</f>
        <v>86943.757327272</v>
      </c>
      <c r="I15" s="0" t="n">
        <f aca="false">I13-MAX(0,I13)*I14/100</f>
        <v>88682.6324738174</v>
      </c>
      <c r="J15" s="0" t="n">
        <f aca="false">J13-MAX(0,J13)*J14/100</f>
        <v>90456.2851232938</v>
      </c>
      <c r="K15" s="0" t="n">
        <f aca="false">K13-MAX(0,K13)*K14/100</f>
        <v>92265.4108257596</v>
      </c>
      <c r="L15" s="0" t="n">
        <f aca="false">L13-MAX(0,L13)*L14/100</f>
        <v>94110.7190422748</v>
      </c>
    </row>
    <row r="16" customFormat="false" ht="15" hidden="false" customHeight="false" outlineLevel="0" collapsed="false">
      <c r="A16" s="0" t="s">
        <v>135</v>
      </c>
      <c r="C16" s="0" t="n">
        <f aca="false">-C12</f>
        <v>68725.46835</v>
      </c>
      <c r="D16" s="0" t="n">
        <f aca="false">-D12</f>
        <v>71318.88225</v>
      </c>
      <c r="E16" s="0" t="n">
        <f aca="false">-E12</f>
        <v>74651.4191115</v>
      </c>
      <c r="F16" s="0" t="n">
        <f aca="false">-F12</f>
        <v>77480.31499362</v>
      </c>
      <c r="G16" s="0" t="n">
        <f aca="false">-G12</f>
        <v>80786.5870558477</v>
      </c>
      <c r="H16" s="0" t="n">
        <f aca="false">-H12</f>
        <v>84209.7475243158</v>
      </c>
      <c r="I16" s="0" t="n">
        <f aca="false">-I12</f>
        <v>85893.9424748022</v>
      </c>
      <c r="J16" s="0" t="n">
        <f aca="false">-J12</f>
        <v>87611.8213242982</v>
      </c>
      <c r="K16" s="0" t="n">
        <f aca="false">-K12</f>
        <v>89364.0577507842</v>
      </c>
      <c r="L16" s="0" t="n">
        <f aca="false">-L12</f>
        <v>91151.3389057999</v>
      </c>
    </row>
    <row r="17" customFormat="false" ht="15" hidden="false" customHeight="false" outlineLevel="0" collapsed="false">
      <c r="A17" s="0" t="s">
        <v>136</v>
      </c>
      <c r="C17" s="4" t="n">
        <f aca="false">-C6*Assumptions!C18/100</f>
        <v>-116703.6255</v>
      </c>
      <c r="D17" s="4" t="n">
        <f aca="false">-D6*Assumptions!D18/100</f>
        <v>-103736.556</v>
      </c>
      <c r="E17" s="4" t="n">
        <f aca="false">-E6*Assumptions!E18/100</f>
        <v>-91677.181365</v>
      </c>
      <c r="F17" s="4" t="n">
        <f aca="false">-F6*Assumptions!F18/100</f>
        <v>-86831.38749285</v>
      </c>
      <c r="G17" s="4" t="n">
        <f aca="false">-G6*Assumptions!G18/100</f>
        <v>-89002.1721801712</v>
      </c>
      <c r="H17" s="4" t="n">
        <f aca="false">-H6*Assumptions!H18/100</f>
        <v>-91227.2264846755</v>
      </c>
      <c r="I17" s="4" t="n">
        <f aca="false">-I6*Assumptions!I18/100</f>
        <v>-93051.771014369</v>
      </c>
      <c r="J17" s="4" t="n">
        <f aca="false">-J6*Assumptions!J18/100</f>
        <v>-94912.8064346564</v>
      </c>
      <c r="K17" s="4" t="n">
        <f aca="false">-K6*Assumptions!K18/100</f>
        <v>-96811.0625633495</v>
      </c>
      <c r="L17" s="4" t="n">
        <f aca="false">-L6*Assumptions!L18/100</f>
        <v>-98747.2838146165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(C6-B6)*Assumptions!$B$23/100</f>
        <v>-27786.5775</v>
      </c>
      <c r="D18" s="4" t="n">
        <f aca="false">(D6-C6)*Assumptions!$B$23/100</f>
        <v>-0</v>
      </c>
      <c r="E18" s="4" t="n">
        <f aca="false">(E6-D6)*Assumptions!$B$23/100</f>
        <v>-5835.18127499999</v>
      </c>
      <c r="F18" s="4" t="n">
        <f aca="false">(F6-E6)*Assumptions!$B$23/100</f>
        <v>-11787.0661755</v>
      </c>
      <c r="G18" s="4" t="n">
        <f aca="false">(G6-F6)*Assumptions!$B$23/100</f>
        <v>-15028.5093737624</v>
      </c>
      <c r="H18" s="4" t="n">
        <f aca="false">(H6-G6)*Assumptions!$B$23/100</f>
        <v>-15404.2221081065</v>
      </c>
      <c r="I18" s="4" t="n">
        <f aca="false">(I6-H6)*Assumptions!$B$23/100</f>
        <v>-12631.4621286474</v>
      </c>
      <c r="J18" s="4" t="n">
        <f aca="false">(J6-I6)*Assumptions!$B$23/100</f>
        <v>-12884.0913712203</v>
      </c>
      <c r="K18" s="4" t="n">
        <f aca="false">(K6-J6)*Assumptions!$B$23/100</f>
        <v>-13141.7731986448</v>
      </c>
      <c r="L18" s="4" t="n">
        <f aca="false">(L6-K6)*Assumptions!$B$23/100</f>
        <v>-13404.6086626176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41597.6179806</v>
      </c>
      <c r="D19" s="0" t="n">
        <f aca="false">D15+D16+D17+D18</f>
        <v>61137.1392786</v>
      </c>
      <c r="E19" s="0" t="n">
        <f aca="false">E15+E16+E17+E18</f>
        <v>60942.477631266</v>
      </c>
      <c r="F19" s="0" t="n">
        <f aca="false">F15+F16+F17+F18</f>
        <v>63432.9610083061</v>
      </c>
      <c r="G19" s="0" t="n">
        <f aca="false">G15+G16+G17+G18</f>
        <v>62510.1830296028</v>
      </c>
      <c r="H19" s="0" t="n">
        <f aca="false">H15+H16+H17+H18</f>
        <v>64522.0562588058</v>
      </c>
      <c r="I19" s="0" t="n">
        <f aca="false">I15+I16+I17+I18</f>
        <v>68893.3418056032</v>
      </c>
      <c r="J19" s="0" t="n">
        <f aca="false">J15+J16+J17+J18</f>
        <v>70271.2086417153</v>
      </c>
      <c r="K19" s="0" t="n">
        <f aca="false">K15+K16+K17+K18</f>
        <v>71676.6328145495</v>
      </c>
      <c r="L19" s="0" t="n">
        <f aca="false">L15+L16+L17+L18</f>
        <v>73110.1654708406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38695.4585866047</v>
      </c>
      <c r="D21" s="0" t="n">
        <f aca="false">D19*D20</f>
        <v>52903.9604357815</v>
      </c>
      <c r="E21" s="0" t="n">
        <f aca="false">E19*E20</f>
        <v>49056.2915013901</v>
      </c>
      <c r="F21" s="0" t="n">
        <f aca="false">F19*F20</f>
        <v>47498.6348083037</v>
      </c>
      <c r="G21" s="0" t="n">
        <f aca="false">G19*G20</f>
        <v>43542.0075990555</v>
      </c>
      <c r="H21" s="0" t="n">
        <f aca="false">H19*H20</f>
        <v>41807.8095479544</v>
      </c>
      <c r="I21" s="0" t="n">
        <f aca="false">I19*I20</f>
        <v>41525.7994125603</v>
      </c>
      <c r="J21" s="0" t="n">
        <f aca="false">J19*J20</f>
        <v>39401.2236286619</v>
      </c>
      <c r="K21" s="0" t="n">
        <f aca="false">K19*K20</f>
        <v>37385.3470709164</v>
      </c>
      <c r="L21" s="0" t="n">
        <f aca="false">L19*L20</f>
        <v>35472.6083835672</v>
      </c>
    </row>
    <row r="23" customFormat="false" ht="15" hidden="false" customHeight="false" outlineLevel="0" collapsed="false">
      <c r="A23" s="0" t="s">
        <v>116</v>
      </c>
      <c r="C23" s="4" t="n">
        <f aca="false">Assumptions!C16</f>
        <v>0.85</v>
      </c>
      <c r="D23" s="4" t="n">
        <f aca="false">Assumptions!D16</f>
        <v>0.85</v>
      </c>
      <c r="E23" s="4" t="n">
        <f aca="false">Assumptions!E16</f>
        <v>0.85</v>
      </c>
      <c r="F23" s="4" t="n">
        <f aca="false">Assumptions!F16</f>
        <v>0.85</v>
      </c>
      <c r="G23" s="4" t="n">
        <f aca="false">Assumptions!G16</f>
        <v>0.85</v>
      </c>
      <c r="H23" s="4" t="n">
        <f aca="false">Assumptions!H16</f>
        <v>0.85</v>
      </c>
      <c r="I23" s="4" t="n">
        <f aca="false">Assumptions!I16</f>
        <v>0.85</v>
      </c>
      <c r="J23" s="4" t="n">
        <f aca="false">Assumptions!J16</f>
        <v>0.85</v>
      </c>
      <c r="K23" s="4" t="n">
        <f aca="false">Assumptions!K16</f>
        <v>0.85</v>
      </c>
      <c r="L23" s="4" t="n">
        <f aca="false">Assumptions!L16</f>
        <v>0.85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-11022.009075</v>
      </c>
      <c r="D24" s="0" t="n">
        <f aca="false">-D6*D23/100</f>
        <v>-11022.009075</v>
      </c>
      <c r="E24" s="0" t="n">
        <f aca="false">-E6*E23/100</f>
        <v>-11132.22916575</v>
      </c>
      <c r="F24" s="0" t="n">
        <f aca="false">-F6*F23/100</f>
        <v>-11354.873749065</v>
      </c>
      <c r="G24" s="0" t="n">
        <f aca="false">-G6*G23/100</f>
        <v>-11638.7455927916</v>
      </c>
      <c r="H24" s="0" t="n">
        <f aca="false">-H6*H23/100</f>
        <v>-11929.7142326114</v>
      </c>
      <c r="I24" s="0" t="n">
        <f aca="false">-I6*I23/100</f>
        <v>-12168.3085172636</v>
      </c>
      <c r="J24" s="0" t="n">
        <f aca="false">-J6*J23/100</f>
        <v>-12411.6746876089</v>
      </c>
      <c r="K24" s="0" t="n">
        <f aca="false">-K6*K23/100</f>
        <v>-12659.9081813611</v>
      </c>
      <c r="L24" s="0" t="n">
        <f aca="false">-L6*L23/100</f>
        <v>-12913.1063449883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121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122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427289.140974796</v>
      </c>
    </row>
    <row r="31" customFormat="false" ht="15" hidden="false" customHeight="false" outlineLevel="0" collapsed="false">
      <c r="A31" s="0" t="s">
        <v>144</v>
      </c>
      <c r="B31" s="0" t="n">
        <f aca="false">L19</f>
        <v>73110.1654708406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1236780.29921505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877321.985650087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877321.985650087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425671.300602807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852960.441577603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425403.441577603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2697.15540268447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-0.570516655623492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3776.64292019088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4987.71859294976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2752.72346513028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549680.132984468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84.6154169459849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Assumptions!C27</f>
        <v>6.9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1234959</v>
      </c>
      <c r="C6" s="0" t="n">
        <f aca="false">B6*(1+C5/100)</f>
        <v>1320171.171</v>
      </c>
      <c r="D6" s="0" t="n">
        <f aca="false">C6*(1+D5/100)</f>
        <v>1379578.873695</v>
      </c>
      <c r="E6" s="0" t="n">
        <f aca="false">D6*(1+E5/100)</f>
        <v>1434762.0286428</v>
      </c>
      <c r="F6" s="0" t="n">
        <f aca="false">E6*(1+F5/100)</f>
        <v>1492152.50978851</v>
      </c>
      <c r="G6" s="0" t="n">
        <f aca="false">F6*(1+G5/100)</f>
        <v>1544377.84763111</v>
      </c>
      <c r="H6" s="0" t="n">
        <f aca="false">G6*(1+H5/100)</f>
        <v>1590709.18306004</v>
      </c>
      <c r="I6" s="0" t="n">
        <f aca="false">H6*(1+I5/100)</f>
        <v>1638430.45855184</v>
      </c>
      <c r="J6" s="0" t="n">
        <f aca="false">I6*(1+J5/100)</f>
        <v>1679391.22001564</v>
      </c>
      <c r="K6" s="0" t="n">
        <f aca="false">J6*(1+K5/100)</f>
        <v>1721376.00051603</v>
      </c>
      <c r="L6" s="0" t="n">
        <f aca="false">K6*(1+L5/100)</f>
        <v>1764410.40052893</v>
      </c>
    </row>
    <row r="7" customFormat="false" ht="15" hidden="false" customHeight="false" outlineLevel="0" collapsed="false">
      <c r="A7" s="0" t="s">
        <v>114</v>
      </c>
      <c r="C7" s="4" t="n">
        <f aca="false">Assumptions!C28</f>
        <v>20.2</v>
      </c>
      <c r="D7" s="4" t="n">
        <f aca="false">Assumptions!D28</f>
        <v>19.8</v>
      </c>
      <c r="E7" s="4" t="n">
        <f aca="false">Assumptions!E28</f>
        <v>19.5</v>
      </c>
      <c r="F7" s="4" t="n">
        <f aca="false">Assumptions!F28</f>
        <v>19.2</v>
      </c>
      <c r="G7" s="4" t="n">
        <f aca="false">Assumptions!G28</f>
        <v>19</v>
      </c>
      <c r="H7" s="4" t="n">
        <f aca="false">Assumptions!H28</f>
        <v>19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266674.576542</v>
      </c>
      <c r="D8" s="0" t="n">
        <f aca="false">D6*D7/100</f>
        <v>273156.61699161</v>
      </c>
      <c r="E8" s="0" t="n">
        <f aca="false">E6*E7/100</f>
        <v>279778.595585346</v>
      </c>
      <c r="F8" s="0" t="n">
        <f aca="false">F6*F7/100</f>
        <v>286493.281879394</v>
      </c>
      <c r="G8" s="0" t="n">
        <f aca="false">G6*G7/100</f>
        <v>293431.791049911</v>
      </c>
      <c r="H8" s="0" t="n">
        <f aca="false">H6*H7/100</f>
        <v>302234.744781408</v>
      </c>
      <c r="I8" s="0" t="n">
        <f aca="false">I6*I7/100</f>
        <v>311301.78712485</v>
      </c>
      <c r="J8" s="0" t="n">
        <f aca="false">J6*J7/100</f>
        <v>319084.331802972</v>
      </c>
      <c r="K8" s="0" t="n">
        <f aca="false">K6*K7/100</f>
        <v>327061.440098046</v>
      </c>
      <c r="L8" s="0" t="n">
        <f aca="false">L6*L7/100</f>
        <v>335237.976100497</v>
      </c>
    </row>
    <row r="9" customFormat="false" ht="15" hidden="false" customHeight="false" outlineLevel="0" collapsed="false">
      <c r="A9" s="0" t="s">
        <v>115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-528.0684684</v>
      </c>
      <c r="D10" s="0" t="n">
        <f aca="false">-D6*D9/100</f>
        <v>-551.831549478</v>
      </c>
      <c r="E10" s="0" t="n">
        <f aca="false">-E6*E9/100</f>
        <v>-573.90481145712</v>
      </c>
      <c r="F10" s="0" t="n">
        <f aca="false">-F6*F9/100</f>
        <v>-596.861003915405</v>
      </c>
      <c r="G10" s="0" t="n">
        <f aca="false">-G6*G9/100</f>
        <v>-617.751139052444</v>
      </c>
      <c r="H10" s="0" t="n">
        <f aca="false">-H6*H9/100</f>
        <v>-636.283673224017</v>
      </c>
      <c r="I10" s="0" t="n">
        <f aca="false">-I6*I9/100</f>
        <v>-655.372183420738</v>
      </c>
      <c r="J10" s="0" t="n">
        <f aca="false">-J6*J9/100</f>
        <v>-671.756488006256</v>
      </c>
      <c r="K10" s="0" t="n">
        <f aca="false">-K6*K9/100</f>
        <v>-688.550400206413</v>
      </c>
      <c r="L10" s="0" t="n">
        <f aca="false">-L6*L9/100</f>
        <v>-705.764160211573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254925.0531201</v>
      </c>
      <c r="D11" s="0" t="n">
        <f aca="false">D8+D10+D24</f>
        <v>260878.365015724</v>
      </c>
      <c r="E11" s="0" t="n">
        <f aca="false">E8+E10+E24</f>
        <v>267009.213530425</v>
      </c>
      <c r="F11" s="0" t="n">
        <f aca="false">F8+F10+F24</f>
        <v>273213.124542277</v>
      </c>
      <c r="G11" s="0" t="n">
        <f aca="false">G8+G10+G24</f>
        <v>279686.828205994</v>
      </c>
      <c r="H11" s="0" t="n">
        <f aca="false">H8+H10+H24</f>
        <v>288077.433052174</v>
      </c>
      <c r="I11" s="0" t="n">
        <f aca="false">I8+I10+I24</f>
        <v>296719.756043739</v>
      </c>
      <c r="J11" s="0" t="n">
        <f aca="false">J8+J10+J24</f>
        <v>304137.749944833</v>
      </c>
      <c r="K11" s="0" t="n">
        <f aca="false">K8+K10+K24</f>
        <v>311741.193693453</v>
      </c>
      <c r="L11" s="0" t="n">
        <f aca="false">L8+L10+L24</f>
        <v>319534.72353579</v>
      </c>
    </row>
    <row r="12" customFormat="false" ht="15" hidden="false" customHeight="false" outlineLevel="0" collapsed="false">
      <c r="A12" s="0" t="s">
        <v>132</v>
      </c>
      <c r="C12" s="4" t="n">
        <f aca="false">-C6*Assumptions!C31/100</f>
        <v>-69969.072063</v>
      </c>
      <c r="D12" s="4" t="n">
        <f aca="false">-D6*Assumptions!D31/100</f>
        <v>-75876.838053225</v>
      </c>
      <c r="E12" s="4" t="n">
        <f aca="false">-E6*Assumptions!E31/100</f>
        <v>-81781.4356326396</v>
      </c>
      <c r="F12" s="4" t="n">
        <f aca="false">-F6*Assumptions!F31/100</f>
        <v>-86544.8455677337</v>
      </c>
      <c r="G12" s="4" t="n">
        <f aca="false">-G6*Assumptions!G31/100</f>
        <v>-91118.2930102355</v>
      </c>
      <c r="H12" s="4" t="n">
        <f aca="false">-H6*Assumptions!H31/100</f>
        <v>-95442.5509836026</v>
      </c>
      <c r="I12" s="4" t="n">
        <f aca="false">-I6*Assumptions!I31/100</f>
        <v>-98305.8275131107</v>
      </c>
      <c r="J12" s="4" t="n">
        <f aca="false">-J6*Assumptions!J31/100</f>
        <v>-100763.473200938</v>
      </c>
      <c r="K12" s="4" t="n">
        <f aca="false">-K6*Assumptions!K31/100</f>
        <v>-103282.560030962</v>
      </c>
      <c r="L12" s="4" t="n">
        <f aca="false">-L6*Assumptions!L31/100</f>
        <v>-105864.624031736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184955.9810571</v>
      </c>
      <c r="D13" s="0" t="n">
        <f aca="false">D11+D12</f>
        <v>185001.526962499</v>
      </c>
      <c r="E13" s="0" t="n">
        <f aca="false">E11+E12</f>
        <v>185227.777897785</v>
      </c>
      <c r="F13" s="0" t="n">
        <f aca="false">F11+F12</f>
        <v>186668.278974543</v>
      </c>
      <c r="G13" s="0" t="n">
        <f aca="false">G11+G12</f>
        <v>188568.535195759</v>
      </c>
      <c r="H13" s="0" t="n">
        <f aca="false">H11+H12</f>
        <v>192634.882068571</v>
      </c>
      <c r="I13" s="0" t="n">
        <f aca="false">I11+I12</f>
        <v>198413.928530628</v>
      </c>
      <c r="J13" s="0" t="n">
        <f aca="false">J11+J12</f>
        <v>203374.276743894</v>
      </c>
      <c r="K13" s="0" t="n">
        <f aca="false">K11+K12</f>
        <v>208458.633662491</v>
      </c>
      <c r="L13" s="0" t="n">
        <f aca="false">L11+L12</f>
        <v>213670.099504054</v>
      </c>
    </row>
    <row r="14" customFormat="false" ht="15" hidden="false" customHeight="false" outlineLevel="0" collapsed="false">
      <c r="A14" s="0" t="s">
        <v>119</v>
      </c>
      <c r="C14" s="4" t="n">
        <f aca="false">Assumptions!C33</f>
        <v>32</v>
      </c>
      <c r="D14" s="4" t="n">
        <f aca="false">Assumptions!D33</f>
        <v>32</v>
      </c>
      <c r="E14" s="4" t="n">
        <f aca="false">Assumptions!E33</f>
        <v>32</v>
      </c>
      <c r="F14" s="4" t="n">
        <f aca="false">Assumptions!F33</f>
        <v>32</v>
      </c>
      <c r="G14" s="4" t="n">
        <f aca="false">Assumptions!G33</f>
        <v>32</v>
      </c>
      <c r="H14" s="4" t="n">
        <f aca="false">Assumptions!H33</f>
        <v>32</v>
      </c>
      <c r="I14" s="4" t="n">
        <f aca="false">Assumptions!I33</f>
        <v>32</v>
      </c>
      <c r="J14" s="4" t="n">
        <f aca="false">Assumptions!J33</f>
        <v>32</v>
      </c>
      <c r="K14" s="4" t="n">
        <f aca="false">Assumptions!K33</f>
        <v>32</v>
      </c>
      <c r="L14" s="4" t="n">
        <f aca="false">Assumptions!L33</f>
        <v>32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125770.067118828</v>
      </c>
      <c r="D15" s="0" t="n">
        <f aca="false">D13-MAX(0,D13)*D14/100</f>
        <v>125801.0383345</v>
      </c>
      <c r="E15" s="0" t="n">
        <f aca="false">E13-MAX(0,E13)*E14/100</f>
        <v>125954.888970494</v>
      </c>
      <c r="F15" s="0" t="n">
        <f aca="false">F13-MAX(0,F13)*F14/100</f>
        <v>126934.429702689</v>
      </c>
      <c r="G15" s="0" t="n">
        <f aca="false">G13-MAX(0,G13)*G14/100</f>
        <v>128226.603933116</v>
      </c>
      <c r="H15" s="0" t="n">
        <f aca="false">H13-MAX(0,H13)*H14/100</f>
        <v>130991.719806628</v>
      </c>
      <c r="I15" s="0" t="n">
        <f aca="false">I13-MAX(0,I13)*I14/100</f>
        <v>134921.471400827</v>
      </c>
      <c r="J15" s="0" t="n">
        <f aca="false">J13-MAX(0,J13)*J14/100</f>
        <v>138294.508185848</v>
      </c>
      <c r="K15" s="0" t="n">
        <f aca="false">K13-MAX(0,K13)*K14/100</f>
        <v>141751.870890494</v>
      </c>
      <c r="L15" s="0" t="n">
        <f aca="false">L13-MAX(0,L13)*L14/100</f>
        <v>145295.667662757</v>
      </c>
    </row>
    <row r="16" customFormat="false" ht="15" hidden="false" customHeight="false" outlineLevel="0" collapsed="false">
      <c r="A16" s="0" t="s">
        <v>135</v>
      </c>
      <c r="C16" s="0" t="n">
        <f aca="false">-C12</f>
        <v>69969.072063</v>
      </c>
      <c r="D16" s="0" t="n">
        <f aca="false">-D12</f>
        <v>75876.838053225</v>
      </c>
      <c r="E16" s="0" t="n">
        <f aca="false">-E12</f>
        <v>81781.4356326396</v>
      </c>
      <c r="F16" s="0" t="n">
        <f aca="false">-F12</f>
        <v>86544.8455677337</v>
      </c>
      <c r="G16" s="0" t="n">
        <f aca="false">-G12</f>
        <v>91118.2930102355</v>
      </c>
      <c r="H16" s="0" t="n">
        <f aca="false">-H12</f>
        <v>95442.5509836026</v>
      </c>
      <c r="I16" s="0" t="n">
        <f aca="false">-I12</f>
        <v>98305.8275131107</v>
      </c>
      <c r="J16" s="0" t="n">
        <f aca="false">-J12</f>
        <v>100763.473200938</v>
      </c>
      <c r="K16" s="0" t="n">
        <f aca="false">-K12</f>
        <v>103282.560030962</v>
      </c>
      <c r="L16" s="0" t="n">
        <f aca="false">-L12</f>
        <v>105864.624031736</v>
      </c>
    </row>
    <row r="17" customFormat="false" ht="15" hidden="false" customHeight="false" outlineLevel="0" collapsed="false">
      <c r="A17" s="0" t="s">
        <v>136</v>
      </c>
      <c r="C17" s="4" t="n">
        <f aca="false">-C6*Assumptions!C32/100</f>
        <v>-118815.40539</v>
      </c>
      <c r="D17" s="4" t="n">
        <f aca="false">-D6*Assumptions!D32/100</f>
        <v>-117264.204264075</v>
      </c>
      <c r="E17" s="4" t="n">
        <f aca="false">-E6*Assumptions!E32/100</f>
        <v>-114780.962291424</v>
      </c>
      <c r="F17" s="4" t="n">
        <f aca="false">-F6*Assumptions!F32/100</f>
        <v>-111911.438234138</v>
      </c>
      <c r="G17" s="4" t="n">
        <f aca="false">-G6*Assumptions!G32/100</f>
        <v>-108106.449334178</v>
      </c>
      <c r="H17" s="4" t="n">
        <f aca="false">-H6*Assumptions!H32/100</f>
        <v>-108168.224448083</v>
      </c>
      <c r="I17" s="4" t="n">
        <f aca="false">-I6*Assumptions!I32/100</f>
        <v>-108136.410264422</v>
      </c>
      <c r="J17" s="4" t="n">
        <f aca="false">-J6*Assumptions!J32/100</f>
        <v>-109160.429301017</v>
      </c>
      <c r="K17" s="4" t="n">
        <f aca="false">-K6*Assumptions!K32/100</f>
        <v>-111889.440033542</v>
      </c>
      <c r="L17" s="4" t="n">
        <f aca="false">-L6*Assumptions!L32/100</f>
        <v>-114686.676034381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(C6-B6)*Assumptions!$B$37/100</f>
        <v>-34084.8683999999</v>
      </c>
      <c r="D18" s="4" t="n">
        <f aca="false">(D6-C6)*Assumptions!$B$37/100</f>
        <v>-23763.081078</v>
      </c>
      <c r="E18" s="4" t="n">
        <f aca="false">(E6-D6)*Assumptions!$B$37/100</f>
        <v>-22073.26197912</v>
      </c>
      <c r="F18" s="4" t="n">
        <f aca="false">(F6-E6)*Assumptions!$B$37/100</f>
        <v>-22956.1924582848</v>
      </c>
      <c r="G18" s="4" t="n">
        <f aca="false">(G6-F6)*Assumptions!$B$37/100</f>
        <v>-20890.1351370391</v>
      </c>
      <c r="H18" s="4" t="n">
        <f aca="false">(H6-G6)*Assumptions!$B$37/100</f>
        <v>-18532.5341715734</v>
      </c>
      <c r="I18" s="4" t="n">
        <f aca="false">(I6-H6)*Assumptions!$B$37/100</f>
        <v>-19088.5101967205</v>
      </c>
      <c r="J18" s="4" t="n">
        <f aca="false">(J6-I6)*Assumptions!$B$37/100</f>
        <v>-16384.3045855184</v>
      </c>
      <c r="K18" s="4" t="n">
        <f aca="false">(K6-J6)*Assumptions!$B$37/100</f>
        <v>-16793.9122001563</v>
      </c>
      <c r="L18" s="4" t="n">
        <f aca="false">(L6-K6)*Assumptions!$B$37/100</f>
        <v>-17213.7600051602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42838.865391828</v>
      </c>
      <c r="D19" s="0" t="n">
        <f aca="false">D15+D16+D17+D18</f>
        <v>60650.5910456497</v>
      </c>
      <c r="E19" s="0" t="n">
        <f aca="false">E15+E16+E17+E18</f>
        <v>70882.1003325897</v>
      </c>
      <c r="F19" s="0" t="n">
        <f aca="false">F15+F16+F17+F18</f>
        <v>78611.6445779996</v>
      </c>
      <c r="G19" s="0" t="n">
        <f aca="false">G15+G16+G17+G18</f>
        <v>90348.3124721344</v>
      </c>
      <c r="H19" s="0" t="n">
        <f aca="false">H15+H16+H17+H18</f>
        <v>99733.5121705747</v>
      </c>
      <c r="I19" s="0" t="n">
        <f aca="false">I15+I16+I17+I18</f>
        <v>106002.378452796</v>
      </c>
      <c r="J19" s="0" t="n">
        <f aca="false">J15+J16+J17+J18</f>
        <v>113513.247500251</v>
      </c>
      <c r="K19" s="0" t="n">
        <f aca="false">K15+K16+K17+K18</f>
        <v>116351.078687758</v>
      </c>
      <c r="L19" s="0" t="n">
        <f aca="false">L15+L16+L17+L18</f>
        <v>119259.855654952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39850.1073412354</v>
      </c>
      <c r="D21" s="0" t="n">
        <f aca="false">D19*D20</f>
        <v>52482.9343823902</v>
      </c>
      <c r="E21" s="0" t="n">
        <f aca="false">E19*E20</f>
        <v>57057.2958517582</v>
      </c>
      <c r="F21" s="0" t="n">
        <f aca="false">F19*F20</f>
        <v>58864.4411065982</v>
      </c>
      <c r="G21" s="0" t="n">
        <f aca="false">G19*G20</f>
        <v>62932.8969707309</v>
      </c>
      <c r="H21" s="0" t="n">
        <f aca="false">H19*H20</f>
        <v>64623.4779879155</v>
      </c>
      <c r="I21" s="0" t="n">
        <f aca="false">I19*I20</f>
        <v>63893.4531192548</v>
      </c>
      <c r="J21" s="0" t="n">
        <f aca="false">J19*J20</f>
        <v>63647.1313931264</v>
      </c>
      <c r="K21" s="0" t="n">
        <f aca="false">K19*K20</f>
        <v>60686.7997004229</v>
      </c>
      <c r="L21" s="0" t="n">
        <f aca="false">L19*L20</f>
        <v>57864.1578538916</v>
      </c>
    </row>
    <row r="23" customFormat="false" ht="15" hidden="false" customHeight="false" outlineLevel="0" collapsed="false">
      <c r="A23" s="0" t="s">
        <v>116</v>
      </c>
      <c r="C23" s="4" t="n">
        <f aca="false">Assumptions!C30</f>
        <v>0.85</v>
      </c>
      <c r="D23" s="4" t="n">
        <f aca="false">Assumptions!D30</f>
        <v>0.85</v>
      </c>
      <c r="E23" s="4" t="n">
        <f aca="false">Assumptions!E30</f>
        <v>0.85</v>
      </c>
      <c r="F23" s="4" t="n">
        <f aca="false">Assumptions!F30</f>
        <v>0.85</v>
      </c>
      <c r="G23" s="4" t="n">
        <f aca="false">Assumptions!G30</f>
        <v>0.85</v>
      </c>
      <c r="H23" s="4" t="n">
        <f aca="false">Assumptions!H30</f>
        <v>0.85</v>
      </c>
      <c r="I23" s="4" t="n">
        <f aca="false">Assumptions!I30</f>
        <v>0.85</v>
      </c>
      <c r="J23" s="4" t="n">
        <f aca="false">Assumptions!J30</f>
        <v>0.85</v>
      </c>
      <c r="K23" s="4" t="n">
        <f aca="false">Assumptions!K30</f>
        <v>0.85</v>
      </c>
      <c r="L23" s="4" t="n">
        <f aca="false">Assumptions!L30</f>
        <v>0.85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-11221.4549535</v>
      </c>
      <c r="D24" s="0" t="n">
        <f aca="false">-D6*D23/100</f>
        <v>-11726.4204264075</v>
      </c>
      <c r="E24" s="0" t="n">
        <f aca="false">-E6*E23/100</f>
        <v>-12195.4772434638</v>
      </c>
      <c r="F24" s="0" t="n">
        <f aca="false">-F6*F23/100</f>
        <v>-12683.2963332024</v>
      </c>
      <c r="G24" s="0" t="n">
        <f aca="false">-G6*G23/100</f>
        <v>-13127.2117048644</v>
      </c>
      <c r="H24" s="0" t="n">
        <f aca="false">-H6*H23/100</f>
        <v>-13521.0280560104</v>
      </c>
      <c r="I24" s="0" t="n">
        <f aca="false">-I6*I23/100</f>
        <v>-13926.6588976907</v>
      </c>
      <c r="J24" s="0" t="n">
        <f aca="false">-J6*J23/100</f>
        <v>-14274.8253701329</v>
      </c>
      <c r="K24" s="0" t="n">
        <f aca="false">-K6*K23/100</f>
        <v>-14631.6960043863</v>
      </c>
      <c r="L24" s="0" t="n">
        <f aca="false">-L6*L23/100</f>
        <v>-14997.4884044959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121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122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581902.695707324</v>
      </c>
    </row>
    <row r="31" customFormat="false" ht="15" hidden="false" customHeight="false" outlineLevel="0" collapsed="false">
      <c r="A31" s="0" t="s">
        <v>144</v>
      </c>
      <c r="B31" s="0" t="n">
        <f aca="false">L19</f>
        <v>119259.855654952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2211728.23214638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1550378.12351437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1550378.12351437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752234.052100591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1334136.74780792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906579.747807915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5747.92356097662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-0.0847255476151884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4193.48527484778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6350.56609189792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5814.77526533645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935731.175138851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1305.79407712394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Assumptions!C41</f>
        <v>8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1234959</v>
      </c>
      <c r="C6" s="0" t="n">
        <f aca="false">B6*(1+C5/100)</f>
        <v>1333755.72</v>
      </c>
      <c r="D6" s="0" t="n">
        <f aca="false">C6*(1+D5/100)</f>
        <v>1420449.8418</v>
      </c>
      <c r="E6" s="0" t="n">
        <f aca="false">D6*(1+E5/100)</f>
        <v>1505676.832308</v>
      </c>
      <c r="F6" s="0" t="n">
        <f aca="false">E6*(1+F5/100)</f>
        <v>1588489.05808494</v>
      </c>
      <c r="G6" s="0" t="n">
        <f aca="false">F6*(1+G5/100)</f>
        <v>1667913.51098919</v>
      </c>
      <c r="H6" s="0" t="n">
        <f aca="false">G6*(1+H5/100)</f>
        <v>1734630.05142875</v>
      </c>
      <c r="I6" s="0" t="n">
        <f aca="false">H6*(1+I5/100)</f>
        <v>1795342.10322876</v>
      </c>
      <c r="J6" s="0" t="n">
        <f aca="false">I6*(1+J5/100)</f>
        <v>1849202.36632562</v>
      </c>
      <c r="K6" s="0" t="n">
        <f aca="false">J6*(1+K5/100)</f>
        <v>1904678.43731539</v>
      </c>
      <c r="L6" s="0" t="n">
        <f aca="false">K6*(1+L5/100)</f>
        <v>1961818.79043485</v>
      </c>
    </row>
    <row r="7" customFormat="false" ht="15" hidden="false" customHeight="false" outlineLevel="0" collapsed="false">
      <c r="A7" s="0" t="s">
        <v>114</v>
      </c>
      <c r="C7" s="4" t="n">
        <f aca="false">Assumptions!C42</f>
        <v>20.8</v>
      </c>
      <c r="D7" s="4" t="n">
        <f aca="false">Assumptions!D42</f>
        <v>21</v>
      </c>
      <c r="E7" s="4" t="n">
        <f aca="false">Assumptions!E42</f>
        <v>21.2</v>
      </c>
      <c r="F7" s="4" t="n">
        <f aca="false">Assumptions!F42</f>
        <v>21.4</v>
      </c>
      <c r="G7" s="4" t="n">
        <f aca="false">Assumptions!G42</f>
        <v>21.5</v>
      </c>
      <c r="H7" s="4" t="n">
        <f aca="false">Assumptions!H42</f>
        <v>21.5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277421.18976</v>
      </c>
      <c r="D8" s="0" t="n">
        <f aca="false">D6*D7/100</f>
        <v>298294.466778</v>
      </c>
      <c r="E8" s="0" t="n">
        <f aca="false">E6*E7/100</f>
        <v>319203.488449296</v>
      </c>
      <c r="F8" s="0" t="n">
        <f aca="false">F6*F7/100</f>
        <v>339936.658430177</v>
      </c>
      <c r="G8" s="0" t="n">
        <f aca="false">G6*G7/100</f>
        <v>358601.404862675</v>
      </c>
      <c r="H8" s="0" t="n">
        <f aca="false">H6*H7/100</f>
        <v>372945.461057182</v>
      </c>
      <c r="I8" s="0" t="n">
        <f aca="false">I6*I7/100</f>
        <v>385998.552194184</v>
      </c>
      <c r="J8" s="0" t="n">
        <f aca="false">J6*J7/100</f>
        <v>397578.508760009</v>
      </c>
      <c r="K8" s="0" t="n">
        <f aca="false">K6*K7/100</f>
        <v>409505.864022809</v>
      </c>
      <c r="L8" s="0" t="n">
        <f aca="false">L6*L7/100</f>
        <v>421791.039943494</v>
      </c>
    </row>
    <row r="9" customFormat="false" ht="15" hidden="false" customHeight="false" outlineLevel="0" collapsed="false">
      <c r="A9" s="0" t="s">
        <v>115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-533.502288</v>
      </c>
      <c r="D10" s="0" t="n">
        <f aca="false">-D6*D9/100</f>
        <v>-568.17993672</v>
      </c>
      <c r="E10" s="0" t="n">
        <f aca="false">-E6*E9/100</f>
        <v>-602.2707329232</v>
      </c>
      <c r="F10" s="0" t="n">
        <f aca="false">-F6*F9/100</f>
        <v>-635.395623233976</v>
      </c>
      <c r="G10" s="0" t="n">
        <f aca="false">-G6*G9/100</f>
        <v>-667.165404395675</v>
      </c>
      <c r="H10" s="0" t="n">
        <f aca="false">-H6*H9/100</f>
        <v>-693.852020571502</v>
      </c>
      <c r="I10" s="0" t="n">
        <f aca="false">-I6*I9/100</f>
        <v>-718.136841291504</v>
      </c>
      <c r="J10" s="0" t="n">
        <f aca="false">-J6*J9/100</f>
        <v>-739.68094653025</v>
      </c>
      <c r="K10" s="0" t="n">
        <f aca="false">-K6*K9/100</f>
        <v>-761.871374926157</v>
      </c>
      <c r="L10" s="0" t="n">
        <f aca="false">-L6*L9/100</f>
        <v>-784.727516173942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265550.763852</v>
      </c>
      <c r="D11" s="0" t="n">
        <f aca="false">D8+D10+D24</f>
        <v>285652.46318598</v>
      </c>
      <c r="E11" s="0" t="n">
        <f aca="false">E8+E10+E24</f>
        <v>305802.964641755</v>
      </c>
      <c r="F11" s="0" t="n">
        <f aca="false">F8+F10+F24</f>
        <v>325799.105813221</v>
      </c>
      <c r="G11" s="0" t="n">
        <f aca="false">G8+G10+G24</f>
        <v>343756.974614871</v>
      </c>
      <c r="H11" s="0" t="n">
        <f aca="false">H8+H10+H24</f>
        <v>357507.253599466</v>
      </c>
      <c r="I11" s="0" t="n">
        <f aca="false">I8+I10+I24</f>
        <v>370020.007475448</v>
      </c>
      <c r="J11" s="0" t="n">
        <f aca="false">J8+J10+J24</f>
        <v>381120.607699711</v>
      </c>
      <c r="K11" s="0" t="n">
        <f aca="false">K8+K10+K24</f>
        <v>392554.225930702</v>
      </c>
      <c r="L11" s="0" t="n">
        <f aca="false">L8+L10+L24</f>
        <v>404330.852708623</v>
      </c>
    </row>
    <row r="12" customFormat="false" ht="15" hidden="false" customHeight="false" outlineLevel="0" collapsed="false">
      <c r="A12" s="0" t="s">
        <v>132</v>
      </c>
      <c r="C12" s="4" t="n">
        <f aca="false">-C6*Assumptions!C45/100</f>
        <v>-70689.05316</v>
      </c>
      <c r="D12" s="4" t="n">
        <f aca="false">-D6*Assumptions!D45/100</f>
        <v>-78124.741299</v>
      </c>
      <c r="E12" s="4" t="n">
        <f aca="false">-E6*Assumptions!E45/100</f>
        <v>-85823.579441556</v>
      </c>
      <c r="F12" s="4" t="n">
        <f aca="false">-F6*Assumptions!F45/100</f>
        <v>-92132.3653689265</v>
      </c>
      <c r="G12" s="4" t="n">
        <f aca="false">-G6*Assumptions!G45/100</f>
        <v>-98406.897148362</v>
      </c>
      <c r="H12" s="4" t="n">
        <f aca="false">-H6*Assumptions!H45/100</f>
        <v>-104077.803085725</v>
      </c>
      <c r="I12" s="4" t="n">
        <f aca="false">-I6*Assumptions!I45/100</f>
        <v>-107720.526193726</v>
      </c>
      <c r="J12" s="4" t="n">
        <f aca="false">-J6*Assumptions!J45/100</f>
        <v>-110952.141979537</v>
      </c>
      <c r="K12" s="4" t="n">
        <f aca="false">-K6*Assumptions!K45/100</f>
        <v>-114280.706238924</v>
      </c>
      <c r="L12" s="4" t="n">
        <f aca="false">-L6*Assumptions!L45/100</f>
        <v>-117709.127426091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194861.710692</v>
      </c>
      <c r="D13" s="0" t="n">
        <f aca="false">D11+D12</f>
        <v>207527.72188698</v>
      </c>
      <c r="E13" s="0" t="n">
        <f aca="false">E11+E12</f>
        <v>219979.385200199</v>
      </c>
      <c r="F13" s="0" t="n">
        <f aca="false">F11+F12</f>
        <v>233666.740444295</v>
      </c>
      <c r="G13" s="0" t="n">
        <f aca="false">G11+G12</f>
        <v>245350.077466509</v>
      </c>
      <c r="H13" s="0" t="n">
        <f aca="false">H11+H12</f>
        <v>253429.450513741</v>
      </c>
      <c r="I13" s="0" t="n">
        <f aca="false">I11+I12</f>
        <v>262299.481281722</v>
      </c>
      <c r="J13" s="0" t="n">
        <f aca="false">J11+J12</f>
        <v>270168.465720174</v>
      </c>
      <c r="K13" s="0" t="n">
        <f aca="false">K11+K12</f>
        <v>278273.519691779</v>
      </c>
      <c r="L13" s="0" t="n">
        <f aca="false">L11+L12</f>
        <v>286621.725282532</v>
      </c>
    </row>
    <row r="14" customFormat="false" ht="15" hidden="false" customHeight="false" outlineLevel="0" collapsed="false">
      <c r="A14" s="0" t="s">
        <v>119</v>
      </c>
      <c r="C14" s="4" t="n">
        <f aca="false">Assumptions!C47</f>
        <v>32</v>
      </c>
      <c r="D14" s="4" t="n">
        <f aca="false">Assumptions!D47</f>
        <v>32</v>
      </c>
      <c r="E14" s="4" t="n">
        <f aca="false">Assumptions!E47</f>
        <v>32</v>
      </c>
      <c r="F14" s="4" t="n">
        <f aca="false">Assumptions!F47</f>
        <v>32</v>
      </c>
      <c r="G14" s="4" t="n">
        <f aca="false">Assumptions!G47</f>
        <v>32</v>
      </c>
      <c r="H14" s="4" t="n">
        <f aca="false">Assumptions!H47</f>
        <v>32</v>
      </c>
      <c r="I14" s="4" t="n">
        <f aca="false">Assumptions!I47</f>
        <v>32</v>
      </c>
      <c r="J14" s="4" t="n">
        <f aca="false">Assumptions!J47</f>
        <v>32</v>
      </c>
      <c r="K14" s="4" t="n">
        <f aca="false">Assumptions!K47</f>
        <v>32</v>
      </c>
      <c r="L14" s="4" t="n">
        <f aca="false">Assumptions!L47</f>
        <v>32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132505.96327056</v>
      </c>
      <c r="D15" s="0" t="n">
        <f aca="false">D13-MAX(0,D13)*D14/100</f>
        <v>141118.850883146</v>
      </c>
      <c r="E15" s="0" t="n">
        <f aca="false">E13-MAX(0,E13)*E14/100</f>
        <v>149585.981936135</v>
      </c>
      <c r="F15" s="0" t="n">
        <f aca="false">F13-MAX(0,F13)*F14/100</f>
        <v>158893.38350212</v>
      </c>
      <c r="G15" s="0" t="n">
        <f aca="false">G13-MAX(0,G13)*G14/100</f>
        <v>166838.052677226</v>
      </c>
      <c r="H15" s="0" t="n">
        <f aca="false">H13-MAX(0,H13)*H14/100</f>
        <v>172332.026349344</v>
      </c>
      <c r="I15" s="0" t="n">
        <f aca="false">I13-MAX(0,I13)*I14/100</f>
        <v>178363.647271571</v>
      </c>
      <c r="J15" s="0" t="n">
        <f aca="false">J13-MAX(0,J13)*J14/100</f>
        <v>183714.556689718</v>
      </c>
      <c r="K15" s="0" t="n">
        <f aca="false">K13-MAX(0,K13)*K14/100</f>
        <v>189225.99339041</v>
      </c>
      <c r="L15" s="0" t="n">
        <f aca="false">L13-MAX(0,L13)*L14/100</f>
        <v>194902.773192122</v>
      </c>
    </row>
    <row r="16" customFormat="false" ht="15" hidden="false" customHeight="false" outlineLevel="0" collapsed="false">
      <c r="A16" s="0" t="s">
        <v>135</v>
      </c>
      <c r="C16" s="0" t="n">
        <f aca="false">-C12</f>
        <v>70689.05316</v>
      </c>
      <c r="D16" s="0" t="n">
        <f aca="false">-D12</f>
        <v>78124.741299</v>
      </c>
      <c r="E16" s="0" t="n">
        <f aca="false">-E12</f>
        <v>85823.579441556</v>
      </c>
      <c r="F16" s="0" t="n">
        <f aca="false">-F12</f>
        <v>92132.3653689265</v>
      </c>
      <c r="G16" s="0" t="n">
        <f aca="false">-G12</f>
        <v>98406.897148362</v>
      </c>
      <c r="H16" s="0" t="n">
        <f aca="false">-H12</f>
        <v>104077.803085725</v>
      </c>
      <c r="I16" s="0" t="n">
        <f aca="false">-I12</f>
        <v>107720.526193726</v>
      </c>
      <c r="J16" s="0" t="n">
        <f aca="false">-J12</f>
        <v>110952.141979537</v>
      </c>
      <c r="K16" s="0" t="n">
        <f aca="false">-K12</f>
        <v>114280.706238924</v>
      </c>
      <c r="L16" s="0" t="n">
        <f aca="false">-L12</f>
        <v>117709.127426091</v>
      </c>
    </row>
    <row r="17" customFormat="false" ht="15" hidden="false" customHeight="false" outlineLevel="0" collapsed="false">
      <c r="A17" s="0" t="s">
        <v>136</v>
      </c>
      <c r="C17" s="4" t="n">
        <f aca="false">-C6*Assumptions!C46/100</f>
        <v>-120038.0148</v>
      </c>
      <c r="D17" s="4" t="n">
        <f aca="false">-D6*Assumptions!D46/100</f>
        <v>-120738.236553</v>
      </c>
      <c r="E17" s="4" t="n">
        <f aca="false">-E6*Assumptions!E46/100</f>
        <v>-120454.14658464</v>
      </c>
      <c r="F17" s="4" t="n">
        <f aca="false">-F6*Assumptions!F46/100</f>
        <v>-119136.679356371</v>
      </c>
      <c r="G17" s="4" t="n">
        <f aca="false">-G6*Assumptions!G46/100</f>
        <v>-116753.945769243</v>
      </c>
      <c r="H17" s="4" t="n">
        <f aca="false">-H6*Assumptions!H46/100</f>
        <v>-117954.843497155</v>
      </c>
      <c r="I17" s="4" t="n">
        <f aca="false">-I6*Assumptions!I46/100</f>
        <v>-118492.578813098</v>
      </c>
      <c r="J17" s="4" t="n">
        <f aca="false">-J6*Assumptions!J46/100</f>
        <v>-120198.153811166</v>
      </c>
      <c r="K17" s="4" t="n">
        <f aca="false">-K6*Assumptions!K46/100</f>
        <v>-123804.098425501</v>
      </c>
      <c r="L17" s="4" t="n">
        <f aca="false">-L6*Assumptions!L46/100</f>
        <v>-127518.221378266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(C6-B6)*Assumptions!$B$51/100</f>
        <v>-34578.852</v>
      </c>
      <c r="D18" s="4" t="n">
        <f aca="false">(D6-C6)*Assumptions!$B$51/100</f>
        <v>-30342.9426299999</v>
      </c>
      <c r="E18" s="4" t="n">
        <f aca="false">(E6-D6)*Assumptions!$B$51/100</f>
        <v>-29829.4466778</v>
      </c>
      <c r="F18" s="4" t="n">
        <f aca="false">(F6-E6)*Assumptions!$B$51/100</f>
        <v>-28984.279021929</v>
      </c>
      <c r="G18" s="4" t="n">
        <f aca="false">(G6-F6)*Assumptions!$B$51/100</f>
        <v>-27798.5585164864</v>
      </c>
      <c r="H18" s="4" t="n">
        <f aca="false">(H6-G6)*Assumptions!$B$51/100</f>
        <v>-23350.7891538486</v>
      </c>
      <c r="I18" s="4" t="n">
        <f aca="false">(I6-H6)*Assumptions!$B$51/100</f>
        <v>-21249.2181300022</v>
      </c>
      <c r="J18" s="4" t="n">
        <f aca="false">(J6-I6)*Assumptions!$B$51/100</f>
        <v>-18851.092083902</v>
      </c>
      <c r="K18" s="4" t="n">
        <f aca="false">(K6-J6)*Assumptions!$B$51/100</f>
        <v>-19416.6248464191</v>
      </c>
      <c r="L18" s="4" t="n">
        <f aca="false">(L6-K6)*Assumptions!$B$51/100</f>
        <v>-19999.1235918116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48578.14963056</v>
      </c>
      <c r="D19" s="0" t="n">
        <f aca="false">D15+D16+D17+D18</f>
        <v>68162.4129991464</v>
      </c>
      <c r="E19" s="0" t="n">
        <f aca="false">E15+E16+E17+E18</f>
        <v>85125.9681152511</v>
      </c>
      <c r="F19" s="0" t="n">
        <f aca="false">F15+F16+F17+F18</f>
        <v>102904.790492747</v>
      </c>
      <c r="G19" s="0" t="n">
        <f aca="false">G15+G16+G17+G18</f>
        <v>120692.445539859</v>
      </c>
      <c r="H19" s="0" t="n">
        <f aca="false">H15+H16+H17+H18</f>
        <v>135104.196784065</v>
      </c>
      <c r="I19" s="0" t="n">
        <f aca="false">I15+I16+I17+I18</f>
        <v>146342.376522196</v>
      </c>
      <c r="J19" s="0" t="n">
        <f aca="false">J15+J16+J17+J18</f>
        <v>155617.452774188</v>
      </c>
      <c r="K19" s="0" t="n">
        <f aca="false">K15+K16+K17+K18</f>
        <v>160285.976357414</v>
      </c>
      <c r="L19" s="0" t="n">
        <f aca="false">L15+L16+L17+L18</f>
        <v>165094.555648136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45188.9764005209</v>
      </c>
      <c r="D21" s="0" t="n">
        <f aca="false">D19*D20</f>
        <v>58983.1588959623</v>
      </c>
      <c r="E21" s="0" t="n">
        <f aca="false">E19*E20</f>
        <v>68523.0477741089</v>
      </c>
      <c r="F21" s="0" t="n">
        <f aca="false">F19*F20</f>
        <v>77055.1616374961</v>
      </c>
      <c r="G21" s="0" t="n">
        <f aca="false">G19*G20</f>
        <v>84069.364800235</v>
      </c>
      <c r="H21" s="0" t="n">
        <f aca="false">H19*H20</f>
        <v>87542.3204992274</v>
      </c>
      <c r="I21" s="0" t="n">
        <f aca="false">I19*I20</f>
        <v>88208.584657797</v>
      </c>
      <c r="J21" s="0" t="n">
        <f aca="false">J19*J20</f>
        <v>87255.0533254759</v>
      </c>
      <c r="K21" s="0" t="n">
        <f aca="false">K19*K20</f>
        <v>83602.5162095258</v>
      </c>
      <c r="L21" s="0" t="n">
        <f aca="false">L19*L20</f>
        <v>80102.8759961038</v>
      </c>
    </row>
    <row r="23" customFormat="false" ht="15" hidden="false" customHeight="false" outlineLevel="0" collapsed="false">
      <c r="A23" s="0" t="s">
        <v>116</v>
      </c>
      <c r="C23" s="4" t="n">
        <f aca="false">Assumptions!C44</f>
        <v>0.85</v>
      </c>
      <c r="D23" s="4" t="n">
        <f aca="false">Assumptions!D44</f>
        <v>0.85</v>
      </c>
      <c r="E23" s="4" t="n">
        <f aca="false">Assumptions!E44</f>
        <v>0.85</v>
      </c>
      <c r="F23" s="4" t="n">
        <f aca="false">Assumptions!F44</f>
        <v>0.85</v>
      </c>
      <c r="G23" s="4" t="n">
        <f aca="false">Assumptions!G44</f>
        <v>0.85</v>
      </c>
      <c r="H23" s="4" t="n">
        <f aca="false">Assumptions!H44</f>
        <v>0.85</v>
      </c>
      <c r="I23" s="4" t="n">
        <f aca="false">Assumptions!I44</f>
        <v>0.85</v>
      </c>
      <c r="J23" s="4" t="n">
        <f aca="false">Assumptions!J44</f>
        <v>0.85</v>
      </c>
      <c r="K23" s="4" t="n">
        <f aca="false">Assumptions!K44</f>
        <v>0.85</v>
      </c>
      <c r="L23" s="4" t="n">
        <f aca="false">Assumptions!L44</f>
        <v>0.85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-11336.92362</v>
      </c>
      <c r="D24" s="0" t="n">
        <f aca="false">-D6*D23/100</f>
        <v>-12073.8236553</v>
      </c>
      <c r="E24" s="0" t="n">
        <f aca="false">-E6*E23/100</f>
        <v>-12798.253074618</v>
      </c>
      <c r="F24" s="0" t="n">
        <f aca="false">-F6*F23/100</f>
        <v>-13502.156993722</v>
      </c>
      <c r="G24" s="0" t="n">
        <f aca="false">-G6*G23/100</f>
        <v>-14177.2648434081</v>
      </c>
      <c r="H24" s="0" t="n">
        <f aca="false">-H6*H23/100</f>
        <v>-14744.3554371444</v>
      </c>
      <c r="I24" s="0" t="n">
        <f aca="false">-I6*I23/100</f>
        <v>-15260.4078774445</v>
      </c>
      <c r="J24" s="0" t="n">
        <f aca="false">-J6*J23/100</f>
        <v>-15718.2201137678</v>
      </c>
      <c r="K24" s="0" t="n">
        <f aca="false">-K6*K23/100</f>
        <v>-16189.7667171808</v>
      </c>
      <c r="L24" s="0" t="n">
        <f aca="false">-L6*L23/100</f>
        <v>-16675.4597186963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121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122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760531.060196453</v>
      </c>
    </row>
    <row r="31" customFormat="false" ht="15" hidden="false" customHeight="false" outlineLevel="0" collapsed="false">
      <c r="A31" s="0" t="s">
        <v>144</v>
      </c>
      <c r="B31" s="0" t="n">
        <f aca="false">L19</f>
        <v>165094.555648136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3384438.39078679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2311323.7790739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2311323.7790739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1121440.26394545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1881971.32414191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1454414.32414191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9221.32044243329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0.468363127776002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4488.56963213483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7805.27303748306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9299.26622503709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1353775.35631472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2703.0926427421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2" t="s">
        <v>161</v>
      </c>
      <c r="B3" s="2" t="s">
        <v>162</v>
      </c>
      <c r="C3" s="2" t="s">
        <v>152</v>
      </c>
      <c r="D3" s="2" t="s">
        <v>163</v>
      </c>
      <c r="E3" s="2" t="s">
        <v>155</v>
      </c>
      <c r="F3" s="2" t="s">
        <v>164</v>
      </c>
    </row>
    <row r="4" customFormat="false" ht="15" hidden="false" customHeight="false" outlineLevel="0" collapsed="false">
      <c r="A4" s="0" t="s">
        <v>165</v>
      </c>
      <c r="B4" s="4" t="n">
        <f aca="false">DCF_Bear!$B$38</f>
        <v>2697.15540268447</v>
      </c>
      <c r="C4" s="0" t="n">
        <f aca="false">B4/Assumptions!$B$2-1</f>
        <v>-0.570516655623492</v>
      </c>
      <c r="D4" s="4" t="n">
        <f aca="false">Assumptions!$B$24</f>
        <v>0.25</v>
      </c>
      <c r="E4" s="4" t="n">
        <f aca="false">DCF_Bear!$B$43</f>
        <v>2752.72346513028</v>
      </c>
      <c r="F4" s="4" t="n">
        <f aca="false">DCF_Bear!$B$47</f>
        <v>84.6154169459849</v>
      </c>
    </row>
    <row r="5" customFormat="false" ht="15" hidden="false" customHeight="false" outlineLevel="0" collapsed="false">
      <c r="A5" s="0" t="s">
        <v>166</v>
      </c>
      <c r="B5" s="4" t="n">
        <f aca="false">DCF_Base!$B$38</f>
        <v>5747.92356097662</v>
      </c>
      <c r="C5" s="0" t="n">
        <f aca="false">B5/Assumptions!$B$2-1</f>
        <v>-0.0847255476151884</v>
      </c>
      <c r="D5" s="4" t="n">
        <f aca="false">Assumptions!$B$38</f>
        <v>0.5</v>
      </c>
      <c r="E5" s="4" t="n">
        <f aca="false">DCF_Base!$B$43</f>
        <v>5814.77526533645</v>
      </c>
      <c r="F5" s="4" t="n">
        <f aca="false">DCF_Base!$B$47</f>
        <v>1305.79407712394</v>
      </c>
    </row>
    <row r="6" customFormat="false" ht="15" hidden="false" customHeight="false" outlineLevel="0" collapsed="false">
      <c r="A6" s="0" t="s">
        <v>167</v>
      </c>
      <c r="B6" s="4" t="n">
        <f aca="false">DCF_Bull!$B$38</f>
        <v>9221.32044243329</v>
      </c>
      <c r="C6" s="0" t="n">
        <f aca="false">B6/Assumptions!$B$2-1</f>
        <v>0.468363127776002</v>
      </c>
      <c r="D6" s="4" t="n">
        <f aca="false">Assumptions!$B$52</f>
        <v>0.25</v>
      </c>
      <c r="E6" s="4" t="n">
        <f aca="false">DCF_Bull!$B$43</f>
        <v>9299.26622503709</v>
      </c>
      <c r="F6" s="4" t="n">
        <f aca="false">DCF_Bull!$B$47</f>
        <v>2703.0926427421</v>
      </c>
    </row>
    <row r="8" customFormat="false" ht="15" hidden="false" customHeight="false" outlineLevel="0" collapsed="false">
      <c r="A8" s="0" t="s">
        <v>168</v>
      </c>
      <c r="B8" s="0" t="n">
        <f aca="false">SUMPRODUCT(B4:B6,D4:D6)</f>
        <v>5853.58074176775</v>
      </c>
    </row>
    <row r="9" customFormat="false" ht="15" hidden="false" customHeight="false" outlineLevel="0" collapsed="false">
      <c r="A9" s="0" t="s">
        <v>169</v>
      </c>
      <c r="B9" s="0" t="n">
        <f aca="false">SUMPRODUCT(E4:E6,D4:D6)</f>
        <v>5920.38505521007</v>
      </c>
    </row>
    <row r="10" customFormat="false" ht="15" hidden="false" customHeight="false" outlineLevel="0" collapsed="false">
      <c r="A10" s="0" t="s">
        <v>170</v>
      </c>
      <c r="B10" s="0" t="n">
        <f aca="false">1-Assumptions!$B$2/B8</f>
        <v>-0.0728475914220454</v>
      </c>
    </row>
    <row r="11" customFormat="false" ht="15" hidden="false" customHeight="false" outlineLevel="0" collapsed="false">
      <c r="A11" s="0" t="s">
        <v>171</v>
      </c>
      <c r="B11" s="0" t="n">
        <f aca="false">IF(ABS(B9-B8)&gt;0.01*ABS(B8),(Assumptions!$B$2-B8)/(B9-B8)*100,"n/a")</f>
        <v>638.310965654117</v>
      </c>
    </row>
    <row r="12" customFormat="false" ht="15" hidden="false" customHeight="false" outlineLevel="0" collapsed="false">
      <c r="A12" s="0" t="s">
        <v>172</v>
      </c>
      <c r="B12" s="0" t="n">
        <f aca="false">SUMPRODUCT(F4:F6,D4:D6)</f>
        <v>1349.82405348399</v>
      </c>
    </row>
    <row r="14" customFormat="false" ht="15" hidden="false" customHeight="false" outlineLevel="0" collapsed="false">
      <c r="A14" s="2" t="s">
        <v>173</v>
      </c>
      <c r="C14" s="0" t="s">
        <v>174</v>
      </c>
    </row>
    <row r="15" customFormat="false" ht="15" hidden="false" customHeight="false" outlineLevel="0" collapsed="false">
      <c r="A15" s="0" t="s">
        <v>175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5747.92356097662</v>
      </c>
      <c r="C15" s="3" t="n">
        <v>7.5</v>
      </c>
    </row>
    <row r="16" customFormat="false" ht="15" hidden="false" customHeight="false" outlineLevel="0" collapsed="false">
      <c r="A16" s="0" t="s">
        <v>176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4851.57772800356</v>
      </c>
      <c r="C16" s="3" t="n">
        <v>9</v>
      </c>
    </row>
    <row r="17" customFormat="false" ht="15" hidden="false" customHeight="false" outlineLevel="0" collapsed="false">
      <c r="A17" s="0" t="s">
        <v>177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4246.51664875871</v>
      </c>
      <c r="C17" s="3" t="n">
        <v>10</v>
      </c>
    </row>
    <row r="18" customFormat="false" ht="15" hidden="false" customHeight="false" outlineLevel="0" collapsed="false">
      <c r="A18" s="0" t="s">
        <v>178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3389.67167859714</v>
      </c>
      <c r="C18" s="3" t="n">
        <v>11</v>
      </c>
    </row>
    <row r="19" customFormat="false" ht="15" hidden="false" customHeight="false" outlineLevel="0" collapsed="false">
      <c r="A19" s="0" t="s">
        <v>179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2707.68738360898</v>
      </c>
      <c r="C19" s="3" t="n">
        <v>12</v>
      </c>
    </row>
    <row r="20" customFormat="false" ht="15" hidden="false" customHeight="false" outlineLevel="0" collapsed="false">
      <c r="A20" s="0" t="s">
        <v>180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1305.79407712394</v>
      </c>
      <c r="C20" s="3" t="n">
        <v>15</v>
      </c>
    </row>
    <row r="22" customFormat="false" ht="15" hidden="false" customHeight="false" outlineLevel="0" collapsed="false">
      <c r="A22" s="2" t="s">
        <v>181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7157.96011578762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7157.96011578762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7157.96011578762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7157.96011578762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7157.96011578762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6419.4459144841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6419.4459144841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6419.4459144841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6419.4459144841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6419.4459144841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5747.92356097662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5747.92356097662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5747.92356097662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5747.92356097662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5747.92356097662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5136.59048797439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5136.59048797439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5136.59048797439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5136.59048797439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5136.59048797439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4238.39115000787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4484.05048357831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4579.3977135029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4579.3977135029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4579.3977135029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2026-10-31T06:47:22Z</dcterms:created>
  <dc:creator>openpyxl</dc:creator>
  <dc:description/>
  <dc:language>en-NZ</dc:language>
  <cp:lastModifiedBy/>
  <dcterms:modified xsi:type="dcterms:W3CDTF">2026-10-31T06:47:22Z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