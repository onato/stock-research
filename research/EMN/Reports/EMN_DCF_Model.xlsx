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<sst xmlns="http://schemas.openxmlformats.org/spreadsheetml/2006/main" count="390" uniqueCount="175">
  <si>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</si>
  <si>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EMN</t>
  </si>
  <si>
    <t xml:space="preserve">Company</t>
  </si>
  <si>
    <t xml:space="preserve">Eastman Chemical Company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</si>
  <si>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</si>
  <si>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</si>
  <si>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</si>
  <si>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</si>
  <si>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2026-09-25T20:00:02Z regular close (Yahoo chart API; last regular session before the 2026-09-28 build)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</si>
  <si>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</si>
  <si>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</si>
  <si>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</si>
  <si>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</si>
  <si>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</si>
  <si>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</si>
  <si>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</si>
  <si>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</si>
  <si>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</si>
  <si>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</si>
  <si>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</si>
  <si>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</si>
  <si>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2026-09-28T07:31:53Z</t>
  </si>
  <si>
    <t xml:space="preserve">Drivers file</t>
  </si>
  <si>
    <t xml:space="preserve">EMN_Drivers.json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</si>
  <si>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</si>
  <si>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</si>
  <si>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</si>
  <si>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for a levered, cyclical US specialty-chemicals company. Risk is charged once, in the flows and weights (25% bear), not by inflating the discount rate: one 8% USD WACC across all scenarios. The terminal cap is held to 12-15x rather than the 20x compounder default because the decade of revenue history compounds at -1% and a third of EBITDA is commodity-spread dependent. SBC is fully expensed and the diluted count held flat. Net debt is total borrowings at 2026-06-30 with operating leases left in EBITDA (treatment B) and NCI deducted once in the bridge.
key_risks_to_valuation: Margin path: every 1pp of terminal EBITDA margin is roughly $120M of EBITDA and, at 14x on the post-tax flow, ~$9/share -- the single most consequential assumption; Leverage: ~$4.5B net debt against a ~$7.7B market cap means a 10% move in enterprise value is a ~16% move in equity value; Chemical Intermediates spread reversal (the Q2 2026 swing from -$30M to +$58M segment EBIT can run in reverse); Fibers (12% of sales) is a structurally declining cigarette-filter business; the base assumes it is absorbed by the cost programme, not that it stabilises; Unfunded pension/OPEB obligations are not in the bridge; if the deficit is ~$400M that is ~$3.5/share of downside to every scenario; Methanolysis execution and mass-balance/regulatory scrutiny of recycled-content claims; Terminal cap choice: moving the base cap from 14x to 18x (the Gordon value) would add ~$15/share -- the re-rating thesis is deliberately excluded</t>
  </si>
  <si>
    <t xml:space="preserve">Data sources</t>
  </si>
  <si>
    <t xml:space="preserve">price: Yahoo Finance chart API at inputs.price_as_of; 52-week range 56.11-83.47
financials: SEC XBRL companyfacts (CIK 915389): FY2025 10-K filed 2026-02-13, Q2 2026 10-Q filed 2026-07-31; EMN_Metrics.csv (106 periods FY2006-Q2 2026) and EMN.duckdb core_metrics/kpis
qualitative: EMN_Analysis.json (2026-09-28): segment mix, Q2 2026 results and guidance, cost programme, methanolysis platform, bull/bear cases</t>
  </si>
  <si>
    <t xml:space="preserve">Scenario narrative: bear</t>
  </si>
  <si>
    <t xml:space="preserve">H2 2026 fades, a second downleg arrives in 2027 (revenue -4%, margin back to ~15%) as CI spreads compress and feedstock costs rise; margins settle at 16% because Fibers keeps shrinking and cost savings only match inflation. Terminal 2% growth at a 12x cap. With $5.2B of borrowings the dividend becomes the pressure valve; interest cover (~3.9x) holds, so this is an earnings and multiple path, not a solvency one.</t>
  </si>
  <si>
    <t xml:space="preserve">Scenario narrative: base</t>
  </si>
  <si>
    <t xml:space="preserve">Eastman's value rests on three axes: (1) whether Chemical Intermediates' spread recovery (segment EBIT from a $30M loss to +$58M in Q2 2026) is a cycle turn or a spike; (2) whether specialty volumes in Advanced Materials/AFP recover with autos and construction while Fibers keeps declining; (3) whether the Kingsport methanolysis platform (~$60M incremental earnings, circular revenue doubled in H1 2026) becomes a durable margin contributor. Base: FY2026 revenue ~$9.4B (+7%) at a 16.8% EBITDA margin, ramping to 18% mid-cycle by FY2029 with the $125-150M cost programme netted against Fibers drag; capex normalises from the $400M trough to ~5.3% of revenue; 2.5% terminal growth; terminal capped at 14x owner FCF (roughly today's multiple, no re-rating). Leverage (~$4.5B net debt, 3.4x EBITDA) takes ~40% of enterprise value off the top, which is why equity value is so sensitive to the margin path.</t>
  </si>
  <si>
    <t xml:space="preserve">Scenario narrative: bull</t>
  </si>
  <si>
    <t xml:space="preserve">The cycle turns properly: CI spreads hold through 2027, auto and building demand recovers, circular products keep doubling and management funds a second methanolysis line from cash flow. Revenue compounds 9%/6%/5% then 3-4%, EBITDA margin reaches the FY2024 specialty-peak 20% and holds, capex runs at 5.8% for the expansion. Terminal cap 15x. Requires three independent things to go right, which is why it gets 25% not 35%.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</si>
  <si>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</si>
  <si>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</si>
  <si>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</si>
  <si>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</si>
  <si>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</si>
  <si>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</si>
  <si>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</si>
  <si>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</si>
  <si>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</si>
  <si>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</si>
  <si>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</si>
  <si>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</si>
  <si>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</si>
  <si>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</si>
  <si>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</si>
  <si>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</si>
  <si>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</si>
  <si>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</si>
  <si>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</si>
  <si>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</si>
  <si>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</si>
  <si>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</si>
  <si>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</si>
  <si>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</si>
  <si>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</si>
  <si>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</si>
  <si>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</si>
  <si>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</si>
  <si>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</si>
  <si>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</si>
  <si>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</si>
  <si>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</si>
  <si>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</si>
  <si>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</si>
  <si>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</si>
  <si>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</si>
  <si>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</si>
  <si>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</si>
  <si>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</si>
  <si>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</si>
  <si>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</si>
  <si>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</si>
  <si>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</si>
  <si>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</si>
  <si>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</si>
  <si>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</si>
  <si>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</si>
  <si>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</si>
  <si>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</si>
  <si>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</si>
  <si>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</si>
  <si>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</si>
  <si>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</si>
  <si>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</si>
  <si>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</si>
  <si>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</si>
  <si>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</si>
  <si>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</si>
  <si>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</si>
  <si>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</si>
  <si>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</si>
  <si>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</si>
  <si>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</si>
  <si>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</si>
  <si>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</si>
  <si>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</si>
  <si>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</si>
  <si>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</si>
  <si>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</si>
  <si>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</si>
  <si>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</si>
  <si>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</si>
  <si>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</si>
  <si>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</si>
  <si>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</si>
  <si>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</si>
  <si>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</si>
  <si>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</si>
  <si>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</si>
  <si>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</si>
  <si>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</si>
  <si>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</si>
  <si>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</si>
  <si>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</si>
  <si>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EMN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</si>
  <si>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</si>
  <si>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</si>
  <si>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</si>
  <si>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</si>
  <si>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</si>
  <si>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</si>
  <si>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</si>
  <si>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</si>
  <si>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</si>
  <si>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</si>
  <si>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</si>
  <si>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</si>
  <si>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</si>
  <si>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</si>
  <si>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</si>
  <si>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</si>
  <si>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</si>
  <si>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</si>
  <si>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</si>
  <si>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</si>
  <si>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</si>
  <si>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</si>
  <si>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</si>
  <si>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</si>
  <si>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</si>
  <si>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</si>
  <si>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</si>
  <si>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</si>
  <si>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</si>
  <si>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</si>
  <si>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EMN owner-FCF component DCF: base case (millions, USD)</t>
  </si>
  <si>
    <t xml:space="preserve">EMN owner-FCF component DCF: bull case (millions, USD)</t>
  </si>
  <si>
    <t xml:space="preserve">EMN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</si>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</sst>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66.97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2029</v>
      </c>
      <c r="S2" s="0" t="n">
        <v>939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1192</v>
      </c>
      <c r="F3" s="0" t="n">
        <v>504</v>
      </c>
      <c r="H3" s="0" t="n">
        <v>831</v>
      </c>
      <c r="I3" s="0" t="n">
        <v>300</v>
      </c>
      <c r="K3" s="0" t="n">
        <v>3.84</v>
      </c>
      <c r="L3" s="0" t="n">
        <v>732</v>
      </c>
      <c r="M3" s="0" t="n">
        <v>518</v>
      </c>
      <c r="N3" s="0" t="n">
        <v>214</v>
      </c>
      <c r="O3" s="0" t="n">
        <v>2082</v>
      </c>
      <c r="S3" s="0" t="n">
        <v>888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1084</v>
      </c>
      <c r="F4" s="0" t="n">
        <v>551</v>
      </c>
      <c r="H4" s="0" t="n">
        <v>818</v>
      </c>
      <c r="I4" s="0" t="n">
        <v>346</v>
      </c>
      <c r="K4" s="0" t="n">
        <v>4.59</v>
      </c>
      <c r="L4" s="0" t="n">
        <v>653</v>
      </c>
      <c r="M4" s="0" t="n">
        <v>634</v>
      </c>
      <c r="N4" s="0" t="n">
        <v>19</v>
      </c>
      <c r="O4" s="0" t="n">
        <v>1553</v>
      </c>
      <c r="P4" s="0" t="n">
        <v>5281</v>
      </c>
      <c r="Q4" s="0" t="n">
        <v>3728</v>
      </c>
      <c r="R4" s="0" t="n">
        <v>1442</v>
      </c>
      <c r="S4" s="0" t="n">
        <v>387</v>
      </c>
      <c r="T4" s="0" t="n">
        <v>188.99172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1032</v>
      </c>
      <c r="F5" s="0" t="n">
        <v>345</v>
      </c>
      <c r="H5" s="0" t="n">
        <v>619</v>
      </c>
      <c r="I5" s="0" t="n">
        <v>136</v>
      </c>
      <c r="K5" s="0" t="n">
        <v>0.94</v>
      </c>
      <c r="L5" s="0" t="n">
        <v>758</v>
      </c>
      <c r="M5" s="0" t="n">
        <v>310</v>
      </c>
      <c r="N5" s="0" t="n">
        <v>448</v>
      </c>
      <c r="O5" s="0" t="n">
        <v>1540</v>
      </c>
      <c r="P5" s="0" t="n">
        <v>5515</v>
      </c>
      <c r="Q5" s="0" t="n">
        <v>4002</v>
      </c>
      <c r="R5" s="0" t="n">
        <v>1604</v>
      </c>
      <c r="S5" s="0" t="n">
        <v>793</v>
      </c>
      <c r="T5" s="0" t="n">
        <v>189.550128</v>
      </c>
      <c r="V5" s="0" t="n">
        <v>0.88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5842</v>
      </c>
      <c r="D6" s="0" t="n">
        <v>1459</v>
      </c>
      <c r="E6" s="0" t="n">
        <v>24.9743238616912</v>
      </c>
      <c r="F6" s="0" t="n">
        <v>844</v>
      </c>
      <c r="G6" s="0" t="n">
        <v>14.4471071550839</v>
      </c>
      <c r="H6" s="0" t="n">
        <v>1124</v>
      </c>
      <c r="I6" s="0" t="n">
        <v>427</v>
      </c>
      <c r="J6" s="0" t="n">
        <v>7.30914070523793</v>
      </c>
      <c r="K6" s="0" t="n">
        <v>2.95</v>
      </c>
      <c r="L6" s="0" t="n">
        <v>575</v>
      </c>
      <c r="M6" s="0" t="n">
        <v>243</v>
      </c>
      <c r="N6" s="0" t="n">
        <v>332</v>
      </c>
      <c r="O6" s="0" t="n">
        <v>1659</v>
      </c>
      <c r="P6" s="0" t="n">
        <v>5986</v>
      </c>
      <c r="Q6" s="0" t="n">
        <v>4359</v>
      </c>
      <c r="R6" s="0" t="n">
        <v>1598</v>
      </c>
      <c r="S6" s="0" t="n">
        <v>516</v>
      </c>
      <c r="T6" s="0" t="n">
        <v>193.68889</v>
      </c>
      <c r="U6" s="0" t="n">
        <v>25</v>
      </c>
      <c r="V6" s="0" t="n">
        <v>0.895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7178</v>
      </c>
      <c r="D7" s="0" t="n">
        <v>1569</v>
      </c>
      <c r="E7" s="0" t="n">
        <v>21.8584563945389</v>
      </c>
      <c r="F7" s="0" t="n">
        <v>937</v>
      </c>
      <c r="G7" s="0" t="n">
        <v>13.0537754249094</v>
      </c>
      <c r="H7" s="0" t="n">
        <v>1210</v>
      </c>
      <c r="I7" s="0" t="n">
        <v>647</v>
      </c>
      <c r="J7" s="0" t="n">
        <v>9.01365282808582</v>
      </c>
      <c r="K7" s="0" t="n">
        <v>4.63</v>
      </c>
      <c r="L7" s="0" t="n">
        <v>625</v>
      </c>
      <c r="M7" s="0" t="n">
        <v>457</v>
      </c>
      <c r="N7" s="0" t="n">
        <v>168</v>
      </c>
      <c r="O7" s="0" t="n">
        <v>1901</v>
      </c>
      <c r="P7" s="0" t="n">
        <v>6184</v>
      </c>
      <c r="Q7" s="0" t="n">
        <v>4283</v>
      </c>
      <c r="R7" s="0" t="n">
        <v>1598</v>
      </c>
      <c r="S7" s="0" t="n">
        <v>577</v>
      </c>
      <c r="T7" s="0" t="n">
        <v>196.455131</v>
      </c>
      <c r="U7" s="0" t="n">
        <v>39</v>
      </c>
      <c r="V7" s="0" t="n">
        <v>0.99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8102</v>
      </c>
      <c r="D8" s="0" t="n">
        <v>1762</v>
      </c>
      <c r="E8" s="0" t="n">
        <v>21.7477166131819</v>
      </c>
      <c r="F8" s="0" t="n">
        <v>800</v>
      </c>
      <c r="G8" s="0" t="n">
        <v>9.87410515921995</v>
      </c>
      <c r="H8" s="0" t="n">
        <v>1160</v>
      </c>
      <c r="I8" s="0" t="n">
        <v>444</v>
      </c>
      <c r="J8" s="0" t="n">
        <v>5.48012836336707</v>
      </c>
      <c r="K8" s="0" t="n">
        <v>3</v>
      </c>
      <c r="L8" s="0" t="n">
        <v>1128</v>
      </c>
      <c r="M8" s="0" t="n">
        <v>465</v>
      </c>
      <c r="N8" s="0" t="n">
        <v>663</v>
      </c>
      <c r="O8" s="0" t="n">
        <v>3028</v>
      </c>
      <c r="P8" s="0" t="n">
        <v>11710</v>
      </c>
      <c r="Q8" s="0" t="n">
        <v>8682</v>
      </c>
      <c r="R8" s="0" t="n">
        <v>4783</v>
      </c>
      <c r="S8" s="0" t="n">
        <v>249</v>
      </c>
      <c r="T8" s="0" t="n">
        <v>213.406523</v>
      </c>
      <c r="U8" s="0" t="n">
        <v>28</v>
      </c>
      <c r="V8" s="0" t="n">
        <v>1.08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9350</v>
      </c>
      <c r="D9" s="0" t="n">
        <v>2776</v>
      </c>
      <c r="E9" s="0" t="n">
        <v>29.6898395721925</v>
      </c>
      <c r="F9" s="0" t="n">
        <v>1862</v>
      </c>
      <c r="G9" s="0" t="n">
        <v>19.9144385026738</v>
      </c>
      <c r="H9" s="0" t="n">
        <v>2295</v>
      </c>
      <c r="I9" s="0" t="n">
        <v>1172</v>
      </c>
      <c r="J9" s="0" t="n">
        <v>12.5347593582888</v>
      </c>
      <c r="K9" s="0" t="n">
        <v>7.57</v>
      </c>
      <c r="L9" s="0" t="n">
        <v>1297</v>
      </c>
      <c r="M9" s="0" t="n">
        <v>483</v>
      </c>
      <c r="N9" s="0" t="n">
        <v>814</v>
      </c>
      <c r="O9" s="0" t="n">
        <v>3875</v>
      </c>
      <c r="P9" s="0" t="n">
        <v>11845</v>
      </c>
      <c r="Q9" s="0" t="n">
        <v>7970</v>
      </c>
      <c r="R9" s="0" t="n">
        <v>4254</v>
      </c>
      <c r="S9" s="0" t="n">
        <v>237</v>
      </c>
      <c r="T9" s="0" t="n">
        <v>215.131237</v>
      </c>
      <c r="U9" s="0" t="n">
        <v>40</v>
      </c>
      <c r="V9" s="0" t="n">
        <v>1.25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9527</v>
      </c>
      <c r="D10" s="0" t="n">
        <v>2221</v>
      </c>
      <c r="E10" s="0" t="n">
        <v>23.3126902487667</v>
      </c>
      <c r="F10" s="0" t="n">
        <v>1162</v>
      </c>
      <c r="G10" s="0" t="n">
        <v>12.1969140337987</v>
      </c>
      <c r="H10" s="0" t="n">
        <v>1612</v>
      </c>
      <c r="I10" s="0" t="n">
        <v>757</v>
      </c>
      <c r="J10" s="0" t="n">
        <v>7.94583814422169</v>
      </c>
      <c r="K10" s="0" t="n">
        <v>5.03</v>
      </c>
      <c r="L10" s="0" t="n">
        <v>1433</v>
      </c>
      <c r="M10" s="0" t="n">
        <v>593</v>
      </c>
      <c r="N10" s="0" t="n">
        <v>840</v>
      </c>
      <c r="O10" s="0" t="n">
        <v>3590</v>
      </c>
      <c r="P10" s="0" t="n">
        <v>16072</v>
      </c>
      <c r="Q10" s="0" t="n">
        <v>12482</v>
      </c>
      <c r="R10" s="0" t="n">
        <v>7248</v>
      </c>
      <c r="S10" s="0" t="n">
        <v>214</v>
      </c>
      <c r="T10" s="0" t="n">
        <v>216.256971</v>
      </c>
      <c r="U10" s="0" t="n">
        <v>28</v>
      </c>
      <c r="V10" s="0" t="n">
        <v>1.45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9648</v>
      </c>
      <c r="D11" s="0" t="n">
        <v>2580</v>
      </c>
      <c r="E11" s="0" t="n">
        <v>26.7412935323383</v>
      </c>
      <c r="F11" s="0" t="n">
        <v>1384</v>
      </c>
      <c r="G11" s="0" t="n">
        <v>14.3449419568823</v>
      </c>
      <c r="H11" s="0" t="n">
        <v>1955</v>
      </c>
      <c r="I11" s="0" t="n">
        <v>854</v>
      </c>
      <c r="J11" s="0" t="n">
        <v>8.85157545605307</v>
      </c>
      <c r="K11" s="0" t="n">
        <v>5.71</v>
      </c>
      <c r="L11" s="0" t="n">
        <v>1624</v>
      </c>
      <c r="M11" s="0" t="n">
        <v>652</v>
      </c>
      <c r="N11" s="0" t="n">
        <v>972</v>
      </c>
      <c r="O11" s="0" t="n">
        <v>4021</v>
      </c>
      <c r="P11" s="0" t="n">
        <v>15580</v>
      </c>
      <c r="Q11" s="0" t="n">
        <v>11559</v>
      </c>
      <c r="R11" s="0" t="n">
        <v>6577</v>
      </c>
      <c r="S11" s="0" t="n">
        <v>293</v>
      </c>
      <c r="T11" s="0" t="n">
        <v>216.899964</v>
      </c>
      <c r="U11" s="0" t="n">
        <v>36</v>
      </c>
      <c r="V11" s="0" t="n">
        <v>1.66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9008</v>
      </c>
      <c r="C12" s="0" t="n">
        <v>6651</v>
      </c>
      <c r="D12" s="0" t="n">
        <v>2357</v>
      </c>
      <c r="E12" s="0" t="n">
        <v>26.1656305506217</v>
      </c>
      <c r="F12" s="0" t="n">
        <v>1383</v>
      </c>
      <c r="G12" s="0" t="n">
        <v>15.3530195381883</v>
      </c>
      <c r="H12" s="0" t="n">
        <v>1963</v>
      </c>
      <c r="I12" s="0" t="n">
        <v>859</v>
      </c>
      <c r="J12" s="0" t="n">
        <v>9.53596802841918</v>
      </c>
      <c r="K12" s="0" t="n">
        <v>5.8</v>
      </c>
      <c r="L12" s="0" t="n">
        <v>1385</v>
      </c>
      <c r="M12" s="0" t="n">
        <v>626</v>
      </c>
      <c r="N12" s="0" t="n">
        <v>759</v>
      </c>
      <c r="O12" s="0" t="n">
        <v>4608</v>
      </c>
      <c r="P12" s="0" t="n">
        <v>15457</v>
      </c>
      <c r="Q12" s="0" t="n">
        <v>10849</v>
      </c>
      <c r="R12" s="0" t="n">
        <v>6311</v>
      </c>
      <c r="S12" s="0" t="n">
        <v>181</v>
      </c>
      <c r="T12" s="0" t="n">
        <v>217.7076</v>
      </c>
      <c r="U12" s="0" t="n">
        <v>36</v>
      </c>
      <c r="V12" s="0" t="n">
        <v>1.89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9549</v>
      </c>
      <c r="C13" s="0" t="n">
        <v>7186</v>
      </c>
      <c r="D13" s="0" t="n">
        <v>2363</v>
      </c>
      <c r="E13" s="0" t="n">
        <v>24.7460467064614</v>
      </c>
      <c r="F13" s="0" t="n">
        <v>1532</v>
      </c>
      <c r="G13" s="0" t="n">
        <v>16.0435647711802</v>
      </c>
      <c r="H13" s="0" t="n">
        <v>2119</v>
      </c>
      <c r="I13" s="0" t="n">
        <v>1388</v>
      </c>
      <c r="J13" s="0" t="n">
        <v>14.5355534610954</v>
      </c>
      <c r="K13" s="0" t="n">
        <v>9.56</v>
      </c>
      <c r="L13" s="0" t="n">
        <v>1657</v>
      </c>
      <c r="M13" s="0" t="n">
        <v>649</v>
      </c>
      <c r="N13" s="0" t="n">
        <v>1008</v>
      </c>
      <c r="O13" s="0" t="n">
        <v>5480</v>
      </c>
      <c r="P13" s="0" t="n">
        <v>15999</v>
      </c>
      <c r="Q13" s="0" t="n">
        <v>10519</v>
      </c>
      <c r="R13" s="0" t="n">
        <v>6147</v>
      </c>
      <c r="S13" s="0" t="n">
        <v>191</v>
      </c>
      <c r="T13" s="0" t="n">
        <v>218.369992</v>
      </c>
      <c r="U13" s="0" t="n">
        <v>52</v>
      </c>
      <c r="V13" s="0" t="n">
        <v>2.09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10151</v>
      </c>
      <c r="C14" s="0" t="n">
        <v>7672</v>
      </c>
      <c r="D14" s="0" t="n">
        <v>2479</v>
      </c>
      <c r="E14" s="0" t="n">
        <v>24.4212392867698</v>
      </c>
      <c r="I14" s="0" t="n">
        <v>1084</v>
      </c>
      <c r="J14" s="0" t="n">
        <v>10.678750861984</v>
      </c>
      <c r="K14" s="0" t="n">
        <v>7.65</v>
      </c>
      <c r="L14" s="0" t="n">
        <v>1543</v>
      </c>
      <c r="M14" s="0" t="n">
        <v>528</v>
      </c>
      <c r="N14" s="0" t="n">
        <v>1015</v>
      </c>
      <c r="O14" s="0" t="n">
        <v>5878</v>
      </c>
      <c r="P14" s="0" t="n">
        <v>15995</v>
      </c>
      <c r="Q14" s="0" t="n">
        <v>10117</v>
      </c>
      <c r="R14" s="0" t="n">
        <v>5925</v>
      </c>
      <c r="S14" s="0" t="n">
        <v>226</v>
      </c>
      <c r="T14" s="0" t="n">
        <v>219.140523</v>
      </c>
      <c r="U14" s="0" t="n">
        <v>64</v>
      </c>
      <c r="V14" s="0" t="n">
        <v>2.3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9273</v>
      </c>
      <c r="C15" s="0" t="n">
        <v>7039</v>
      </c>
      <c r="D15" s="0" t="n">
        <v>2234</v>
      </c>
      <c r="E15" s="0" t="n">
        <v>24.0914482907366</v>
      </c>
      <c r="I15" s="0" t="n">
        <v>762</v>
      </c>
      <c r="J15" s="0" t="n">
        <v>8.21740537043028</v>
      </c>
      <c r="K15" s="0" t="n">
        <v>5.52</v>
      </c>
      <c r="L15" s="0" t="n">
        <v>1504</v>
      </c>
      <c r="M15" s="0" t="n">
        <v>425</v>
      </c>
      <c r="N15" s="0" t="n">
        <v>1079</v>
      </c>
      <c r="O15" s="0" t="n">
        <v>6032</v>
      </c>
      <c r="P15" s="0" t="n">
        <v>16008</v>
      </c>
      <c r="Q15" s="0" t="n">
        <v>9976</v>
      </c>
      <c r="R15" s="0" t="n">
        <v>5611</v>
      </c>
      <c r="S15" s="0" t="n">
        <v>204</v>
      </c>
      <c r="T15" s="0" t="n">
        <v>219.638646</v>
      </c>
      <c r="U15" s="0" t="n">
        <v>59</v>
      </c>
      <c r="V15" s="0" t="n">
        <v>2.52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8473</v>
      </c>
      <c r="C16" s="0" t="n">
        <v>6498</v>
      </c>
      <c r="D16" s="0" t="n">
        <v>1975</v>
      </c>
      <c r="E16" s="0" t="n">
        <v>23.3093355364098</v>
      </c>
      <c r="I16" s="0" t="n">
        <v>489</v>
      </c>
      <c r="J16" s="0" t="n">
        <v>5.77127345686298</v>
      </c>
      <c r="K16" s="0" t="n">
        <v>3.53</v>
      </c>
      <c r="L16" s="0" t="n">
        <v>1455</v>
      </c>
      <c r="M16" s="0" t="n">
        <v>383</v>
      </c>
      <c r="N16" s="0" t="n">
        <v>1072</v>
      </c>
      <c r="O16" s="0" t="n">
        <v>6108</v>
      </c>
      <c r="P16" s="0" t="n">
        <v>16083</v>
      </c>
      <c r="Q16" s="0" t="n">
        <v>9975</v>
      </c>
      <c r="R16" s="0" t="n">
        <v>5269</v>
      </c>
      <c r="S16" s="0" t="n">
        <v>564</v>
      </c>
      <c r="T16" s="0" t="n">
        <v>220.641506</v>
      </c>
      <c r="U16" s="0" t="n">
        <v>44</v>
      </c>
      <c r="V16" s="0" t="n">
        <v>2.67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10476</v>
      </c>
      <c r="C17" s="0" t="n">
        <v>7976</v>
      </c>
      <c r="D17" s="0" t="n">
        <v>2500</v>
      </c>
      <c r="E17" s="0" t="n">
        <v>23.8640702558228</v>
      </c>
      <c r="I17" s="0" t="n">
        <v>867</v>
      </c>
      <c r="J17" s="0" t="n">
        <v>8.27605956471936</v>
      </c>
      <c r="K17" s="0" t="n">
        <v>6.35</v>
      </c>
      <c r="L17" s="0" t="n">
        <v>1619</v>
      </c>
      <c r="M17" s="0" t="n">
        <v>555</v>
      </c>
      <c r="N17" s="0" t="n">
        <v>1064</v>
      </c>
      <c r="O17" s="0" t="n">
        <v>5788</v>
      </c>
      <c r="P17" s="0" t="n">
        <v>15519</v>
      </c>
      <c r="Q17" s="0" t="n">
        <v>9731</v>
      </c>
      <c r="R17" s="0" t="n">
        <v>4412</v>
      </c>
      <c r="S17" s="0" t="n">
        <v>459</v>
      </c>
      <c r="T17" s="0" t="n">
        <v>221.809309</v>
      </c>
      <c r="U17" s="0" t="n">
        <v>70</v>
      </c>
      <c r="V17" s="0" t="n">
        <v>2.83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10580</v>
      </c>
      <c r="C18" s="0" t="n">
        <v>8443</v>
      </c>
      <c r="D18" s="0" t="n">
        <v>2137</v>
      </c>
      <c r="E18" s="0" t="n">
        <v>20.1984877126654</v>
      </c>
      <c r="I18" s="0" t="n">
        <v>796</v>
      </c>
      <c r="J18" s="0" t="n">
        <v>7.52362948960302</v>
      </c>
      <c r="K18" s="0" t="n">
        <v>6.42</v>
      </c>
      <c r="L18" s="0" t="n">
        <v>975</v>
      </c>
      <c r="M18" s="0" t="n">
        <v>611</v>
      </c>
      <c r="N18" s="0" t="n">
        <v>364</v>
      </c>
      <c r="O18" s="0" t="n">
        <v>5236</v>
      </c>
      <c r="P18" s="0" t="n">
        <v>14667</v>
      </c>
      <c r="Q18" s="0" t="n">
        <v>9431</v>
      </c>
      <c r="R18" s="0" t="n">
        <v>4025</v>
      </c>
      <c r="S18" s="0" t="n">
        <v>493</v>
      </c>
      <c r="T18" s="0" t="n">
        <v>222.348557</v>
      </c>
      <c r="U18" s="0" t="n">
        <v>69</v>
      </c>
      <c r="V18" s="0" t="n">
        <v>3.07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9210</v>
      </c>
      <c r="C19" s="0" t="n">
        <v>7149</v>
      </c>
      <c r="D19" s="0" t="n">
        <v>2061</v>
      </c>
      <c r="E19" s="0" t="n">
        <v>22.3778501628665</v>
      </c>
      <c r="I19" s="0" t="n">
        <v>896</v>
      </c>
      <c r="J19" s="0" t="n">
        <v>9.728555917481</v>
      </c>
      <c r="K19" s="0" t="n">
        <v>7.54</v>
      </c>
      <c r="L19" s="0" t="n">
        <v>1374</v>
      </c>
      <c r="M19" s="0" t="n">
        <v>828</v>
      </c>
      <c r="N19" s="0" t="n">
        <v>546</v>
      </c>
      <c r="O19" s="0" t="n">
        <v>5530</v>
      </c>
      <c r="P19" s="0" t="n">
        <v>14633</v>
      </c>
      <c r="Q19" s="0" t="n">
        <v>9103</v>
      </c>
      <c r="R19" s="0" t="n">
        <v>4305</v>
      </c>
      <c r="S19" s="0" t="n">
        <v>548</v>
      </c>
      <c r="T19" s="0" t="n">
        <v>222.762317</v>
      </c>
      <c r="U19" s="0" t="n">
        <v>64</v>
      </c>
      <c r="V19" s="0" t="n">
        <v>3.18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9382</v>
      </c>
      <c r="C20" s="0" t="n">
        <v>7092</v>
      </c>
      <c r="D20" s="0" t="n">
        <v>2290</v>
      </c>
      <c r="E20" s="0" t="n">
        <v>24.4084416968663</v>
      </c>
      <c r="I20" s="0" t="n">
        <v>908</v>
      </c>
      <c r="J20" s="0" t="n">
        <v>9.67810701342997</v>
      </c>
      <c r="K20" s="0" t="n">
        <v>7.75</v>
      </c>
      <c r="L20" s="0" t="n">
        <v>1287</v>
      </c>
      <c r="M20" s="0" t="n">
        <v>599</v>
      </c>
      <c r="N20" s="0" t="n">
        <v>688</v>
      </c>
      <c r="O20" s="0" t="n">
        <v>5852</v>
      </c>
      <c r="P20" s="0" t="n">
        <v>15213</v>
      </c>
      <c r="Q20" s="0" t="n">
        <v>9361</v>
      </c>
      <c r="R20" s="0" t="n">
        <v>4567</v>
      </c>
      <c r="S20" s="0" t="n">
        <v>837</v>
      </c>
      <c r="T20" s="0" t="n">
        <v>223.588347</v>
      </c>
      <c r="U20" s="0" t="n">
        <v>63</v>
      </c>
      <c r="V20" s="0" t="n">
        <v>3.26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8752</v>
      </c>
      <c r="C21" s="0" t="n">
        <v>6908</v>
      </c>
      <c r="D21" s="0" t="n">
        <v>1844</v>
      </c>
      <c r="E21" s="0" t="n">
        <v>21.0694698354662</v>
      </c>
      <c r="I21" s="0" t="n">
        <v>475</v>
      </c>
      <c r="J21" s="0" t="n">
        <v>5.42733089579525</v>
      </c>
      <c r="K21" s="0" t="n">
        <v>4.14</v>
      </c>
      <c r="L21" s="0" t="n">
        <v>970</v>
      </c>
      <c r="M21" s="0" t="n">
        <v>546</v>
      </c>
      <c r="N21" s="0" t="n">
        <v>424</v>
      </c>
      <c r="O21" s="0" t="n">
        <v>6037</v>
      </c>
      <c r="P21" s="0" t="n">
        <v>14859</v>
      </c>
      <c r="Q21" s="0" t="n">
        <v>8822</v>
      </c>
      <c r="R21" s="0" t="n">
        <v>4201</v>
      </c>
      <c r="S21" s="0" t="n">
        <v>566</v>
      </c>
      <c r="T21" s="0" t="n">
        <v>223.938047</v>
      </c>
      <c r="U21" s="0" t="n">
        <v>48</v>
      </c>
      <c r="V21" s="0" t="n">
        <v>3.33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66.97</v>
      </c>
    </row>
    <row r="3" customFormat="false" ht="15" hidden="false" customHeight="false" outlineLevel="0" collapsed="false">
      <c r="A3" s="0" t="s">
        <v>86</v>
      </c>
      <c r="B3" s="3" t="n">
        <v>115.3</v>
      </c>
    </row>
    <row r="4" customFormat="false" ht="15" hidden="false" customHeight="false" outlineLevel="0" collapsed="false">
      <c r="A4" s="0" t="s">
        <v>87</v>
      </c>
      <c r="B4" s="3" t="n">
        <v>4526</v>
      </c>
    </row>
    <row r="5" customFormat="false" ht="15" hidden="false" customHeight="false" outlineLevel="0" collapsed="false">
      <c r="A5" s="0" t="s">
        <v>88</v>
      </c>
      <c r="B5" s="3" t="n">
        <v>-79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8752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</v>
      </c>
      <c r="D13" s="3" t="n">
        <v>-4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16.2</v>
      </c>
      <c r="D14" s="3" t="n">
        <v>14.8</v>
      </c>
      <c r="E14" s="3" t="n">
        <v>15</v>
      </c>
      <c r="F14" s="3" t="n">
        <v>15.5</v>
      </c>
      <c r="G14" s="3" t="n">
        <v>16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108</v>
      </c>
      <c r="C15" s="3" t="n">
        <v>0.55</v>
      </c>
      <c r="D15" s="3" t="n">
        <v>0.55</v>
      </c>
      <c r="E15" s="3" t="n">
        <v>0.55</v>
      </c>
      <c r="F15" s="3" t="n">
        <v>0.55</v>
      </c>
      <c r="G15" s="3" t="n">
        <v>0.55</v>
      </c>
      <c r="H15" s="3" t="n">
        <v>0.55</v>
      </c>
      <c r="I15" s="3" t="n">
        <v>0.55</v>
      </c>
      <c r="J15" s="3" t="n">
        <v>0.55</v>
      </c>
      <c r="K15" s="3" t="n">
        <v>0.55</v>
      </c>
      <c r="L15" s="3" t="n">
        <v>0.55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5.8</v>
      </c>
      <c r="D17" s="3" t="n">
        <v>6.1</v>
      </c>
      <c r="E17" s="3" t="n">
        <v>6.1</v>
      </c>
      <c r="F17" s="3" t="n">
        <v>6</v>
      </c>
      <c r="G17" s="3" t="n">
        <v>5.9</v>
      </c>
      <c r="H17" s="3" t="n">
        <v>5.8</v>
      </c>
      <c r="I17" s="3" t="n">
        <v>5.7</v>
      </c>
      <c r="J17" s="3" t="n">
        <v>5.6</v>
      </c>
      <c r="K17" s="3" t="n">
        <v>5.5</v>
      </c>
      <c r="L17" s="3" t="n">
        <v>5.5</v>
      </c>
    </row>
    <row r="18" customFormat="false" ht="15" hidden="false" customHeight="false" outlineLevel="0" collapsed="false">
      <c r="A18" s="0" t="s">
        <v>111</v>
      </c>
      <c r="C18" s="3" t="n">
        <v>4.3</v>
      </c>
      <c r="D18" s="3" t="n">
        <v>4.5</v>
      </c>
      <c r="E18" s="3" t="n">
        <v>4.8</v>
      </c>
      <c r="F18" s="3" t="n">
        <v>5</v>
      </c>
      <c r="G18" s="3" t="n">
        <v>5.2</v>
      </c>
      <c r="H18" s="3" t="n">
        <v>5.3</v>
      </c>
      <c r="I18" s="3" t="n">
        <v>5.3</v>
      </c>
      <c r="J18" s="3" t="n">
        <v>5.3</v>
      </c>
      <c r="K18" s="3" t="n">
        <v>5.3</v>
      </c>
      <c r="L18" s="3" t="n">
        <v>5.3</v>
      </c>
    </row>
    <row r="19" customFormat="false" ht="15" hidden="false" customHeight="false" outlineLevel="0" collapsed="false">
      <c r="A19" s="0" t="s">
        <v>112</v>
      </c>
      <c r="C19" s="3" t="n">
        <v>19</v>
      </c>
      <c r="D19" s="3" t="n">
        <v>20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-10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</v>
      </c>
      <c r="D27" s="3" t="n">
        <v>4</v>
      </c>
      <c r="E27" s="3" t="n">
        <v>3</v>
      </c>
      <c r="F27" s="3" t="n">
        <v>3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16.8</v>
      </c>
      <c r="D28" s="3" t="n">
        <v>17.4</v>
      </c>
      <c r="E28" s="3" t="n">
        <v>17.8</v>
      </c>
      <c r="F28" s="3" t="n">
        <v>18</v>
      </c>
      <c r="G28" s="3" t="n">
        <v>18</v>
      </c>
      <c r="H28" s="3" t="n">
        <v>18</v>
      </c>
      <c r="I28" s="3" t="n">
        <v>18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108</v>
      </c>
      <c r="C29" s="3" t="n">
        <v>0.55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5.7</v>
      </c>
      <c r="D31" s="3" t="n">
        <v>5.6</v>
      </c>
      <c r="E31" s="3" t="n">
        <v>5.5</v>
      </c>
      <c r="F31" s="3" t="n">
        <v>5.4</v>
      </c>
      <c r="G31" s="3" t="n">
        <v>5.3</v>
      </c>
      <c r="H31" s="3" t="n">
        <v>5.2</v>
      </c>
      <c r="I31" s="3" t="n">
        <v>5.1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111</v>
      </c>
      <c r="C32" s="3" t="n">
        <v>4.3</v>
      </c>
      <c r="D32" s="3" t="n">
        <v>4.8</v>
      </c>
      <c r="E32" s="3" t="n">
        <v>5</v>
      </c>
      <c r="F32" s="3" t="n">
        <v>5.2</v>
      </c>
      <c r="G32" s="3" t="n">
        <v>5.3</v>
      </c>
      <c r="H32" s="3" t="n">
        <v>5.3</v>
      </c>
      <c r="I32" s="3" t="n">
        <v>5.3</v>
      </c>
      <c r="J32" s="3" t="n">
        <v>5.3</v>
      </c>
      <c r="K32" s="3" t="n">
        <v>5.3</v>
      </c>
      <c r="L32" s="3" t="n">
        <v>5.3</v>
      </c>
    </row>
    <row r="33" customFormat="false" ht="15" hidden="false" customHeight="false" outlineLevel="0" collapsed="false">
      <c r="A33" s="0" t="s">
        <v>112</v>
      </c>
      <c r="C33" s="3" t="n">
        <v>19</v>
      </c>
      <c r="D33" s="3" t="n">
        <v>20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-13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6</v>
      </c>
      <c r="E41" s="3" t="n">
        <v>5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17.2</v>
      </c>
      <c r="D42" s="3" t="n">
        <v>18.4</v>
      </c>
      <c r="E42" s="3" t="n">
        <v>19.2</v>
      </c>
      <c r="F42" s="3" t="n">
        <v>19.8</v>
      </c>
      <c r="G42" s="3" t="n">
        <v>20</v>
      </c>
      <c r="H42" s="3" t="n">
        <v>20</v>
      </c>
      <c r="I42" s="3" t="n">
        <v>20</v>
      </c>
      <c r="J42" s="3" t="n">
        <v>20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108</v>
      </c>
      <c r="C43" s="3" t="n">
        <v>0.55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5.7</v>
      </c>
      <c r="D45" s="3" t="n">
        <v>5.5</v>
      </c>
      <c r="E45" s="3" t="n">
        <v>5.3</v>
      </c>
      <c r="F45" s="3" t="n">
        <v>5.2</v>
      </c>
      <c r="G45" s="3" t="n">
        <v>5.1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111</v>
      </c>
      <c r="C46" s="3" t="n">
        <v>4.3</v>
      </c>
      <c r="D46" s="3" t="n">
        <v>5</v>
      </c>
      <c r="E46" s="3" t="n">
        <v>5.5</v>
      </c>
      <c r="F46" s="3" t="n">
        <v>5.7</v>
      </c>
      <c r="G46" s="3" t="n">
        <v>5.8</v>
      </c>
      <c r="H46" s="3" t="n">
        <v>5.8</v>
      </c>
      <c r="I46" s="3" t="n">
        <v>5.8</v>
      </c>
      <c r="J46" s="3" t="n">
        <v>5.8</v>
      </c>
      <c r="K46" s="3" t="n">
        <v>5.8</v>
      </c>
      <c r="L46" s="3" t="n">
        <v>5.8</v>
      </c>
    </row>
    <row r="47" customFormat="false" ht="15" hidden="false" customHeight="false" outlineLevel="0" collapsed="false">
      <c r="A47" s="0" t="s">
        <v>112</v>
      </c>
      <c r="C47" s="3" t="n">
        <v>19</v>
      </c>
      <c r="D47" s="3" t="n">
        <v>20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-13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</v>
      </c>
      <c r="D5" s="4" t="n">
        <f aca="false">Assumptions!D13</f>
        <v>-4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8752</v>
      </c>
      <c r="C6" s="0" t="n">
        <f aca="false">B6*(1+C5/100)</f>
        <v>9102.08</v>
      </c>
      <c r="D6" s="0" t="n">
        <f aca="false">C6*(1+D5/100)</f>
        <v>8737.9968</v>
      </c>
      <c r="E6" s="0" t="n">
        <f aca="false">D6*(1+E5/100)</f>
        <v>8737.9968</v>
      </c>
      <c r="F6" s="0" t="n">
        <f aca="false">E6*(1+F5/100)</f>
        <v>8912.756736</v>
      </c>
      <c r="G6" s="0" t="n">
        <f aca="false">F6*(1+G5/100)</f>
        <v>9091.01187072</v>
      </c>
      <c r="H6" s="0" t="n">
        <f aca="false">G6*(1+H5/100)</f>
        <v>9272.8321081344</v>
      </c>
      <c r="I6" s="0" t="n">
        <f aca="false">H6*(1+I5/100)</f>
        <v>9458.28875029709</v>
      </c>
      <c r="J6" s="0" t="n">
        <f aca="false">I6*(1+J5/100)</f>
        <v>9647.45452530303</v>
      </c>
      <c r="K6" s="0" t="n">
        <f aca="false">J6*(1+K5/100)</f>
        <v>9840.40361580909</v>
      </c>
      <c r="L6" s="0" t="n">
        <f aca="false">K6*(1+L5/100)</f>
        <v>10037.2116881253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16.2</v>
      </c>
      <c r="D7" s="4" t="n">
        <f aca="false">Assumptions!D14</f>
        <v>14.8</v>
      </c>
      <c r="E7" s="4" t="n">
        <f aca="false">Assumptions!E14</f>
        <v>15</v>
      </c>
      <c r="F7" s="4" t="n">
        <f aca="false">Assumptions!F14</f>
        <v>15.5</v>
      </c>
      <c r="G7" s="4" t="n">
        <f aca="false">Assumptions!G14</f>
        <v>16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1474.53696</v>
      </c>
      <c r="D8" s="0" t="n">
        <f aca="false">D6*D7/100</f>
        <v>1293.2235264</v>
      </c>
      <c r="E8" s="0" t="n">
        <f aca="false">E6*E7/100</f>
        <v>1310.69952</v>
      </c>
      <c r="F8" s="0" t="n">
        <f aca="false">F6*F7/100</f>
        <v>1381.47729408</v>
      </c>
      <c r="G8" s="0" t="n">
        <f aca="false">G6*G7/100</f>
        <v>1454.5618993152</v>
      </c>
      <c r="H8" s="0" t="n">
        <f aca="false">H6*H7/100</f>
        <v>1483.6531373015</v>
      </c>
      <c r="I8" s="0" t="n">
        <f aca="false">I6*I7/100</f>
        <v>1513.32620004753</v>
      </c>
      <c r="J8" s="0" t="n">
        <f aca="false">J6*J7/100</f>
        <v>1543.59272404848</v>
      </c>
      <c r="K8" s="0" t="n">
        <f aca="false">K6*K7/100</f>
        <v>1574.46457852945</v>
      </c>
      <c r="L8" s="0" t="n">
        <f aca="false">L6*L7/100</f>
        <v>1605.95387010004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0.55</v>
      </c>
      <c r="D9" s="4" t="n">
        <f aca="false">Assumptions!D15</f>
        <v>0.55</v>
      </c>
      <c r="E9" s="4" t="n">
        <f aca="false">Assumptions!E15</f>
        <v>0.55</v>
      </c>
      <c r="F9" s="4" t="n">
        <f aca="false">Assumptions!F15</f>
        <v>0.55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0.55</v>
      </c>
      <c r="J9" s="4" t="n">
        <f aca="false">Assumptions!J15</f>
        <v>0.55</v>
      </c>
      <c r="K9" s="4" t="n">
        <f aca="false">Assumptions!K15</f>
        <v>0.55</v>
      </c>
      <c r="L9" s="4" t="n">
        <f aca="false">Assumptions!L15</f>
        <v>0.55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-50.06144</v>
      </c>
      <c r="D10" s="0" t="n">
        <f aca="false">-D6*D9/100</f>
        <v>-48.0589824</v>
      </c>
      <c r="E10" s="0" t="n">
        <f aca="false">-E6*E9/100</f>
        <v>-48.0589824</v>
      </c>
      <c r="F10" s="0" t="n">
        <f aca="false">-F6*F9/100</f>
        <v>-49.020162048</v>
      </c>
      <c r="G10" s="0" t="n">
        <f aca="false">-G6*G9/100</f>
        <v>-50.00056528896</v>
      </c>
      <c r="H10" s="0" t="n">
        <f aca="false">-H6*H9/100</f>
        <v>-51.0005765947392</v>
      </c>
      <c r="I10" s="0" t="n">
        <f aca="false">-I6*I9/100</f>
        <v>-52.020588126634</v>
      </c>
      <c r="J10" s="0" t="n">
        <f aca="false">-J6*J9/100</f>
        <v>-53.0609998891667</v>
      </c>
      <c r="K10" s="0" t="n">
        <f aca="false">-K6*K9/100</f>
        <v>-54.12221988695</v>
      </c>
      <c r="L10" s="0" t="n">
        <f aca="false">-L6*L9/100</f>
        <v>-55.204664284689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1424.47552</v>
      </c>
      <c r="D11" s="0" t="n">
        <f aca="false">D8+D10+D24</f>
        <v>1245.164544</v>
      </c>
      <c r="E11" s="0" t="n">
        <f aca="false">E8+E10+E24</f>
        <v>1262.6405376</v>
      </c>
      <c r="F11" s="0" t="n">
        <f aca="false">F8+F10+F24</f>
        <v>1332.457132032</v>
      </c>
      <c r="G11" s="0" t="n">
        <f aca="false">G8+G10+G24</f>
        <v>1404.56133402624</v>
      </c>
      <c r="H11" s="0" t="n">
        <f aca="false">H8+H10+H24</f>
        <v>1432.65256070677</v>
      </c>
      <c r="I11" s="0" t="n">
        <f aca="false">I8+I10+I24</f>
        <v>1461.3056119209</v>
      </c>
      <c r="J11" s="0" t="n">
        <f aca="false">J8+J10+J24</f>
        <v>1490.53172415932</v>
      </c>
      <c r="K11" s="0" t="n">
        <f aca="false">K8+K10+K24</f>
        <v>1520.3423586425</v>
      </c>
      <c r="L11" s="0" t="n">
        <f aca="false">L8+L10+L24</f>
        <v>1550.74920581535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-527.92064</v>
      </c>
      <c r="D12" s="4" t="n">
        <f aca="false">-D6*Assumptions!D17/100</f>
        <v>-533.0178048</v>
      </c>
      <c r="E12" s="4" t="n">
        <f aca="false">-E6*Assumptions!E17/100</f>
        <v>-533.0178048</v>
      </c>
      <c r="F12" s="4" t="n">
        <f aca="false">-F6*Assumptions!F17/100</f>
        <v>-534.76540416</v>
      </c>
      <c r="G12" s="4" t="n">
        <f aca="false">-G6*Assumptions!G17/100</f>
        <v>-536.36970037248</v>
      </c>
      <c r="H12" s="4" t="n">
        <f aca="false">-H6*Assumptions!H17/100</f>
        <v>-537.824262271795</v>
      </c>
      <c r="I12" s="4" t="n">
        <f aca="false">-I6*Assumptions!I17/100</f>
        <v>-539.122458766934</v>
      </c>
      <c r="J12" s="4" t="n">
        <f aca="false">-J6*Assumptions!J17/100</f>
        <v>-540.25745341697</v>
      </c>
      <c r="K12" s="4" t="n">
        <f aca="false">-K6*Assumptions!K17/100</f>
        <v>-541.2221988695</v>
      </c>
      <c r="L12" s="4" t="n">
        <f aca="false">-L6*Assumptions!L17/100</f>
        <v>-552.04664284689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896.55488</v>
      </c>
      <c r="D13" s="0" t="n">
        <f aca="false">D11+D12</f>
        <v>712.1467392</v>
      </c>
      <c r="E13" s="0" t="n">
        <f aca="false">E11+E12</f>
        <v>729.6227328</v>
      </c>
      <c r="F13" s="0" t="n">
        <f aca="false">F11+F12</f>
        <v>797.691727872</v>
      </c>
      <c r="G13" s="0" t="n">
        <f aca="false">G11+G12</f>
        <v>868.19163365376</v>
      </c>
      <c r="H13" s="0" t="n">
        <f aca="false">H11+H12</f>
        <v>894.82829843497</v>
      </c>
      <c r="I13" s="0" t="n">
        <f aca="false">I11+I12</f>
        <v>922.183153153966</v>
      </c>
      <c r="J13" s="0" t="n">
        <f aca="false">J11+J12</f>
        <v>950.274270742349</v>
      </c>
      <c r="K13" s="0" t="n">
        <f aca="false">K11+K12</f>
        <v>979.120159773005</v>
      </c>
      <c r="L13" s="0" t="n">
        <f aca="false">L11+L12</f>
        <v>998.702562968465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19</v>
      </c>
      <c r="D14" s="4" t="n">
        <f aca="false">Assumptions!D19</f>
        <v>20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726.2094528</v>
      </c>
      <c r="D15" s="0" t="n">
        <f aca="false">D13-MAX(0,D13)*D14/100</f>
        <v>569.71739136</v>
      </c>
      <c r="E15" s="0" t="n">
        <f aca="false">E13-MAX(0,E13)*E14/100</f>
        <v>576.401958912</v>
      </c>
      <c r="F15" s="0" t="n">
        <f aca="false">F13-MAX(0,F13)*F14/100</f>
        <v>630.17646501888</v>
      </c>
      <c r="G15" s="0" t="n">
        <f aca="false">G13-MAX(0,G13)*G14/100</f>
        <v>685.87139058647</v>
      </c>
      <c r="H15" s="0" t="n">
        <f aca="false">H13-MAX(0,H13)*H14/100</f>
        <v>706.914355763626</v>
      </c>
      <c r="I15" s="0" t="n">
        <f aca="false">I13-MAX(0,I13)*I14/100</f>
        <v>728.524690991633</v>
      </c>
      <c r="J15" s="0" t="n">
        <f aca="false">J13-MAX(0,J13)*J14/100</f>
        <v>750.716673886455</v>
      </c>
      <c r="K15" s="0" t="n">
        <f aca="false">K13-MAX(0,K13)*K14/100</f>
        <v>773.504926220674</v>
      </c>
      <c r="L15" s="0" t="n">
        <f aca="false">L13-MAX(0,L13)*L14/100</f>
        <v>788.975024745087</v>
      </c>
    </row>
    <row r="16" customFormat="false" ht="15" hidden="false" customHeight="false" outlineLevel="0" collapsed="false">
      <c r="A16" s="0" t="s">
        <v>128</v>
      </c>
      <c r="C16" s="0" t="n">
        <f aca="false">-C12</f>
        <v>527.92064</v>
      </c>
      <c r="D16" s="0" t="n">
        <f aca="false">-D12</f>
        <v>533.0178048</v>
      </c>
      <c r="E16" s="0" t="n">
        <f aca="false">-E12</f>
        <v>533.0178048</v>
      </c>
      <c r="F16" s="0" t="n">
        <f aca="false">-F12</f>
        <v>534.76540416</v>
      </c>
      <c r="G16" s="0" t="n">
        <f aca="false">-G12</f>
        <v>536.36970037248</v>
      </c>
      <c r="H16" s="0" t="n">
        <f aca="false">-H12</f>
        <v>537.824262271795</v>
      </c>
      <c r="I16" s="0" t="n">
        <f aca="false">-I12</f>
        <v>539.122458766934</v>
      </c>
      <c r="J16" s="0" t="n">
        <f aca="false">-J12</f>
        <v>540.25745341697</v>
      </c>
      <c r="K16" s="0" t="n">
        <f aca="false">-K12</f>
        <v>541.2221988695</v>
      </c>
      <c r="L16" s="0" t="n">
        <f aca="false">-L12</f>
        <v>552.04664284689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-391.38944</v>
      </c>
      <c r="D17" s="4" t="n">
        <f aca="false">-D6*Assumptions!D18/100</f>
        <v>-393.209856</v>
      </c>
      <c r="E17" s="4" t="n">
        <f aca="false">-E6*Assumptions!E18/100</f>
        <v>-419.4238464</v>
      </c>
      <c r="F17" s="4" t="n">
        <f aca="false">-F6*Assumptions!F18/100</f>
        <v>-445.6378368</v>
      </c>
      <c r="G17" s="4" t="n">
        <f aca="false">-G6*Assumptions!G18/100</f>
        <v>-472.73261727744</v>
      </c>
      <c r="H17" s="4" t="n">
        <f aca="false">-H6*Assumptions!H18/100</f>
        <v>-491.460101731123</v>
      </c>
      <c r="I17" s="4" t="n">
        <f aca="false">-I6*Assumptions!I18/100</f>
        <v>-501.289303765746</v>
      </c>
      <c r="J17" s="4" t="n">
        <f aca="false">-J6*Assumptions!J18/100</f>
        <v>-511.315089841061</v>
      </c>
      <c r="K17" s="4" t="n">
        <f aca="false">-K6*Assumptions!K18/100</f>
        <v>-521.541391637882</v>
      </c>
      <c r="L17" s="4" t="n">
        <f aca="false">-L6*Assumptions!L18/100</f>
        <v>-531.97221947064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-35.008</v>
      </c>
      <c r="D18" s="4" t="n">
        <f aca="false">(D6-C6)*Assumptions!$B$23/100</f>
        <v>36.4083200000001</v>
      </c>
      <c r="E18" s="4" t="n">
        <f aca="false">(E6-D6)*Assumptions!$B$23/100</f>
        <v>-0</v>
      </c>
      <c r="F18" s="4" t="n">
        <f aca="false">(F6-E6)*Assumptions!$B$23/100</f>
        <v>-17.4759936</v>
      </c>
      <c r="G18" s="4" t="n">
        <f aca="false">(G6-F6)*Assumptions!$B$23/100</f>
        <v>-17.8255134720001</v>
      </c>
      <c r="H18" s="4" t="n">
        <f aca="false">(H6-G6)*Assumptions!$B$23/100</f>
        <v>-18.18202374144</v>
      </c>
      <c r="I18" s="4" t="n">
        <f aca="false">(I6-H6)*Assumptions!$B$23/100</f>
        <v>-18.5456642162688</v>
      </c>
      <c r="J18" s="4" t="n">
        <f aca="false">(J6-I6)*Assumptions!$B$23/100</f>
        <v>-18.9165775005942</v>
      </c>
      <c r="K18" s="4" t="n">
        <f aca="false">(K6-J6)*Assumptions!$B$23/100</f>
        <v>-19.2949090506061</v>
      </c>
      <c r="L18" s="4" t="n">
        <f aca="false">(L6-K6)*Assumptions!$B$23/100</f>
        <v>-19.6808072316182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827.7326528</v>
      </c>
      <c r="D19" s="0" t="n">
        <f aca="false">D15+D16+D17+D18</f>
        <v>745.93366016</v>
      </c>
      <c r="E19" s="0" t="n">
        <f aca="false">E15+E16+E17+E18</f>
        <v>689.995917312</v>
      </c>
      <c r="F19" s="0" t="n">
        <f aca="false">F15+F16+F17+F18</f>
        <v>701.82803877888</v>
      </c>
      <c r="G19" s="0" t="n">
        <f aca="false">G15+G16+G17+G18</f>
        <v>731.68296020951</v>
      </c>
      <c r="H19" s="0" t="n">
        <f aca="false">H15+H16+H17+H18</f>
        <v>735.096492562858</v>
      </c>
      <c r="I19" s="0" t="n">
        <f aca="false">I15+I16+I17+I18</f>
        <v>747.812181776553</v>
      </c>
      <c r="J19" s="0" t="n">
        <f aca="false">J15+J16+J17+J18</f>
        <v>760.74245996177</v>
      </c>
      <c r="K19" s="0" t="n">
        <f aca="false">K15+K16+K17+K18</f>
        <v>773.890824401686</v>
      </c>
      <c r="L19" s="0" t="n">
        <f aca="false">L15+L16+L17+L18</f>
        <v>789.36864088972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766.419122962963</v>
      </c>
      <c r="D21" s="0" t="n">
        <f aca="false">D19*D20</f>
        <v>639.517884224966</v>
      </c>
      <c r="E21" s="0" t="n">
        <f aca="false">E19*E20</f>
        <v>547.741005334553</v>
      </c>
      <c r="F21" s="0" t="n">
        <f aca="false">F19*F20</f>
        <v>515.864560032064</v>
      </c>
      <c r="G21" s="0" t="n">
        <f aca="false">G19*G20</f>
        <v>497.971128274509</v>
      </c>
      <c r="H21" s="0" t="n">
        <f aca="false">H19*H20</f>
        <v>463.235482441415</v>
      </c>
      <c r="I21" s="0" t="n">
        <f aca="false">I19*I20</f>
        <v>436.341225526639</v>
      </c>
      <c r="J21" s="0" t="n">
        <f aca="false">J19*J20</f>
        <v>411.005480236835</v>
      </c>
      <c r="K21" s="0" t="n">
        <f aca="false">K19*K20</f>
        <v>387.138085579457</v>
      </c>
      <c r="L21" s="0" t="n">
        <f aca="false">L19*L20</f>
        <v>365.630414158376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5030.86438877178</v>
      </c>
    </row>
    <row r="31" customFormat="false" ht="15" hidden="false" customHeight="false" outlineLevel="0" collapsed="false">
      <c r="A31" s="0" t="s">
        <v>137</v>
      </c>
      <c r="B31" s="0" t="n">
        <f aca="false">L19</f>
        <v>789.36864088972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13419.2668951252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9472.42369067664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9472.42369067664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4387.56496990051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9418.42935867228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4813.42935867228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41.7470022434717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-0.376631293960405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339.572373910567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434.697497145675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48.462265652459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6193.50779775011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5.99480874000601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</v>
      </c>
      <c r="D5" s="4" t="n">
        <f aca="false">Assumptions!D27</f>
        <v>4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8752</v>
      </c>
      <c r="C6" s="0" t="n">
        <f aca="false">B6*(1+C5/100)</f>
        <v>9364.64</v>
      </c>
      <c r="D6" s="0" t="n">
        <f aca="false">C6*(1+D5/100)</f>
        <v>9739.2256</v>
      </c>
      <c r="E6" s="0" t="n">
        <f aca="false">D6*(1+E5/100)</f>
        <v>10031.402368</v>
      </c>
      <c r="F6" s="0" t="n">
        <f aca="false">E6*(1+F5/100)</f>
        <v>10332.34443904</v>
      </c>
      <c r="G6" s="0" t="n">
        <f aca="false">F6*(1+G5/100)</f>
        <v>10590.653050016</v>
      </c>
      <c r="H6" s="0" t="n">
        <f aca="false">G6*(1+H5/100)</f>
        <v>10855.4193762664</v>
      </c>
      <c r="I6" s="0" t="n">
        <f aca="false">H6*(1+I5/100)</f>
        <v>11126.8048606731</v>
      </c>
      <c r="J6" s="0" t="n">
        <f aca="false">I6*(1+J5/100)</f>
        <v>11404.9749821899</v>
      </c>
      <c r="K6" s="0" t="n">
        <f aca="false">J6*(1+K5/100)</f>
        <v>11690.0993567446</v>
      </c>
      <c r="L6" s="0" t="n">
        <f aca="false">K6*(1+L5/100)</f>
        <v>11982.3518406632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16.8</v>
      </c>
      <c r="D7" s="4" t="n">
        <f aca="false">Assumptions!D28</f>
        <v>17.4</v>
      </c>
      <c r="E7" s="4" t="n">
        <f aca="false">Assumptions!E28</f>
        <v>17.8</v>
      </c>
      <c r="F7" s="4" t="n">
        <f aca="false">Assumptions!F28</f>
        <v>18</v>
      </c>
      <c r="G7" s="4" t="n">
        <f aca="false">Assumptions!G28</f>
        <v>18</v>
      </c>
      <c r="H7" s="4" t="n">
        <f aca="false">Assumptions!H28</f>
        <v>18</v>
      </c>
      <c r="I7" s="4" t="n">
        <f aca="false">Assumptions!I28</f>
        <v>18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1573.25952</v>
      </c>
      <c r="D8" s="0" t="n">
        <f aca="false">D6*D7/100</f>
        <v>1694.6252544</v>
      </c>
      <c r="E8" s="0" t="n">
        <f aca="false">E6*E7/100</f>
        <v>1785.589621504</v>
      </c>
      <c r="F8" s="0" t="n">
        <f aca="false">F6*F7/100</f>
        <v>1859.8219990272</v>
      </c>
      <c r="G8" s="0" t="n">
        <f aca="false">G6*G7/100</f>
        <v>1906.31754900288</v>
      </c>
      <c r="H8" s="0" t="n">
        <f aca="false">H6*H7/100</f>
        <v>1953.97548772795</v>
      </c>
      <c r="I8" s="0" t="n">
        <f aca="false">I6*I7/100</f>
        <v>2002.82487492115</v>
      </c>
      <c r="J8" s="0" t="n">
        <f aca="false">J6*J7/100</f>
        <v>2052.89549679418</v>
      </c>
      <c r="K8" s="0" t="n">
        <f aca="false">K6*K7/100</f>
        <v>2104.21788421403</v>
      </c>
      <c r="L8" s="0" t="n">
        <f aca="false">L6*L7/100</f>
        <v>2156.82333131938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0.55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-51.50552</v>
      </c>
      <c r="D10" s="0" t="n">
        <f aca="false">-D6*D9/100</f>
        <v>-53.5657408</v>
      </c>
      <c r="E10" s="0" t="n">
        <f aca="false">-E6*E9/100</f>
        <v>-55.172713024</v>
      </c>
      <c r="F10" s="0" t="n">
        <f aca="false">-F6*F9/100</f>
        <v>-56.82789441472</v>
      </c>
      <c r="G10" s="0" t="n">
        <f aca="false">-G6*G9/100</f>
        <v>-58.248591775088</v>
      </c>
      <c r="H10" s="0" t="n">
        <f aca="false">-H6*H9/100</f>
        <v>-59.7048065694652</v>
      </c>
      <c r="I10" s="0" t="n">
        <f aca="false">-I6*I9/100</f>
        <v>-61.1974267337018</v>
      </c>
      <c r="J10" s="0" t="n">
        <f aca="false">-J6*J9/100</f>
        <v>-62.7273624020444</v>
      </c>
      <c r="K10" s="0" t="n">
        <f aca="false">-K6*K9/100</f>
        <v>-64.2955464620955</v>
      </c>
      <c r="L10" s="0" t="n">
        <f aca="false">-L6*L9/100</f>
        <v>-65.9029351236479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1521.754</v>
      </c>
      <c r="D11" s="0" t="n">
        <f aca="false">D8+D10+D24</f>
        <v>1641.0595136</v>
      </c>
      <c r="E11" s="0" t="n">
        <f aca="false">E8+E10+E24</f>
        <v>1730.41690848</v>
      </c>
      <c r="F11" s="0" t="n">
        <f aca="false">F8+F10+F24</f>
        <v>1802.99410461248</v>
      </c>
      <c r="G11" s="0" t="n">
        <f aca="false">G8+G10+G24</f>
        <v>1848.06895722779</v>
      </c>
      <c r="H11" s="0" t="n">
        <f aca="false">H8+H10+H24</f>
        <v>1894.27068115849</v>
      </c>
      <c r="I11" s="0" t="n">
        <f aca="false">I8+I10+I24</f>
        <v>1941.62744818745</v>
      </c>
      <c r="J11" s="0" t="n">
        <f aca="false">J8+J10+J24</f>
        <v>1990.16813439214</v>
      </c>
      <c r="K11" s="0" t="n">
        <f aca="false">K8+K10+K24</f>
        <v>2039.92233775194</v>
      </c>
      <c r="L11" s="0" t="n">
        <f aca="false">L8+L10+L24</f>
        <v>2090.92039619574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-533.78448</v>
      </c>
      <c r="D12" s="4" t="n">
        <f aca="false">-D6*Assumptions!D31/100</f>
        <v>-545.3966336</v>
      </c>
      <c r="E12" s="4" t="n">
        <f aca="false">-E6*Assumptions!E31/100</f>
        <v>-551.72713024</v>
      </c>
      <c r="F12" s="4" t="n">
        <f aca="false">-F6*Assumptions!F31/100</f>
        <v>-557.94659970816</v>
      </c>
      <c r="G12" s="4" t="n">
        <f aca="false">-G6*Assumptions!G31/100</f>
        <v>-561.304611650848</v>
      </c>
      <c r="H12" s="4" t="n">
        <f aca="false">-H6*Assumptions!H31/100</f>
        <v>-564.481807565853</v>
      </c>
      <c r="I12" s="4" t="n">
        <f aca="false">-I6*Assumptions!I31/100</f>
        <v>-567.467047894326</v>
      </c>
      <c r="J12" s="4" t="n">
        <f aca="false">-J6*Assumptions!J31/100</f>
        <v>-570.248749109494</v>
      </c>
      <c r="K12" s="4" t="n">
        <f aca="false">-K6*Assumptions!K31/100</f>
        <v>-584.504967837232</v>
      </c>
      <c r="L12" s="4" t="n">
        <f aca="false">-L6*Assumptions!L31/100</f>
        <v>-599.117592033162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987.96952</v>
      </c>
      <c r="D13" s="0" t="n">
        <f aca="false">D11+D12</f>
        <v>1095.66288</v>
      </c>
      <c r="E13" s="0" t="n">
        <f aca="false">E11+E12</f>
        <v>1178.68977824</v>
      </c>
      <c r="F13" s="0" t="n">
        <f aca="false">F11+F12</f>
        <v>1245.04750490432</v>
      </c>
      <c r="G13" s="0" t="n">
        <f aca="false">G11+G12</f>
        <v>1286.76434557694</v>
      </c>
      <c r="H13" s="0" t="n">
        <f aca="false">H11+H12</f>
        <v>1329.78887359263</v>
      </c>
      <c r="I13" s="0" t="n">
        <f aca="false">I11+I12</f>
        <v>1374.16040029312</v>
      </c>
      <c r="J13" s="0" t="n">
        <f aca="false">J11+J12</f>
        <v>1419.91938528264</v>
      </c>
      <c r="K13" s="0" t="n">
        <f aca="false">K11+K12</f>
        <v>1455.41736991471</v>
      </c>
      <c r="L13" s="0" t="n">
        <f aca="false">L11+L12</f>
        <v>1491.80280416257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19</v>
      </c>
      <c r="D14" s="4" t="n">
        <f aca="false">Assumptions!D33</f>
        <v>20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800.2553112</v>
      </c>
      <c r="D15" s="0" t="n">
        <f aca="false">D13-MAX(0,D13)*D14/100</f>
        <v>876.530304</v>
      </c>
      <c r="E15" s="0" t="n">
        <f aca="false">E13-MAX(0,E13)*E14/100</f>
        <v>931.164924809601</v>
      </c>
      <c r="F15" s="0" t="n">
        <f aca="false">F13-MAX(0,F13)*F14/100</f>
        <v>983.587528874413</v>
      </c>
      <c r="G15" s="0" t="n">
        <f aca="false">G13-MAX(0,G13)*G14/100</f>
        <v>1016.54383300579</v>
      </c>
      <c r="H15" s="0" t="n">
        <f aca="false">H13-MAX(0,H13)*H14/100</f>
        <v>1050.53321013818</v>
      </c>
      <c r="I15" s="0" t="n">
        <f aca="false">I13-MAX(0,I13)*I14/100</f>
        <v>1085.58671623157</v>
      </c>
      <c r="J15" s="0" t="n">
        <f aca="false">J13-MAX(0,J13)*J14/100</f>
        <v>1121.73631437329</v>
      </c>
      <c r="K15" s="0" t="n">
        <f aca="false">K13-MAX(0,K13)*K14/100</f>
        <v>1149.77972223262</v>
      </c>
      <c r="L15" s="0" t="n">
        <f aca="false">L13-MAX(0,L13)*L14/100</f>
        <v>1178.52421528843</v>
      </c>
    </row>
    <row r="16" customFormat="false" ht="15" hidden="false" customHeight="false" outlineLevel="0" collapsed="false">
      <c r="A16" s="0" t="s">
        <v>128</v>
      </c>
      <c r="C16" s="0" t="n">
        <f aca="false">-C12</f>
        <v>533.78448</v>
      </c>
      <c r="D16" s="0" t="n">
        <f aca="false">-D12</f>
        <v>545.3966336</v>
      </c>
      <c r="E16" s="0" t="n">
        <f aca="false">-E12</f>
        <v>551.72713024</v>
      </c>
      <c r="F16" s="0" t="n">
        <f aca="false">-F12</f>
        <v>557.94659970816</v>
      </c>
      <c r="G16" s="0" t="n">
        <f aca="false">-G12</f>
        <v>561.304611650848</v>
      </c>
      <c r="H16" s="0" t="n">
        <f aca="false">-H12</f>
        <v>564.481807565853</v>
      </c>
      <c r="I16" s="0" t="n">
        <f aca="false">-I12</f>
        <v>567.467047894326</v>
      </c>
      <c r="J16" s="0" t="n">
        <f aca="false">-J12</f>
        <v>570.248749109494</v>
      </c>
      <c r="K16" s="0" t="n">
        <f aca="false">-K12</f>
        <v>584.504967837232</v>
      </c>
      <c r="L16" s="0" t="n">
        <f aca="false">-L12</f>
        <v>599.117592033162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-402.67952</v>
      </c>
      <c r="D17" s="4" t="n">
        <f aca="false">-D6*Assumptions!D32/100</f>
        <v>-467.4828288</v>
      </c>
      <c r="E17" s="4" t="n">
        <f aca="false">-E6*Assumptions!E32/100</f>
        <v>-501.5701184</v>
      </c>
      <c r="F17" s="4" t="n">
        <f aca="false">-F6*Assumptions!F32/100</f>
        <v>-537.28191083008</v>
      </c>
      <c r="G17" s="4" t="n">
        <f aca="false">-G6*Assumptions!G32/100</f>
        <v>-561.304611650848</v>
      </c>
      <c r="H17" s="4" t="n">
        <f aca="false">-H6*Assumptions!H32/100</f>
        <v>-575.337226942119</v>
      </c>
      <c r="I17" s="4" t="n">
        <f aca="false">-I6*Assumptions!I32/100</f>
        <v>-589.720657615672</v>
      </c>
      <c r="J17" s="4" t="n">
        <f aca="false">-J6*Assumptions!J32/100</f>
        <v>-604.463674056064</v>
      </c>
      <c r="K17" s="4" t="n">
        <f aca="false">-K6*Assumptions!K32/100</f>
        <v>-619.575265907466</v>
      </c>
      <c r="L17" s="4" t="n">
        <f aca="false">-L6*Assumptions!L32/100</f>
        <v>-635.064647555152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-79.6432000000002</v>
      </c>
      <c r="D18" s="4" t="n">
        <f aca="false">(D6-C6)*Assumptions!$B$37/100</f>
        <v>-48.696128</v>
      </c>
      <c r="E18" s="4" t="n">
        <f aca="false">(E6-D6)*Assumptions!$B$37/100</f>
        <v>-37.9829798400002</v>
      </c>
      <c r="F18" s="4" t="n">
        <f aca="false">(F6-E6)*Assumptions!$B$37/100</f>
        <v>-39.1224692352001</v>
      </c>
      <c r="G18" s="4" t="n">
        <f aca="false">(G6-F6)*Assumptions!$B$37/100</f>
        <v>-33.5801194268799</v>
      </c>
      <c r="H18" s="4" t="n">
        <f aca="false">(H6-G6)*Assumptions!$B$37/100</f>
        <v>-34.4196224125519</v>
      </c>
      <c r="I18" s="4" t="n">
        <f aca="false">(I6-H6)*Assumptions!$B$37/100</f>
        <v>-35.2801129728657</v>
      </c>
      <c r="J18" s="4" t="n">
        <f aca="false">(J6-I6)*Assumptions!$B$37/100</f>
        <v>-36.1621157971873</v>
      </c>
      <c r="K18" s="4" t="n">
        <f aca="false">(K6-J6)*Assumptions!$B$37/100</f>
        <v>-37.0661686921169</v>
      </c>
      <c r="L18" s="4" t="n">
        <f aca="false">(L6-K6)*Assumptions!$B$37/100</f>
        <v>-37.99282290942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851.7170712</v>
      </c>
      <c r="D19" s="0" t="n">
        <f aca="false">D15+D16+D17+D18</f>
        <v>905.7479808</v>
      </c>
      <c r="E19" s="0" t="n">
        <f aca="false">E15+E16+E17+E18</f>
        <v>943.3389568096</v>
      </c>
      <c r="F19" s="0" t="n">
        <f aca="false">F15+F16+F17+F18</f>
        <v>965.129748517293</v>
      </c>
      <c r="G19" s="0" t="n">
        <f aca="false">G15+G16+G17+G18</f>
        <v>982.963713578906</v>
      </c>
      <c r="H19" s="0" t="n">
        <f aca="false">H15+H16+H17+H18</f>
        <v>1005.25816834936</v>
      </c>
      <c r="I19" s="0" t="n">
        <f aca="false">I15+I16+I17+I18</f>
        <v>1028.05299353736</v>
      </c>
      <c r="J19" s="0" t="n">
        <f aca="false">J15+J16+J17+J18</f>
        <v>1051.35927362953</v>
      </c>
      <c r="K19" s="0" t="n">
        <f aca="false">K15+K16+K17+K18</f>
        <v>1077.64325547027</v>
      </c>
      <c r="L19" s="0" t="n">
        <f aca="false">L15+L16+L17+L18</f>
        <v>1104.58433685702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788.626917777778</v>
      </c>
      <c r="D21" s="0" t="n">
        <f aca="false">D19*D20</f>
        <v>776.532905349794</v>
      </c>
      <c r="E21" s="0" t="n">
        <f aca="false">E19*E20</f>
        <v>748.852878125794</v>
      </c>
      <c r="F21" s="0" t="n">
        <f aca="false">F19*F20</f>
        <v>709.399176982144</v>
      </c>
      <c r="G21" s="0" t="n">
        <f aca="false">G19*G20</f>
        <v>668.988586755702</v>
      </c>
      <c r="H21" s="0" t="n">
        <f aca="false">H19*H20</f>
        <v>633.483164869911</v>
      </c>
      <c r="I21" s="0" t="n">
        <f aca="false">I19*I20</f>
        <v>599.859047549531</v>
      </c>
      <c r="J21" s="0" t="n">
        <f aca="false">J19*J20</f>
        <v>568.016701974633</v>
      </c>
      <c r="K21" s="0" t="n">
        <f aca="false">K19*K20</f>
        <v>539.089925485184</v>
      </c>
      <c r="L21" s="0" t="n">
        <f aca="false">L19*L20</f>
        <v>511.636271872513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6544.48557674298</v>
      </c>
    </row>
    <row r="31" customFormat="false" ht="15" hidden="false" customHeight="false" outlineLevel="0" collapsed="false">
      <c r="A31" s="0" t="s">
        <v>137</v>
      </c>
      <c r="B31" s="0" t="n">
        <f aca="false">L19</f>
        <v>1104.58433685702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20585.4353686991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15464.1807159983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15464.1807159983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7162.90780621518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13707.3933829582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9102.39338295816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78.945302540834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0.1788159256508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388.736875034093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568.890102814811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87.2508270668436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9057.5915622276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21.3731636187053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6</v>
      </c>
      <c r="E5" s="4" t="n">
        <f aca="false">Assumptions!E41</f>
        <v>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8752</v>
      </c>
      <c r="C6" s="0" t="n">
        <f aca="false">B6*(1+C5/100)</f>
        <v>9539.68</v>
      </c>
      <c r="D6" s="0" t="n">
        <f aca="false">C6*(1+D5/100)</f>
        <v>10112.0608</v>
      </c>
      <c r="E6" s="0" t="n">
        <f aca="false">D6*(1+E5/100)</f>
        <v>10617.66384</v>
      </c>
      <c r="F6" s="0" t="n">
        <f aca="false">E6*(1+F5/100)</f>
        <v>11042.3703936</v>
      </c>
      <c r="G6" s="0" t="n">
        <f aca="false">F6*(1+G5/100)</f>
        <v>11428.853357376</v>
      </c>
      <c r="H6" s="0" t="n">
        <f aca="false">G6*(1+H5/100)</f>
        <v>11771.7189580973</v>
      </c>
      <c r="I6" s="0" t="n">
        <f aca="false">H6*(1+I5/100)</f>
        <v>12124.8705268402</v>
      </c>
      <c r="J6" s="0" t="n">
        <f aca="false">I6*(1+J5/100)</f>
        <v>12488.6166426454</v>
      </c>
      <c r="K6" s="0" t="n">
        <f aca="false">J6*(1+K5/100)</f>
        <v>12863.2751419248</v>
      </c>
      <c r="L6" s="0" t="n">
        <f aca="false">K6*(1+L5/100)</f>
        <v>13249.1733961825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17.2</v>
      </c>
      <c r="D7" s="4" t="n">
        <f aca="false">Assumptions!D42</f>
        <v>18.4</v>
      </c>
      <c r="E7" s="4" t="n">
        <f aca="false">Assumptions!E42</f>
        <v>19.2</v>
      </c>
      <c r="F7" s="4" t="n">
        <f aca="false">Assumptions!F42</f>
        <v>19.8</v>
      </c>
      <c r="G7" s="4" t="n">
        <f aca="false">Assumptions!G42</f>
        <v>20</v>
      </c>
      <c r="H7" s="4" t="n">
        <f aca="false">Assumptions!H42</f>
        <v>20</v>
      </c>
      <c r="I7" s="4" t="n">
        <f aca="false">Assumptions!I42</f>
        <v>20</v>
      </c>
      <c r="J7" s="4" t="n">
        <f aca="false">Assumptions!J42</f>
        <v>20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1640.82496</v>
      </c>
      <c r="D8" s="0" t="n">
        <f aca="false">D6*D7/100</f>
        <v>1860.6191872</v>
      </c>
      <c r="E8" s="0" t="n">
        <f aca="false">E6*E7/100</f>
        <v>2038.59145728</v>
      </c>
      <c r="F8" s="0" t="n">
        <f aca="false">F6*F7/100</f>
        <v>2186.3893379328</v>
      </c>
      <c r="G8" s="0" t="n">
        <f aca="false">G6*G7/100</f>
        <v>2285.7706714752</v>
      </c>
      <c r="H8" s="0" t="n">
        <f aca="false">H6*H7/100</f>
        <v>2354.34379161946</v>
      </c>
      <c r="I8" s="0" t="n">
        <f aca="false">I6*I7/100</f>
        <v>2424.97410536804</v>
      </c>
      <c r="J8" s="0" t="n">
        <f aca="false">J6*J7/100</f>
        <v>2497.72332852908</v>
      </c>
      <c r="K8" s="0" t="n">
        <f aca="false">K6*K7/100</f>
        <v>2572.65502838495</v>
      </c>
      <c r="L8" s="0" t="n">
        <f aca="false">L6*L7/100</f>
        <v>2649.8346792365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0.55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-52.46824</v>
      </c>
      <c r="D10" s="0" t="n">
        <f aca="false">-D6*D9/100</f>
        <v>-55.6163344</v>
      </c>
      <c r="E10" s="0" t="n">
        <f aca="false">-E6*E9/100</f>
        <v>-58.39715112</v>
      </c>
      <c r="F10" s="0" t="n">
        <f aca="false">-F6*F9/100</f>
        <v>-60.7330371648</v>
      </c>
      <c r="G10" s="0" t="n">
        <f aca="false">-G6*G9/100</f>
        <v>-62.858693465568</v>
      </c>
      <c r="H10" s="0" t="n">
        <f aca="false">-H6*H9/100</f>
        <v>-64.7444542695351</v>
      </c>
      <c r="I10" s="0" t="n">
        <f aca="false">-I6*I9/100</f>
        <v>-66.6867878976211</v>
      </c>
      <c r="J10" s="0" t="n">
        <f aca="false">-J6*J9/100</f>
        <v>-68.6873915345498</v>
      </c>
      <c r="K10" s="0" t="n">
        <f aca="false">-K6*K9/100</f>
        <v>-70.7480132805863</v>
      </c>
      <c r="L10" s="0" t="n">
        <f aca="false">-L6*L9/100</f>
        <v>-72.8704536790038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1588.35672</v>
      </c>
      <c r="D11" s="0" t="n">
        <f aca="false">D8+D10+D24</f>
        <v>1805.0028528</v>
      </c>
      <c r="E11" s="0" t="n">
        <f aca="false">E8+E10+E24</f>
        <v>1980.19430616</v>
      </c>
      <c r="F11" s="0" t="n">
        <f aca="false">F8+F10+F24</f>
        <v>2125.656300768</v>
      </c>
      <c r="G11" s="0" t="n">
        <f aca="false">G8+G10+G24</f>
        <v>2222.91197800963</v>
      </c>
      <c r="H11" s="0" t="n">
        <f aca="false">H8+H10+H24</f>
        <v>2289.59933734992</v>
      </c>
      <c r="I11" s="0" t="n">
        <f aca="false">I8+I10+I24</f>
        <v>2358.28731747042</v>
      </c>
      <c r="J11" s="0" t="n">
        <f aca="false">J8+J10+J24</f>
        <v>2429.03593699453</v>
      </c>
      <c r="K11" s="0" t="n">
        <f aca="false">K8+K10+K24</f>
        <v>2501.90701510437</v>
      </c>
      <c r="L11" s="0" t="n">
        <f aca="false">L8+L10+L24</f>
        <v>2576.9642255575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-543.76176</v>
      </c>
      <c r="D12" s="4" t="n">
        <f aca="false">-D6*Assumptions!D45/100</f>
        <v>-556.163344</v>
      </c>
      <c r="E12" s="4" t="n">
        <f aca="false">-E6*Assumptions!E45/100</f>
        <v>-562.73618352</v>
      </c>
      <c r="F12" s="4" t="n">
        <f aca="false">-F6*Assumptions!F45/100</f>
        <v>-574.2032604672</v>
      </c>
      <c r="G12" s="4" t="n">
        <f aca="false">-G6*Assumptions!G45/100</f>
        <v>-582.871521226176</v>
      </c>
      <c r="H12" s="4" t="n">
        <f aca="false">-H6*Assumptions!H45/100</f>
        <v>-588.585947904864</v>
      </c>
      <c r="I12" s="4" t="n">
        <f aca="false">-I6*Assumptions!I45/100</f>
        <v>-606.24352634201</v>
      </c>
      <c r="J12" s="4" t="n">
        <f aca="false">-J6*Assumptions!J45/100</f>
        <v>-624.43083213227</v>
      </c>
      <c r="K12" s="4" t="n">
        <f aca="false">-K6*Assumptions!K45/100</f>
        <v>-643.163757096239</v>
      </c>
      <c r="L12" s="4" t="n">
        <f aca="false">-L6*Assumptions!L45/100</f>
        <v>-662.458669809126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1044.59496</v>
      </c>
      <c r="D13" s="0" t="n">
        <f aca="false">D11+D12</f>
        <v>1248.8395088</v>
      </c>
      <c r="E13" s="0" t="n">
        <f aca="false">E11+E12</f>
        <v>1417.45812264</v>
      </c>
      <c r="F13" s="0" t="n">
        <f aca="false">F11+F12</f>
        <v>1551.4530403008</v>
      </c>
      <c r="G13" s="0" t="n">
        <f aca="false">G11+G12</f>
        <v>1640.04045678346</v>
      </c>
      <c r="H13" s="0" t="n">
        <f aca="false">H11+H12</f>
        <v>1701.01338944506</v>
      </c>
      <c r="I13" s="0" t="n">
        <f aca="false">I11+I12</f>
        <v>1752.04379112841</v>
      </c>
      <c r="J13" s="0" t="n">
        <f aca="false">J11+J12</f>
        <v>1804.60510486226</v>
      </c>
      <c r="K13" s="0" t="n">
        <f aca="false">K11+K12</f>
        <v>1858.74325800813</v>
      </c>
      <c r="L13" s="0" t="n">
        <f aca="false">L11+L12</f>
        <v>1914.50555574837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19</v>
      </c>
      <c r="D14" s="4" t="n">
        <f aca="false">Assumptions!D47</f>
        <v>20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846.1219176</v>
      </c>
      <c r="D15" s="0" t="n">
        <f aca="false">D13-MAX(0,D13)*D14/100</f>
        <v>999.07160704</v>
      </c>
      <c r="E15" s="0" t="n">
        <f aca="false">E13-MAX(0,E13)*E14/100</f>
        <v>1119.7919168856</v>
      </c>
      <c r="F15" s="0" t="n">
        <f aca="false">F13-MAX(0,F13)*F14/100</f>
        <v>1225.64790183763</v>
      </c>
      <c r="G15" s="0" t="n">
        <f aca="false">G13-MAX(0,G13)*G14/100</f>
        <v>1295.63196085893</v>
      </c>
      <c r="H15" s="0" t="n">
        <f aca="false">H13-MAX(0,H13)*H14/100</f>
        <v>1343.8005776616</v>
      </c>
      <c r="I15" s="0" t="n">
        <f aca="false">I13-MAX(0,I13)*I14/100</f>
        <v>1384.11459499144</v>
      </c>
      <c r="J15" s="0" t="n">
        <f aca="false">J13-MAX(0,J13)*J14/100</f>
        <v>1425.63803284119</v>
      </c>
      <c r="K15" s="0" t="n">
        <f aca="false">K13-MAX(0,K13)*K14/100</f>
        <v>1468.40717382642</v>
      </c>
      <c r="L15" s="0" t="n">
        <f aca="false">L13-MAX(0,L13)*L14/100</f>
        <v>1512.45938904122</v>
      </c>
    </row>
    <row r="16" customFormat="false" ht="15" hidden="false" customHeight="false" outlineLevel="0" collapsed="false">
      <c r="A16" s="0" t="s">
        <v>128</v>
      </c>
      <c r="C16" s="0" t="n">
        <f aca="false">-C12</f>
        <v>543.76176</v>
      </c>
      <c r="D16" s="0" t="n">
        <f aca="false">-D12</f>
        <v>556.163344</v>
      </c>
      <c r="E16" s="0" t="n">
        <f aca="false">-E12</f>
        <v>562.73618352</v>
      </c>
      <c r="F16" s="0" t="n">
        <f aca="false">-F12</f>
        <v>574.2032604672</v>
      </c>
      <c r="G16" s="0" t="n">
        <f aca="false">-G12</f>
        <v>582.871521226176</v>
      </c>
      <c r="H16" s="0" t="n">
        <f aca="false">-H12</f>
        <v>588.585947904864</v>
      </c>
      <c r="I16" s="0" t="n">
        <f aca="false">-I12</f>
        <v>606.24352634201</v>
      </c>
      <c r="J16" s="0" t="n">
        <f aca="false">-J12</f>
        <v>624.43083213227</v>
      </c>
      <c r="K16" s="0" t="n">
        <f aca="false">-K12</f>
        <v>643.163757096239</v>
      </c>
      <c r="L16" s="0" t="n">
        <f aca="false">-L12</f>
        <v>662.458669809126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-410.20624</v>
      </c>
      <c r="D17" s="4" t="n">
        <f aca="false">-D6*Assumptions!D46/100</f>
        <v>-505.60304</v>
      </c>
      <c r="E17" s="4" t="n">
        <f aca="false">-E6*Assumptions!E46/100</f>
        <v>-583.9715112</v>
      </c>
      <c r="F17" s="4" t="n">
        <f aca="false">-F6*Assumptions!F46/100</f>
        <v>-629.4151124352</v>
      </c>
      <c r="G17" s="4" t="n">
        <f aca="false">-G6*Assumptions!G46/100</f>
        <v>-662.873494727808</v>
      </c>
      <c r="H17" s="4" t="n">
        <f aca="false">-H6*Assumptions!H46/100</f>
        <v>-682.759699569642</v>
      </c>
      <c r="I17" s="4" t="n">
        <f aca="false">-I6*Assumptions!I46/100</f>
        <v>-703.242490556732</v>
      </c>
      <c r="J17" s="4" t="n">
        <f aca="false">-J6*Assumptions!J46/100</f>
        <v>-724.339765273434</v>
      </c>
      <c r="K17" s="4" t="n">
        <f aca="false">-K6*Assumptions!K46/100</f>
        <v>-746.069958231637</v>
      </c>
      <c r="L17" s="4" t="n">
        <f aca="false">-L6*Assumptions!L46/100</f>
        <v>-768.452056978586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-102.3984</v>
      </c>
      <c r="D18" s="4" t="n">
        <f aca="false">(D6-C6)*Assumptions!$B$51/100</f>
        <v>-74.4095040000001</v>
      </c>
      <c r="E18" s="4" t="n">
        <f aca="false">(E6-D6)*Assumptions!$B$51/100</f>
        <v>-65.7283952</v>
      </c>
      <c r="F18" s="4" t="n">
        <f aca="false">(F6-E6)*Assumptions!$B$51/100</f>
        <v>-55.2118519680001</v>
      </c>
      <c r="G18" s="4" t="n">
        <f aca="false">(G6-F6)*Assumptions!$B$51/100</f>
        <v>-50.2427852908799</v>
      </c>
      <c r="H18" s="4" t="n">
        <f aca="false">(H6-G6)*Assumptions!$B$51/100</f>
        <v>-44.5725280937666</v>
      </c>
      <c r="I18" s="4" t="n">
        <f aca="false">(I6-H6)*Assumptions!$B$51/100</f>
        <v>-45.9097039365794</v>
      </c>
      <c r="J18" s="4" t="n">
        <f aca="false">(J6-I6)*Assumptions!$B$51/100</f>
        <v>-47.2869950546768</v>
      </c>
      <c r="K18" s="4" t="n">
        <f aca="false">(K6-J6)*Assumptions!$B$51/100</f>
        <v>-48.7056049063172</v>
      </c>
      <c r="L18" s="4" t="n">
        <f aca="false">(L6-K6)*Assumptions!$B$51/100</f>
        <v>-50.1667730535066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877.2790376</v>
      </c>
      <c r="D19" s="0" t="n">
        <f aca="false">D15+D16+D17+D18</f>
        <v>975.22240704</v>
      </c>
      <c r="E19" s="0" t="n">
        <f aca="false">E15+E16+E17+E18</f>
        <v>1032.8281940056</v>
      </c>
      <c r="F19" s="0" t="n">
        <f aca="false">F15+F16+F17+F18</f>
        <v>1115.22419790163</v>
      </c>
      <c r="G19" s="0" t="n">
        <f aca="false">G15+G16+G17+G18</f>
        <v>1165.38720206642</v>
      </c>
      <c r="H19" s="0" t="n">
        <f aca="false">H15+H16+H17+H18</f>
        <v>1205.05429790305</v>
      </c>
      <c r="I19" s="0" t="n">
        <f aca="false">I15+I16+I17+I18</f>
        <v>1241.20592684014</v>
      </c>
      <c r="J19" s="0" t="n">
        <f aca="false">J15+J16+J17+J18</f>
        <v>1278.44210464535</v>
      </c>
      <c r="K19" s="0" t="n">
        <f aca="false">K15+K16+K17+K18</f>
        <v>1316.79536778471</v>
      </c>
      <c r="L19" s="0" t="n">
        <f aca="false">L15+L16+L17+L18</f>
        <v>1356.29922881825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812.295405185185</v>
      </c>
      <c r="D21" s="0" t="n">
        <f aca="false">D19*D20</f>
        <v>836.096027983539</v>
      </c>
      <c r="E21" s="0" t="n">
        <f aca="false">E19*E20</f>
        <v>819.89231983628</v>
      </c>
      <c r="F21" s="0" t="n">
        <f aca="false">F19*F20</f>
        <v>819.72307801868</v>
      </c>
      <c r="G21" s="0" t="n">
        <f aca="false">G19*G20</f>
        <v>793.142947764583</v>
      </c>
      <c r="H21" s="0" t="n">
        <f aca="false">H19*H20</f>
        <v>759.388617283447</v>
      </c>
      <c r="I21" s="0" t="n">
        <f aca="false">I19*I20</f>
        <v>724.231736853658</v>
      </c>
      <c r="J21" s="0" t="n">
        <f aca="false">J19*J20</f>
        <v>690.702489777099</v>
      </c>
      <c r="K21" s="0" t="n">
        <f aca="false">K19*K20</f>
        <v>658.725522657789</v>
      </c>
      <c r="L21" s="0" t="n">
        <f aca="false">L19*L20</f>
        <v>628.228970682891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7542.42711604315</v>
      </c>
    </row>
    <row r="31" customFormat="false" ht="15" hidden="false" customHeight="false" outlineLevel="0" collapsed="false">
      <c r="A31" s="0" t="s">
        <v>137</v>
      </c>
      <c r="B31" s="0" t="n">
        <f aca="false">L19</f>
        <v>1356.29922881825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25276.4856279764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20344.4884322737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20344.4884322737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9423.43456024337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16965.8616762865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12360.8616762865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107.206085657299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0.600807610232918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416.007942908535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629.035411060699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116.26977476371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11121.6536763096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31.7050337993219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41.7470022434717</v>
      </c>
      <c r="C4" s="0" t="n">
        <f aca="false">B4/Assumptions!$B$2-1</f>
        <v>-0.376631293960405</v>
      </c>
      <c r="D4" s="4" t="n">
        <f aca="false">Assumptions!$B$24</f>
        <v>0.25</v>
      </c>
      <c r="E4" s="4" t="n">
        <f aca="false">DCF_Bear!$B$43</f>
        <v>48.462265652459</v>
      </c>
      <c r="F4" s="4" t="n">
        <f aca="false">DCF_Bear!$B$47</f>
        <v>5.99480874000601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78.945302540834</v>
      </c>
      <c r="C5" s="0" t="n">
        <f aca="false">B5/Assumptions!$B$2-1</f>
        <v>0.1788159256508</v>
      </c>
      <c r="D5" s="4" t="n">
        <f aca="false">Assumptions!$B$38</f>
        <v>0.5</v>
      </c>
      <c r="E5" s="4" t="n">
        <f aca="false">DCF_Base!$B$43</f>
        <v>87.2508270668436</v>
      </c>
      <c r="F5" s="4" t="n">
        <f aca="false">DCF_Base!$B$47</f>
        <v>21.3731636187053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107.206085657299</v>
      </c>
      <c r="C6" s="0" t="n">
        <f aca="false">B6/Assumptions!$B$2-1</f>
        <v>0.600807610232918</v>
      </c>
      <c r="D6" s="4" t="n">
        <f aca="false">Assumptions!$B$52</f>
        <v>0.25</v>
      </c>
      <c r="E6" s="4" t="n">
        <f aca="false">DCF_Bull!$B$43</f>
        <v>116.26977476371</v>
      </c>
      <c r="F6" s="4" t="n">
        <f aca="false">DCF_Bull!$B$47</f>
        <v>31.7050337993219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76.7109232456096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84.8084236374641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0.126982218874117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-120.295434075042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20.1115424441846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78.945302540834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70.8948881507547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62.3125262135599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50.2734104648745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40.7679219601328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21.3731636187053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97.462705293603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97.462705293603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97.462705293603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97.462705293603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97.462705293603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87.7722767239198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87.7722767239198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87.7722767239198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87.7722767239198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87.7722767239198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78.945302540834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78.945302540834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78.945302540834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78.945302540834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78.945302540834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69.0064125641038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70.8948881507547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70.8948881507547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70.8948881507547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70.8948881507547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55.9393604015759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58.9267818759434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62.3125262135599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63.5437059726931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63.5437059726931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2026-09-28T07:31:53Z</dcterms:created>
  <dc:creator>openpyxl</dc:creator>
  <dc:description/>
  <dc:language>en-NZ</dc:language>
  <cp:lastModifiedBy/>
  <dcterms:modified xsi:type="dcterms:W3CDTF">2026-09-28T07:31:53Z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