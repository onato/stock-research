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<sst xmlns="http://schemas.openxmlformats.org/spreadsheetml/2006/main" count="371" uniqueCount="170">
  <si>
    <t xml:space="preserve">Ticker</t>
  </si>
  <si>
    <t xml:space="preserve">4043.T</t>
  </si>
  <si>
    <t xml:space="preserve">Company</t>
  </si>
  <si>
    <t xml:space="preserve">Tokuyama Corporation</t>
  </si>
  <si>
    <t xml:space="preserve">Valuation date</t>
  </si>
  <si>
    <t xml:space="preserve">2026-10-31</t>
  </si>
  <si>
    <t xml:space="preserve">Current price</t>
  </si>
  <si>
    <t xml:space="preserve">Price as of</t>
  </si>
  <si>
    <t xml:space="preserve">2026-10-30T06:30:00Z (TSE regular close 15:30 JST; Yahoo Finance chart API)</t>
  </si>
  <si>
    <t xml:space="preserve">Balance sheet date</t>
  </si>
  <si>
    <t xml:space="preserve">2026-09-30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</si>
  <si>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</si>
  <si>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</si>
  <si>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</si>
  <si>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</si>
  <si>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</si>
  <si>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</si>
  <si>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</si>
  <si>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</si>
  <si>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</si>
  <si>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</si>
  <si>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2026-10-30T23:27:23Z</t>
  </si>
  <si>
    <t xml:space="preserve">Drivers file</t>
  </si>
  <si>
    <t xml:space="preserve">4043.T_Drivers.json</t>
  </si>
  <si>
    <t xml:space="preserve">Convention</t>
  </si>
  <si>
    <t xml:space="preserve">Percents stored as percents; formulas divide by 100. Blue = input, green = link, black = formula.</t>
  </si>
  <si>
    <t xml:space="preserve">Methodology</t>
  </si>
  <si>
    <t xml:space="preserve">summary: Owner-FCF DCF on a mid-cycle margin, not on any single year. Tokuyama is in the middle of a genuine portfolio shift from commodity chlor-alkali and cement toward semiconductor materials and diagnostics, and the market has priced the AI-polysilicon story in and partly out again (52-week range 3,533-5,768). The house base case gives the company the FY2017-26 average operating margin plus a modest mix uplift, charges the committed growth capex, lets the tax shelter expire, and caps the terminal multiple at 14x FCF. The bridge adds the JPY 62bn investment-securities portfolio (net of tax) because its income is outside the operating-profit-based flows, and deducts leases and NCI once each. The FY2027 net-profit guide of JPY 46.5bn contains a ~JPY 25bn extraordinary gain that is excluded from the flows and not bridged.
key_risks_to_valuation: Commodity cycle: caustic soda / VCM spreads and naphtha-electricity costs drive Chemicals OP across a JPY 2-17bn range; the base margin assumes mid-cycle, and a FY2023-style cost spike takes a year of FCF to zero or below.; Polysilicon pricing: semiconductor-grade polycrystalline silicon is the largest E&amp;AM profit line; Chinese capacity creep into higher grades or a semiconductor downcycle would undercut the mix-uplift thesis.; Execution on FBP 2030 growth capex (~JPY 41bn in FY2027, overseas polysilicon bases, IVD M&amp;A): the plan's returns are the bull case; stranded or late capex is the bear case. The prior plan missed its OP target by 18%.; Working capital: 33% of revenue is tied up in receivables and inventory, so every revenue step-up (TLS consolidation, price pass-through) consumes cash before it earns.; Cash tax normalisation: eight years at a 14-18% cash rate are assumed to end by year 5; if DTAs and credits persist the model is ~JPY 150-200/share too low, and if they expire faster it is modestly high.; Domestic cement: structural volume decline in Japanese construction; the announced transfer of the cement sales business may reshape reported revenue and margin in ways not yet visible in the filings read.; Bridge items: the JPY 58.5bn of investment securities is carried at book less tax; listed strategic holdings can fall with the market and unlisted/equity-method stakes are at cost.</t>
  </si>
  <si>
    <t xml:space="preserve">Data sources</t>
  </si>
  <si>
    <t xml:space="preserve">price: Yahoo Finance chart API at inputs.price_as_of (TSE regular close); 52-week range 3,533-5,768.
financials: 4043.T_Metrics.csv / core_metrics (FY2014-FY2026 annual, H1 FY2027) derived from TSE tanshin and integrated reports; balance-sheet anchors from 4043.T_HalfYear_H1-FY2027.txt (consolidated balance sheet at 2026-09-30, cash-flow statement, shares note); FY2027 guidance from the same tanshin (revised 29 Oct 2026); FBP 2030 targets and capital allocation from 4043.T_Annual_FY2026.txt (TOKUYAMA REPORT 2026).
qualitative: 4043.T_Analysis.json (bull/bear cases, growth drivers, competitive position: ~#3 globally in semiconductor-grade polysilicon with Malaysia/Vietnam capacity under construction, IVD/IVDM acquisition, MTMP 2025 shortfalls), cross-checked against the segment tables and management commentary in the H1 FY2027 tanshin and the FY2026 integrated report.</t>
  </si>
  <si>
    <t xml:space="preserve">Scenario narrative: bear</t>
  </si>
  <si>
    <t xml:space="preserve">Cycle turns against a plan built at the top. H2 FY2027 misses the implied JPY 20.4bn OP, polysilicon prices fall as Chinese capacity spills into semiconductor grades, naphtha and electricity costs spike again as in FY2023 (when OCF went negative), domestic cement shipments keep shrinking with Japan's construction labour shortage, and the TLS/A&amp;T integration dilutes rather than lifts margin. Operating margin settles around 8% (15% EBITDA), below the 10-year average, with revenue flat after the TLS step-up. Capex cannot be cut quickly because the growth projects are committed. Terminal growth 0.5%, cap 12x.</t>
  </si>
  <si>
    <t xml:space="preserve">Scenario narrative: base</t>
  </si>
  <si>
    <t xml:space="preserve">Mid-cycle normalisation. FY2027 lands on the revised guidance (sales JPY 392bn, OP JPY 34bn; H2 recovers on price pass-through and polysilicon volume after H1's 29% OP decline). The operating margin then rebuilds to ~10.6% (17.5% EBITDA) by year 4 -- the FY2017-26 average plus a small mix uplift as Electronic &amp; Advanced Materials and Life Science (53% of OP) outgrow Chemicals and Cement -- but stops well short of the FBP 2030 14% target, which the company's track record (MTMP 2025 missed OP by 18%) does not support as a central case. Capex stays elevated at ~10% of sales through the overseas polysilicon and IVD build-out, then glides to 7.5%. Cash taxes ramp from the sheltered ~22% to the 30% statutory rate. Terminal FCF margin ~6.5%, in line with the FY2024-26 average of 7.3% less the higher tax rate. Axes: caustic/VCM spreads vs naphtha and energy costs; domestic cement volumes and price; semiconductor-grade polysilicon pricing and the AlN/thermal-management ramp on AI servers; the IVD/dental mix shift.</t>
  </si>
  <si>
    <t xml:space="preserve">Scenario narrative: bull</t>
  </si>
  <si>
    <t xml:space="preserve">FBP 2030 achieved. Semiconductor polysilicon and AlN thermal-management materials ride the AI-server and advanced-node cycle, the overseas high-purity polysilicon bases ramp on time, IVD (TLS Group, A&amp;T) and dental compound at double digits, and Chemicals/Cement hold price discipline. Operating margin reaches the plan's 14.0% (21% EBITDA) by year 5 on ~JPY 460bn of revenue, ROIC passes the 9.1% target, and the 4% DOE policy plus buybacks lift returns. Terminal growth 1.5%, cap 15x. This case needs the cycle, execution and M&amp;A to all go right, which is why it carries only 25% weight.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</si>
  <si>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</si>
  <si>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</si>
  <si>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</si>
  <si>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</si>
  <si>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</si>
  <si>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</si>
  <si>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</si>
  <si>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</si>
  <si>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</si>
  <si>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</si>
  <si>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</si>
  <si>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</si>
  <si>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</si>
  <si>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</si>
  <si>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</si>
  <si>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</si>
  <si>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</si>
  <si>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</si>
  <si>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</si>
  <si>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</si>
  <si>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</si>
  <si>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</si>
  <si>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</si>
  <si>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</si>
  <si>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</si>
  <si>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</si>
  <si>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</si>
  <si>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SegmentRevenueChemicals</t>
  </si>
  <si>
    <t xml:space="preserve">SegmentRevenueOthers</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</si>
  <si>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</si>
  <si>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</si>
  <si>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</si>
  <si>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</si>
  <si>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</si>
  <si>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</si>
  <si>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</si>
  <si>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</si>
  <si>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</si>
  <si>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</si>
  <si>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</si>
  <si>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</si>
  <si>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</si>
  <si>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</si>
  <si>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</si>
  <si>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</si>
  <si>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</si>
  <si>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</si>
  <si>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</si>
  <si>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</si>
  <si>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</si>
  <si>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</si>
  <si>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</si>
  <si>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</si>
  <si>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</si>
  <si>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</si>
  <si>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</si>
  <si>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</si>
  <si>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</si>
  <si>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</si>
  <si>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</si>
  <si>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</si>
  <si>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</si>
  <si>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</si>
  <si>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</si>
  <si>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</si>
  <si>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</si>
  <si>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</si>
  <si>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</si>
  <si>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</si>
  <si>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</si>
  <si>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</si>
  <si>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</si>
  <si>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</si>
  <si>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</si>
  <si>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</si>
  <si>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</si>
  <si>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</si>
  <si>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</si>
  <si>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</si>
  <si>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4043.T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</si>
  <si>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</si>
  <si>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</si>
  <si>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</si>
  <si>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</si>
  <si>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</si>
  <si>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</si>
  <si>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</si>
  <si>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</si>
  <si>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</si>
  <si>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</si>
  <si>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</si>
  <si>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</si>
  <si>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</si>
  <si>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</si>
  <si>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</si>
  <si>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</si>
  <si>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</si>
  <si>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</si>
  <si>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</si>
  <si>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</si>
  <si>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</si>
  <si>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</si>
  <si>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</si>
  <si>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</si>
  <si>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</si>
  <si>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</si>
  <si>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</si>
  <si>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</si>
  <si>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</si>
  <si>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</si>
  <si>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4043.T owner-FCF component DCF: base case (millions, JPY)</t>
  </si>
  <si>
    <t xml:space="preserve">4043.T owner-FCF component DCF: bull case (millions, JPY)</t>
  </si>
  <si>
    <t xml:space="preserve">4043.T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</si>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</sst>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3932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287330</v>
      </c>
      <c r="C2" s="0" t="n">
        <v>206989</v>
      </c>
      <c r="D2" s="0" t="n">
        <v>80340</v>
      </c>
      <c r="E2" s="0" t="n">
        <v>28</v>
      </c>
      <c r="F2" s="0" t="n">
        <v>20270</v>
      </c>
      <c r="G2" s="0" t="n">
        <v>7.1</v>
      </c>
      <c r="H2" s="0" t="n">
        <v>36912</v>
      </c>
      <c r="I2" s="0" t="n">
        <v>10218</v>
      </c>
      <c r="J2" s="0" t="n">
        <v>3.6</v>
      </c>
      <c r="K2" s="0" t="n">
        <v>146.85</v>
      </c>
      <c r="L2" s="0" t="n">
        <v>34105</v>
      </c>
      <c r="M2" s="0" t="n">
        <v>29907</v>
      </c>
      <c r="N2" s="0" t="n">
        <v>4198</v>
      </c>
      <c r="O2" s="0" t="n">
        <v>229667</v>
      </c>
      <c r="P2" s="0" t="n">
        <v>576315</v>
      </c>
      <c r="Q2" s="0" t="n">
        <v>339862</v>
      </c>
      <c r="R2" s="0" t="n">
        <v>239436</v>
      </c>
      <c r="S2" s="0" t="n">
        <v>70655</v>
      </c>
      <c r="T2" s="0" t="n">
        <v>69.578</v>
      </c>
      <c r="AA2" s="0" t="s">
        <v>17</v>
      </c>
      <c r="AB2" s="0" t="s">
        <v>14</v>
      </c>
      <c r="AC2" s="0" t="n">
        <v>86400</v>
      </c>
      <c r="AD2" s="0" t="n">
        <v>47200</v>
      </c>
    </row>
    <row r="3" customFormat="false" ht="15" hidden="false" customHeight="false" outlineLevel="0" collapsed="false">
      <c r="A3" s="0" t="s">
        <v>66</v>
      </c>
      <c r="B3" s="0" t="n">
        <v>302085</v>
      </c>
      <c r="C3" s="0" t="n">
        <v>218917</v>
      </c>
      <c r="D3" s="0" t="n">
        <v>83167</v>
      </c>
      <c r="E3" s="0" t="n">
        <v>27.5</v>
      </c>
      <c r="F3" s="0" t="n">
        <v>19530</v>
      </c>
      <c r="G3" s="0" t="n">
        <v>6.5</v>
      </c>
      <c r="H3" s="0" t="n">
        <v>38375</v>
      </c>
      <c r="I3" s="0" t="n">
        <v>-65349</v>
      </c>
      <c r="J3" s="0" t="n">
        <v>-21.6</v>
      </c>
      <c r="K3" s="0" t="n">
        <v>-939.26</v>
      </c>
      <c r="L3" s="0" t="n">
        <v>30772</v>
      </c>
      <c r="M3" s="0" t="n">
        <v>32470</v>
      </c>
      <c r="N3" s="0" t="n">
        <v>-1698</v>
      </c>
      <c r="O3" s="0" t="n">
        <v>162577</v>
      </c>
      <c r="P3" s="0" t="n">
        <v>554527</v>
      </c>
      <c r="Q3" s="0" t="n">
        <v>385082</v>
      </c>
      <c r="R3" s="0" t="n">
        <v>281874</v>
      </c>
      <c r="S3" s="0" t="n">
        <v>116417</v>
      </c>
      <c r="T3" s="0" t="n">
        <v>69.573</v>
      </c>
      <c r="AA3" s="0" t="s">
        <v>17</v>
      </c>
      <c r="AB3" s="0" t="s">
        <v>14</v>
      </c>
      <c r="AC3" s="0" t="n">
        <v>91900</v>
      </c>
      <c r="AD3" s="0" t="n">
        <v>51400</v>
      </c>
    </row>
    <row r="4" customFormat="false" ht="15" hidden="false" customHeight="false" outlineLevel="0" collapsed="false">
      <c r="A4" s="0" t="s">
        <v>67</v>
      </c>
      <c r="B4" s="0" t="n">
        <v>307115</v>
      </c>
      <c r="C4" s="0" t="n">
        <v>220638</v>
      </c>
      <c r="D4" s="0" t="n">
        <v>86476</v>
      </c>
      <c r="E4" s="0" t="n">
        <v>28.2</v>
      </c>
      <c r="F4" s="0" t="n">
        <v>23071</v>
      </c>
      <c r="G4" s="0" t="n">
        <v>7.5</v>
      </c>
      <c r="H4" s="0" t="n">
        <v>43155</v>
      </c>
      <c r="I4" s="0" t="n">
        <v>-100563</v>
      </c>
      <c r="J4" s="0" t="n">
        <v>-32.7</v>
      </c>
      <c r="K4" s="0" t="n">
        <v>-1445.48</v>
      </c>
      <c r="L4" s="0" t="n">
        <v>30098</v>
      </c>
      <c r="M4" s="0" t="n">
        <v>14334</v>
      </c>
      <c r="N4" s="0" t="n">
        <v>15764</v>
      </c>
      <c r="O4" s="0" t="n">
        <v>51473</v>
      </c>
      <c r="P4" s="0" t="n">
        <v>401342</v>
      </c>
      <c r="Q4" s="0" t="n">
        <v>341136</v>
      </c>
      <c r="R4" s="0" t="n">
        <v>243695</v>
      </c>
      <c r="S4" s="0" t="n">
        <v>121508</v>
      </c>
      <c r="T4" s="0" t="n">
        <v>69.568</v>
      </c>
      <c r="AA4" s="0" t="s">
        <v>17</v>
      </c>
      <c r="AB4" s="0" t="s">
        <v>14</v>
      </c>
      <c r="AC4" s="0" t="n">
        <v>87800</v>
      </c>
      <c r="AD4" s="0" t="n">
        <v>53600</v>
      </c>
    </row>
    <row r="5" customFormat="false" ht="15" hidden="false" customHeight="false" outlineLevel="0" collapsed="false">
      <c r="A5" s="0" t="s">
        <v>68</v>
      </c>
      <c r="B5" s="0" t="n">
        <v>299106</v>
      </c>
      <c r="C5" s="0" t="n">
        <v>201305</v>
      </c>
      <c r="D5" s="0" t="n">
        <v>97800</v>
      </c>
      <c r="E5" s="0" t="n">
        <v>32.7</v>
      </c>
      <c r="F5" s="0" t="n">
        <v>39720</v>
      </c>
      <c r="G5" s="0" t="n">
        <v>13.3</v>
      </c>
      <c r="H5" s="0" t="n">
        <v>53935</v>
      </c>
      <c r="I5" s="0" t="n">
        <v>52165</v>
      </c>
      <c r="J5" s="0" t="n">
        <v>17.4</v>
      </c>
      <c r="K5" s="0" t="n">
        <v>738.92</v>
      </c>
      <c r="L5" s="0" t="n">
        <v>20012</v>
      </c>
      <c r="M5" s="0" t="n">
        <v>16693</v>
      </c>
      <c r="N5" s="0" t="n">
        <v>3319</v>
      </c>
      <c r="O5" s="0" t="n">
        <v>127015</v>
      </c>
      <c r="P5" s="0" t="n">
        <v>424433</v>
      </c>
      <c r="Q5" s="0" t="n">
        <v>288457</v>
      </c>
      <c r="R5" s="0" t="n">
        <v>212328</v>
      </c>
      <c r="S5" s="0" t="n">
        <v>121598</v>
      </c>
      <c r="T5" s="0" t="n">
        <v>69.564</v>
      </c>
      <c r="AA5" s="0" t="s">
        <v>17</v>
      </c>
      <c r="AB5" s="0" t="s">
        <v>14</v>
      </c>
      <c r="AC5" s="0" t="n">
        <v>83300</v>
      </c>
      <c r="AD5" s="0" t="n">
        <v>52100</v>
      </c>
    </row>
    <row r="6" customFormat="false" ht="15" hidden="false" customHeight="false" outlineLevel="0" collapsed="false">
      <c r="A6" s="0" t="s">
        <v>69</v>
      </c>
      <c r="B6" s="0" t="n">
        <v>308061</v>
      </c>
      <c r="C6" s="0" t="n">
        <v>207715</v>
      </c>
      <c r="D6" s="0" t="n">
        <v>100346</v>
      </c>
      <c r="E6" s="0" t="n">
        <v>32.6</v>
      </c>
      <c r="F6" s="0" t="n">
        <v>41268</v>
      </c>
      <c r="G6" s="0" t="n">
        <v>13.4</v>
      </c>
      <c r="H6" s="0" t="n">
        <v>55253</v>
      </c>
      <c r="I6" s="0" t="n">
        <v>19698</v>
      </c>
      <c r="J6" s="0" t="n">
        <v>6.4</v>
      </c>
      <c r="K6" s="0" t="n">
        <v>259.81</v>
      </c>
      <c r="L6" s="0" t="n">
        <v>61885</v>
      </c>
      <c r="M6" s="0" t="n">
        <v>15526</v>
      </c>
      <c r="N6" s="0" t="n">
        <v>46359</v>
      </c>
      <c r="O6" s="0" t="n">
        <v>125656</v>
      </c>
      <c r="P6" s="0" t="n">
        <v>361949</v>
      </c>
      <c r="Q6" s="0" t="n">
        <v>225357</v>
      </c>
      <c r="R6" s="0" t="n">
        <v>137754</v>
      </c>
      <c r="S6" s="0" t="n">
        <v>67229</v>
      </c>
      <c r="T6" s="0" t="n">
        <v>69.556</v>
      </c>
      <c r="AA6" s="0" t="s">
        <v>17</v>
      </c>
      <c r="AB6" s="0" t="s">
        <v>14</v>
      </c>
      <c r="AC6" s="0" t="n">
        <v>93500</v>
      </c>
      <c r="AD6" s="0" t="n">
        <v>54500</v>
      </c>
    </row>
    <row r="7" customFormat="false" ht="15" hidden="false" customHeight="false" outlineLevel="0" collapsed="false">
      <c r="A7" s="0" t="s">
        <v>70</v>
      </c>
      <c r="B7" s="0" t="n">
        <v>324661</v>
      </c>
      <c r="C7" s="0" t="n">
        <v>226664</v>
      </c>
      <c r="D7" s="0" t="n">
        <v>97996</v>
      </c>
      <c r="E7" s="0" t="n">
        <v>30.2</v>
      </c>
      <c r="F7" s="0" t="n">
        <v>35262</v>
      </c>
      <c r="G7" s="0" t="n">
        <v>10.9</v>
      </c>
      <c r="H7" s="0" t="n">
        <v>50355</v>
      </c>
      <c r="I7" s="0" t="n">
        <v>34279</v>
      </c>
      <c r="J7" s="0" t="n">
        <v>10.6</v>
      </c>
      <c r="K7" s="0" t="n">
        <v>493.26</v>
      </c>
      <c r="L7" s="0" t="n">
        <v>38531</v>
      </c>
      <c r="M7" s="0" t="n">
        <v>16765</v>
      </c>
      <c r="N7" s="0" t="n">
        <v>21766</v>
      </c>
      <c r="O7" s="0" t="n">
        <v>152781</v>
      </c>
      <c r="P7" s="0" t="n">
        <v>379630</v>
      </c>
      <c r="Q7" s="0" t="n">
        <v>216104</v>
      </c>
      <c r="R7" s="0" t="n">
        <v>126439</v>
      </c>
      <c r="S7" s="0" t="n">
        <v>68613</v>
      </c>
      <c r="T7" s="0" t="n">
        <v>69.452</v>
      </c>
      <c r="AA7" s="0" t="s">
        <v>17</v>
      </c>
      <c r="AB7" s="0" t="s">
        <v>14</v>
      </c>
      <c r="AC7" s="0" t="n">
        <v>98300</v>
      </c>
      <c r="AD7" s="0" t="n">
        <v>62300</v>
      </c>
    </row>
    <row r="8" customFormat="false" ht="15" hidden="false" customHeight="false" outlineLevel="0" collapsed="false">
      <c r="A8" s="0" t="s">
        <v>71</v>
      </c>
      <c r="B8" s="0" t="n">
        <v>316096</v>
      </c>
      <c r="C8" s="0" t="n">
        <v>217446</v>
      </c>
      <c r="D8" s="0" t="n">
        <v>98650</v>
      </c>
      <c r="E8" s="0" t="n">
        <v>31.2</v>
      </c>
      <c r="F8" s="0" t="n">
        <v>34281</v>
      </c>
      <c r="G8" s="0" t="n">
        <v>10.8</v>
      </c>
      <c r="H8" s="0" t="n">
        <v>50403</v>
      </c>
      <c r="I8" s="0" t="n">
        <v>19937</v>
      </c>
      <c r="J8" s="0" t="n">
        <v>6.3</v>
      </c>
      <c r="K8" s="0" t="n">
        <v>287.05</v>
      </c>
      <c r="L8" s="0" t="n">
        <v>52364</v>
      </c>
      <c r="M8" s="0" t="n">
        <v>19706</v>
      </c>
      <c r="N8" s="0" t="n">
        <v>32658</v>
      </c>
      <c r="O8" s="0" t="n">
        <v>168861</v>
      </c>
      <c r="P8" s="0" t="n">
        <v>383447</v>
      </c>
      <c r="Q8" s="0" t="n">
        <v>203017</v>
      </c>
      <c r="R8" s="0" t="n">
        <v>113443</v>
      </c>
      <c r="S8" s="0" t="n">
        <v>81524</v>
      </c>
      <c r="T8" s="0" t="n">
        <v>69.456</v>
      </c>
      <c r="AA8" s="0" t="s">
        <v>17</v>
      </c>
      <c r="AB8" s="0" t="s">
        <v>14</v>
      </c>
      <c r="AC8" s="0" t="n">
        <v>93700</v>
      </c>
      <c r="AD8" s="0" t="n">
        <v>65200</v>
      </c>
    </row>
    <row r="9" customFormat="false" ht="15" hidden="false" customHeight="false" outlineLevel="0" collapsed="false">
      <c r="A9" s="0" t="s">
        <v>72</v>
      </c>
      <c r="B9" s="0" t="n">
        <v>302407</v>
      </c>
      <c r="C9" s="0" t="n">
        <v>207254</v>
      </c>
      <c r="D9" s="0" t="n">
        <v>95152</v>
      </c>
      <c r="E9" s="0" t="n">
        <v>31.5</v>
      </c>
      <c r="F9" s="0" t="n">
        <v>30921</v>
      </c>
      <c r="G9" s="0" t="n">
        <v>10.2</v>
      </c>
      <c r="H9" s="0" t="n">
        <v>47924</v>
      </c>
      <c r="I9" s="0" t="n">
        <v>24534</v>
      </c>
      <c r="J9" s="0" t="n">
        <v>8.1</v>
      </c>
      <c r="K9" s="0" t="n">
        <v>351.1</v>
      </c>
      <c r="L9" s="0" t="n">
        <v>43314</v>
      </c>
      <c r="M9" s="0" t="n">
        <v>23800</v>
      </c>
      <c r="N9" s="0" t="n">
        <v>19514</v>
      </c>
      <c r="O9" s="0" t="n">
        <v>198561</v>
      </c>
      <c r="P9" s="0" t="n">
        <v>386794</v>
      </c>
      <c r="Q9" s="0" t="n">
        <v>181533</v>
      </c>
      <c r="R9" s="0" t="n">
        <v>93561</v>
      </c>
      <c r="S9" s="0" t="n">
        <v>83681</v>
      </c>
      <c r="T9" s="0" t="n">
        <v>71.985</v>
      </c>
      <c r="AA9" s="0" t="s">
        <v>17</v>
      </c>
      <c r="AB9" s="0" t="s">
        <v>14</v>
      </c>
      <c r="AC9" s="0" t="n">
        <v>85400</v>
      </c>
      <c r="AD9" s="0" t="n">
        <v>53600</v>
      </c>
    </row>
    <row r="10" customFormat="false" ht="15" hidden="false" customHeight="false" outlineLevel="0" collapsed="false">
      <c r="A10" s="0" t="s">
        <v>73</v>
      </c>
      <c r="B10" s="0" t="n">
        <v>293830</v>
      </c>
      <c r="C10" s="0" t="n">
        <v>198417</v>
      </c>
      <c r="D10" s="0" t="n">
        <v>95412</v>
      </c>
      <c r="E10" s="0" t="n">
        <v>32.5</v>
      </c>
      <c r="F10" s="0" t="n">
        <v>24539</v>
      </c>
      <c r="G10" s="0" t="n">
        <v>8.4</v>
      </c>
      <c r="H10" s="0" t="n">
        <v>44255</v>
      </c>
      <c r="I10" s="0" t="n">
        <v>28000</v>
      </c>
      <c r="J10" s="0" t="n">
        <v>9.5</v>
      </c>
      <c r="K10" s="0" t="n">
        <v>389.08</v>
      </c>
      <c r="L10" s="0" t="n">
        <v>25986</v>
      </c>
      <c r="M10" s="0" t="n">
        <v>31887</v>
      </c>
      <c r="N10" s="0" t="n">
        <v>-5901</v>
      </c>
      <c r="O10" s="0" t="n">
        <v>224506</v>
      </c>
      <c r="P10" s="0" t="n">
        <v>433210</v>
      </c>
      <c r="Q10" s="0" t="n">
        <v>200292</v>
      </c>
      <c r="R10" s="0" t="n">
        <v>104237</v>
      </c>
      <c r="S10" s="0" t="n">
        <v>83116</v>
      </c>
      <c r="T10" s="0" t="n">
        <v>71.951</v>
      </c>
      <c r="AA10" s="0" t="s">
        <v>17</v>
      </c>
      <c r="AB10" s="0" t="s">
        <v>14</v>
      </c>
      <c r="AC10" s="0" t="n">
        <v>101400</v>
      </c>
      <c r="AD10" s="0" t="n">
        <v>36300</v>
      </c>
    </row>
    <row r="11" customFormat="false" ht="15" hidden="false" customHeight="false" outlineLevel="0" collapsed="false">
      <c r="A11" s="0" t="s">
        <v>74</v>
      </c>
      <c r="B11" s="0" t="n">
        <v>351790</v>
      </c>
      <c r="C11" s="0" t="n">
        <v>261009</v>
      </c>
      <c r="D11" s="0" t="n">
        <v>90781</v>
      </c>
      <c r="E11" s="0" t="n">
        <v>25.8</v>
      </c>
      <c r="F11" s="0" t="n">
        <v>14336</v>
      </c>
      <c r="G11" s="0" t="n">
        <v>4.1</v>
      </c>
      <c r="H11" s="0" t="n">
        <v>35109</v>
      </c>
      <c r="I11" s="0" t="n">
        <v>9364</v>
      </c>
      <c r="J11" s="0" t="n">
        <v>2.7</v>
      </c>
      <c r="K11" s="0" t="n">
        <v>130.14</v>
      </c>
      <c r="L11" s="0" t="n">
        <v>-11800</v>
      </c>
      <c r="M11" s="0" t="n">
        <v>31916</v>
      </c>
      <c r="N11" s="0" t="n">
        <v>-43716</v>
      </c>
      <c r="O11" s="0" t="n">
        <v>229450</v>
      </c>
      <c r="P11" s="0" t="n">
        <v>478342</v>
      </c>
      <c r="Q11" s="0" t="n">
        <v>236739</v>
      </c>
      <c r="R11" s="0" t="n">
        <v>137231</v>
      </c>
      <c r="S11" s="0" t="n">
        <v>68080</v>
      </c>
      <c r="T11" s="0" t="n">
        <v>71.95</v>
      </c>
      <c r="AA11" s="0" t="s">
        <v>17</v>
      </c>
      <c r="AB11" s="0" t="s">
        <v>14</v>
      </c>
      <c r="AC11" s="0" t="n">
        <v>116200</v>
      </c>
      <c r="AD11" s="0" t="n">
        <v>47300</v>
      </c>
    </row>
    <row r="12" customFormat="false" ht="15" hidden="false" customHeight="false" outlineLevel="0" collapsed="false">
      <c r="A12" s="0" t="s">
        <v>75</v>
      </c>
      <c r="B12" s="0" t="n">
        <v>341990</v>
      </c>
      <c r="C12" s="0" t="n">
        <v>242470</v>
      </c>
      <c r="D12" s="0" t="n">
        <v>99519</v>
      </c>
      <c r="E12" s="0" t="n">
        <v>29.1</v>
      </c>
      <c r="F12" s="0" t="n">
        <v>25637</v>
      </c>
      <c r="G12" s="0" t="n">
        <v>7.5</v>
      </c>
      <c r="H12" s="0" t="n">
        <v>43327</v>
      </c>
      <c r="I12" s="0" t="n">
        <v>17751</v>
      </c>
      <c r="J12" s="0" t="n">
        <v>5.2</v>
      </c>
      <c r="K12" s="0" t="n">
        <v>246.71</v>
      </c>
      <c r="L12" s="0" t="n">
        <v>55828</v>
      </c>
      <c r="M12" s="0" t="n">
        <v>31591</v>
      </c>
      <c r="N12" s="0" t="n">
        <v>24237</v>
      </c>
      <c r="O12" s="0" t="n">
        <v>249256</v>
      </c>
      <c r="P12" s="0" t="n">
        <v>457360</v>
      </c>
      <c r="Q12" s="0" t="n">
        <v>197411</v>
      </c>
      <c r="R12" s="0" t="n">
        <v>99721</v>
      </c>
      <c r="S12" s="0" t="n">
        <v>48684</v>
      </c>
      <c r="T12" s="0" t="n">
        <v>71.947</v>
      </c>
      <c r="AA12" s="0" t="s">
        <v>17</v>
      </c>
      <c r="AB12" s="0" t="s">
        <v>14</v>
      </c>
      <c r="AC12" s="0" t="n">
        <v>115594</v>
      </c>
      <c r="AD12" s="0" t="n">
        <v>43653</v>
      </c>
    </row>
    <row r="13" customFormat="false" ht="15" hidden="false" customHeight="false" outlineLevel="0" collapsed="false">
      <c r="A13" s="0" t="s">
        <v>76</v>
      </c>
      <c r="B13" s="0" t="n">
        <v>343073</v>
      </c>
      <c r="C13" s="0" t="n">
        <v>234929</v>
      </c>
      <c r="D13" s="0" t="n">
        <v>108143</v>
      </c>
      <c r="E13" s="0" t="n">
        <v>31.5</v>
      </c>
      <c r="F13" s="0" t="n">
        <v>29968</v>
      </c>
      <c r="G13" s="0" t="n">
        <v>8.7</v>
      </c>
      <c r="H13" s="0" t="n">
        <v>49656</v>
      </c>
      <c r="I13" s="0" t="n">
        <v>23388</v>
      </c>
      <c r="J13" s="0" t="n">
        <v>6.8</v>
      </c>
      <c r="K13" s="0" t="n">
        <v>325.08</v>
      </c>
      <c r="L13" s="0" t="n">
        <v>52368</v>
      </c>
      <c r="M13" s="0" t="n">
        <v>22598</v>
      </c>
      <c r="N13" s="0" t="n">
        <v>29770</v>
      </c>
      <c r="O13" s="0" t="n">
        <v>261562</v>
      </c>
      <c r="P13" s="0" t="n">
        <v>476207</v>
      </c>
      <c r="Q13" s="0" t="n">
        <v>202349</v>
      </c>
      <c r="R13" s="0" t="n">
        <v>104118</v>
      </c>
      <c r="S13" s="0" t="n">
        <v>75544</v>
      </c>
      <c r="T13" s="0" t="n">
        <v>71.944</v>
      </c>
      <c r="AA13" s="0" t="s">
        <v>17</v>
      </c>
      <c r="AB13" s="0" t="s">
        <v>14</v>
      </c>
      <c r="AC13" s="0" t="n">
        <v>115002</v>
      </c>
      <c r="AD13" s="0" t="n">
        <v>40769</v>
      </c>
    </row>
    <row r="14" customFormat="false" ht="15" hidden="false" customHeight="false" outlineLevel="0" collapsed="false">
      <c r="A14" s="0" t="s">
        <v>77</v>
      </c>
      <c r="B14" s="0" t="n">
        <v>349476</v>
      </c>
      <c r="C14" s="0" t="n">
        <v>224530</v>
      </c>
      <c r="D14" s="0" t="n">
        <v>124946</v>
      </c>
      <c r="E14" s="0" t="n">
        <v>35.8</v>
      </c>
      <c r="F14" s="0" t="n">
        <v>37017</v>
      </c>
      <c r="G14" s="0" t="n">
        <v>10.6</v>
      </c>
      <c r="H14" s="0" t="n">
        <v>57965</v>
      </c>
      <c r="I14" s="0" t="n">
        <v>22205</v>
      </c>
      <c r="J14" s="0" t="n">
        <v>6.4</v>
      </c>
      <c r="K14" s="0" t="n">
        <v>308.64</v>
      </c>
      <c r="L14" s="0" t="n">
        <v>50985</v>
      </c>
      <c r="M14" s="0" t="n">
        <v>29111</v>
      </c>
      <c r="N14" s="0" t="n">
        <v>21874</v>
      </c>
      <c r="O14" s="0" t="n">
        <v>283086</v>
      </c>
      <c r="P14" s="0" t="n">
        <v>557432</v>
      </c>
      <c r="Q14" s="0" t="n">
        <v>259620</v>
      </c>
      <c r="R14" s="0" t="n">
        <v>154945</v>
      </c>
      <c r="S14" s="0" t="n">
        <v>47193</v>
      </c>
      <c r="T14" s="0" t="n">
        <v>71.945</v>
      </c>
      <c r="AA14" s="0" t="s">
        <v>17</v>
      </c>
      <c r="AB14" s="0" t="s">
        <v>14</v>
      </c>
      <c r="AC14" s="0" t="n">
        <v>106226</v>
      </c>
      <c r="AD14" s="0" t="n">
        <v>41707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3932</v>
      </c>
    </row>
    <row r="3" customFormat="false" ht="15" hidden="false" customHeight="false" outlineLevel="0" collapsed="false">
      <c r="A3" s="0" t="s">
        <v>81</v>
      </c>
      <c r="B3" s="3" t="n">
        <v>71.111</v>
      </c>
    </row>
    <row r="4" customFormat="false" ht="15" hidden="false" customHeight="false" outlineLevel="0" collapsed="false">
      <c r="A4" s="0" t="s">
        <v>82</v>
      </c>
      <c r="B4" s="3" t="n">
        <v>110408</v>
      </c>
    </row>
    <row r="5" customFormat="false" ht="15" hidden="false" customHeight="false" outlineLevel="0" collapsed="false">
      <c r="A5" s="0" t="s">
        <v>83</v>
      </c>
      <c r="B5" s="3" t="n">
        <v>31598</v>
      </c>
    </row>
    <row r="6" customFormat="false" ht="15" hidden="false" customHeight="false" outlineLevel="0" collapsed="false">
      <c r="A6" s="0" t="s">
        <v>84</v>
      </c>
      <c r="B6" s="3" t="n">
        <v>15</v>
      </c>
    </row>
    <row r="7" customFormat="false" ht="15" hidden="false" customHeight="false" outlineLevel="0" collapsed="false">
      <c r="A7" s="0" t="s">
        <v>85</v>
      </c>
      <c r="B7" s="3" t="n">
        <v>349476</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10</v>
      </c>
      <c r="D13" s="3" t="n">
        <v>0</v>
      </c>
      <c r="E13" s="3" t="n">
        <v>0.5</v>
      </c>
      <c r="F13" s="3" t="n">
        <v>1</v>
      </c>
      <c r="G13" s="3" t="n">
        <v>1</v>
      </c>
      <c r="H13" s="3" t="n">
        <v>1</v>
      </c>
      <c r="I13" s="3" t="n">
        <v>1</v>
      </c>
      <c r="J13" s="3" t="n">
        <v>1</v>
      </c>
      <c r="K13" s="3" t="n">
        <v>1</v>
      </c>
      <c r="L13" s="3" t="n">
        <v>1</v>
      </c>
    </row>
    <row r="14" customFormat="false" ht="15" hidden="false" customHeight="false" outlineLevel="0" collapsed="false">
      <c r="A14" s="0" t="s">
        <v>102</v>
      </c>
      <c r="C14" s="3" t="n">
        <v>14</v>
      </c>
      <c r="D14" s="3" t="n">
        <v>14</v>
      </c>
      <c r="E14" s="3" t="n">
        <v>14.5</v>
      </c>
      <c r="F14" s="3" t="n">
        <v>15</v>
      </c>
      <c r="G14" s="3" t="n">
        <v>15</v>
      </c>
      <c r="H14" s="3" t="n">
        <v>15</v>
      </c>
      <c r="I14" s="3" t="n">
        <v>15</v>
      </c>
      <c r="J14" s="3" t="n">
        <v>15</v>
      </c>
      <c r="K14" s="3" t="n">
        <v>15</v>
      </c>
      <c r="L14" s="3" t="n">
        <v>15</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6.9</v>
      </c>
      <c r="D17" s="3" t="n">
        <v>6.9</v>
      </c>
      <c r="E17" s="3" t="n">
        <v>6.9</v>
      </c>
      <c r="F17" s="3" t="n">
        <v>6.9</v>
      </c>
      <c r="G17" s="3" t="n">
        <v>6.9</v>
      </c>
      <c r="H17" s="3" t="n">
        <v>6.9</v>
      </c>
      <c r="I17" s="3" t="n">
        <v>6.9</v>
      </c>
      <c r="J17" s="3" t="n">
        <v>6.9</v>
      </c>
      <c r="K17" s="3" t="n">
        <v>6.9</v>
      </c>
      <c r="L17" s="3" t="n">
        <v>6.9</v>
      </c>
    </row>
    <row r="18" customFormat="false" ht="15" hidden="false" customHeight="false" outlineLevel="0" collapsed="false">
      <c r="A18" s="0" t="s">
        <v>106</v>
      </c>
      <c r="C18" s="3" t="n">
        <v>10</v>
      </c>
      <c r="D18" s="3" t="n">
        <v>9.5</v>
      </c>
      <c r="E18" s="3" t="n">
        <v>9</v>
      </c>
      <c r="F18" s="3" t="n">
        <v>8</v>
      </c>
      <c r="G18" s="3" t="n">
        <v>7.5</v>
      </c>
      <c r="H18" s="3" t="n">
        <v>7</v>
      </c>
      <c r="I18" s="3" t="n">
        <v>7</v>
      </c>
      <c r="J18" s="3" t="n">
        <v>7</v>
      </c>
      <c r="K18" s="3" t="n">
        <v>7</v>
      </c>
      <c r="L18" s="3" t="n">
        <v>7</v>
      </c>
    </row>
    <row r="19" customFormat="false" ht="15" hidden="false" customHeight="false" outlineLevel="0" collapsed="false">
      <c r="A19" s="0" t="s">
        <v>107</v>
      </c>
      <c r="C19" s="3" t="n">
        <v>22</v>
      </c>
      <c r="D19" s="3" t="n">
        <v>24</v>
      </c>
      <c r="E19" s="3" t="n">
        <v>26</v>
      </c>
      <c r="F19" s="3" t="n">
        <v>28</v>
      </c>
      <c r="G19" s="3" t="n">
        <v>30</v>
      </c>
      <c r="H19" s="3" t="n">
        <v>30</v>
      </c>
      <c r="I19" s="3" t="n">
        <v>30</v>
      </c>
      <c r="J19" s="3" t="n">
        <v>30</v>
      </c>
      <c r="K19" s="3" t="n">
        <v>30</v>
      </c>
      <c r="L19" s="3" t="n">
        <v>30</v>
      </c>
    </row>
    <row r="20" customFormat="false" ht="15" hidden="false" customHeight="false" outlineLevel="0" collapsed="false">
      <c r="A20" s="0" t="s">
        <v>108</v>
      </c>
      <c r="B20" s="3" t="n">
        <v>7</v>
      </c>
    </row>
    <row r="21" customFormat="false" ht="15" hidden="false" customHeight="false" outlineLevel="0" collapsed="false">
      <c r="A21" s="0" t="s">
        <v>109</v>
      </c>
      <c r="B21" s="3" t="n">
        <v>0.5</v>
      </c>
    </row>
    <row r="22" customFormat="false" ht="15" hidden="false" customHeight="false" outlineLevel="0" collapsed="false">
      <c r="A22" s="0" t="s">
        <v>110</v>
      </c>
      <c r="B22" s="3" t="n">
        <v>12</v>
      </c>
    </row>
    <row r="23" customFormat="false" ht="15" hidden="false" customHeight="false" outlineLevel="0" collapsed="false">
      <c r="A23" s="0" t="s">
        <v>111</v>
      </c>
      <c r="B23" s="3" t="n">
        <v>-25</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12.2</v>
      </c>
      <c r="D27" s="3" t="n">
        <v>1.5</v>
      </c>
      <c r="E27" s="3" t="n">
        <v>2</v>
      </c>
      <c r="F27" s="3" t="n">
        <v>2</v>
      </c>
      <c r="G27" s="3" t="n">
        <v>2</v>
      </c>
      <c r="H27" s="3" t="n">
        <v>2</v>
      </c>
      <c r="I27" s="3" t="n">
        <v>1.5</v>
      </c>
      <c r="J27" s="3" t="n">
        <v>1.5</v>
      </c>
      <c r="K27" s="3" t="n">
        <v>1.5</v>
      </c>
      <c r="L27" s="3" t="n">
        <v>1.5</v>
      </c>
    </row>
    <row r="28" customFormat="false" ht="15" hidden="false" customHeight="false" outlineLevel="0" collapsed="false">
      <c r="A28" s="0" t="s">
        <v>102</v>
      </c>
      <c r="C28" s="3" t="n">
        <v>15.6</v>
      </c>
      <c r="D28" s="3" t="n">
        <v>16.5</v>
      </c>
      <c r="E28" s="3" t="n">
        <v>17</v>
      </c>
      <c r="F28" s="3" t="n">
        <v>17.5</v>
      </c>
      <c r="G28" s="3" t="n">
        <v>17.5</v>
      </c>
      <c r="H28" s="3" t="n">
        <v>17.5</v>
      </c>
      <c r="I28" s="3" t="n">
        <v>17.5</v>
      </c>
      <c r="J28" s="3" t="n">
        <v>17.5</v>
      </c>
      <c r="K28" s="3" t="n">
        <v>17.5</v>
      </c>
      <c r="L28" s="3" t="n">
        <v>17.5</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6.9</v>
      </c>
      <c r="D31" s="3" t="n">
        <v>6.9</v>
      </c>
      <c r="E31" s="3" t="n">
        <v>6.9</v>
      </c>
      <c r="F31" s="3" t="n">
        <v>6.9</v>
      </c>
      <c r="G31" s="3" t="n">
        <v>6.9</v>
      </c>
      <c r="H31" s="3" t="n">
        <v>6.9</v>
      </c>
      <c r="I31" s="3" t="n">
        <v>6.9</v>
      </c>
      <c r="J31" s="3" t="n">
        <v>6.9</v>
      </c>
      <c r="K31" s="3" t="n">
        <v>6.9</v>
      </c>
      <c r="L31" s="3" t="n">
        <v>6.9</v>
      </c>
    </row>
    <row r="32" customFormat="false" ht="15" hidden="false" customHeight="false" outlineLevel="0" collapsed="false">
      <c r="A32" s="0" t="s">
        <v>106</v>
      </c>
      <c r="C32" s="3" t="n">
        <v>10</v>
      </c>
      <c r="D32" s="3" t="n">
        <v>9.5</v>
      </c>
      <c r="E32" s="3" t="n">
        <v>9</v>
      </c>
      <c r="F32" s="3" t="n">
        <v>8.5</v>
      </c>
      <c r="G32" s="3" t="n">
        <v>8</v>
      </c>
      <c r="H32" s="3" t="n">
        <v>7.5</v>
      </c>
      <c r="I32" s="3" t="n">
        <v>7.5</v>
      </c>
      <c r="J32" s="3" t="n">
        <v>7.5</v>
      </c>
      <c r="K32" s="3" t="n">
        <v>7.5</v>
      </c>
      <c r="L32" s="3" t="n">
        <v>7.5</v>
      </c>
    </row>
    <row r="33" customFormat="false" ht="15" hidden="false" customHeight="false" outlineLevel="0" collapsed="false">
      <c r="A33" s="0" t="s">
        <v>107</v>
      </c>
      <c r="C33" s="3" t="n">
        <v>22</v>
      </c>
      <c r="D33" s="3" t="n">
        <v>24</v>
      </c>
      <c r="E33" s="3" t="n">
        <v>26</v>
      </c>
      <c r="F33" s="3" t="n">
        <v>28</v>
      </c>
      <c r="G33" s="3" t="n">
        <v>30</v>
      </c>
      <c r="H33" s="3" t="n">
        <v>30</v>
      </c>
      <c r="I33" s="3" t="n">
        <v>30</v>
      </c>
      <c r="J33" s="3" t="n">
        <v>30</v>
      </c>
      <c r="K33" s="3" t="n">
        <v>30</v>
      </c>
      <c r="L33" s="3" t="n">
        <v>30</v>
      </c>
    </row>
    <row r="34" customFormat="false" ht="15" hidden="false" customHeight="false" outlineLevel="0" collapsed="false">
      <c r="A34" s="0" t="s">
        <v>108</v>
      </c>
      <c r="B34" s="3" t="n">
        <v>7</v>
      </c>
    </row>
    <row r="35" customFormat="false" ht="15" hidden="false" customHeight="false" outlineLevel="0" collapsed="false">
      <c r="A35" s="0" t="s">
        <v>109</v>
      </c>
      <c r="B35" s="3" t="n">
        <v>1</v>
      </c>
    </row>
    <row r="36" customFormat="false" ht="15" hidden="false" customHeight="false" outlineLevel="0" collapsed="false">
      <c r="A36" s="0" t="s">
        <v>110</v>
      </c>
      <c r="B36" s="3" t="n">
        <v>14</v>
      </c>
    </row>
    <row r="37" customFormat="false" ht="15" hidden="false" customHeight="false" outlineLevel="0" collapsed="false">
      <c r="A37" s="0" t="s">
        <v>111</v>
      </c>
      <c r="B37" s="3" t="n">
        <v>-25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12.2</v>
      </c>
      <c r="D41" s="3" t="n">
        <v>4</v>
      </c>
      <c r="E41" s="3" t="n">
        <v>4</v>
      </c>
      <c r="F41" s="3" t="n">
        <v>4</v>
      </c>
      <c r="G41" s="3" t="n">
        <v>3.5</v>
      </c>
      <c r="H41" s="3" t="n">
        <v>3</v>
      </c>
      <c r="I41" s="3" t="n">
        <v>2.5</v>
      </c>
      <c r="J41" s="3" t="n">
        <v>2</v>
      </c>
      <c r="K41" s="3" t="n">
        <v>2</v>
      </c>
      <c r="L41" s="3" t="n">
        <v>2</v>
      </c>
    </row>
    <row r="42" customFormat="false" ht="15" hidden="false" customHeight="false" outlineLevel="0" collapsed="false">
      <c r="A42" s="0" t="s">
        <v>102</v>
      </c>
      <c r="C42" s="3" t="n">
        <v>16</v>
      </c>
      <c r="D42" s="3" t="n">
        <v>17.5</v>
      </c>
      <c r="E42" s="3" t="n">
        <v>19</v>
      </c>
      <c r="F42" s="3" t="n">
        <v>20</v>
      </c>
      <c r="G42" s="3" t="n">
        <v>21</v>
      </c>
      <c r="H42" s="3" t="n">
        <v>21</v>
      </c>
      <c r="I42" s="3" t="n">
        <v>21</v>
      </c>
      <c r="J42" s="3" t="n">
        <v>21</v>
      </c>
      <c r="K42" s="3" t="n">
        <v>21</v>
      </c>
      <c r="L42" s="3" t="n">
        <v>21</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6.9</v>
      </c>
      <c r="D45" s="3" t="n">
        <v>6.9</v>
      </c>
      <c r="E45" s="3" t="n">
        <v>6.9</v>
      </c>
      <c r="F45" s="3" t="n">
        <v>6.9</v>
      </c>
      <c r="G45" s="3" t="n">
        <v>6.9</v>
      </c>
      <c r="H45" s="3" t="n">
        <v>6.9</v>
      </c>
      <c r="I45" s="3" t="n">
        <v>6.9</v>
      </c>
      <c r="J45" s="3" t="n">
        <v>6.9</v>
      </c>
      <c r="K45" s="3" t="n">
        <v>6.9</v>
      </c>
      <c r="L45" s="3" t="n">
        <v>6.9</v>
      </c>
    </row>
    <row r="46" customFormat="false" ht="15" hidden="false" customHeight="false" outlineLevel="0" collapsed="false">
      <c r="A46" s="0" t="s">
        <v>106</v>
      </c>
      <c r="C46" s="3" t="n">
        <v>10</v>
      </c>
      <c r="D46" s="3" t="n">
        <v>9.5</v>
      </c>
      <c r="E46" s="3" t="n">
        <v>9</v>
      </c>
      <c r="F46" s="3" t="n">
        <v>8.5</v>
      </c>
      <c r="G46" s="3" t="n">
        <v>8</v>
      </c>
      <c r="H46" s="3" t="n">
        <v>7.5</v>
      </c>
      <c r="I46" s="3" t="n">
        <v>7.5</v>
      </c>
      <c r="J46" s="3" t="n">
        <v>7</v>
      </c>
      <c r="K46" s="3" t="n">
        <v>7</v>
      </c>
      <c r="L46" s="3" t="n">
        <v>7</v>
      </c>
    </row>
    <row r="47" customFormat="false" ht="15" hidden="false" customHeight="false" outlineLevel="0" collapsed="false">
      <c r="A47" s="0" t="s">
        <v>107</v>
      </c>
      <c r="C47" s="3" t="n">
        <v>22</v>
      </c>
      <c r="D47" s="3" t="n">
        <v>24</v>
      </c>
      <c r="E47" s="3" t="n">
        <v>26</v>
      </c>
      <c r="F47" s="3" t="n">
        <v>28</v>
      </c>
      <c r="G47" s="3" t="n">
        <v>30</v>
      </c>
      <c r="H47" s="3" t="n">
        <v>30</v>
      </c>
      <c r="I47" s="3" t="n">
        <v>30</v>
      </c>
      <c r="J47" s="3" t="n">
        <v>30</v>
      </c>
      <c r="K47" s="3" t="n">
        <v>30</v>
      </c>
      <c r="L47" s="3" t="n">
        <v>30</v>
      </c>
    </row>
    <row r="48" customFormat="false" ht="15" hidden="false" customHeight="false" outlineLevel="0" collapsed="false">
      <c r="A48" s="0" t="s">
        <v>108</v>
      </c>
      <c r="B48" s="3" t="n">
        <v>7</v>
      </c>
    </row>
    <row r="49" customFormat="false" ht="15" hidden="false" customHeight="false" outlineLevel="0" collapsed="false">
      <c r="A49" s="0" t="s">
        <v>109</v>
      </c>
      <c r="B49" s="3" t="n">
        <v>1.5</v>
      </c>
    </row>
    <row r="50" customFormat="false" ht="15" hidden="false" customHeight="false" outlineLevel="0" collapsed="false">
      <c r="A50" s="0" t="s">
        <v>110</v>
      </c>
      <c r="B50" s="3" t="n">
        <v>15</v>
      </c>
    </row>
    <row r="51" customFormat="false" ht="15" hidden="false" customHeight="false" outlineLevel="0" collapsed="false">
      <c r="A51" s="0" t="s">
        <v>111</v>
      </c>
      <c r="B51" s="3" t="n">
        <v>-25</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10</v>
      </c>
      <c r="D5" s="4" t="n">
        <f aca="false">Assumptions!D13</f>
        <v>0</v>
      </c>
      <c r="E5" s="4" t="n">
        <f aca="false">Assumptions!E13</f>
        <v>0.5</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349476</v>
      </c>
      <c r="C6" s="0" t="n">
        <f aca="false">B6*(1+C5/100)</f>
        <v>384423.6</v>
      </c>
      <c r="D6" s="0" t="n">
        <f aca="false">C6*(1+D5/100)</f>
        <v>384423.6</v>
      </c>
      <c r="E6" s="0" t="n">
        <f aca="false">D6*(1+E5/100)</f>
        <v>386345.718</v>
      </c>
      <c r="F6" s="0" t="n">
        <f aca="false">E6*(1+F5/100)</f>
        <v>390209.17518</v>
      </c>
      <c r="G6" s="0" t="n">
        <f aca="false">F6*(1+G5/100)</f>
        <v>394111.2669318</v>
      </c>
      <c r="H6" s="0" t="n">
        <f aca="false">G6*(1+H5/100)</f>
        <v>398052.379601118</v>
      </c>
      <c r="I6" s="0" t="n">
        <f aca="false">H6*(1+I5/100)</f>
        <v>402032.903397129</v>
      </c>
      <c r="J6" s="0" t="n">
        <f aca="false">I6*(1+J5/100)</f>
        <v>406053.2324311</v>
      </c>
      <c r="K6" s="0" t="n">
        <f aca="false">J6*(1+K5/100)</f>
        <v>410113.764755412</v>
      </c>
      <c r="L6" s="0" t="n">
        <f aca="false">K6*(1+L5/100)</f>
        <v>414214.902402966</v>
      </c>
    </row>
    <row r="7" customFormat="false" ht="15" hidden="false" customHeight="false" outlineLevel="0" collapsed="false">
      <c r="A7" s="0" t="s">
        <v>102</v>
      </c>
      <c r="C7" s="4" t="n">
        <f aca="false">Assumptions!C14</f>
        <v>14</v>
      </c>
      <c r="D7" s="4" t="n">
        <f aca="false">Assumptions!D14</f>
        <v>14</v>
      </c>
      <c r="E7" s="4" t="n">
        <f aca="false">Assumptions!E14</f>
        <v>14.5</v>
      </c>
      <c r="F7" s="4" t="n">
        <f aca="false">Assumptions!F14</f>
        <v>15</v>
      </c>
      <c r="G7" s="4" t="n">
        <f aca="false">Assumptions!G14</f>
        <v>15</v>
      </c>
      <c r="H7" s="4" t="n">
        <f aca="false">Assumptions!H14</f>
        <v>15</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43</v>
      </c>
      <c r="C8" s="0" t="n">
        <f aca="false">C6*C7/100</f>
        <v>53819.304</v>
      </c>
      <c r="D8" s="0" t="n">
        <f aca="false">D6*D7/100</f>
        <v>53819.304</v>
      </c>
      <c r="E8" s="0" t="n">
        <f aca="false">E6*E7/100</f>
        <v>56020.12911</v>
      </c>
      <c r="F8" s="0" t="n">
        <f aca="false">F6*F7/100</f>
        <v>58531.376277</v>
      </c>
      <c r="G8" s="0" t="n">
        <f aca="false">G6*G7/100</f>
        <v>59116.69003977</v>
      </c>
      <c r="H8" s="0" t="n">
        <f aca="false">H6*H7/100</f>
        <v>59707.8569401677</v>
      </c>
      <c r="I8" s="0" t="n">
        <f aca="false">I6*I7/100</f>
        <v>60304.9355095694</v>
      </c>
      <c r="J8" s="0" t="n">
        <f aca="false">J6*J7/100</f>
        <v>60907.9848646651</v>
      </c>
      <c r="K8" s="0" t="n">
        <f aca="false">K6*K7/100</f>
        <v>61517.0647133117</v>
      </c>
      <c r="L8" s="0" t="n">
        <f aca="false">L6*L7/100</f>
        <v>62132.2353604448</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53819.304</v>
      </c>
      <c r="D11" s="0" t="n">
        <f aca="false">D8+D10+D24</f>
        <v>53819.304</v>
      </c>
      <c r="E11" s="0" t="n">
        <f aca="false">E8+E10+E24</f>
        <v>56020.12911</v>
      </c>
      <c r="F11" s="0" t="n">
        <f aca="false">F8+F10+F24</f>
        <v>58531.376277</v>
      </c>
      <c r="G11" s="0" t="n">
        <f aca="false">G8+G10+G24</f>
        <v>59116.69003977</v>
      </c>
      <c r="H11" s="0" t="n">
        <f aca="false">H8+H10+H24</f>
        <v>59707.8569401677</v>
      </c>
      <c r="I11" s="0" t="n">
        <f aca="false">I8+I10+I24</f>
        <v>60304.9355095694</v>
      </c>
      <c r="J11" s="0" t="n">
        <f aca="false">J8+J10+J24</f>
        <v>60907.9848646651</v>
      </c>
      <c r="K11" s="0" t="n">
        <f aca="false">K8+K10+K24</f>
        <v>61517.0647133117</v>
      </c>
      <c r="L11" s="0" t="n">
        <f aca="false">L8+L10+L24</f>
        <v>62132.2353604448</v>
      </c>
    </row>
    <row r="12" customFormat="false" ht="15" hidden="false" customHeight="false" outlineLevel="0" collapsed="false">
      <c r="A12" s="0" t="s">
        <v>120</v>
      </c>
      <c r="C12" s="4" t="n">
        <f aca="false">-C6*Assumptions!C17/100</f>
        <v>-26525.2284</v>
      </c>
      <c r="D12" s="4" t="n">
        <f aca="false">-D6*Assumptions!D17/100</f>
        <v>-26525.2284</v>
      </c>
      <c r="E12" s="4" t="n">
        <f aca="false">-E6*Assumptions!E17/100</f>
        <v>-26657.854542</v>
      </c>
      <c r="F12" s="4" t="n">
        <f aca="false">-F6*Assumptions!F17/100</f>
        <v>-26924.43308742</v>
      </c>
      <c r="G12" s="4" t="n">
        <f aca="false">-G6*Assumptions!G17/100</f>
        <v>-27193.6774182942</v>
      </c>
      <c r="H12" s="4" t="n">
        <f aca="false">-H6*Assumptions!H17/100</f>
        <v>-27465.6141924771</v>
      </c>
      <c r="I12" s="4" t="n">
        <f aca="false">-I6*Assumptions!I17/100</f>
        <v>-27740.2703344019</v>
      </c>
      <c r="J12" s="4" t="n">
        <f aca="false">-J6*Assumptions!J17/100</f>
        <v>-28017.6730377459</v>
      </c>
      <c r="K12" s="4" t="n">
        <f aca="false">-K6*Assumptions!K17/100</f>
        <v>-28297.8497681234</v>
      </c>
      <c r="L12" s="4" t="n">
        <f aca="false">-L6*Assumptions!L17/100</f>
        <v>-28580.8282658046</v>
      </c>
    </row>
    <row r="13" customFormat="false" ht="15" hidden="false" customHeight="false" outlineLevel="0" collapsed="false">
      <c r="A13" s="0" t="s">
        <v>121</v>
      </c>
      <c r="C13" s="0" t="n">
        <f aca="false">C11+C12</f>
        <v>27294.0756</v>
      </c>
      <c r="D13" s="0" t="n">
        <f aca="false">D11+D12</f>
        <v>27294.0756</v>
      </c>
      <c r="E13" s="0" t="n">
        <f aca="false">E11+E12</f>
        <v>29362.274568</v>
      </c>
      <c r="F13" s="0" t="n">
        <f aca="false">F11+F12</f>
        <v>31606.94318958</v>
      </c>
      <c r="G13" s="0" t="n">
        <f aca="false">G11+G12</f>
        <v>31923.0126214758</v>
      </c>
      <c r="H13" s="0" t="n">
        <f aca="false">H11+H12</f>
        <v>32242.2427476906</v>
      </c>
      <c r="I13" s="0" t="n">
        <f aca="false">I11+I12</f>
        <v>32564.6651751675</v>
      </c>
      <c r="J13" s="0" t="n">
        <f aca="false">J11+J12</f>
        <v>32890.3118269191</v>
      </c>
      <c r="K13" s="0" t="n">
        <f aca="false">K11+K12</f>
        <v>33219.2149451883</v>
      </c>
      <c r="L13" s="0" t="n">
        <f aca="false">L11+L12</f>
        <v>33551.4070946402</v>
      </c>
    </row>
    <row r="14" customFormat="false" ht="15" hidden="false" customHeight="false" outlineLevel="0" collapsed="false">
      <c r="A14" s="0" t="s">
        <v>107</v>
      </c>
      <c r="C14" s="4" t="n">
        <f aca="false">Assumptions!C19</f>
        <v>22</v>
      </c>
      <c r="D14" s="4" t="n">
        <f aca="false">Assumptions!D19</f>
        <v>24</v>
      </c>
      <c r="E14" s="4" t="n">
        <f aca="false">Assumptions!E19</f>
        <v>26</v>
      </c>
      <c r="F14" s="4" t="n">
        <f aca="false">Assumptions!F19</f>
        <v>28</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122</v>
      </c>
      <c r="C15" s="0" t="n">
        <f aca="false">C13-MAX(0,C13)*C14/100</f>
        <v>21289.378968</v>
      </c>
      <c r="D15" s="0" t="n">
        <f aca="false">D13-MAX(0,D13)*D14/100</f>
        <v>20743.497456</v>
      </c>
      <c r="E15" s="0" t="n">
        <f aca="false">E13-MAX(0,E13)*E14/100</f>
        <v>21728.08318032</v>
      </c>
      <c r="F15" s="0" t="n">
        <f aca="false">F13-MAX(0,F13)*F14/100</f>
        <v>22756.9990964976</v>
      </c>
      <c r="G15" s="0" t="n">
        <f aca="false">G13-MAX(0,G13)*G14/100</f>
        <v>22346.1088350331</v>
      </c>
      <c r="H15" s="0" t="n">
        <f aca="false">H13-MAX(0,H13)*H14/100</f>
        <v>22569.5699233834</v>
      </c>
      <c r="I15" s="0" t="n">
        <f aca="false">I13-MAX(0,I13)*I14/100</f>
        <v>22795.2656226172</v>
      </c>
      <c r="J15" s="0" t="n">
        <f aca="false">J13-MAX(0,J13)*J14/100</f>
        <v>23023.2182788434</v>
      </c>
      <c r="K15" s="0" t="n">
        <f aca="false">K13-MAX(0,K13)*K14/100</f>
        <v>23253.4504616318</v>
      </c>
      <c r="L15" s="0" t="n">
        <f aca="false">L13-MAX(0,L13)*L14/100</f>
        <v>23485.9849662482</v>
      </c>
    </row>
    <row r="16" customFormat="false" ht="15" hidden="false" customHeight="false" outlineLevel="0" collapsed="false">
      <c r="A16" s="0" t="s">
        <v>123</v>
      </c>
      <c r="C16" s="0" t="n">
        <f aca="false">-C12</f>
        <v>26525.2284</v>
      </c>
      <c r="D16" s="0" t="n">
        <f aca="false">-D12</f>
        <v>26525.2284</v>
      </c>
      <c r="E16" s="0" t="n">
        <f aca="false">-E12</f>
        <v>26657.854542</v>
      </c>
      <c r="F16" s="0" t="n">
        <f aca="false">-F12</f>
        <v>26924.43308742</v>
      </c>
      <c r="G16" s="0" t="n">
        <f aca="false">-G12</f>
        <v>27193.6774182942</v>
      </c>
      <c r="H16" s="0" t="n">
        <f aca="false">-H12</f>
        <v>27465.6141924771</v>
      </c>
      <c r="I16" s="0" t="n">
        <f aca="false">-I12</f>
        <v>27740.2703344019</v>
      </c>
      <c r="J16" s="0" t="n">
        <f aca="false">-J12</f>
        <v>28017.6730377459</v>
      </c>
      <c r="K16" s="0" t="n">
        <f aca="false">-K12</f>
        <v>28297.8497681234</v>
      </c>
      <c r="L16" s="0" t="n">
        <f aca="false">-L12</f>
        <v>28580.8282658046</v>
      </c>
    </row>
    <row r="17" customFormat="false" ht="15" hidden="false" customHeight="false" outlineLevel="0" collapsed="false">
      <c r="A17" s="0" t="s">
        <v>124</v>
      </c>
      <c r="C17" s="4" t="n">
        <f aca="false">-C6*Assumptions!C18/100</f>
        <v>-38442.36</v>
      </c>
      <c r="D17" s="4" t="n">
        <f aca="false">-D6*Assumptions!D18/100</f>
        <v>-36520.242</v>
      </c>
      <c r="E17" s="4" t="n">
        <f aca="false">-E6*Assumptions!E18/100</f>
        <v>-34771.11462</v>
      </c>
      <c r="F17" s="4" t="n">
        <f aca="false">-F6*Assumptions!F18/100</f>
        <v>-31216.7340144</v>
      </c>
      <c r="G17" s="4" t="n">
        <f aca="false">-G6*Assumptions!G18/100</f>
        <v>-29558.345019885</v>
      </c>
      <c r="H17" s="4" t="n">
        <f aca="false">-H6*Assumptions!H18/100</f>
        <v>-27863.6665720783</v>
      </c>
      <c r="I17" s="4" t="n">
        <f aca="false">-I6*Assumptions!I18/100</f>
        <v>-28142.303237799</v>
      </c>
      <c r="J17" s="4" t="n">
        <f aca="false">-J6*Assumptions!J18/100</f>
        <v>-28423.726270177</v>
      </c>
      <c r="K17" s="4" t="n">
        <f aca="false">-K6*Assumptions!K18/100</f>
        <v>-28707.9635328788</v>
      </c>
      <c r="L17" s="4" t="n">
        <f aca="false">-L6*Assumptions!L18/100</f>
        <v>-28995.0431682076</v>
      </c>
    </row>
    <row r="18" customFormat="false" ht="15" hidden="false" customHeight="false" outlineLevel="0" collapsed="false">
      <c r="A18" s="0" t="s">
        <v>125</v>
      </c>
      <c r="C18" s="4" t="n">
        <f aca="false">(C6-B6)*Assumptions!$B$23/100</f>
        <v>-8736.90000000001</v>
      </c>
      <c r="D18" s="4" t="n">
        <f aca="false">(D6-C6)*Assumptions!$B$23/100</f>
        <v>-0</v>
      </c>
      <c r="E18" s="4" t="n">
        <f aca="false">(E6-D6)*Assumptions!$B$23/100</f>
        <v>-480.52949999999</v>
      </c>
      <c r="F18" s="4" t="n">
        <f aca="false">(F6-E6)*Assumptions!$B$23/100</f>
        <v>-965.864295000007</v>
      </c>
      <c r="G18" s="4" t="n">
        <f aca="false">(G6-F6)*Assumptions!$B$23/100</f>
        <v>-975.522937949994</v>
      </c>
      <c r="H18" s="4" t="n">
        <f aca="false">(H6-G6)*Assumptions!$B$23/100</f>
        <v>-985.278167329496</v>
      </c>
      <c r="I18" s="4" t="n">
        <f aca="false">(I6-H6)*Assumptions!$B$23/100</f>
        <v>-995.130949002793</v>
      </c>
      <c r="J18" s="4" t="n">
        <f aca="false">(J6-I6)*Assumptions!$B$23/100</f>
        <v>-1005.08225849282</v>
      </c>
      <c r="K18" s="4" t="n">
        <f aca="false">(K6-J6)*Assumptions!$B$23/100</f>
        <v>-1015.13308107776</v>
      </c>
      <c r="L18" s="4" t="n">
        <f aca="false">(L6-K6)*Assumptions!$B$23/100</f>
        <v>-1025.28441188853</v>
      </c>
    </row>
    <row r="19" customFormat="false" ht="15" hidden="false" customHeight="false" outlineLevel="0" collapsed="false">
      <c r="A19" s="0" t="s">
        <v>126</v>
      </c>
      <c r="C19" s="0" t="n">
        <f aca="false">C15+C16+C17+C18</f>
        <v>635.347367999988</v>
      </c>
      <c r="D19" s="0" t="n">
        <f aca="false">D15+D16+D17+D18</f>
        <v>10748.483856</v>
      </c>
      <c r="E19" s="0" t="n">
        <f aca="false">E15+E16+E17+E18</f>
        <v>13134.29360232</v>
      </c>
      <c r="F19" s="0" t="n">
        <f aca="false">F15+F16+F17+F18</f>
        <v>17498.8338745176</v>
      </c>
      <c r="G19" s="0" t="n">
        <f aca="false">G15+G16+G17+G18</f>
        <v>19005.9182954923</v>
      </c>
      <c r="H19" s="0" t="n">
        <f aca="false">H15+H16+H17+H18</f>
        <v>21186.2393764528</v>
      </c>
      <c r="I19" s="0" t="n">
        <f aca="false">I15+I16+I17+I18</f>
        <v>21398.1017702173</v>
      </c>
      <c r="J19" s="0" t="n">
        <f aca="false">J15+J16+J17+J18</f>
        <v>21612.0827879195</v>
      </c>
      <c r="K19" s="0" t="n">
        <f aca="false">K15+K16+K17+K18</f>
        <v>21828.2036157987</v>
      </c>
      <c r="L19" s="0" t="n">
        <f aca="false">L15+L16+L17+L18</f>
        <v>22046.4856519567</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593.782586915877</v>
      </c>
      <c r="D21" s="0" t="n">
        <f aca="false">D19*D20</f>
        <v>9388.14207004979</v>
      </c>
      <c r="E21" s="0" t="n">
        <f aca="false">E19*E20</f>
        <v>10721.4959820349</v>
      </c>
      <c r="F21" s="0" t="n">
        <f aca="false">F19*F20</f>
        <v>13349.7765792845</v>
      </c>
      <c r="G21" s="0" t="n">
        <f aca="false">G19*G20</f>
        <v>13550.9570730818</v>
      </c>
      <c r="H21" s="0" t="n">
        <f aca="false">H19*H20</f>
        <v>14117.2858604145</v>
      </c>
      <c r="I21" s="0" t="n">
        <f aca="false">I19*I20</f>
        <v>13325.662354223</v>
      </c>
      <c r="J21" s="0" t="n">
        <f aca="false">J19*J20</f>
        <v>12578.4289511825</v>
      </c>
      <c r="K21" s="0" t="n">
        <f aca="false">K19*K20</f>
        <v>11873.0964866302</v>
      </c>
      <c r="L21" s="0" t="n">
        <f aca="false">L19*L20</f>
        <v>11207.3153752304</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7</v>
      </c>
    </row>
    <row r="28" customFormat="false" ht="15" hidden="false" customHeight="false" outlineLevel="0" collapsed="false">
      <c r="A28" s="0" t="s">
        <v>109</v>
      </c>
      <c r="B28" s="4" t="n">
        <f aca="false">Assumptions!$B$21</f>
        <v>0.5</v>
      </c>
    </row>
    <row r="29" customFormat="false" ht="15" hidden="false" customHeight="false" outlineLevel="0" collapsed="false">
      <c r="A29" s="0" t="s">
        <v>110</v>
      </c>
      <c r="B29" s="4" t="n">
        <f aca="false">Assumptions!$B$22</f>
        <v>12</v>
      </c>
    </row>
    <row r="30" customFormat="false" ht="15" hidden="false" customHeight="false" outlineLevel="0" collapsed="false">
      <c r="A30" s="0" t="s">
        <v>131</v>
      </c>
      <c r="B30" s="0" t="n">
        <f aca="false">SUM(C21:L21)</f>
        <v>110705.943319047</v>
      </c>
    </row>
    <row r="31" customFormat="false" ht="15" hidden="false" customHeight="false" outlineLevel="0" collapsed="false">
      <c r="A31" s="0" t="s">
        <v>132</v>
      </c>
      <c r="B31" s="0" t="n">
        <f aca="false">L19</f>
        <v>22046.4856519567</v>
      </c>
    </row>
    <row r="32" customFormat="false" ht="15" hidden="false" customHeight="false" outlineLevel="0" collapsed="false">
      <c r="A32" s="0" t="s">
        <v>133</v>
      </c>
      <c r="B32" s="0" t="n">
        <f aca="false">IF(B27&gt;B28,B31*(1+B28/100)/((B27-B28)/100),B31*B29)</f>
        <v>340872.585849484</v>
      </c>
    </row>
    <row r="33" customFormat="false" ht="15" hidden="false" customHeight="false" outlineLevel="0" collapsed="false">
      <c r="A33" s="0" t="s">
        <v>134</v>
      </c>
      <c r="B33" s="0" t="n">
        <f aca="false">B31*B29</f>
        <v>264557.82782348</v>
      </c>
    </row>
    <row r="34" customFormat="false" ht="15" hidden="false" customHeight="false" outlineLevel="0" collapsed="false">
      <c r="A34" s="0" t="s">
        <v>135</v>
      </c>
      <c r="B34" s="0" t="n">
        <f aca="false">MAX(0,MIN(B32,B33))</f>
        <v>264557.82782348</v>
      </c>
    </row>
    <row r="35" customFormat="false" ht="15" hidden="false" customHeight="false" outlineLevel="0" collapsed="false">
      <c r="A35" s="0" t="s">
        <v>136</v>
      </c>
      <c r="B35" s="0" t="n">
        <f aca="false">B34/(1+B27/100)^L4</f>
        <v>134487.784502765</v>
      </c>
    </row>
    <row r="36" customFormat="false" ht="15" hidden="false" customHeight="false" outlineLevel="0" collapsed="false">
      <c r="A36" s="0" t="s">
        <v>137</v>
      </c>
      <c r="B36" s="0" t="n">
        <f aca="false">B30+B35</f>
        <v>245193.727821812</v>
      </c>
    </row>
    <row r="37" customFormat="false" ht="15" hidden="false" customHeight="false" outlineLevel="0" collapsed="false">
      <c r="A37" s="0" t="s">
        <v>138</v>
      </c>
      <c r="B37" s="0" t="n">
        <f aca="false">B36+Assumptions!$B$5-Assumptions!$B$4</f>
        <v>166383.727821812</v>
      </c>
    </row>
    <row r="38" customFormat="false" ht="15" hidden="false" customHeight="false" outlineLevel="0" collapsed="false">
      <c r="A38" s="0" t="s">
        <v>139</v>
      </c>
      <c r="B38" s="0" t="n">
        <f aca="false">B37/Assumptions!$B$3*Assumptions!$B$10</f>
        <v>2339.7748283924</v>
      </c>
    </row>
    <row r="39" customFormat="false" ht="15" hidden="false" customHeight="false" outlineLevel="0" collapsed="false">
      <c r="A39" s="0" t="s">
        <v>140</v>
      </c>
      <c r="B39" s="4" t="n">
        <f aca="false">B38/Assumptions!$B$2-1</f>
        <v>-0.404940277621465</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2339.7748283924</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152804.952277355</v>
      </c>
    </row>
    <row r="47" customFormat="false" ht="15" hidden="false" customHeight="false" outlineLevel="0" collapsed="false">
      <c r="A47" s="0" t="s">
        <v>145</v>
      </c>
      <c r="B47" s="0" t="n">
        <f aca="false">(SUMPRODUCT(C19:L19/(1+B45/100)^C4:L4)+B46/(1+B45/100)^L4+Assumptions!$B$5-Assumptions!$B$4)/Assumptions!$B$3*Assumptions!$B$10</f>
        <v>445.142143614657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12.2</v>
      </c>
      <c r="D5" s="4" t="n">
        <f aca="false">Assumptions!D27</f>
        <v>1.5</v>
      </c>
      <c r="E5" s="4" t="n">
        <f aca="false">Assumptions!E27</f>
        <v>2</v>
      </c>
      <c r="F5" s="4" t="n">
        <f aca="false">Assumptions!F27</f>
        <v>2</v>
      </c>
      <c r="G5" s="4" t="n">
        <f aca="false">Assumptions!G27</f>
        <v>2</v>
      </c>
      <c r="H5" s="4" t="n">
        <f aca="false">Assumptions!H27</f>
        <v>2</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37</v>
      </c>
      <c r="B6" s="3" t="n">
        <v>349476</v>
      </c>
      <c r="C6" s="0" t="n">
        <f aca="false">B6*(1+C5/100)</f>
        <v>392112.072</v>
      </c>
      <c r="D6" s="0" t="n">
        <f aca="false">C6*(1+D5/100)</f>
        <v>397993.75308</v>
      </c>
      <c r="E6" s="0" t="n">
        <f aca="false">D6*(1+E5/100)</f>
        <v>405953.6281416</v>
      </c>
      <c r="F6" s="0" t="n">
        <f aca="false">E6*(1+F5/100)</f>
        <v>414072.700704432</v>
      </c>
      <c r="G6" s="0" t="n">
        <f aca="false">F6*(1+G5/100)</f>
        <v>422354.154718521</v>
      </c>
      <c r="H6" s="0" t="n">
        <f aca="false">G6*(1+H5/100)</f>
        <v>430801.237812891</v>
      </c>
      <c r="I6" s="0" t="n">
        <f aca="false">H6*(1+I5/100)</f>
        <v>437263.256380084</v>
      </c>
      <c r="J6" s="0" t="n">
        <f aca="false">I6*(1+J5/100)</f>
        <v>443822.205225786</v>
      </c>
      <c r="K6" s="0" t="n">
        <f aca="false">J6*(1+K5/100)</f>
        <v>450479.538304172</v>
      </c>
      <c r="L6" s="0" t="n">
        <f aca="false">K6*(1+L5/100)</f>
        <v>457236.731378735</v>
      </c>
    </row>
    <row r="7" customFormat="false" ht="15" hidden="false" customHeight="false" outlineLevel="0" collapsed="false">
      <c r="A7" s="0" t="s">
        <v>102</v>
      </c>
      <c r="C7" s="4" t="n">
        <f aca="false">Assumptions!C28</f>
        <v>15.6</v>
      </c>
      <c r="D7" s="4" t="n">
        <f aca="false">Assumptions!D28</f>
        <v>16.5</v>
      </c>
      <c r="E7" s="4" t="n">
        <f aca="false">Assumptions!E28</f>
        <v>17</v>
      </c>
      <c r="F7" s="4" t="n">
        <f aca="false">Assumptions!F28</f>
        <v>17.5</v>
      </c>
      <c r="G7" s="4" t="n">
        <f aca="false">Assumptions!G28</f>
        <v>17.5</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43</v>
      </c>
      <c r="C8" s="0" t="n">
        <f aca="false">C6*C7/100</f>
        <v>61169.483232</v>
      </c>
      <c r="D8" s="0" t="n">
        <f aca="false">D6*D7/100</f>
        <v>65668.9692582</v>
      </c>
      <c r="E8" s="0" t="n">
        <f aca="false">E6*E7/100</f>
        <v>69012.116784072</v>
      </c>
      <c r="F8" s="0" t="n">
        <f aca="false">F6*F7/100</f>
        <v>72462.7226232756</v>
      </c>
      <c r="G8" s="0" t="n">
        <f aca="false">G6*G7/100</f>
        <v>73911.9770757411</v>
      </c>
      <c r="H8" s="0" t="n">
        <f aca="false">H6*H7/100</f>
        <v>75390.2166172559</v>
      </c>
      <c r="I8" s="0" t="n">
        <f aca="false">I6*I7/100</f>
        <v>76521.0698665148</v>
      </c>
      <c r="J8" s="0" t="n">
        <f aca="false">J6*J7/100</f>
        <v>77668.8859145125</v>
      </c>
      <c r="K8" s="0" t="n">
        <f aca="false">K6*K7/100</f>
        <v>78833.9192032302</v>
      </c>
      <c r="L8" s="0" t="n">
        <f aca="false">L6*L7/100</f>
        <v>80016.4279912786</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61169.483232</v>
      </c>
      <c r="D11" s="0" t="n">
        <f aca="false">D8+D10+D24</f>
        <v>65668.9692582</v>
      </c>
      <c r="E11" s="0" t="n">
        <f aca="false">E8+E10+E24</f>
        <v>69012.116784072</v>
      </c>
      <c r="F11" s="0" t="n">
        <f aca="false">F8+F10+F24</f>
        <v>72462.7226232756</v>
      </c>
      <c r="G11" s="0" t="n">
        <f aca="false">G8+G10+G24</f>
        <v>73911.9770757411</v>
      </c>
      <c r="H11" s="0" t="n">
        <f aca="false">H8+H10+H24</f>
        <v>75390.2166172559</v>
      </c>
      <c r="I11" s="0" t="n">
        <f aca="false">I8+I10+I24</f>
        <v>76521.0698665148</v>
      </c>
      <c r="J11" s="0" t="n">
        <f aca="false">J8+J10+J24</f>
        <v>77668.8859145125</v>
      </c>
      <c r="K11" s="0" t="n">
        <f aca="false">K8+K10+K24</f>
        <v>78833.9192032302</v>
      </c>
      <c r="L11" s="0" t="n">
        <f aca="false">L8+L10+L24</f>
        <v>80016.4279912786</v>
      </c>
    </row>
    <row r="12" customFormat="false" ht="15" hidden="false" customHeight="false" outlineLevel="0" collapsed="false">
      <c r="A12" s="0" t="s">
        <v>120</v>
      </c>
      <c r="C12" s="4" t="n">
        <f aca="false">-C6*Assumptions!C31/100</f>
        <v>-27055.732968</v>
      </c>
      <c r="D12" s="4" t="n">
        <f aca="false">-D6*Assumptions!D31/100</f>
        <v>-27461.56896252</v>
      </c>
      <c r="E12" s="4" t="n">
        <f aca="false">-E6*Assumptions!E31/100</f>
        <v>-28010.8003417704</v>
      </c>
      <c r="F12" s="4" t="n">
        <f aca="false">-F6*Assumptions!F31/100</f>
        <v>-28571.0163486058</v>
      </c>
      <c r="G12" s="4" t="n">
        <f aca="false">-G6*Assumptions!G31/100</f>
        <v>-29142.4366755779</v>
      </c>
      <c r="H12" s="4" t="n">
        <f aca="false">-H6*Assumptions!H31/100</f>
        <v>-29725.2854090895</v>
      </c>
      <c r="I12" s="4" t="n">
        <f aca="false">-I6*Assumptions!I31/100</f>
        <v>-30171.1646902258</v>
      </c>
      <c r="J12" s="4" t="n">
        <f aca="false">-J6*Assumptions!J31/100</f>
        <v>-30623.7321605792</v>
      </c>
      <c r="K12" s="4" t="n">
        <f aca="false">-K6*Assumptions!K31/100</f>
        <v>-31083.0881429879</v>
      </c>
      <c r="L12" s="4" t="n">
        <f aca="false">-L6*Assumptions!L31/100</f>
        <v>-31549.3344651327</v>
      </c>
    </row>
    <row r="13" customFormat="false" ht="15" hidden="false" customHeight="false" outlineLevel="0" collapsed="false">
      <c r="A13" s="0" t="s">
        <v>121</v>
      </c>
      <c r="C13" s="0" t="n">
        <f aca="false">C11+C12</f>
        <v>34113.750264</v>
      </c>
      <c r="D13" s="0" t="n">
        <f aca="false">D11+D12</f>
        <v>38207.40029568</v>
      </c>
      <c r="E13" s="0" t="n">
        <f aca="false">E11+E12</f>
        <v>41001.3164423016</v>
      </c>
      <c r="F13" s="0" t="n">
        <f aca="false">F11+F12</f>
        <v>43891.7062746698</v>
      </c>
      <c r="G13" s="0" t="n">
        <f aca="false">G11+G12</f>
        <v>44769.5404001632</v>
      </c>
      <c r="H13" s="0" t="n">
        <f aca="false">H11+H12</f>
        <v>45664.9312081664</v>
      </c>
      <c r="I13" s="0" t="n">
        <f aca="false">I11+I12</f>
        <v>46349.9051762889</v>
      </c>
      <c r="J13" s="0" t="n">
        <f aca="false">J11+J12</f>
        <v>47045.1537539333</v>
      </c>
      <c r="K13" s="0" t="n">
        <f aca="false">K11+K12</f>
        <v>47750.8310602423</v>
      </c>
      <c r="L13" s="0" t="n">
        <f aca="false">L11+L12</f>
        <v>48467.0935261459</v>
      </c>
    </row>
    <row r="14" customFormat="false" ht="15" hidden="false" customHeight="false" outlineLevel="0" collapsed="false">
      <c r="A14" s="0" t="s">
        <v>107</v>
      </c>
      <c r="C14" s="4" t="n">
        <f aca="false">Assumptions!C33</f>
        <v>22</v>
      </c>
      <c r="D14" s="4" t="n">
        <f aca="false">Assumptions!D33</f>
        <v>24</v>
      </c>
      <c r="E14" s="4" t="n">
        <f aca="false">Assumptions!E33</f>
        <v>26</v>
      </c>
      <c r="F14" s="4" t="n">
        <f aca="false">Assumptions!F33</f>
        <v>28</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122</v>
      </c>
      <c r="C15" s="0" t="n">
        <f aca="false">C13-MAX(0,C13)*C14/100</f>
        <v>26608.72520592</v>
      </c>
      <c r="D15" s="0" t="n">
        <f aca="false">D13-MAX(0,D13)*D14/100</f>
        <v>29037.6242247168</v>
      </c>
      <c r="E15" s="0" t="n">
        <f aca="false">E13-MAX(0,E13)*E14/100</f>
        <v>30340.9741673032</v>
      </c>
      <c r="F15" s="0" t="n">
        <f aca="false">F13-MAX(0,F13)*F14/100</f>
        <v>31602.0285177622</v>
      </c>
      <c r="G15" s="0" t="n">
        <f aca="false">G13-MAX(0,G13)*G14/100</f>
        <v>31338.6782801142</v>
      </c>
      <c r="H15" s="0" t="n">
        <f aca="false">H13-MAX(0,H13)*H14/100</f>
        <v>31965.4518457165</v>
      </c>
      <c r="I15" s="0" t="n">
        <f aca="false">I13-MAX(0,I13)*I14/100</f>
        <v>32444.9336234023</v>
      </c>
      <c r="J15" s="0" t="n">
        <f aca="false">J13-MAX(0,J13)*J14/100</f>
        <v>32931.6076277533</v>
      </c>
      <c r="K15" s="0" t="n">
        <f aca="false">K13-MAX(0,K13)*K14/100</f>
        <v>33425.5817421696</v>
      </c>
      <c r="L15" s="0" t="n">
        <f aca="false">L13-MAX(0,L13)*L14/100</f>
        <v>33926.9654683021</v>
      </c>
    </row>
    <row r="16" customFormat="false" ht="15" hidden="false" customHeight="false" outlineLevel="0" collapsed="false">
      <c r="A16" s="0" t="s">
        <v>123</v>
      </c>
      <c r="C16" s="0" t="n">
        <f aca="false">-C12</f>
        <v>27055.732968</v>
      </c>
      <c r="D16" s="0" t="n">
        <f aca="false">-D12</f>
        <v>27461.56896252</v>
      </c>
      <c r="E16" s="0" t="n">
        <f aca="false">-E12</f>
        <v>28010.8003417704</v>
      </c>
      <c r="F16" s="0" t="n">
        <f aca="false">-F12</f>
        <v>28571.0163486058</v>
      </c>
      <c r="G16" s="0" t="n">
        <f aca="false">-G12</f>
        <v>29142.4366755779</v>
      </c>
      <c r="H16" s="0" t="n">
        <f aca="false">-H12</f>
        <v>29725.2854090895</v>
      </c>
      <c r="I16" s="0" t="n">
        <f aca="false">-I12</f>
        <v>30171.1646902258</v>
      </c>
      <c r="J16" s="0" t="n">
        <f aca="false">-J12</f>
        <v>30623.7321605792</v>
      </c>
      <c r="K16" s="0" t="n">
        <f aca="false">-K12</f>
        <v>31083.0881429879</v>
      </c>
      <c r="L16" s="0" t="n">
        <f aca="false">-L12</f>
        <v>31549.3344651327</v>
      </c>
    </row>
    <row r="17" customFormat="false" ht="15" hidden="false" customHeight="false" outlineLevel="0" collapsed="false">
      <c r="A17" s="0" t="s">
        <v>124</v>
      </c>
      <c r="C17" s="4" t="n">
        <f aca="false">-C6*Assumptions!C32/100</f>
        <v>-39211.2072</v>
      </c>
      <c r="D17" s="4" t="n">
        <f aca="false">-D6*Assumptions!D32/100</f>
        <v>-37809.4065426</v>
      </c>
      <c r="E17" s="4" t="n">
        <f aca="false">-E6*Assumptions!E32/100</f>
        <v>-36535.826532744</v>
      </c>
      <c r="F17" s="4" t="n">
        <f aca="false">-F6*Assumptions!F32/100</f>
        <v>-35196.1795598767</v>
      </c>
      <c r="G17" s="4" t="n">
        <f aca="false">-G6*Assumptions!G32/100</f>
        <v>-33788.3323774816</v>
      </c>
      <c r="H17" s="4" t="n">
        <f aca="false">-H6*Assumptions!H32/100</f>
        <v>-32310.0928359668</v>
      </c>
      <c r="I17" s="4" t="n">
        <f aca="false">-I6*Assumptions!I32/100</f>
        <v>-32794.7442285063</v>
      </c>
      <c r="J17" s="4" t="n">
        <f aca="false">-J6*Assumptions!J32/100</f>
        <v>-33286.6653919339</v>
      </c>
      <c r="K17" s="4" t="n">
        <f aca="false">-K6*Assumptions!K32/100</f>
        <v>-33785.9653728129</v>
      </c>
      <c r="L17" s="4" t="n">
        <f aca="false">-L6*Assumptions!L32/100</f>
        <v>-34292.7548534051</v>
      </c>
    </row>
    <row r="18" customFormat="false" ht="15" hidden="false" customHeight="false" outlineLevel="0" collapsed="false">
      <c r="A18" s="0" t="s">
        <v>125</v>
      </c>
      <c r="C18" s="4" t="n">
        <f aca="false">(C6-B6)*Assumptions!$B$37/100</f>
        <v>-10659.018</v>
      </c>
      <c r="D18" s="4" t="n">
        <f aca="false">(D6-C6)*Assumptions!$B$37/100</f>
        <v>-1470.42026999999</v>
      </c>
      <c r="E18" s="4" t="n">
        <f aca="false">(E6-D6)*Assumptions!$B$37/100</f>
        <v>-1989.9687654</v>
      </c>
      <c r="F18" s="4" t="n">
        <f aca="false">(F6-E6)*Assumptions!$B$37/100</f>
        <v>-2029.76814070799</v>
      </c>
      <c r="G18" s="4" t="n">
        <f aca="false">(G6-F6)*Assumptions!$B$37/100</f>
        <v>-2070.36350352217</v>
      </c>
      <c r="H18" s="4" t="n">
        <f aca="false">(H6-G6)*Assumptions!$B$37/100</f>
        <v>-2111.77077359261</v>
      </c>
      <c r="I18" s="4" t="n">
        <f aca="false">(I6-H6)*Assumptions!$B$37/100</f>
        <v>-1615.50464179832</v>
      </c>
      <c r="J18" s="4" t="n">
        <f aca="false">(J6-I6)*Assumptions!$B$37/100</f>
        <v>-1639.73721142531</v>
      </c>
      <c r="K18" s="4" t="n">
        <f aca="false">(K6-J6)*Assumptions!$B$37/100</f>
        <v>-1664.33326959668</v>
      </c>
      <c r="L18" s="4" t="n">
        <f aca="false">(L6-K6)*Assumptions!$B$37/100</f>
        <v>-1689.29826864063</v>
      </c>
    </row>
    <row r="19" customFormat="false" ht="15" hidden="false" customHeight="false" outlineLevel="0" collapsed="false">
      <c r="A19" s="0" t="s">
        <v>126</v>
      </c>
      <c r="C19" s="0" t="n">
        <f aca="false">C15+C16+C17+C18</f>
        <v>3794.23297392001</v>
      </c>
      <c r="D19" s="0" t="n">
        <f aca="false">D15+D16+D17+D18</f>
        <v>17219.3663746368</v>
      </c>
      <c r="E19" s="0" t="n">
        <f aca="false">E15+E16+E17+E18</f>
        <v>19825.9792109296</v>
      </c>
      <c r="F19" s="0" t="n">
        <f aca="false">F15+F16+F17+F18</f>
        <v>22947.0971657833</v>
      </c>
      <c r="G19" s="0" t="n">
        <f aca="false">G15+G16+G17+G18</f>
        <v>24622.4190746883</v>
      </c>
      <c r="H19" s="0" t="n">
        <f aca="false">H15+H16+H17+H18</f>
        <v>27268.8736452466</v>
      </c>
      <c r="I19" s="0" t="n">
        <f aca="false">I15+I16+I17+I18</f>
        <v>28205.8494433234</v>
      </c>
      <c r="J19" s="0" t="n">
        <f aca="false">J15+J16+J17+J18</f>
        <v>28628.9371849733</v>
      </c>
      <c r="K19" s="0" t="n">
        <f aca="false">K15+K16+K17+K18</f>
        <v>29058.3712427479</v>
      </c>
      <c r="L19" s="0" t="n">
        <f aca="false">L15+L16+L17+L18</f>
        <v>29494.2468113891</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3546.01212515889</v>
      </c>
      <c r="D21" s="0" t="n">
        <f aca="false">D19*D20</f>
        <v>15040.0614679333</v>
      </c>
      <c r="E21" s="0" t="n">
        <f aca="false">E19*E20</f>
        <v>16183.904737164</v>
      </c>
      <c r="F21" s="0" t="n">
        <f aca="false">F19*F20</f>
        <v>17506.2305581654</v>
      </c>
      <c r="G21" s="0" t="n">
        <f aca="false">G19*G20</f>
        <v>17555.4445057078</v>
      </c>
      <c r="H21" s="0" t="n">
        <f aca="false">H19*H20</f>
        <v>18170.4019057451</v>
      </c>
      <c r="I21" s="0" t="n">
        <f aca="false">I19*I20</f>
        <v>17565.1854604653</v>
      </c>
      <c r="J21" s="0" t="n">
        <f aca="false">J19*J20</f>
        <v>16662.302095675</v>
      </c>
      <c r="K21" s="0" t="n">
        <f aca="false">K19*K20</f>
        <v>15805.8286234674</v>
      </c>
      <c r="L21" s="0" t="n">
        <f aca="false">L19*L20</f>
        <v>14993.3794886163</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7</v>
      </c>
    </row>
    <row r="28" customFormat="false" ht="15" hidden="false" customHeight="false" outlineLevel="0" collapsed="false">
      <c r="A28" s="0" t="s">
        <v>109</v>
      </c>
      <c r="B28" s="4" t="n">
        <f aca="false">Assumptions!$B$35</f>
        <v>1</v>
      </c>
    </row>
    <row r="29" customFormat="false" ht="15" hidden="false" customHeight="false" outlineLevel="0" collapsed="false">
      <c r="A29" s="0" t="s">
        <v>110</v>
      </c>
      <c r="B29" s="4" t="n">
        <f aca="false">Assumptions!$B$36</f>
        <v>14</v>
      </c>
    </row>
    <row r="30" customFormat="false" ht="15" hidden="false" customHeight="false" outlineLevel="0" collapsed="false">
      <c r="A30" s="0" t="s">
        <v>131</v>
      </c>
      <c r="B30" s="0" t="n">
        <f aca="false">SUM(C21:L21)</f>
        <v>153028.750968099</v>
      </c>
    </row>
    <row r="31" customFormat="false" ht="15" hidden="false" customHeight="false" outlineLevel="0" collapsed="false">
      <c r="A31" s="0" t="s">
        <v>132</v>
      </c>
      <c r="B31" s="0" t="n">
        <f aca="false">L19</f>
        <v>29494.2468113891</v>
      </c>
    </row>
    <row r="32" customFormat="false" ht="15" hidden="false" customHeight="false" outlineLevel="0" collapsed="false">
      <c r="A32" s="0" t="s">
        <v>133</v>
      </c>
      <c r="B32" s="0" t="n">
        <f aca="false">IF(B27&gt;B28,B31*(1+B28/100)/((B27-B28)/100),B31*B29)</f>
        <v>496486.487991716</v>
      </c>
    </row>
    <row r="33" customFormat="false" ht="15" hidden="false" customHeight="false" outlineLevel="0" collapsed="false">
      <c r="A33" s="0" t="s">
        <v>134</v>
      </c>
      <c r="B33" s="0" t="n">
        <f aca="false">B31*B29</f>
        <v>412919.455359447</v>
      </c>
    </row>
    <row r="34" customFormat="false" ht="15" hidden="false" customHeight="false" outlineLevel="0" collapsed="false">
      <c r="A34" s="0" t="s">
        <v>135</v>
      </c>
      <c r="B34" s="0" t="n">
        <f aca="false">MAX(0,MIN(B32,B33))</f>
        <v>412919.455359447</v>
      </c>
    </row>
    <row r="35" customFormat="false" ht="15" hidden="false" customHeight="false" outlineLevel="0" collapsed="false">
      <c r="A35" s="0" t="s">
        <v>136</v>
      </c>
      <c r="B35" s="0" t="n">
        <f aca="false">B34/(1+B27/100)^L4</f>
        <v>209907.312840628</v>
      </c>
    </row>
    <row r="36" customFormat="false" ht="15" hidden="false" customHeight="false" outlineLevel="0" collapsed="false">
      <c r="A36" s="0" t="s">
        <v>137</v>
      </c>
      <c r="B36" s="0" t="n">
        <f aca="false">B30+B35</f>
        <v>362936.063808727</v>
      </c>
    </row>
    <row r="37" customFormat="false" ht="15" hidden="false" customHeight="false" outlineLevel="0" collapsed="false">
      <c r="A37" s="0" t="s">
        <v>138</v>
      </c>
      <c r="B37" s="0" t="n">
        <f aca="false">B36+Assumptions!$B$5-Assumptions!$B$4</f>
        <v>284126.063808727</v>
      </c>
    </row>
    <row r="38" customFormat="false" ht="15" hidden="false" customHeight="false" outlineLevel="0" collapsed="false">
      <c r="A38" s="0" t="s">
        <v>139</v>
      </c>
      <c r="B38" s="0" t="n">
        <f aca="false">B37/Assumptions!$B$3*Assumptions!$B$10</f>
        <v>3995.5290153243</v>
      </c>
    </row>
    <row r="39" customFormat="false" ht="15" hidden="false" customHeight="false" outlineLevel="0" collapsed="false">
      <c r="A39" s="0" t="s">
        <v>140</v>
      </c>
      <c r="B39" s="4" t="n">
        <f aca="false">B38/Assumptions!$B$2-1</f>
        <v>0.0161569214965167</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3995.5290153243</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212779.923425021</v>
      </c>
    </row>
    <row r="47" customFormat="false" ht="15" hidden="false" customHeight="false" outlineLevel="0" collapsed="false">
      <c r="A47" s="0" t="s">
        <v>145</v>
      </c>
      <c r="B47" s="0" t="n">
        <f aca="false">(SUMPRODUCT(C19:L19/(1+B45/100)^C4:L4)+B46/(1+B45/100)^L4+Assumptions!$B$5-Assumptions!$B$4)/Assumptions!$B$3*Assumptions!$B$10</f>
        <v>1066.01728257085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12.2</v>
      </c>
      <c r="D5" s="4" t="n">
        <f aca="false">Assumptions!D41</f>
        <v>4</v>
      </c>
      <c r="E5" s="4" t="n">
        <f aca="false">Assumptions!E41</f>
        <v>4</v>
      </c>
      <c r="F5" s="4" t="n">
        <f aca="false">Assumptions!F41</f>
        <v>4</v>
      </c>
      <c r="G5" s="4" t="n">
        <f aca="false">Assumptions!G41</f>
        <v>3.5</v>
      </c>
      <c r="H5" s="4" t="n">
        <f aca="false">Assumptions!H41</f>
        <v>3</v>
      </c>
      <c r="I5" s="4" t="n">
        <f aca="false">Assumptions!I41</f>
        <v>2.5</v>
      </c>
      <c r="J5" s="4" t="n">
        <f aca="false">Assumptions!J41</f>
        <v>2</v>
      </c>
      <c r="K5" s="4" t="n">
        <f aca="false">Assumptions!K41</f>
        <v>2</v>
      </c>
      <c r="L5" s="4" t="n">
        <f aca="false">Assumptions!L41</f>
        <v>2</v>
      </c>
    </row>
    <row r="6" customFormat="false" ht="15" hidden="false" customHeight="false" outlineLevel="0" collapsed="false">
      <c r="A6" s="0" t="s">
        <v>37</v>
      </c>
      <c r="B6" s="3" t="n">
        <v>349476</v>
      </c>
      <c r="C6" s="0" t="n">
        <f aca="false">B6*(1+C5/100)</f>
        <v>392112.072</v>
      </c>
      <c r="D6" s="0" t="n">
        <f aca="false">C6*(1+D5/100)</f>
        <v>407796.55488</v>
      </c>
      <c r="E6" s="0" t="n">
        <f aca="false">D6*(1+E5/100)</f>
        <v>424108.4170752</v>
      </c>
      <c r="F6" s="0" t="n">
        <f aca="false">E6*(1+F5/100)</f>
        <v>441072.753758208</v>
      </c>
      <c r="G6" s="0" t="n">
        <f aca="false">F6*(1+G5/100)</f>
        <v>456510.300139745</v>
      </c>
      <c r="H6" s="0" t="n">
        <f aca="false">G6*(1+H5/100)</f>
        <v>470205.609143938</v>
      </c>
      <c r="I6" s="0" t="n">
        <f aca="false">H6*(1+I5/100)</f>
        <v>481960.749372536</v>
      </c>
      <c r="J6" s="0" t="n">
        <f aca="false">I6*(1+J5/100)</f>
        <v>491599.964359987</v>
      </c>
      <c r="K6" s="0" t="n">
        <f aca="false">J6*(1+K5/100)</f>
        <v>501431.963647186</v>
      </c>
      <c r="L6" s="0" t="n">
        <f aca="false">K6*(1+L5/100)</f>
        <v>511460.60292013</v>
      </c>
    </row>
    <row r="7" customFormat="false" ht="15" hidden="false" customHeight="false" outlineLevel="0" collapsed="false">
      <c r="A7" s="0" t="s">
        <v>102</v>
      </c>
      <c r="C7" s="4" t="n">
        <f aca="false">Assumptions!C42</f>
        <v>16</v>
      </c>
      <c r="D7" s="4" t="n">
        <f aca="false">Assumptions!D42</f>
        <v>17.5</v>
      </c>
      <c r="E7" s="4" t="n">
        <f aca="false">Assumptions!E42</f>
        <v>19</v>
      </c>
      <c r="F7" s="4" t="n">
        <f aca="false">Assumptions!F42</f>
        <v>20</v>
      </c>
      <c r="G7" s="4" t="n">
        <f aca="false">Assumptions!G42</f>
        <v>21</v>
      </c>
      <c r="H7" s="4" t="n">
        <f aca="false">Assumptions!H42</f>
        <v>21</v>
      </c>
      <c r="I7" s="4" t="n">
        <f aca="false">Assumptions!I42</f>
        <v>21</v>
      </c>
      <c r="J7" s="4" t="n">
        <f aca="false">Assumptions!J42</f>
        <v>21</v>
      </c>
      <c r="K7" s="4" t="n">
        <f aca="false">Assumptions!K42</f>
        <v>21</v>
      </c>
      <c r="L7" s="4" t="n">
        <f aca="false">Assumptions!L42</f>
        <v>21</v>
      </c>
    </row>
    <row r="8" customFormat="false" ht="15" hidden="false" customHeight="false" outlineLevel="0" collapsed="false">
      <c r="A8" s="0" t="s">
        <v>43</v>
      </c>
      <c r="C8" s="0" t="n">
        <f aca="false">C6*C7/100</f>
        <v>62737.93152</v>
      </c>
      <c r="D8" s="0" t="n">
        <f aca="false">D6*D7/100</f>
        <v>71364.397104</v>
      </c>
      <c r="E8" s="0" t="n">
        <f aca="false">E6*E7/100</f>
        <v>80580.599244288</v>
      </c>
      <c r="F8" s="0" t="n">
        <f aca="false">F6*F7/100</f>
        <v>88214.5507516416</v>
      </c>
      <c r="G8" s="0" t="n">
        <f aca="false">G6*G7/100</f>
        <v>95867.1630293465</v>
      </c>
      <c r="H8" s="0" t="n">
        <f aca="false">H6*H7/100</f>
        <v>98743.1779202269</v>
      </c>
      <c r="I8" s="0" t="n">
        <f aca="false">I6*I7/100</f>
        <v>101211.757368233</v>
      </c>
      <c r="J8" s="0" t="n">
        <f aca="false">J6*J7/100</f>
        <v>103235.992515597</v>
      </c>
      <c r="K8" s="0" t="n">
        <f aca="false">K6*K7/100</f>
        <v>105300.712365909</v>
      </c>
      <c r="L8" s="0" t="n">
        <f aca="false">L6*L7/100</f>
        <v>107406.726613227</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62737.93152</v>
      </c>
      <c r="D11" s="0" t="n">
        <f aca="false">D8+D10+D24</f>
        <v>71364.397104</v>
      </c>
      <c r="E11" s="0" t="n">
        <f aca="false">E8+E10+E24</f>
        <v>80580.599244288</v>
      </c>
      <c r="F11" s="0" t="n">
        <f aca="false">F8+F10+F24</f>
        <v>88214.5507516416</v>
      </c>
      <c r="G11" s="0" t="n">
        <f aca="false">G8+G10+G24</f>
        <v>95867.1630293465</v>
      </c>
      <c r="H11" s="0" t="n">
        <f aca="false">H8+H10+H24</f>
        <v>98743.1779202269</v>
      </c>
      <c r="I11" s="0" t="n">
        <f aca="false">I8+I10+I24</f>
        <v>101211.757368233</v>
      </c>
      <c r="J11" s="0" t="n">
        <f aca="false">J8+J10+J24</f>
        <v>103235.992515597</v>
      </c>
      <c r="K11" s="0" t="n">
        <f aca="false">K8+K10+K24</f>
        <v>105300.712365909</v>
      </c>
      <c r="L11" s="0" t="n">
        <f aca="false">L8+L10+L24</f>
        <v>107406.726613227</v>
      </c>
    </row>
    <row r="12" customFormat="false" ht="15" hidden="false" customHeight="false" outlineLevel="0" collapsed="false">
      <c r="A12" s="0" t="s">
        <v>120</v>
      </c>
      <c r="C12" s="4" t="n">
        <f aca="false">-C6*Assumptions!C45/100</f>
        <v>-27055.732968</v>
      </c>
      <c r="D12" s="4" t="n">
        <f aca="false">-D6*Assumptions!D45/100</f>
        <v>-28137.96228672</v>
      </c>
      <c r="E12" s="4" t="n">
        <f aca="false">-E6*Assumptions!E45/100</f>
        <v>-29263.4807781888</v>
      </c>
      <c r="F12" s="4" t="n">
        <f aca="false">-F6*Assumptions!F45/100</f>
        <v>-30434.0200093164</v>
      </c>
      <c r="G12" s="4" t="n">
        <f aca="false">-G6*Assumptions!G45/100</f>
        <v>-31499.2107096424</v>
      </c>
      <c r="H12" s="4" t="n">
        <f aca="false">-H6*Assumptions!H45/100</f>
        <v>-32444.1870309317</v>
      </c>
      <c r="I12" s="4" t="n">
        <f aca="false">-I6*Assumptions!I45/100</f>
        <v>-33255.291706705</v>
      </c>
      <c r="J12" s="4" t="n">
        <f aca="false">-J6*Assumptions!J45/100</f>
        <v>-33920.3975408391</v>
      </c>
      <c r="K12" s="4" t="n">
        <f aca="false">-K6*Assumptions!K45/100</f>
        <v>-34598.8054916559</v>
      </c>
      <c r="L12" s="4" t="n">
        <f aca="false">-L6*Assumptions!L45/100</f>
        <v>-35290.781601489</v>
      </c>
    </row>
    <row r="13" customFormat="false" ht="15" hidden="false" customHeight="false" outlineLevel="0" collapsed="false">
      <c r="A13" s="0" t="s">
        <v>121</v>
      </c>
      <c r="C13" s="0" t="n">
        <f aca="false">C11+C12</f>
        <v>35682.198552</v>
      </c>
      <c r="D13" s="0" t="n">
        <f aca="false">D11+D12</f>
        <v>43226.43481728</v>
      </c>
      <c r="E13" s="0" t="n">
        <f aca="false">E11+E12</f>
        <v>51317.1184660992</v>
      </c>
      <c r="F13" s="0" t="n">
        <f aca="false">F11+F12</f>
        <v>57780.5307423252</v>
      </c>
      <c r="G13" s="0" t="n">
        <f aca="false">G11+G12</f>
        <v>64367.9523197041</v>
      </c>
      <c r="H13" s="0" t="n">
        <f aca="false">H11+H12</f>
        <v>66298.9908892952</v>
      </c>
      <c r="I13" s="0" t="n">
        <f aca="false">I11+I12</f>
        <v>67956.4656615276</v>
      </c>
      <c r="J13" s="0" t="n">
        <f aca="false">J11+J12</f>
        <v>69315.5949747581</v>
      </c>
      <c r="K13" s="0" t="n">
        <f aca="false">K11+K12</f>
        <v>70701.9068742533</v>
      </c>
      <c r="L13" s="0" t="n">
        <f aca="false">L11+L12</f>
        <v>72115.9450117384</v>
      </c>
    </row>
    <row r="14" customFormat="false" ht="15" hidden="false" customHeight="false" outlineLevel="0" collapsed="false">
      <c r="A14" s="0" t="s">
        <v>107</v>
      </c>
      <c r="C14" s="4" t="n">
        <f aca="false">Assumptions!C47</f>
        <v>22</v>
      </c>
      <c r="D14" s="4" t="n">
        <f aca="false">Assumptions!D47</f>
        <v>24</v>
      </c>
      <c r="E14" s="4" t="n">
        <f aca="false">Assumptions!E47</f>
        <v>26</v>
      </c>
      <c r="F14" s="4" t="n">
        <f aca="false">Assumptions!F47</f>
        <v>28</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122</v>
      </c>
      <c r="C15" s="0" t="n">
        <f aca="false">C13-MAX(0,C13)*C14/100</f>
        <v>27832.11487056</v>
      </c>
      <c r="D15" s="0" t="n">
        <f aca="false">D13-MAX(0,D13)*D14/100</f>
        <v>32852.0904611328</v>
      </c>
      <c r="E15" s="0" t="n">
        <f aca="false">E13-MAX(0,E13)*E14/100</f>
        <v>37974.6676649134</v>
      </c>
      <c r="F15" s="0" t="n">
        <f aca="false">F13-MAX(0,F13)*F14/100</f>
        <v>41601.9821344742</v>
      </c>
      <c r="G15" s="0" t="n">
        <f aca="false">G13-MAX(0,G13)*G14/100</f>
        <v>45057.5666237929</v>
      </c>
      <c r="H15" s="0" t="n">
        <f aca="false">H13-MAX(0,H13)*H14/100</f>
        <v>46409.2936225066</v>
      </c>
      <c r="I15" s="0" t="n">
        <f aca="false">I13-MAX(0,I13)*I14/100</f>
        <v>47569.5259630693</v>
      </c>
      <c r="J15" s="0" t="n">
        <f aca="false">J13-MAX(0,J13)*J14/100</f>
        <v>48520.9164823307</v>
      </c>
      <c r="K15" s="0" t="n">
        <f aca="false">K13-MAX(0,K13)*K14/100</f>
        <v>49491.3348119773</v>
      </c>
      <c r="L15" s="0" t="n">
        <f aca="false">L13-MAX(0,L13)*L14/100</f>
        <v>50481.1615082169</v>
      </c>
    </row>
    <row r="16" customFormat="false" ht="15" hidden="false" customHeight="false" outlineLevel="0" collapsed="false">
      <c r="A16" s="0" t="s">
        <v>123</v>
      </c>
      <c r="C16" s="0" t="n">
        <f aca="false">-C12</f>
        <v>27055.732968</v>
      </c>
      <c r="D16" s="0" t="n">
        <f aca="false">-D12</f>
        <v>28137.96228672</v>
      </c>
      <c r="E16" s="0" t="n">
        <f aca="false">-E12</f>
        <v>29263.4807781888</v>
      </c>
      <c r="F16" s="0" t="n">
        <f aca="false">-F12</f>
        <v>30434.0200093164</v>
      </c>
      <c r="G16" s="0" t="n">
        <f aca="false">-G12</f>
        <v>31499.2107096424</v>
      </c>
      <c r="H16" s="0" t="n">
        <f aca="false">-H12</f>
        <v>32444.1870309317</v>
      </c>
      <c r="I16" s="0" t="n">
        <f aca="false">-I12</f>
        <v>33255.291706705</v>
      </c>
      <c r="J16" s="0" t="n">
        <f aca="false">-J12</f>
        <v>33920.3975408391</v>
      </c>
      <c r="K16" s="0" t="n">
        <f aca="false">-K12</f>
        <v>34598.8054916559</v>
      </c>
      <c r="L16" s="0" t="n">
        <f aca="false">-L12</f>
        <v>35290.781601489</v>
      </c>
    </row>
    <row r="17" customFormat="false" ht="15" hidden="false" customHeight="false" outlineLevel="0" collapsed="false">
      <c r="A17" s="0" t="s">
        <v>124</v>
      </c>
      <c r="C17" s="4" t="n">
        <f aca="false">-C6*Assumptions!C46/100</f>
        <v>-39211.2072</v>
      </c>
      <c r="D17" s="4" t="n">
        <f aca="false">-D6*Assumptions!D46/100</f>
        <v>-38740.6727136</v>
      </c>
      <c r="E17" s="4" t="n">
        <f aca="false">-E6*Assumptions!E46/100</f>
        <v>-38169.757536768</v>
      </c>
      <c r="F17" s="4" t="n">
        <f aca="false">-F6*Assumptions!F46/100</f>
        <v>-37491.1840694477</v>
      </c>
      <c r="G17" s="4" t="n">
        <f aca="false">-G6*Assumptions!G46/100</f>
        <v>-36520.8240111796</v>
      </c>
      <c r="H17" s="4" t="n">
        <f aca="false">-H6*Assumptions!H46/100</f>
        <v>-35265.4206857953</v>
      </c>
      <c r="I17" s="4" t="n">
        <f aca="false">-I6*Assumptions!I46/100</f>
        <v>-36147.0562029402</v>
      </c>
      <c r="J17" s="4" t="n">
        <f aca="false">-J6*Assumptions!J46/100</f>
        <v>-34411.9975051991</v>
      </c>
      <c r="K17" s="4" t="n">
        <f aca="false">-K6*Assumptions!K46/100</f>
        <v>-35100.2374553031</v>
      </c>
      <c r="L17" s="4" t="n">
        <f aca="false">-L6*Assumptions!L46/100</f>
        <v>-35802.2422044091</v>
      </c>
    </row>
    <row r="18" customFormat="false" ht="15" hidden="false" customHeight="false" outlineLevel="0" collapsed="false">
      <c r="A18" s="0" t="s">
        <v>125</v>
      </c>
      <c r="C18" s="4" t="n">
        <f aca="false">(C6-B6)*Assumptions!$B$51/100</f>
        <v>-10659.018</v>
      </c>
      <c r="D18" s="4" t="n">
        <f aca="false">(D6-C6)*Assumptions!$B$51/100</f>
        <v>-3921.12072000001</v>
      </c>
      <c r="E18" s="4" t="n">
        <f aca="false">(E6-D6)*Assumptions!$B$51/100</f>
        <v>-4077.9655488</v>
      </c>
      <c r="F18" s="4" t="n">
        <f aca="false">(F6-E6)*Assumptions!$B$51/100</f>
        <v>-4241.084170752</v>
      </c>
      <c r="G18" s="4" t="n">
        <f aca="false">(G6-F6)*Assumptions!$B$51/100</f>
        <v>-3859.38659538431</v>
      </c>
      <c r="H18" s="4" t="n">
        <f aca="false">(H6-G6)*Assumptions!$B$51/100</f>
        <v>-3423.82725104809</v>
      </c>
      <c r="I18" s="4" t="n">
        <f aca="false">(I6-H6)*Assumptions!$B$51/100</f>
        <v>-2938.78505714959</v>
      </c>
      <c r="J18" s="4" t="n">
        <f aca="false">(J6-I6)*Assumptions!$B$51/100</f>
        <v>-2409.80374686269</v>
      </c>
      <c r="K18" s="4" t="n">
        <f aca="false">(K6-J6)*Assumptions!$B$51/100</f>
        <v>-2457.99982179994</v>
      </c>
      <c r="L18" s="4" t="n">
        <f aca="false">(L6-K6)*Assumptions!$B$51/100</f>
        <v>-2507.15981823593</v>
      </c>
    </row>
    <row r="19" customFormat="false" ht="15" hidden="false" customHeight="false" outlineLevel="0" collapsed="false">
      <c r="A19" s="0" t="s">
        <v>126</v>
      </c>
      <c r="C19" s="0" t="n">
        <f aca="false">C15+C16+C17+C18</f>
        <v>5017.62263856001</v>
      </c>
      <c r="D19" s="0" t="n">
        <f aca="false">D15+D16+D17+D18</f>
        <v>18328.2593142528</v>
      </c>
      <c r="E19" s="0" t="n">
        <f aca="false">E15+E16+E17+E18</f>
        <v>24990.4253575342</v>
      </c>
      <c r="F19" s="0" t="n">
        <f aca="false">F15+F16+F17+F18</f>
        <v>30303.7339035908</v>
      </c>
      <c r="G19" s="0" t="n">
        <f aca="false">G15+G16+G17+G18</f>
        <v>36176.5667268714</v>
      </c>
      <c r="H19" s="0" t="n">
        <f aca="false">H15+H16+H17+H18</f>
        <v>40164.2327165949</v>
      </c>
      <c r="I19" s="0" t="n">
        <f aca="false">I15+I16+I17+I18</f>
        <v>41738.9764096845</v>
      </c>
      <c r="J19" s="0" t="n">
        <f aca="false">J15+J16+J17+J18</f>
        <v>45619.512771108</v>
      </c>
      <c r="K19" s="0" t="n">
        <f aca="false">K15+K16+K17+K18</f>
        <v>46531.9030265302</v>
      </c>
      <c r="L19" s="0" t="n">
        <f aca="false">L15+L16+L17+L18</f>
        <v>47462.5410870608</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4689.36695192524</v>
      </c>
      <c r="D21" s="0" t="n">
        <f aca="false">D19*D20</f>
        <v>16008.6115069026</v>
      </c>
      <c r="E21" s="0" t="n">
        <f aca="false">E19*E20</f>
        <v>20399.6311619545</v>
      </c>
      <c r="F21" s="0" t="n">
        <f aca="false">F19*F20</f>
        <v>23118.5735022117</v>
      </c>
      <c r="G21" s="0" t="n">
        <f aca="false">G19*G20</f>
        <v>25793.392097428</v>
      </c>
      <c r="H21" s="0" t="n">
        <f aca="false">H19*H20</f>
        <v>26763.1241462598</v>
      </c>
      <c r="I21" s="0" t="n">
        <f aca="false">I19*I20</f>
        <v>25992.936785658</v>
      </c>
      <c r="J21" s="0" t="n">
        <f aca="false">J19*J20</f>
        <v>26550.9717786059</v>
      </c>
      <c r="K21" s="0" t="n">
        <f aca="false">K19*K20</f>
        <v>25310.2721627832</v>
      </c>
      <c r="L21" s="0" t="n">
        <f aca="false">L19*L20</f>
        <v>24127.5491645223</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7</v>
      </c>
    </row>
    <row r="28" customFormat="false" ht="15" hidden="false" customHeight="false" outlineLevel="0" collapsed="false">
      <c r="A28" s="0" t="s">
        <v>109</v>
      </c>
      <c r="B28" s="4" t="n">
        <f aca="false">Assumptions!$B$49</f>
        <v>1.5</v>
      </c>
    </row>
    <row r="29" customFormat="false" ht="15" hidden="false" customHeight="false" outlineLevel="0" collapsed="false">
      <c r="A29" s="0" t="s">
        <v>110</v>
      </c>
      <c r="B29" s="4" t="n">
        <f aca="false">Assumptions!$B$50</f>
        <v>15</v>
      </c>
    </row>
    <row r="30" customFormat="false" ht="15" hidden="false" customHeight="false" outlineLevel="0" collapsed="false">
      <c r="A30" s="0" t="s">
        <v>131</v>
      </c>
      <c r="B30" s="0" t="n">
        <f aca="false">SUM(C21:L21)</f>
        <v>218754.429258251</v>
      </c>
    </row>
    <row r="31" customFormat="false" ht="15" hidden="false" customHeight="false" outlineLevel="0" collapsed="false">
      <c r="A31" s="0" t="s">
        <v>132</v>
      </c>
      <c r="B31" s="0" t="n">
        <f aca="false">L19</f>
        <v>47462.5410870608</v>
      </c>
    </row>
    <row r="32" customFormat="false" ht="15" hidden="false" customHeight="false" outlineLevel="0" collapsed="false">
      <c r="A32" s="0" t="s">
        <v>133</v>
      </c>
      <c r="B32" s="0" t="n">
        <f aca="false">IF(B27&gt;B28,B31*(1+B28/100)/((B27-B28)/100),B31*B29)</f>
        <v>875899.621879395</v>
      </c>
    </row>
    <row r="33" customFormat="false" ht="15" hidden="false" customHeight="false" outlineLevel="0" collapsed="false">
      <c r="A33" s="0" t="s">
        <v>134</v>
      </c>
      <c r="B33" s="0" t="n">
        <f aca="false">B31*B29</f>
        <v>711938.116305912</v>
      </c>
    </row>
    <row r="34" customFormat="false" ht="15" hidden="false" customHeight="false" outlineLevel="0" collapsed="false">
      <c r="A34" s="0" t="s">
        <v>135</v>
      </c>
      <c r="B34" s="0" t="n">
        <f aca="false">MAX(0,MIN(B32,B33))</f>
        <v>711938.116305912</v>
      </c>
    </row>
    <row r="35" customFormat="false" ht="15" hidden="false" customHeight="false" outlineLevel="0" collapsed="false">
      <c r="A35" s="0" t="s">
        <v>136</v>
      </c>
      <c r="B35" s="0" t="n">
        <f aca="false">B34/(1+B27/100)^L4</f>
        <v>361913.237467835</v>
      </c>
    </row>
    <row r="36" customFormat="false" ht="15" hidden="false" customHeight="false" outlineLevel="0" collapsed="false">
      <c r="A36" s="0" t="s">
        <v>137</v>
      </c>
      <c r="B36" s="0" t="n">
        <f aca="false">B30+B35</f>
        <v>580667.666726086</v>
      </c>
    </row>
    <row r="37" customFormat="false" ht="15" hidden="false" customHeight="false" outlineLevel="0" collapsed="false">
      <c r="A37" s="0" t="s">
        <v>138</v>
      </c>
      <c r="B37" s="0" t="n">
        <f aca="false">B36+Assumptions!$B$5-Assumptions!$B$4</f>
        <v>501857.666726086</v>
      </c>
    </row>
    <row r="38" customFormat="false" ht="15" hidden="false" customHeight="false" outlineLevel="0" collapsed="false">
      <c r="A38" s="0" t="s">
        <v>139</v>
      </c>
      <c r="B38" s="0" t="n">
        <f aca="false">B37/Assumptions!$B$3*Assumptions!$B$10</f>
        <v>7057.38446549881</v>
      </c>
    </row>
    <row r="39" customFormat="false" ht="15" hidden="false" customHeight="false" outlineLevel="0" collapsed="false">
      <c r="A39" s="0" t="s">
        <v>140</v>
      </c>
      <c r="B39" s="4" t="n">
        <f aca="false">B38/Assumptions!$B$2-1</f>
        <v>0.794858714521569</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7057.38446549881</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356847.994099013</v>
      </c>
    </row>
    <row r="47" customFormat="false" ht="15" hidden="false" customHeight="false" outlineLevel="0" collapsed="false">
      <c r="A47" s="0" t="s">
        <v>145</v>
      </c>
      <c r="B47" s="0" t="n">
        <f aca="false">(SUMPRODUCT(C19:L19/(1+B45/100)^C4:L4)+B46/(1+B45/100)^L4+Assumptions!$B$5-Assumptions!$B$4)/Assumptions!$B$3*Assumptions!$B$10</f>
        <v>2141.59620996547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2339.7748283924</v>
      </c>
      <c r="C4" s="0" t="n">
        <f aca="false">B4/Assumptions!$B$2-1</f>
        <v>-0.404940277621465</v>
      </c>
      <c r="D4" s="4" t="n">
        <f aca="false">Assumptions!$B$24</f>
        <v>0.25</v>
      </c>
      <c r="E4" s="4" t="n">
        <f aca="false">DCF_Bear!$B$43</f>
        <v>2339.7748283924</v>
      </c>
      <c r="F4" s="4" t="n">
        <f aca="false">DCF_Bear!$B$47</f>
        <v>445.142143614657</v>
      </c>
    </row>
    <row r="5" customFormat="false" ht="15" hidden="false" customHeight="false" outlineLevel="0" collapsed="false">
      <c r="A5" s="0" t="s">
        <v>154</v>
      </c>
      <c r="B5" s="4" t="n">
        <f aca="false">DCF_Base!$B$38</f>
        <v>3995.5290153243</v>
      </c>
      <c r="C5" s="0" t="n">
        <f aca="false">B5/Assumptions!$B$2-1</f>
        <v>0.0161569214965167</v>
      </c>
      <c r="D5" s="4" t="n">
        <f aca="false">Assumptions!$B$38</f>
        <v>0.5</v>
      </c>
      <c r="E5" s="4" t="n">
        <f aca="false">DCF_Base!$B$43</f>
        <v>3995.5290153243</v>
      </c>
      <c r="F5" s="4" t="n">
        <f aca="false">DCF_Base!$B$47</f>
        <v>1066.01728257085</v>
      </c>
    </row>
    <row r="6" customFormat="false" ht="15" hidden="false" customHeight="false" outlineLevel="0" collapsed="false">
      <c r="A6" s="0" t="s">
        <v>155</v>
      </c>
      <c r="B6" s="4" t="n">
        <f aca="false">DCF_Bull!$B$38</f>
        <v>7057.38446549881</v>
      </c>
      <c r="C6" s="0" t="n">
        <f aca="false">B6/Assumptions!$B$2-1</f>
        <v>0.794858714521569</v>
      </c>
      <c r="D6" s="4" t="n">
        <f aca="false">Assumptions!$B$52</f>
        <v>0.25</v>
      </c>
      <c r="E6" s="4" t="n">
        <f aca="false">DCF_Bull!$B$43</f>
        <v>7057.38446549881</v>
      </c>
      <c r="F6" s="4" t="n">
        <f aca="false">DCF_Bull!$B$47</f>
        <v>2141.59620996547</v>
      </c>
    </row>
    <row r="8" customFormat="false" ht="15" hidden="false" customHeight="false" outlineLevel="0" collapsed="false">
      <c r="A8" s="0" t="s">
        <v>156</v>
      </c>
      <c r="B8" s="0" t="n">
        <f aca="false">SUMPRODUCT(B4:B6,D4:D6)</f>
        <v>4347.05433113495</v>
      </c>
    </row>
    <row r="9" customFormat="false" ht="15" hidden="false" customHeight="false" outlineLevel="0" collapsed="false">
      <c r="A9" s="0" t="s">
        <v>157</v>
      </c>
      <c r="B9" s="0" t="n">
        <f aca="false">SUMPRODUCT(E4:E6,D4:D6)</f>
        <v>4347.05433113495</v>
      </c>
    </row>
    <row r="10" customFormat="false" ht="15" hidden="false" customHeight="false" outlineLevel="0" collapsed="false">
      <c r="A10" s="0" t="s">
        <v>158</v>
      </c>
      <c r="B10" s="0" t="n">
        <f aca="false">1-Assumptions!$B$2/B8</f>
        <v>0.0954794441289141</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1179.69322968046</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3995.5290153243</v>
      </c>
      <c r="C15" s="3" t="n">
        <v>7</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3036.35918751867</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2520.79125540804</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2110.16656407135</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1775.77550387302</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1066.01728257085</v>
      </c>
      <c r="C20" s="3" t="n">
        <v>15</v>
      </c>
    </row>
    <row r="22" customFormat="false" ht="15" hidden="false" customHeight="false" outlineLevel="0" collapsed="false">
      <c r="A22" s="2" t="s">
        <v>169</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4863.17635368816</v>
      </c>
      <c r="C24" s="0" t="n">
        <f aca="false">(SUMPRODUCT(DCF_Base!$C$19:$L$19/(1+$A$24/100)^DCF_Base!$C$4:$L$4)+MAX(0,MIN(IF($A$24&gt;$C$23,DCF_Base!$L$19*(1+$C$23/100)/(($A$24-$C$23)/100),DCF_Base!$L$19*DCF_Base!$B$29),DCF_Base!$L$19*DCF_Base!$B$29))/(1+$A$24/100)^DCF_Base!$L$4+Assumptions!$B$5-Assumptions!$B$4)/Assumptions!$B$3*Assumptions!$B$10</f>
        <v>4863.17635368816</v>
      </c>
      <c r="D24" s="0" t="n">
        <f aca="false">(SUMPRODUCT(DCF_Base!$C$19:$L$19/(1+$A$24/100)^DCF_Base!$C$4:$L$4)+MAX(0,MIN(IF($A$24&gt;$D$23,DCF_Base!$L$19*(1+$D$23/100)/(($A$24-$D$23)/100),DCF_Base!$L$19*DCF_Base!$B$29),DCF_Base!$L$19*DCF_Base!$B$29))/(1+$A$24/100)^DCF_Base!$L$4+Assumptions!$B$5-Assumptions!$B$4)/Assumptions!$B$3*Assumptions!$B$10</f>
        <v>4863.17635368816</v>
      </c>
      <c r="E24" s="0" t="n">
        <f aca="false">(SUMPRODUCT(DCF_Base!$C$19:$L$19/(1+$A$24/100)^DCF_Base!$C$4:$L$4)+MAX(0,MIN(IF($A$24&gt;$E$23,DCF_Base!$L$19*(1+$E$23/100)/(($A$24-$E$23)/100),DCF_Base!$L$19*DCF_Base!$B$29),DCF_Base!$L$19*DCF_Base!$B$29))/(1+$A$24/100)^DCF_Base!$L$4+Assumptions!$B$5-Assumptions!$B$4)/Assumptions!$B$3*Assumptions!$B$10</f>
        <v>4863.17635368816</v>
      </c>
      <c r="F24" s="0" t="n">
        <f aca="false">(SUMPRODUCT(DCF_Base!$C$19:$L$19/(1+$A$24/100)^DCF_Base!$C$4:$L$4)+MAX(0,MIN(IF($A$24&gt;$F$23,DCF_Base!$L$19*(1+$F$23/100)/(($A$24-$F$23)/100),DCF_Base!$L$19*DCF_Base!$B$29),DCF_Base!$L$19*DCF_Base!$B$29))/(1+$A$24/100)^DCF_Base!$L$4+Assumptions!$B$5-Assumptions!$B$4)/Assumptions!$B$3*Assumptions!$B$10</f>
        <v>4863.17635368816</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4408.6246058207</v>
      </c>
      <c r="C25" s="0" t="n">
        <f aca="false">(SUMPRODUCT(DCF_Base!$C$19:$L$19/(1+$A$25/100)^DCF_Base!$C$4:$L$4)+MAX(0,MIN(IF($A$25&gt;$C$23,DCF_Base!$L$19*(1+$C$23/100)/(($A$25-$C$23)/100),DCF_Base!$L$19*DCF_Base!$B$29),DCF_Base!$L$19*DCF_Base!$B$29))/(1+$A$25/100)^DCF_Base!$L$4+Assumptions!$B$5-Assumptions!$B$4)/Assumptions!$B$3*Assumptions!$B$10</f>
        <v>4408.6246058207</v>
      </c>
      <c r="D25" s="0" t="n">
        <f aca="false">(SUMPRODUCT(DCF_Base!$C$19:$L$19/(1+$A$25/100)^DCF_Base!$C$4:$L$4)+MAX(0,MIN(IF($A$25&gt;$D$23,DCF_Base!$L$19*(1+$D$23/100)/(($A$25-$D$23)/100),DCF_Base!$L$19*DCF_Base!$B$29),DCF_Base!$L$19*DCF_Base!$B$29))/(1+$A$25/100)^DCF_Base!$L$4+Assumptions!$B$5-Assumptions!$B$4)/Assumptions!$B$3*Assumptions!$B$10</f>
        <v>4408.6246058207</v>
      </c>
      <c r="E25" s="0" t="n">
        <f aca="false">(SUMPRODUCT(DCF_Base!$C$19:$L$19/(1+$A$25/100)^DCF_Base!$C$4:$L$4)+MAX(0,MIN(IF($A$25&gt;$E$23,DCF_Base!$L$19*(1+$E$23/100)/(($A$25-$E$23)/100),DCF_Base!$L$19*DCF_Base!$B$29),DCF_Base!$L$19*DCF_Base!$B$29))/(1+$A$25/100)^DCF_Base!$L$4+Assumptions!$B$5-Assumptions!$B$4)/Assumptions!$B$3*Assumptions!$B$10</f>
        <v>4408.6246058207</v>
      </c>
      <c r="F25" s="0" t="n">
        <f aca="false">(SUMPRODUCT(DCF_Base!$C$19:$L$19/(1+$A$25/100)^DCF_Base!$C$4:$L$4)+MAX(0,MIN(IF($A$25&gt;$F$23,DCF_Base!$L$19*(1+$F$23/100)/(($A$25-$F$23)/100),DCF_Base!$L$19*DCF_Base!$B$29),DCF_Base!$L$19*DCF_Base!$B$29))/(1+$A$25/100)^DCF_Base!$L$4+Assumptions!$B$5-Assumptions!$B$4)/Assumptions!$B$3*Assumptions!$B$10</f>
        <v>4408.6246058207</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3995.5290153243</v>
      </c>
      <c r="C26" s="0" t="n">
        <f aca="false">(SUMPRODUCT(DCF_Base!$C$19:$L$19/(1+$A$26/100)^DCF_Base!$C$4:$L$4)+MAX(0,MIN(IF($A$26&gt;$C$23,DCF_Base!$L$19*(1+$C$23/100)/(($A$26-$C$23)/100),DCF_Base!$L$19*DCF_Base!$B$29),DCF_Base!$L$19*DCF_Base!$B$29))/(1+$A$26/100)^DCF_Base!$L$4+Assumptions!$B$5-Assumptions!$B$4)/Assumptions!$B$3*Assumptions!$B$10</f>
        <v>3995.5290153243</v>
      </c>
      <c r="D26" s="0" t="n">
        <f aca="false">(SUMPRODUCT(DCF_Base!$C$19:$L$19/(1+$A$26/100)^DCF_Base!$C$4:$L$4)+MAX(0,MIN(IF($A$26&gt;$D$23,DCF_Base!$L$19*(1+$D$23/100)/(($A$26-$D$23)/100),DCF_Base!$L$19*DCF_Base!$B$29),DCF_Base!$L$19*DCF_Base!$B$29))/(1+$A$26/100)^DCF_Base!$L$4+Assumptions!$B$5-Assumptions!$B$4)/Assumptions!$B$3*Assumptions!$B$10</f>
        <v>3995.5290153243</v>
      </c>
      <c r="E26" s="0" t="n">
        <f aca="false">(SUMPRODUCT(DCF_Base!$C$19:$L$19/(1+$A$26/100)^DCF_Base!$C$4:$L$4)+MAX(0,MIN(IF($A$26&gt;$E$23,DCF_Base!$L$19*(1+$E$23/100)/(($A$26-$E$23)/100),DCF_Base!$L$19*DCF_Base!$B$29),DCF_Base!$L$19*DCF_Base!$B$29))/(1+$A$26/100)^DCF_Base!$L$4+Assumptions!$B$5-Assumptions!$B$4)/Assumptions!$B$3*Assumptions!$B$10</f>
        <v>3995.5290153243</v>
      </c>
      <c r="F26" s="0" t="n">
        <f aca="false">(SUMPRODUCT(DCF_Base!$C$19:$L$19/(1+$A$26/100)^DCF_Base!$C$4:$L$4)+MAX(0,MIN(IF($A$26&gt;$F$23,DCF_Base!$L$19*(1+$F$23/100)/(($A$26-$F$23)/100),DCF_Base!$L$19*DCF_Base!$B$29),DCF_Base!$L$19*DCF_Base!$B$29))/(1+$A$26/100)^DCF_Base!$L$4+Assumptions!$B$5-Assumptions!$B$4)/Assumptions!$B$3*Assumptions!$B$10</f>
        <v>3995.5290153243</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3331.48670685137</v>
      </c>
      <c r="C27" s="0" t="n">
        <f aca="false">(SUMPRODUCT(DCF_Base!$C$19:$L$19/(1+$A$27/100)^DCF_Base!$C$4:$L$4)+MAX(0,MIN(IF($A$27&gt;$C$23,DCF_Base!$L$19*(1+$C$23/100)/(($A$27-$C$23)/100),DCF_Base!$L$19*DCF_Base!$B$29),DCF_Base!$L$19*DCF_Base!$B$29))/(1+$A$27/100)^DCF_Base!$L$4+Assumptions!$B$5-Assumptions!$B$4)/Assumptions!$B$3*Assumptions!$B$10</f>
        <v>3504.39088135459</v>
      </c>
      <c r="D27" s="0" t="n">
        <f aca="false">(SUMPRODUCT(DCF_Base!$C$19:$L$19/(1+$A$27/100)^DCF_Base!$C$4:$L$4)+MAX(0,MIN(IF($A$27&gt;$D$23,DCF_Base!$L$19*(1+$D$23/100)/(($A$27-$D$23)/100),DCF_Base!$L$19*DCF_Base!$B$29),DCF_Base!$L$19*DCF_Base!$B$29))/(1+$A$27/100)^DCF_Base!$L$4+Assumptions!$B$5-Assumptions!$B$4)/Assumptions!$B$3*Assumptions!$B$10</f>
        <v>3619.6603310234</v>
      </c>
      <c r="E27" s="0" t="n">
        <f aca="false">(SUMPRODUCT(DCF_Base!$C$19:$L$19/(1+$A$27/100)^DCF_Base!$C$4:$L$4)+MAX(0,MIN(IF($A$27&gt;$E$23,DCF_Base!$L$19*(1+$E$23/100)/(($A$27-$E$23)/100),DCF_Base!$L$19*DCF_Base!$B$29),DCF_Base!$L$19*DCF_Base!$B$29))/(1+$A$27/100)^DCF_Base!$L$4+Assumptions!$B$5-Assumptions!$B$4)/Assumptions!$B$3*Assumptions!$B$10</f>
        <v>3619.6603310234</v>
      </c>
      <c r="F27" s="0" t="n">
        <f aca="false">(SUMPRODUCT(DCF_Base!$C$19:$L$19/(1+$A$27/100)^DCF_Base!$C$4:$L$4)+MAX(0,MIN(IF($A$27&gt;$F$23,DCF_Base!$L$19*(1+$F$23/100)/(($A$27-$F$23)/100),DCF_Base!$L$19*DCF_Base!$B$29),DCF_Base!$L$19*DCF_Base!$B$29))/(1+$A$27/100)^DCF_Base!$L$4+Assumptions!$B$5-Assumptions!$B$4)/Assumptions!$B$3*Assumptions!$B$10</f>
        <v>3619.6603310234</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2771.12497293643</v>
      </c>
      <c r="C28" s="0" t="n">
        <f aca="false">(SUMPRODUCT(DCF_Base!$C$19:$L$19/(1+$A$28/100)^DCF_Base!$C$4:$L$4)+MAX(0,MIN(IF($A$28&gt;$C$23,DCF_Base!$L$19*(1+$C$23/100)/(($A$28-$C$23)/100),DCF_Base!$L$19*DCF_Base!$B$29),DCF_Base!$L$19*DCF_Base!$B$29))/(1+$A$28/100)^DCF_Base!$L$4+Assumptions!$B$5-Assumptions!$B$4)/Assumptions!$B$3*Assumptions!$B$10</f>
        <v>2895.94107391631</v>
      </c>
      <c r="D28" s="0" t="n">
        <f aca="false">(SUMPRODUCT(DCF_Base!$C$19:$L$19/(1+$A$28/100)^DCF_Base!$C$4:$L$4)+MAX(0,MIN(IF($A$28&gt;$D$23,DCF_Base!$L$19*(1+$D$23/100)/(($A$28-$D$23)/100),DCF_Base!$L$19*DCF_Base!$B$29),DCF_Base!$L$19*DCF_Base!$B$29))/(1+$A$28/100)^DCF_Base!$L$4+Assumptions!$B$5-Assumptions!$B$4)/Assumptions!$B$3*Assumptions!$B$10</f>
        <v>3036.35918751867</v>
      </c>
      <c r="E28" s="0" t="n">
        <f aca="false">(SUMPRODUCT(DCF_Base!$C$19:$L$19/(1+$A$28/100)^DCF_Base!$C$4:$L$4)+MAX(0,MIN(IF($A$28&gt;$E$23,DCF_Base!$L$19*(1+$E$23/100)/(($A$28-$E$23)/100),DCF_Base!$L$19*DCF_Base!$B$29),DCF_Base!$L$19*DCF_Base!$B$29))/(1+$A$28/100)^DCF_Base!$L$4+Assumptions!$B$5-Assumptions!$B$4)/Assumptions!$B$3*Assumptions!$B$10</f>
        <v>3195.49971626802</v>
      </c>
      <c r="F28" s="0" t="n">
        <f aca="false">(SUMPRODUCT(DCF_Base!$C$19:$L$19/(1+$A$28/100)^DCF_Base!$C$4:$L$4)+MAX(0,MIN(IF($A$28&gt;$F$23,DCF_Base!$L$19*(1+$F$23/100)/(($A$28-$F$23)/100),DCF_Base!$L$19*DCF_Base!$B$29),DCF_Base!$L$19*DCF_Base!$B$29))/(1+$A$28/100)^DCF_Base!$L$4+Assumptions!$B$5-Assumptions!$B$4)/Assumptions!$B$3*Assumptions!$B$10</f>
        <v>3277.25998791906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2026-10-30T23:27:23Z</dcterms:created>
  <dc:creator>openpyxl</dc:creator>
  <dc:description/>
  <dc:language>en-NZ</dc:language>
  <cp:lastModifiedBy/>
  <dcterms:modified xsi:type="dcterms:W3CDTF">2026-10-30T23:27:23Z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