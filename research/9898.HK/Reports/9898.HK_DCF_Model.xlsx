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<sst xmlns="http://schemas.openxmlformats.org/spreadsheetml/2006/main" count="356" uniqueCount="168">
  <si>
    <t xml:space="preserve">Ticker</t>
  </si>
  <si>
    <t xml:space="preserve">9898.HK</t>
  </si>
  <si>
    <t xml:space="preserve">Company</t>
  </si>
  <si>
    <t xml:space="preserve">Weibo Corporation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</si>
  <si>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</si>
  <si>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</si>
  <si>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</si>
  <si>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</si>
  <si>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 (Friday); not an after-hours print. 52-week range HK$48.10-91.00, so the price is within 2% of its 52-week low.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</si>
  <si>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</si>
  <si>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</si>
  <si>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</si>
  <si>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</si>
  <si>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</si>
  <si>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</si>
  <si>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</si>
  <si>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</si>
  <si>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</si>
  <si>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</si>
  <si>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</si>
  <si>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</si>
  <si>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</si>
  <si>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2026-10-23T20:23:55Z</t>
  </si>
  <si>
    <t xml:space="preserve">Drivers file</t>
  </si>
  <si>
    <t xml:space="preserve">9898.HK_Drivers.json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</si>
  <si>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</si>
  <si>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</si>
  <si>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</si>
  <si>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Weibo is valued as a mature, cash-generative advertising platform on fully SBC-expensed owner FCF, with the interest and investment income stripped from the flows and the assets that produce them (net cash, long-term investments at a 50% haircut, the SINA receivable at 75%) added back in the bridge, minority interests deducted once, and the 2030 convertible treated as debt rather than as shares. The China/VIE premium is charged once, in an 11.5% USD cost of equity used across all scenarios; Weibo-specific operating risk is charged in the scenario paths and a 35% bear weight. Terminal values are capped at 12x (10x bear) owner FCF to avoid assuming a re-rating the stock has never had. The model is built in USD, the reporting currency, and converted to HKD at the pegged rate only for the per-share comparison with the 9898.HK quote; it is the same model as WB's and should tie to it. The gap between the resulting value and the HK$49 price is the market's China/VIE/structural-decline discount made explicit; the model does not pretend to know whether that discount closes, which is why the 15% hurdle entry price and the bear case are reported alongside the weighted value.
key_risks_to_valuation: VIE and HFCAA structure: HK and ADS holders hold a contractual claim, not equity in the PRC operating business; an adverse PRC ruling or US delisting is a tail the DCF cannot price except through the bear weight and the country premium. A NASDAQ delisting would leave 9898.HK as the only venue and trigger the convertible's fundamental-change repurchase right.; Balance-sheet value may not reach shareholders: ~US$5/share (~HK$40) of the value is net cash, RMB investments and a loan to the private parent; it depends on continued repatriation (5-10% withholding), the SINA receivable being collected, and the investment portfolio not being impaired further (H1 2026 already shows ~US$90M of non-operating losses).; Structural ad-share loss: advertiser count fell from 0.6M to 0.4M in one year; if ex-Alibaba revenue keeps falling 4%+ a year the bear path is the base path.; Alibaba concentration (~12% of ad revenue and rising) plus Alibaba's shareholder position: a budget reallocation would remove the one growing ad stream.; Margin compression continuing beyond FY2026 (content/production costs, CAC compliance burden) -- each 1pp of permanent EBITDA margin is roughly US$0.5-0.6 (~HK$4-5) per share.; RMB depreciation: USD-reported revenue was -4% constant-currency in Q2 2026 vs +2% reported; the growth path is in USD and inherits FX. The HKD/USD peg adds no further translation risk unless the peg moves.; Long-term-investment haircut judgment: 50% is a round-number view of an undisclosed mix; each 10pp is ~US$0.65 (~HK$5) per share. 'Other non-current assets' (US$1.25B) are excluded entirely, which may be too harsh.; Secondary-listing liquidity: 9898.HK volume is a fraction of WB's; the HK line can gap from ADS parity on thin days, and HKD holders receive a USD-declared dividend.</t>
  </si>
  <si>
    <t xml:space="preserve">Data sources</t>
  </si>
  <si>
    <t xml:space="preserve">price: Yahoo Finance chart API, HKEX regular close at inputs.price_as_of; 52-week range HK$48.10-91.00. USDHKD from Yahoo HKD=X at the date in inputs.fx_note. Parity-checked against WB (NASDAQ) closes either side of the HK close.
financials: research/9898.HK/Reports/9898.HK_Metrics.csv (FY2019-FY2025 from the 20-F annual reports in research/9898.HK/Extracted/, USD millions; interest income, cash taxes, D&amp;A, NCI and short-term investments from the kpis table); Weibo Q2 2026 6-K exhibit 99.1 (SEC accession 0001104659-26-098504, fetched and read 2026-10-24) for the 2026-06-30 balance sheet, H1 2026 income statement, share counts and SBC; 9898.HK_Annual_FY2025.txt for the debt instruments (term loan US$900M facility / US$800M outstanding, 2030 senior notes US$750M, 2030 convertible US$330M).
qualitative: research/9898.HK/Reports/9898.HK_Analysis.json (2026-10-24): business model, Alibaba concentration, CAC/regulatory history, VIE/HFCAA risk, Q2 2026 commentary, dividend cut and buyback authorisation. Prior house model: research/WB/Reports/WB_Drivers.json (2026-10-04).</t>
  </si>
  <si>
    <t xml:space="preserve">Scenario narrative: bear</t>
  </si>
  <si>
    <t xml:space="preserve">Weibo's displacement from brand-marketing budgets is structural: Douyin, Xiaohongshu and WeChat Channels own discovery and conversion, the advertiser count keeps shrinking (0.6M -&gt; 0.4M in one year), MAU attrition continues (567M FY2025, 561M Q2 2026), and a further CAC crackdown on celebrity-gossip content removes the engagement engine. Alibaba, now ~12% of ad revenue, redirects budget. Revenue falls ~25% by FY2033 and margin settles at 20%. The VIE/HFCAA tail (forced restructuring, US delisting with the HK line as the only venue -- which would also trigger the convertible's fundamental-change put) and further impairments of the RMB investment portfolio are the reasons this scenario carries a 35% weight rather than the house default 15%.</t>
  </si>
  <si>
    <t xml:space="preserve">Scenario narrative: base</t>
  </si>
  <si>
    <t xml:space="preserve">Weibo is a mature, ex-growth public-square platform. Advertising (~85% of revenue) is roughly flat in USD terms: Alibaba (+49% in FY2025, +10% in Q2 2026) and resilient verticals (auto/NEV, local services, internet services) offset a shrinking ex-Alibaba advertiser base, VAS grows modestly, and reported revenue drifts from -1% to +2% a year through FY2035. The FY2026 step-down in operating margin (H1 26% vs 30%) from higher content, production and marketing spend to defend engagement is treated as permanent, with AI-driven eCPM gains preventing further erosion rather than restoring the old 35%+ adjusted EBITDA margin. Cash taxes ramp to 25% as dividend-repatriation withholding grows. The value is mostly balance sheet: net cash of US$0.76B plus haircut long-term investments and the SINA receivable are worth ~US$5.1 (~HK$40) per share before any operating cash flow is counted -- roughly 80% of the current HK$49 price.</t>
  </si>
  <si>
    <t xml:space="preserve">Scenario narrative: bull</t>
  </si>
  <si>
    <t xml:space="preserve">The 2025-26 ad softness is cyclical, not structural. Chinese consumption recovers, the auto/NEV launch cycle and celebrity/entertainment marketing keep growing, Alibaba's shopping-festival spend continues to compound, VAS sustains double-digit growth and AI ad tools raise yield per impression, giving 3-4% revenue growth for five years. Defensive marketing spend normalises and adjusted EBITDA margin recovers to ~32% by FY2031. The US$200M buyback is executed at depressed prices (value-neutral in the model, but it funds the flat count) and the HK listing plus continued dividends keep the China discount from widening.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</si>
  <si>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</si>
  <si>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</si>
  <si>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</si>
  <si>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</si>
  <si>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</si>
  <si>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</si>
  <si>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</si>
  <si>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</si>
  <si>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</si>
  <si>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</si>
  <si>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</si>
  <si>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</si>
  <si>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</si>
  <si>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</si>
  <si>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</si>
  <si>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</si>
  <si>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</si>
  <si>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</si>
  <si>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</si>
  <si>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</si>
  <si>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</si>
  <si>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</si>
  <si>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</si>
  <si>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</si>
  <si>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</si>
  <si>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</si>
  <si>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</si>
  <si>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AdRevenue</t>
  </si>
  <si>
    <t xml:space="preserve">DAU</t>
  </si>
  <si>
    <t xml:space="preserve">MAU</t>
  </si>
  <si>
    <t xml:space="preserve">OtherRevenue</t>
  </si>
  <si>
    <t xml:space="preserve">ShortTermInvestments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</si>
  <si>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</si>
  <si>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</si>
  <si>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</si>
  <si>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</si>
  <si>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</si>
  <si>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</si>
  <si>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</si>
  <si>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</si>
  <si>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</si>
  <si>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</si>
  <si>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</si>
  <si>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</si>
  <si>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</si>
  <si>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</si>
  <si>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</si>
  <si>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</si>
  <si>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</si>
  <si>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</si>
  <si>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</si>
  <si>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</si>
  <si>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</si>
  <si>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</si>
  <si>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</si>
  <si>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</si>
  <si>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</si>
  <si>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</si>
  <si>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</si>
  <si>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</si>
  <si>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</si>
  <si>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</si>
  <si>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</si>
  <si>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</si>
  <si>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</si>
  <si>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</si>
  <si>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</si>
  <si>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</si>
  <si>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</si>
  <si>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</si>
  <si>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</si>
  <si>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</si>
  <si>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</si>
  <si>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</si>
  <si>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</si>
  <si>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</si>
  <si>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9898.HK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</si>
  <si>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</si>
  <si>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</si>
  <si>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</si>
  <si>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</si>
  <si>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</si>
  <si>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</si>
  <si>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</si>
  <si>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</si>
  <si>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</si>
  <si>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</si>
  <si>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</si>
  <si>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</si>
  <si>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</si>
  <si>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</si>
  <si>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</si>
  <si>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</si>
  <si>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</si>
  <si>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</si>
  <si>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</si>
  <si>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</si>
  <si>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</si>
  <si>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</si>
  <si>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</si>
  <si>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</si>
  <si>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</si>
  <si>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</si>
  <si>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</si>
  <si>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</si>
  <si>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</si>
  <si>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</si>
  <si>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9898.HK owner-FCF component DCF: base case (millions, USD)</t>
  </si>
  <si>
    <t xml:space="preserve">9898.HK owner-FCF component DCF: bull case (millions, USD)</t>
  </si>
  <si>
    <t xml:space="preserve">9898.HK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</si>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</sst>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49.08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1766.914</v>
      </c>
      <c r="C2" s="0" t="n">
        <v>328.826</v>
      </c>
      <c r="D2" s="0" t="n">
        <v>1438.088</v>
      </c>
      <c r="E2" s="0" t="n">
        <v>81.4</v>
      </c>
      <c r="F2" s="0" t="n">
        <v>597.584</v>
      </c>
      <c r="G2" s="0" t="n">
        <v>33.8</v>
      </c>
      <c r="H2" s="0" t="n">
        <v>623.356</v>
      </c>
      <c r="I2" s="0" t="n">
        <v>494.675</v>
      </c>
      <c r="J2" s="0" t="n">
        <v>28</v>
      </c>
      <c r="K2" s="0" t="n">
        <v>2.18</v>
      </c>
      <c r="L2" s="0" t="n">
        <v>631.653</v>
      </c>
      <c r="M2" s="0" t="n">
        <v>21.746</v>
      </c>
      <c r="N2" s="0" t="n">
        <v>609.907</v>
      </c>
      <c r="T2" s="0" t="n">
        <v>226.412</v>
      </c>
      <c r="U2" s="0" t="n">
        <v>61.289</v>
      </c>
      <c r="AA2" s="0" t="s">
        <v>18</v>
      </c>
      <c r="AB2" s="0" t="s">
        <v>14</v>
      </c>
      <c r="AC2" s="0" t="n">
        <v>1530.211</v>
      </c>
      <c r="AF2" s="0" t="n">
        <v>236.703</v>
      </c>
    </row>
    <row r="3" customFormat="false" ht="15" hidden="false" customHeight="false" outlineLevel="0" collapsed="false">
      <c r="A3" s="0" t="s">
        <v>70</v>
      </c>
      <c r="B3" s="0" t="n">
        <v>1689.931</v>
      </c>
      <c r="C3" s="0" t="n">
        <v>302.18</v>
      </c>
      <c r="D3" s="0" t="n">
        <v>1387.751</v>
      </c>
      <c r="E3" s="0" t="n">
        <v>82.1</v>
      </c>
      <c r="F3" s="0" t="n">
        <v>506.798</v>
      </c>
      <c r="G3" s="0" t="n">
        <v>30</v>
      </c>
      <c r="H3" s="0" t="n">
        <v>538.905</v>
      </c>
      <c r="I3" s="0" t="n">
        <v>313.364</v>
      </c>
      <c r="J3" s="0" t="n">
        <v>18.5</v>
      </c>
      <c r="K3" s="0" t="n">
        <v>1.38</v>
      </c>
      <c r="L3" s="0" t="n">
        <v>741.646</v>
      </c>
      <c r="M3" s="0" t="n">
        <v>34.828</v>
      </c>
      <c r="N3" s="0" t="n">
        <v>706.818</v>
      </c>
      <c r="O3" s="0" t="n">
        <v>2812.425</v>
      </c>
      <c r="P3" s="0" t="n">
        <v>6335.117</v>
      </c>
      <c r="Q3" s="0" t="n">
        <v>3448.787</v>
      </c>
      <c r="R3" s="0" t="n">
        <v>2428.511</v>
      </c>
      <c r="S3" s="0" t="n">
        <v>3496.892</v>
      </c>
      <c r="T3" s="0" t="n">
        <v>227.637</v>
      </c>
      <c r="U3" s="0" t="n">
        <v>67.105</v>
      </c>
      <c r="AA3" s="0" t="s">
        <v>18</v>
      </c>
      <c r="AB3" s="0" t="s">
        <v>14</v>
      </c>
      <c r="AC3" s="0" t="n">
        <v>1486.155</v>
      </c>
      <c r="AD3" s="0" t="n">
        <v>225</v>
      </c>
      <c r="AE3" s="0" t="n">
        <v>521</v>
      </c>
      <c r="AF3" s="0" t="n">
        <v>203.776</v>
      </c>
      <c r="AG3" s="0" t="n">
        <v>1682.048</v>
      </c>
    </row>
    <row r="4" customFormat="false" ht="15" hidden="false" customHeight="false" outlineLevel="0" collapsed="false">
      <c r="A4" s="0" t="s">
        <v>71</v>
      </c>
      <c r="B4" s="0" t="n">
        <v>2257.083</v>
      </c>
      <c r="C4" s="0" t="n">
        <v>403.841</v>
      </c>
      <c r="D4" s="0" t="n">
        <v>1853.242</v>
      </c>
      <c r="E4" s="0" t="n">
        <v>82.1</v>
      </c>
      <c r="F4" s="0" t="n">
        <v>697.412</v>
      </c>
      <c r="G4" s="0" t="n">
        <v>30.9</v>
      </c>
      <c r="H4" s="0" t="n">
        <v>752.42</v>
      </c>
      <c r="I4" s="0" t="n">
        <v>428.319</v>
      </c>
      <c r="J4" s="0" t="n">
        <v>19</v>
      </c>
      <c r="K4" s="0" t="n">
        <v>1.86</v>
      </c>
      <c r="L4" s="0" t="n">
        <v>814.02</v>
      </c>
      <c r="M4" s="0" t="n">
        <v>35.094</v>
      </c>
      <c r="N4" s="0" t="n">
        <v>778.926</v>
      </c>
      <c r="O4" s="0" t="n">
        <v>3593.821</v>
      </c>
      <c r="P4" s="0" t="n">
        <v>7519.522</v>
      </c>
      <c r="Q4" s="0" t="n">
        <v>3831.502</v>
      </c>
      <c r="R4" s="0" t="n">
        <v>2434.956</v>
      </c>
      <c r="S4" s="0" t="n">
        <v>3134.765</v>
      </c>
      <c r="T4" s="0" t="n">
        <v>230.206</v>
      </c>
      <c r="U4" s="0" t="n">
        <v>87.996</v>
      </c>
      <c r="AA4" s="0" t="s">
        <v>18</v>
      </c>
      <c r="AB4" s="0" t="s">
        <v>14</v>
      </c>
      <c r="AC4" s="0" t="n">
        <v>1980.795</v>
      </c>
      <c r="AD4" s="0" t="n">
        <v>249</v>
      </c>
      <c r="AE4" s="0" t="n">
        <v>573</v>
      </c>
      <c r="AF4" s="0" t="n">
        <v>276.288</v>
      </c>
      <c r="AG4" s="0" t="n">
        <v>711.062</v>
      </c>
    </row>
    <row r="5" customFormat="false" ht="15" hidden="false" customHeight="false" outlineLevel="0" collapsed="false">
      <c r="A5" s="0" t="s">
        <v>72</v>
      </c>
      <c r="B5" s="0" t="n">
        <v>1836.332</v>
      </c>
      <c r="C5" s="0" t="n">
        <v>400.585</v>
      </c>
      <c r="D5" s="0" t="n">
        <v>1435.747</v>
      </c>
      <c r="E5" s="0" t="n">
        <v>78.2</v>
      </c>
      <c r="F5" s="0" t="n">
        <v>480.468</v>
      </c>
      <c r="G5" s="0" t="n">
        <v>26.2</v>
      </c>
      <c r="H5" s="0" t="n">
        <v>535.162</v>
      </c>
      <c r="I5" s="0" t="n">
        <v>85.555</v>
      </c>
      <c r="J5" s="0" t="n">
        <v>4.7</v>
      </c>
      <c r="K5" s="0" t="n">
        <v>0.36</v>
      </c>
      <c r="L5" s="0" t="n">
        <v>564.104</v>
      </c>
      <c r="M5" s="0" t="n">
        <v>43.136</v>
      </c>
      <c r="N5" s="0" t="n">
        <v>520.968</v>
      </c>
      <c r="O5" s="0" t="n">
        <v>3330.25</v>
      </c>
      <c r="P5" s="0" t="n">
        <v>7129.454</v>
      </c>
      <c r="Q5" s="0" t="n">
        <v>3738.914</v>
      </c>
      <c r="R5" s="0" t="n">
        <v>2421.572</v>
      </c>
      <c r="S5" s="0" t="n">
        <v>3171.196</v>
      </c>
      <c r="T5" s="0" t="n">
        <v>236.407</v>
      </c>
      <c r="U5" s="0" t="n">
        <v>111.713</v>
      </c>
      <c r="AA5" s="0" t="s">
        <v>18</v>
      </c>
      <c r="AB5" s="0" t="s">
        <v>14</v>
      </c>
      <c r="AC5" s="0" t="n">
        <v>1596.65</v>
      </c>
      <c r="AD5" s="0" t="n">
        <v>252</v>
      </c>
      <c r="AE5" s="0" t="n">
        <v>586</v>
      </c>
      <c r="AF5" s="0" t="n">
        <v>239.682</v>
      </c>
      <c r="AG5" s="0" t="n">
        <v>480.428</v>
      </c>
    </row>
    <row r="6" customFormat="false" ht="15" hidden="false" customHeight="false" outlineLevel="0" collapsed="false">
      <c r="A6" s="0" t="s">
        <v>73</v>
      </c>
      <c r="B6" s="0" t="n">
        <v>1759.836</v>
      </c>
      <c r="C6" s="0" t="n">
        <v>374.279</v>
      </c>
      <c r="D6" s="0" t="n">
        <v>1385.557</v>
      </c>
      <c r="E6" s="0" t="n">
        <v>78.7</v>
      </c>
      <c r="F6" s="0" t="n">
        <v>472.934</v>
      </c>
      <c r="G6" s="0" t="n">
        <v>26.9</v>
      </c>
      <c r="H6" s="0" t="n">
        <v>531.443</v>
      </c>
      <c r="I6" s="0" t="n">
        <v>342.598</v>
      </c>
      <c r="J6" s="0" t="n">
        <v>19.5</v>
      </c>
      <c r="K6" s="0" t="n">
        <v>1.43</v>
      </c>
      <c r="L6" s="0" t="n">
        <v>672.82</v>
      </c>
      <c r="M6" s="0" t="n">
        <v>36.772</v>
      </c>
      <c r="N6" s="0" t="n">
        <v>636.048</v>
      </c>
      <c r="O6" s="0" t="n">
        <v>3398.735</v>
      </c>
      <c r="P6" s="0" t="n">
        <v>7280.358</v>
      </c>
      <c r="Q6" s="0" t="n">
        <v>3762.742</v>
      </c>
      <c r="R6" s="0" t="n">
        <v>2652.292</v>
      </c>
      <c r="S6" s="0" t="n">
        <v>3225.67</v>
      </c>
      <c r="T6" s="0" t="n">
        <v>239.974</v>
      </c>
      <c r="U6" s="0" t="n">
        <v>101.131</v>
      </c>
      <c r="AA6" s="0" t="s">
        <v>18</v>
      </c>
      <c r="AB6" s="0" t="s">
        <v>14</v>
      </c>
      <c r="AC6" s="0" t="n">
        <v>1534.014</v>
      </c>
      <c r="AD6" s="0" t="n">
        <v>257</v>
      </c>
      <c r="AE6" s="0" t="n">
        <v>598</v>
      </c>
      <c r="AF6" s="0" t="n">
        <v>225.822</v>
      </c>
      <c r="AG6" s="0" t="n">
        <v>641.035</v>
      </c>
    </row>
    <row r="7" customFormat="false" ht="15" hidden="false" customHeight="false" outlineLevel="0" collapsed="false">
      <c r="A7" s="0" t="s">
        <v>74</v>
      </c>
      <c r="B7" s="0" t="n">
        <v>1754.677</v>
      </c>
      <c r="C7" s="0" t="n">
        <v>369.521</v>
      </c>
      <c r="D7" s="0" t="n">
        <v>1385.156</v>
      </c>
      <c r="E7" s="0" t="n">
        <v>78.9</v>
      </c>
      <c r="F7" s="0" t="n">
        <v>494.324</v>
      </c>
      <c r="G7" s="0" t="n">
        <v>28.2</v>
      </c>
      <c r="H7" s="0" t="n">
        <v>552.461</v>
      </c>
      <c r="I7" s="0" t="n">
        <v>300.801</v>
      </c>
      <c r="J7" s="0" t="n">
        <v>17.1</v>
      </c>
      <c r="K7" s="0" t="n">
        <v>1.16</v>
      </c>
      <c r="L7" s="0" t="n">
        <v>639.898</v>
      </c>
      <c r="M7" s="0" t="n">
        <v>61.469</v>
      </c>
      <c r="N7" s="0" t="n">
        <v>578.429</v>
      </c>
      <c r="O7" s="0" t="n">
        <v>3482.771</v>
      </c>
      <c r="P7" s="0" t="n">
        <v>6504.499</v>
      </c>
      <c r="Q7" s="0" t="n">
        <v>2925.613</v>
      </c>
      <c r="R7" s="0" t="n">
        <v>1860.776</v>
      </c>
      <c r="S7" s="0" t="n">
        <v>2350.484</v>
      </c>
      <c r="T7" s="0" t="n">
        <v>265.241</v>
      </c>
      <c r="U7" s="0" t="n">
        <v>69.714</v>
      </c>
      <c r="AA7" s="0" t="s">
        <v>18</v>
      </c>
      <c r="AB7" s="0" t="s">
        <v>14</v>
      </c>
      <c r="AC7" s="0" t="n">
        <v>1498.693</v>
      </c>
      <c r="AD7" s="0" t="n">
        <v>260</v>
      </c>
      <c r="AE7" s="0" t="n">
        <v>590</v>
      </c>
      <c r="AF7" s="0" t="n">
        <v>255.984</v>
      </c>
      <c r="AG7" s="0" t="n">
        <v>459.852</v>
      </c>
    </row>
    <row r="8" customFormat="false" ht="15" hidden="false" customHeight="false" outlineLevel="0" collapsed="false">
      <c r="A8" s="0" t="s">
        <v>75</v>
      </c>
      <c r="B8" s="0" t="n">
        <v>1757.216</v>
      </c>
      <c r="C8" s="0" t="n">
        <v>421.837</v>
      </c>
      <c r="D8" s="0" t="n">
        <v>1335.379</v>
      </c>
      <c r="E8" s="0" t="n">
        <v>76</v>
      </c>
      <c r="F8" s="0" t="n">
        <v>464.825</v>
      </c>
      <c r="G8" s="0" t="n">
        <v>26.5</v>
      </c>
      <c r="H8" s="0" t="n">
        <v>523.913</v>
      </c>
      <c r="I8" s="0" t="n">
        <v>449.02</v>
      </c>
      <c r="J8" s="0" t="n">
        <v>25.6</v>
      </c>
      <c r="K8" s="0" t="n">
        <v>1.7</v>
      </c>
      <c r="L8" s="0" t="n">
        <v>519.479</v>
      </c>
      <c r="M8" s="0" t="n">
        <v>42.368</v>
      </c>
      <c r="N8" s="0" t="n">
        <v>477.111</v>
      </c>
      <c r="O8" s="0" t="n">
        <v>3920.729</v>
      </c>
      <c r="P8" s="0" t="n">
        <v>7091.186</v>
      </c>
      <c r="Q8" s="0" t="n">
        <v>3083.623</v>
      </c>
      <c r="R8" s="0" t="n">
        <v>1863.55</v>
      </c>
      <c r="S8" s="0" t="n">
        <v>2405.08</v>
      </c>
      <c r="T8" s="0" t="n">
        <v>268.56</v>
      </c>
      <c r="U8" s="0" t="n">
        <v>42.067</v>
      </c>
      <c r="AA8" s="0" t="s">
        <v>18</v>
      </c>
      <c r="AB8" s="0" t="s">
        <v>14</v>
      </c>
      <c r="AC8" s="0" t="n">
        <v>1501.63</v>
      </c>
      <c r="AD8" s="0" t="n">
        <v>252</v>
      </c>
      <c r="AE8" s="0" t="n">
        <v>567</v>
      </c>
      <c r="AF8" s="0" t="n">
        <v>255.586</v>
      </c>
      <c r="AG8" s="0" t="n">
        <v>106.139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49.08</v>
      </c>
    </row>
    <row r="3" customFormat="false" ht="15" hidden="false" customHeight="false" outlineLevel="0" collapsed="false">
      <c r="A3" s="0" t="s">
        <v>79</v>
      </c>
      <c r="B3" s="3" t="n">
        <v>246</v>
      </c>
    </row>
    <row r="4" customFormat="false" ht="15" hidden="false" customHeight="false" outlineLevel="0" collapsed="false">
      <c r="A4" s="0" t="s">
        <v>80</v>
      </c>
      <c r="B4" s="3" t="n">
        <v>-756.6</v>
      </c>
    </row>
    <row r="5" customFormat="false" ht="15" hidden="false" customHeight="false" outlineLevel="0" collapsed="false">
      <c r="A5" s="0" t="s">
        <v>81</v>
      </c>
      <c r="B5" s="3" t="n">
        <v>1057.3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1757.216</v>
      </c>
    </row>
    <row r="8" customFormat="false" ht="15" hidden="false" customHeight="false" outlineLevel="0" collapsed="false">
      <c r="A8" s="0" t="s">
        <v>84</v>
      </c>
      <c r="B8" s="3" t="s">
        <v>75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7.8419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1</v>
      </c>
      <c r="D13" s="3" t="n">
        <v>-5</v>
      </c>
      <c r="E13" s="3" t="n">
        <v>-6</v>
      </c>
      <c r="F13" s="3" t="n">
        <v>-5</v>
      </c>
      <c r="G13" s="3" t="n">
        <v>-4</v>
      </c>
      <c r="H13" s="3" t="n">
        <v>-3</v>
      </c>
      <c r="I13" s="3" t="n">
        <v>-2</v>
      </c>
      <c r="J13" s="3" t="n">
        <v>-1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100</v>
      </c>
      <c r="C14" s="3" t="n">
        <v>26</v>
      </c>
      <c r="D14" s="3" t="n">
        <v>24</v>
      </c>
      <c r="E14" s="3" t="n">
        <v>22</v>
      </c>
      <c r="F14" s="3" t="n">
        <v>21</v>
      </c>
      <c r="G14" s="3" t="n">
        <v>20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101</v>
      </c>
      <c r="C15" s="3" t="n">
        <v>1.2</v>
      </c>
      <c r="D15" s="3" t="n">
        <v>1.5</v>
      </c>
      <c r="E15" s="3" t="n">
        <v>1.5</v>
      </c>
      <c r="F15" s="3" t="n">
        <v>1.5</v>
      </c>
      <c r="G15" s="3" t="n">
        <v>1.5</v>
      </c>
      <c r="H15" s="3" t="n">
        <v>1.5</v>
      </c>
      <c r="I15" s="3" t="n">
        <v>1.5</v>
      </c>
      <c r="J15" s="3" t="n">
        <v>1.5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3.3</v>
      </c>
      <c r="D17" s="3" t="n">
        <v>3.3</v>
      </c>
      <c r="E17" s="3" t="n">
        <v>3.3</v>
      </c>
      <c r="F17" s="3" t="n">
        <v>3.3</v>
      </c>
      <c r="G17" s="3" t="n">
        <v>3.3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104</v>
      </c>
      <c r="C18" s="3" t="n">
        <v>2.8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105</v>
      </c>
      <c r="C19" s="3" t="n">
        <v>22</v>
      </c>
      <c r="D19" s="3" t="n">
        <v>23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106</v>
      </c>
      <c r="B20" s="3" t="n">
        <v>11.5</v>
      </c>
    </row>
    <row r="21" customFormat="false" ht="15" hidden="false" customHeight="false" outlineLevel="0" collapsed="false">
      <c r="A21" s="0" t="s">
        <v>107</v>
      </c>
      <c r="B21" s="3" t="n">
        <v>1</v>
      </c>
    </row>
    <row r="22" customFormat="false" ht="15" hidden="false" customHeight="false" outlineLevel="0" collapsed="false">
      <c r="A22" s="0" t="s">
        <v>108</v>
      </c>
      <c r="B22" s="3" t="n">
        <v>10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0.35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2</v>
      </c>
      <c r="D27" s="3" t="n">
        <v>-1</v>
      </c>
      <c r="E27" s="3" t="n">
        <v>-1</v>
      </c>
      <c r="F27" s="3" t="n">
        <v>0</v>
      </c>
      <c r="G27" s="3" t="n">
        <v>0.5</v>
      </c>
      <c r="H27" s="3" t="n">
        <v>1</v>
      </c>
      <c r="I27" s="3" t="n">
        <v>1</v>
      </c>
      <c r="J27" s="3" t="n">
        <v>1.5</v>
      </c>
      <c r="K27" s="3" t="n">
        <v>1.5</v>
      </c>
      <c r="L27" s="3" t="n">
        <v>2</v>
      </c>
    </row>
    <row r="28" customFormat="false" ht="15" hidden="false" customHeight="false" outlineLevel="0" collapsed="false">
      <c r="A28" s="0" t="s">
        <v>100</v>
      </c>
      <c r="C28" s="3" t="n">
        <v>27.5</v>
      </c>
      <c r="D28" s="3" t="n">
        <v>27</v>
      </c>
      <c r="E28" s="3" t="n">
        <v>27</v>
      </c>
      <c r="F28" s="3" t="n">
        <v>27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101</v>
      </c>
      <c r="C29" s="3" t="n">
        <v>1.2</v>
      </c>
      <c r="D29" s="3" t="n">
        <v>1.5</v>
      </c>
      <c r="E29" s="3" t="n">
        <v>1.5</v>
      </c>
      <c r="F29" s="3" t="n">
        <v>1.5</v>
      </c>
      <c r="G29" s="3" t="n">
        <v>1.5</v>
      </c>
      <c r="H29" s="3" t="n">
        <v>1.5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3.3</v>
      </c>
      <c r="D31" s="3" t="n">
        <v>3.3</v>
      </c>
      <c r="E31" s="3" t="n">
        <v>3.3</v>
      </c>
      <c r="F31" s="3" t="n">
        <v>3.3</v>
      </c>
      <c r="G31" s="3" t="n">
        <v>3.3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104</v>
      </c>
      <c r="C32" s="3" t="n">
        <v>2.8</v>
      </c>
      <c r="D32" s="3" t="n">
        <v>2.8</v>
      </c>
      <c r="E32" s="3" t="n">
        <v>2.8</v>
      </c>
      <c r="F32" s="3" t="n">
        <v>2.8</v>
      </c>
      <c r="G32" s="3" t="n">
        <v>2.8</v>
      </c>
      <c r="H32" s="3" t="n">
        <v>2.8</v>
      </c>
      <c r="I32" s="3" t="n">
        <v>2.8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105</v>
      </c>
      <c r="C33" s="3" t="n">
        <v>22</v>
      </c>
      <c r="D33" s="3" t="n">
        <v>23</v>
      </c>
      <c r="E33" s="3" t="n">
        <v>24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106</v>
      </c>
      <c r="B34" s="3" t="n">
        <v>11.5</v>
      </c>
    </row>
    <row r="35" customFormat="false" ht="15" hidden="false" customHeight="false" outlineLevel="0" collapsed="false">
      <c r="A35" s="0" t="s">
        <v>107</v>
      </c>
      <c r="B35" s="3" t="n">
        <v>2</v>
      </c>
    </row>
    <row r="36" customFormat="false" ht="15" hidden="false" customHeight="false" outlineLevel="0" collapsed="false">
      <c r="A36" s="0" t="s">
        <v>108</v>
      </c>
      <c r="B36" s="3" t="n">
        <v>12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0.45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3</v>
      </c>
      <c r="D41" s="3" t="n">
        <v>4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100</v>
      </c>
      <c r="C42" s="3" t="n">
        <v>28</v>
      </c>
      <c r="D42" s="3" t="n">
        <v>29</v>
      </c>
      <c r="E42" s="3" t="n">
        <v>30</v>
      </c>
      <c r="F42" s="3" t="n">
        <v>31</v>
      </c>
      <c r="G42" s="3" t="n">
        <v>31.5</v>
      </c>
      <c r="H42" s="3" t="n">
        <v>32</v>
      </c>
      <c r="I42" s="3" t="n">
        <v>32</v>
      </c>
      <c r="J42" s="3" t="n">
        <v>32</v>
      </c>
      <c r="K42" s="3" t="n">
        <v>32</v>
      </c>
      <c r="L42" s="3" t="n">
        <v>32</v>
      </c>
    </row>
    <row r="43" customFormat="false" ht="15" hidden="false" customHeight="false" outlineLevel="0" collapsed="false">
      <c r="A43" s="0" t="s">
        <v>101</v>
      </c>
      <c r="C43" s="3" t="n">
        <v>1.2</v>
      </c>
      <c r="D43" s="3" t="n">
        <v>1.5</v>
      </c>
      <c r="E43" s="3" t="n">
        <v>1.5</v>
      </c>
      <c r="F43" s="3" t="n">
        <v>1.5</v>
      </c>
      <c r="G43" s="3" t="n">
        <v>1.5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3.3</v>
      </c>
      <c r="D45" s="3" t="n">
        <v>3.3</v>
      </c>
      <c r="E45" s="3" t="n">
        <v>3.3</v>
      </c>
      <c r="F45" s="3" t="n">
        <v>3.3</v>
      </c>
      <c r="G45" s="3" t="n">
        <v>3.3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104</v>
      </c>
      <c r="C46" s="3" t="n">
        <v>2.8</v>
      </c>
      <c r="D46" s="3" t="n">
        <v>2.8</v>
      </c>
      <c r="E46" s="3" t="n">
        <v>2.8</v>
      </c>
      <c r="F46" s="3" t="n">
        <v>2.8</v>
      </c>
      <c r="G46" s="3" t="n">
        <v>2.8</v>
      </c>
      <c r="H46" s="3" t="n">
        <v>2.8</v>
      </c>
      <c r="I46" s="3" t="n">
        <v>2.8</v>
      </c>
      <c r="J46" s="3" t="n">
        <v>2.8</v>
      </c>
      <c r="K46" s="3" t="n">
        <v>2.8</v>
      </c>
      <c r="L46" s="3" t="n">
        <v>2.8</v>
      </c>
    </row>
    <row r="47" customFormat="false" ht="15" hidden="false" customHeight="false" outlineLevel="0" collapsed="false">
      <c r="A47" s="0" t="s">
        <v>105</v>
      </c>
      <c r="C47" s="3" t="n">
        <v>22</v>
      </c>
      <c r="D47" s="3" t="n">
        <v>23</v>
      </c>
      <c r="E47" s="3" t="n">
        <v>24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106</v>
      </c>
      <c r="B48" s="3" t="n">
        <v>11.5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12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1</v>
      </c>
      <c r="D5" s="4" t="n">
        <f aca="false">Assumptions!D13</f>
        <v>-5</v>
      </c>
      <c r="E5" s="4" t="n">
        <f aca="false">Assumptions!E13</f>
        <v>-6</v>
      </c>
      <c r="F5" s="4" t="n">
        <f aca="false">Assumptions!F13</f>
        <v>-5</v>
      </c>
      <c r="G5" s="4" t="n">
        <f aca="false">Assumptions!G13</f>
        <v>-4</v>
      </c>
      <c r="H5" s="4" t="n">
        <f aca="false">Assumptions!H13</f>
        <v>-3</v>
      </c>
      <c r="I5" s="4" t="n">
        <f aca="false">Assumptions!I13</f>
        <v>-2</v>
      </c>
      <c r="J5" s="4" t="n">
        <f aca="false">Assumptions!J13</f>
        <v>-1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1757.216</v>
      </c>
      <c r="C6" s="0" t="n">
        <f aca="false">B6*(1+C5/100)</f>
        <v>1774.78816</v>
      </c>
      <c r="D6" s="0" t="n">
        <f aca="false">C6*(1+D5/100)</f>
        <v>1686.048752</v>
      </c>
      <c r="E6" s="0" t="n">
        <f aca="false">D6*(1+E5/100)</f>
        <v>1584.88582688</v>
      </c>
      <c r="F6" s="0" t="n">
        <f aca="false">E6*(1+F5/100)</f>
        <v>1505.641535536</v>
      </c>
      <c r="G6" s="0" t="n">
        <f aca="false">F6*(1+G5/100)</f>
        <v>1445.41587411456</v>
      </c>
      <c r="H6" s="0" t="n">
        <f aca="false">G6*(1+H5/100)</f>
        <v>1402.05339789112</v>
      </c>
      <c r="I6" s="0" t="n">
        <f aca="false">H6*(1+I5/100)</f>
        <v>1374.0123299333</v>
      </c>
      <c r="J6" s="0" t="n">
        <f aca="false">I6*(1+J5/100)</f>
        <v>1360.27220663397</v>
      </c>
      <c r="K6" s="0" t="n">
        <f aca="false">J6*(1+K5/100)</f>
        <v>1360.27220663397</v>
      </c>
      <c r="L6" s="0" t="n">
        <f aca="false">K6*(1+L5/100)</f>
        <v>1360.27220663397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26</v>
      </c>
      <c r="D7" s="4" t="n">
        <f aca="false">Assumptions!D14</f>
        <v>24</v>
      </c>
      <c r="E7" s="4" t="n">
        <f aca="false">Assumptions!E14</f>
        <v>22</v>
      </c>
      <c r="F7" s="4" t="n">
        <f aca="false">Assumptions!F14</f>
        <v>21</v>
      </c>
      <c r="G7" s="4" t="n">
        <f aca="false">Assumptions!G14</f>
        <v>20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461.4449216</v>
      </c>
      <c r="D8" s="0" t="n">
        <f aca="false">D6*D7/100</f>
        <v>404.65170048</v>
      </c>
      <c r="E8" s="0" t="n">
        <f aca="false">E6*E7/100</f>
        <v>348.6748819136</v>
      </c>
      <c r="F8" s="0" t="n">
        <f aca="false">F6*F7/100</f>
        <v>316.18472246256</v>
      </c>
      <c r="G8" s="0" t="n">
        <f aca="false">G6*G7/100</f>
        <v>289.083174822912</v>
      </c>
      <c r="H8" s="0" t="n">
        <f aca="false">H6*H7/100</f>
        <v>280.410679578225</v>
      </c>
      <c r="I8" s="0" t="n">
        <f aca="false">I6*I7/100</f>
        <v>274.80246598666</v>
      </c>
      <c r="J8" s="0" t="n">
        <f aca="false">J6*J7/100</f>
        <v>272.054441326794</v>
      </c>
      <c r="K8" s="0" t="n">
        <f aca="false">K6*K7/100</f>
        <v>272.054441326794</v>
      </c>
      <c r="L8" s="0" t="n">
        <f aca="false">L6*L7/100</f>
        <v>272.054441326794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1.2</v>
      </c>
      <c r="D9" s="4" t="n">
        <f aca="false">Assumptions!D15</f>
        <v>1.5</v>
      </c>
      <c r="E9" s="4" t="n">
        <f aca="false">Assumptions!E15</f>
        <v>1.5</v>
      </c>
      <c r="F9" s="4" t="n">
        <f aca="false">Assumptions!F15</f>
        <v>1.5</v>
      </c>
      <c r="G9" s="4" t="n">
        <f aca="false">Assumptions!G15</f>
        <v>1.5</v>
      </c>
      <c r="H9" s="4" t="n">
        <f aca="false">Assumptions!H15</f>
        <v>1.5</v>
      </c>
      <c r="I9" s="4" t="n">
        <f aca="false">Assumptions!I15</f>
        <v>1.5</v>
      </c>
      <c r="J9" s="4" t="n">
        <f aca="false">Assumptions!J15</f>
        <v>1.5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-21.29745792</v>
      </c>
      <c r="D10" s="0" t="n">
        <f aca="false">-D6*D9/100</f>
        <v>-25.29073128</v>
      </c>
      <c r="E10" s="0" t="n">
        <f aca="false">-E6*E9/100</f>
        <v>-23.7732874032</v>
      </c>
      <c r="F10" s="0" t="n">
        <f aca="false">-F6*F9/100</f>
        <v>-22.58462303304</v>
      </c>
      <c r="G10" s="0" t="n">
        <f aca="false">-G6*G9/100</f>
        <v>-21.6812381117184</v>
      </c>
      <c r="H10" s="0" t="n">
        <f aca="false">-H6*H9/100</f>
        <v>-21.0308009683668</v>
      </c>
      <c r="I10" s="0" t="n">
        <f aca="false">-I6*I9/100</f>
        <v>-20.6101849489995</v>
      </c>
      <c r="J10" s="0" t="n">
        <f aca="false">-J6*J9/100</f>
        <v>-20.4040830995095</v>
      </c>
      <c r="K10" s="0" t="n">
        <f aca="false">-K6*K9/100</f>
        <v>-20.4040830995095</v>
      </c>
      <c r="L10" s="0" t="n">
        <f aca="false">-L6*L9/100</f>
        <v>-20.4040830995095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440.14746368</v>
      </c>
      <c r="D11" s="0" t="n">
        <f aca="false">D8+D10+D24</f>
        <v>379.3609692</v>
      </c>
      <c r="E11" s="0" t="n">
        <f aca="false">E8+E10+E24</f>
        <v>324.9015945104</v>
      </c>
      <c r="F11" s="0" t="n">
        <f aca="false">F8+F10+F24</f>
        <v>293.60009942952</v>
      </c>
      <c r="G11" s="0" t="n">
        <f aca="false">G8+G10+G24</f>
        <v>267.401936711193</v>
      </c>
      <c r="H11" s="0" t="n">
        <f aca="false">H8+H10+H24</f>
        <v>259.379878609858</v>
      </c>
      <c r="I11" s="0" t="n">
        <f aca="false">I8+I10+I24</f>
        <v>254.192281037661</v>
      </c>
      <c r="J11" s="0" t="n">
        <f aca="false">J8+J10+J24</f>
        <v>251.650358227284</v>
      </c>
      <c r="K11" s="0" t="n">
        <f aca="false">K8+K10+K24</f>
        <v>251.650358227284</v>
      </c>
      <c r="L11" s="0" t="n">
        <f aca="false">L8+L10+L24</f>
        <v>251.650358227284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-58.56800928</v>
      </c>
      <c r="D12" s="4" t="n">
        <f aca="false">-D6*Assumptions!D17/100</f>
        <v>-55.639608816</v>
      </c>
      <c r="E12" s="4" t="n">
        <f aca="false">-E6*Assumptions!E17/100</f>
        <v>-52.30123228704</v>
      </c>
      <c r="F12" s="4" t="n">
        <f aca="false">-F6*Assumptions!F17/100</f>
        <v>-49.686170672688</v>
      </c>
      <c r="G12" s="4" t="n">
        <f aca="false">-G6*Assumptions!G17/100</f>
        <v>-47.6987238457805</v>
      </c>
      <c r="H12" s="4" t="n">
        <f aca="false">-H6*Assumptions!H17/100</f>
        <v>-46.2677621304071</v>
      </c>
      <c r="I12" s="4" t="n">
        <f aca="false">-I6*Assumptions!I17/100</f>
        <v>-45.3424068877989</v>
      </c>
      <c r="J12" s="4" t="n">
        <f aca="false">-J6*Assumptions!J17/100</f>
        <v>-44.8889828189209</v>
      </c>
      <c r="K12" s="4" t="n">
        <f aca="false">-K6*Assumptions!K17/100</f>
        <v>-44.8889828189209</v>
      </c>
      <c r="L12" s="4" t="n">
        <f aca="false">-L6*Assumptions!L17/100</f>
        <v>-44.8889828189209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381.5794544</v>
      </c>
      <c r="D13" s="0" t="n">
        <f aca="false">D11+D12</f>
        <v>323.721360384</v>
      </c>
      <c r="E13" s="0" t="n">
        <f aca="false">E11+E12</f>
        <v>272.60036222336</v>
      </c>
      <c r="F13" s="0" t="n">
        <f aca="false">F11+F12</f>
        <v>243.913928756832</v>
      </c>
      <c r="G13" s="0" t="n">
        <f aca="false">G11+G12</f>
        <v>219.703212865413</v>
      </c>
      <c r="H13" s="0" t="n">
        <f aca="false">H11+H12</f>
        <v>213.112116479451</v>
      </c>
      <c r="I13" s="0" t="n">
        <f aca="false">I11+I12</f>
        <v>208.849874149862</v>
      </c>
      <c r="J13" s="0" t="n">
        <f aca="false">J11+J12</f>
        <v>206.761375408363</v>
      </c>
      <c r="K13" s="0" t="n">
        <f aca="false">K11+K12</f>
        <v>206.761375408363</v>
      </c>
      <c r="L13" s="0" t="n">
        <f aca="false">L11+L12</f>
        <v>206.761375408363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297.631974432</v>
      </c>
      <c r="D15" s="0" t="n">
        <f aca="false">D13-MAX(0,D13)*D14/100</f>
        <v>249.26544749568</v>
      </c>
      <c r="E15" s="0" t="n">
        <f aca="false">E13-MAX(0,E13)*E14/100</f>
        <v>207.176275289754</v>
      </c>
      <c r="F15" s="0" t="n">
        <f aca="false">F13-MAX(0,F13)*F14/100</f>
        <v>182.935446567624</v>
      </c>
      <c r="G15" s="0" t="n">
        <f aca="false">G13-MAX(0,G13)*G14/100</f>
        <v>164.77740964906</v>
      </c>
      <c r="H15" s="0" t="n">
        <f aca="false">H13-MAX(0,H13)*H14/100</f>
        <v>159.834087359588</v>
      </c>
      <c r="I15" s="0" t="n">
        <f aca="false">I13-MAX(0,I13)*I14/100</f>
        <v>156.637405612396</v>
      </c>
      <c r="J15" s="0" t="n">
        <f aca="false">J13-MAX(0,J13)*J14/100</f>
        <v>155.071031556272</v>
      </c>
      <c r="K15" s="0" t="n">
        <f aca="false">K13-MAX(0,K13)*K14/100</f>
        <v>155.071031556272</v>
      </c>
      <c r="L15" s="0" t="n">
        <f aca="false">L13-MAX(0,L13)*L14/100</f>
        <v>155.071031556272</v>
      </c>
    </row>
    <row r="16" customFormat="false" ht="15" hidden="false" customHeight="false" outlineLevel="0" collapsed="false">
      <c r="A16" s="0" t="s">
        <v>121</v>
      </c>
      <c r="C16" s="0" t="n">
        <f aca="false">-C12</f>
        <v>58.56800928</v>
      </c>
      <c r="D16" s="0" t="n">
        <f aca="false">-D12</f>
        <v>55.639608816</v>
      </c>
      <c r="E16" s="0" t="n">
        <f aca="false">-E12</f>
        <v>52.30123228704</v>
      </c>
      <c r="F16" s="0" t="n">
        <f aca="false">-F12</f>
        <v>49.686170672688</v>
      </c>
      <c r="G16" s="0" t="n">
        <f aca="false">-G12</f>
        <v>47.6987238457805</v>
      </c>
      <c r="H16" s="0" t="n">
        <f aca="false">-H12</f>
        <v>46.2677621304071</v>
      </c>
      <c r="I16" s="0" t="n">
        <f aca="false">-I12</f>
        <v>45.3424068877989</v>
      </c>
      <c r="J16" s="0" t="n">
        <f aca="false">-J12</f>
        <v>44.8889828189209</v>
      </c>
      <c r="K16" s="0" t="n">
        <f aca="false">-K12</f>
        <v>44.8889828189209</v>
      </c>
      <c r="L16" s="0" t="n">
        <f aca="false">-L12</f>
        <v>44.8889828189209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-49.69406848</v>
      </c>
      <c r="D17" s="4" t="n">
        <f aca="false">-D6*Assumptions!D18/100</f>
        <v>-47.209365056</v>
      </c>
      <c r="E17" s="4" t="n">
        <f aca="false">-E6*Assumptions!E18/100</f>
        <v>-44.37680315264</v>
      </c>
      <c r="F17" s="4" t="n">
        <f aca="false">-F6*Assumptions!F18/100</f>
        <v>-42.157962995008</v>
      </c>
      <c r="G17" s="4" t="n">
        <f aca="false">-G6*Assumptions!G18/100</f>
        <v>-40.4716444752077</v>
      </c>
      <c r="H17" s="4" t="n">
        <f aca="false">-H6*Assumptions!H18/100</f>
        <v>-39.2574951409514</v>
      </c>
      <c r="I17" s="4" t="n">
        <f aca="false">-I6*Assumptions!I18/100</f>
        <v>-38.4723452381324</v>
      </c>
      <c r="J17" s="4" t="n">
        <f aca="false">-J6*Assumptions!J18/100</f>
        <v>-38.0876217857511</v>
      </c>
      <c r="K17" s="4" t="n">
        <f aca="false">-K6*Assumptions!K18/100</f>
        <v>-38.0876217857511</v>
      </c>
      <c r="L17" s="4" t="n">
        <f aca="false">-L6*Assumptions!L18/100</f>
        <v>-38.0876217857511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306.505915232</v>
      </c>
      <c r="D19" s="0" t="n">
        <f aca="false">D15+D16+D17+D18</f>
        <v>257.69569125568</v>
      </c>
      <c r="E19" s="0" t="n">
        <f aca="false">E15+E16+E17+E18</f>
        <v>215.100704424154</v>
      </c>
      <c r="F19" s="0" t="n">
        <f aca="false">F15+F16+F17+F18</f>
        <v>190.463654245304</v>
      </c>
      <c r="G19" s="0" t="n">
        <f aca="false">G15+G16+G17+G18</f>
        <v>172.004489019633</v>
      </c>
      <c r="H19" s="0" t="n">
        <f aca="false">H15+H16+H17+H18</f>
        <v>166.844354349044</v>
      </c>
      <c r="I19" s="0" t="n">
        <f aca="false">I15+I16+I17+I18</f>
        <v>163.507467262063</v>
      </c>
      <c r="J19" s="0" t="n">
        <f aca="false">J15+J16+J17+J18</f>
        <v>161.872392589442</v>
      </c>
      <c r="K19" s="0" t="n">
        <f aca="false">K15+K16+K17+K18</f>
        <v>161.872392589442</v>
      </c>
      <c r="L19" s="0" t="n">
        <f aca="false">L15+L16+L17+L18</f>
        <v>161.872392589442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274.893197517489</v>
      </c>
      <c r="D21" s="0" t="n">
        <f aca="false">D19*D20</f>
        <v>207.280010662334</v>
      </c>
      <c r="E21" s="0" t="n">
        <f aca="false">E19*E20</f>
        <v>155.173383721225</v>
      </c>
      <c r="F21" s="0" t="n">
        <f aca="false">F19*F20</f>
        <v>123.228920189801</v>
      </c>
      <c r="G21" s="0" t="n">
        <f aca="false">G19*G20</f>
        <v>99.8080210034411</v>
      </c>
      <c r="H21" s="0" t="n">
        <f aca="false">H19*H20</f>
        <v>86.8285025769846</v>
      </c>
      <c r="I21" s="0" t="n">
        <f aca="false">I19*I20</f>
        <v>76.3156345519685</v>
      </c>
      <c r="J21" s="0" t="n">
        <f aca="false">J19*J20</f>
        <v>67.7600701403129</v>
      </c>
      <c r="K21" s="0" t="n">
        <f aca="false">K19*K20</f>
        <v>60.7713633545407</v>
      </c>
      <c r="L21" s="0" t="n">
        <f aca="false">L19*L20</f>
        <v>54.5034648919648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1206.56256861006</v>
      </c>
    </row>
    <row r="31" customFormat="false" ht="15" hidden="false" customHeight="false" outlineLevel="0" collapsed="false">
      <c r="A31" s="0" t="s">
        <v>130</v>
      </c>
      <c r="B31" s="0" t="n">
        <f aca="false">L19</f>
        <v>161.872392589442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1557.05825252702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1618.72392589442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1557.05825252702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524.271424198899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1730.83399280896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3544.73399280896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112.99776218784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1.30231789298777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127.42270344804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66.0846333023822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119.166319846633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1167.79368939526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101.126482402151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2</v>
      </c>
      <c r="D5" s="4" t="n">
        <f aca="false">Assumptions!D27</f>
        <v>-1</v>
      </c>
      <c r="E5" s="4" t="n">
        <f aca="false">Assumptions!E27</f>
        <v>-1</v>
      </c>
      <c r="F5" s="4" t="n">
        <f aca="false">Assumptions!F27</f>
        <v>0</v>
      </c>
      <c r="G5" s="4" t="n">
        <f aca="false">Assumptions!G27</f>
        <v>0.5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1757.216</v>
      </c>
      <c r="C6" s="0" t="n">
        <f aca="false">B6*(1+C5/100)</f>
        <v>1792.36032</v>
      </c>
      <c r="D6" s="0" t="n">
        <f aca="false">C6*(1+D5/100)</f>
        <v>1774.4367168</v>
      </c>
      <c r="E6" s="0" t="n">
        <f aca="false">D6*(1+E5/100)</f>
        <v>1756.692349632</v>
      </c>
      <c r="F6" s="0" t="n">
        <f aca="false">E6*(1+F5/100)</f>
        <v>1756.692349632</v>
      </c>
      <c r="G6" s="0" t="n">
        <f aca="false">F6*(1+G5/100)</f>
        <v>1765.47581138016</v>
      </c>
      <c r="H6" s="0" t="n">
        <f aca="false">G6*(1+H5/100)</f>
        <v>1783.13056949396</v>
      </c>
      <c r="I6" s="0" t="n">
        <f aca="false">H6*(1+I5/100)</f>
        <v>1800.9618751889</v>
      </c>
      <c r="J6" s="0" t="n">
        <f aca="false">I6*(1+J5/100)</f>
        <v>1827.97630331673</v>
      </c>
      <c r="K6" s="0" t="n">
        <f aca="false">J6*(1+K5/100)</f>
        <v>1855.39594786649</v>
      </c>
      <c r="L6" s="0" t="n">
        <f aca="false">K6*(1+L5/100)</f>
        <v>1892.50386682381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27.5</v>
      </c>
      <c r="D7" s="4" t="n">
        <f aca="false">Assumptions!D28</f>
        <v>27</v>
      </c>
      <c r="E7" s="4" t="n">
        <f aca="false">Assumptions!E28</f>
        <v>27</v>
      </c>
      <c r="F7" s="4" t="n">
        <f aca="false">Assumptions!F28</f>
        <v>27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492.899088</v>
      </c>
      <c r="D8" s="0" t="n">
        <f aca="false">D6*D7/100</f>
        <v>479.097913536</v>
      </c>
      <c r="E8" s="0" t="n">
        <f aca="false">E6*E7/100</f>
        <v>474.30693440064</v>
      </c>
      <c r="F8" s="0" t="n">
        <f aca="false">F6*F7/100</f>
        <v>474.30693440064</v>
      </c>
      <c r="G8" s="0" t="n">
        <f aca="false">G6*G7/100</f>
        <v>476.678469072643</v>
      </c>
      <c r="H8" s="0" t="n">
        <f aca="false">H6*H7/100</f>
        <v>481.44525376337</v>
      </c>
      <c r="I8" s="0" t="n">
        <f aca="false">I6*I7/100</f>
        <v>486.259706301003</v>
      </c>
      <c r="J8" s="0" t="n">
        <f aca="false">J6*J7/100</f>
        <v>493.553601895518</v>
      </c>
      <c r="K8" s="0" t="n">
        <f aca="false">K6*K7/100</f>
        <v>500.956905923951</v>
      </c>
      <c r="L8" s="0" t="n">
        <f aca="false">L6*L7/100</f>
        <v>510.97604404243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1.2</v>
      </c>
      <c r="D9" s="4" t="n">
        <f aca="false">Assumptions!D29</f>
        <v>1.5</v>
      </c>
      <c r="E9" s="4" t="n">
        <f aca="false">Assumptions!E29</f>
        <v>1.5</v>
      </c>
      <c r="F9" s="4" t="n">
        <f aca="false">Assumptions!F29</f>
        <v>1.5</v>
      </c>
      <c r="G9" s="4" t="n">
        <f aca="false">Assumptions!G29</f>
        <v>1.5</v>
      </c>
      <c r="H9" s="4" t="n">
        <f aca="false">Assumptions!H29</f>
        <v>1.5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-21.50832384</v>
      </c>
      <c r="D10" s="0" t="n">
        <f aca="false">-D6*D9/100</f>
        <v>-26.616550752</v>
      </c>
      <c r="E10" s="0" t="n">
        <f aca="false">-E6*E9/100</f>
        <v>-26.35038524448</v>
      </c>
      <c r="F10" s="0" t="n">
        <f aca="false">-F6*F9/100</f>
        <v>-26.35038524448</v>
      </c>
      <c r="G10" s="0" t="n">
        <f aca="false">-G6*G9/100</f>
        <v>-26.4821371707024</v>
      </c>
      <c r="H10" s="0" t="n">
        <f aca="false">-H6*H9/100</f>
        <v>-26.7469585424094</v>
      </c>
      <c r="I10" s="0" t="n">
        <f aca="false">-I6*I9/100</f>
        <v>-27.0144281278335</v>
      </c>
      <c r="J10" s="0" t="n">
        <f aca="false">-J6*J9/100</f>
        <v>-27.419644549751</v>
      </c>
      <c r="K10" s="0" t="n">
        <f aca="false">-K6*K9/100</f>
        <v>-27.8309392179973</v>
      </c>
      <c r="L10" s="0" t="n">
        <f aca="false">-L6*L9/100</f>
        <v>-28.3875580023572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471.39076416</v>
      </c>
      <c r="D11" s="0" t="n">
        <f aca="false">D8+D10+D24</f>
        <v>452.481362784</v>
      </c>
      <c r="E11" s="0" t="n">
        <f aca="false">E8+E10+E24</f>
        <v>447.95654915616</v>
      </c>
      <c r="F11" s="0" t="n">
        <f aca="false">F8+F10+F24</f>
        <v>447.95654915616</v>
      </c>
      <c r="G11" s="0" t="n">
        <f aca="false">G8+G10+G24</f>
        <v>450.196331901941</v>
      </c>
      <c r="H11" s="0" t="n">
        <f aca="false">H8+H10+H24</f>
        <v>454.69829522096</v>
      </c>
      <c r="I11" s="0" t="n">
        <f aca="false">I8+I10+I24</f>
        <v>459.24527817317</v>
      </c>
      <c r="J11" s="0" t="n">
        <f aca="false">J8+J10+J24</f>
        <v>466.133957345767</v>
      </c>
      <c r="K11" s="0" t="n">
        <f aca="false">K8+K10+K24</f>
        <v>473.125966705954</v>
      </c>
      <c r="L11" s="0" t="n">
        <f aca="false">L8+L10+L24</f>
        <v>482.588486040073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-59.14789056</v>
      </c>
      <c r="D12" s="4" t="n">
        <f aca="false">-D6*Assumptions!D31/100</f>
        <v>-58.5564116544</v>
      </c>
      <c r="E12" s="4" t="n">
        <f aca="false">-E6*Assumptions!E31/100</f>
        <v>-57.970847537856</v>
      </c>
      <c r="F12" s="4" t="n">
        <f aca="false">-F6*Assumptions!F31/100</f>
        <v>-57.970847537856</v>
      </c>
      <c r="G12" s="4" t="n">
        <f aca="false">-G6*Assumptions!G31/100</f>
        <v>-58.2607017755453</v>
      </c>
      <c r="H12" s="4" t="n">
        <f aca="false">-H6*Assumptions!H31/100</f>
        <v>-58.8433087933007</v>
      </c>
      <c r="I12" s="4" t="n">
        <f aca="false">-I6*Assumptions!I31/100</f>
        <v>-59.4317418812337</v>
      </c>
      <c r="J12" s="4" t="n">
        <f aca="false">-J6*Assumptions!J31/100</f>
        <v>-60.3232180094522</v>
      </c>
      <c r="K12" s="4" t="n">
        <f aca="false">-K6*Assumptions!K31/100</f>
        <v>-61.228066279594</v>
      </c>
      <c r="L12" s="4" t="n">
        <f aca="false">-L6*Assumptions!L31/100</f>
        <v>-62.4526276051859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412.2428736</v>
      </c>
      <c r="D13" s="0" t="n">
        <f aca="false">D11+D12</f>
        <v>393.9249511296</v>
      </c>
      <c r="E13" s="0" t="n">
        <f aca="false">E11+E12</f>
        <v>389.985701618304</v>
      </c>
      <c r="F13" s="0" t="n">
        <f aca="false">F11+F12</f>
        <v>389.985701618304</v>
      </c>
      <c r="G13" s="0" t="n">
        <f aca="false">G11+G12</f>
        <v>391.935630126395</v>
      </c>
      <c r="H13" s="0" t="n">
        <f aca="false">H11+H12</f>
        <v>395.854986427659</v>
      </c>
      <c r="I13" s="0" t="n">
        <f aca="false">I11+I12</f>
        <v>399.813536291936</v>
      </c>
      <c r="J13" s="0" t="n">
        <f aca="false">J11+J12</f>
        <v>405.810739336315</v>
      </c>
      <c r="K13" s="0" t="n">
        <f aca="false">K11+K12</f>
        <v>411.89790042636</v>
      </c>
      <c r="L13" s="0" t="n">
        <f aca="false">L11+L12</f>
        <v>420.135858434887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321.549441408</v>
      </c>
      <c r="D15" s="0" t="n">
        <f aca="false">D13-MAX(0,D13)*D14/100</f>
        <v>303.322212369792</v>
      </c>
      <c r="E15" s="0" t="n">
        <f aca="false">E13-MAX(0,E13)*E14/100</f>
        <v>296.389133229911</v>
      </c>
      <c r="F15" s="0" t="n">
        <f aca="false">F13-MAX(0,F13)*F14/100</f>
        <v>292.489276213728</v>
      </c>
      <c r="G15" s="0" t="n">
        <f aca="false">G13-MAX(0,G13)*G14/100</f>
        <v>293.951722594797</v>
      </c>
      <c r="H15" s="0" t="n">
        <f aca="false">H13-MAX(0,H13)*H14/100</f>
        <v>296.891239820745</v>
      </c>
      <c r="I15" s="0" t="n">
        <f aca="false">I13-MAX(0,I13)*I14/100</f>
        <v>299.860152218952</v>
      </c>
      <c r="J15" s="0" t="n">
        <f aca="false">J13-MAX(0,J13)*J14/100</f>
        <v>304.358054502236</v>
      </c>
      <c r="K15" s="0" t="n">
        <f aca="false">K13-MAX(0,K13)*K14/100</f>
        <v>308.92342531977</v>
      </c>
      <c r="L15" s="0" t="n">
        <f aca="false">L13-MAX(0,L13)*L14/100</f>
        <v>315.101893826165</v>
      </c>
    </row>
    <row r="16" customFormat="false" ht="15" hidden="false" customHeight="false" outlineLevel="0" collapsed="false">
      <c r="A16" s="0" t="s">
        <v>121</v>
      </c>
      <c r="C16" s="0" t="n">
        <f aca="false">-C12</f>
        <v>59.14789056</v>
      </c>
      <c r="D16" s="0" t="n">
        <f aca="false">-D12</f>
        <v>58.5564116544</v>
      </c>
      <c r="E16" s="0" t="n">
        <f aca="false">-E12</f>
        <v>57.970847537856</v>
      </c>
      <c r="F16" s="0" t="n">
        <f aca="false">-F12</f>
        <v>57.970847537856</v>
      </c>
      <c r="G16" s="0" t="n">
        <f aca="false">-G12</f>
        <v>58.2607017755453</v>
      </c>
      <c r="H16" s="0" t="n">
        <f aca="false">-H12</f>
        <v>58.8433087933007</v>
      </c>
      <c r="I16" s="0" t="n">
        <f aca="false">-I12</f>
        <v>59.4317418812337</v>
      </c>
      <c r="J16" s="0" t="n">
        <f aca="false">-J12</f>
        <v>60.3232180094522</v>
      </c>
      <c r="K16" s="0" t="n">
        <f aca="false">-K12</f>
        <v>61.228066279594</v>
      </c>
      <c r="L16" s="0" t="n">
        <f aca="false">-L12</f>
        <v>62.4526276051859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-50.18608896</v>
      </c>
      <c r="D17" s="4" t="n">
        <f aca="false">-D6*Assumptions!D32/100</f>
        <v>-49.6842280704</v>
      </c>
      <c r="E17" s="4" t="n">
        <f aca="false">-E6*Assumptions!E32/100</f>
        <v>-49.187385789696</v>
      </c>
      <c r="F17" s="4" t="n">
        <f aca="false">-F6*Assumptions!F32/100</f>
        <v>-49.187385789696</v>
      </c>
      <c r="G17" s="4" t="n">
        <f aca="false">-G6*Assumptions!G32/100</f>
        <v>-49.4333227186445</v>
      </c>
      <c r="H17" s="4" t="n">
        <f aca="false">-H6*Assumptions!H32/100</f>
        <v>-49.9276559458309</v>
      </c>
      <c r="I17" s="4" t="n">
        <f aca="false">-I6*Assumptions!I32/100</f>
        <v>-50.4269325052892</v>
      </c>
      <c r="J17" s="4" t="n">
        <f aca="false">-J6*Assumptions!J32/100</f>
        <v>-51.1833364928686</v>
      </c>
      <c r="K17" s="4" t="n">
        <f aca="false">-K6*Assumptions!K32/100</f>
        <v>-51.9510865402616</v>
      </c>
      <c r="L17" s="4" t="n">
        <f aca="false">-L6*Assumptions!L32/100</f>
        <v>-52.9901082710668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330.511243008</v>
      </c>
      <c r="D19" s="0" t="n">
        <f aca="false">D15+D16+D17+D18</f>
        <v>312.194395953792</v>
      </c>
      <c r="E19" s="0" t="n">
        <f aca="false">E15+E16+E17+E18</f>
        <v>305.172594978071</v>
      </c>
      <c r="F19" s="0" t="n">
        <f aca="false">F15+F16+F17+F18</f>
        <v>301.272737961888</v>
      </c>
      <c r="G19" s="0" t="n">
        <f aca="false">G15+G16+G17+G18</f>
        <v>302.779101651697</v>
      </c>
      <c r="H19" s="0" t="n">
        <f aca="false">H15+H16+H17+H18</f>
        <v>305.806892668214</v>
      </c>
      <c r="I19" s="0" t="n">
        <f aca="false">I15+I16+I17+I18</f>
        <v>308.864961594896</v>
      </c>
      <c r="J19" s="0" t="n">
        <f aca="false">J15+J16+J17+J18</f>
        <v>313.49793601882</v>
      </c>
      <c r="K19" s="0" t="n">
        <f aca="false">K15+K16+K17+K18</f>
        <v>318.200405059102</v>
      </c>
      <c r="L19" s="0" t="n">
        <f aca="false">L15+L16+L17+L18</f>
        <v>324.564413160284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296.422639469058</v>
      </c>
      <c r="D21" s="0" t="n">
        <f aca="false">D19*D20</f>
        <v>251.116568564654</v>
      </c>
      <c r="E21" s="0" t="n">
        <f aca="false">E19*E20</f>
        <v>220.151134830113</v>
      </c>
      <c r="F21" s="0" t="n">
        <f aca="false">F19*F20</f>
        <v>194.921778271949</v>
      </c>
      <c r="G21" s="0" t="n">
        <f aca="false">G19*G20</f>
        <v>175.691827052295</v>
      </c>
      <c r="H21" s="0" t="n">
        <f aca="false">H19*H20</f>
        <v>159.146856791765</v>
      </c>
      <c r="I21" s="0" t="n">
        <f aca="false">I19*I20</f>
        <v>144.159933058011</v>
      </c>
      <c r="J21" s="0" t="n">
        <f aca="false">J19*J20</f>
        <v>131.230791079714</v>
      </c>
      <c r="K21" s="0" t="n">
        <f aca="false">K19*K20</f>
        <v>119.461213404403</v>
      </c>
      <c r="L21" s="0" t="n">
        <f aca="false">L19*L20</f>
        <v>109.282903742145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1801.58564626411</v>
      </c>
    </row>
    <row r="31" customFormat="false" ht="15" hidden="false" customHeight="false" outlineLevel="0" collapsed="false">
      <c r="A31" s="0" t="s">
        <v>130</v>
      </c>
      <c r="B31" s="0" t="n">
        <f aca="false">L19</f>
        <v>324.564413160284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3484.79685708937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3894.77295792341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3484.79685708937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1173.35328228408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2974.93892854819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4788.83892854819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152.656894283667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2.11036866918637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150.136551598097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102.625651511727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160.714357375402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2546.58231864223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127.885793422516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75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3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1757.216</v>
      </c>
      <c r="C6" s="0" t="n">
        <f aca="false">B6*(1+C5/100)</f>
        <v>1809.93248</v>
      </c>
      <c r="D6" s="0" t="n">
        <f aca="false">C6*(1+D5/100)</f>
        <v>1882.3297792</v>
      </c>
      <c r="E6" s="0" t="n">
        <f aca="false">D6*(1+E5/100)</f>
        <v>1957.622970368</v>
      </c>
      <c r="F6" s="0" t="n">
        <f aca="false">E6*(1+F5/100)</f>
        <v>2035.92788918272</v>
      </c>
      <c r="G6" s="0" t="n">
        <f aca="false">F6*(1+G5/100)</f>
        <v>2107.18536530412</v>
      </c>
      <c r="H6" s="0" t="n">
        <f aca="false">G6*(1+H5/100)</f>
        <v>2170.40092626324</v>
      </c>
      <c r="I6" s="0" t="n">
        <f aca="false">H6*(1+I5/100)</f>
        <v>2235.51295405114</v>
      </c>
      <c r="J6" s="0" t="n">
        <f aca="false">I6*(1+J5/100)</f>
        <v>2302.57834267267</v>
      </c>
      <c r="K6" s="0" t="n">
        <f aca="false">J6*(1+K5/100)</f>
        <v>2360.14280123949</v>
      </c>
      <c r="L6" s="0" t="n">
        <f aca="false">K6*(1+L5/100)</f>
        <v>2419.14637127047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28</v>
      </c>
      <c r="D7" s="4" t="n">
        <f aca="false">Assumptions!D42</f>
        <v>29</v>
      </c>
      <c r="E7" s="4" t="n">
        <f aca="false">Assumptions!E42</f>
        <v>30</v>
      </c>
      <c r="F7" s="4" t="n">
        <f aca="false">Assumptions!F42</f>
        <v>31</v>
      </c>
      <c r="G7" s="4" t="n">
        <f aca="false">Assumptions!G42</f>
        <v>31.5</v>
      </c>
      <c r="H7" s="4" t="n">
        <f aca="false">Assumptions!H42</f>
        <v>32</v>
      </c>
      <c r="I7" s="4" t="n">
        <f aca="false">Assumptions!I42</f>
        <v>32</v>
      </c>
      <c r="J7" s="4" t="n">
        <f aca="false">Assumptions!J42</f>
        <v>32</v>
      </c>
      <c r="K7" s="4" t="n">
        <f aca="false">Assumptions!K42</f>
        <v>32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506.7810944</v>
      </c>
      <c r="D8" s="0" t="n">
        <f aca="false">D6*D7/100</f>
        <v>545.875635968</v>
      </c>
      <c r="E8" s="0" t="n">
        <f aca="false">E6*E7/100</f>
        <v>587.2868911104</v>
      </c>
      <c r="F8" s="0" t="n">
        <f aca="false">F6*F7/100</f>
        <v>631.137645646643</v>
      </c>
      <c r="G8" s="0" t="n">
        <f aca="false">G6*G7/100</f>
        <v>663.763390070796</v>
      </c>
      <c r="H8" s="0" t="n">
        <f aca="false">H6*H7/100</f>
        <v>694.528296404237</v>
      </c>
      <c r="I8" s="0" t="n">
        <f aca="false">I6*I7/100</f>
        <v>715.364145296364</v>
      </c>
      <c r="J8" s="0" t="n">
        <f aca="false">J6*J7/100</f>
        <v>736.825069655255</v>
      </c>
      <c r="K8" s="0" t="n">
        <f aca="false">K6*K7/100</f>
        <v>755.245696396636</v>
      </c>
      <c r="L8" s="0" t="n">
        <f aca="false">L6*L7/100</f>
        <v>774.126838806552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1.2</v>
      </c>
      <c r="D9" s="4" t="n">
        <f aca="false">Assumptions!D43</f>
        <v>1.5</v>
      </c>
      <c r="E9" s="4" t="n">
        <f aca="false">Assumptions!E43</f>
        <v>1.5</v>
      </c>
      <c r="F9" s="4" t="n">
        <f aca="false">Assumptions!F43</f>
        <v>1.5</v>
      </c>
      <c r="G9" s="4" t="n">
        <f aca="false">Assumptions!G43</f>
        <v>1.5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-21.71918976</v>
      </c>
      <c r="D10" s="0" t="n">
        <f aca="false">-D6*D9/100</f>
        <v>-28.234946688</v>
      </c>
      <c r="E10" s="0" t="n">
        <f aca="false">-E6*E9/100</f>
        <v>-29.36434455552</v>
      </c>
      <c r="F10" s="0" t="n">
        <f aca="false">-F6*F9/100</f>
        <v>-30.5389183377408</v>
      </c>
      <c r="G10" s="0" t="n">
        <f aca="false">-G6*G9/100</f>
        <v>-31.6077804795617</v>
      </c>
      <c r="H10" s="0" t="n">
        <f aca="false">-H6*H9/100</f>
        <v>-32.5560138939486</v>
      </c>
      <c r="I10" s="0" t="n">
        <f aca="false">-I6*I9/100</f>
        <v>-33.532694310767</v>
      </c>
      <c r="J10" s="0" t="n">
        <f aca="false">-J6*J9/100</f>
        <v>-34.5386751400901</v>
      </c>
      <c r="K10" s="0" t="n">
        <f aca="false">-K6*K9/100</f>
        <v>-35.4021420185923</v>
      </c>
      <c r="L10" s="0" t="n">
        <f aca="false">-L6*L9/100</f>
        <v>-36.2871955690571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485.06190464</v>
      </c>
      <c r="D11" s="0" t="n">
        <f aca="false">D8+D10+D24</f>
        <v>517.64068928</v>
      </c>
      <c r="E11" s="0" t="n">
        <f aca="false">E8+E10+E24</f>
        <v>557.92254655488</v>
      </c>
      <c r="F11" s="0" t="n">
        <f aca="false">F8+F10+F24</f>
        <v>600.598727308902</v>
      </c>
      <c r="G11" s="0" t="n">
        <f aca="false">G8+G10+G24</f>
        <v>632.155609591235</v>
      </c>
      <c r="H11" s="0" t="n">
        <f aca="false">H8+H10+H24</f>
        <v>661.972282510288</v>
      </c>
      <c r="I11" s="0" t="n">
        <f aca="false">I8+I10+I24</f>
        <v>681.831450985597</v>
      </c>
      <c r="J11" s="0" t="n">
        <f aca="false">J8+J10+J24</f>
        <v>702.286394515165</v>
      </c>
      <c r="K11" s="0" t="n">
        <f aca="false">K8+K10+K24</f>
        <v>719.843554378044</v>
      </c>
      <c r="L11" s="0" t="n">
        <f aca="false">L8+L10+L24</f>
        <v>737.839643237494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-59.72777184</v>
      </c>
      <c r="D12" s="4" t="n">
        <f aca="false">-D6*Assumptions!D45/100</f>
        <v>-62.1168827136</v>
      </c>
      <c r="E12" s="4" t="n">
        <f aca="false">-E6*Assumptions!E45/100</f>
        <v>-64.601558022144</v>
      </c>
      <c r="F12" s="4" t="n">
        <f aca="false">-F6*Assumptions!F45/100</f>
        <v>-67.1856203430298</v>
      </c>
      <c r="G12" s="4" t="n">
        <f aca="false">-G6*Assumptions!G45/100</f>
        <v>-69.5371170550358</v>
      </c>
      <c r="H12" s="4" t="n">
        <f aca="false">-H6*Assumptions!H45/100</f>
        <v>-71.6232305666869</v>
      </c>
      <c r="I12" s="4" t="n">
        <f aca="false">-I6*Assumptions!I45/100</f>
        <v>-73.7719274836875</v>
      </c>
      <c r="J12" s="4" t="n">
        <f aca="false">-J6*Assumptions!J45/100</f>
        <v>-75.9850853081981</v>
      </c>
      <c r="K12" s="4" t="n">
        <f aca="false">-K6*Assumptions!K45/100</f>
        <v>-77.8847124409031</v>
      </c>
      <c r="L12" s="4" t="n">
        <f aca="false">-L6*Assumptions!L45/100</f>
        <v>-79.8318302519256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425.3341328</v>
      </c>
      <c r="D13" s="0" t="n">
        <f aca="false">D11+D12</f>
        <v>455.5238065664</v>
      </c>
      <c r="E13" s="0" t="n">
        <f aca="false">E11+E12</f>
        <v>493.320988532736</v>
      </c>
      <c r="F13" s="0" t="n">
        <f aca="false">F11+F12</f>
        <v>533.413106965873</v>
      </c>
      <c r="G13" s="0" t="n">
        <f aca="false">G11+G12</f>
        <v>562.618492536199</v>
      </c>
      <c r="H13" s="0" t="n">
        <f aca="false">H11+H12</f>
        <v>590.349051943601</v>
      </c>
      <c r="I13" s="0" t="n">
        <f aca="false">I11+I12</f>
        <v>608.059523501909</v>
      </c>
      <c r="J13" s="0" t="n">
        <f aca="false">J11+J12</f>
        <v>626.301309206966</v>
      </c>
      <c r="K13" s="0" t="n">
        <f aca="false">K11+K12</f>
        <v>641.95884193714</v>
      </c>
      <c r="L13" s="0" t="n">
        <f aca="false">L11+L12</f>
        <v>658.007812985569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331.760623584</v>
      </c>
      <c r="D15" s="0" t="n">
        <f aca="false">D13-MAX(0,D13)*D14/100</f>
        <v>350.753331056128</v>
      </c>
      <c r="E15" s="0" t="n">
        <f aca="false">E13-MAX(0,E13)*E14/100</f>
        <v>374.923951284879</v>
      </c>
      <c r="F15" s="0" t="n">
        <f aca="false">F13-MAX(0,F13)*F14/100</f>
        <v>400.059830224405</v>
      </c>
      <c r="G15" s="0" t="n">
        <f aca="false">G13-MAX(0,G13)*G14/100</f>
        <v>421.963869402149</v>
      </c>
      <c r="H15" s="0" t="n">
        <f aca="false">H13-MAX(0,H13)*H14/100</f>
        <v>442.761788957701</v>
      </c>
      <c r="I15" s="0" t="n">
        <f aca="false">I13-MAX(0,I13)*I14/100</f>
        <v>456.044642626432</v>
      </c>
      <c r="J15" s="0" t="n">
        <f aca="false">J13-MAX(0,J13)*J14/100</f>
        <v>469.725981905225</v>
      </c>
      <c r="K15" s="0" t="n">
        <f aca="false">K13-MAX(0,K13)*K14/100</f>
        <v>481.469131452855</v>
      </c>
      <c r="L15" s="0" t="n">
        <f aca="false">L13-MAX(0,L13)*L14/100</f>
        <v>493.505859739177</v>
      </c>
    </row>
    <row r="16" customFormat="false" ht="15" hidden="false" customHeight="false" outlineLevel="0" collapsed="false">
      <c r="A16" s="0" t="s">
        <v>121</v>
      </c>
      <c r="C16" s="0" t="n">
        <f aca="false">-C12</f>
        <v>59.72777184</v>
      </c>
      <c r="D16" s="0" t="n">
        <f aca="false">-D12</f>
        <v>62.1168827136</v>
      </c>
      <c r="E16" s="0" t="n">
        <f aca="false">-E12</f>
        <v>64.601558022144</v>
      </c>
      <c r="F16" s="0" t="n">
        <f aca="false">-F12</f>
        <v>67.1856203430298</v>
      </c>
      <c r="G16" s="0" t="n">
        <f aca="false">-G12</f>
        <v>69.5371170550358</v>
      </c>
      <c r="H16" s="0" t="n">
        <f aca="false">-H12</f>
        <v>71.6232305666869</v>
      </c>
      <c r="I16" s="0" t="n">
        <f aca="false">-I12</f>
        <v>73.7719274836875</v>
      </c>
      <c r="J16" s="0" t="n">
        <f aca="false">-J12</f>
        <v>75.9850853081981</v>
      </c>
      <c r="K16" s="0" t="n">
        <f aca="false">-K12</f>
        <v>77.8847124409031</v>
      </c>
      <c r="L16" s="0" t="n">
        <f aca="false">-L12</f>
        <v>79.8318302519256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-50.67810944</v>
      </c>
      <c r="D17" s="4" t="n">
        <f aca="false">-D6*Assumptions!D46/100</f>
        <v>-52.7052338176</v>
      </c>
      <c r="E17" s="4" t="n">
        <f aca="false">-E6*Assumptions!E46/100</f>
        <v>-54.813443170304</v>
      </c>
      <c r="F17" s="4" t="n">
        <f aca="false">-F6*Assumptions!F46/100</f>
        <v>-57.0059808971162</v>
      </c>
      <c r="G17" s="4" t="n">
        <f aca="false">-G6*Assumptions!G46/100</f>
        <v>-59.0011902285152</v>
      </c>
      <c r="H17" s="4" t="n">
        <f aca="false">-H6*Assumptions!H46/100</f>
        <v>-60.7712259353707</v>
      </c>
      <c r="I17" s="4" t="n">
        <f aca="false">-I6*Assumptions!I46/100</f>
        <v>-62.5943627134318</v>
      </c>
      <c r="J17" s="4" t="n">
        <f aca="false">-J6*Assumptions!J46/100</f>
        <v>-64.4721935948348</v>
      </c>
      <c r="K17" s="4" t="n">
        <f aca="false">-K6*Assumptions!K46/100</f>
        <v>-66.0839984347056</v>
      </c>
      <c r="L17" s="4" t="n">
        <f aca="false">-L6*Assumptions!L46/100</f>
        <v>-67.7360983955733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340.810285984</v>
      </c>
      <c r="D19" s="0" t="n">
        <f aca="false">D15+D16+D17+D18</f>
        <v>360.164979952128</v>
      </c>
      <c r="E19" s="0" t="n">
        <f aca="false">E15+E16+E17+E18</f>
        <v>384.712066136719</v>
      </c>
      <c r="F19" s="0" t="n">
        <f aca="false">F15+F16+F17+F18</f>
        <v>410.239469670318</v>
      </c>
      <c r="G19" s="0" t="n">
        <f aca="false">G15+G16+G17+G18</f>
        <v>432.49979622867</v>
      </c>
      <c r="H19" s="0" t="n">
        <f aca="false">H15+H16+H17+H18</f>
        <v>453.613793589017</v>
      </c>
      <c r="I19" s="0" t="n">
        <f aca="false">I15+I16+I17+I18</f>
        <v>467.222207396687</v>
      </c>
      <c r="J19" s="0" t="n">
        <f aca="false">J15+J16+J17+J18</f>
        <v>481.238873618588</v>
      </c>
      <c r="K19" s="0" t="n">
        <f aca="false">K15+K16+K17+K18</f>
        <v>493.269845459053</v>
      </c>
      <c r="L19" s="0" t="n">
        <f aca="false">L15+L16+L17+L18</f>
        <v>505.601591595529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305.659449313005</v>
      </c>
      <c r="D21" s="0" t="n">
        <f aca="false">D19*D20</f>
        <v>289.702169721593</v>
      </c>
      <c r="E21" s="0" t="n">
        <f aca="false">E19*E20</f>
        <v>277.530811536082</v>
      </c>
      <c r="F21" s="0" t="n">
        <f aca="false">F19*F20</f>
        <v>265.422644897911</v>
      </c>
      <c r="G21" s="0" t="n">
        <f aca="false">G19*G20</f>
        <v>250.964082344665</v>
      </c>
      <c r="H21" s="0" t="n">
        <f aca="false">H19*H20</f>
        <v>236.067960460932</v>
      </c>
      <c r="I21" s="0" t="n">
        <f aca="false">I19*I20</f>
        <v>218.071748228484</v>
      </c>
      <c r="J21" s="0" t="n">
        <f aca="false">J19*J20</f>
        <v>201.447444551873</v>
      </c>
      <c r="K21" s="0" t="n">
        <f aca="false">K19*K20</f>
        <v>185.187112704637</v>
      </c>
      <c r="L21" s="0" t="n">
        <f aca="false">L19*L20</f>
        <v>170.239274010989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2400.29269777017</v>
      </c>
    </row>
    <row r="31" customFormat="false" ht="15" hidden="false" customHeight="false" outlineLevel="0" collapsed="false">
      <c r="A31" s="0" t="s">
        <v>130</v>
      </c>
      <c r="B31" s="0" t="n">
        <f aca="false">L19</f>
        <v>505.601591595529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5758.24034872686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6067.21909914635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5758.24034872686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1938.83617623626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4339.12887400643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6153.02887400643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196.144053362077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2.9964151051768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174.033695826462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139.150921739445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206.127640567322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4145.93305108334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156.3347249675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112.99776218784</v>
      </c>
      <c r="C4" s="0" t="n">
        <f aca="false">B4/Assumptions!$B$2-1</f>
        <v>1.30231789298777</v>
      </c>
      <c r="D4" s="4" t="n">
        <f aca="false">Assumptions!$B$24</f>
        <v>0.35</v>
      </c>
      <c r="E4" s="4" t="n">
        <f aca="false">DCF_Bear!$B$43</f>
        <v>119.166319846633</v>
      </c>
      <c r="F4" s="4" t="n">
        <f aca="false">DCF_Bear!$B$47</f>
        <v>101.126482402151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152.656894283667</v>
      </c>
      <c r="C5" s="0" t="n">
        <f aca="false">B5/Assumptions!$B$2-1</f>
        <v>2.11036866918637</v>
      </c>
      <c r="D5" s="4" t="n">
        <f aca="false">Assumptions!$B$38</f>
        <v>0.45</v>
      </c>
      <c r="E5" s="4" t="n">
        <f aca="false">DCF_Base!$B$43</f>
        <v>160.714357375402</v>
      </c>
      <c r="F5" s="4" t="n">
        <f aca="false">DCF_Base!$B$47</f>
        <v>127.885793422516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196.144053362077</v>
      </c>
      <c r="C6" s="0" t="n">
        <f aca="false">B6/Assumptions!$B$2-1</f>
        <v>2.9964151051768</v>
      </c>
      <c r="D6" s="4" t="n">
        <f aca="false">Assumptions!$B$52</f>
        <v>0.2</v>
      </c>
      <c r="E6" s="4" t="n">
        <f aca="false">DCF_Bull!$B$43</f>
        <v>206.127640567322</v>
      </c>
      <c r="F6" s="4" t="n">
        <f aca="false">DCF_Bull!$B$47</f>
        <v>156.3347249675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147.47362986581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155.255200878717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0.667194738173467</v>
      </c>
    </row>
    <row r="11" customFormat="false" ht="15" hidden="false" customHeight="false" outlineLevel="0" collapsed="false">
      <c r="A11" s="0" t="s">
        <v>157</v>
      </c>
      <c r="B11" s="0" t="n">
        <f aca="false">IF(ABS(B9-B8)&gt;0.01*ABS(B8),(Assumptions!$B$2-B8)/(B9-B8)*100,"n/a")</f>
        <v>-1264.44428384194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124.209820874385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174.153667618538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166.862996037661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157.755957361343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152.656894283667</v>
      </c>
      <c r="C18" s="3" t="n">
        <v>11.5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148.064782352714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127.885793422516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169.936595463015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170.427759969274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170.427759969274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170.427759969274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170.427759969274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158.234774976885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160.698149696149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163.451333205915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163.451333205915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163.451333205915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148.762854520911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150.61252340822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152.656894283667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154.928417478608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157.057333836198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140.938845325913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142.355597440361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143.907278327613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145.61412730359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147.500644592828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134.367026381856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135.470350430003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136.669615699727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137.977905084881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139.410793459097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2026-10-23T20:23:55Z</dcterms:created>
  <dc:creator>openpyxl</dc:creator>
  <dc:description/>
  <dc:language>en-NZ</dc:language>
  <cp:lastModifiedBy/>
  <dcterms:modified xsi:type="dcterms:W3CDTF">2026-10-23T20:23:55Z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