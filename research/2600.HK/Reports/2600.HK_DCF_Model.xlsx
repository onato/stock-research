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<sst xmlns="http://schemas.openxmlformats.org/spreadsheetml/2006/main" count="355" uniqueCount="165">
  <si>
    <t xml:space="preserve">Ticker</t>
  </si>
  <si>
    <t xml:space="preserve">2600.HK</t>
  </si>
  <si>
    <t xml:space="preserve">Company</t>
  </si>
  <si>
    <t xml:space="preserve">Aluminum Corporation of China Limited (Chalco)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</si>
  <si>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</si>
  <si>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</si>
  <si>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</si>
  <si>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</si>
  <si>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</si>
  <si>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</si>
  <si>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</si>
  <si>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</si>
  <si>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</si>
  <si>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</si>
  <si>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</si>
  <si>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</si>
  <si>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</si>
  <si>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</si>
  <si>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</si>
  <si>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</si>
  <si>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</si>
  <si>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</si>
  <si>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2026-10-18T08:14:28Z</t>
  </si>
  <si>
    <t xml:space="preserve">Drivers file</t>
  </si>
  <si>
    <t xml:space="preserve">2600.HK_Drivers.json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</si>
  <si>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</si>
  <si>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</si>
  <si>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</si>
  <si>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no-moat, state-controlled aluminium producer whose earnings are the alumina-aluminium spread. The valuation refuses to capitalise FY2026's peak: margins fade to a 13% mid-cycle within three years, the terminal multiple is capped at 12x attributable owner FCF, and 40-45% of group profit is leaked to minorities before anything reaches H-shareholders. Value here is a function of where you think mid-cycle aluminium settles, not of growth. A 15% hurdle on an 8% CNY discount rate demands a deep discount to intrinsic value; expect the entry price to sit well below IV.
key_risks_to_valuation: Mid-cycle margin is the dominant assumption: each 1pp of mid-cycle EBITDA margin is roughly RMB2.4bn of EBITDA, ~RMB1.2bn of attributable owner FCF and ~RMB0.8/share (HK$1) of value at the 12x cap; NCI leakage is approximated by a single combined rate; if minorities take 45% rather than 40% of mid-cycle profit, attributable value falls ~8%; Chinese capacity discipline: output already runs above the nominal 45Mt cap; a 48Mt+ outcome is the bear case and shifts weight from base to bear; Alumina oversupply and Guinea policy (81% of China's bauxite imports) can keep the alumina segment loss-making for years, which the 13% mid-cycle only partly reflects; Capital allocation: ~US$1bn Guinea refinery plus the CBA acquisition (not modelled) are overseas bets by an SOE with a governance record of policy-first decisions and frequent management rotation; A/H and FX: the HKD value depends on CNY/HKD 1.1724; the 42% A/H premium means the H-share can re-rate on flows (HSI re-admission June 2026) independently of fundamentals; Dividend policy: a ~40% payout of peak earnings (RMB0.276 interim) will fall with earnings; the market may be anchoring on the peak yield</t>
  </si>
  <si>
    <t xml:space="preserve">Data sources</t>
  </si>
  <si>
    <t xml:space="preserve">price: Yahoo Finance chart API at inputs.price_as_of (HKEX regular close); 52-week range HK$7.09-15.55; FX from Yahoo CNYHKD=X same date; A-share parity from Yahoo 601600.SS
financials: 2600.HK_Metrics.csv (FY2018-FY2025 annual, interims to H1 FY2026, CNY millions, from the HKEX annual and interim reports); H1 FY2026 interim report for the 30 June 2026 balance sheet (note 12 borrowings incl. leases, NCI, cash, restricted cash), segment note 4(b) (segment profit, D&amp;A incl. ROU, associates/JVs) and the share-capital table; FY2025 annual report for segment results, impairments, lease payments, other equity instruments
qualitative: 2600.HK_Analysis.json (2026-10-18): segment dynamics, capacity cap, Guinea/CBA projects, sell-side split (Goldman Sell vs BofA/Citi/MS Buy), governance</t>
  </si>
  <si>
    <t xml:space="preserve">Scenario narrative: bear</t>
  </si>
  <si>
    <t xml:space="preserve">The Goldman view: Chinese smelting capacity creeps past 48Mt, the SHFE aluminium-alumina spread halves by FY2027 and recurring profit roughly halves with it; alumina stays loss-making on chronic oversupply; property demand keeps falling; a Guinean export quota lifts bauxite costs; the Guinea refinery and CBA consume RMB10bn+ of capital at sub-WACC returns. Mid-cycle EBITDA margin 10%, revenue 15% below FY2026, capex committed and not flexing down.</t>
  </si>
  <si>
    <t xml:space="preserve">Scenario narrative: base</t>
  </si>
  <si>
    <t xml:space="preserve">Chalco is valued as a price-taking commodity cyclical at a visible earnings peak. FY2026 earns a record (H1 attributable profit RMB11.9bn, +68%) on aluminium prices up 20-32% YoY while the wholly-owned alumina segment has already swung to a loss. The base case takes FY2026 at its run-rate, then fades the EBITDA margin over FY2027-28 to a 13% mid-cycle level as aluminium mean-reverts and Chinese capacity creep narrows the smelting spread, with the capacity cap, the lean-operation cost base and captive power keeping mid-cycle well above the FY2018-20 trough (8%). Revenue dips 9% peak-to-trough then grows 2-2.5% on Guinea/CBA volumes. The terminal value capitalises mid-cycle attributable owner FCF at 12x, roughly the stock's own current mid-cycle P/E, so no re-rating is assumed. The axes are the aluminium price, the alumina-aluminium spread, Chinese capacity discipline, and how much of the upside leaks to Yunnan Aluminium's minorities.</t>
  </si>
  <si>
    <t xml:space="preserve">Scenario narrative: bull</t>
  </si>
  <si>
    <t xml:space="preserve">Aluminium stays structurally tight: the 45Mt cap holds, Middle East supply disruptions persist, EV/grid/data-centre demand absorbs the property drag, and the Guinea bauxite quota tightens alumina supply enough to lift the alumina segment back to a modest profit. Mid-cycle EBITDA margin settles at 16% (the FY2024-25 level), CBA and the Guinea refinery add volume from FY2029. NCI leakage is higher because the upside is in smelting, where Yunnan Aluminium's minorities sit.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</si>
  <si>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</si>
  <si>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</si>
  <si>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</si>
  <si>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</si>
  <si>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</si>
  <si>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</si>
  <si>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</si>
  <si>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</si>
  <si>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</si>
  <si>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</si>
  <si>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</si>
  <si>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</si>
  <si>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</si>
  <si>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</si>
  <si>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</si>
  <si>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</si>
  <si>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</si>
  <si>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</si>
  <si>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</si>
  <si>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</si>
  <si>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</si>
  <si>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</si>
  <si>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</si>
  <si>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</si>
  <si>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</si>
  <si>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</si>
  <si>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</si>
  <si>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DividendsPaidToNCI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</si>
  <si>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</si>
  <si>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</si>
  <si>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</si>
  <si>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</si>
  <si>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</si>
  <si>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</si>
  <si>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</si>
  <si>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</si>
  <si>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</si>
  <si>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</si>
  <si>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</si>
  <si>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</si>
  <si>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</si>
  <si>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</si>
  <si>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</si>
  <si>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</si>
  <si>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</si>
  <si>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</si>
  <si>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</si>
  <si>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</si>
  <si>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</si>
  <si>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</si>
  <si>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</si>
  <si>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</si>
  <si>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</si>
  <si>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</si>
  <si>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</si>
  <si>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</si>
  <si>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</si>
  <si>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</si>
  <si>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</si>
  <si>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</si>
  <si>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</si>
  <si>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</si>
  <si>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</si>
  <si>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</si>
  <si>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</si>
  <si>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</si>
  <si>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</si>
  <si>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</si>
  <si>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</si>
  <si>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</si>
  <si>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</si>
  <si>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</si>
  <si>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</si>
  <si>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2600.HK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</si>
  <si>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</si>
  <si>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</si>
  <si>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</si>
  <si>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</si>
  <si>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</si>
  <si>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</si>
  <si>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</si>
  <si>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</si>
  <si>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</si>
  <si>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</si>
  <si>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</si>
  <si>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</si>
  <si>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</si>
  <si>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</si>
  <si>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</si>
  <si>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</si>
  <si>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</si>
  <si>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</si>
  <si>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</si>
  <si>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</si>
  <si>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</si>
  <si>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</si>
  <si>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</si>
  <si>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</si>
  <si>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</si>
  <si>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</si>
  <si>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</si>
  <si>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</si>
  <si>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</si>
  <si>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</si>
  <si>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2600.HK owner-FCF component DCF: base case (millions, CNY)</t>
  </si>
  <si>
    <t xml:space="preserve">2600.HK owner-FCF component DCF: bull case (millions, CNY)</t>
  </si>
  <si>
    <t xml:space="preserve">2600.HK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</si>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</sst>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7.27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180241.414</v>
      </c>
      <c r="C2" s="0" t="n">
        <v>167029.416</v>
      </c>
      <c r="D2" s="0" t="n">
        <v>13211.998</v>
      </c>
      <c r="E2" s="0" t="n">
        <v>7.3</v>
      </c>
      <c r="F2" s="0" t="n">
        <v>6814.893</v>
      </c>
      <c r="G2" s="0" t="n">
        <v>3.8</v>
      </c>
      <c r="H2" s="0" t="n">
        <v>14870.645</v>
      </c>
      <c r="I2" s="0" t="n">
        <v>707.46</v>
      </c>
      <c r="J2" s="0" t="n">
        <v>0.4</v>
      </c>
      <c r="K2" s="0" t="n">
        <v>0.034</v>
      </c>
      <c r="L2" s="0" t="n">
        <v>13032.076</v>
      </c>
      <c r="M2" s="0" t="n">
        <v>6849.92</v>
      </c>
      <c r="N2" s="0" t="n">
        <v>6182.156</v>
      </c>
      <c r="O2" s="0" t="n">
        <v>52415.307</v>
      </c>
      <c r="P2" s="0" t="n">
        <v>200964.751</v>
      </c>
      <c r="Q2" s="0" t="n">
        <v>133295.132</v>
      </c>
      <c r="R2" s="0" t="n">
        <v>101772.876</v>
      </c>
      <c r="S2" s="0" t="n">
        <v>19130.835</v>
      </c>
      <c r="T2" s="0" t="n">
        <v>14903.798</v>
      </c>
      <c r="U2" s="0" t="n">
        <v>0</v>
      </c>
      <c r="AA2" s="0" t="s">
        <v>18</v>
      </c>
      <c r="AB2" s="0" t="s">
        <v>14</v>
      </c>
      <c r="AC2" s="0" t="n">
        <v>327.645</v>
      </c>
    </row>
    <row r="3" customFormat="false" ht="15" hidden="false" customHeight="false" outlineLevel="0" collapsed="false">
      <c r="A3" s="0" t="s">
        <v>66</v>
      </c>
      <c r="B3" s="0" t="n">
        <v>190074.161</v>
      </c>
      <c r="C3" s="0" t="n">
        <v>177946.276</v>
      </c>
      <c r="D3" s="0" t="n">
        <v>12127.885</v>
      </c>
      <c r="E3" s="0" t="n">
        <v>6.4</v>
      </c>
      <c r="F3" s="0" t="n">
        <v>6454.947</v>
      </c>
      <c r="G3" s="0" t="n">
        <v>3.4</v>
      </c>
      <c r="H3" s="0" t="n">
        <v>15245.19</v>
      </c>
      <c r="I3" s="0" t="n">
        <v>850.999</v>
      </c>
      <c r="J3" s="0" t="n">
        <v>0.4</v>
      </c>
      <c r="K3" s="0" t="n">
        <v>0.037</v>
      </c>
      <c r="L3" s="0" t="n">
        <v>12473.489</v>
      </c>
      <c r="M3" s="0" t="n">
        <v>9041.285</v>
      </c>
      <c r="N3" s="0" t="n">
        <v>3432.204</v>
      </c>
      <c r="O3" s="0" t="n">
        <v>54659.633</v>
      </c>
      <c r="P3" s="0" t="n">
        <v>203070.664</v>
      </c>
      <c r="Q3" s="0" t="n">
        <v>132345.604</v>
      </c>
      <c r="R3" s="0" t="n">
        <v>101530.167</v>
      </c>
      <c r="S3" s="0" t="n">
        <v>7759.19</v>
      </c>
      <c r="T3" s="0" t="n">
        <v>17022.673</v>
      </c>
      <c r="U3" s="0" t="n">
        <v>0</v>
      </c>
      <c r="AA3" s="0" t="s">
        <v>18</v>
      </c>
      <c r="AB3" s="0" t="s">
        <v>14</v>
      </c>
      <c r="AC3" s="0" t="n">
        <v>222.93</v>
      </c>
    </row>
    <row r="4" customFormat="false" ht="15" hidden="false" customHeight="false" outlineLevel="0" collapsed="false">
      <c r="A4" s="0" t="s">
        <v>67</v>
      </c>
      <c r="B4" s="0" t="n">
        <v>185990.577</v>
      </c>
      <c r="C4" s="0" t="n">
        <v>173674.234</v>
      </c>
      <c r="D4" s="0" t="n">
        <v>12316.343</v>
      </c>
      <c r="E4" s="0" t="n">
        <v>6.6</v>
      </c>
      <c r="F4" s="0" t="n">
        <v>6056.359</v>
      </c>
      <c r="G4" s="0" t="n">
        <v>3.3</v>
      </c>
      <c r="H4" s="0" t="n">
        <v>14744.02</v>
      </c>
      <c r="I4" s="0" t="n">
        <v>764.306</v>
      </c>
      <c r="J4" s="0" t="n">
        <v>0.4</v>
      </c>
      <c r="K4" s="0" t="n">
        <v>0.03</v>
      </c>
      <c r="L4" s="0" t="n">
        <v>14907.468</v>
      </c>
      <c r="M4" s="0" t="n">
        <v>5038.896</v>
      </c>
      <c r="N4" s="0" t="n">
        <v>9868.572</v>
      </c>
      <c r="O4" s="0" t="n">
        <v>54449.317</v>
      </c>
      <c r="P4" s="0" t="n">
        <v>195040.911</v>
      </c>
      <c r="Q4" s="0" t="n">
        <v>123735.747</v>
      </c>
      <c r="R4" s="0" t="n">
        <v>92225.38</v>
      </c>
      <c r="S4" s="0" t="n">
        <v>9671.477</v>
      </c>
      <c r="T4" s="0" t="n">
        <v>17022.673</v>
      </c>
      <c r="U4" s="0" t="n">
        <v>0</v>
      </c>
      <c r="AA4" s="0" t="s">
        <v>18</v>
      </c>
      <c r="AB4" s="0" t="s">
        <v>14</v>
      </c>
      <c r="AC4" s="0" t="n">
        <v>356.34</v>
      </c>
    </row>
    <row r="5" customFormat="false" ht="15" hidden="false" customHeight="false" outlineLevel="0" collapsed="false">
      <c r="A5" s="0" t="s">
        <v>68</v>
      </c>
      <c r="B5" s="0" t="n">
        <v>269748.232</v>
      </c>
      <c r="C5" s="0" t="n">
        <v>243269.91</v>
      </c>
      <c r="D5" s="0" t="n">
        <v>26478.322</v>
      </c>
      <c r="E5" s="0" t="n">
        <v>9.8</v>
      </c>
      <c r="F5" s="0" t="n">
        <v>13408.861</v>
      </c>
      <c r="G5" s="0" t="n">
        <v>5</v>
      </c>
      <c r="H5" s="0" t="n">
        <v>22123.243</v>
      </c>
      <c r="I5" s="0" t="n">
        <v>5079.562</v>
      </c>
      <c r="J5" s="0" t="n">
        <v>1.9</v>
      </c>
      <c r="K5" s="0" t="n">
        <v>0.286</v>
      </c>
      <c r="L5" s="0" t="n">
        <v>28230.385</v>
      </c>
      <c r="M5" s="0" t="n">
        <v>2133.008</v>
      </c>
      <c r="N5" s="0" t="n">
        <v>26097.377</v>
      </c>
      <c r="O5" s="0" t="n">
        <v>57264.687</v>
      </c>
      <c r="P5" s="0" t="n">
        <v>192376.897</v>
      </c>
      <c r="Q5" s="0" t="n">
        <v>119593.4</v>
      </c>
      <c r="R5" s="0" t="n">
        <v>88601.971</v>
      </c>
      <c r="S5" s="0" t="n">
        <v>17853.244</v>
      </c>
      <c r="T5" s="0" t="n">
        <v>17022.673</v>
      </c>
      <c r="U5" s="0" t="n">
        <v>0</v>
      </c>
      <c r="AA5" s="0" t="s">
        <v>18</v>
      </c>
      <c r="AB5" s="0" t="s">
        <v>14</v>
      </c>
      <c r="AC5" s="0" t="n">
        <v>460.744</v>
      </c>
    </row>
    <row r="6" customFormat="false" ht="15" hidden="false" customHeight="false" outlineLevel="0" collapsed="false">
      <c r="A6" s="0" t="s">
        <v>69</v>
      </c>
      <c r="B6" s="0" t="n">
        <v>290987.942</v>
      </c>
      <c r="C6" s="0" t="n">
        <v>259704.084</v>
      </c>
      <c r="D6" s="0" t="n">
        <v>31283.858</v>
      </c>
      <c r="E6" s="0" t="n">
        <v>10.8</v>
      </c>
      <c r="F6" s="0" t="n">
        <v>16393.153</v>
      </c>
      <c r="G6" s="0" t="n">
        <v>5.6</v>
      </c>
      <c r="H6" s="0" t="n">
        <v>27366.972</v>
      </c>
      <c r="I6" s="0" t="n">
        <v>4192.068</v>
      </c>
      <c r="J6" s="0" t="n">
        <v>1.4</v>
      </c>
      <c r="K6" s="0" t="n">
        <v>0.239</v>
      </c>
      <c r="L6" s="0" t="n">
        <v>27745.178</v>
      </c>
      <c r="M6" s="0" t="n">
        <v>4613.667</v>
      </c>
      <c r="N6" s="0" t="n">
        <v>23131.511</v>
      </c>
      <c r="O6" s="0" t="n">
        <v>54401.529</v>
      </c>
      <c r="P6" s="0" t="n">
        <v>212347.896</v>
      </c>
      <c r="Q6" s="0" t="n">
        <v>124593.412</v>
      </c>
      <c r="R6" s="0" t="n">
        <v>86456.118</v>
      </c>
      <c r="S6" s="0" t="n">
        <v>16816.684</v>
      </c>
      <c r="T6" s="0" t="n">
        <v>17161.592</v>
      </c>
      <c r="U6" s="0" t="n">
        <v>48.258</v>
      </c>
      <c r="AA6" s="0" t="s">
        <v>18</v>
      </c>
      <c r="AB6" s="0" t="s">
        <v>14</v>
      </c>
      <c r="AC6" s="0" t="n">
        <v>2513.038</v>
      </c>
    </row>
    <row r="7" customFormat="false" ht="15" hidden="false" customHeight="false" outlineLevel="0" collapsed="false">
      <c r="A7" s="0" t="s">
        <v>70</v>
      </c>
      <c r="B7" s="0" t="n">
        <v>225070.88</v>
      </c>
      <c r="C7" s="0" t="n">
        <v>197500.586</v>
      </c>
      <c r="D7" s="0" t="n">
        <v>27570.294</v>
      </c>
      <c r="E7" s="0" t="n">
        <v>12.2</v>
      </c>
      <c r="F7" s="0" t="n">
        <v>17643.279</v>
      </c>
      <c r="G7" s="0" t="n">
        <v>7.8</v>
      </c>
      <c r="H7" s="0" t="n">
        <v>28699.75</v>
      </c>
      <c r="I7" s="0" t="n">
        <v>6716.945</v>
      </c>
      <c r="J7" s="0" t="n">
        <v>3</v>
      </c>
      <c r="K7" s="0" t="n">
        <v>0.39</v>
      </c>
      <c r="L7" s="0" t="n">
        <v>26858.806</v>
      </c>
      <c r="M7" s="0" t="n">
        <v>6688.281</v>
      </c>
      <c r="N7" s="0" t="n">
        <v>20170.525</v>
      </c>
      <c r="O7" s="0" t="n">
        <v>60457.735</v>
      </c>
      <c r="P7" s="0" t="n">
        <v>211755.809</v>
      </c>
      <c r="Q7" s="0" t="n">
        <v>112866.67</v>
      </c>
      <c r="R7" s="0" t="n">
        <v>77650.069</v>
      </c>
      <c r="S7" s="0" t="n">
        <v>19039.535</v>
      </c>
      <c r="T7" s="0" t="n">
        <v>17161.592</v>
      </c>
      <c r="U7" s="0" t="n">
        <v>91.111</v>
      </c>
      <c r="AA7" s="0" t="s">
        <v>18</v>
      </c>
      <c r="AB7" s="0" t="s">
        <v>14</v>
      </c>
      <c r="AC7" s="0" t="n">
        <v>2116.452</v>
      </c>
    </row>
    <row r="8" customFormat="false" ht="15" hidden="false" customHeight="false" outlineLevel="0" collapsed="false">
      <c r="A8" s="0" t="s">
        <v>71</v>
      </c>
      <c r="B8" s="0" t="n">
        <v>237109.21</v>
      </c>
      <c r="C8" s="0" t="n">
        <v>201582.885</v>
      </c>
      <c r="D8" s="0" t="n">
        <v>35526.325</v>
      </c>
      <c r="E8" s="0" t="n">
        <v>15</v>
      </c>
      <c r="F8" s="0" t="n">
        <v>24074.7</v>
      </c>
      <c r="G8" s="0" t="n">
        <v>10.2</v>
      </c>
      <c r="H8" s="0" t="n">
        <v>36244.133</v>
      </c>
      <c r="I8" s="0" t="n">
        <v>12394.5</v>
      </c>
      <c r="J8" s="0" t="n">
        <v>5.2</v>
      </c>
      <c r="K8" s="0" t="n">
        <v>0.722</v>
      </c>
      <c r="L8" s="0" t="n">
        <v>32560.056</v>
      </c>
      <c r="M8" s="0" t="n">
        <v>10121.019</v>
      </c>
      <c r="N8" s="0" t="n">
        <v>22439.037</v>
      </c>
      <c r="O8" s="0" t="n">
        <v>69204.311</v>
      </c>
      <c r="P8" s="0" t="n">
        <v>215941.501</v>
      </c>
      <c r="Q8" s="0" t="n">
        <v>103887.142</v>
      </c>
      <c r="R8" s="0" t="n">
        <v>64526.632</v>
      </c>
      <c r="S8" s="0" t="n">
        <v>20748.688</v>
      </c>
      <c r="T8" s="0" t="n">
        <v>17156.499</v>
      </c>
      <c r="U8" s="0" t="n">
        <v>66.822</v>
      </c>
      <c r="AA8" s="0" t="s">
        <v>18</v>
      </c>
      <c r="AB8" s="0" t="s">
        <v>14</v>
      </c>
      <c r="AC8" s="0" t="n">
        <v>3333.41</v>
      </c>
    </row>
    <row r="9" customFormat="false" ht="15" hidden="false" customHeight="false" outlineLevel="0" collapsed="false">
      <c r="A9" s="0" t="s">
        <v>72</v>
      </c>
      <c r="B9" s="0" t="n">
        <v>241125.217</v>
      </c>
      <c r="C9" s="0" t="n">
        <v>199671.213</v>
      </c>
      <c r="D9" s="0" t="n">
        <v>41454.004</v>
      </c>
      <c r="E9" s="0" t="n">
        <v>17.2</v>
      </c>
      <c r="F9" s="0" t="n">
        <v>27478.229</v>
      </c>
      <c r="G9" s="0" t="n">
        <v>11.4</v>
      </c>
      <c r="H9" s="0" t="n">
        <v>38713.985</v>
      </c>
      <c r="I9" s="0" t="n">
        <v>12673.918</v>
      </c>
      <c r="J9" s="0" t="n">
        <v>5.3</v>
      </c>
      <c r="K9" s="0" t="n">
        <v>0.739</v>
      </c>
      <c r="L9" s="0" t="n">
        <v>33843.18</v>
      </c>
      <c r="M9" s="0" t="n">
        <v>9238.153</v>
      </c>
      <c r="N9" s="0" t="n">
        <v>24605.027</v>
      </c>
      <c r="O9" s="0" t="n">
        <v>74924.822</v>
      </c>
      <c r="P9" s="0" t="n">
        <v>227021.733</v>
      </c>
      <c r="Q9" s="0" t="n">
        <v>104450.072</v>
      </c>
      <c r="R9" s="0" t="n">
        <v>63493.276</v>
      </c>
      <c r="S9" s="0" t="n">
        <v>27993.005</v>
      </c>
      <c r="T9" s="0" t="n">
        <v>17155.632</v>
      </c>
      <c r="U9" s="0" t="n">
        <v>46.675</v>
      </c>
      <c r="AA9" s="0" t="s">
        <v>18</v>
      </c>
      <c r="AB9" s="0" t="s">
        <v>14</v>
      </c>
      <c r="AC9" s="0" t="n">
        <v>3834.108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7.27</v>
      </c>
    </row>
    <row r="3" customFormat="false" ht="15" hidden="false" customHeight="false" outlineLevel="0" collapsed="false">
      <c r="A3" s="0" t="s">
        <v>76</v>
      </c>
      <c r="B3" s="3" t="n">
        <v>17154.97</v>
      </c>
    </row>
    <row r="4" customFormat="false" ht="15" hidden="false" customHeight="false" outlineLevel="0" collapsed="false">
      <c r="A4" s="0" t="s">
        <v>77</v>
      </c>
      <c r="B4" s="3" t="n">
        <v>16706.9</v>
      </c>
    </row>
    <row r="5" customFormat="false" ht="15" hidden="false" customHeight="false" outlineLevel="0" collapsed="false">
      <c r="A5" s="0" t="s">
        <v>78</v>
      </c>
      <c r="B5" s="3" t="n">
        <v>7166.8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241125.2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1.1724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6</v>
      </c>
      <c r="D13" s="3" t="n">
        <v>-12</v>
      </c>
      <c r="E13" s="3" t="n">
        <v>-5</v>
      </c>
      <c r="F13" s="3" t="n">
        <v>0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97</v>
      </c>
      <c r="C14" s="3" t="n">
        <v>21</v>
      </c>
      <c r="D14" s="3" t="n">
        <v>12</v>
      </c>
      <c r="E14" s="3" t="n">
        <v>9.5</v>
      </c>
      <c r="F14" s="3" t="n">
        <v>9.5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98</v>
      </c>
      <c r="C15" s="3" t="n">
        <v>0.02</v>
      </c>
      <c r="D15" s="3" t="n">
        <v>0.02</v>
      </c>
      <c r="E15" s="3" t="n">
        <v>0.02</v>
      </c>
      <c r="F15" s="3" t="n">
        <v>0.02</v>
      </c>
      <c r="G15" s="3" t="n">
        <v>0.02</v>
      </c>
      <c r="H15" s="3" t="n">
        <v>0.02</v>
      </c>
      <c r="I15" s="3" t="n">
        <v>0.02</v>
      </c>
      <c r="J15" s="3" t="n">
        <v>0.02</v>
      </c>
      <c r="K15" s="3" t="n">
        <v>0.02</v>
      </c>
      <c r="L15" s="3" t="n">
        <v>0.02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4.5</v>
      </c>
      <c r="D17" s="3" t="n">
        <v>4.8</v>
      </c>
      <c r="E17" s="3" t="n">
        <v>5</v>
      </c>
      <c r="F17" s="3" t="n">
        <v>5</v>
      </c>
      <c r="G17" s="3" t="n">
        <v>4.9</v>
      </c>
      <c r="H17" s="3" t="n">
        <v>4.9</v>
      </c>
      <c r="I17" s="3" t="n">
        <v>4.9</v>
      </c>
      <c r="J17" s="3" t="n">
        <v>4.9</v>
      </c>
      <c r="K17" s="3" t="n">
        <v>4.9</v>
      </c>
      <c r="L17" s="3" t="n">
        <v>4.9</v>
      </c>
    </row>
    <row r="18" customFormat="false" ht="15" hidden="false" customHeight="false" outlineLevel="0" collapsed="false">
      <c r="A18" s="0" t="s">
        <v>101</v>
      </c>
      <c r="C18" s="3" t="n">
        <v>3.6</v>
      </c>
      <c r="D18" s="3" t="n">
        <v>4.8</v>
      </c>
      <c r="E18" s="3" t="n">
        <v>5</v>
      </c>
      <c r="F18" s="3" t="n">
        <v>4.8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102</v>
      </c>
      <c r="C19" s="3" t="n">
        <v>54</v>
      </c>
      <c r="D19" s="3" t="n">
        <v>50</v>
      </c>
      <c r="E19" s="3" t="n">
        <v>48</v>
      </c>
      <c r="F19" s="3" t="n">
        <v>48</v>
      </c>
      <c r="G19" s="3" t="n">
        <v>48</v>
      </c>
      <c r="H19" s="3" t="n">
        <v>48</v>
      </c>
      <c r="I19" s="3" t="n">
        <v>48</v>
      </c>
      <c r="J19" s="3" t="n">
        <v>48</v>
      </c>
      <c r="K19" s="3" t="n">
        <v>48</v>
      </c>
      <c r="L19" s="3" t="n">
        <v>48</v>
      </c>
    </row>
    <row r="20" customFormat="false" ht="15" hidden="false" customHeight="false" outlineLevel="0" collapsed="false">
      <c r="A20" s="0" t="s">
        <v>103</v>
      </c>
      <c r="B20" s="3" t="n">
        <v>8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-5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8</v>
      </c>
      <c r="D27" s="3" t="n">
        <v>-6</v>
      </c>
      <c r="E27" s="3" t="n">
        <v>-3</v>
      </c>
      <c r="F27" s="3" t="n">
        <v>2</v>
      </c>
      <c r="G27" s="3" t="n">
        <v>2.5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22.5</v>
      </c>
      <c r="D28" s="3" t="n">
        <v>16</v>
      </c>
      <c r="E28" s="3" t="n">
        <v>14</v>
      </c>
      <c r="F28" s="3" t="n">
        <v>13</v>
      </c>
      <c r="G28" s="3" t="n">
        <v>13</v>
      </c>
      <c r="H28" s="3" t="n">
        <v>13</v>
      </c>
      <c r="I28" s="3" t="n">
        <v>13</v>
      </c>
      <c r="J28" s="3" t="n">
        <v>13</v>
      </c>
      <c r="K28" s="3" t="n">
        <v>13</v>
      </c>
      <c r="L28" s="3" t="n">
        <v>13</v>
      </c>
    </row>
    <row r="29" customFormat="false" ht="15" hidden="false" customHeight="false" outlineLevel="0" collapsed="false">
      <c r="A29" s="0" t="s">
        <v>98</v>
      </c>
      <c r="C29" s="3" t="n">
        <v>0.02</v>
      </c>
      <c r="D29" s="3" t="n">
        <v>0.02</v>
      </c>
      <c r="E29" s="3" t="n">
        <v>0.02</v>
      </c>
      <c r="F29" s="3" t="n">
        <v>0.02</v>
      </c>
      <c r="G29" s="3" t="n">
        <v>0.02</v>
      </c>
      <c r="H29" s="3" t="n">
        <v>0.02</v>
      </c>
      <c r="I29" s="3" t="n">
        <v>0.02</v>
      </c>
      <c r="J29" s="3" t="n">
        <v>0.02</v>
      </c>
      <c r="K29" s="3" t="n">
        <v>0.02</v>
      </c>
      <c r="L29" s="3" t="n">
        <v>0.02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4.5</v>
      </c>
      <c r="D31" s="3" t="n">
        <v>4.6</v>
      </c>
      <c r="E31" s="3" t="n">
        <v>4.7</v>
      </c>
      <c r="F31" s="3" t="n">
        <v>4.6</v>
      </c>
      <c r="G31" s="3" t="n">
        <v>4.5</v>
      </c>
      <c r="H31" s="3" t="n">
        <v>4.5</v>
      </c>
      <c r="I31" s="3" t="n">
        <v>4.5</v>
      </c>
      <c r="J31" s="3" t="n">
        <v>4.5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101</v>
      </c>
      <c r="C32" s="3" t="n">
        <v>3.6</v>
      </c>
      <c r="D32" s="3" t="n">
        <v>4.6</v>
      </c>
      <c r="E32" s="3" t="n">
        <v>4.8</v>
      </c>
      <c r="F32" s="3" t="n">
        <v>4.6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102</v>
      </c>
      <c r="C33" s="3" t="n">
        <v>54</v>
      </c>
      <c r="D33" s="3" t="n">
        <v>52</v>
      </c>
      <c r="E33" s="3" t="n">
        <v>51</v>
      </c>
      <c r="F33" s="3" t="n">
        <v>51</v>
      </c>
      <c r="G33" s="3" t="n">
        <v>51</v>
      </c>
      <c r="H33" s="3" t="n">
        <v>51</v>
      </c>
      <c r="I33" s="3" t="n">
        <v>51</v>
      </c>
      <c r="J33" s="3" t="n">
        <v>51</v>
      </c>
      <c r="K33" s="3" t="n">
        <v>51</v>
      </c>
      <c r="L33" s="3" t="n">
        <v>51</v>
      </c>
    </row>
    <row r="34" customFormat="false" ht="15" hidden="false" customHeight="false" outlineLevel="0" collapsed="false">
      <c r="A34" s="0" t="s">
        <v>103</v>
      </c>
      <c r="B34" s="3" t="n">
        <v>8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9</v>
      </c>
      <c r="D41" s="3" t="n">
        <v>-2</v>
      </c>
      <c r="E41" s="3" t="n">
        <v>0</v>
      </c>
      <c r="F41" s="3" t="n">
        <v>3</v>
      </c>
      <c r="G41" s="3" t="n">
        <v>3.5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97</v>
      </c>
      <c r="C42" s="3" t="n">
        <v>23.5</v>
      </c>
      <c r="D42" s="3" t="n">
        <v>19</v>
      </c>
      <c r="E42" s="3" t="n">
        <v>17</v>
      </c>
      <c r="F42" s="3" t="n">
        <v>16</v>
      </c>
      <c r="G42" s="3" t="n">
        <v>16</v>
      </c>
      <c r="H42" s="3" t="n">
        <v>16</v>
      </c>
      <c r="I42" s="3" t="n">
        <v>16</v>
      </c>
      <c r="J42" s="3" t="n">
        <v>16</v>
      </c>
      <c r="K42" s="3" t="n">
        <v>16</v>
      </c>
      <c r="L42" s="3" t="n">
        <v>16</v>
      </c>
    </row>
    <row r="43" customFormat="false" ht="15" hidden="false" customHeight="false" outlineLevel="0" collapsed="false">
      <c r="A43" s="0" t="s">
        <v>98</v>
      </c>
      <c r="C43" s="3" t="n">
        <v>0.02</v>
      </c>
      <c r="D43" s="3" t="n">
        <v>0.02</v>
      </c>
      <c r="E43" s="3" t="n">
        <v>0.02</v>
      </c>
      <c r="F43" s="3" t="n">
        <v>0.02</v>
      </c>
      <c r="G43" s="3" t="n">
        <v>0.02</v>
      </c>
      <c r="H43" s="3" t="n">
        <v>0.02</v>
      </c>
      <c r="I43" s="3" t="n">
        <v>0.02</v>
      </c>
      <c r="J43" s="3" t="n">
        <v>0.02</v>
      </c>
      <c r="K43" s="3" t="n">
        <v>0.02</v>
      </c>
      <c r="L43" s="3" t="n">
        <v>0.02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4.5</v>
      </c>
      <c r="D45" s="3" t="n">
        <v>4.5</v>
      </c>
      <c r="E45" s="3" t="n">
        <v>4.6</v>
      </c>
      <c r="F45" s="3" t="n">
        <v>4.5</v>
      </c>
      <c r="G45" s="3" t="n">
        <v>4.4</v>
      </c>
      <c r="H45" s="3" t="n">
        <v>4.4</v>
      </c>
      <c r="I45" s="3" t="n">
        <v>4.4</v>
      </c>
      <c r="J45" s="3" t="n">
        <v>4.4</v>
      </c>
      <c r="K45" s="3" t="n">
        <v>4.4</v>
      </c>
      <c r="L45" s="3" t="n">
        <v>4.4</v>
      </c>
    </row>
    <row r="46" customFormat="false" ht="15" hidden="false" customHeight="false" outlineLevel="0" collapsed="false">
      <c r="A46" s="0" t="s">
        <v>101</v>
      </c>
      <c r="C46" s="3" t="n">
        <v>3.6</v>
      </c>
      <c r="D46" s="3" t="n">
        <v>4.8</v>
      </c>
      <c r="E46" s="3" t="n">
        <v>5</v>
      </c>
      <c r="F46" s="3" t="n">
        <v>4.8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102</v>
      </c>
      <c r="C47" s="3" t="n">
        <v>55</v>
      </c>
      <c r="D47" s="3" t="n">
        <v>54</v>
      </c>
      <c r="E47" s="3" t="n">
        <v>53</v>
      </c>
      <c r="F47" s="3" t="n">
        <v>53</v>
      </c>
      <c r="G47" s="3" t="n">
        <v>53</v>
      </c>
      <c r="H47" s="3" t="n">
        <v>53</v>
      </c>
      <c r="I47" s="3" t="n">
        <v>53</v>
      </c>
      <c r="J47" s="3" t="n">
        <v>53</v>
      </c>
      <c r="K47" s="3" t="n">
        <v>53</v>
      </c>
      <c r="L47" s="3" t="n">
        <v>53</v>
      </c>
    </row>
    <row r="48" customFormat="false" ht="15" hidden="false" customHeight="false" outlineLevel="0" collapsed="false">
      <c r="A48" s="0" t="s">
        <v>103</v>
      </c>
      <c r="B48" s="3" t="n">
        <v>8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-5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6</v>
      </c>
      <c r="D5" s="4" t="n">
        <f aca="false">Assumptions!D13</f>
        <v>-12</v>
      </c>
      <c r="E5" s="4" t="n">
        <f aca="false">Assumptions!E13</f>
        <v>-5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241125.2</v>
      </c>
      <c r="C6" s="0" t="n">
        <f aca="false">B6*(1+C5/100)</f>
        <v>255592.712</v>
      </c>
      <c r="D6" s="0" t="n">
        <f aca="false">C6*(1+D5/100)</f>
        <v>224921.58656</v>
      </c>
      <c r="E6" s="0" t="n">
        <f aca="false">D6*(1+E5/100)</f>
        <v>213675.507232</v>
      </c>
      <c r="F6" s="0" t="n">
        <f aca="false">E6*(1+F5/100)</f>
        <v>213675.507232</v>
      </c>
      <c r="G6" s="0" t="n">
        <f aca="false">F6*(1+G5/100)</f>
        <v>215812.26230432</v>
      </c>
      <c r="H6" s="0" t="n">
        <f aca="false">G6*(1+H5/100)</f>
        <v>219049.446238885</v>
      </c>
      <c r="I6" s="0" t="n">
        <f aca="false">H6*(1+I5/100)</f>
        <v>222335.187932468</v>
      </c>
      <c r="J6" s="0" t="n">
        <f aca="false">I6*(1+J5/100)</f>
        <v>225670.215751455</v>
      </c>
      <c r="K6" s="0" t="n">
        <f aca="false">J6*(1+K5/100)</f>
        <v>229055.268987727</v>
      </c>
      <c r="L6" s="0" t="n">
        <f aca="false">K6*(1+L5/100)</f>
        <v>232491.098022543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21</v>
      </c>
      <c r="D7" s="4" t="n">
        <f aca="false">Assumptions!D14</f>
        <v>12</v>
      </c>
      <c r="E7" s="4" t="n">
        <f aca="false">Assumptions!E14</f>
        <v>9.5</v>
      </c>
      <c r="F7" s="4" t="n">
        <f aca="false">Assumptions!F14</f>
        <v>9.5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53674.46952</v>
      </c>
      <c r="D8" s="0" t="n">
        <f aca="false">D6*D7/100</f>
        <v>26990.5903872</v>
      </c>
      <c r="E8" s="0" t="n">
        <f aca="false">E6*E7/100</f>
        <v>20299.17318704</v>
      </c>
      <c r="F8" s="0" t="n">
        <f aca="false">F6*F7/100</f>
        <v>20299.17318704</v>
      </c>
      <c r="G8" s="0" t="n">
        <f aca="false">G6*G7/100</f>
        <v>21581.226230432</v>
      </c>
      <c r="H8" s="0" t="n">
        <f aca="false">H6*H7/100</f>
        <v>21904.9446238885</v>
      </c>
      <c r="I8" s="0" t="n">
        <f aca="false">I6*I7/100</f>
        <v>22233.5187932468</v>
      </c>
      <c r="J8" s="0" t="n">
        <f aca="false">J6*J7/100</f>
        <v>22567.0215751455</v>
      </c>
      <c r="K8" s="0" t="n">
        <f aca="false">K6*K7/100</f>
        <v>22905.5268987727</v>
      </c>
      <c r="L8" s="0" t="n">
        <f aca="false">L6*L7/100</f>
        <v>23249.1098022543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0.02</v>
      </c>
      <c r="D9" s="4" t="n">
        <f aca="false">Assumptions!D15</f>
        <v>0.02</v>
      </c>
      <c r="E9" s="4" t="n">
        <f aca="false">Assumptions!E15</f>
        <v>0.02</v>
      </c>
      <c r="F9" s="4" t="n">
        <f aca="false">Assumptions!F15</f>
        <v>0.02</v>
      </c>
      <c r="G9" s="4" t="n">
        <f aca="false">Assumptions!G15</f>
        <v>0.02</v>
      </c>
      <c r="H9" s="4" t="n">
        <f aca="false">Assumptions!H15</f>
        <v>0.02</v>
      </c>
      <c r="I9" s="4" t="n">
        <f aca="false">Assumptions!I15</f>
        <v>0.02</v>
      </c>
      <c r="J9" s="4" t="n">
        <f aca="false">Assumptions!J15</f>
        <v>0.02</v>
      </c>
      <c r="K9" s="4" t="n">
        <f aca="false">Assumptions!K15</f>
        <v>0.02</v>
      </c>
      <c r="L9" s="4" t="n">
        <f aca="false">Assumptions!L15</f>
        <v>0.02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-51.1185424</v>
      </c>
      <c r="D10" s="0" t="n">
        <f aca="false">-D6*D9/100</f>
        <v>-44.984317312</v>
      </c>
      <c r="E10" s="0" t="n">
        <f aca="false">-E6*E9/100</f>
        <v>-42.7351014464</v>
      </c>
      <c r="F10" s="0" t="n">
        <f aca="false">-F6*F9/100</f>
        <v>-42.7351014464</v>
      </c>
      <c r="G10" s="0" t="n">
        <f aca="false">-G6*G9/100</f>
        <v>-43.162452460864</v>
      </c>
      <c r="H10" s="0" t="n">
        <f aca="false">-H6*H9/100</f>
        <v>-43.809889247777</v>
      </c>
      <c r="I10" s="0" t="n">
        <f aca="false">-I6*I9/100</f>
        <v>-44.4670375864936</v>
      </c>
      <c r="J10" s="0" t="n">
        <f aca="false">-J6*J9/100</f>
        <v>-45.134043150291</v>
      </c>
      <c r="K10" s="0" t="n">
        <f aca="false">-K6*K9/100</f>
        <v>-45.8110537975454</v>
      </c>
      <c r="L10" s="0" t="n">
        <f aca="false">-L6*L9/100</f>
        <v>-46.4982196045086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53623.3509776</v>
      </c>
      <c r="D11" s="0" t="n">
        <f aca="false">D8+D10+D24</f>
        <v>26945.606069888</v>
      </c>
      <c r="E11" s="0" t="n">
        <f aca="false">E8+E10+E24</f>
        <v>20256.4380855936</v>
      </c>
      <c r="F11" s="0" t="n">
        <f aca="false">F8+F10+F24</f>
        <v>20256.4380855936</v>
      </c>
      <c r="G11" s="0" t="n">
        <f aca="false">G8+G10+G24</f>
        <v>21538.0637779711</v>
      </c>
      <c r="H11" s="0" t="n">
        <f aca="false">H8+H10+H24</f>
        <v>21861.1347346407</v>
      </c>
      <c r="I11" s="0" t="n">
        <f aca="false">I8+I10+I24</f>
        <v>22189.0517556603</v>
      </c>
      <c r="J11" s="0" t="n">
        <f aca="false">J8+J10+J24</f>
        <v>22521.8875319952</v>
      </c>
      <c r="K11" s="0" t="n">
        <f aca="false">K8+K10+K24</f>
        <v>22859.7158449751</v>
      </c>
      <c r="L11" s="0" t="n">
        <f aca="false">L8+L10+L24</f>
        <v>23202.6115826498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-11501.67204</v>
      </c>
      <c r="D12" s="4" t="n">
        <f aca="false">-D6*Assumptions!D17/100</f>
        <v>-10796.23615488</v>
      </c>
      <c r="E12" s="4" t="n">
        <f aca="false">-E6*Assumptions!E17/100</f>
        <v>-10683.7753616</v>
      </c>
      <c r="F12" s="4" t="n">
        <f aca="false">-F6*Assumptions!F17/100</f>
        <v>-10683.7753616</v>
      </c>
      <c r="G12" s="4" t="n">
        <f aca="false">-G6*Assumptions!G17/100</f>
        <v>-10574.8008529117</v>
      </c>
      <c r="H12" s="4" t="n">
        <f aca="false">-H6*Assumptions!H17/100</f>
        <v>-10733.4228657054</v>
      </c>
      <c r="I12" s="4" t="n">
        <f aca="false">-I6*Assumptions!I17/100</f>
        <v>-10894.4242086909</v>
      </c>
      <c r="J12" s="4" t="n">
        <f aca="false">-J6*Assumptions!J17/100</f>
        <v>-11057.8405718213</v>
      </c>
      <c r="K12" s="4" t="n">
        <f aca="false">-K6*Assumptions!K17/100</f>
        <v>-11223.7081803986</v>
      </c>
      <c r="L12" s="4" t="n">
        <f aca="false">-L6*Assumptions!L17/100</f>
        <v>-11392.0638031046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42121.6789376</v>
      </c>
      <c r="D13" s="0" t="n">
        <f aca="false">D11+D12</f>
        <v>16149.369915008</v>
      </c>
      <c r="E13" s="0" t="n">
        <f aca="false">E11+E12</f>
        <v>9572.6627239936</v>
      </c>
      <c r="F13" s="0" t="n">
        <f aca="false">F11+F12</f>
        <v>9572.6627239936</v>
      </c>
      <c r="G13" s="0" t="n">
        <f aca="false">G11+G12</f>
        <v>10963.2629250595</v>
      </c>
      <c r="H13" s="0" t="n">
        <f aca="false">H11+H12</f>
        <v>11127.7118689354</v>
      </c>
      <c r="I13" s="0" t="n">
        <f aca="false">I11+I12</f>
        <v>11294.6275469694</v>
      </c>
      <c r="J13" s="0" t="n">
        <f aca="false">J11+J12</f>
        <v>11464.0469601739</v>
      </c>
      <c r="K13" s="0" t="n">
        <f aca="false">K11+K12</f>
        <v>11636.0076645765</v>
      </c>
      <c r="L13" s="0" t="n">
        <f aca="false">L11+L12</f>
        <v>11810.5477795452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54</v>
      </c>
      <c r="D14" s="4" t="n">
        <f aca="false">Assumptions!D19</f>
        <v>50</v>
      </c>
      <c r="E14" s="4" t="n">
        <f aca="false">Assumptions!E19</f>
        <v>48</v>
      </c>
      <c r="F14" s="4" t="n">
        <f aca="false">Assumptions!F19</f>
        <v>48</v>
      </c>
      <c r="G14" s="4" t="n">
        <f aca="false">Assumptions!G19</f>
        <v>48</v>
      </c>
      <c r="H14" s="4" t="n">
        <f aca="false">Assumptions!H19</f>
        <v>48</v>
      </c>
      <c r="I14" s="4" t="n">
        <f aca="false">Assumptions!I19</f>
        <v>48</v>
      </c>
      <c r="J14" s="4" t="n">
        <f aca="false">Assumptions!J19</f>
        <v>48</v>
      </c>
      <c r="K14" s="4" t="n">
        <f aca="false">Assumptions!K19</f>
        <v>48</v>
      </c>
      <c r="L14" s="4" t="n">
        <f aca="false">Assumptions!L19</f>
        <v>48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19375.972311296</v>
      </c>
      <c r="D15" s="0" t="n">
        <f aca="false">D13-MAX(0,D13)*D14/100</f>
        <v>8074.684957504</v>
      </c>
      <c r="E15" s="0" t="n">
        <f aca="false">E13-MAX(0,E13)*E14/100</f>
        <v>4977.78461647667</v>
      </c>
      <c r="F15" s="0" t="n">
        <f aca="false">F13-MAX(0,F13)*F14/100</f>
        <v>4977.78461647667</v>
      </c>
      <c r="G15" s="0" t="n">
        <f aca="false">G13-MAX(0,G13)*G14/100</f>
        <v>5700.89672103092</v>
      </c>
      <c r="H15" s="0" t="n">
        <f aca="false">H13-MAX(0,H13)*H14/100</f>
        <v>5786.41017184638</v>
      </c>
      <c r="I15" s="0" t="n">
        <f aca="false">I13-MAX(0,I13)*I14/100</f>
        <v>5873.20632442408</v>
      </c>
      <c r="J15" s="0" t="n">
        <f aca="false">J13-MAX(0,J13)*J14/100</f>
        <v>5961.30441929044</v>
      </c>
      <c r="K15" s="0" t="n">
        <f aca="false">K13-MAX(0,K13)*K14/100</f>
        <v>6050.72398557979</v>
      </c>
      <c r="L15" s="0" t="n">
        <f aca="false">L13-MAX(0,L13)*L14/100</f>
        <v>6141.48484536349</v>
      </c>
    </row>
    <row r="16" customFormat="false" ht="15" hidden="false" customHeight="false" outlineLevel="0" collapsed="false">
      <c r="A16" s="0" t="s">
        <v>118</v>
      </c>
      <c r="C16" s="0" t="n">
        <f aca="false">-C12</f>
        <v>11501.67204</v>
      </c>
      <c r="D16" s="0" t="n">
        <f aca="false">-D12</f>
        <v>10796.23615488</v>
      </c>
      <c r="E16" s="0" t="n">
        <f aca="false">-E12</f>
        <v>10683.7753616</v>
      </c>
      <c r="F16" s="0" t="n">
        <f aca="false">-F12</f>
        <v>10683.7753616</v>
      </c>
      <c r="G16" s="0" t="n">
        <f aca="false">-G12</f>
        <v>10574.8008529117</v>
      </c>
      <c r="H16" s="0" t="n">
        <f aca="false">-H12</f>
        <v>10733.4228657054</v>
      </c>
      <c r="I16" s="0" t="n">
        <f aca="false">-I12</f>
        <v>10894.4242086909</v>
      </c>
      <c r="J16" s="0" t="n">
        <f aca="false">-J12</f>
        <v>11057.8405718213</v>
      </c>
      <c r="K16" s="0" t="n">
        <f aca="false">-K12</f>
        <v>11223.7081803986</v>
      </c>
      <c r="L16" s="0" t="n">
        <f aca="false">-L12</f>
        <v>11392.0638031046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-9201.337632</v>
      </c>
      <c r="D17" s="4" t="n">
        <f aca="false">-D6*Assumptions!D18/100</f>
        <v>-10796.23615488</v>
      </c>
      <c r="E17" s="4" t="n">
        <f aca="false">-E6*Assumptions!E18/100</f>
        <v>-10683.7753616</v>
      </c>
      <c r="F17" s="4" t="n">
        <f aca="false">-F6*Assumptions!F18/100</f>
        <v>-10256.424347136</v>
      </c>
      <c r="G17" s="4" t="n">
        <f aca="false">-G6*Assumptions!G18/100</f>
        <v>-9711.5518036944</v>
      </c>
      <c r="H17" s="4" t="n">
        <f aca="false">-H6*Assumptions!H18/100</f>
        <v>-9857.22508074982</v>
      </c>
      <c r="I17" s="4" t="n">
        <f aca="false">-I6*Assumptions!I18/100</f>
        <v>-10005.0834569611</v>
      </c>
      <c r="J17" s="4" t="n">
        <f aca="false">-J6*Assumptions!J18/100</f>
        <v>-10155.1597088155</v>
      </c>
      <c r="K17" s="4" t="n">
        <f aca="false">-K6*Assumptions!K18/100</f>
        <v>-10307.4871044477</v>
      </c>
      <c r="L17" s="4" t="n">
        <f aca="false">-L6*Assumptions!L18/100</f>
        <v>-10462.0994110144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-723.375600000001</v>
      </c>
      <c r="D18" s="4" t="n">
        <f aca="false">(D6-C6)*Assumptions!$B$23/100</f>
        <v>1533.556272</v>
      </c>
      <c r="E18" s="4" t="n">
        <f aca="false">(E6-D6)*Assumptions!$B$23/100</f>
        <v>562.303966400001</v>
      </c>
      <c r="F18" s="4" t="n">
        <f aca="false">(F6-E6)*Assumptions!$B$23/100</f>
        <v>-0</v>
      </c>
      <c r="G18" s="4" t="n">
        <f aca="false">(G6-F6)*Assumptions!$B$23/100</f>
        <v>-106.837753616</v>
      </c>
      <c r="H18" s="4" t="n">
        <f aca="false">(H6-G6)*Assumptions!$B$23/100</f>
        <v>-161.859196728239</v>
      </c>
      <c r="I18" s="4" t="n">
        <f aca="false">(I6-H6)*Assumptions!$B$23/100</f>
        <v>-164.287084679163</v>
      </c>
      <c r="J18" s="4" t="n">
        <f aca="false">(J6-I6)*Assumptions!$B$23/100</f>
        <v>-166.75139094935</v>
      </c>
      <c r="K18" s="4" t="n">
        <f aca="false">(K6-J6)*Assumptions!$B$23/100</f>
        <v>-169.25266181359</v>
      </c>
      <c r="L18" s="4" t="n">
        <f aca="false">(L6-K6)*Assumptions!$B$23/100</f>
        <v>-171.791451740795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20952.931119296</v>
      </c>
      <c r="D19" s="0" t="n">
        <f aca="false">D15+D16+D17+D18</f>
        <v>9608.241229504</v>
      </c>
      <c r="E19" s="0" t="n">
        <f aca="false">E15+E16+E17+E18</f>
        <v>5540.08858287667</v>
      </c>
      <c r="F19" s="0" t="n">
        <f aca="false">F15+F16+F17+F18</f>
        <v>5405.13563094067</v>
      </c>
      <c r="G19" s="0" t="n">
        <f aca="false">G15+G16+G17+G18</f>
        <v>6457.3080166322</v>
      </c>
      <c r="H19" s="0" t="n">
        <f aca="false">H15+H16+H17+H18</f>
        <v>6500.74876007369</v>
      </c>
      <c r="I19" s="0" t="n">
        <f aca="false">I15+I16+I17+I18</f>
        <v>6598.25999147479</v>
      </c>
      <c r="J19" s="0" t="n">
        <f aca="false">J15+J16+J17+J18</f>
        <v>6697.23389134691</v>
      </c>
      <c r="K19" s="0" t="n">
        <f aca="false">K15+K16+K17+K18</f>
        <v>6797.69239971711</v>
      </c>
      <c r="L19" s="0" t="n">
        <f aca="false">L15+L16+L17+L18</f>
        <v>6899.65778571287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19400.8621474963</v>
      </c>
      <c r="D21" s="0" t="n">
        <f aca="false">D19*D20</f>
        <v>8237.51820087792</v>
      </c>
      <c r="E21" s="0" t="n">
        <f aca="false">E19*E20</f>
        <v>4397.90093519524</v>
      </c>
      <c r="F21" s="0" t="n">
        <f aca="false">F19*F20</f>
        <v>3972.93604715519</v>
      </c>
      <c r="G21" s="0" t="n">
        <f aca="false">G19*G20</f>
        <v>4394.73533419122</v>
      </c>
      <c r="H21" s="0" t="n">
        <f aca="false">H19*H20</f>
        <v>4096.57442059644</v>
      </c>
      <c r="I21" s="0" t="n">
        <f aca="false">I19*I20</f>
        <v>3850.02133046795</v>
      </c>
      <c r="J21" s="0" t="n">
        <f aca="false">J19*J20</f>
        <v>3618.30708372682</v>
      </c>
      <c r="K21" s="0" t="n">
        <f aca="false">K19*K20</f>
        <v>3400.53860183585</v>
      </c>
      <c r="L21" s="0" t="n">
        <f aca="false">L19*L20</f>
        <v>3195.87655635499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58565.2706578979</v>
      </c>
    </row>
    <row r="31" customFormat="false" ht="15" hidden="false" customHeight="false" outlineLevel="0" collapsed="false">
      <c r="A31" s="0" t="s">
        <v>127</v>
      </c>
      <c r="B31" s="0" t="n">
        <f aca="false">L19</f>
        <v>6899.65778571287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107740.810038439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82795.8934285544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82795.8934285544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38350.5186762599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96915.7893341578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87375.6893341578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5.97140409895014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-0.178623920364493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303.003376722675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336.319040250232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6.01509648673391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51875.2048333227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3.40543142558888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8</v>
      </c>
      <c r="D5" s="4" t="n">
        <f aca="false">Assumptions!D27</f>
        <v>-6</v>
      </c>
      <c r="E5" s="4" t="n">
        <f aca="false">Assumptions!E27</f>
        <v>-3</v>
      </c>
      <c r="F5" s="4" t="n">
        <f aca="false">Assumptions!F27</f>
        <v>2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241125.2</v>
      </c>
      <c r="C6" s="0" t="n">
        <f aca="false">B6*(1+C5/100)</f>
        <v>260415.216</v>
      </c>
      <c r="D6" s="0" t="n">
        <f aca="false">C6*(1+D5/100)</f>
        <v>244790.30304</v>
      </c>
      <c r="E6" s="0" t="n">
        <f aca="false">D6*(1+E5/100)</f>
        <v>237446.5939488</v>
      </c>
      <c r="F6" s="0" t="n">
        <f aca="false">E6*(1+F5/100)</f>
        <v>242195.525827776</v>
      </c>
      <c r="G6" s="0" t="n">
        <f aca="false">F6*(1+G5/100)</f>
        <v>248250.41397347</v>
      </c>
      <c r="H6" s="0" t="n">
        <f aca="false">G6*(1+H5/100)</f>
        <v>254456.674322807</v>
      </c>
      <c r="I6" s="0" t="n">
        <f aca="false">H6*(1+I5/100)</f>
        <v>260818.091180877</v>
      </c>
      <c r="J6" s="0" t="n">
        <f aca="false">I6*(1+J5/100)</f>
        <v>266034.453004495</v>
      </c>
      <c r="K6" s="0" t="n">
        <f aca="false">J6*(1+K5/100)</f>
        <v>271355.142064585</v>
      </c>
      <c r="L6" s="0" t="n">
        <f aca="false">K6*(1+L5/100)</f>
        <v>276782.244905876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22.5</v>
      </c>
      <c r="D7" s="4" t="n">
        <f aca="false">Assumptions!D28</f>
        <v>16</v>
      </c>
      <c r="E7" s="4" t="n">
        <f aca="false">Assumptions!E28</f>
        <v>14</v>
      </c>
      <c r="F7" s="4" t="n">
        <f aca="false">Assumptions!F28</f>
        <v>13</v>
      </c>
      <c r="G7" s="4" t="n">
        <f aca="false">Assumptions!G28</f>
        <v>13</v>
      </c>
      <c r="H7" s="4" t="n">
        <f aca="false">Assumptions!H28</f>
        <v>13</v>
      </c>
      <c r="I7" s="4" t="n">
        <f aca="false">Assumptions!I28</f>
        <v>13</v>
      </c>
      <c r="J7" s="4" t="n">
        <f aca="false">Assumptions!J28</f>
        <v>13</v>
      </c>
      <c r="K7" s="4" t="n">
        <f aca="false">Assumptions!K28</f>
        <v>13</v>
      </c>
      <c r="L7" s="4" t="n">
        <f aca="false">Assumptions!L28</f>
        <v>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58593.4236</v>
      </c>
      <c r="D8" s="0" t="n">
        <f aca="false">D6*D7/100</f>
        <v>39166.4484864</v>
      </c>
      <c r="E8" s="0" t="n">
        <f aca="false">E6*E7/100</f>
        <v>33242.523152832</v>
      </c>
      <c r="F8" s="0" t="n">
        <f aca="false">F6*F7/100</f>
        <v>31485.4183576109</v>
      </c>
      <c r="G8" s="0" t="n">
        <f aca="false">G6*G7/100</f>
        <v>32272.5538165512</v>
      </c>
      <c r="H8" s="0" t="n">
        <f aca="false">H6*H7/100</f>
        <v>33079.3676619649</v>
      </c>
      <c r="I8" s="0" t="n">
        <f aca="false">I6*I7/100</f>
        <v>33906.3518535141</v>
      </c>
      <c r="J8" s="0" t="n">
        <f aca="false">J6*J7/100</f>
        <v>34584.4788905843</v>
      </c>
      <c r="K8" s="0" t="n">
        <f aca="false">K6*K7/100</f>
        <v>35276.168468396</v>
      </c>
      <c r="L8" s="0" t="n">
        <f aca="false">L6*L7/100</f>
        <v>35981.6918377639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0.02</v>
      </c>
      <c r="D9" s="4" t="n">
        <f aca="false">Assumptions!D29</f>
        <v>0.02</v>
      </c>
      <c r="E9" s="4" t="n">
        <f aca="false">Assumptions!E29</f>
        <v>0.02</v>
      </c>
      <c r="F9" s="4" t="n">
        <f aca="false">Assumptions!F29</f>
        <v>0.02</v>
      </c>
      <c r="G9" s="4" t="n">
        <f aca="false">Assumptions!G29</f>
        <v>0.02</v>
      </c>
      <c r="H9" s="4" t="n">
        <f aca="false">Assumptions!H29</f>
        <v>0.02</v>
      </c>
      <c r="I9" s="4" t="n">
        <f aca="false">Assumptions!I29</f>
        <v>0.02</v>
      </c>
      <c r="J9" s="4" t="n">
        <f aca="false">Assumptions!J29</f>
        <v>0.02</v>
      </c>
      <c r="K9" s="4" t="n">
        <f aca="false">Assumptions!K29</f>
        <v>0.02</v>
      </c>
      <c r="L9" s="4" t="n">
        <f aca="false">Assumptions!L29</f>
        <v>0.02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-52.0830432</v>
      </c>
      <c r="D10" s="0" t="n">
        <f aca="false">-D6*D9/100</f>
        <v>-48.958060608</v>
      </c>
      <c r="E10" s="0" t="n">
        <f aca="false">-E6*E9/100</f>
        <v>-47.48931878976</v>
      </c>
      <c r="F10" s="0" t="n">
        <f aca="false">-F6*F9/100</f>
        <v>-48.4391051655552</v>
      </c>
      <c r="G10" s="0" t="n">
        <f aca="false">-G6*G9/100</f>
        <v>-49.6500827946941</v>
      </c>
      <c r="H10" s="0" t="n">
        <f aca="false">-H6*H9/100</f>
        <v>-50.8913348645614</v>
      </c>
      <c r="I10" s="0" t="n">
        <f aca="false">-I6*I9/100</f>
        <v>-52.1636182361755</v>
      </c>
      <c r="J10" s="0" t="n">
        <f aca="false">-J6*J9/100</f>
        <v>-53.206890600899</v>
      </c>
      <c r="K10" s="0" t="n">
        <f aca="false">-K6*K9/100</f>
        <v>-54.271028412917</v>
      </c>
      <c r="L10" s="0" t="n">
        <f aca="false">-L6*L9/100</f>
        <v>-55.3564489811753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58541.3405568</v>
      </c>
      <c r="D11" s="0" t="n">
        <f aca="false">D8+D10+D24</f>
        <v>39117.490425792</v>
      </c>
      <c r="E11" s="0" t="n">
        <f aca="false">E8+E10+E24</f>
        <v>33195.0338340422</v>
      </c>
      <c r="F11" s="0" t="n">
        <f aca="false">F8+F10+F24</f>
        <v>31436.9792524453</v>
      </c>
      <c r="G11" s="0" t="n">
        <f aca="false">G8+G10+G24</f>
        <v>32222.9037337565</v>
      </c>
      <c r="H11" s="0" t="n">
        <f aca="false">H8+H10+H24</f>
        <v>33028.4763271004</v>
      </c>
      <c r="I11" s="0" t="n">
        <f aca="false">I8+I10+I24</f>
        <v>33854.1882352779</v>
      </c>
      <c r="J11" s="0" t="n">
        <f aca="false">J8+J10+J24</f>
        <v>34531.2719999834</v>
      </c>
      <c r="K11" s="0" t="n">
        <f aca="false">K8+K10+K24</f>
        <v>35221.8974399831</v>
      </c>
      <c r="L11" s="0" t="n">
        <f aca="false">L8+L10+L24</f>
        <v>35926.3353887828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-11718.68472</v>
      </c>
      <c r="D12" s="4" t="n">
        <f aca="false">-D6*Assumptions!D31/100</f>
        <v>-11260.35393984</v>
      </c>
      <c r="E12" s="4" t="n">
        <f aca="false">-E6*Assumptions!E31/100</f>
        <v>-11159.9899155936</v>
      </c>
      <c r="F12" s="4" t="n">
        <f aca="false">-F6*Assumptions!F31/100</f>
        <v>-11140.9941880777</v>
      </c>
      <c r="G12" s="4" t="n">
        <f aca="false">-G6*Assumptions!G31/100</f>
        <v>-11171.2686288062</v>
      </c>
      <c r="H12" s="4" t="n">
        <f aca="false">-H6*Assumptions!H31/100</f>
        <v>-11450.5503445263</v>
      </c>
      <c r="I12" s="4" t="n">
        <f aca="false">-I6*Assumptions!I31/100</f>
        <v>-11736.8141031395</v>
      </c>
      <c r="J12" s="4" t="n">
        <f aca="false">-J6*Assumptions!J31/100</f>
        <v>-11971.5503852023</v>
      </c>
      <c r="K12" s="4" t="n">
        <f aca="false">-K6*Assumptions!K31/100</f>
        <v>-12210.9813929063</v>
      </c>
      <c r="L12" s="4" t="n">
        <f aca="false">-L6*Assumptions!L31/100</f>
        <v>-12455.2010207644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46822.6558368</v>
      </c>
      <c r="D13" s="0" t="n">
        <f aca="false">D11+D12</f>
        <v>27857.136485952</v>
      </c>
      <c r="E13" s="0" t="n">
        <f aca="false">E11+E12</f>
        <v>22035.0439184486</v>
      </c>
      <c r="F13" s="0" t="n">
        <f aca="false">F11+F12</f>
        <v>20295.9850643676</v>
      </c>
      <c r="G13" s="0" t="n">
        <f aca="false">G11+G12</f>
        <v>21051.6351049503</v>
      </c>
      <c r="H13" s="0" t="n">
        <f aca="false">H11+H12</f>
        <v>21577.9259825741</v>
      </c>
      <c r="I13" s="0" t="n">
        <f aca="false">I11+I12</f>
        <v>22117.3741321384</v>
      </c>
      <c r="J13" s="0" t="n">
        <f aca="false">J11+J12</f>
        <v>22559.7216147812</v>
      </c>
      <c r="K13" s="0" t="n">
        <f aca="false">K11+K12</f>
        <v>23010.9160470768</v>
      </c>
      <c r="L13" s="0" t="n">
        <f aca="false">L11+L12</f>
        <v>23471.1343680183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54</v>
      </c>
      <c r="D14" s="4" t="n">
        <f aca="false">Assumptions!D33</f>
        <v>52</v>
      </c>
      <c r="E14" s="4" t="n">
        <f aca="false">Assumptions!E33</f>
        <v>51</v>
      </c>
      <c r="F14" s="4" t="n">
        <f aca="false">Assumptions!F33</f>
        <v>51</v>
      </c>
      <c r="G14" s="4" t="n">
        <f aca="false">Assumptions!G33</f>
        <v>51</v>
      </c>
      <c r="H14" s="4" t="n">
        <f aca="false">Assumptions!H33</f>
        <v>51</v>
      </c>
      <c r="I14" s="4" t="n">
        <f aca="false">Assumptions!I33</f>
        <v>51</v>
      </c>
      <c r="J14" s="4" t="n">
        <f aca="false">Assumptions!J33</f>
        <v>51</v>
      </c>
      <c r="K14" s="4" t="n">
        <f aca="false">Assumptions!K33</f>
        <v>51</v>
      </c>
      <c r="L14" s="4" t="n">
        <f aca="false">Assumptions!L33</f>
        <v>51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21538.421684928</v>
      </c>
      <c r="D15" s="0" t="n">
        <f aca="false">D13-MAX(0,D13)*D14/100</f>
        <v>13371.425513257</v>
      </c>
      <c r="E15" s="0" t="n">
        <f aca="false">E13-MAX(0,E13)*E14/100</f>
        <v>10797.1715200398</v>
      </c>
      <c r="F15" s="0" t="n">
        <f aca="false">F13-MAX(0,F13)*F14/100</f>
        <v>9945.03268154014</v>
      </c>
      <c r="G15" s="0" t="n">
        <f aca="false">G13-MAX(0,G13)*G14/100</f>
        <v>10315.3012014256</v>
      </c>
      <c r="H15" s="0" t="n">
        <f aca="false">H13-MAX(0,H13)*H14/100</f>
        <v>10573.1837314613</v>
      </c>
      <c r="I15" s="0" t="n">
        <f aca="false">I13-MAX(0,I13)*I14/100</f>
        <v>10837.5133247478</v>
      </c>
      <c r="J15" s="0" t="n">
        <f aca="false">J13-MAX(0,J13)*J14/100</f>
        <v>11054.2635912428</v>
      </c>
      <c r="K15" s="0" t="n">
        <f aca="false">K13-MAX(0,K13)*K14/100</f>
        <v>11275.3488630676</v>
      </c>
      <c r="L15" s="0" t="n">
        <f aca="false">L13-MAX(0,L13)*L14/100</f>
        <v>11500.855840329</v>
      </c>
    </row>
    <row r="16" customFormat="false" ht="15" hidden="false" customHeight="false" outlineLevel="0" collapsed="false">
      <c r="A16" s="0" t="s">
        <v>118</v>
      </c>
      <c r="C16" s="0" t="n">
        <f aca="false">-C12</f>
        <v>11718.68472</v>
      </c>
      <c r="D16" s="0" t="n">
        <f aca="false">-D12</f>
        <v>11260.35393984</v>
      </c>
      <c r="E16" s="0" t="n">
        <f aca="false">-E12</f>
        <v>11159.9899155936</v>
      </c>
      <c r="F16" s="0" t="n">
        <f aca="false">-F12</f>
        <v>11140.9941880777</v>
      </c>
      <c r="G16" s="0" t="n">
        <f aca="false">-G12</f>
        <v>11171.2686288062</v>
      </c>
      <c r="H16" s="0" t="n">
        <f aca="false">-H12</f>
        <v>11450.5503445263</v>
      </c>
      <c r="I16" s="0" t="n">
        <f aca="false">-I12</f>
        <v>11736.8141031395</v>
      </c>
      <c r="J16" s="0" t="n">
        <f aca="false">-J12</f>
        <v>11971.5503852023</v>
      </c>
      <c r="K16" s="0" t="n">
        <f aca="false">-K12</f>
        <v>12210.9813929063</v>
      </c>
      <c r="L16" s="0" t="n">
        <f aca="false">-L12</f>
        <v>12455.2010207644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-9374.947776</v>
      </c>
      <c r="D17" s="4" t="n">
        <f aca="false">-D6*Assumptions!D32/100</f>
        <v>-11260.35393984</v>
      </c>
      <c r="E17" s="4" t="n">
        <f aca="false">-E6*Assumptions!E32/100</f>
        <v>-11397.4365095424</v>
      </c>
      <c r="F17" s="4" t="n">
        <f aca="false">-F6*Assumptions!F32/100</f>
        <v>-11140.9941880777</v>
      </c>
      <c r="G17" s="4" t="n">
        <f aca="false">-G6*Assumptions!G32/100</f>
        <v>-11171.2686288062</v>
      </c>
      <c r="H17" s="4" t="n">
        <f aca="false">-H6*Assumptions!H32/100</f>
        <v>-11450.5503445263</v>
      </c>
      <c r="I17" s="4" t="n">
        <f aca="false">-I6*Assumptions!I32/100</f>
        <v>-11736.8141031395</v>
      </c>
      <c r="J17" s="4" t="n">
        <f aca="false">-J6*Assumptions!J32/100</f>
        <v>-11971.5503852023</v>
      </c>
      <c r="K17" s="4" t="n">
        <f aca="false">-K6*Assumptions!K32/100</f>
        <v>-12210.9813929063</v>
      </c>
      <c r="L17" s="4" t="n">
        <f aca="false">-L6*Assumptions!L32/100</f>
        <v>-12455.2010207644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-964.500800000002</v>
      </c>
      <c r="D18" s="4" t="n">
        <f aca="false">(D6-C6)*Assumptions!$B$37/100</f>
        <v>781.245648000001</v>
      </c>
      <c r="E18" s="4" t="n">
        <f aca="false">(E6-D6)*Assumptions!$B$37/100</f>
        <v>367.18545456</v>
      </c>
      <c r="F18" s="4" t="n">
        <f aca="false">(F6-E6)*Assumptions!$B$37/100</f>
        <v>-237.4465939488</v>
      </c>
      <c r="G18" s="4" t="n">
        <f aca="false">(G6-F6)*Assumptions!$B$37/100</f>
        <v>-302.74440728472</v>
      </c>
      <c r="H18" s="4" t="n">
        <f aca="false">(H6-G6)*Assumptions!$B$37/100</f>
        <v>-310.313017466838</v>
      </c>
      <c r="I18" s="4" t="n">
        <f aca="false">(I6-H6)*Assumptions!$B$37/100</f>
        <v>-318.070842903508</v>
      </c>
      <c r="J18" s="4" t="n">
        <f aca="false">(J6-I6)*Assumptions!$B$37/100</f>
        <v>-260.818091180878</v>
      </c>
      <c r="K18" s="4" t="n">
        <f aca="false">(K6-J6)*Assumptions!$B$37/100</f>
        <v>-266.034453004494</v>
      </c>
      <c r="L18" s="4" t="n">
        <f aca="false">(L6-K6)*Assumptions!$B$37/100</f>
        <v>-271.355142064585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22917.657828928</v>
      </c>
      <c r="D19" s="0" t="n">
        <f aca="false">D15+D16+D17+D18</f>
        <v>14152.671161257</v>
      </c>
      <c r="E19" s="0" t="n">
        <f aca="false">E15+E16+E17+E18</f>
        <v>10926.910380651</v>
      </c>
      <c r="F19" s="0" t="n">
        <f aca="false">F15+F16+F17+F18</f>
        <v>9707.58608759134</v>
      </c>
      <c r="G19" s="0" t="n">
        <f aca="false">G15+G16+G17+G18</f>
        <v>10012.5567941409</v>
      </c>
      <c r="H19" s="0" t="n">
        <f aca="false">H15+H16+H17+H18</f>
        <v>10262.8707139944</v>
      </c>
      <c r="I19" s="0" t="n">
        <f aca="false">I15+I16+I17+I18</f>
        <v>10519.4424818443</v>
      </c>
      <c r="J19" s="0" t="n">
        <f aca="false">J15+J16+J17+J18</f>
        <v>10793.4455000619</v>
      </c>
      <c r="K19" s="0" t="n">
        <f aca="false">K15+K16+K17+K18</f>
        <v>11009.3144100631</v>
      </c>
      <c r="L19" s="0" t="n">
        <f aca="false">L15+L16+L17+L18</f>
        <v>11229.5006982644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21220.0535453037</v>
      </c>
      <c r="D21" s="0" t="n">
        <f aca="false">D19*D20</f>
        <v>12133.6343975111</v>
      </c>
      <c r="E21" s="0" t="n">
        <f aca="false">E19*E20</f>
        <v>8674.13375489877</v>
      </c>
      <c r="F21" s="0" t="n">
        <f aca="false">F19*F20</f>
        <v>7135.36557297116</v>
      </c>
      <c r="G21" s="0" t="n">
        <f aca="false">G19*G20</f>
        <v>6814.37791343845</v>
      </c>
      <c r="H21" s="0" t="n">
        <f aca="false">H19*H20</f>
        <v>6467.34940858742</v>
      </c>
      <c r="I21" s="0" t="n">
        <f aca="false">I19*I20</f>
        <v>6137.99365166861</v>
      </c>
      <c r="J21" s="0" t="n">
        <f aca="false">J19*J20</f>
        <v>5831.36276025131</v>
      </c>
      <c r="K21" s="0" t="n">
        <f aca="false">K19*K20</f>
        <v>5507.39816245957</v>
      </c>
      <c r="L21" s="0" t="n">
        <f aca="false">L19*L20</f>
        <v>5201.43159787848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85123.1007649686</v>
      </c>
    </row>
    <row r="31" customFormat="false" ht="15" hidden="false" customHeight="false" outlineLevel="0" collapsed="false">
      <c r="A31" s="0" t="s">
        <v>127</v>
      </c>
      <c r="B31" s="0" t="n">
        <f aca="false">L19</f>
        <v>11229.5006982644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190901.511870495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134754.008379173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134754.008379173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62417.1791745418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147540.27993951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138000.17993951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9.43116839965806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0.297272132002484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341.335382465331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435.892693756732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9.4842854961358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88108.3900940745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5.35847086720752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9</v>
      </c>
      <c r="D5" s="4" t="n">
        <f aca="false">Assumptions!D41</f>
        <v>-2</v>
      </c>
      <c r="E5" s="4" t="n">
        <f aca="false">Assumptions!E41</f>
        <v>0</v>
      </c>
      <c r="F5" s="4" t="n">
        <f aca="false">Assumptions!F41</f>
        <v>3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241125.2</v>
      </c>
      <c r="C6" s="0" t="n">
        <f aca="false">B6*(1+C5/100)</f>
        <v>262826.468</v>
      </c>
      <c r="D6" s="0" t="n">
        <f aca="false">C6*(1+D5/100)</f>
        <v>257569.93864</v>
      </c>
      <c r="E6" s="0" t="n">
        <f aca="false">D6*(1+E5/100)</f>
        <v>257569.93864</v>
      </c>
      <c r="F6" s="0" t="n">
        <f aca="false">E6*(1+F5/100)</f>
        <v>265297.0367992</v>
      </c>
      <c r="G6" s="0" t="n">
        <f aca="false">F6*(1+G5/100)</f>
        <v>274582.433087172</v>
      </c>
      <c r="H6" s="0" t="n">
        <f aca="false">G6*(1+H5/100)</f>
        <v>284192.818245223</v>
      </c>
      <c r="I6" s="0" t="n">
        <f aca="false">H6*(1+I5/100)</f>
        <v>292718.60279258</v>
      </c>
      <c r="J6" s="0" t="n">
        <f aca="false">I6*(1+J5/100)</f>
        <v>301500.160876357</v>
      </c>
      <c r="K6" s="0" t="n">
        <f aca="false">J6*(1+K5/100)</f>
        <v>309037.664898266</v>
      </c>
      <c r="L6" s="0" t="n">
        <f aca="false">K6*(1+L5/100)</f>
        <v>316763.606520723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23.5</v>
      </c>
      <c r="D7" s="4" t="n">
        <f aca="false">Assumptions!D42</f>
        <v>19</v>
      </c>
      <c r="E7" s="4" t="n">
        <f aca="false">Assumptions!E42</f>
        <v>17</v>
      </c>
      <c r="F7" s="4" t="n">
        <f aca="false">Assumptions!F42</f>
        <v>16</v>
      </c>
      <c r="G7" s="4" t="n">
        <f aca="false">Assumptions!G42</f>
        <v>16</v>
      </c>
      <c r="H7" s="4" t="n">
        <f aca="false">Assumptions!H42</f>
        <v>16</v>
      </c>
      <c r="I7" s="4" t="n">
        <f aca="false">Assumptions!I42</f>
        <v>16</v>
      </c>
      <c r="J7" s="4" t="n">
        <f aca="false">Assumptions!J42</f>
        <v>16</v>
      </c>
      <c r="K7" s="4" t="n">
        <f aca="false">Assumptions!K42</f>
        <v>16</v>
      </c>
      <c r="L7" s="4" t="n">
        <f aca="false">Assumptions!L42</f>
        <v>16</v>
      </c>
    </row>
    <row r="8" customFormat="false" ht="15" hidden="false" customHeight="false" outlineLevel="0" collapsed="false">
      <c r="A8" s="0" t="s">
        <v>44</v>
      </c>
      <c r="C8" s="0" t="n">
        <f aca="false">C6*C7/100</f>
        <v>61764.21998</v>
      </c>
      <c r="D8" s="0" t="n">
        <f aca="false">D6*D7/100</f>
        <v>48938.2883416</v>
      </c>
      <c r="E8" s="0" t="n">
        <f aca="false">E6*E7/100</f>
        <v>43786.8895688</v>
      </c>
      <c r="F8" s="0" t="n">
        <f aca="false">F6*F7/100</f>
        <v>42447.525887872</v>
      </c>
      <c r="G8" s="0" t="n">
        <f aca="false">G6*G7/100</f>
        <v>43933.1892939475</v>
      </c>
      <c r="H8" s="0" t="n">
        <f aca="false">H6*H7/100</f>
        <v>45470.8509192357</v>
      </c>
      <c r="I8" s="0" t="n">
        <f aca="false">I6*I7/100</f>
        <v>46834.9764468128</v>
      </c>
      <c r="J8" s="0" t="n">
        <f aca="false">J6*J7/100</f>
        <v>48240.0257402171</v>
      </c>
      <c r="K8" s="0" t="n">
        <f aca="false">K6*K7/100</f>
        <v>49446.0263837226</v>
      </c>
      <c r="L8" s="0" t="n">
        <f aca="false">L6*L7/100</f>
        <v>50682.1770433156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0.02</v>
      </c>
      <c r="D9" s="4" t="n">
        <f aca="false">Assumptions!D43</f>
        <v>0.02</v>
      </c>
      <c r="E9" s="4" t="n">
        <f aca="false">Assumptions!E43</f>
        <v>0.02</v>
      </c>
      <c r="F9" s="4" t="n">
        <f aca="false">Assumptions!F43</f>
        <v>0.02</v>
      </c>
      <c r="G9" s="4" t="n">
        <f aca="false">Assumptions!G43</f>
        <v>0.02</v>
      </c>
      <c r="H9" s="4" t="n">
        <f aca="false">Assumptions!H43</f>
        <v>0.02</v>
      </c>
      <c r="I9" s="4" t="n">
        <f aca="false">Assumptions!I43</f>
        <v>0.02</v>
      </c>
      <c r="J9" s="4" t="n">
        <f aca="false">Assumptions!J43</f>
        <v>0.02</v>
      </c>
      <c r="K9" s="4" t="n">
        <f aca="false">Assumptions!K43</f>
        <v>0.02</v>
      </c>
      <c r="L9" s="4" t="n">
        <f aca="false">Assumptions!L43</f>
        <v>0.02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-52.5652936</v>
      </c>
      <c r="D10" s="0" t="n">
        <f aca="false">-D6*D9/100</f>
        <v>-51.513987728</v>
      </c>
      <c r="E10" s="0" t="n">
        <f aca="false">-E6*E9/100</f>
        <v>-51.513987728</v>
      </c>
      <c r="F10" s="0" t="n">
        <f aca="false">-F6*F9/100</f>
        <v>-53.05940735984</v>
      </c>
      <c r="G10" s="0" t="n">
        <f aca="false">-G6*G9/100</f>
        <v>-54.9164866174344</v>
      </c>
      <c r="H10" s="0" t="n">
        <f aca="false">-H6*H9/100</f>
        <v>-56.8385636490446</v>
      </c>
      <c r="I10" s="0" t="n">
        <f aca="false">-I6*I9/100</f>
        <v>-58.543720558516</v>
      </c>
      <c r="J10" s="0" t="n">
        <f aca="false">-J6*J9/100</f>
        <v>-60.3000321752714</v>
      </c>
      <c r="K10" s="0" t="n">
        <f aca="false">-K6*K9/100</f>
        <v>-61.8075329796532</v>
      </c>
      <c r="L10" s="0" t="n">
        <f aca="false">-L6*L9/100</f>
        <v>-63.3527213041445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61711.6546864</v>
      </c>
      <c r="D11" s="0" t="n">
        <f aca="false">D8+D10+D24</f>
        <v>48886.774353872</v>
      </c>
      <c r="E11" s="0" t="n">
        <f aca="false">E8+E10+E24</f>
        <v>43735.375581072</v>
      </c>
      <c r="F11" s="0" t="n">
        <f aca="false">F8+F10+F24</f>
        <v>42394.4664805122</v>
      </c>
      <c r="G11" s="0" t="n">
        <f aca="false">G8+G10+G24</f>
        <v>43878.2728073301</v>
      </c>
      <c r="H11" s="0" t="n">
        <f aca="false">H8+H10+H24</f>
        <v>45414.0123555866</v>
      </c>
      <c r="I11" s="0" t="n">
        <f aca="false">I8+I10+I24</f>
        <v>46776.4327262542</v>
      </c>
      <c r="J11" s="0" t="n">
        <f aca="false">J8+J10+J24</f>
        <v>48179.7257080419</v>
      </c>
      <c r="K11" s="0" t="n">
        <f aca="false">K8+K10+K24</f>
        <v>49384.2188507429</v>
      </c>
      <c r="L11" s="0" t="n">
        <f aca="false">L8+L10+L24</f>
        <v>50618.8243220115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-11827.19106</v>
      </c>
      <c r="D12" s="4" t="n">
        <f aca="false">-D6*Assumptions!D45/100</f>
        <v>-11590.6472388</v>
      </c>
      <c r="E12" s="4" t="n">
        <f aca="false">-E6*Assumptions!E45/100</f>
        <v>-11848.21717744</v>
      </c>
      <c r="F12" s="4" t="n">
        <f aca="false">-F6*Assumptions!F45/100</f>
        <v>-11938.366655964</v>
      </c>
      <c r="G12" s="4" t="n">
        <f aca="false">-G6*Assumptions!G45/100</f>
        <v>-12081.6270558356</v>
      </c>
      <c r="H12" s="4" t="n">
        <f aca="false">-H6*Assumptions!H45/100</f>
        <v>-12504.4840027898</v>
      </c>
      <c r="I12" s="4" t="n">
        <f aca="false">-I6*Assumptions!I45/100</f>
        <v>-12879.6185228735</v>
      </c>
      <c r="J12" s="4" t="n">
        <f aca="false">-J6*Assumptions!J45/100</f>
        <v>-13266.0070785597</v>
      </c>
      <c r="K12" s="4" t="n">
        <f aca="false">-K6*Assumptions!K45/100</f>
        <v>-13597.6572555237</v>
      </c>
      <c r="L12" s="4" t="n">
        <f aca="false">-L6*Assumptions!L45/100</f>
        <v>-13937.5986869118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49884.4636264</v>
      </c>
      <c r="D13" s="0" t="n">
        <f aca="false">D11+D12</f>
        <v>37296.127115072</v>
      </c>
      <c r="E13" s="0" t="n">
        <f aca="false">E11+E12</f>
        <v>31887.158403632</v>
      </c>
      <c r="F13" s="0" t="n">
        <f aca="false">F11+F12</f>
        <v>30456.0998245482</v>
      </c>
      <c r="G13" s="0" t="n">
        <f aca="false">G11+G12</f>
        <v>31796.6457514945</v>
      </c>
      <c r="H13" s="0" t="n">
        <f aca="false">H11+H12</f>
        <v>32909.5283527968</v>
      </c>
      <c r="I13" s="0" t="n">
        <f aca="false">I11+I12</f>
        <v>33896.8142033807</v>
      </c>
      <c r="J13" s="0" t="n">
        <f aca="false">J11+J12</f>
        <v>34913.7186294822</v>
      </c>
      <c r="K13" s="0" t="n">
        <f aca="false">K11+K12</f>
        <v>35786.5615952192</v>
      </c>
      <c r="L13" s="0" t="n">
        <f aca="false">L11+L12</f>
        <v>36681.2256350997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55</v>
      </c>
      <c r="D14" s="4" t="n">
        <f aca="false">Assumptions!D47</f>
        <v>54</v>
      </c>
      <c r="E14" s="4" t="n">
        <f aca="false">Assumptions!E47</f>
        <v>53</v>
      </c>
      <c r="F14" s="4" t="n">
        <f aca="false">Assumptions!F47</f>
        <v>53</v>
      </c>
      <c r="G14" s="4" t="n">
        <f aca="false">Assumptions!G47</f>
        <v>53</v>
      </c>
      <c r="H14" s="4" t="n">
        <f aca="false">Assumptions!H47</f>
        <v>53</v>
      </c>
      <c r="I14" s="4" t="n">
        <f aca="false">Assumptions!I47</f>
        <v>53</v>
      </c>
      <c r="J14" s="4" t="n">
        <f aca="false">Assumptions!J47</f>
        <v>53</v>
      </c>
      <c r="K14" s="4" t="n">
        <f aca="false">Assumptions!K47</f>
        <v>53</v>
      </c>
      <c r="L14" s="4" t="n">
        <f aca="false">Assumptions!L47</f>
        <v>53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22448.00863188</v>
      </c>
      <c r="D15" s="0" t="n">
        <f aca="false">D13-MAX(0,D13)*D14/100</f>
        <v>17156.2184729331</v>
      </c>
      <c r="E15" s="0" t="n">
        <f aca="false">E13-MAX(0,E13)*E14/100</f>
        <v>14986.964449707</v>
      </c>
      <c r="F15" s="0" t="n">
        <f aca="false">F13-MAX(0,F13)*F14/100</f>
        <v>14314.3669175376</v>
      </c>
      <c r="G15" s="0" t="n">
        <f aca="false">G13-MAX(0,G13)*G14/100</f>
        <v>14944.4235032024</v>
      </c>
      <c r="H15" s="0" t="n">
        <f aca="false">H13-MAX(0,H13)*H14/100</f>
        <v>15467.4783258145</v>
      </c>
      <c r="I15" s="0" t="n">
        <f aca="false">I13-MAX(0,I13)*I14/100</f>
        <v>15931.5026755889</v>
      </c>
      <c r="J15" s="0" t="n">
        <f aca="false">J13-MAX(0,J13)*J14/100</f>
        <v>16409.4477558566</v>
      </c>
      <c r="K15" s="0" t="n">
        <f aca="false">K13-MAX(0,K13)*K14/100</f>
        <v>16819.683949753</v>
      </c>
      <c r="L15" s="0" t="n">
        <f aca="false">L13-MAX(0,L13)*L14/100</f>
        <v>17240.1760484969</v>
      </c>
    </row>
    <row r="16" customFormat="false" ht="15" hidden="false" customHeight="false" outlineLevel="0" collapsed="false">
      <c r="A16" s="0" t="s">
        <v>118</v>
      </c>
      <c r="C16" s="0" t="n">
        <f aca="false">-C12</f>
        <v>11827.19106</v>
      </c>
      <c r="D16" s="0" t="n">
        <f aca="false">-D12</f>
        <v>11590.6472388</v>
      </c>
      <c r="E16" s="0" t="n">
        <f aca="false">-E12</f>
        <v>11848.21717744</v>
      </c>
      <c r="F16" s="0" t="n">
        <f aca="false">-F12</f>
        <v>11938.366655964</v>
      </c>
      <c r="G16" s="0" t="n">
        <f aca="false">-G12</f>
        <v>12081.6270558356</v>
      </c>
      <c r="H16" s="0" t="n">
        <f aca="false">-H12</f>
        <v>12504.4840027898</v>
      </c>
      <c r="I16" s="0" t="n">
        <f aca="false">-I12</f>
        <v>12879.6185228735</v>
      </c>
      <c r="J16" s="0" t="n">
        <f aca="false">-J12</f>
        <v>13266.0070785597</v>
      </c>
      <c r="K16" s="0" t="n">
        <f aca="false">-K12</f>
        <v>13597.6572555237</v>
      </c>
      <c r="L16" s="0" t="n">
        <f aca="false">-L12</f>
        <v>13937.5986869118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-9461.752848</v>
      </c>
      <c r="D17" s="4" t="n">
        <f aca="false">-D6*Assumptions!D46/100</f>
        <v>-12363.35705472</v>
      </c>
      <c r="E17" s="4" t="n">
        <f aca="false">-E6*Assumptions!E46/100</f>
        <v>-12878.496932</v>
      </c>
      <c r="F17" s="4" t="n">
        <f aca="false">-F6*Assumptions!F46/100</f>
        <v>-12734.2577663616</v>
      </c>
      <c r="G17" s="4" t="n">
        <f aca="false">-G6*Assumptions!G46/100</f>
        <v>-12356.2094889227</v>
      </c>
      <c r="H17" s="4" t="n">
        <f aca="false">-H6*Assumptions!H46/100</f>
        <v>-12788.676821035</v>
      </c>
      <c r="I17" s="4" t="n">
        <f aca="false">-I6*Assumptions!I46/100</f>
        <v>-13172.3371256661</v>
      </c>
      <c r="J17" s="4" t="n">
        <f aca="false">-J6*Assumptions!J46/100</f>
        <v>-13567.5072394361</v>
      </c>
      <c r="K17" s="4" t="n">
        <f aca="false">-K6*Assumptions!K46/100</f>
        <v>-13906.694920422</v>
      </c>
      <c r="L17" s="4" t="n">
        <f aca="false">-L6*Assumptions!L46/100</f>
        <v>-14254.3622934325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-1085.0634</v>
      </c>
      <c r="D18" s="4" t="n">
        <f aca="false">(D6-C6)*Assumptions!$B$51/100</f>
        <v>262.826468000001</v>
      </c>
      <c r="E18" s="4" t="n">
        <f aca="false">(E6-D6)*Assumptions!$B$51/100</f>
        <v>-0</v>
      </c>
      <c r="F18" s="4" t="n">
        <f aca="false">(F6-E6)*Assumptions!$B$51/100</f>
        <v>-386.354907960001</v>
      </c>
      <c r="G18" s="4" t="n">
        <f aca="false">(G6-F6)*Assumptions!$B$51/100</f>
        <v>-464.2698143986</v>
      </c>
      <c r="H18" s="4" t="n">
        <f aca="false">(H6-G6)*Assumptions!$B$51/100</f>
        <v>-480.519257902549</v>
      </c>
      <c r="I18" s="4" t="n">
        <f aca="false">(I6-H6)*Assumptions!$B$51/100</f>
        <v>-426.289227367836</v>
      </c>
      <c r="J18" s="4" t="n">
        <f aca="false">(J6-I6)*Assumptions!$B$51/100</f>
        <v>-439.077904188869</v>
      </c>
      <c r="K18" s="4" t="n">
        <f aca="false">(K6-J6)*Assumptions!$B$51/100</f>
        <v>-376.875201095446</v>
      </c>
      <c r="L18" s="4" t="n">
        <f aca="false">(L6-K6)*Assumptions!$B$51/100</f>
        <v>-386.297081122833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23728.38344388</v>
      </c>
      <c r="D19" s="0" t="n">
        <f aca="false">D15+D16+D17+D18</f>
        <v>16646.3351250131</v>
      </c>
      <c r="E19" s="0" t="n">
        <f aca="false">E15+E16+E17+E18</f>
        <v>13956.684695147</v>
      </c>
      <c r="F19" s="0" t="n">
        <f aca="false">F15+F16+F17+F18</f>
        <v>13132.12089918</v>
      </c>
      <c r="G19" s="0" t="n">
        <f aca="false">G15+G16+G17+G18</f>
        <v>14205.5712557167</v>
      </c>
      <c r="H19" s="0" t="n">
        <f aca="false">H15+H16+H17+H18</f>
        <v>14702.7662496667</v>
      </c>
      <c r="I19" s="0" t="n">
        <f aca="false">I15+I16+I17+I18</f>
        <v>15212.4948454285</v>
      </c>
      <c r="J19" s="0" t="n">
        <f aca="false">J15+J16+J17+J18</f>
        <v>15668.8696907914</v>
      </c>
      <c r="K19" s="0" t="n">
        <f aca="false">K15+K16+K17+K18</f>
        <v>16133.7710837593</v>
      </c>
      <c r="L19" s="0" t="n">
        <f aca="false">L15+L16+L17+L18</f>
        <v>16537.1153608533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21970.725411</v>
      </c>
      <c r="D21" s="0" t="n">
        <f aca="false">D19*D20</f>
        <v>14271.5493184269</v>
      </c>
      <c r="E21" s="0" t="n">
        <f aca="false">E19*E20</f>
        <v>11079.2662887605</v>
      </c>
      <c r="F21" s="0" t="n">
        <f aca="false">F19*F20</f>
        <v>9652.50089142953</v>
      </c>
      <c r="G21" s="0" t="n">
        <f aca="false">G19*G20</f>
        <v>9668.07310090643</v>
      </c>
      <c r="H21" s="0" t="n">
        <f aca="false">H19*H20</f>
        <v>9265.23672170199</v>
      </c>
      <c r="I21" s="0" t="n">
        <f aca="false">I19*I20</f>
        <v>8876.34463028227</v>
      </c>
      <c r="J21" s="0" t="n">
        <f aca="false">J19*J20</f>
        <v>8465.40274925068</v>
      </c>
      <c r="K21" s="0" t="n">
        <f aca="false">K19*K20</f>
        <v>8070.902320586</v>
      </c>
      <c r="L21" s="0" t="n">
        <f aca="false">L19*L20</f>
        <v>7659.88414685245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108979.885579197</v>
      </c>
    </row>
    <row r="31" customFormat="false" ht="15" hidden="false" customHeight="false" outlineLevel="0" collapsed="false">
      <c r="A31" s="0" t="s">
        <v>127</v>
      </c>
      <c r="B31" s="0" t="n">
        <f aca="false">L19</f>
        <v>16537.1153608533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308191.695361357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198445.38433024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198445.38433024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91918.6097622294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200898.495341426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191358.395341426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13.0777601300549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0.79886659285487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372.925049060441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546.876039264303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13.1406209101059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135604.345958997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7.30018344725091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5.97140409895014</v>
      </c>
      <c r="C4" s="0" t="n">
        <f aca="false">B4/Assumptions!$B$2-1</f>
        <v>-0.178623920364493</v>
      </c>
      <c r="D4" s="4" t="n">
        <f aca="false">Assumptions!$B$24</f>
        <v>0.3</v>
      </c>
      <c r="E4" s="4" t="n">
        <f aca="false">DCF_Bear!$B$43</f>
        <v>6.01509648673391</v>
      </c>
      <c r="F4" s="4" t="n">
        <f aca="false">DCF_Bear!$B$47</f>
        <v>3.40543142558888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9.43116839965806</v>
      </c>
      <c r="C5" s="0" t="n">
        <f aca="false">B5/Assumptions!$B$2-1</f>
        <v>0.297272132002484</v>
      </c>
      <c r="D5" s="4" t="n">
        <f aca="false">Assumptions!$B$38</f>
        <v>0.5</v>
      </c>
      <c r="E5" s="4" t="n">
        <f aca="false">DCF_Base!$B$43</f>
        <v>9.4842854961358</v>
      </c>
      <c r="F5" s="4" t="n">
        <f aca="false">DCF_Base!$B$47</f>
        <v>5.35847086720752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13.0777601300549</v>
      </c>
      <c r="C6" s="0" t="n">
        <f aca="false">B6/Assumptions!$B$2-1</f>
        <v>0.79886659285487</v>
      </c>
      <c r="D6" s="4" t="n">
        <f aca="false">Assumptions!$B$52</f>
        <v>0.2</v>
      </c>
      <c r="E6" s="4" t="n">
        <f aca="false">DCF_Bull!$B$43</f>
        <v>13.1406209101059</v>
      </c>
      <c r="F6" s="4" t="n">
        <f aca="false">DCF_Bull!$B$47</f>
        <v>7.30018344725091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9.12255745552505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9.17479587610926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0.203074353278318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5.1609015507306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9.43116839965806</v>
      </c>
      <c r="C15" s="3" t="n">
        <v>8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8.83277178648546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8.28479202755011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7.60212951643843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6.87618987020109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5.35847086720752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10.8019268906002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10.8019268906002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10.8019268906002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10.8019268906002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10.8019268906002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10.0854911505011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10.0854911505011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10.0854911505011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10.0854911505011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10.0854911505011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9.43116839965806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9.43116839965806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9.43116839965806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9.43116839965806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9.43116839965806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8.83277178648546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8.83277178648546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8.83277178648546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8.83277178648546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8.83277178648546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8.0546611082552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8.26738716810764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8.28479202755011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8.28479202755011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8.28479202755011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2026-10-18T08:14:28Z</dcterms:created>
  <dc:creator>openpyxl</dc:creator>
  <dc:description/>
  <dc:language>en-NZ</dc:language>
  <cp:lastModifiedBy/>
  <dcterms:modified xsi:type="dcterms:W3CDTF">2026-10-18T08:14:28Z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