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<sst xmlns="http://schemas.openxmlformats.org/spreadsheetml/2006/main" count="360" uniqueCount="170">
  <si>
    <t xml:space="preserve">Ticker</t>
  </si>
  <si>
    <t xml:space="preserve">AAF.L</t>
  </si>
  <si>
    <t xml:space="preserve">Company</t>
  </si>
  <si>
    <t xml:space="preserve">Airtel Africa plc</t>
  </si>
  <si>
    <t xml:space="preserve">Valuation date</t>
  </si>
  <si>
    <t xml:space="preserve">2026-10-04</t>
  </si>
  <si>
    <t xml:space="preserve">Current price</t>
  </si>
  <si>
    <t xml:space="preserve">Price as of</t>
  </si>
  <si>
    <t xml:space="preserve">2026-10-02T15:37:26Z regular close (LSE)</t>
  </si>
  <si>
    <t xml:space="preserve">Balance sheet date</t>
  </si>
  <si>
    <t xml:space="preserve">2026-03-31</t>
  </si>
  <si>
    <t xml:space="preserve">Model</t>
  </si>
  <si>
    <t xml:space="preserve">owner_fcf_dcf_component</t>
  </si>
  <si>
    <t xml:space="preserve">Currency (model)</t>
  </si>
  <si>
    <t xml:space="preserve">USD</t>
  </si>
  <si>
    <t xml:space="preserve">Currency (quote)</t>
  </si>
  <si>
    <t xml:space="preserve">GBp</t>
  </si>
  <si>
    <t xml:space="preserve">Units</t>
  </si>
  <si>
    <t xml:space="preserve">millions</t>
  </si>
  <si>
    <t xml:space="preserve">Engine</t>
  </si>
  <si>
    <t xml:space="preserve">dcf_engine v1</t>
  </si>
  <si>
    <t xml:space="preserve">Built at</t>
  </si>
  <si>
    <t xml:space="preserve">2026-10-04T10:05:25Z</t>
  </si>
  <si>
    <t xml:space="preserve">Drivers file</t>
  </si>
  <si>
    <t xml:space="preserve">AAF.L_Drivers.json</t>
  </si>
  <si>
    <t xml:space="preserve">Convention</t>
  </si>
  <si>
    <t xml:space="preserve">Percents stored as percents; formulas divide by 100. Blue = input, green = link, black = formula.</t>
  </si>
  <si>
    <t xml:space="preserve">Methodology</t>
  </si>
  <si>
    <t xml:space="preserve">summary: Airtel Africa is valued as a USD-reporting operating telecom plus fintech on an owner-FCF basis: post-IFRS-16 EBITDA less the full tower lease cash, SBC (immaterial), D&amp;A ex right-of-use for tax, a cash tax rate that ramps to the statutory-plus-WHT blend, guided capex plus spectrum, and a modest working-capital capture that excludes mobile-money float. Lease liabilities stay out of net debt because the lease is charged in the flows; minorities (18% of profit, Airtel Money 22% minority at its IPO mark) are deducted once in the bridge. Currency devaluation is charged in the USD growth path and the 25% bear weight, not stacked into WACC. The Airtel Money IPO at ~$7bn (nearly half the group's market value for ~21% of revenue) is a sum-of-parts marker that supports the bull case; it is not a cash windfall in the model.
key_risks_to_valuation: Local-currency devaluation vs USD (naira, and Francophone/East African currencies): a 1% blended USD move is ~$30m of EBITDA; the bear scenario assumes one more devaluation episode, a second would sit below it; Lease cash is 10.5-11% of revenue and partly USD-indexed: tower contract renewals at higher rates compress the lease-adjusted margin even when reported EBITDA margin holds; Cash tax convergence: the model ramps cash tax from 21% to 35% of EBIT; if DTA consumption and dividend WHT bite faster, FY28-30 FCF is lower than projected; NCI fair value is an estimate anchored on the Airtel Money IPO price; a re-rating of the listed subsidiary raises the minority deduction as well as the sum-of-parts; Nigeria regulatory/tariff risk on ~25% of revenue and capital controls on upstreaming cash to the plc; Terminal value carries most of the equity value at an 11.5% USD WACC; +/-1pp in WACC moves the base value materially (see sensitivity grid)</t>
  </si>
  <si>
    <t xml:space="preserve">Data sources</t>
  </si>
  <si>
    <t xml:space="preserve">price: Yahoo Finance chart API at inputs.price_as_of (regular LSE close, GBp); 52-week range 219.0-436.2; GBPUSD=X 1.3240 same date
financials: AAF.L_Metrics.csv (FY2019-FY2026 annual, H1/9M/Q1 interims) from the DuckDB core_metrics; FY2026 Annual Report (cash flow statement, lease note, NCI note 'Interests in other entities', tax note, leverage table) and Q1 FY2027 trading update (23 Jul 2026) for shares repurchased and total net debt
qualitative: AAF.L_Analysis.json (2026-10-04): FY2027 capex guidance ~$1.1bn, dividend policy, energy-cost margin caveat, Airtel Money IPO at ~$7bn with admission 14 Oct 2026, Bharti stake to ~79%</t>
  </si>
  <si>
    <t xml:space="preserve">Scenario narrative: bear</t>
  </si>
  <si>
    <t xml:space="preserve">Another devaluation episode (naira and/or a Francophone or East African currency) in FY28 wipes a year of USD growth; thereafter USD revenue grows only ~3% as depreciation offsets volume. MTN/Safaricom price competition and diesel-driven site costs push the EBITDA margin to 46.5%; USD-indexed tower contracts raise lease cash to 12.5% of a smaller USD revenue base. Capital controls trap cash in opcos, so irrecoverable WHT and unrelieved losses lift the cash tax rate to 38%. Capex intensity stays at 13% to defend share. Growth of 1-3% against an 11.5% USD discount rate leaves most of today's price resting on the terminal value.</t>
  </si>
  <si>
    <t xml:space="preserve">Scenario narrative: base</t>
  </si>
  <si>
    <t xml:space="preserve">Constant-currency growth stays in the low-to-mid teens as data (smartphone penetration ~50% rising toward ~79% by 2030) and Airtel Money (54m customers, TPV +35-50% cc) compound, while Nigeria's 2024/25 tariff uplift laps. Blended local currencies depreciate 6-8% a year against the dollar, so USD revenue grows 16% in FY27 (naira-recovery lapping) then 9% fading to 3%. The post-IFRS-16 EBITDA margin holds near 50% through the energy-cost squeeze and gains ~1pp from mobile-money mix; tower lease cash eases from 11% to 10% of revenue with infrastructure sharing. Capex steps up to the guided $1.1bn plus spectrum and tapers to a 12.5% mature intensity. Cash tax normalises from 21% to 35% of lease-adjusted EBIT as the Nigeria FX-loss DTA is consumed and dividend WHT rises with upstreaming. Minorities are carried at the Airtel Money IPO mark.</t>
  </si>
  <si>
    <t xml:space="preserve">Scenario narrative: bull</t>
  </si>
  <si>
    <t xml:space="preserve">Currencies stabilise (naira held by orthodox CBN policy, East African currencies flat), so constant-currency growth converts almost fully into USD: +20% FY27, double digits for four years. Airtel Money's standalone listing re-rates the fintech franchise and its ~49% margins lift the group margin to 52%; the SpaceX direct-to-cell and Vodacom tower-sharing deals cut lease intensity to 9.5% and capex to 12%. Cash tax stays below the statutory blend as tax losses shelter Nigerian profits for longer and more cash is retained in-country for growth rather than upstreamed through WHT. Terminal growth 3.5% in USD.</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</si>
  <si>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</si>
  <si>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</si>
  <si>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</si>
  <si>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</si>
  <si>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</si>
  <si>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</si>
  <si>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</si>
  <si>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</si>
  <si>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</si>
  <si>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</si>
  <si>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</si>
  <si>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</si>
  <si>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</si>
  <si>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</si>
  <si>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</si>
  <si>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</si>
  <si>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</si>
  <si>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</si>
  <si>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</si>
  <si>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</si>
  <si>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</si>
  <si>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</si>
  <si>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</si>
  <si>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</si>
  <si>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</si>
  <si>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</si>
  <si>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</si>
  <si>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CapexIntangibles</t>
  </si>
  <si>
    <t xml:space="preserve">CapexPPE</t>
  </si>
  <si>
    <t xml:space="preserve">InterestPaid</t>
  </si>
  <si>
    <t xml:space="preserve">ProfitForPeriodTotal</t>
  </si>
  <si>
    <t xml:space="preserve">Subscribers</t>
  </si>
  <si>
    <t xml:space="preserve">UnderlyingEBITDA</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</si>
  <si>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</si>
  <si>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</si>
  <si>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</si>
  <si>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</si>
  <si>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</si>
  <si>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</si>
  <si>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</si>
  <si>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</si>
  <si>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</si>
  <si>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</si>
  <si>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</si>
  <si>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</si>
  <si>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</si>
  <si>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</si>
  <si>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</si>
  <si>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</si>
  <si>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</si>
  <si>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</si>
  <si>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</si>
  <si>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</si>
  <si>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</si>
  <si>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</si>
  <si>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</si>
  <si>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</si>
  <si>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</si>
  <si>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</si>
  <si>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</si>
  <si>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</si>
  <si>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</si>
  <si>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</si>
  <si>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</si>
  <si>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</si>
  <si>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</si>
  <si>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</si>
  <si>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</si>
  <si>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</si>
  <si>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</si>
  <si>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</si>
  <si>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</si>
  <si>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</si>
  <si>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</si>
  <si>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</si>
  <si>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</si>
  <si>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</si>
  <si>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</si>
  <si>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AAF.L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</si>
  <si>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</si>
  <si>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</si>
  <si>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</si>
  <si>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</si>
  <si>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</si>
  <si>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</si>
  <si>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</si>
  <si>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</si>
  <si>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</si>
  <si>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</si>
  <si>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</si>
  <si>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</si>
  <si>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</si>
  <si>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</si>
  <si>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</si>
  <si>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</si>
  <si>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</si>
  <si>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</si>
  <si>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</si>
  <si>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</si>
  <si>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</si>
  <si>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</si>
  <si>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</si>
  <si>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</si>
  <si>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</si>
  <si>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</si>
  <si>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</si>
  <si>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</si>
  <si>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</si>
  <si>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</si>
  <si>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AAF.L owner-FCF component DCF: base case (millions, USD)</t>
  </si>
  <si>
    <t xml:space="preserve">AAF.L owner-FCF component DCF: bull case (millions, USD)</t>
  </si>
  <si>
    <t xml:space="preserve">AAF.L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</si>
  <si>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</si>
  <si>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</si>
  <si>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</si>
  <si>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</si>
  <si>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</si>
  <si>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</si>
  <si>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</si>
  <si>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</si>
  <si>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</si>
  <si>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</si>
  <si>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</si>
  <si>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</si>
  <si>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</si>
  <si>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</si>
  <si>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</si>
  <si>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</si>
  <si>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t>
  </si>
  <si>
    <t xml:space="preserve">Value per share at 11.5% (WACC)</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</si>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</sst>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307.6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row>
    <row r="2" customFormat="false" ht="15" hidden="false" customHeight="false" outlineLevel="0" collapsed="false">
      <c r="A2" s="0" t="s">
        <v>70</v>
      </c>
      <c r="B2" s="0" t="n">
        <v>3077</v>
      </c>
      <c r="F2" s="0" t="n">
        <v>734</v>
      </c>
      <c r="G2" s="0" t="n">
        <v>23.9</v>
      </c>
      <c r="H2" s="0" t="n">
        <v>1307</v>
      </c>
      <c r="I2" s="0" t="n">
        <v>388</v>
      </c>
      <c r="J2" s="0" t="n">
        <v>12.6</v>
      </c>
      <c r="K2" s="0" t="n">
        <v>0.1954</v>
      </c>
      <c r="L2" s="0" t="n">
        <v>1071</v>
      </c>
      <c r="M2" s="0" t="n">
        <v>693</v>
      </c>
      <c r="N2" s="0" t="n">
        <v>378</v>
      </c>
      <c r="O2" s="0" t="n">
        <v>2430</v>
      </c>
      <c r="P2" s="0" t="n">
        <v>9106</v>
      </c>
      <c r="Q2" s="0" t="n">
        <v>6676</v>
      </c>
      <c r="R2" s="0" t="n">
        <v>3621</v>
      </c>
      <c r="S2" s="0" t="n">
        <v>863</v>
      </c>
      <c r="T2" s="0" t="n">
        <v>1986.4</v>
      </c>
      <c r="U2" s="0" t="n">
        <v>1</v>
      </c>
      <c r="AA2" s="0" t="s">
        <v>18</v>
      </c>
      <c r="AB2" s="0" t="s">
        <v>14</v>
      </c>
      <c r="AC2" s="0" t="n">
        <v>125</v>
      </c>
      <c r="AD2" s="0" t="n">
        <v>568</v>
      </c>
      <c r="AE2" s="0" t="n">
        <v>376</v>
      </c>
      <c r="AF2" s="0" t="n">
        <v>426</v>
      </c>
    </row>
    <row r="3" customFormat="false" ht="15" hidden="false" customHeight="false" outlineLevel="0" collapsed="false">
      <c r="A3" s="0" t="s">
        <v>71</v>
      </c>
      <c r="B3" s="0" t="n">
        <v>3422</v>
      </c>
      <c r="F3" s="0" t="n">
        <v>901</v>
      </c>
      <c r="G3" s="0" t="n">
        <v>26.3</v>
      </c>
      <c r="H3" s="0" t="n">
        <v>1533</v>
      </c>
      <c r="I3" s="0" t="n">
        <v>370</v>
      </c>
      <c r="J3" s="0" t="n">
        <v>10.8</v>
      </c>
      <c r="K3" s="0" t="n">
        <v>0.1031</v>
      </c>
      <c r="L3" s="0" t="n">
        <v>1387</v>
      </c>
      <c r="M3" s="0" t="n">
        <v>811</v>
      </c>
      <c r="N3" s="0" t="n">
        <v>576</v>
      </c>
      <c r="O3" s="0" t="n">
        <v>3281</v>
      </c>
      <c r="P3" s="0" t="n">
        <v>9325</v>
      </c>
      <c r="Q3" s="0" t="n">
        <v>6044</v>
      </c>
      <c r="R3" s="0" t="n">
        <v>3110</v>
      </c>
      <c r="S3" s="0" t="n">
        <v>1016</v>
      </c>
      <c r="T3" s="0" t="n">
        <v>3589</v>
      </c>
      <c r="U3" s="0" t="n">
        <v>0</v>
      </c>
      <c r="AA3" s="0" t="s">
        <v>18</v>
      </c>
      <c r="AB3" s="0" t="s">
        <v>14</v>
      </c>
      <c r="AC3" s="0" t="n">
        <v>155</v>
      </c>
      <c r="AD3" s="0" t="n">
        <v>656</v>
      </c>
      <c r="AE3" s="0" t="n">
        <v>318</v>
      </c>
      <c r="AF3" s="0" t="n">
        <v>408</v>
      </c>
    </row>
    <row r="4" customFormat="false" ht="15" hidden="false" customHeight="false" outlineLevel="0" collapsed="false">
      <c r="A4" s="0" t="s">
        <v>72</v>
      </c>
      <c r="B4" s="0" t="n">
        <v>3908</v>
      </c>
      <c r="F4" s="0" t="n">
        <v>1119</v>
      </c>
      <c r="G4" s="0" t="n">
        <v>28.6</v>
      </c>
      <c r="H4" s="0" t="n">
        <v>1800</v>
      </c>
      <c r="I4" s="0" t="n">
        <v>339</v>
      </c>
      <c r="J4" s="0" t="n">
        <v>8.7</v>
      </c>
      <c r="K4" s="0" t="n">
        <v>0.09</v>
      </c>
      <c r="L4" s="0" t="n">
        <v>1666</v>
      </c>
      <c r="M4" s="0" t="n">
        <v>915</v>
      </c>
      <c r="N4" s="0" t="n">
        <v>751</v>
      </c>
      <c r="O4" s="0" t="n">
        <v>3353</v>
      </c>
      <c r="P4" s="0" t="n">
        <v>9992</v>
      </c>
      <c r="Q4" s="0" t="n">
        <v>6639</v>
      </c>
      <c r="R4" s="0" t="n">
        <v>3339</v>
      </c>
      <c r="S4" s="0" t="n">
        <v>1095</v>
      </c>
      <c r="T4" s="0" t="n">
        <v>3757.6</v>
      </c>
      <c r="U4" s="0" t="n">
        <v>0</v>
      </c>
      <c r="AA4" s="0" t="s">
        <v>18</v>
      </c>
      <c r="AB4" s="0" t="s">
        <v>14</v>
      </c>
      <c r="AC4" s="0" t="n">
        <v>270</v>
      </c>
      <c r="AD4" s="0" t="n">
        <v>645</v>
      </c>
      <c r="AE4" s="0" t="n">
        <v>317</v>
      </c>
      <c r="AF4" s="0" t="n">
        <v>415</v>
      </c>
    </row>
    <row r="5" customFormat="false" ht="15" hidden="false" customHeight="false" outlineLevel="0" collapsed="false">
      <c r="A5" s="0" t="s">
        <v>73</v>
      </c>
      <c r="B5" s="0" t="n">
        <v>4714</v>
      </c>
      <c r="F5" s="0" t="n">
        <v>1535</v>
      </c>
      <c r="G5" s="0" t="n">
        <v>32.6</v>
      </c>
      <c r="H5" s="0" t="n">
        <v>2279</v>
      </c>
      <c r="I5" s="0" t="n">
        <v>631</v>
      </c>
      <c r="J5" s="0" t="n">
        <v>13.4</v>
      </c>
      <c r="K5" s="0" t="n">
        <v>0.168</v>
      </c>
      <c r="L5" s="0" t="n">
        <v>2011</v>
      </c>
      <c r="M5" s="0" t="n">
        <v>739</v>
      </c>
      <c r="N5" s="0" t="n">
        <v>1272</v>
      </c>
      <c r="O5" s="0" t="n">
        <v>3649</v>
      </c>
      <c r="P5" s="0" t="n">
        <v>10364</v>
      </c>
      <c r="Q5" s="0" t="n">
        <v>6715</v>
      </c>
      <c r="R5" s="0" t="n">
        <v>2272</v>
      </c>
      <c r="S5" s="0" t="n">
        <v>1016</v>
      </c>
      <c r="T5" s="0" t="n">
        <v>3754.2</v>
      </c>
      <c r="U5" s="0" t="n">
        <v>1</v>
      </c>
      <c r="AA5" s="0" t="s">
        <v>18</v>
      </c>
      <c r="AB5" s="0" t="s">
        <v>14</v>
      </c>
      <c r="AC5" s="0" t="n">
        <v>22</v>
      </c>
      <c r="AD5" s="0" t="n">
        <v>717</v>
      </c>
      <c r="AE5" s="0" t="n">
        <v>370</v>
      </c>
      <c r="AF5" s="0" t="n">
        <v>755</v>
      </c>
      <c r="AH5" s="0" t="n">
        <v>2311</v>
      </c>
    </row>
    <row r="6" customFormat="false" ht="15" hidden="false" customHeight="false" outlineLevel="0" collapsed="false">
      <c r="A6" s="0" t="s">
        <v>74</v>
      </c>
      <c r="B6" s="0" t="n">
        <v>5255</v>
      </c>
      <c r="F6" s="0" t="n">
        <v>1757</v>
      </c>
      <c r="G6" s="0" t="n">
        <v>33.4</v>
      </c>
      <c r="H6" s="0" t="n">
        <v>2575</v>
      </c>
      <c r="I6" s="0" t="n">
        <v>663</v>
      </c>
      <c r="J6" s="0" t="n">
        <v>12.6</v>
      </c>
      <c r="K6" s="0" t="n">
        <v>0.177</v>
      </c>
      <c r="L6" s="0" t="n">
        <v>2229</v>
      </c>
      <c r="M6" s="0" t="n">
        <v>1281</v>
      </c>
      <c r="N6" s="0" t="n">
        <v>948</v>
      </c>
      <c r="O6" s="0" t="n">
        <v>3808</v>
      </c>
      <c r="P6" s="0" t="n">
        <v>11166</v>
      </c>
      <c r="Q6" s="0" t="n">
        <v>7358</v>
      </c>
      <c r="R6" s="0" t="n">
        <v>2178</v>
      </c>
      <c r="S6" s="0" t="n">
        <v>717</v>
      </c>
      <c r="T6" s="0" t="n">
        <v>3751.7</v>
      </c>
      <c r="U6" s="0" t="n">
        <v>2</v>
      </c>
      <c r="AA6" s="0" t="s">
        <v>18</v>
      </c>
      <c r="AB6" s="0" t="s">
        <v>14</v>
      </c>
      <c r="AC6" s="0" t="n">
        <v>502</v>
      </c>
      <c r="AD6" s="0" t="n">
        <v>779</v>
      </c>
      <c r="AE6" s="0" t="n">
        <v>400</v>
      </c>
      <c r="AF6" s="0" t="n">
        <v>750</v>
      </c>
    </row>
    <row r="7" customFormat="false" ht="15" hidden="false" customHeight="false" outlineLevel="0" collapsed="false">
      <c r="A7" s="0" t="s">
        <v>75</v>
      </c>
      <c r="B7" s="0" t="n">
        <v>4979</v>
      </c>
      <c r="F7" s="0" t="n">
        <v>1640</v>
      </c>
      <c r="G7" s="0" t="n">
        <v>32.9</v>
      </c>
      <c r="H7" s="0" t="n">
        <v>2428</v>
      </c>
      <c r="I7" s="0" t="n">
        <v>-165</v>
      </c>
      <c r="J7" s="0" t="n">
        <v>-3.3</v>
      </c>
      <c r="K7" s="0" t="n">
        <v>-0.044</v>
      </c>
      <c r="L7" s="0" t="n">
        <v>2259</v>
      </c>
      <c r="M7" s="0" t="n">
        <v>1029</v>
      </c>
      <c r="N7" s="0" t="n">
        <v>1230</v>
      </c>
      <c r="O7" s="0" t="n">
        <v>2300</v>
      </c>
      <c r="P7" s="0" t="n">
        <v>9861</v>
      </c>
      <c r="Q7" s="0" t="n">
        <v>7561</v>
      </c>
      <c r="R7" s="0" t="n">
        <v>2373</v>
      </c>
      <c r="S7" s="0" t="n">
        <v>975</v>
      </c>
      <c r="T7" s="0" t="n">
        <v>3750.6</v>
      </c>
      <c r="U7" s="0" t="n">
        <v>2</v>
      </c>
      <c r="AA7" s="0" t="s">
        <v>18</v>
      </c>
      <c r="AB7" s="0" t="s">
        <v>14</v>
      </c>
      <c r="AC7" s="0" t="n">
        <v>161</v>
      </c>
      <c r="AD7" s="0" t="n">
        <v>868</v>
      </c>
      <c r="AE7" s="0" t="n">
        <v>440</v>
      </c>
      <c r="AF7" s="0" t="n">
        <v>-89</v>
      </c>
    </row>
    <row r="8" customFormat="false" ht="15" hidden="false" customHeight="false" outlineLevel="0" collapsed="false">
      <c r="A8" s="0" t="s">
        <v>76</v>
      </c>
      <c r="B8" s="0" t="n">
        <v>4955</v>
      </c>
      <c r="F8" s="0" t="n">
        <v>1457</v>
      </c>
      <c r="G8" s="0" t="n">
        <v>29.4</v>
      </c>
      <c r="H8" s="0" t="n">
        <v>2288</v>
      </c>
      <c r="I8" s="0" t="n">
        <v>220</v>
      </c>
      <c r="J8" s="0" t="n">
        <v>4.4</v>
      </c>
      <c r="K8" s="0" t="n">
        <v>0.06</v>
      </c>
      <c r="L8" s="0" t="n">
        <v>2266</v>
      </c>
      <c r="M8" s="0" t="n">
        <v>859</v>
      </c>
      <c r="N8" s="0" t="n">
        <v>1407</v>
      </c>
      <c r="O8" s="0" t="n">
        <v>2775</v>
      </c>
      <c r="P8" s="0" t="n">
        <v>12023</v>
      </c>
      <c r="Q8" s="0" t="n">
        <v>9248</v>
      </c>
      <c r="R8" s="0" t="n">
        <v>2321</v>
      </c>
      <c r="S8" s="0" t="n">
        <v>633</v>
      </c>
      <c r="T8" s="0" t="n">
        <v>3703.1</v>
      </c>
      <c r="U8" s="0" t="n">
        <v>3</v>
      </c>
      <c r="AA8" s="0" t="s">
        <v>18</v>
      </c>
      <c r="AB8" s="0" t="s">
        <v>14</v>
      </c>
      <c r="AC8" s="0" t="n">
        <v>123</v>
      </c>
      <c r="AD8" s="0" t="n">
        <v>736</v>
      </c>
      <c r="AE8" s="0" t="n">
        <v>670</v>
      </c>
      <c r="AF8" s="0" t="n">
        <v>328</v>
      </c>
      <c r="AH8" s="0" t="n">
        <v>2304</v>
      </c>
    </row>
    <row r="9" customFormat="false" ht="15" hidden="false" customHeight="false" outlineLevel="0" collapsed="false">
      <c r="A9" s="0" t="s">
        <v>77</v>
      </c>
      <c r="B9" s="0" t="n">
        <v>6415</v>
      </c>
      <c r="F9" s="0" t="n">
        <v>2115</v>
      </c>
      <c r="G9" s="0" t="n">
        <v>33</v>
      </c>
      <c r="H9" s="0" t="n">
        <v>3162</v>
      </c>
      <c r="I9" s="0" t="n">
        <v>679</v>
      </c>
      <c r="J9" s="0" t="n">
        <v>10.6</v>
      </c>
      <c r="K9" s="0" t="n">
        <v>0.186</v>
      </c>
      <c r="L9" s="0" t="n">
        <v>3195</v>
      </c>
      <c r="M9" s="0" t="n">
        <v>875</v>
      </c>
      <c r="N9" s="0" t="n">
        <v>2320</v>
      </c>
      <c r="O9" s="0" t="n">
        <v>3488</v>
      </c>
      <c r="P9" s="0" t="n">
        <v>13963</v>
      </c>
      <c r="Q9" s="0" t="n">
        <v>10475</v>
      </c>
      <c r="R9" s="0" t="n">
        <v>2188</v>
      </c>
      <c r="S9" s="0" t="n">
        <v>863</v>
      </c>
      <c r="T9" s="0" t="n">
        <v>3650.3</v>
      </c>
      <c r="U9" s="0" t="n">
        <v>5</v>
      </c>
      <c r="AA9" s="0" t="s">
        <v>18</v>
      </c>
      <c r="AB9" s="0" t="s">
        <v>14</v>
      </c>
      <c r="AC9" s="0" t="n">
        <v>122</v>
      </c>
      <c r="AD9" s="0" t="n">
        <v>753</v>
      </c>
      <c r="AE9" s="0" t="n">
        <v>839</v>
      </c>
      <c r="AF9" s="0" t="n">
        <v>813</v>
      </c>
      <c r="AG9" s="0" t="n">
        <v>183.5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78</v>
      </c>
      <c r="B1" s="2" t="s">
        <v>79</v>
      </c>
    </row>
    <row r="2" customFormat="false" ht="15" hidden="false" customHeight="false" outlineLevel="0" collapsed="false">
      <c r="A2" s="0" t="s">
        <v>80</v>
      </c>
      <c r="B2" s="3" t="n">
        <v>307.6</v>
      </c>
    </row>
    <row r="3" customFormat="false" ht="15" hidden="false" customHeight="false" outlineLevel="0" collapsed="false">
      <c r="A3" s="0" t="s">
        <v>81</v>
      </c>
      <c r="B3" s="3" t="n">
        <v>3647</v>
      </c>
    </row>
    <row r="4" customFormat="false" ht="15" hidden="false" customHeight="false" outlineLevel="0" collapsed="false">
      <c r="A4" s="0" t="s">
        <v>82</v>
      </c>
      <c r="B4" s="3" t="n">
        <v>1366</v>
      </c>
    </row>
    <row r="5" customFormat="false" ht="15" hidden="false" customHeight="false" outlineLevel="0" collapsed="false">
      <c r="A5" s="0" t="s">
        <v>83</v>
      </c>
      <c r="B5" s="3" t="n">
        <v>-2200</v>
      </c>
    </row>
    <row r="6" customFormat="false" ht="15" hidden="false" customHeight="false" outlineLevel="0" collapsed="false">
      <c r="A6" s="0" t="s">
        <v>84</v>
      </c>
      <c r="B6" s="3" t="n">
        <v>15</v>
      </c>
    </row>
    <row r="7" customFormat="false" ht="15" hidden="false" customHeight="false" outlineLevel="0" collapsed="false">
      <c r="A7" s="0" t="s">
        <v>85</v>
      </c>
      <c r="B7" s="3" t="n">
        <v>6415</v>
      </c>
    </row>
    <row r="8" customFormat="false" ht="15" hidden="false" customHeight="false" outlineLevel="0" collapsed="false">
      <c r="A8" s="0" t="s">
        <v>86</v>
      </c>
      <c r="B8" s="3" t="s">
        <v>77</v>
      </c>
    </row>
    <row r="9" customFormat="false" ht="15" hidden="false" customHeight="false" outlineLevel="0" collapsed="false">
      <c r="A9" s="0" t="s">
        <v>87</v>
      </c>
      <c r="B9" s="3" t="s">
        <v>88</v>
      </c>
    </row>
    <row r="10" customFormat="false" ht="15" hidden="false" customHeight="false" outlineLevel="0" collapsed="false">
      <c r="A10" s="0" t="s">
        <v>89</v>
      </c>
      <c r="B10" s="3" t="n">
        <v>75.53</v>
      </c>
    </row>
    <row r="12" customFormat="false" ht="15" hidden="false" customHeight="false" outlineLevel="0" collapsed="false">
      <c r="A12" s="2" t="s">
        <v>90</v>
      </c>
      <c r="C12" s="2" t="s">
        <v>91</v>
      </c>
      <c r="D12" s="2" t="s">
        <v>92</v>
      </c>
      <c r="E12" s="2" t="s">
        <v>93</v>
      </c>
      <c r="F12" s="2" t="s">
        <v>94</v>
      </c>
      <c r="G12" s="2" t="s">
        <v>95</v>
      </c>
      <c r="H12" s="2" t="s">
        <v>96</v>
      </c>
      <c r="I12" s="2" t="s">
        <v>97</v>
      </c>
      <c r="J12" s="2" t="s">
        <v>98</v>
      </c>
      <c r="K12" s="2" t="s">
        <v>99</v>
      </c>
      <c r="L12" s="2" t="s">
        <v>100</v>
      </c>
    </row>
    <row r="13" customFormat="false" ht="15" hidden="false" customHeight="false" outlineLevel="0" collapsed="false">
      <c r="A13" s="0" t="s">
        <v>101</v>
      </c>
      <c r="C13" s="3" t="n">
        <v>10</v>
      </c>
      <c r="D13" s="3" t="n">
        <v>1</v>
      </c>
      <c r="E13" s="3" t="n">
        <v>3</v>
      </c>
      <c r="F13" s="3" t="n">
        <v>3</v>
      </c>
      <c r="G13" s="3" t="n">
        <v>3</v>
      </c>
      <c r="H13" s="3" t="n">
        <v>3</v>
      </c>
      <c r="I13" s="3" t="n">
        <v>3</v>
      </c>
      <c r="J13" s="3" t="n">
        <v>3</v>
      </c>
      <c r="K13" s="3" t="n">
        <v>3</v>
      </c>
      <c r="L13" s="3" t="n">
        <v>2.5</v>
      </c>
    </row>
    <row r="14" customFormat="false" ht="15" hidden="false" customHeight="false" outlineLevel="0" collapsed="false">
      <c r="A14" s="0" t="s">
        <v>102</v>
      </c>
      <c r="C14" s="3" t="n">
        <v>48</v>
      </c>
      <c r="D14" s="3" t="n">
        <v>47</v>
      </c>
      <c r="E14" s="3" t="n">
        <v>46.5</v>
      </c>
      <c r="F14" s="3" t="n">
        <v>46.5</v>
      </c>
      <c r="G14" s="3" t="n">
        <v>46.5</v>
      </c>
      <c r="H14" s="3" t="n">
        <v>46.5</v>
      </c>
      <c r="I14" s="3" t="n">
        <v>46.5</v>
      </c>
      <c r="J14" s="3" t="n">
        <v>46.5</v>
      </c>
      <c r="K14" s="3" t="n">
        <v>46.5</v>
      </c>
      <c r="L14" s="3" t="n">
        <v>46.5</v>
      </c>
    </row>
    <row r="15" customFormat="false" ht="15" hidden="false" customHeight="false" outlineLevel="0" collapsed="false">
      <c r="A15" s="0" t="s">
        <v>103</v>
      </c>
      <c r="C15" s="3" t="n">
        <v>0.05</v>
      </c>
      <c r="D15" s="3" t="n">
        <v>0.05</v>
      </c>
      <c r="E15" s="3" t="n">
        <v>0.05</v>
      </c>
      <c r="F15" s="3" t="n">
        <v>0.05</v>
      </c>
      <c r="G15" s="3" t="n">
        <v>0.05</v>
      </c>
      <c r="H15" s="3" t="n">
        <v>0.05</v>
      </c>
      <c r="I15" s="3" t="n">
        <v>0.05</v>
      </c>
      <c r="J15" s="3" t="n">
        <v>0.05</v>
      </c>
      <c r="K15" s="3" t="n">
        <v>0.05</v>
      </c>
      <c r="L15" s="3" t="n">
        <v>0.05</v>
      </c>
    </row>
    <row r="16" customFormat="false" ht="15" hidden="false" customHeight="false" outlineLevel="0" collapsed="false">
      <c r="A16" s="0" t="s">
        <v>104</v>
      </c>
      <c r="C16" s="3" t="n">
        <v>11.5</v>
      </c>
      <c r="D16" s="3" t="n">
        <v>12</v>
      </c>
      <c r="E16" s="3" t="n">
        <v>12.3</v>
      </c>
      <c r="F16" s="3" t="n">
        <v>12.5</v>
      </c>
      <c r="G16" s="3" t="n">
        <v>12.5</v>
      </c>
      <c r="H16" s="3" t="n">
        <v>12.5</v>
      </c>
      <c r="I16" s="3" t="n">
        <v>12.5</v>
      </c>
      <c r="J16" s="3" t="n">
        <v>12.5</v>
      </c>
      <c r="K16" s="3" t="n">
        <v>12.5</v>
      </c>
      <c r="L16" s="3" t="n">
        <v>12.5</v>
      </c>
    </row>
    <row r="17" customFormat="false" ht="15" hidden="false" customHeight="false" outlineLevel="0" collapsed="false">
      <c r="A17" s="0" t="s">
        <v>105</v>
      </c>
      <c r="C17" s="3" t="n">
        <v>10.4</v>
      </c>
      <c r="D17" s="3" t="n">
        <v>11</v>
      </c>
      <c r="E17" s="3" t="n">
        <v>11.5</v>
      </c>
      <c r="F17" s="3" t="n">
        <v>11.8</v>
      </c>
      <c r="G17" s="3" t="n">
        <v>12</v>
      </c>
      <c r="H17" s="3" t="n">
        <v>12</v>
      </c>
      <c r="I17" s="3" t="n">
        <v>12</v>
      </c>
      <c r="J17" s="3" t="n">
        <v>12</v>
      </c>
      <c r="K17" s="3" t="n">
        <v>12</v>
      </c>
      <c r="L17" s="3" t="n">
        <v>12</v>
      </c>
    </row>
    <row r="18" customFormat="false" ht="15" hidden="false" customHeight="false" outlineLevel="0" collapsed="false">
      <c r="A18" s="0" t="s">
        <v>106</v>
      </c>
      <c r="C18" s="3" t="n">
        <v>16</v>
      </c>
      <c r="D18" s="3" t="n">
        <v>15.5</v>
      </c>
      <c r="E18" s="3" t="n">
        <v>14.5</v>
      </c>
      <c r="F18" s="3" t="n">
        <v>14</v>
      </c>
      <c r="G18" s="3" t="n">
        <v>13.5</v>
      </c>
      <c r="H18" s="3" t="n">
        <v>13</v>
      </c>
      <c r="I18" s="3" t="n">
        <v>13</v>
      </c>
      <c r="J18" s="3" t="n">
        <v>13</v>
      </c>
      <c r="K18" s="3" t="n">
        <v>13</v>
      </c>
      <c r="L18" s="3" t="n">
        <v>13</v>
      </c>
    </row>
    <row r="19" customFormat="false" ht="15" hidden="false" customHeight="false" outlineLevel="0" collapsed="false">
      <c r="A19" s="0" t="s">
        <v>107</v>
      </c>
      <c r="C19" s="3" t="n">
        <v>26</v>
      </c>
      <c r="D19" s="3" t="n">
        <v>30</v>
      </c>
      <c r="E19" s="3" t="n">
        <v>33</v>
      </c>
      <c r="F19" s="3" t="n">
        <v>35</v>
      </c>
      <c r="G19" s="3" t="n">
        <v>36</v>
      </c>
      <c r="H19" s="3" t="n">
        <v>37</v>
      </c>
      <c r="I19" s="3" t="n">
        <v>38</v>
      </c>
      <c r="J19" s="3" t="n">
        <v>38</v>
      </c>
      <c r="K19" s="3" t="n">
        <v>38</v>
      </c>
      <c r="L19" s="3" t="n">
        <v>38</v>
      </c>
    </row>
    <row r="20" customFormat="false" ht="15" hidden="false" customHeight="false" outlineLevel="0" collapsed="false">
      <c r="A20" s="0" t="s">
        <v>108</v>
      </c>
      <c r="B20" s="3" t="n">
        <v>11.5</v>
      </c>
    </row>
    <row r="21" customFormat="false" ht="15" hidden="false" customHeight="false" outlineLevel="0" collapsed="false">
      <c r="A21" s="0" t="s">
        <v>109</v>
      </c>
      <c r="B21" s="3" t="n">
        <v>2</v>
      </c>
    </row>
    <row r="22" customFormat="false" ht="15" hidden="false" customHeight="false" outlineLevel="0" collapsed="false">
      <c r="A22" s="0" t="s">
        <v>110</v>
      </c>
      <c r="B22" s="3" t="n">
        <v>15</v>
      </c>
    </row>
    <row r="23" customFormat="false" ht="15" hidden="false" customHeight="false" outlineLevel="0" collapsed="false">
      <c r="A23" s="0" t="s">
        <v>111</v>
      </c>
      <c r="B23" s="3" t="n">
        <v>0</v>
      </c>
    </row>
    <row r="24" customFormat="false" ht="15" hidden="false" customHeight="false" outlineLevel="0" collapsed="false">
      <c r="A24" s="0" t="s">
        <v>112</v>
      </c>
      <c r="B24" s="3" t="n">
        <v>0.25</v>
      </c>
    </row>
    <row r="26" customFormat="false" ht="15" hidden="false" customHeight="false" outlineLevel="0" collapsed="false">
      <c r="A26" s="2" t="s">
        <v>113</v>
      </c>
      <c r="C26" s="2" t="s">
        <v>91</v>
      </c>
      <c r="D26" s="2" t="s">
        <v>92</v>
      </c>
      <c r="E26" s="2" t="s">
        <v>93</v>
      </c>
      <c r="F26" s="2" t="s">
        <v>94</v>
      </c>
      <c r="G26" s="2" t="s">
        <v>95</v>
      </c>
      <c r="H26" s="2" t="s">
        <v>96</v>
      </c>
      <c r="I26" s="2" t="s">
        <v>97</v>
      </c>
      <c r="J26" s="2" t="s">
        <v>98</v>
      </c>
      <c r="K26" s="2" t="s">
        <v>99</v>
      </c>
      <c r="L26" s="2" t="s">
        <v>100</v>
      </c>
    </row>
    <row r="27" customFormat="false" ht="15" hidden="false" customHeight="false" outlineLevel="0" collapsed="false">
      <c r="A27" s="0" t="s">
        <v>101</v>
      </c>
      <c r="C27" s="3" t="n">
        <v>16</v>
      </c>
      <c r="D27" s="3" t="n">
        <v>9</v>
      </c>
      <c r="E27" s="3" t="n">
        <v>7.5</v>
      </c>
      <c r="F27" s="3" t="n">
        <v>6.5</v>
      </c>
      <c r="G27" s="3" t="n">
        <v>6</v>
      </c>
      <c r="H27" s="3" t="n">
        <v>5</v>
      </c>
      <c r="I27" s="3" t="n">
        <v>4.5</v>
      </c>
      <c r="J27" s="3" t="n">
        <v>4</v>
      </c>
      <c r="K27" s="3" t="n">
        <v>3.5</v>
      </c>
      <c r="L27" s="3" t="n">
        <v>3</v>
      </c>
    </row>
    <row r="28" customFormat="false" ht="15" hidden="false" customHeight="false" outlineLevel="0" collapsed="false">
      <c r="A28" s="0" t="s">
        <v>102</v>
      </c>
      <c r="C28" s="3" t="n">
        <v>49.5</v>
      </c>
      <c r="D28" s="3" t="n">
        <v>49.5</v>
      </c>
      <c r="E28" s="3" t="n">
        <v>49.8</v>
      </c>
      <c r="F28" s="3" t="n">
        <v>50</v>
      </c>
      <c r="G28" s="3" t="n">
        <v>50.2</v>
      </c>
      <c r="H28" s="3" t="n">
        <v>50.4</v>
      </c>
      <c r="I28" s="3" t="n">
        <v>50.5</v>
      </c>
      <c r="J28" s="3" t="n">
        <v>50.5</v>
      </c>
      <c r="K28" s="3" t="n">
        <v>50.5</v>
      </c>
      <c r="L28" s="3" t="n">
        <v>50.5</v>
      </c>
    </row>
    <row r="29" customFormat="false" ht="15" hidden="false" customHeight="false" outlineLevel="0" collapsed="false">
      <c r="A29" s="0" t="s">
        <v>103</v>
      </c>
      <c r="C29" s="3" t="n">
        <v>0.05</v>
      </c>
      <c r="D29" s="3" t="n">
        <v>0.05</v>
      </c>
      <c r="E29" s="3" t="n">
        <v>0.05</v>
      </c>
      <c r="F29" s="3" t="n">
        <v>0.05</v>
      </c>
      <c r="G29" s="3" t="n">
        <v>0.05</v>
      </c>
      <c r="H29" s="3" t="n">
        <v>0.05</v>
      </c>
      <c r="I29" s="3" t="n">
        <v>0.05</v>
      </c>
      <c r="J29" s="3" t="n">
        <v>0.05</v>
      </c>
      <c r="K29" s="3" t="n">
        <v>0.05</v>
      </c>
      <c r="L29" s="3" t="n">
        <v>0.05</v>
      </c>
    </row>
    <row r="30" customFormat="false" ht="15" hidden="false" customHeight="false" outlineLevel="0" collapsed="false">
      <c r="A30" s="0" t="s">
        <v>104</v>
      </c>
      <c r="C30" s="3" t="n">
        <v>11</v>
      </c>
      <c r="D30" s="3" t="n">
        <v>10.9</v>
      </c>
      <c r="E30" s="3" t="n">
        <v>10.8</v>
      </c>
      <c r="F30" s="3" t="n">
        <v>10.7</v>
      </c>
      <c r="G30" s="3" t="n">
        <v>10.6</v>
      </c>
      <c r="H30" s="3" t="n">
        <v>10.5</v>
      </c>
      <c r="I30" s="3" t="n">
        <v>10.4</v>
      </c>
      <c r="J30" s="3" t="n">
        <v>10.3</v>
      </c>
      <c r="K30" s="3" t="n">
        <v>10.2</v>
      </c>
      <c r="L30" s="3" t="n">
        <v>10</v>
      </c>
    </row>
    <row r="31" customFormat="false" ht="15" hidden="false" customHeight="false" outlineLevel="0" collapsed="false">
      <c r="A31" s="0" t="s">
        <v>105</v>
      </c>
      <c r="C31" s="3" t="n">
        <v>10.2</v>
      </c>
      <c r="D31" s="3" t="n">
        <v>10.6</v>
      </c>
      <c r="E31" s="3" t="n">
        <v>11</v>
      </c>
      <c r="F31" s="3" t="n">
        <v>11.3</v>
      </c>
      <c r="G31" s="3" t="n">
        <v>11.5</v>
      </c>
      <c r="H31" s="3" t="n">
        <v>11.7</v>
      </c>
      <c r="I31" s="3" t="n">
        <v>11.8</v>
      </c>
      <c r="J31" s="3" t="n">
        <v>11.9</v>
      </c>
      <c r="K31" s="3" t="n">
        <v>12</v>
      </c>
      <c r="L31" s="3" t="n">
        <v>12</v>
      </c>
    </row>
    <row r="32" customFormat="false" ht="15" hidden="false" customHeight="false" outlineLevel="0" collapsed="false">
      <c r="A32" s="0" t="s">
        <v>106</v>
      </c>
      <c r="C32" s="3" t="n">
        <v>15.5</v>
      </c>
      <c r="D32" s="3" t="n">
        <v>15</v>
      </c>
      <c r="E32" s="3" t="n">
        <v>14.5</v>
      </c>
      <c r="F32" s="3" t="n">
        <v>14</v>
      </c>
      <c r="G32" s="3" t="n">
        <v>13.5</v>
      </c>
      <c r="H32" s="3" t="n">
        <v>13</v>
      </c>
      <c r="I32" s="3" t="n">
        <v>12.8</v>
      </c>
      <c r="J32" s="3" t="n">
        <v>12.6</v>
      </c>
      <c r="K32" s="3" t="n">
        <v>12.5</v>
      </c>
      <c r="L32" s="3" t="n">
        <v>12.5</v>
      </c>
    </row>
    <row r="33" customFormat="false" ht="15" hidden="false" customHeight="false" outlineLevel="0" collapsed="false">
      <c r="A33" s="0" t="s">
        <v>107</v>
      </c>
      <c r="C33" s="3" t="n">
        <v>24</v>
      </c>
      <c r="D33" s="3" t="n">
        <v>27</v>
      </c>
      <c r="E33" s="3" t="n">
        <v>30</v>
      </c>
      <c r="F33" s="3" t="n">
        <v>32</v>
      </c>
      <c r="G33" s="3" t="n">
        <v>33</v>
      </c>
      <c r="H33" s="3" t="n">
        <v>34</v>
      </c>
      <c r="I33" s="3" t="n">
        <v>35</v>
      </c>
      <c r="J33" s="3" t="n">
        <v>35</v>
      </c>
      <c r="K33" s="3" t="n">
        <v>35</v>
      </c>
      <c r="L33" s="3" t="n">
        <v>35</v>
      </c>
    </row>
    <row r="34" customFormat="false" ht="15" hidden="false" customHeight="false" outlineLevel="0" collapsed="false">
      <c r="A34" s="0" t="s">
        <v>108</v>
      </c>
      <c r="B34" s="3" t="n">
        <v>11.5</v>
      </c>
    </row>
    <row r="35" customFormat="false" ht="15" hidden="false" customHeight="false" outlineLevel="0" collapsed="false">
      <c r="A35" s="0" t="s">
        <v>109</v>
      </c>
      <c r="B35" s="3" t="n">
        <v>3</v>
      </c>
    </row>
    <row r="36" customFormat="false" ht="15" hidden="false" customHeight="false" outlineLevel="0" collapsed="false">
      <c r="A36" s="0" t="s">
        <v>110</v>
      </c>
      <c r="B36" s="3" t="n">
        <v>15</v>
      </c>
    </row>
    <row r="37" customFormat="false" ht="15" hidden="false" customHeight="false" outlineLevel="0" collapsed="false">
      <c r="A37" s="0" t="s">
        <v>111</v>
      </c>
      <c r="B37" s="3" t="n">
        <v>5</v>
      </c>
    </row>
    <row r="38" customFormat="false" ht="15" hidden="false" customHeight="false" outlineLevel="0" collapsed="false">
      <c r="A38" s="0" t="s">
        <v>112</v>
      </c>
      <c r="B38" s="3" t="n">
        <v>0.5</v>
      </c>
    </row>
    <row r="40" customFormat="false" ht="15" hidden="false" customHeight="false" outlineLevel="0" collapsed="false">
      <c r="A40" s="2" t="s">
        <v>114</v>
      </c>
      <c r="C40" s="2" t="s">
        <v>91</v>
      </c>
      <c r="D40" s="2" t="s">
        <v>92</v>
      </c>
      <c r="E40" s="2" t="s">
        <v>93</v>
      </c>
      <c r="F40" s="2" t="s">
        <v>94</v>
      </c>
      <c r="G40" s="2" t="s">
        <v>95</v>
      </c>
      <c r="H40" s="2" t="s">
        <v>96</v>
      </c>
      <c r="I40" s="2" t="s">
        <v>97</v>
      </c>
      <c r="J40" s="2" t="s">
        <v>98</v>
      </c>
      <c r="K40" s="2" t="s">
        <v>99</v>
      </c>
      <c r="L40" s="2" t="s">
        <v>100</v>
      </c>
    </row>
    <row r="41" customFormat="false" ht="15" hidden="false" customHeight="false" outlineLevel="0" collapsed="false">
      <c r="A41" s="0" t="s">
        <v>101</v>
      </c>
      <c r="C41" s="3" t="n">
        <v>20</v>
      </c>
      <c r="D41" s="3" t="n">
        <v>13</v>
      </c>
      <c r="E41" s="3" t="n">
        <v>11</v>
      </c>
      <c r="F41" s="3" t="n">
        <v>9</v>
      </c>
      <c r="G41" s="3" t="n">
        <v>8</v>
      </c>
      <c r="H41" s="3" t="n">
        <v>7</v>
      </c>
      <c r="I41" s="3" t="n">
        <v>6</v>
      </c>
      <c r="J41" s="3" t="n">
        <v>5</v>
      </c>
      <c r="K41" s="3" t="n">
        <v>4</v>
      </c>
      <c r="L41" s="3" t="n">
        <v>3.5</v>
      </c>
    </row>
    <row r="42" customFormat="false" ht="15" hidden="false" customHeight="false" outlineLevel="0" collapsed="false">
      <c r="A42" s="0" t="s">
        <v>102</v>
      </c>
      <c r="C42" s="3" t="n">
        <v>50</v>
      </c>
      <c r="D42" s="3" t="n">
        <v>50.5</v>
      </c>
      <c r="E42" s="3" t="n">
        <v>51</v>
      </c>
      <c r="F42" s="3" t="n">
        <v>51.3</v>
      </c>
      <c r="G42" s="3" t="n">
        <v>51.6</v>
      </c>
      <c r="H42" s="3" t="n">
        <v>51.8</v>
      </c>
      <c r="I42" s="3" t="n">
        <v>52</v>
      </c>
      <c r="J42" s="3" t="n">
        <v>52</v>
      </c>
      <c r="K42" s="3" t="n">
        <v>52</v>
      </c>
      <c r="L42" s="3" t="n">
        <v>52</v>
      </c>
    </row>
    <row r="43" customFormat="false" ht="15" hidden="false" customHeight="false" outlineLevel="0" collapsed="false">
      <c r="A43" s="0" t="s">
        <v>103</v>
      </c>
      <c r="C43" s="3" t="n">
        <v>0.05</v>
      </c>
      <c r="D43" s="3" t="n">
        <v>0.05</v>
      </c>
      <c r="E43" s="3" t="n">
        <v>0.05</v>
      </c>
      <c r="F43" s="3" t="n">
        <v>0.05</v>
      </c>
      <c r="G43" s="3" t="n">
        <v>0.05</v>
      </c>
      <c r="H43" s="3" t="n">
        <v>0.05</v>
      </c>
      <c r="I43" s="3" t="n">
        <v>0.05</v>
      </c>
      <c r="J43" s="3" t="n">
        <v>0.05</v>
      </c>
      <c r="K43" s="3" t="n">
        <v>0.05</v>
      </c>
      <c r="L43" s="3" t="n">
        <v>0.05</v>
      </c>
    </row>
    <row r="44" customFormat="false" ht="15" hidden="false" customHeight="false" outlineLevel="0" collapsed="false">
      <c r="A44" s="0" t="s">
        <v>104</v>
      </c>
      <c r="C44" s="3" t="n">
        <v>10.8</v>
      </c>
      <c r="D44" s="3" t="n">
        <v>10.6</v>
      </c>
      <c r="E44" s="3" t="n">
        <v>10.4</v>
      </c>
      <c r="F44" s="3" t="n">
        <v>10.2</v>
      </c>
      <c r="G44" s="3" t="n">
        <v>10</v>
      </c>
      <c r="H44" s="3" t="n">
        <v>9.9</v>
      </c>
      <c r="I44" s="3" t="n">
        <v>9.8</v>
      </c>
      <c r="J44" s="3" t="n">
        <v>9.7</v>
      </c>
      <c r="K44" s="3" t="n">
        <v>9.6</v>
      </c>
      <c r="L44" s="3" t="n">
        <v>9.5</v>
      </c>
    </row>
    <row r="45" customFormat="false" ht="15" hidden="false" customHeight="false" outlineLevel="0" collapsed="false">
      <c r="A45" s="0" t="s">
        <v>105</v>
      </c>
      <c r="C45" s="3" t="n">
        <v>10.2</v>
      </c>
      <c r="D45" s="3" t="n">
        <v>10.5</v>
      </c>
      <c r="E45" s="3" t="n">
        <v>10.8</v>
      </c>
      <c r="F45" s="3" t="n">
        <v>11</v>
      </c>
      <c r="G45" s="3" t="n">
        <v>11.2</v>
      </c>
      <c r="H45" s="3" t="n">
        <v>11.4</v>
      </c>
      <c r="I45" s="3" t="n">
        <v>11.5</v>
      </c>
      <c r="J45" s="3" t="n">
        <v>11.6</v>
      </c>
      <c r="K45" s="3" t="n">
        <v>11.7</v>
      </c>
      <c r="L45" s="3" t="n">
        <v>11.8</v>
      </c>
    </row>
    <row r="46" customFormat="false" ht="15" hidden="false" customHeight="false" outlineLevel="0" collapsed="false">
      <c r="A46" s="0" t="s">
        <v>106</v>
      </c>
      <c r="C46" s="3" t="n">
        <v>15.5</v>
      </c>
      <c r="D46" s="3" t="n">
        <v>14.8</v>
      </c>
      <c r="E46" s="3" t="n">
        <v>14.2</v>
      </c>
      <c r="F46" s="3" t="n">
        <v>13.6</v>
      </c>
      <c r="G46" s="3" t="n">
        <v>13</v>
      </c>
      <c r="H46" s="3" t="n">
        <v>12.6</v>
      </c>
      <c r="I46" s="3" t="n">
        <v>12.4</v>
      </c>
      <c r="J46" s="3" t="n">
        <v>12.2</v>
      </c>
      <c r="K46" s="3" t="n">
        <v>12</v>
      </c>
      <c r="L46" s="3" t="n">
        <v>12</v>
      </c>
    </row>
    <row r="47" customFormat="false" ht="15" hidden="false" customHeight="false" outlineLevel="0" collapsed="false">
      <c r="A47" s="0" t="s">
        <v>107</v>
      </c>
      <c r="C47" s="3" t="n">
        <v>23</v>
      </c>
      <c r="D47" s="3" t="n">
        <v>25</v>
      </c>
      <c r="E47" s="3" t="n">
        <v>27</v>
      </c>
      <c r="F47" s="3" t="n">
        <v>29</v>
      </c>
      <c r="G47" s="3" t="n">
        <v>30</v>
      </c>
      <c r="H47" s="3" t="n">
        <v>31</v>
      </c>
      <c r="I47" s="3" t="n">
        <v>32</v>
      </c>
      <c r="J47" s="3" t="n">
        <v>32</v>
      </c>
      <c r="K47" s="3" t="n">
        <v>32</v>
      </c>
      <c r="L47" s="3" t="n">
        <v>32</v>
      </c>
    </row>
    <row r="48" customFormat="false" ht="15" hidden="false" customHeight="false" outlineLevel="0" collapsed="false">
      <c r="A48" s="0" t="s">
        <v>108</v>
      </c>
      <c r="B48" s="3" t="n">
        <v>11.5</v>
      </c>
    </row>
    <row r="49" customFormat="false" ht="15" hidden="false" customHeight="false" outlineLevel="0" collapsed="false">
      <c r="A49" s="0" t="s">
        <v>109</v>
      </c>
      <c r="B49" s="3" t="n">
        <v>3.5</v>
      </c>
    </row>
    <row r="50" customFormat="false" ht="15" hidden="false" customHeight="false" outlineLevel="0" collapsed="false">
      <c r="A50" s="0" t="s">
        <v>110</v>
      </c>
      <c r="B50" s="3" t="n">
        <v>15</v>
      </c>
    </row>
    <row r="51" customFormat="false" ht="15" hidden="false" customHeight="false" outlineLevel="0" collapsed="false">
      <c r="A51" s="0" t="s">
        <v>111</v>
      </c>
      <c r="B51" s="3" t="n">
        <v>8</v>
      </c>
    </row>
    <row r="52" customFormat="false" ht="15" hidden="false" customHeight="false" outlineLevel="0" collapsed="false">
      <c r="A52" s="0" t="s">
        <v>112</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115</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Assumptions!C13</f>
        <v>10</v>
      </c>
      <c r="D5" s="4" t="n">
        <f aca="false">Assumptions!D13</f>
        <v>1</v>
      </c>
      <c r="E5" s="4" t="n">
        <f aca="false">Assumptions!E13</f>
        <v>3</v>
      </c>
      <c r="F5" s="4" t="n">
        <f aca="false">Assumptions!F13</f>
        <v>3</v>
      </c>
      <c r="G5" s="4" t="n">
        <f aca="false">Assumptions!G13</f>
        <v>3</v>
      </c>
      <c r="H5" s="4" t="n">
        <f aca="false">Assumptions!H13</f>
        <v>3</v>
      </c>
      <c r="I5" s="4" t="n">
        <f aca="false">Assumptions!I13</f>
        <v>3</v>
      </c>
      <c r="J5" s="4" t="n">
        <f aca="false">Assumptions!J13</f>
        <v>3</v>
      </c>
      <c r="K5" s="4" t="n">
        <f aca="false">Assumptions!K13</f>
        <v>3</v>
      </c>
      <c r="L5" s="4" t="n">
        <f aca="false">Assumptions!L13</f>
        <v>2.5</v>
      </c>
    </row>
    <row r="6" customFormat="false" ht="15" hidden="false" customHeight="false" outlineLevel="0" collapsed="false">
      <c r="A6" s="0" t="s">
        <v>38</v>
      </c>
      <c r="B6" s="3" t="n">
        <v>6415</v>
      </c>
      <c r="C6" s="0" t="n">
        <f aca="false">B6*(1+C5/100)</f>
        <v>7056.5</v>
      </c>
      <c r="D6" s="0" t="n">
        <f aca="false">C6*(1+D5/100)</f>
        <v>7127.065</v>
      </c>
      <c r="E6" s="0" t="n">
        <f aca="false">D6*(1+E5/100)</f>
        <v>7340.87695</v>
      </c>
      <c r="F6" s="0" t="n">
        <f aca="false">E6*(1+F5/100)</f>
        <v>7561.1032585</v>
      </c>
      <c r="G6" s="0" t="n">
        <f aca="false">F6*(1+G5/100)</f>
        <v>7787.936356255</v>
      </c>
      <c r="H6" s="0" t="n">
        <f aca="false">G6*(1+H5/100)</f>
        <v>8021.57444694265</v>
      </c>
      <c r="I6" s="0" t="n">
        <f aca="false">H6*(1+I5/100)</f>
        <v>8262.22168035093</v>
      </c>
      <c r="J6" s="0" t="n">
        <f aca="false">I6*(1+J5/100)</f>
        <v>8510.08833076146</v>
      </c>
      <c r="K6" s="0" t="n">
        <f aca="false">J6*(1+K5/100)</f>
        <v>8765.3909806843</v>
      </c>
      <c r="L6" s="0" t="n">
        <f aca="false">K6*(1+L5/100)</f>
        <v>8984.52575520141</v>
      </c>
    </row>
    <row r="7" customFormat="false" ht="15" hidden="false" customHeight="false" outlineLevel="0" collapsed="false">
      <c r="A7" s="0" t="s">
        <v>102</v>
      </c>
      <c r="C7" s="4" t="n">
        <f aca="false">Assumptions!C14</f>
        <v>48</v>
      </c>
      <c r="D7" s="4" t="n">
        <f aca="false">Assumptions!D14</f>
        <v>47</v>
      </c>
      <c r="E7" s="4" t="n">
        <f aca="false">Assumptions!E14</f>
        <v>46.5</v>
      </c>
      <c r="F7" s="4" t="n">
        <f aca="false">Assumptions!F14</f>
        <v>46.5</v>
      </c>
      <c r="G7" s="4" t="n">
        <f aca="false">Assumptions!G14</f>
        <v>46.5</v>
      </c>
      <c r="H7" s="4" t="n">
        <f aca="false">Assumptions!H14</f>
        <v>46.5</v>
      </c>
      <c r="I7" s="4" t="n">
        <f aca="false">Assumptions!I14</f>
        <v>46.5</v>
      </c>
      <c r="J7" s="4" t="n">
        <f aca="false">Assumptions!J14</f>
        <v>46.5</v>
      </c>
      <c r="K7" s="4" t="n">
        <f aca="false">Assumptions!K14</f>
        <v>46.5</v>
      </c>
      <c r="L7" s="4" t="n">
        <f aca="false">Assumptions!L14</f>
        <v>46.5</v>
      </c>
    </row>
    <row r="8" customFormat="false" ht="15" hidden="false" customHeight="false" outlineLevel="0" collapsed="false">
      <c r="A8" s="0" t="s">
        <v>44</v>
      </c>
      <c r="C8" s="0" t="n">
        <f aca="false">C6*C7/100</f>
        <v>3387.12</v>
      </c>
      <c r="D8" s="0" t="n">
        <f aca="false">D6*D7/100</f>
        <v>3349.72055</v>
      </c>
      <c r="E8" s="0" t="n">
        <f aca="false">E6*E7/100</f>
        <v>3413.50778175</v>
      </c>
      <c r="F8" s="0" t="n">
        <f aca="false">F6*F7/100</f>
        <v>3515.9130152025</v>
      </c>
      <c r="G8" s="0" t="n">
        <f aca="false">G6*G7/100</f>
        <v>3621.39040565858</v>
      </c>
      <c r="H8" s="0" t="n">
        <f aca="false">H6*H7/100</f>
        <v>3730.03211782833</v>
      </c>
      <c r="I8" s="0" t="n">
        <f aca="false">I6*I7/100</f>
        <v>3841.93308136318</v>
      </c>
      <c r="J8" s="0" t="n">
        <f aca="false">J6*J7/100</f>
        <v>3957.19107380408</v>
      </c>
      <c r="K8" s="0" t="n">
        <f aca="false">K6*K7/100</f>
        <v>4075.9068060182</v>
      </c>
      <c r="L8" s="0" t="n">
        <f aca="false">L6*L7/100</f>
        <v>4177.80447616866</v>
      </c>
    </row>
    <row r="9" customFormat="false" ht="15" hidden="false" customHeight="false" outlineLevel="0" collapsed="false">
      <c r="A9" s="0" t="s">
        <v>103</v>
      </c>
      <c r="C9" s="4" t="n">
        <f aca="false">Assumptions!C15</f>
        <v>0.05</v>
      </c>
      <c r="D9" s="4" t="n">
        <f aca="false">Assumptions!D15</f>
        <v>0.05</v>
      </c>
      <c r="E9" s="4" t="n">
        <f aca="false">Assumptions!E15</f>
        <v>0.05</v>
      </c>
      <c r="F9" s="4" t="n">
        <f aca="false">Assumptions!F15</f>
        <v>0.05</v>
      </c>
      <c r="G9" s="4" t="n">
        <f aca="false">Assumptions!G15</f>
        <v>0.05</v>
      </c>
      <c r="H9" s="4" t="n">
        <f aca="false">Assumptions!H15</f>
        <v>0.05</v>
      </c>
      <c r="I9" s="4" t="n">
        <f aca="false">Assumptions!I15</f>
        <v>0.05</v>
      </c>
      <c r="J9" s="4" t="n">
        <f aca="false">Assumptions!J15</f>
        <v>0.05</v>
      </c>
      <c r="K9" s="4" t="n">
        <f aca="false">Assumptions!K15</f>
        <v>0.05</v>
      </c>
      <c r="L9" s="4" t="n">
        <f aca="false">Assumptions!L15</f>
        <v>0.05</v>
      </c>
    </row>
    <row r="10" customFormat="false" ht="15" hidden="false" customHeight="false" outlineLevel="0" collapsed="false">
      <c r="A10" s="0" t="s">
        <v>118</v>
      </c>
      <c r="C10" s="0" t="n">
        <f aca="false">-C6*C9/100</f>
        <v>-3.52825</v>
      </c>
      <c r="D10" s="0" t="n">
        <f aca="false">-D6*D9/100</f>
        <v>-3.5635325</v>
      </c>
      <c r="E10" s="0" t="n">
        <f aca="false">-E6*E9/100</f>
        <v>-3.670438475</v>
      </c>
      <c r="F10" s="0" t="n">
        <f aca="false">-F6*F9/100</f>
        <v>-3.78055162925</v>
      </c>
      <c r="G10" s="0" t="n">
        <f aca="false">-G6*G9/100</f>
        <v>-3.8939681781275</v>
      </c>
      <c r="H10" s="0" t="n">
        <f aca="false">-H6*H9/100</f>
        <v>-4.01078722347133</v>
      </c>
      <c r="I10" s="0" t="n">
        <f aca="false">-I6*I9/100</f>
        <v>-4.13111084017547</v>
      </c>
      <c r="J10" s="0" t="n">
        <f aca="false">-J6*J9/100</f>
        <v>-4.25504416538073</v>
      </c>
      <c r="K10" s="0" t="n">
        <f aca="false">-K6*K9/100</f>
        <v>-4.38269549034215</v>
      </c>
      <c r="L10" s="0" t="n">
        <f aca="false">-L6*L9/100</f>
        <v>-4.49226287760071</v>
      </c>
    </row>
    <row r="11" customFormat="false" ht="15" hidden="false" customHeight="false" outlineLevel="0" collapsed="false">
      <c r="A11" s="0" t="s">
        <v>119</v>
      </c>
      <c r="C11" s="0" t="n">
        <f aca="false">C8+C10+C24</f>
        <v>2572.09425</v>
      </c>
      <c r="D11" s="0" t="n">
        <f aca="false">D8+D10+D24</f>
        <v>2490.9092175</v>
      </c>
      <c r="E11" s="0" t="n">
        <f aca="false">E8+E10+E24</f>
        <v>2506.909478425</v>
      </c>
      <c r="F11" s="0" t="n">
        <f aca="false">F8+F10+F24</f>
        <v>2566.99455626075</v>
      </c>
      <c r="G11" s="0" t="n">
        <f aca="false">G8+G10+G24</f>
        <v>2644.00439294857</v>
      </c>
      <c r="H11" s="0" t="n">
        <f aca="false">H8+H10+H24</f>
        <v>2723.32452473703</v>
      </c>
      <c r="I11" s="0" t="n">
        <f aca="false">I8+I10+I24</f>
        <v>2805.02426047914</v>
      </c>
      <c r="J11" s="0" t="n">
        <f aca="false">J8+J10+J24</f>
        <v>2889.17498829352</v>
      </c>
      <c r="K11" s="0" t="n">
        <f aca="false">K8+K10+K24</f>
        <v>2975.85023794232</v>
      </c>
      <c r="L11" s="0" t="n">
        <f aca="false">L8+L10+L24</f>
        <v>3050.24649389088</v>
      </c>
    </row>
    <row r="12" customFormat="false" ht="15" hidden="false" customHeight="false" outlineLevel="0" collapsed="false">
      <c r="A12" s="0" t="s">
        <v>120</v>
      </c>
      <c r="C12" s="4" t="n">
        <f aca="false">-C6*Assumptions!C17/100</f>
        <v>-733.876</v>
      </c>
      <c r="D12" s="4" t="n">
        <f aca="false">-D6*Assumptions!D17/100</f>
        <v>-783.97715</v>
      </c>
      <c r="E12" s="4" t="n">
        <f aca="false">-E6*Assumptions!E17/100</f>
        <v>-844.20084925</v>
      </c>
      <c r="F12" s="4" t="n">
        <f aca="false">-F6*Assumptions!F17/100</f>
        <v>-892.210184503</v>
      </c>
      <c r="G12" s="4" t="n">
        <f aca="false">-G6*Assumptions!G17/100</f>
        <v>-934.5523627506</v>
      </c>
      <c r="H12" s="4" t="n">
        <f aca="false">-H6*Assumptions!H17/100</f>
        <v>-962.588933633118</v>
      </c>
      <c r="I12" s="4" t="n">
        <f aca="false">-I6*Assumptions!I17/100</f>
        <v>-991.466601642112</v>
      </c>
      <c r="J12" s="4" t="n">
        <f aca="false">-J6*Assumptions!J17/100</f>
        <v>-1021.21059969138</v>
      </c>
      <c r="K12" s="4" t="n">
        <f aca="false">-K6*Assumptions!K17/100</f>
        <v>-1051.84691768212</v>
      </c>
      <c r="L12" s="4" t="n">
        <f aca="false">-L6*Assumptions!L17/100</f>
        <v>-1078.14309062417</v>
      </c>
    </row>
    <row r="13" customFormat="false" ht="15" hidden="false" customHeight="false" outlineLevel="0" collapsed="false">
      <c r="A13" s="0" t="s">
        <v>121</v>
      </c>
      <c r="C13" s="0" t="n">
        <f aca="false">C11+C12</f>
        <v>1838.21825</v>
      </c>
      <c r="D13" s="0" t="n">
        <f aca="false">D11+D12</f>
        <v>1706.9320675</v>
      </c>
      <c r="E13" s="0" t="n">
        <f aca="false">E11+E12</f>
        <v>1662.708629175</v>
      </c>
      <c r="F13" s="0" t="n">
        <f aca="false">F11+F12</f>
        <v>1674.78437175775</v>
      </c>
      <c r="G13" s="0" t="n">
        <f aca="false">G11+G12</f>
        <v>1709.45203019797</v>
      </c>
      <c r="H13" s="0" t="n">
        <f aca="false">H11+H12</f>
        <v>1760.73559110391</v>
      </c>
      <c r="I13" s="0" t="n">
        <f aca="false">I11+I12</f>
        <v>1813.55765883703</v>
      </c>
      <c r="J13" s="0" t="n">
        <f aca="false">J11+J12</f>
        <v>1867.96438860214</v>
      </c>
      <c r="K13" s="0" t="n">
        <f aca="false">K11+K12</f>
        <v>1924.0033202602</v>
      </c>
      <c r="L13" s="0" t="n">
        <f aca="false">L11+L12</f>
        <v>1972.10340326671</v>
      </c>
    </row>
    <row r="14" customFormat="false" ht="15" hidden="false" customHeight="false" outlineLevel="0" collapsed="false">
      <c r="A14" s="0" t="s">
        <v>107</v>
      </c>
      <c r="C14" s="4" t="n">
        <f aca="false">Assumptions!C19</f>
        <v>26</v>
      </c>
      <c r="D14" s="4" t="n">
        <f aca="false">Assumptions!D19</f>
        <v>30</v>
      </c>
      <c r="E14" s="4" t="n">
        <f aca="false">Assumptions!E19</f>
        <v>33</v>
      </c>
      <c r="F14" s="4" t="n">
        <f aca="false">Assumptions!F19</f>
        <v>35</v>
      </c>
      <c r="G14" s="4" t="n">
        <f aca="false">Assumptions!G19</f>
        <v>36</v>
      </c>
      <c r="H14" s="4" t="n">
        <f aca="false">Assumptions!H19</f>
        <v>37</v>
      </c>
      <c r="I14" s="4" t="n">
        <f aca="false">Assumptions!I19</f>
        <v>38</v>
      </c>
      <c r="J14" s="4" t="n">
        <f aca="false">Assumptions!J19</f>
        <v>38</v>
      </c>
      <c r="K14" s="4" t="n">
        <f aca="false">Assumptions!K19</f>
        <v>38</v>
      </c>
      <c r="L14" s="4" t="n">
        <f aca="false">Assumptions!L19</f>
        <v>38</v>
      </c>
    </row>
    <row r="15" customFormat="false" ht="15" hidden="false" customHeight="false" outlineLevel="0" collapsed="false">
      <c r="A15" s="0" t="s">
        <v>122</v>
      </c>
      <c r="C15" s="0" t="n">
        <f aca="false">C13-MAX(0,C13)*C14/100</f>
        <v>1360.281505</v>
      </c>
      <c r="D15" s="0" t="n">
        <f aca="false">D13-MAX(0,D13)*D14/100</f>
        <v>1194.85244725</v>
      </c>
      <c r="E15" s="0" t="n">
        <f aca="false">E13-MAX(0,E13)*E14/100</f>
        <v>1114.01478154725</v>
      </c>
      <c r="F15" s="0" t="n">
        <f aca="false">F13-MAX(0,F13)*F14/100</f>
        <v>1088.60984164254</v>
      </c>
      <c r="G15" s="0" t="n">
        <f aca="false">G13-MAX(0,G13)*G14/100</f>
        <v>1094.0492993267</v>
      </c>
      <c r="H15" s="0" t="n">
        <f aca="false">H13-MAX(0,H13)*H14/100</f>
        <v>1109.26342239546</v>
      </c>
      <c r="I15" s="0" t="n">
        <f aca="false">I13-MAX(0,I13)*I14/100</f>
        <v>1124.40574847896</v>
      </c>
      <c r="J15" s="0" t="n">
        <f aca="false">J13-MAX(0,J13)*J14/100</f>
        <v>1158.13792093333</v>
      </c>
      <c r="K15" s="0" t="n">
        <f aca="false">K13-MAX(0,K13)*K14/100</f>
        <v>1192.88205856133</v>
      </c>
      <c r="L15" s="0" t="n">
        <f aca="false">L13-MAX(0,L13)*L14/100</f>
        <v>1222.70411002536</v>
      </c>
    </row>
    <row r="16" customFormat="false" ht="15" hidden="false" customHeight="false" outlineLevel="0" collapsed="false">
      <c r="A16" s="0" t="s">
        <v>123</v>
      </c>
      <c r="C16" s="0" t="n">
        <f aca="false">-C12</f>
        <v>733.876</v>
      </c>
      <c r="D16" s="0" t="n">
        <f aca="false">-D12</f>
        <v>783.97715</v>
      </c>
      <c r="E16" s="0" t="n">
        <f aca="false">-E12</f>
        <v>844.20084925</v>
      </c>
      <c r="F16" s="0" t="n">
        <f aca="false">-F12</f>
        <v>892.210184503</v>
      </c>
      <c r="G16" s="0" t="n">
        <f aca="false">-G12</f>
        <v>934.5523627506</v>
      </c>
      <c r="H16" s="0" t="n">
        <f aca="false">-H12</f>
        <v>962.588933633118</v>
      </c>
      <c r="I16" s="0" t="n">
        <f aca="false">-I12</f>
        <v>991.466601642112</v>
      </c>
      <c r="J16" s="0" t="n">
        <f aca="false">-J12</f>
        <v>1021.21059969138</v>
      </c>
      <c r="K16" s="0" t="n">
        <f aca="false">-K12</f>
        <v>1051.84691768212</v>
      </c>
      <c r="L16" s="0" t="n">
        <f aca="false">-L12</f>
        <v>1078.14309062417</v>
      </c>
    </row>
    <row r="17" customFormat="false" ht="15" hidden="false" customHeight="false" outlineLevel="0" collapsed="false">
      <c r="A17" s="0" t="s">
        <v>124</v>
      </c>
      <c r="C17" s="4" t="n">
        <f aca="false">-C6*Assumptions!C18/100</f>
        <v>-1129.04</v>
      </c>
      <c r="D17" s="4" t="n">
        <f aca="false">-D6*Assumptions!D18/100</f>
        <v>-1104.695075</v>
      </c>
      <c r="E17" s="4" t="n">
        <f aca="false">-E6*Assumptions!E18/100</f>
        <v>-1064.42715775</v>
      </c>
      <c r="F17" s="4" t="n">
        <f aca="false">-F6*Assumptions!F18/100</f>
        <v>-1058.55445619</v>
      </c>
      <c r="G17" s="4" t="n">
        <f aca="false">-G6*Assumptions!G18/100</f>
        <v>-1051.37140809443</v>
      </c>
      <c r="H17" s="4" t="n">
        <f aca="false">-H6*Assumptions!H18/100</f>
        <v>-1042.80467810254</v>
      </c>
      <c r="I17" s="4" t="n">
        <f aca="false">-I6*Assumptions!I18/100</f>
        <v>-1074.08881844562</v>
      </c>
      <c r="J17" s="4" t="n">
        <f aca="false">-J6*Assumptions!J18/100</f>
        <v>-1106.31148299899</v>
      </c>
      <c r="K17" s="4" t="n">
        <f aca="false">-K6*Assumptions!K18/100</f>
        <v>-1139.50082748896</v>
      </c>
      <c r="L17" s="4" t="n">
        <f aca="false">-L6*Assumptions!L18/100</f>
        <v>-1167.98834817618</v>
      </c>
    </row>
    <row r="18" customFormat="false" ht="15" hidden="false" customHeight="false" outlineLevel="0" collapsed="false">
      <c r="A18" s="0" t="s">
        <v>125</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126</v>
      </c>
      <c r="C19" s="0" t="n">
        <f aca="false">C15+C16+C17+C18</f>
        <v>965.117505</v>
      </c>
      <c r="D19" s="0" t="n">
        <f aca="false">D15+D16+D17+D18</f>
        <v>874.13452225</v>
      </c>
      <c r="E19" s="0" t="n">
        <f aca="false">E15+E16+E17+E18</f>
        <v>893.78847304725</v>
      </c>
      <c r="F19" s="0" t="n">
        <f aca="false">F15+F16+F17+F18</f>
        <v>922.265569955538</v>
      </c>
      <c r="G19" s="0" t="n">
        <f aca="false">G15+G16+G17+G18</f>
        <v>977.230253982878</v>
      </c>
      <c r="H19" s="0" t="n">
        <f aca="false">H15+H16+H17+H18</f>
        <v>1029.04767792604</v>
      </c>
      <c r="I19" s="0" t="n">
        <f aca="false">I15+I16+I17+I18</f>
        <v>1041.78353167545</v>
      </c>
      <c r="J19" s="0" t="n">
        <f aca="false">J15+J16+J17+J18</f>
        <v>1073.03703762571</v>
      </c>
      <c r="K19" s="0" t="n">
        <f aca="false">K15+K16+K17+K18</f>
        <v>1105.22814875448</v>
      </c>
      <c r="L19" s="0" t="n">
        <f aca="false">L15+L16+L17+L18</f>
        <v>1132.85885247335</v>
      </c>
    </row>
    <row r="20" customFormat="false" ht="15" hidden="false" customHeight="false" outlineLevel="0" collapsed="false">
      <c r="A20" s="0" t="s">
        <v>127</v>
      </c>
      <c r="C20" s="0" t="n">
        <f aca="false">1/(1+$B$27/100)^C4</f>
        <v>0.896860986547085</v>
      </c>
      <c r="D20" s="0" t="n">
        <f aca="false">1/(1+$B$27/100)^D4</f>
        <v>0.804359629190211</v>
      </c>
      <c r="E20" s="0" t="n">
        <f aca="false">1/(1+$B$27/100)^E4</f>
        <v>0.72139877057418</v>
      </c>
      <c r="F20" s="0" t="n">
        <f aca="false">1/(1+$B$27/100)^F4</f>
        <v>0.646994413071014</v>
      </c>
      <c r="G20" s="0" t="n">
        <f aca="false">1/(1+$B$27/100)^G4</f>
        <v>0.580264047597322</v>
      </c>
      <c r="H20" s="0" t="n">
        <f aca="false">1/(1+$B$27/100)^H4</f>
        <v>0.520416186185939</v>
      </c>
      <c r="I20" s="0" t="n">
        <f aca="false">1/(1+$B$27/100)^I4</f>
        <v>0.466740974157793</v>
      </c>
      <c r="J20" s="0" t="n">
        <f aca="false">1/(1+$B$27/100)^J4</f>
        <v>0.418601770545106</v>
      </c>
      <c r="K20" s="0" t="n">
        <f aca="false">1/(1+$B$27/100)^K4</f>
        <v>0.37542759690144</v>
      </c>
      <c r="L20" s="0" t="n">
        <f aca="false">1/(1+$B$27/100)^L4</f>
        <v>0.336706364934027</v>
      </c>
    </row>
    <row r="21" customFormat="false" ht="15" hidden="false" customHeight="false" outlineLevel="0" collapsed="false">
      <c r="A21" s="0" t="s">
        <v>128</v>
      </c>
      <c r="C21" s="0" t="n">
        <f aca="false">C19*C20</f>
        <v>865.576237668162</v>
      </c>
      <c r="D21" s="0" t="n">
        <f aca="false">D19*D20</f>
        <v>703.118520179372</v>
      </c>
      <c r="E21" s="0" t="n">
        <f aca="false">E19*E20</f>
        <v>644.77790560966</v>
      </c>
      <c r="F21" s="0" t="n">
        <f aca="false">F19*F20</f>
        <v>596.700671128987</v>
      </c>
      <c r="G21" s="0" t="n">
        <f aca="false">G19*G20</f>
        <v>567.051582610663</v>
      </c>
      <c r="H21" s="0" t="n">
        <f aca="false">H19*H20</f>
        <v>535.533067949765</v>
      </c>
      <c r="I21" s="0" t="n">
        <f aca="false">I19*I20</f>
        <v>486.243060435745</v>
      </c>
      <c r="J21" s="0" t="n">
        <f aca="false">J19*J20</f>
        <v>449.175203810598</v>
      </c>
      <c r="K21" s="0" t="n">
        <f aca="false">K19*K20</f>
        <v>414.933147914723</v>
      </c>
      <c r="L21" s="0" t="n">
        <f aca="false">L19*L20</f>
        <v>381.440786199633</v>
      </c>
    </row>
    <row r="23" customFormat="false" ht="15" hidden="false" customHeight="false" outlineLevel="0" collapsed="false">
      <c r="A23" s="0" t="s">
        <v>104</v>
      </c>
      <c r="C23" s="4" t="n">
        <f aca="false">Assumptions!C16</f>
        <v>11.5</v>
      </c>
      <c r="D23" s="4" t="n">
        <f aca="false">Assumptions!D16</f>
        <v>12</v>
      </c>
      <c r="E23" s="4" t="n">
        <f aca="false">Assumptions!E16</f>
        <v>12.3</v>
      </c>
      <c r="F23" s="4" t="n">
        <f aca="false">Assumptions!F16</f>
        <v>12.5</v>
      </c>
      <c r="G23" s="4" t="n">
        <f aca="false">Assumptions!G16</f>
        <v>12.5</v>
      </c>
      <c r="H23" s="4" t="n">
        <f aca="false">Assumptions!H16</f>
        <v>12.5</v>
      </c>
      <c r="I23" s="4" t="n">
        <f aca="false">Assumptions!I16</f>
        <v>12.5</v>
      </c>
      <c r="J23" s="4" t="n">
        <f aca="false">Assumptions!J16</f>
        <v>12.5</v>
      </c>
      <c r="K23" s="4" t="n">
        <f aca="false">Assumptions!K16</f>
        <v>12.5</v>
      </c>
      <c r="L23" s="4" t="n">
        <f aca="false">Assumptions!L16</f>
        <v>12.5</v>
      </c>
    </row>
    <row r="24" customFormat="false" ht="15" hidden="false" customHeight="false" outlineLevel="0" collapsed="false">
      <c r="A24" s="0" t="s">
        <v>129</v>
      </c>
      <c r="C24" s="0" t="n">
        <f aca="false">-C6*C23/100</f>
        <v>-811.4975</v>
      </c>
      <c r="D24" s="0" t="n">
        <f aca="false">-D6*D23/100</f>
        <v>-855.2478</v>
      </c>
      <c r="E24" s="0" t="n">
        <f aca="false">-E6*E23/100</f>
        <v>-902.92786485</v>
      </c>
      <c r="F24" s="0" t="n">
        <f aca="false">-F6*F23/100</f>
        <v>-945.1379073125</v>
      </c>
      <c r="G24" s="0" t="n">
        <f aca="false">-G6*G23/100</f>
        <v>-973.492044531875</v>
      </c>
      <c r="H24" s="0" t="n">
        <f aca="false">-H6*H23/100</f>
        <v>-1002.69680586783</v>
      </c>
      <c r="I24" s="0" t="n">
        <f aca="false">-I6*I23/100</f>
        <v>-1032.77771004387</v>
      </c>
      <c r="J24" s="0" t="n">
        <f aca="false">-J6*J23/100</f>
        <v>-1063.76104134518</v>
      </c>
      <c r="K24" s="0" t="n">
        <f aca="false">-K6*K23/100</f>
        <v>-1095.67387258554</v>
      </c>
      <c r="L24" s="0" t="n">
        <f aca="false">-L6*L23/100</f>
        <v>-1123.06571940018</v>
      </c>
    </row>
    <row r="26" customFormat="false" ht="15" hidden="false" customHeight="false" outlineLevel="0" collapsed="false">
      <c r="A26" s="2" t="s">
        <v>130</v>
      </c>
    </row>
    <row r="27" customFormat="false" ht="15" hidden="false" customHeight="false" outlineLevel="0" collapsed="false">
      <c r="A27" s="0" t="s">
        <v>108</v>
      </c>
      <c r="B27" s="4" t="n">
        <f aca="false">Assumptions!$B$20</f>
        <v>11.5</v>
      </c>
    </row>
    <row r="28" customFormat="false" ht="15" hidden="false" customHeight="false" outlineLevel="0" collapsed="false">
      <c r="A28" s="0" t="s">
        <v>109</v>
      </c>
      <c r="B28" s="4" t="n">
        <f aca="false">Assumptions!$B$21</f>
        <v>2</v>
      </c>
    </row>
    <row r="29" customFormat="false" ht="15" hidden="false" customHeight="false" outlineLevel="0" collapsed="false">
      <c r="A29" s="0" t="s">
        <v>110</v>
      </c>
      <c r="B29" s="4" t="n">
        <f aca="false">Assumptions!$B$22</f>
        <v>15</v>
      </c>
    </row>
    <row r="30" customFormat="false" ht="15" hidden="false" customHeight="false" outlineLevel="0" collapsed="false">
      <c r="A30" s="0" t="s">
        <v>131</v>
      </c>
      <c r="B30" s="0" t="n">
        <f aca="false">SUM(C21:L21)</f>
        <v>5644.55018350731</v>
      </c>
    </row>
    <row r="31" customFormat="false" ht="15" hidden="false" customHeight="false" outlineLevel="0" collapsed="false">
      <c r="A31" s="0" t="s">
        <v>132</v>
      </c>
      <c r="B31" s="0" t="n">
        <f aca="false">L19</f>
        <v>1132.85885247335</v>
      </c>
    </row>
    <row r="32" customFormat="false" ht="15" hidden="false" customHeight="false" outlineLevel="0" collapsed="false">
      <c r="A32" s="0" t="s">
        <v>133</v>
      </c>
      <c r="B32" s="0" t="n">
        <f aca="false">IF(B27&gt;B28,B31*(1+B28/100)/((B27-B28)/100),B31*B29)</f>
        <v>12163.3266265559</v>
      </c>
    </row>
    <row r="33" customFormat="false" ht="15" hidden="false" customHeight="false" outlineLevel="0" collapsed="false">
      <c r="A33" s="0" t="s">
        <v>134</v>
      </c>
      <c r="B33" s="0" t="n">
        <f aca="false">B31*B29</f>
        <v>16992.8827871002</v>
      </c>
    </row>
    <row r="34" customFormat="false" ht="15" hidden="false" customHeight="false" outlineLevel="0" collapsed="false">
      <c r="A34" s="0" t="s">
        <v>135</v>
      </c>
      <c r="B34" s="0" t="n">
        <f aca="false">MAX(0,MIN(B32,B33))</f>
        <v>12163.3266265559</v>
      </c>
    </row>
    <row r="35" customFormat="false" ht="15" hidden="false" customHeight="false" outlineLevel="0" collapsed="false">
      <c r="A35" s="0" t="s">
        <v>136</v>
      </c>
      <c r="B35" s="0" t="n">
        <f aca="false">B34/(1+B27/100)^L4</f>
        <v>4095.4694939329</v>
      </c>
    </row>
    <row r="36" customFormat="false" ht="15" hidden="false" customHeight="false" outlineLevel="0" collapsed="false">
      <c r="A36" s="0" t="s">
        <v>137</v>
      </c>
      <c r="B36" s="0" t="n">
        <f aca="false">B30+B35</f>
        <v>9740.01967744021</v>
      </c>
    </row>
    <row r="37" customFormat="false" ht="15" hidden="false" customHeight="false" outlineLevel="0" collapsed="false">
      <c r="A37" s="0" t="s">
        <v>138</v>
      </c>
      <c r="B37" s="0" t="n">
        <f aca="false">B36+Assumptions!$B$5-Assumptions!$B$4</f>
        <v>6174.01967744021</v>
      </c>
    </row>
    <row r="38" customFormat="false" ht="15" hidden="false" customHeight="false" outlineLevel="0" collapsed="false">
      <c r="A38" s="0" t="s">
        <v>139</v>
      </c>
      <c r="B38" s="0" t="n">
        <f aca="false">B37/Assumptions!$B$3*Assumptions!$B$10</f>
        <v>127.865014049098</v>
      </c>
    </row>
    <row r="39" customFormat="false" ht="15" hidden="false" customHeight="false" outlineLevel="0" collapsed="false">
      <c r="A39" s="0" t="s">
        <v>140</v>
      </c>
      <c r="B39" s="4" t="n">
        <f aca="false">B38/Assumptions!$B$2-1</f>
        <v>-0.584313998539995</v>
      </c>
    </row>
    <row r="41" customFormat="false" ht="15" hidden="false" customHeight="false" outlineLevel="0" collapsed="false">
      <c r="A41" s="0" t="s">
        <v>141</v>
      </c>
      <c r="B41" s="0" t="n">
        <f aca="false">SUMPRODUCT(-C10:L10/(1+$B$27/100)^C4:L4)</f>
        <v>22.3386514275824</v>
      </c>
    </row>
    <row r="42" customFormat="false" ht="15" hidden="false" customHeight="false" outlineLevel="0" collapsed="false">
      <c r="A42" s="0" t="s">
        <v>142</v>
      </c>
      <c r="B42" s="0" t="n">
        <f aca="false">IF(B27&gt;B28,-L10*(1+B28/100)/((B27-B28)/100),-L10*20)/(1+B27/100)^L4</f>
        <v>16.2402628833885</v>
      </c>
    </row>
    <row r="43" customFormat="false" ht="15" hidden="false" customHeight="false" outlineLevel="0" collapsed="false">
      <c r="A43" s="0" t="s">
        <v>143</v>
      </c>
      <c r="B43" s="0" t="n">
        <f aca="false">(B37+B41+B42)/Assumptions!$B$3*Assumptions!$B$10</f>
        <v>128.663990028782</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8888.58484248318</v>
      </c>
    </row>
    <row r="47" customFormat="false" ht="15" hidden="false" customHeight="false" outlineLevel="0" collapsed="false">
      <c r="A47" s="0" t="s">
        <v>145</v>
      </c>
      <c r="B47" s="0" t="n">
        <f aca="false">(SUMPRODUCT(C19:L19/(1+B45/100)^C4:L4)+B46/(1+B45/100)^L4+Assumptions!$B$5-Assumptions!$B$4)/Assumptions!$B$3*Assumptions!$B$10</f>
        <v>72.7689130786265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Assumptions!C27</f>
        <v>16</v>
      </c>
      <c r="D5" s="4" t="n">
        <f aca="false">Assumptions!D27</f>
        <v>9</v>
      </c>
      <c r="E5" s="4" t="n">
        <f aca="false">Assumptions!E27</f>
        <v>7.5</v>
      </c>
      <c r="F5" s="4" t="n">
        <f aca="false">Assumptions!F27</f>
        <v>6.5</v>
      </c>
      <c r="G5" s="4" t="n">
        <f aca="false">Assumptions!G27</f>
        <v>6</v>
      </c>
      <c r="H5" s="4" t="n">
        <f aca="false">Assumptions!H27</f>
        <v>5</v>
      </c>
      <c r="I5" s="4" t="n">
        <f aca="false">Assumptions!I27</f>
        <v>4.5</v>
      </c>
      <c r="J5" s="4" t="n">
        <f aca="false">Assumptions!J27</f>
        <v>4</v>
      </c>
      <c r="K5" s="4" t="n">
        <f aca="false">Assumptions!K27</f>
        <v>3.5</v>
      </c>
      <c r="L5" s="4" t="n">
        <f aca="false">Assumptions!L27</f>
        <v>3</v>
      </c>
    </row>
    <row r="6" customFormat="false" ht="15" hidden="false" customHeight="false" outlineLevel="0" collapsed="false">
      <c r="A6" s="0" t="s">
        <v>38</v>
      </c>
      <c r="B6" s="3" t="n">
        <v>6415</v>
      </c>
      <c r="C6" s="0" t="n">
        <f aca="false">B6*(1+C5/100)</f>
        <v>7441.4</v>
      </c>
      <c r="D6" s="0" t="n">
        <f aca="false">C6*(1+D5/100)</f>
        <v>8111.126</v>
      </c>
      <c r="E6" s="0" t="n">
        <f aca="false">D6*(1+E5/100)</f>
        <v>8719.46045</v>
      </c>
      <c r="F6" s="0" t="n">
        <f aca="false">E6*(1+F5/100)</f>
        <v>9286.22537925</v>
      </c>
      <c r="G6" s="0" t="n">
        <f aca="false">F6*(1+G5/100)</f>
        <v>9843.398902005</v>
      </c>
      <c r="H6" s="0" t="n">
        <f aca="false">G6*(1+H5/100)</f>
        <v>10335.5688471052</v>
      </c>
      <c r="I6" s="0" t="n">
        <f aca="false">H6*(1+I5/100)</f>
        <v>10800.669445225</v>
      </c>
      <c r="J6" s="0" t="n">
        <f aca="false">I6*(1+J5/100)</f>
        <v>11232.696223034</v>
      </c>
      <c r="K6" s="0" t="n">
        <f aca="false">J6*(1+K5/100)</f>
        <v>11625.8405908402</v>
      </c>
      <c r="L6" s="0" t="n">
        <f aca="false">K6*(1+L5/100)</f>
        <v>11974.6158085654</v>
      </c>
    </row>
    <row r="7" customFormat="false" ht="15" hidden="false" customHeight="false" outlineLevel="0" collapsed="false">
      <c r="A7" s="0" t="s">
        <v>102</v>
      </c>
      <c r="C7" s="4" t="n">
        <f aca="false">Assumptions!C28</f>
        <v>49.5</v>
      </c>
      <c r="D7" s="4" t="n">
        <f aca="false">Assumptions!D28</f>
        <v>49.5</v>
      </c>
      <c r="E7" s="4" t="n">
        <f aca="false">Assumptions!E28</f>
        <v>49.8</v>
      </c>
      <c r="F7" s="4" t="n">
        <f aca="false">Assumptions!F28</f>
        <v>50</v>
      </c>
      <c r="G7" s="4" t="n">
        <f aca="false">Assumptions!G28</f>
        <v>50.2</v>
      </c>
      <c r="H7" s="4" t="n">
        <f aca="false">Assumptions!H28</f>
        <v>50.4</v>
      </c>
      <c r="I7" s="4" t="n">
        <f aca="false">Assumptions!I28</f>
        <v>50.5</v>
      </c>
      <c r="J7" s="4" t="n">
        <f aca="false">Assumptions!J28</f>
        <v>50.5</v>
      </c>
      <c r="K7" s="4" t="n">
        <f aca="false">Assumptions!K28</f>
        <v>50.5</v>
      </c>
      <c r="L7" s="4" t="n">
        <f aca="false">Assumptions!L28</f>
        <v>50.5</v>
      </c>
    </row>
    <row r="8" customFormat="false" ht="15" hidden="false" customHeight="false" outlineLevel="0" collapsed="false">
      <c r="A8" s="0" t="s">
        <v>44</v>
      </c>
      <c r="C8" s="0" t="n">
        <f aca="false">C6*C7/100</f>
        <v>3683.493</v>
      </c>
      <c r="D8" s="0" t="n">
        <f aca="false">D6*D7/100</f>
        <v>4015.00737</v>
      </c>
      <c r="E8" s="0" t="n">
        <f aca="false">E6*E7/100</f>
        <v>4342.2913041</v>
      </c>
      <c r="F8" s="0" t="n">
        <f aca="false">F6*F7/100</f>
        <v>4643.112689625</v>
      </c>
      <c r="G8" s="0" t="n">
        <f aca="false">G6*G7/100</f>
        <v>4941.38624880651</v>
      </c>
      <c r="H8" s="0" t="n">
        <f aca="false">H6*H7/100</f>
        <v>5209.12669894105</v>
      </c>
      <c r="I8" s="0" t="n">
        <f aca="false">I6*I7/100</f>
        <v>5454.33806983862</v>
      </c>
      <c r="J8" s="0" t="n">
        <f aca="false">J6*J7/100</f>
        <v>5672.51159263216</v>
      </c>
      <c r="K8" s="0" t="n">
        <f aca="false">K6*K7/100</f>
        <v>5871.04949837429</v>
      </c>
      <c r="L8" s="0" t="n">
        <f aca="false">L6*L7/100</f>
        <v>6047.18098332552</v>
      </c>
    </row>
    <row r="9" customFormat="false" ht="15" hidden="false" customHeight="false" outlineLevel="0" collapsed="false">
      <c r="A9" s="0" t="s">
        <v>103</v>
      </c>
      <c r="C9" s="4" t="n">
        <f aca="false">Assumptions!C29</f>
        <v>0.05</v>
      </c>
      <c r="D9" s="4" t="n">
        <f aca="false">Assumptions!D29</f>
        <v>0.05</v>
      </c>
      <c r="E9" s="4" t="n">
        <f aca="false">Assumptions!E29</f>
        <v>0.05</v>
      </c>
      <c r="F9" s="4" t="n">
        <f aca="false">Assumptions!F29</f>
        <v>0.05</v>
      </c>
      <c r="G9" s="4" t="n">
        <f aca="false">Assumptions!G29</f>
        <v>0.05</v>
      </c>
      <c r="H9" s="4" t="n">
        <f aca="false">Assumptions!H29</f>
        <v>0.05</v>
      </c>
      <c r="I9" s="4" t="n">
        <f aca="false">Assumptions!I29</f>
        <v>0.05</v>
      </c>
      <c r="J9" s="4" t="n">
        <f aca="false">Assumptions!J29</f>
        <v>0.05</v>
      </c>
      <c r="K9" s="4" t="n">
        <f aca="false">Assumptions!K29</f>
        <v>0.05</v>
      </c>
      <c r="L9" s="4" t="n">
        <f aca="false">Assumptions!L29</f>
        <v>0.05</v>
      </c>
    </row>
    <row r="10" customFormat="false" ht="15" hidden="false" customHeight="false" outlineLevel="0" collapsed="false">
      <c r="A10" s="0" t="s">
        <v>118</v>
      </c>
      <c r="C10" s="0" t="n">
        <f aca="false">-C6*C9/100</f>
        <v>-3.7207</v>
      </c>
      <c r="D10" s="0" t="n">
        <f aca="false">-D6*D9/100</f>
        <v>-4.055563</v>
      </c>
      <c r="E10" s="0" t="n">
        <f aca="false">-E6*E9/100</f>
        <v>-4.359730225</v>
      </c>
      <c r="F10" s="0" t="n">
        <f aca="false">-F6*F9/100</f>
        <v>-4.643112689625</v>
      </c>
      <c r="G10" s="0" t="n">
        <f aca="false">-G6*G9/100</f>
        <v>-4.9216994510025</v>
      </c>
      <c r="H10" s="0" t="n">
        <f aca="false">-H6*H9/100</f>
        <v>-5.16778442355262</v>
      </c>
      <c r="I10" s="0" t="n">
        <f aca="false">-I6*I9/100</f>
        <v>-5.40033472261249</v>
      </c>
      <c r="J10" s="0" t="n">
        <f aca="false">-J6*J9/100</f>
        <v>-5.61634811151699</v>
      </c>
      <c r="K10" s="0" t="n">
        <f aca="false">-K6*K9/100</f>
        <v>-5.81292029542009</v>
      </c>
      <c r="L10" s="0" t="n">
        <f aca="false">-L6*L9/100</f>
        <v>-5.98730790428269</v>
      </c>
    </row>
    <row r="11" customFormat="false" ht="15" hidden="false" customHeight="false" outlineLevel="0" collapsed="false">
      <c r="A11" s="0" t="s">
        <v>119</v>
      </c>
      <c r="C11" s="0" t="n">
        <f aca="false">C8+C10+C24</f>
        <v>2861.2183</v>
      </c>
      <c r="D11" s="0" t="n">
        <f aca="false">D8+D10+D24</f>
        <v>3126.839073</v>
      </c>
      <c r="E11" s="0" t="n">
        <f aca="false">E8+E10+E24</f>
        <v>3396.229845275</v>
      </c>
      <c r="F11" s="0" t="n">
        <f aca="false">F8+F10+F24</f>
        <v>3644.84346135562</v>
      </c>
      <c r="G11" s="0" t="n">
        <f aca="false">G8+G10+G24</f>
        <v>3893.06426574298</v>
      </c>
      <c r="H11" s="0" t="n">
        <f aca="false">H8+H10+H24</f>
        <v>4118.72418557144</v>
      </c>
      <c r="I11" s="0" t="n">
        <f aca="false">I8+I10+I24</f>
        <v>4325.66811281261</v>
      </c>
      <c r="J11" s="0" t="n">
        <f aca="false">J8+J10+J24</f>
        <v>4509.92753354814</v>
      </c>
      <c r="K11" s="0" t="n">
        <f aca="false">K8+K10+K24</f>
        <v>4679.40083781317</v>
      </c>
      <c r="L11" s="0" t="n">
        <f aca="false">L8+L10+L24</f>
        <v>4843.7320945647</v>
      </c>
    </row>
    <row r="12" customFormat="false" ht="15" hidden="false" customHeight="false" outlineLevel="0" collapsed="false">
      <c r="A12" s="0" t="s">
        <v>120</v>
      </c>
      <c r="C12" s="4" t="n">
        <f aca="false">-C6*Assumptions!C31/100</f>
        <v>-759.0228</v>
      </c>
      <c r="D12" s="4" t="n">
        <f aca="false">-D6*Assumptions!D31/100</f>
        <v>-859.779356</v>
      </c>
      <c r="E12" s="4" t="n">
        <f aca="false">-E6*Assumptions!E31/100</f>
        <v>-959.1406495</v>
      </c>
      <c r="F12" s="4" t="n">
        <f aca="false">-F6*Assumptions!F31/100</f>
        <v>-1049.34346785525</v>
      </c>
      <c r="G12" s="4" t="n">
        <f aca="false">-G6*Assumptions!G31/100</f>
        <v>-1131.99087373058</v>
      </c>
      <c r="H12" s="4" t="n">
        <f aca="false">-H6*Assumptions!H31/100</f>
        <v>-1209.26155511131</v>
      </c>
      <c r="I12" s="4" t="n">
        <f aca="false">-I6*Assumptions!I31/100</f>
        <v>-1274.47899453655</v>
      </c>
      <c r="J12" s="4" t="n">
        <f aca="false">-J6*Assumptions!J31/100</f>
        <v>-1336.69085054104</v>
      </c>
      <c r="K12" s="4" t="n">
        <f aca="false">-K6*Assumptions!K31/100</f>
        <v>-1395.10087090082</v>
      </c>
      <c r="L12" s="4" t="n">
        <f aca="false">-L6*Assumptions!L31/100</f>
        <v>-1436.95389702785</v>
      </c>
    </row>
    <row r="13" customFormat="false" ht="15" hidden="false" customHeight="false" outlineLevel="0" collapsed="false">
      <c r="A13" s="0" t="s">
        <v>121</v>
      </c>
      <c r="C13" s="0" t="n">
        <f aca="false">C11+C12</f>
        <v>2102.1955</v>
      </c>
      <c r="D13" s="0" t="n">
        <f aca="false">D11+D12</f>
        <v>2267.059717</v>
      </c>
      <c r="E13" s="0" t="n">
        <f aca="false">E11+E12</f>
        <v>2437.089195775</v>
      </c>
      <c r="F13" s="0" t="n">
        <f aca="false">F11+F12</f>
        <v>2595.49999350037</v>
      </c>
      <c r="G13" s="0" t="n">
        <f aca="false">G11+G12</f>
        <v>2761.0733920124</v>
      </c>
      <c r="H13" s="0" t="n">
        <f aca="false">H11+H12</f>
        <v>2909.46263046013</v>
      </c>
      <c r="I13" s="0" t="n">
        <f aca="false">I11+I12</f>
        <v>3051.18911827606</v>
      </c>
      <c r="J13" s="0" t="n">
        <f aca="false">J11+J12</f>
        <v>3173.2366830071</v>
      </c>
      <c r="K13" s="0" t="n">
        <f aca="false">K11+K12</f>
        <v>3284.29996691235</v>
      </c>
      <c r="L13" s="0" t="n">
        <f aca="false">L11+L12</f>
        <v>3406.77819753685</v>
      </c>
    </row>
    <row r="14" customFormat="false" ht="15" hidden="false" customHeight="false" outlineLevel="0" collapsed="false">
      <c r="A14" s="0" t="s">
        <v>107</v>
      </c>
      <c r="C14" s="4" t="n">
        <f aca="false">Assumptions!C33</f>
        <v>24</v>
      </c>
      <c r="D14" s="4" t="n">
        <f aca="false">Assumptions!D33</f>
        <v>27</v>
      </c>
      <c r="E14" s="4" t="n">
        <f aca="false">Assumptions!E33</f>
        <v>30</v>
      </c>
      <c r="F14" s="4" t="n">
        <f aca="false">Assumptions!F33</f>
        <v>32</v>
      </c>
      <c r="G14" s="4" t="n">
        <f aca="false">Assumptions!G33</f>
        <v>33</v>
      </c>
      <c r="H14" s="4" t="n">
        <f aca="false">Assumptions!H33</f>
        <v>34</v>
      </c>
      <c r="I14" s="4" t="n">
        <f aca="false">Assumptions!I33</f>
        <v>35</v>
      </c>
      <c r="J14" s="4" t="n">
        <f aca="false">Assumptions!J33</f>
        <v>35</v>
      </c>
      <c r="K14" s="4" t="n">
        <f aca="false">Assumptions!K33</f>
        <v>35</v>
      </c>
      <c r="L14" s="4" t="n">
        <f aca="false">Assumptions!L33</f>
        <v>35</v>
      </c>
    </row>
    <row r="15" customFormat="false" ht="15" hidden="false" customHeight="false" outlineLevel="0" collapsed="false">
      <c r="A15" s="0" t="s">
        <v>122</v>
      </c>
      <c r="C15" s="0" t="n">
        <f aca="false">C13-MAX(0,C13)*C14/100</f>
        <v>1597.66858</v>
      </c>
      <c r="D15" s="0" t="n">
        <f aca="false">D13-MAX(0,D13)*D14/100</f>
        <v>1654.95359341</v>
      </c>
      <c r="E15" s="0" t="n">
        <f aca="false">E13-MAX(0,E13)*E14/100</f>
        <v>1705.9624370425</v>
      </c>
      <c r="F15" s="0" t="n">
        <f aca="false">F13-MAX(0,F13)*F14/100</f>
        <v>1764.93999558025</v>
      </c>
      <c r="G15" s="0" t="n">
        <f aca="false">G13-MAX(0,G13)*G14/100</f>
        <v>1849.91917264831</v>
      </c>
      <c r="H15" s="0" t="n">
        <f aca="false">H13-MAX(0,H13)*H14/100</f>
        <v>1920.24533610368</v>
      </c>
      <c r="I15" s="0" t="n">
        <f aca="false">I13-MAX(0,I13)*I14/100</f>
        <v>1983.27292687944</v>
      </c>
      <c r="J15" s="0" t="n">
        <f aca="false">J13-MAX(0,J13)*J14/100</f>
        <v>2062.60384395462</v>
      </c>
      <c r="K15" s="0" t="n">
        <f aca="false">K13-MAX(0,K13)*K14/100</f>
        <v>2134.79497849303</v>
      </c>
      <c r="L15" s="0" t="n">
        <f aca="false">L13-MAX(0,L13)*L14/100</f>
        <v>2214.40582839895</v>
      </c>
    </row>
    <row r="16" customFormat="false" ht="15" hidden="false" customHeight="false" outlineLevel="0" collapsed="false">
      <c r="A16" s="0" t="s">
        <v>123</v>
      </c>
      <c r="C16" s="0" t="n">
        <f aca="false">-C12</f>
        <v>759.0228</v>
      </c>
      <c r="D16" s="0" t="n">
        <f aca="false">-D12</f>
        <v>859.779356</v>
      </c>
      <c r="E16" s="0" t="n">
        <f aca="false">-E12</f>
        <v>959.1406495</v>
      </c>
      <c r="F16" s="0" t="n">
        <f aca="false">-F12</f>
        <v>1049.34346785525</v>
      </c>
      <c r="G16" s="0" t="n">
        <f aca="false">-G12</f>
        <v>1131.99087373058</v>
      </c>
      <c r="H16" s="0" t="n">
        <f aca="false">-H12</f>
        <v>1209.26155511131</v>
      </c>
      <c r="I16" s="0" t="n">
        <f aca="false">-I12</f>
        <v>1274.47899453655</v>
      </c>
      <c r="J16" s="0" t="n">
        <f aca="false">-J12</f>
        <v>1336.69085054104</v>
      </c>
      <c r="K16" s="0" t="n">
        <f aca="false">-K12</f>
        <v>1395.10087090082</v>
      </c>
      <c r="L16" s="0" t="n">
        <f aca="false">-L12</f>
        <v>1436.95389702785</v>
      </c>
    </row>
    <row r="17" customFormat="false" ht="15" hidden="false" customHeight="false" outlineLevel="0" collapsed="false">
      <c r="A17" s="0" t="s">
        <v>124</v>
      </c>
      <c r="C17" s="4" t="n">
        <f aca="false">-C6*Assumptions!C32/100</f>
        <v>-1153.417</v>
      </c>
      <c r="D17" s="4" t="n">
        <f aca="false">-D6*Assumptions!D32/100</f>
        <v>-1216.6689</v>
      </c>
      <c r="E17" s="4" t="n">
        <f aca="false">-E6*Assumptions!E32/100</f>
        <v>-1264.32176525</v>
      </c>
      <c r="F17" s="4" t="n">
        <f aca="false">-F6*Assumptions!F32/100</f>
        <v>-1300.071553095</v>
      </c>
      <c r="G17" s="4" t="n">
        <f aca="false">-G6*Assumptions!G32/100</f>
        <v>-1328.85885177067</v>
      </c>
      <c r="H17" s="4" t="n">
        <f aca="false">-H6*Assumptions!H32/100</f>
        <v>-1343.62395012368</v>
      </c>
      <c r="I17" s="4" t="n">
        <f aca="false">-I6*Assumptions!I32/100</f>
        <v>-1382.4856889888</v>
      </c>
      <c r="J17" s="4" t="n">
        <f aca="false">-J6*Assumptions!J32/100</f>
        <v>-1415.31972410228</v>
      </c>
      <c r="K17" s="4" t="n">
        <f aca="false">-K6*Assumptions!K32/100</f>
        <v>-1453.23007385502</v>
      </c>
      <c r="L17" s="4" t="n">
        <f aca="false">-L6*Assumptions!L32/100</f>
        <v>-1496.82697607067</v>
      </c>
    </row>
    <row r="18" customFormat="false" ht="15" hidden="false" customHeight="false" outlineLevel="0" collapsed="false">
      <c r="A18" s="0" t="s">
        <v>125</v>
      </c>
      <c r="C18" s="4" t="n">
        <f aca="false">(C6-B6)*Assumptions!$B$37/100</f>
        <v>51.32</v>
      </c>
      <c r="D18" s="4" t="n">
        <f aca="false">(D6-C6)*Assumptions!$B$37/100</f>
        <v>33.4863</v>
      </c>
      <c r="E18" s="4" t="n">
        <f aca="false">(E6-D6)*Assumptions!$B$37/100</f>
        <v>30.4167225</v>
      </c>
      <c r="F18" s="4" t="n">
        <f aca="false">(F6-E6)*Assumptions!$B$37/100</f>
        <v>28.3382464625</v>
      </c>
      <c r="G18" s="4" t="n">
        <f aca="false">(G6-F6)*Assumptions!$B$37/100</f>
        <v>27.85867613775</v>
      </c>
      <c r="H18" s="4" t="n">
        <f aca="false">(H6-G6)*Assumptions!$B$37/100</f>
        <v>24.6084972550125</v>
      </c>
      <c r="I18" s="4" t="n">
        <f aca="false">(I6-H6)*Assumptions!$B$37/100</f>
        <v>23.2550299059868</v>
      </c>
      <c r="J18" s="4" t="n">
        <f aca="false">(J6-I6)*Assumptions!$B$37/100</f>
        <v>21.60133889045</v>
      </c>
      <c r="K18" s="4" t="n">
        <f aca="false">(K6-J6)*Assumptions!$B$37/100</f>
        <v>19.6572183903094</v>
      </c>
      <c r="L18" s="4" t="n">
        <f aca="false">(L6-K6)*Assumptions!$B$37/100</f>
        <v>17.4387608862603</v>
      </c>
    </row>
    <row r="19" customFormat="false" ht="15" hidden="false" customHeight="false" outlineLevel="0" collapsed="false">
      <c r="A19" s="0" t="s">
        <v>126</v>
      </c>
      <c r="C19" s="0" t="n">
        <f aca="false">C15+C16+C17+C18</f>
        <v>1254.59438</v>
      </c>
      <c r="D19" s="0" t="n">
        <f aca="false">D15+D16+D17+D18</f>
        <v>1331.55034941</v>
      </c>
      <c r="E19" s="0" t="n">
        <f aca="false">E15+E16+E17+E18</f>
        <v>1431.1980437925</v>
      </c>
      <c r="F19" s="0" t="n">
        <f aca="false">F15+F16+F17+F18</f>
        <v>1542.55015680301</v>
      </c>
      <c r="G19" s="0" t="n">
        <f aca="false">G15+G16+G17+G18</f>
        <v>1680.90987074596</v>
      </c>
      <c r="H19" s="0" t="n">
        <f aca="false">H15+H16+H17+H18</f>
        <v>1810.49143834633</v>
      </c>
      <c r="I19" s="0" t="n">
        <f aca="false">I15+I16+I17+I18</f>
        <v>1898.52126233317</v>
      </c>
      <c r="J19" s="0" t="n">
        <f aca="false">J15+J16+J17+J18</f>
        <v>2005.57630928383</v>
      </c>
      <c r="K19" s="0" t="n">
        <f aca="false">K15+K16+K17+K18</f>
        <v>2096.32299392914</v>
      </c>
      <c r="L19" s="0" t="n">
        <f aca="false">L15+L16+L17+L18</f>
        <v>2171.97151024239</v>
      </c>
    </row>
    <row r="20" customFormat="false" ht="15" hidden="false" customHeight="false" outlineLevel="0" collapsed="false">
      <c r="A20" s="0" t="s">
        <v>127</v>
      </c>
      <c r="C20" s="0" t="n">
        <f aca="false">1/(1+$B$27/100)^C4</f>
        <v>0.896860986547085</v>
      </c>
      <c r="D20" s="0" t="n">
        <f aca="false">1/(1+$B$27/100)^D4</f>
        <v>0.804359629190211</v>
      </c>
      <c r="E20" s="0" t="n">
        <f aca="false">1/(1+$B$27/100)^E4</f>
        <v>0.72139877057418</v>
      </c>
      <c r="F20" s="0" t="n">
        <f aca="false">1/(1+$B$27/100)^F4</f>
        <v>0.646994413071014</v>
      </c>
      <c r="G20" s="0" t="n">
        <f aca="false">1/(1+$B$27/100)^G4</f>
        <v>0.580264047597322</v>
      </c>
      <c r="H20" s="0" t="n">
        <f aca="false">1/(1+$B$27/100)^H4</f>
        <v>0.520416186185939</v>
      </c>
      <c r="I20" s="0" t="n">
        <f aca="false">1/(1+$B$27/100)^I4</f>
        <v>0.466740974157793</v>
      </c>
      <c r="J20" s="0" t="n">
        <f aca="false">1/(1+$B$27/100)^J4</f>
        <v>0.418601770545106</v>
      </c>
      <c r="K20" s="0" t="n">
        <f aca="false">1/(1+$B$27/100)^K4</f>
        <v>0.37542759690144</v>
      </c>
      <c r="L20" s="0" t="n">
        <f aca="false">1/(1+$B$27/100)^L4</f>
        <v>0.336706364934027</v>
      </c>
    </row>
    <row r="21" customFormat="false" ht="15" hidden="false" customHeight="false" outlineLevel="0" collapsed="false">
      <c r="A21" s="0" t="s">
        <v>128</v>
      </c>
      <c r="C21" s="0" t="n">
        <f aca="false">C19*C20</f>
        <v>1125.19675336323</v>
      </c>
      <c r="D21" s="0" t="n">
        <f aca="false">D19*D20</f>
        <v>1071.04534529952</v>
      </c>
      <c r="E21" s="0" t="n">
        <f aca="false">E19*E20</f>
        <v>1032.46450924008</v>
      </c>
      <c r="F21" s="0" t="n">
        <f aca="false">F19*F20</f>
        <v>998.02133333336</v>
      </c>
      <c r="G21" s="0" t="n">
        <f aca="false">G19*G20</f>
        <v>975.371565245341</v>
      </c>
      <c r="H21" s="0" t="n">
        <f aca="false">H19*H20</f>
        <v>942.209049466491</v>
      </c>
      <c r="I21" s="0" t="n">
        <f aca="false">I19*I20</f>
        <v>886.117663440668</v>
      </c>
      <c r="J21" s="0" t="n">
        <f aca="false">J19*J20</f>
        <v>839.537794029528</v>
      </c>
      <c r="K21" s="0" t="n">
        <f aca="false">K19*K20</f>
        <v>787.017503940047</v>
      </c>
      <c r="L21" s="0" t="n">
        <f aca="false">L19*L20</f>
        <v>731.316631953982</v>
      </c>
    </row>
    <row r="23" customFormat="false" ht="15" hidden="false" customHeight="false" outlineLevel="0" collapsed="false">
      <c r="A23" s="0" t="s">
        <v>104</v>
      </c>
      <c r="C23" s="4" t="n">
        <f aca="false">Assumptions!C30</f>
        <v>11</v>
      </c>
      <c r="D23" s="4" t="n">
        <f aca="false">Assumptions!D30</f>
        <v>10.9</v>
      </c>
      <c r="E23" s="4" t="n">
        <f aca="false">Assumptions!E30</f>
        <v>10.8</v>
      </c>
      <c r="F23" s="4" t="n">
        <f aca="false">Assumptions!F30</f>
        <v>10.7</v>
      </c>
      <c r="G23" s="4" t="n">
        <f aca="false">Assumptions!G30</f>
        <v>10.6</v>
      </c>
      <c r="H23" s="4" t="n">
        <f aca="false">Assumptions!H30</f>
        <v>10.5</v>
      </c>
      <c r="I23" s="4" t="n">
        <f aca="false">Assumptions!I30</f>
        <v>10.4</v>
      </c>
      <c r="J23" s="4" t="n">
        <f aca="false">Assumptions!J30</f>
        <v>10.3</v>
      </c>
      <c r="K23" s="4" t="n">
        <f aca="false">Assumptions!K30</f>
        <v>10.2</v>
      </c>
      <c r="L23" s="4" t="n">
        <f aca="false">Assumptions!L30</f>
        <v>10</v>
      </c>
    </row>
    <row r="24" customFormat="false" ht="15" hidden="false" customHeight="false" outlineLevel="0" collapsed="false">
      <c r="A24" s="0" t="s">
        <v>129</v>
      </c>
      <c r="C24" s="0" t="n">
        <f aca="false">-C6*C23/100</f>
        <v>-818.554</v>
      </c>
      <c r="D24" s="0" t="n">
        <f aca="false">-D6*D23/100</f>
        <v>-884.112734</v>
      </c>
      <c r="E24" s="0" t="n">
        <f aca="false">-E6*E23/100</f>
        <v>-941.7017286</v>
      </c>
      <c r="F24" s="0" t="n">
        <f aca="false">-F6*F23/100</f>
        <v>-993.62611557975</v>
      </c>
      <c r="G24" s="0" t="n">
        <f aca="false">-G6*G23/100</f>
        <v>-1043.40028361253</v>
      </c>
      <c r="H24" s="0" t="n">
        <f aca="false">-H6*H23/100</f>
        <v>-1085.23472894605</v>
      </c>
      <c r="I24" s="0" t="n">
        <f aca="false">-I6*I23/100</f>
        <v>-1123.2696223034</v>
      </c>
      <c r="J24" s="0" t="n">
        <f aca="false">-J6*J23/100</f>
        <v>-1156.9677109725</v>
      </c>
      <c r="K24" s="0" t="n">
        <f aca="false">-K6*K23/100</f>
        <v>-1185.8357402657</v>
      </c>
      <c r="L24" s="0" t="n">
        <f aca="false">-L6*L23/100</f>
        <v>-1197.46158085654</v>
      </c>
    </row>
    <row r="26" customFormat="false" ht="15" hidden="false" customHeight="false" outlineLevel="0" collapsed="false">
      <c r="A26" s="2" t="s">
        <v>130</v>
      </c>
    </row>
    <row r="27" customFormat="false" ht="15" hidden="false" customHeight="false" outlineLevel="0" collapsed="false">
      <c r="A27" s="0" t="s">
        <v>108</v>
      </c>
      <c r="B27" s="4" t="n">
        <f aca="false">Assumptions!$B$34</f>
        <v>11.5</v>
      </c>
    </row>
    <row r="28" customFormat="false" ht="15" hidden="false" customHeight="false" outlineLevel="0" collapsed="false">
      <c r="A28" s="0" t="s">
        <v>109</v>
      </c>
      <c r="B28" s="4" t="n">
        <f aca="false">Assumptions!$B$35</f>
        <v>3</v>
      </c>
    </row>
    <row r="29" customFormat="false" ht="15" hidden="false" customHeight="false" outlineLevel="0" collapsed="false">
      <c r="A29" s="0" t="s">
        <v>110</v>
      </c>
      <c r="B29" s="4" t="n">
        <f aca="false">Assumptions!$B$36</f>
        <v>15</v>
      </c>
    </row>
    <row r="30" customFormat="false" ht="15" hidden="false" customHeight="false" outlineLevel="0" collapsed="false">
      <c r="A30" s="0" t="s">
        <v>131</v>
      </c>
      <c r="B30" s="0" t="n">
        <f aca="false">SUM(C21:L21)</f>
        <v>9388.29814931225</v>
      </c>
    </row>
    <row r="31" customFormat="false" ht="15" hidden="false" customHeight="false" outlineLevel="0" collapsed="false">
      <c r="A31" s="0" t="s">
        <v>132</v>
      </c>
      <c r="B31" s="0" t="n">
        <f aca="false">L19</f>
        <v>2171.97151024239</v>
      </c>
    </row>
    <row r="32" customFormat="false" ht="15" hidden="false" customHeight="false" outlineLevel="0" collapsed="false">
      <c r="A32" s="0" t="s">
        <v>133</v>
      </c>
      <c r="B32" s="0" t="n">
        <f aca="false">IF(B27&gt;B28,B31*(1+B28/100)/((B27-B28)/100),B31*B29)</f>
        <v>26319.1841829372</v>
      </c>
    </row>
    <row r="33" customFormat="false" ht="15" hidden="false" customHeight="false" outlineLevel="0" collapsed="false">
      <c r="A33" s="0" t="s">
        <v>134</v>
      </c>
      <c r="B33" s="0" t="n">
        <f aca="false">B31*B29</f>
        <v>32579.5726536358</v>
      </c>
    </row>
    <row r="34" customFormat="false" ht="15" hidden="false" customHeight="false" outlineLevel="0" collapsed="false">
      <c r="A34" s="0" t="s">
        <v>135</v>
      </c>
      <c r="B34" s="0" t="n">
        <f aca="false">MAX(0,MIN(B32,B33))</f>
        <v>26319.1841829372</v>
      </c>
    </row>
    <row r="35" customFormat="false" ht="15" hidden="false" customHeight="false" outlineLevel="0" collapsed="false">
      <c r="A35" s="0" t="s">
        <v>136</v>
      </c>
      <c r="B35" s="0" t="n">
        <f aca="false">B34/(1+B27/100)^L4</f>
        <v>8861.8368342659</v>
      </c>
    </row>
    <row r="36" customFormat="false" ht="15" hidden="false" customHeight="false" outlineLevel="0" collapsed="false">
      <c r="A36" s="0" t="s">
        <v>137</v>
      </c>
      <c r="B36" s="0" t="n">
        <f aca="false">B30+B35</f>
        <v>18250.1349835782</v>
      </c>
    </row>
    <row r="37" customFormat="false" ht="15" hidden="false" customHeight="false" outlineLevel="0" collapsed="false">
      <c r="A37" s="0" t="s">
        <v>138</v>
      </c>
      <c r="B37" s="0" t="n">
        <f aca="false">B36+Assumptions!$B$5-Assumptions!$B$4</f>
        <v>14684.1349835782</v>
      </c>
    </row>
    <row r="38" customFormat="false" ht="15" hidden="false" customHeight="false" outlineLevel="0" collapsed="false">
      <c r="A38" s="0" t="s">
        <v>139</v>
      </c>
      <c r="B38" s="0" t="n">
        <f aca="false">B37/Assumptions!$B$3*Assumptions!$B$10</f>
        <v>304.110972116715</v>
      </c>
    </row>
    <row r="39" customFormat="false" ht="15" hidden="false" customHeight="false" outlineLevel="0" collapsed="false">
      <c r="A39" s="0" t="s">
        <v>140</v>
      </c>
      <c r="B39" s="4" t="n">
        <f aca="false">B38/Assumptions!$B$2-1</f>
        <v>-0.0113427434437111</v>
      </c>
    </row>
    <row r="41" customFormat="false" ht="15" hidden="false" customHeight="false" outlineLevel="0" collapsed="false">
      <c r="A41" s="0" t="s">
        <v>141</v>
      </c>
      <c r="B41" s="0" t="n">
        <f aca="false">SUMPRODUCT(-C10:L10/(1+$B$27/100)^C4:L4)</f>
        <v>27.3634038528824</v>
      </c>
    </row>
    <row r="42" customFormat="false" ht="15" hidden="false" customHeight="false" outlineLevel="0" collapsed="false">
      <c r="A42" s="0" t="s">
        <v>142</v>
      </c>
      <c r="B42" s="0" t="n">
        <f aca="false">IF(B27&gt;B28,-L10*(1+B28/100)/((B27-B28)/100),-L10*20)/(1+B27/100)^L4</f>
        <v>24.4287484776182</v>
      </c>
    </row>
    <row r="43" customFormat="false" ht="15" hidden="false" customHeight="false" outlineLevel="0" collapsed="false">
      <c r="A43" s="0" t="s">
        <v>143</v>
      </c>
      <c r="B43" s="0" t="n">
        <f aca="false">(B37+B41+B42)/Assumptions!$B$3*Assumptions!$B$10</f>
        <v>305.1835965383</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18642.7554629138</v>
      </c>
    </row>
    <row r="47" customFormat="false" ht="15" hidden="false" customHeight="false" outlineLevel="0" collapsed="false">
      <c r="A47" s="0" t="s">
        <v>145</v>
      </c>
      <c r="B47" s="0" t="n">
        <f aca="false">(SUMPRODUCT(C19:L19/(1+B45/100)^C4:L4)+B46/(1+B45/100)^L4+Assumptions!$B$5-Assumptions!$B$4)/Assumptions!$B$3*Assumptions!$B$10</f>
        <v>188.12215086268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Assumptions!C41</f>
        <v>20</v>
      </c>
      <c r="D5" s="4" t="n">
        <f aca="false">Assumptions!D41</f>
        <v>13</v>
      </c>
      <c r="E5" s="4" t="n">
        <f aca="false">Assumptions!E41</f>
        <v>11</v>
      </c>
      <c r="F5" s="4" t="n">
        <f aca="false">Assumptions!F41</f>
        <v>9</v>
      </c>
      <c r="G5" s="4" t="n">
        <f aca="false">Assumptions!G41</f>
        <v>8</v>
      </c>
      <c r="H5" s="4" t="n">
        <f aca="false">Assumptions!H41</f>
        <v>7</v>
      </c>
      <c r="I5" s="4" t="n">
        <f aca="false">Assumptions!I41</f>
        <v>6</v>
      </c>
      <c r="J5" s="4" t="n">
        <f aca="false">Assumptions!J41</f>
        <v>5</v>
      </c>
      <c r="K5" s="4" t="n">
        <f aca="false">Assumptions!K41</f>
        <v>4</v>
      </c>
      <c r="L5" s="4" t="n">
        <f aca="false">Assumptions!L41</f>
        <v>3.5</v>
      </c>
    </row>
    <row r="6" customFormat="false" ht="15" hidden="false" customHeight="false" outlineLevel="0" collapsed="false">
      <c r="A6" s="0" t="s">
        <v>38</v>
      </c>
      <c r="B6" s="3" t="n">
        <v>6415</v>
      </c>
      <c r="C6" s="0" t="n">
        <f aca="false">B6*(1+C5/100)</f>
        <v>7698</v>
      </c>
      <c r="D6" s="0" t="n">
        <f aca="false">C6*(1+D5/100)</f>
        <v>8698.74</v>
      </c>
      <c r="E6" s="0" t="n">
        <f aca="false">D6*(1+E5/100)</f>
        <v>9655.6014</v>
      </c>
      <c r="F6" s="0" t="n">
        <f aca="false">E6*(1+F5/100)</f>
        <v>10524.605526</v>
      </c>
      <c r="G6" s="0" t="n">
        <f aca="false">F6*(1+G5/100)</f>
        <v>11366.57396808</v>
      </c>
      <c r="H6" s="0" t="n">
        <f aca="false">G6*(1+H5/100)</f>
        <v>12162.2341458456</v>
      </c>
      <c r="I6" s="0" t="n">
        <f aca="false">H6*(1+I5/100)</f>
        <v>12891.9681945963</v>
      </c>
      <c r="J6" s="0" t="n">
        <f aca="false">I6*(1+J5/100)</f>
        <v>13536.5666043262</v>
      </c>
      <c r="K6" s="0" t="n">
        <f aca="false">J6*(1+K5/100)</f>
        <v>14078.0292684992</v>
      </c>
      <c r="L6" s="0" t="n">
        <f aca="false">K6*(1+L5/100)</f>
        <v>14570.7602928967</v>
      </c>
    </row>
    <row r="7" customFormat="false" ht="15" hidden="false" customHeight="false" outlineLevel="0" collapsed="false">
      <c r="A7" s="0" t="s">
        <v>102</v>
      </c>
      <c r="C7" s="4" t="n">
        <f aca="false">Assumptions!C42</f>
        <v>50</v>
      </c>
      <c r="D7" s="4" t="n">
        <f aca="false">Assumptions!D42</f>
        <v>50.5</v>
      </c>
      <c r="E7" s="4" t="n">
        <f aca="false">Assumptions!E42</f>
        <v>51</v>
      </c>
      <c r="F7" s="4" t="n">
        <f aca="false">Assumptions!F42</f>
        <v>51.3</v>
      </c>
      <c r="G7" s="4" t="n">
        <f aca="false">Assumptions!G42</f>
        <v>51.6</v>
      </c>
      <c r="H7" s="4" t="n">
        <f aca="false">Assumptions!H42</f>
        <v>51.8</v>
      </c>
      <c r="I7" s="4" t="n">
        <f aca="false">Assumptions!I42</f>
        <v>52</v>
      </c>
      <c r="J7" s="4" t="n">
        <f aca="false">Assumptions!J42</f>
        <v>52</v>
      </c>
      <c r="K7" s="4" t="n">
        <f aca="false">Assumptions!K42</f>
        <v>52</v>
      </c>
      <c r="L7" s="4" t="n">
        <f aca="false">Assumptions!L42</f>
        <v>52</v>
      </c>
    </row>
    <row r="8" customFormat="false" ht="15" hidden="false" customHeight="false" outlineLevel="0" collapsed="false">
      <c r="A8" s="0" t="s">
        <v>44</v>
      </c>
      <c r="C8" s="0" t="n">
        <f aca="false">C6*C7/100</f>
        <v>3849</v>
      </c>
      <c r="D8" s="0" t="n">
        <f aca="false">D6*D7/100</f>
        <v>4392.8637</v>
      </c>
      <c r="E8" s="0" t="n">
        <f aca="false">E6*E7/100</f>
        <v>4924.356714</v>
      </c>
      <c r="F8" s="0" t="n">
        <f aca="false">F6*F7/100</f>
        <v>5399.122634838</v>
      </c>
      <c r="G8" s="0" t="n">
        <f aca="false">G6*G7/100</f>
        <v>5865.15216752928</v>
      </c>
      <c r="H8" s="0" t="n">
        <f aca="false">H6*H7/100</f>
        <v>6300.03728754802</v>
      </c>
      <c r="I8" s="0" t="n">
        <f aca="false">I6*I7/100</f>
        <v>6703.8234611901</v>
      </c>
      <c r="J8" s="0" t="n">
        <f aca="false">J6*J7/100</f>
        <v>7039.0146342496</v>
      </c>
      <c r="K8" s="0" t="n">
        <f aca="false">K6*K7/100</f>
        <v>7320.57521961959</v>
      </c>
      <c r="L8" s="0" t="n">
        <f aca="false">L6*L7/100</f>
        <v>7576.79535230627</v>
      </c>
    </row>
    <row r="9" customFormat="false" ht="15" hidden="false" customHeight="false" outlineLevel="0" collapsed="false">
      <c r="A9" s="0" t="s">
        <v>103</v>
      </c>
      <c r="C9" s="4" t="n">
        <f aca="false">Assumptions!C43</f>
        <v>0.05</v>
      </c>
      <c r="D9" s="4" t="n">
        <f aca="false">Assumptions!D43</f>
        <v>0.05</v>
      </c>
      <c r="E9" s="4" t="n">
        <f aca="false">Assumptions!E43</f>
        <v>0.05</v>
      </c>
      <c r="F9" s="4" t="n">
        <f aca="false">Assumptions!F43</f>
        <v>0.05</v>
      </c>
      <c r="G9" s="4" t="n">
        <f aca="false">Assumptions!G43</f>
        <v>0.05</v>
      </c>
      <c r="H9" s="4" t="n">
        <f aca="false">Assumptions!H43</f>
        <v>0.05</v>
      </c>
      <c r="I9" s="4" t="n">
        <f aca="false">Assumptions!I43</f>
        <v>0.05</v>
      </c>
      <c r="J9" s="4" t="n">
        <f aca="false">Assumptions!J43</f>
        <v>0.05</v>
      </c>
      <c r="K9" s="4" t="n">
        <f aca="false">Assumptions!K43</f>
        <v>0.05</v>
      </c>
      <c r="L9" s="4" t="n">
        <f aca="false">Assumptions!L43</f>
        <v>0.05</v>
      </c>
    </row>
    <row r="10" customFormat="false" ht="15" hidden="false" customHeight="false" outlineLevel="0" collapsed="false">
      <c r="A10" s="0" t="s">
        <v>118</v>
      </c>
      <c r="C10" s="0" t="n">
        <f aca="false">-C6*C9/100</f>
        <v>-3.849</v>
      </c>
      <c r="D10" s="0" t="n">
        <f aca="false">-D6*D9/100</f>
        <v>-4.34937</v>
      </c>
      <c r="E10" s="0" t="n">
        <f aca="false">-E6*E9/100</f>
        <v>-4.8278007</v>
      </c>
      <c r="F10" s="0" t="n">
        <f aca="false">-F6*F9/100</f>
        <v>-5.262302763</v>
      </c>
      <c r="G10" s="0" t="n">
        <f aca="false">-G6*G9/100</f>
        <v>-5.68328698404</v>
      </c>
      <c r="H10" s="0" t="n">
        <f aca="false">-H6*H9/100</f>
        <v>-6.0811170729228</v>
      </c>
      <c r="I10" s="0" t="n">
        <f aca="false">-I6*I9/100</f>
        <v>-6.44598409729817</v>
      </c>
      <c r="J10" s="0" t="n">
        <f aca="false">-J6*J9/100</f>
        <v>-6.76828330216308</v>
      </c>
      <c r="K10" s="0" t="n">
        <f aca="false">-K6*K9/100</f>
        <v>-7.0390146342496</v>
      </c>
      <c r="L10" s="0" t="n">
        <f aca="false">-L6*L9/100</f>
        <v>-7.28538014644834</v>
      </c>
    </row>
    <row r="11" customFormat="false" ht="15" hidden="false" customHeight="false" outlineLevel="0" collapsed="false">
      <c r="A11" s="0" t="s">
        <v>119</v>
      </c>
      <c r="C11" s="0" t="n">
        <f aca="false">C8+C10+C24</f>
        <v>3013.767</v>
      </c>
      <c r="D11" s="0" t="n">
        <f aca="false">D8+D10+D24</f>
        <v>3466.44789</v>
      </c>
      <c r="E11" s="0" t="n">
        <f aca="false">E8+E10+E24</f>
        <v>3915.3463677</v>
      </c>
      <c r="F11" s="0" t="n">
        <f aca="false">F8+F10+F24</f>
        <v>4320.350568423</v>
      </c>
      <c r="G11" s="0" t="n">
        <f aca="false">G8+G10+G24</f>
        <v>4722.81148373724</v>
      </c>
      <c r="H11" s="0" t="n">
        <f aca="false">H8+H10+H24</f>
        <v>5089.89499003638</v>
      </c>
      <c r="I11" s="0" t="n">
        <f aca="false">I8+I10+I24</f>
        <v>5433.96459402236</v>
      </c>
      <c r="J11" s="0" t="n">
        <f aca="false">J8+J10+J24</f>
        <v>5719.1993903278</v>
      </c>
      <c r="K11" s="0" t="n">
        <f aca="false">K8+K10+K24</f>
        <v>5962.04539520941</v>
      </c>
      <c r="L11" s="0" t="n">
        <f aca="false">L8+L10+L24</f>
        <v>6185.28774433464</v>
      </c>
    </row>
    <row r="12" customFormat="false" ht="15" hidden="false" customHeight="false" outlineLevel="0" collapsed="false">
      <c r="A12" s="0" t="s">
        <v>120</v>
      </c>
      <c r="C12" s="4" t="n">
        <f aca="false">-C6*Assumptions!C45/100</f>
        <v>-785.196</v>
      </c>
      <c r="D12" s="4" t="n">
        <f aca="false">-D6*Assumptions!D45/100</f>
        <v>-913.3677</v>
      </c>
      <c r="E12" s="4" t="n">
        <f aca="false">-E6*Assumptions!E45/100</f>
        <v>-1042.8049512</v>
      </c>
      <c r="F12" s="4" t="n">
        <f aca="false">-F6*Assumptions!F45/100</f>
        <v>-1157.70660786</v>
      </c>
      <c r="G12" s="4" t="n">
        <f aca="false">-G6*Assumptions!G45/100</f>
        <v>-1273.05628442496</v>
      </c>
      <c r="H12" s="4" t="n">
        <f aca="false">-H6*Assumptions!H45/100</f>
        <v>-1386.4946926264</v>
      </c>
      <c r="I12" s="4" t="n">
        <f aca="false">-I6*Assumptions!I45/100</f>
        <v>-1482.57634237858</v>
      </c>
      <c r="J12" s="4" t="n">
        <f aca="false">-J6*Assumptions!J45/100</f>
        <v>-1570.24172610183</v>
      </c>
      <c r="K12" s="4" t="n">
        <f aca="false">-K6*Assumptions!K45/100</f>
        <v>-1647.12942441441</v>
      </c>
      <c r="L12" s="4" t="n">
        <f aca="false">-L6*Assumptions!L45/100</f>
        <v>-1719.34971456181</v>
      </c>
    </row>
    <row r="13" customFormat="false" ht="15" hidden="false" customHeight="false" outlineLevel="0" collapsed="false">
      <c r="A13" s="0" t="s">
        <v>121</v>
      </c>
      <c r="C13" s="0" t="n">
        <f aca="false">C11+C12</f>
        <v>2228.571</v>
      </c>
      <c r="D13" s="0" t="n">
        <f aca="false">D11+D12</f>
        <v>2553.08019</v>
      </c>
      <c r="E13" s="0" t="n">
        <f aca="false">E11+E12</f>
        <v>2872.5414165</v>
      </c>
      <c r="F13" s="0" t="n">
        <f aca="false">F11+F12</f>
        <v>3162.643960563</v>
      </c>
      <c r="G13" s="0" t="n">
        <f aca="false">G11+G12</f>
        <v>3449.75519931228</v>
      </c>
      <c r="H13" s="0" t="n">
        <f aca="false">H11+H12</f>
        <v>3703.40029740999</v>
      </c>
      <c r="I13" s="0" t="n">
        <f aca="false">I11+I12</f>
        <v>3951.38825164378</v>
      </c>
      <c r="J13" s="0" t="n">
        <f aca="false">J11+J12</f>
        <v>4148.95766422597</v>
      </c>
      <c r="K13" s="0" t="n">
        <f aca="false">K11+K12</f>
        <v>4314.91597079501</v>
      </c>
      <c r="L13" s="0" t="n">
        <f aca="false">L11+L12</f>
        <v>4465.93802977283</v>
      </c>
    </row>
    <row r="14" customFormat="false" ht="15" hidden="false" customHeight="false" outlineLevel="0" collapsed="false">
      <c r="A14" s="0" t="s">
        <v>107</v>
      </c>
      <c r="C14" s="4" t="n">
        <f aca="false">Assumptions!C47</f>
        <v>23</v>
      </c>
      <c r="D14" s="4" t="n">
        <f aca="false">Assumptions!D47</f>
        <v>25</v>
      </c>
      <c r="E14" s="4" t="n">
        <f aca="false">Assumptions!E47</f>
        <v>27</v>
      </c>
      <c r="F14" s="4" t="n">
        <f aca="false">Assumptions!F47</f>
        <v>29</v>
      </c>
      <c r="G14" s="4" t="n">
        <f aca="false">Assumptions!G47</f>
        <v>30</v>
      </c>
      <c r="H14" s="4" t="n">
        <f aca="false">Assumptions!H47</f>
        <v>31</v>
      </c>
      <c r="I14" s="4" t="n">
        <f aca="false">Assumptions!I47</f>
        <v>32</v>
      </c>
      <c r="J14" s="4" t="n">
        <f aca="false">Assumptions!J47</f>
        <v>32</v>
      </c>
      <c r="K14" s="4" t="n">
        <f aca="false">Assumptions!K47</f>
        <v>32</v>
      </c>
      <c r="L14" s="4" t="n">
        <f aca="false">Assumptions!L47</f>
        <v>32</v>
      </c>
    </row>
    <row r="15" customFormat="false" ht="15" hidden="false" customHeight="false" outlineLevel="0" collapsed="false">
      <c r="A15" s="0" t="s">
        <v>122</v>
      </c>
      <c r="C15" s="0" t="n">
        <f aca="false">C13-MAX(0,C13)*C14/100</f>
        <v>1715.99967</v>
      </c>
      <c r="D15" s="0" t="n">
        <f aca="false">D13-MAX(0,D13)*D14/100</f>
        <v>1914.8101425</v>
      </c>
      <c r="E15" s="0" t="n">
        <f aca="false">E13-MAX(0,E13)*E14/100</f>
        <v>2096.955234045</v>
      </c>
      <c r="F15" s="0" t="n">
        <f aca="false">F13-MAX(0,F13)*F14/100</f>
        <v>2245.47721199973</v>
      </c>
      <c r="G15" s="0" t="n">
        <f aca="false">G13-MAX(0,G13)*G14/100</f>
        <v>2414.8286395186</v>
      </c>
      <c r="H15" s="0" t="n">
        <f aca="false">H13-MAX(0,H13)*H14/100</f>
        <v>2555.34620521289</v>
      </c>
      <c r="I15" s="0" t="n">
        <f aca="false">I13-MAX(0,I13)*I14/100</f>
        <v>2686.94401111777</v>
      </c>
      <c r="J15" s="0" t="n">
        <f aca="false">J13-MAX(0,J13)*J14/100</f>
        <v>2821.29121167366</v>
      </c>
      <c r="K15" s="0" t="n">
        <f aca="false">K13-MAX(0,K13)*K14/100</f>
        <v>2934.14286014061</v>
      </c>
      <c r="L15" s="0" t="n">
        <f aca="false">L13-MAX(0,L13)*L14/100</f>
        <v>3036.83786024553</v>
      </c>
    </row>
    <row r="16" customFormat="false" ht="15" hidden="false" customHeight="false" outlineLevel="0" collapsed="false">
      <c r="A16" s="0" t="s">
        <v>123</v>
      </c>
      <c r="C16" s="0" t="n">
        <f aca="false">-C12</f>
        <v>785.196</v>
      </c>
      <c r="D16" s="0" t="n">
        <f aca="false">-D12</f>
        <v>913.3677</v>
      </c>
      <c r="E16" s="0" t="n">
        <f aca="false">-E12</f>
        <v>1042.8049512</v>
      </c>
      <c r="F16" s="0" t="n">
        <f aca="false">-F12</f>
        <v>1157.70660786</v>
      </c>
      <c r="G16" s="0" t="n">
        <f aca="false">-G12</f>
        <v>1273.05628442496</v>
      </c>
      <c r="H16" s="0" t="n">
        <f aca="false">-H12</f>
        <v>1386.4946926264</v>
      </c>
      <c r="I16" s="0" t="n">
        <f aca="false">-I12</f>
        <v>1482.57634237858</v>
      </c>
      <c r="J16" s="0" t="n">
        <f aca="false">-J12</f>
        <v>1570.24172610183</v>
      </c>
      <c r="K16" s="0" t="n">
        <f aca="false">-K12</f>
        <v>1647.12942441441</v>
      </c>
      <c r="L16" s="0" t="n">
        <f aca="false">-L12</f>
        <v>1719.34971456181</v>
      </c>
    </row>
    <row r="17" customFormat="false" ht="15" hidden="false" customHeight="false" outlineLevel="0" collapsed="false">
      <c r="A17" s="0" t="s">
        <v>124</v>
      </c>
      <c r="C17" s="4" t="n">
        <f aca="false">-C6*Assumptions!C46/100</f>
        <v>-1193.19</v>
      </c>
      <c r="D17" s="4" t="n">
        <f aca="false">-D6*Assumptions!D46/100</f>
        <v>-1287.41352</v>
      </c>
      <c r="E17" s="4" t="n">
        <f aca="false">-E6*Assumptions!E46/100</f>
        <v>-1371.0953988</v>
      </c>
      <c r="F17" s="4" t="n">
        <f aca="false">-F6*Assumptions!F46/100</f>
        <v>-1431.346351536</v>
      </c>
      <c r="G17" s="4" t="n">
        <f aca="false">-G6*Assumptions!G46/100</f>
        <v>-1477.6546158504</v>
      </c>
      <c r="H17" s="4" t="n">
        <f aca="false">-H6*Assumptions!H46/100</f>
        <v>-1532.44150237655</v>
      </c>
      <c r="I17" s="4" t="n">
        <f aca="false">-I6*Assumptions!I46/100</f>
        <v>-1598.60405612995</v>
      </c>
      <c r="J17" s="4" t="n">
        <f aca="false">-J6*Assumptions!J46/100</f>
        <v>-1651.46112572779</v>
      </c>
      <c r="K17" s="4" t="n">
        <f aca="false">-K6*Assumptions!K46/100</f>
        <v>-1689.3635122199</v>
      </c>
      <c r="L17" s="4" t="n">
        <f aca="false">-L6*Assumptions!L46/100</f>
        <v>-1748.4912351476</v>
      </c>
    </row>
    <row r="18" customFormat="false" ht="15" hidden="false" customHeight="false" outlineLevel="0" collapsed="false">
      <c r="A18" s="0" t="s">
        <v>125</v>
      </c>
      <c r="C18" s="4" t="n">
        <f aca="false">(C6-B6)*Assumptions!$B$51/100</f>
        <v>102.64</v>
      </c>
      <c r="D18" s="4" t="n">
        <f aca="false">(D6-C6)*Assumptions!$B$51/100</f>
        <v>80.0592</v>
      </c>
      <c r="E18" s="4" t="n">
        <f aca="false">(E6-D6)*Assumptions!$B$51/100</f>
        <v>76.5489120000001</v>
      </c>
      <c r="F18" s="4" t="n">
        <f aca="false">(F6-E6)*Assumptions!$B$51/100</f>
        <v>69.5203300800001</v>
      </c>
      <c r="G18" s="4" t="n">
        <f aca="false">(G6-F6)*Assumptions!$B$51/100</f>
        <v>67.3574753664</v>
      </c>
      <c r="H18" s="4" t="n">
        <f aca="false">(H6-G6)*Assumptions!$B$51/100</f>
        <v>63.6528142212481</v>
      </c>
      <c r="I18" s="4" t="n">
        <f aca="false">(I6-H6)*Assumptions!$B$51/100</f>
        <v>58.378723900059</v>
      </c>
      <c r="J18" s="4" t="n">
        <f aca="false">(J6-I6)*Assumptions!$B$51/100</f>
        <v>51.5678727783854</v>
      </c>
      <c r="K18" s="4" t="n">
        <f aca="false">(K6-J6)*Assumptions!$B$51/100</f>
        <v>43.3170131338437</v>
      </c>
      <c r="L18" s="4" t="n">
        <f aca="false">(L6-K6)*Assumptions!$B$51/100</f>
        <v>39.4184819517977</v>
      </c>
    </row>
    <row r="19" customFormat="false" ht="15" hidden="false" customHeight="false" outlineLevel="0" collapsed="false">
      <c r="A19" s="0" t="s">
        <v>126</v>
      </c>
      <c r="C19" s="0" t="n">
        <f aca="false">C15+C16+C17+C18</f>
        <v>1410.64567</v>
      </c>
      <c r="D19" s="0" t="n">
        <f aca="false">D15+D16+D17+D18</f>
        <v>1620.8235225</v>
      </c>
      <c r="E19" s="0" t="n">
        <f aca="false">E15+E16+E17+E18</f>
        <v>1845.213698445</v>
      </c>
      <c r="F19" s="0" t="n">
        <f aca="false">F15+F16+F17+F18</f>
        <v>2041.35779840373</v>
      </c>
      <c r="G19" s="0" t="n">
        <f aca="false">G15+G16+G17+G18</f>
        <v>2277.58778345956</v>
      </c>
      <c r="H19" s="0" t="n">
        <f aca="false">H15+H16+H17+H18</f>
        <v>2473.05220968399</v>
      </c>
      <c r="I19" s="0" t="n">
        <f aca="false">I15+I16+I17+I18</f>
        <v>2629.29502126646</v>
      </c>
      <c r="J19" s="0" t="n">
        <f aca="false">J15+J16+J17+J18</f>
        <v>2791.63968482609</v>
      </c>
      <c r="K19" s="0" t="n">
        <f aca="false">K15+K16+K17+K18</f>
        <v>2935.22578546895</v>
      </c>
      <c r="L19" s="0" t="n">
        <f aca="false">L15+L16+L17+L18</f>
        <v>3047.11482161153</v>
      </c>
    </row>
    <row r="20" customFormat="false" ht="15" hidden="false" customHeight="false" outlineLevel="0" collapsed="false">
      <c r="A20" s="0" t="s">
        <v>127</v>
      </c>
      <c r="C20" s="0" t="n">
        <f aca="false">1/(1+$B$27/100)^C4</f>
        <v>0.896860986547085</v>
      </c>
      <c r="D20" s="0" t="n">
        <f aca="false">1/(1+$B$27/100)^D4</f>
        <v>0.804359629190211</v>
      </c>
      <c r="E20" s="0" t="n">
        <f aca="false">1/(1+$B$27/100)^E4</f>
        <v>0.72139877057418</v>
      </c>
      <c r="F20" s="0" t="n">
        <f aca="false">1/(1+$B$27/100)^F4</f>
        <v>0.646994413071014</v>
      </c>
      <c r="G20" s="0" t="n">
        <f aca="false">1/(1+$B$27/100)^G4</f>
        <v>0.580264047597322</v>
      </c>
      <c r="H20" s="0" t="n">
        <f aca="false">1/(1+$B$27/100)^H4</f>
        <v>0.520416186185939</v>
      </c>
      <c r="I20" s="0" t="n">
        <f aca="false">1/(1+$B$27/100)^I4</f>
        <v>0.466740974157793</v>
      </c>
      <c r="J20" s="0" t="n">
        <f aca="false">1/(1+$B$27/100)^J4</f>
        <v>0.418601770545106</v>
      </c>
      <c r="K20" s="0" t="n">
        <f aca="false">1/(1+$B$27/100)^K4</f>
        <v>0.37542759690144</v>
      </c>
      <c r="L20" s="0" t="n">
        <f aca="false">1/(1+$B$27/100)^L4</f>
        <v>0.336706364934027</v>
      </c>
    </row>
    <row r="21" customFormat="false" ht="15" hidden="false" customHeight="false" outlineLevel="0" collapsed="false">
      <c r="A21" s="0" t="s">
        <v>128</v>
      </c>
      <c r="C21" s="0" t="n">
        <f aca="false">C19*C20</f>
        <v>1265.15306726457</v>
      </c>
      <c r="D21" s="0" t="n">
        <f aca="false">D19*D20</f>
        <v>1303.72500754087</v>
      </c>
      <c r="E21" s="0" t="n">
        <f aca="false">E19*E20</f>
        <v>1331.13489350486</v>
      </c>
      <c r="F21" s="0" t="n">
        <f aca="false">F19*F20</f>
        <v>1320.74709064616</v>
      </c>
      <c r="G21" s="0" t="n">
        <f aca="false">G19*G20</f>
        <v>1321.60230598846</v>
      </c>
      <c r="H21" s="0" t="n">
        <f aca="false">H19*H20</f>
        <v>1287.01639920245</v>
      </c>
      <c r="I21" s="0" t="n">
        <f aca="false">I19*I20</f>
        <v>1227.19971957414</v>
      </c>
      <c r="J21" s="0" t="n">
        <f aca="false">J19*J20</f>
        <v>1168.58531479218</v>
      </c>
      <c r="K21" s="0" t="n">
        <f aca="false">K19*K20</f>
        <v>1101.96476300175</v>
      </c>
      <c r="L21" s="0" t="n">
        <f aca="false">L19*L20</f>
        <v>1025.98295512141</v>
      </c>
    </row>
    <row r="23" customFormat="false" ht="15" hidden="false" customHeight="false" outlineLevel="0" collapsed="false">
      <c r="A23" s="0" t="s">
        <v>104</v>
      </c>
      <c r="C23" s="4" t="n">
        <f aca="false">Assumptions!C44</f>
        <v>10.8</v>
      </c>
      <c r="D23" s="4" t="n">
        <f aca="false">Assumptions!D44</f>
        <v>10.6</v>
      </c>
      <c r="E23" s="4" t="n">
        <f aca="false">Assumptions!E44</f>
        <v>10.4</v>
      </c>
      <c r="F23" s="4" t="n">
        <f aca="false">Assumptions!F44</f>
        <v>10.2</v>
      </c>
      <c r="G23" s="4" t="n">
        <f aca="false">Assumptions!G44</f>
        <v>10</v>
      </c>
      <c r="H23" s="4" t="n">
        <f aca="false">Assumptions!H44</f>
        <v>9.9</v>
      </c>
      <c r="I23" s="4" t="n">
        <f aca="false">Assumptions!I44</f>
        <v>9.8</v>
      </c>
      <c r="J23" s="4" t="n">
        <f aca="false">Assumptions!J44</f>
        <v>9.7</v>
      </c>
      <c r="K23" s="4" t="n">
        <f aca="false">Assumptions!K44</f>
        <v>9.6</v>
      </c>
      <c r="L23" s="4" t="n">
        <f aca="false">Assumptions!L44</f>
        <v>9.5</v>
      </c>
    </row>
    <row r="24" customFormat="false" ht="15" hidden="false" customHeight="false" outlineLevel="0" collapsed="false">
      <c r="A24" s="0" t="s">
        <v>129</v>
      </c>
      <c r="C24" s="0" t="n">
        <f aca="false">-C6*C23/100</f>
        <v>-831.384</v>
      </c>
      <c r="D24" s="0" t="n">
        <f aca="false">-D6*D23/100</f>
        <v>-922.06644</v>
      </c>
      <c r="E24" s="0" t="n">
        <f aca="false">-E6*E23/100</f>
        <v>-1004.1825456</v>
      </c>
      <c r="F24" s="0" t="n">
        <f aca="false">-F6*F23/100</f>
        <v>-1073.509763652</v>
      </c>
      <c r="G24" s="0" t="n">
        <f aca="false">-G6*G23/100</f>
        <v>-1136.657396808</v>
      </c>
      <c r="H24" s="0" t="n">
        <f aca="false">-H6*H23/100</f>
        <v>-1204.06118043872</v>
      </c>
      <c r="I24" s="0" t="n">
        <f aca="false">-I6*I23/100</f>
        <v>-1263.41288307044</v>
      </c>
      <c r="J24" s="0" t="n">
        <f aca="false">-J6*J23/100</f>
        <v>-1313.04696061964</v>
      </c>
      <c r="K24" s="0" t="n">
        <f aca="false">-K6*K23/100</f>
        <v>-1351.49080977592</v>
      </c>
      <c r="L24" s="0" t="n">
        <f aca="false">-L6*L23/100</f>
        <v>-1384.22222782518</v>
      </c>
    </row>
    <row r="26" customFormat="false" ht="15" hidden="false" customHeight="false" outlineLevel="0" collapsed="false">
      <c r="A26" s="2" t="s">
        <v>130</v>
      </c>
    </row>
    <row r="27" customFormat="false" ht="15" hidden="false" customHeight="false" outlineLevel="0" collapsed="false">
      <c r="A27" s="0" t="s">
        <v>108</v>
      </c>
      <c r="B27" s="4" t="n">
        <f aca="false">Assumptions!$B$48</f>
        <v>11.5</v>
      </c>
    </row>
    <row r="28" customFormat="false" ht="15" hidden="false" customHeight="false" outlineLevel="0" collapsed="false">
      <c r="A28" s="0" t="s">
        <v>109</v>
      </c>
      <c r="B28" s="4" t="n">
        <f aca="false">Assumptions!$B$49</f>
        <v>3.5</v>
      </c>
    </row>
    <row r="29" customFormat="false" ht="15" hidden="false" customHeight="false" outlineLevel="0" collapsed="false">
      <c r="A29" s="0" t="s">
        <v>110</v>
      </c>
      <c r="B29" s="4" t="n">
        <f aca="false">Assumptions!$B$50</f>
        <v>15</v>
      </c>
    </row>
    <row r="30" customFormat="false" ht="15" hidden="false" customHeight="false" outlineLevel="0" collapsed="false">
      <c r="A30" s="0" t="s">
        <v>131</v>
      </c>
      <c r="B30" s="0" t="n">
        <f aca="false">SUM(C21:L21)</f>
        <v>12353.1115166369</v>
      </c>
    </row>
    <row r="31" customFormat="false" ht="15" hidden="false" customHeight="false" outlineLevel="0" collapsed="false">
      <c r="A31" s="0" t="s">
        <v>132</v>
      </c>
      <c r="B31" s="0" t="n">
        <f aca="false">L19</f>
        <v>3047.11482161153</v>
      </c>
    </row>
    <row r="32" customFormat="false" ht="15" hidden="false" customHeight="false" outlineLevel="0" collapsed="false">
      <c r="A32" s="0" t="s">
        <v>133</v>
      </c>
      <c r="B32" s="0" t="n">
        <f aca="false">IF(B27&gt;B28,B31*(1+B28/100)/((B27-B28)/100),B31*B29)</f>
        <v>39422.0480045992</v>
      </c>
    </row>
    <row r="33" customFormat="false" ht="15" hidden="false" customHeight="false" outlineLevel="0" collapsed="false">
      <c r="A33" s="0" t="s">
        <v>134</v>
      </c>
      <c r="B33" s="0" t="n">
        <f aca="false">B31*B29</f>
        <v>45706.7223241729</v>
      </c>
    </row>
    <row r="34" customFormat="false" ht="15" hidden="false" customHeight="false" outlineLevel="0" collapsed="false">
      <c r="A34" s="0" t="s">
        <v>135</v>
      </c>
      <c r="B34" s="0" t="n">
        <f aca="false">MAX(0,MIN(B32,B33))</f>
        <v>39422.0480045992</v>
      </c>
    </row>
    <row r="35" customFormat="false" ht="15" hidden="false" customHeight="false" outlineLevel="0" collapsed="false">
      <c r="A35" s="0" t="s">
        <v>136</v>
      </c>
      <c r="B35" s="0" t="n">
        <f aca="false">B34/(1+B27/100)^L4</f>
        <v>13273.6544818833</v>
      </c>
    </row>
    <row r="36" customFormat="false" ht="15" hidden="false" customHeight="false" outlineLevel="0" collapsed="false">
      <c r="A36" s="0" t="s">
        <v>137</v>
      </c>
      <c r="B36" s="0" t="n">
        <f aca="false">B30+B35</f>
        <v>25626.7659985201</v>
      </c>
    </row>
    <row r="37" customFormat="false" ht="15" hidden="false" customHeight="false" outlineLevel="0" collapsed="false">
      <c r="A37" s="0" t="s">
        <v>138</v>
      </c>
      <c r="B37" s="0" t="n">
        <f aca="false">B36+Assumptions!$B$5-Assumptions!$B$4</f>
        <v>22060.7659985201</v>
      </c>
    </row>
    <row r="38" customFormat="false" ht="15" hidden="false" customHeight="false" outlineLevel="0" collapsed="false">
      <c r="A38" s="0" t="s">
        <v>139</v>
      </c>
      <c r="B38" s="0" t="n">
        <f aca="false">B37/Assumptions!$B$3*Assumptions!$B$10</f>
        <v>456.882274710235</v>
      </c>
    </row>
    <row r="39" customFormat="false" ht="15" hidden="false" customHeight="false" outlineLevel="0" collapsed="false">
      <c r="A39" s="0" t="s">
        <v>140</v>
      </c>
      <c r="B39" s="4" t="n">
        <f aca="false">B38/Assumptions!$B$2-1</f>
        <v>0.485312986704274</v>
      </c>
    </row>
    <row r="41" customFormat="false" ht="15" hidden="false" customHeight="false" outlineLevel="0" collapsed="false">
      <c r="A41" s="0" t="s">
        <v>141</v>
      </c>
      <c r="B41" s="0" t="n">
        <f aca="false">SUMPRODUCT(-C10:L10/(1+$B$27/100)^C4:L4)</f>
        <v>31.2379389043725</v>
      </c>
    </row>
    <row r="42" customFormat="false" ht="15" hidden="false" customHeight="false" outlineLevel="0" collapsed="false">
      <c r="A42" s="0" t="s">
        <v>142</v>
      </c>
      <c r="B42" s="0" t="n">
        <f aca="false">IF(B27&gt;B28,-L10*(1+B28/100)/((B27-B28)/100),-L10*20)/(1+B27/100)^L4</f>
        <v>31.7361256449088</v>
      </c>
    </row>
    <row r="43" customFormat="false" ht="15" hidden="false" customHeight="false" outlineLevel="0" collapsed="false">
      <c r="A43" s="0" t="s">
        <v>143</v>
      </c>
      <c r="B43" s="0" t="n">
        <f aca="false">(B37+B41+B42)/Assumptions!$B$3*Assumptions!$B$10</f>
        <v>458.186478465488</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27424.0333945038</v>
      </c>
    </row>
    <row r="47" customFormat="false" ht="15" hidden="false" customHeight="false" outlineLevel="0" collapsed="false">
      <c r="A47" s="0" t="s">
        <v>145</v>
      </c>
      <c r="B47" s="0" t="n">
        <f aca="false">(SUMPRODUCT(C19:L19/(1+B45/100)^C4:L4)+B46/(1+B45/100)^L4+Assumptions!$B$5-Assumptions!$B$4)/Assumptions!$B$3*Assumptions!$B$10</f>
        <v>284.466331111861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148</v>
      </c>
    </row>
    <row r="3" customFormat="false" ht="15" hidden="false" customHeight="false" outlineLevel="0" collapsed="false">
      <c r="A3" s="2" t="s">
        <v>149</v>
      </c>
      <c r="B3" s="2" t="s">
        <v>150</v>
      </c>
      <c r="C3" s="2" t="s">
        <v>140</v>
      </c>
      <c r="D3" s="2" t="s">
        <v>151</v>
      </c>
      <c r="E3" s="2" t="s">
        <v>143</v>
      </c>
      <c r="F3" s="2" t="s">
        <v>152</v>
      </c>
    </row>
    <row r="4" customFormat="false" ht="15" hidden="false" customHeight="false" outlineLevel="0" collapsed="false">
      <c r="A4" s="0" t="s">
        <v>153</v>
      </c>
      <c r="B4" s="4" t="n">
        <f aca="false">DCF_Bear!$B$38</f>
        <v>127.865014049098</v>
      </c>
      <c r="C4" s="0" t="n">
        <f aca="false">B4/Assumptions!$B$2-1</f>
        <v>-0.584313998539995</v>
      </c>
      <c r="D4" s="4" t="n">
        <f aca="false">Assumptions!$B$24</f>
        <v>0.25</v>
      </c>
      <c r="E4" s="4" t="n">
        <f aca="false">DCF_Bear!$B$43</f>
        <v>128.663990028782</v>
      </c>
      <c r="F4" s="4" t="n">
        <f aca="false">DCF_Bear!$B$47</f>
        <v>72.7689130786265</v>
      </c>
    </row>
    <row r="5" customFormat="false" ht="15" hidden="false" customHeight="false" outlineLevel="0" collapsed="false">
      <c r="A5" s="0" t="s">
        <v>154</v>
      </c>
      <c r="B5" s="4" t="n">
        <f aca="false">DCF_Base!$B$38</f>
        <v>304.110972116715</v>
      </c>
      <c r="C5" s="0" t="n">
        <f aca="false">B5/Assumptions!$B$2-1</f>
        <v>-0.0113427434437111</v>
      </c>
      <c r="D5" s="4" t="n">
        <f aca="false">Assumptions!$B$38</f>
        <v>0.5</v>
      </c>
      <c r="E5" s="4" t="n">
        <f aca="false">DCF_Base!$B$43</f>
        <v>305.1835965383</v>
      </c>
      <c r="F5" s="4" t="n">
        <f aca="false">DCF_Base!$B$47</f>
        <v>188.12215086268</v>
      </c>
    </row>
    <row r="6" customFormat="false" ht="15" hidden="false" customHeight="false" outlineLevel="0" collapsed="false">
      <c r="A6" s="0" t="s">
        <v>155</v>
      </c>
      <c r="B6" s="4" t="n">
        <f aca="false">DCF_Bull!$B$38</f>
        <v>456.882274710235</v>
      </c>
      <c r="C6" s="0" t="n">
        <f aca="false">B6/Assumptions!$B$2-1</f>
        <v>0.485312986704274</v>
      </c>
      <c r="D6" s="4" t="n">
        <f aca="false">Assumptions!$B$52</f>
        <v>0.25</v>
      </c>
      <c r="E6" s="4" t="n">
        <f aca="false">DCF_Bull!$B$43</f>
        <v>458.186478465488</v>
      </c>
      <c r="F6" s="4" t="n">
        <f aca="false">DCF_Bull!$B$47</f>
        <v>284.466331111861</v>
      </c>
    </row>
    <row r="8" customFormat="false" ht="15" hidden="false" customHeight="false" outlineLevel="0" collapsed="false">
      <c r="A8" s="0" t="s">
        <v>156</v>
      </c>
      <c r="B8" s="0" t="n">
        <f aca="false">SUMPRODUCT(B4:B6,D4:D6)</f>
        <v>298.24230824819</v>
      </c>
    </row>
    <row r="9" customFormat="false" ht="15" hidden="false" customHeight="false" outlineLevel="0" collapsed="false">
      <c r="A9" s="0" t="s">
        <v>157</v>
      </c>
      <c r="B9" s="0" t="n">
        <f aca="false">SUMPRODUCT(E4:E6,D4:D6)</f>
        <v>299.304415392717</v>
      </c>
    </row>
    <row r="10" customFormat="false" ht="15" hidden="false" customHeight="false" outlineLevel="0" collapsed="false">
      <c r="A10" s="0" t="s">
        <v>158</v>
      </c>
      <c r="B10" s="0" t="n">
        <f aca="false">1-Assumptions!$B$2/B8</f>
        <v>-0.0313761377678932</v>
      </c>
    </row>
    <row r="11" customFormat="false" ht="15" hidden="false" customHeight="false" outlineLevel="0" collapsed="false">
      <c r="A11" s="0" t="s">
        <v>159</v>
      </c>
      <c r="B11" s="0" t="str">
        <f aca="false">IF(ABS(B9-B8)&gt;0.01*ABS(B8),(Assumptions!$B$2-B8)/(B9-B8)*100,"n/a")</f>
        <v>n/a</v>
      </c>
    </row>
    <row r="12" customFormat="false" ht="15" hidden="false" customHeight="false" outlineLevel="0" collapsed="false">
      <c r="A12" s="0" t="s">
        <v>160</v>
      </c>
      <c r="B12" s="0" t="n">
        <f aca="false">SUMPRODUCT(F4:F6,D4:D6)</f>
        <v>183.369886478962</v>
      </c>
    </row>
    <row r="14" customFormat="false" ht="15" hidden="false" customHeight="false" outlineLevel="0" collapsed="false">
      <c r="A14" s="2" t="s">
        <v>161</v>
      </c>
      <c r="C14" s="0" t="s">
        <v>162</v>
      </c>
    </row>
    <row r="15" customFormat="false" ht="15" hidden="false" customHeight="false" outlineLevel="0" collapsed="false">
      <c r="A15" s="0" t="s">
        <v>163</v>
      </c>
      <c r="B15" s="0" t="n">
        <f aca="false">(SUMPRODUCT(DCF_Base!$C$19:$L$19/(1+$C$15/100)^DCF_Base!$C$4:$L$4)+MAX(0,MIN(IF($C$15&gt;DCF_Base!$B$28,DCF_Base!$L$19*(1+DCF_Base!$B$28/100)/(($C$15-DCF_Base!$B$28)/100),DCF_Base!$L$19*DCF_Base!$B$29),DCF_Base!$L$19*DCF_Base!$B$29))/(1+$C$15/100)^DCF_Base!$L$4+Assumptions!$B$5-Assumptions!$B$4)/Assumptions!$B$3*Assumptions!$B$10</f>
        <v>430.055137197768</v>
      </c>
      <c r="C15" s="3" t="n">
        <v>9</v>
      </c>
    </row>
    <row r="16" customFormat="false" ht="15" hidden="false" customHeight="false" outlineLevel="0" collapsed="false">
      <c r="A16" s="0" t="s">
        <v>164</v>
      </c>
      <c r="B16" s="0" t="n">
        <f aca="false">(SUMPRODUCT(DCF_Base!$C$19:$L$19/(1+$C$16/100)^DCF_Base!$C$4:$L$4)+MAX(0,MIN(IF($C$16&gt;DCF_Base!$B$28,DCF_Base!$L$19*(1+DCF_Base!$B$28/100)/(($C$16-DCF_Base!$B$28)/100),DCF_Base!$L$19*DCF_Base!$B$29),DCF_Base!$L$19*DCF_Base!$B$29))/(1+$C$16/100)^DCF_Base!$L$4+Assumptions!$B$5-Assumptions!$B$4)/Assumptions!$B$3*Assumptions!$B$10</f>
        <v>389.919119284588</v>
      </c>
      <c r="C16" s="3" t="n">
        <v>10</v>
      </c>
    </row>
    <row r="17" customFormat="false" ht="15" hidden="false" customHeight="false" outlineLevel="0" collapsed="false">
      <c r="A17" s="0" t="s">
        <v>165</v>
      </c>
      <c r="B17" s="0" t="n">
        <f aca="false">(SUMPRODUCT(DCF_Base!$C$19:$L$19/(1+$C$17/100)^DCF_Base!$C$4:$L$4)+MAX(0,MIN(IF($C$17&gt;DCF_Base!$B$28,DCF_Base!$L$19*(1+DCF_Base!$B$28/100)/(($C$17-DCF_Base!$B$28)/100),DCF_Base!$L$19*DCF_Base!$B$29),DCF_Base!$L$19*DCF_Base!$B$29))/(1+$C$17/100)^DCF_Base!$L$4+Assumptions!$B$5-Assumptions!$B$4)/Assumptions!$B$3*Assumptions!$B$10</f>
        <v>329.100628723051</v>
      </c>
      <c r="C17" s="3" t="n">
        <v>11</v>
      </c>
    </row>
    <row r="18" customFormat="false" ht="15" hidden="false" customHeight="false" outlineLevel="0" collapsed="false">
      <c r="A18" s="0" t="s">
        <v>166</v>
      </c>
      <c r="B18" s="0" t="n">
        <f aca="false">(SUMPRODUCT(DCF_Base!$C$19:$L$19/(1+$C$18/100)^DCF_Base!$C$4:$L$4)+MAX(0,MIN(IF($C$18&gt;DCF_Base!$B$28,DCF_Base!$L$19*(1+DCF_Base!$B$28/100)/(($C$18-DCF_Base!$B$28)/100),DCF_Base!$L$19*DCF_Base!$B$29),DCF_Base!$L$19*DCF_Base!$B$29))/(1+$C$18/100)^DCF_Base!$L$4+Assumptions!$B$5-Assumptions!$B$4)/Assumptions!$B$3*Assumptions!$B$10</f>
        <v>304.110972116715</v>
      </c>
      <c r="C18" s="3" t="n">
        <v>11.5</v>
      </c>
    </row>
    <row r="19" customFormat="false" ht="15" hidden="false" customHeight="false" outlineLevel="0" collapsed="false">
      <c r="A19" s="0" t="s">
        <v>167</v>
      </c>
      <c r="B19" s="0" t="n">
        <f aca="false">(SUMPRODUCT(DCF_Base!$C$19:$L$19/(1+$C$19/100)^DCF_Base!$C$4:$L$4)+MAX(0,MIN(IF($C$19&gt;DCF_Base!$B$28,DCF_Base!$L$19*(1+DCF_Base!$B$28/100)/(($C$19-DCF_Base!$B$28)/100),DCF_Base!$L$19*DCF_Base!$B$29),DCF_Base!$L$19*DCF_Base!$B$29))/(1+$C$19/100)^DCF_Base!$L$4+Assumptions!$B$5-Assumptions!$B$4)/Assumptions!$B$3*Assumptions!$B$10</f>
        <v>281.929966721173</v>
      </c>
      <c r="C19" s="3" t="n">
        <v>12</v>
      </c>
    </row>
    <row r="20" customFormat="false" ht="15" hidden="false" customHeight="false" outlineLevel="0" collapsed="false">
      <c r="A20" s="0" t="s">
        <v>168</v>
      </c>
      <c r="B20" s="0" t="n">
        <f aca="false">(SUMPRODUCT(DCF_Base!$C$19:$L$19/(1+$C$20/100)^DCF_Base!$C$4:$L$4)+MAX(0,MIN(IF($C$20&gt;DCF_Base!$B$28,DCF_Base!$L$19*(1+DCF_Base!$B$28/100)/(($C$20-DCF_Base!$B$28)/100),DCF_Base!$L$19*DCF_Base!$B$29),DCF_Base!$L$19*DCF_Base!$B$29))/(1+$C$20/100)^DCF_Base!$L$4+Assumptions!$B$5-Assumptions!$B$4)/Assumptions!$B$3*Assumptions!$B$10</f>
        <v>188.12215086268</v>
      </c>
      <c r="C20" s="3" t="n">
        <v>15</v>
      </c>
    </row>
    <row r="22" customFormat="false" ht="15" hidden="false" customHeight="false" outlineLevel="0" collapsed="false">
      <c r="A22" s="2" t="s">
        <v>169</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9.5</v>
      </c>
      <c r="B24" s="0" t="n">
        <f aca="false">(SUMPRODUCT(DCF_Base!$C$19:$L$19/(1+$A$24/100)^DCF_Base!$C$4:$L$4)+MAX(0,MIN(IF($A$24&gt;$B$23,DCF_Base!$L$19*(1+$B$23/100)/(($A$24-$B$23)/100),DCF_Base!$L$19*DCF_Base!$B$29),DCF_Base!$L$19*DCF_Base!$B$29))/(1+$A$24/100)^DCF_Base!$L$4+Assumptions!$B$5-Assumptions!$B$4)/Assumptions!$B$3*Assumptions!$B$10</f>
        <v>386.649240065275</v>
      </c>
      <c r="C24" s="0" t="n">
        <f aca="false">(SUMPRODUCT(DCF_Base!$C$19:$L$19/(1+$A$24/100)^DCF_Base!$C$4:$L$4)+MAX(0,MIN(IF($A$24&gt;$C$23,DCF_Base!$L$19*(1+$C$23/100)/(($A$24-$C$23)/100),DCF_Base!$L$19*DCF_Base!$B$29),DCF_Base!$L$19*DCF_Base!$B$29))/(1+$A$24/100)^DCF_Base!$L$4+Assumptions!$B$5-Assumptions!$B$4)/Assumptions!$B$3*Assumptions!$B$10</f>
        <v>405.577969958766</v>
      </c>
      <c r="D24" s="0" t="n">
        <f aca="false">(SUMPRODUCT(DCF_Base!$C$19:$L$19/(1+$A$24/100)^DCF_Base!$C$4:$L$4)+MAX(0,MIN(IF($A$24&gt;$D$23,DCF_Base!$L$19*(1+$D$23/100)/(($A$24-$D$23)/100),DCF_Base!$L$19*DCF_Base!$B$29),DCF_Base!$L$19*DCF_Base!$B$29))/(1+$A$24/100)^DCF_Base!$L$4+Assumptions!$B$5-Assumptions!$B$4)/Assumptions!$B$3*Assumptions!$B$10</f>
        <v>412.060411703113</v>
      </c>
      <c r="E24" s="0" t="n">
        <f aca="false">(SUMPRODUCT(DCF_Base!$C$19:$L$19/(1+$A$24/100)^DCF_Base!$C$4:$L$4)+MAX(0,MIN(IF($A$24&gt;$E$23,DCF_Base!$L$19*(1+$E$23/100)/(($A$24-$E$23)/100),DCF_Base!$L$19*DCF_Base!$B$29),DCF_Base!$L$19*DCF_Base!$B$29))/(1+$A$24/100)^DCF_Base!$L$4+Assumptions!$B$5-Assumptions!$B$4)/Assumptions!$B$3*Assumptions!$B$10</f>
        <v>412.060411703113</v>
      </c>
      <c r="F24" s="0" t="n">
        <f aca="false">(SUMPRODUCT(DCF_Base!$C$19:$L$19/(1+$A$24/100)^DCF_Base!$C$4:$L$4)+MAX(0,MIN(IF($A$24&gt;$F$23,DCF_Base!$L$19*(1+$F$23/100)/(($A$24-$F$23)/100),DCF_Base!$L$19*DCF_Base!$B$29),DCF_Base!$L$19*DCF_Base!$B$29))/(1+$A$24/100)^DCF_Base!$L$4+Assumptions!$B$5-Assumptions!$B$4)/Assumptions!$B$3*Assumptions!$B$10</f>
        <v>412.060411703113</v>
      </c>
    </row>
    <row r="25" customFormat="false" ht="15" hidden="false" customHeight="false" outlineLevel="0" collapsed="false">
      <c r="A25" s="3" t="n">
        <v>10.5</v>
      </c>
      <c r="B25" s="0" t="n">
        <f aca="false">(SUMPRODUCT(DCF_Base!$C$19:$L$19/(1+$A$25/100)^DCF_Base!$C$4:$L$4)+MAX(0,MIN(IF($A$25&gt;$B$23,DCF_Base!$L$19*(1+$B$23/100)/(($A$25-$B$23)/100),DCF_Base!$L$19*DCF_Base!$B$29),DCF_Base!$L$19*DCF_Base!$B$29))/(1+$A$25/100)^DCF_Base!$L$4+Assumptions!$B$5-Assumptions!$B$4)/Assumptions!$B$3*Assumptions!$B$10</f>
        <v>328.734552907797</v>
      </c>
      <c r="C25" s="0" t="n">
        <f aca="false">(SUMPRODUCT(DCF_Base!$C$19:$L$19/(1+$A$25/100)^DCF_Base!$C$4:$L$4)+MAX(0,MIN(IF($A$25&gt;$C$23,DCF_Base!$L$19*(1+$C$23/100)/(($A$25-$C$23)/100),DCF_Base!$L$19*DCF_Base!$B$29),DCF_Base!$L$19*DCF_Base!$B$29))/(1+$A$25/100)^DCF_Base!$L$4+Assumptions!$B$5-Assumptions!$B$4)/Assumptions!$B$3*Assumptions!$B$10</f>
        <v>342.200547481736</v>
      </c>
      <c r="D25" s="0" t="n">
        <f aca="false">(SUMPRODUCT(DCF_Base!$C$19:$L$19/(1+$A$25/100)^DCF_Base!$C$4:$L$4)+MAX(0,MIN(IF($A$25&gt;$D$23,DCF_Base!$L$19*(1+$D$23/100)/(($A$25-$D$23)/100),DCF_Base!$L$19*DCF_Base!$B$29),DCF_Base!$L$19*DCF_Base!$B$29))/(1+$A$25/100)^DCF_Base!$L$4+Assumptions!$B$5-Assumptions!$B$4)/Assumptions!$B$3*Assumptions!$B$10</f>
        <v>357.462007998867</v>
      </c>
      <c r="E25" s="0" t="n">
        <f aca="false">(SUMPRODUCT(DCF_Base!$C$19:$L$19/(1+$A$25/100)^DCF_Base!$C$4:$L$4)+MAX(0,MIN(IF($A$25&gt;$E$23,DCF_Base!$L$19*(1+$E$23/100)/(($A$25-$E$23)/100),DCF_Base!$L$19*DCF_Base!$B$29),DCF_Base!$L$19*DCF_Base!$B$29))/(1+$A$25/100)^DCF_Base!$L$4+Assumptions!$B$5-Assumptions!$B$4)/Assumptions!$B$3*Assumptions!$B$10</f>
        <v>374.903677161303</v>
      </c>
      <c r="F25" s="0" t="n">
        <f aca="false">(SUMPRODUCT(DCF_Base!$C$19:$L$19/(1+$A$25/100)^DCF_Base!$C$4:$L$4)+MAX(0,MIN(IF($A$25&gt;$F$23,DCF_Base!$L$19*(1+$F$23/100)/(($A$25-$F$23)/100),DCF_Base!$L$19*DCF_Base!$B$29),DCF_Base!$L$19*DCF_Base!$B$29))/(1+$A$25/100)^DCF_Base!$L$4+Assumptions!$B$5-Assumptions!$B$4)/Assumptions!$B$3*Assumptions!$B$10</f>
        <v>378.455148257726</v>
      </c>
    </row>
    <row r="26" customFormat="false" ht="15" hidden="false" customHeight="false" outlineLevel="0" collapsed="false">
      <c r="A26" s="3" t="n">
        <v>11.5</v>
      </c>
      <c r="B26" s="0" t="n">
        <f aca="false">(SUMPRODUCT(DCF_Base!$C$19:$L$19/(1+$A$26/100)^DCF_Base!$C$4:$L$4)+MAX(0,MIN(IF($A$26&gt;$B$23,DCF_Base!$L$19*(1+$B$23/100)/(($A$26-$B$23)/100),DCF_Base!$L$19*DCF_Base!$B$29),DCF_Base!$L$19*DCF_Base!$B$29))/(1+$A$26/100)^DCF_Base!$L$4+Assumptions!$B$5-Assumptions!$B$4)/Assumptions!$B$3*Assumptions!$B$10</f>
        <v>283.197723121763</v>
      </c>
      <c r="C26" s="0" t="n">
        <f aca="false">(SUMPRODUCT(DCF_Base!$C$19:$L$19/(1+$A$26/100)^DCF_Base!$C$4:$L$4)+MAX(0,MIN(IF($A$26&gt;$C$23,DCF_Base!$L$19*(1+$C$23/100)/(($A$26-$C$23)/100),DCF_Base!$L$19*DCF_Base!$B$29),DCF_Base!$L$19*DCF_Base!$B$29))/(1+$A$26/100)^DCF_Base!$L$4+Assumptions!$B$5-Assumptions!$B$4)/Assumptions!$B$3*Assumptions!$B$10</f>
        <v>293.073424036046</v>
      </c>
      <c r="D26" s="0" t="n">
        <f aca="false">(SUMPRODUCT(DCF_Base!$C$19:$L$19/(1+$A$26/100)^DCF_Base!$C$4:$L$4)+MAX(0,MIN(IF($A$26&gt;$D$23,DCF_Base!$L$19*(1+$D$23/100)/(($A$26-$D$23)/100),DCF_Base!$L$19*DCF_Base!$B$29),DCF_Base!$L$19*DCF_Base!$B$29))/(1+$A$26/100)^DCF_Base!$L$4+Assumptions!$B$5-Assumptions!$B$4)/Assumptions!$B$3*Assumptions!$B$10</f>
        <v>304.110972116715</v>
      </c>
      <c r="E26" s="0" t="n">
        <f aca="false">(SUMPRODUCT(DCF_Base!$C$19:$L$19/(1+$A$26/100)^DCF_Base!$C$4:$L$4)+MAX(0,MIN(IF($A$26&gt;$E$23,DCF_Base!$L$19*(1+$E$23/100)/(($A$26-$E$23)/100),DCF_Base!$L$19*DCF_Base!$B$29),DCF_Base!$L$19*DCF_Base!$B$29))/(1+$A$26/100)^DCF_Base!$L$4+Assumptions!$B$5-Assumptions!$B$4)/Assumptions!$B$3*Assumptions!$B$10</f>
        <v>316.528213707467</v>
      </c>
      <c r="F26" s="0" t="n">
        <f aca="false">(SUMPRODUCT(DCF_Base!$C$19:$L$19/(1+$A$26/100)^DCF_Base!$C$4:$L$4)+MAX(0,MIN(IF($A$26&gt;$F$23,DCF_Base!$L$19*(1+$F$23/100)/(($A$26-$F$23)/100),DCF_Base!$L$19*DCF_Base!$B$29),DCF_Base!$L$19*DCF_Base!$B$29))/(1+$A$26/100)^DCF_Base!$L$4+Assumptions!$B$5-Assumptions!$B$4)/Assumptions!$B$3*Assumptions!$B$10</f>
        <v>330.60108751032</v>
      </c>
    </row>
    <row r="27" customFormat="false" ht="15" hidden="false" customHeight="false" outlineLevel="0" collapsed="false">
      <c r="A27" s="3" t="n">
        <v>12.5</v>
      </c>
      <c r="B27" s="0" t="n">
        <f aca="false">(SUMPRODUCT(DCF_Base!$C$19:$L$19/(1+$A$27/100)^DCF_Base!$C$4:$L$4)+MAX(0,MIN(IF($A$27&gt;$B$23,DCF_Base!$L$19*(1+$B$23/100)/(($A$27-$B$23)/100),DCF_Base!$L$19*DCF_Base!$B$29),DCF_Base!$L$19*DCF_Base!$B$29))/(1+$A$27/100)^DCF_Base!$L$4+Assumptions!$B$5-Assumptions!$B$4)/Assumptions!$B$3*Assumptions!$B$10</f>
        <v>246.490563470218</v>
      </c>
      <c r="C27" s="0" t="n">
        <f aca="false">(SUMPRODUCT(DCF_Base!$C$19:$L$19/(1+$A$27/100)^DCF_Base!$C$4:$L$4)+MAX(0,MIN(IF($A$27&gt;$C$23,DCF_Base!$L$19*(1+$C$23/100)/(($A$27-$C$23)/100),DCF_Base!$L$19*DCF_Base!$B$29),DCF_Base!$L$19*DCF_Base!$B$29))/(1+$A$27/100)^DCF_Base!$L$4+Assumptions!$B$5-Assumptions!$B$4)/Assumptions!$B$3*Assumptions!$B$10</f>
        <v>253.911280119795</v>
      </c>
      <c r="D27" s="0" t="n">
        <f aca="false">(SUMPRODUCT(DCF_Base!$C$19:$L$19/(1+$A$27/100)^DCF_Base!$C$4:$L$4)+MAX(0,MIN(IF($A$27&gt;$D$23,DCF_Base!$L$19*(1+$D$23/100)/(($A$27-$D$23)/100),DCF_Base!$L$19*DCF_Base!$B$29),DCF_Base!$L$19*DCF_Base!$B$29))/(1+$A$27/100)^DCF_Base!$L$4+Assumptions!$B$5-Assumptions!$B$4)/Assumptions!$B$3*Assumptions!$B$10</f>
        <v>262.113124837748</v>
      </c>
      <c r="E27" s="0" t="n">
        <f aca="false">(SUMPRODUCT(DCF_Base!$C$19:$L$19/(1+$A$27/100)^DCF_Base!$C$4:$L$4)+MAX(0,MIN(IF($A$27&gt;$E$23,DCF_Base!$L$19*(1+$E$23/100)/(($A$27-$E$23)/100),DCF_Base!$L$19*DCF_Base!$B$29),DCF_Base!$L$19*DCF_Base!$B$29))/(1+$A$27/100)^DCF_Base!$L$4+Assumptions!$B$5-Assumptions!$B$4)/Assumptions!$B$3*Assumptions!$B$10</f>
        <v>271.226285635474</v>
      </c>
      <c r="F27" s="0" t="n">
        <f aca="false">(SUMPRODUCT(DCF_Base!$C$19:$L$19/(1+$A$27/100)^DCF_Base!$C$4:$L$4)+MAX(0,MIN(IF($A$27&gt;$F$23,DCF_Base!$L$19*(1+$F$23/100)/(($A$27-$F$23)/100),DCF_Base!$L$19*DCF_Base!$B$29),DCF_Base!$L$19*DCF_Base!$B$29))/(1+$A$27/100)^DCF_Base!$L$4+Assumptions!$B$5-Assumptions!$B$4)/Assumptions!$B$3*Assumptions!$B$10</f>
        <v>281.411582997639</v>
      </c>
    </row>
    <row r="28" customFormat="false" ht="15" hidden="false" customHeight="false" outlineLevel="0" collapsed="false">
      <c r="A28" s="3" t="n">
        <v>13.5</v>
      </c>
      <c r="B28" s="0" t="n">
        <f aca="false">(SUMPRODUCT(DCF_Base!$C$19:$L$19/(1+$A$28/100)^DCF_Base!$C$4:$L$4)+MAX(0,MIN(IF($A$28&gt;$B$23,DCF_Base!$L$19*(1+$B$23/100)/(($A$28-$B$23)/100),DCF_Base!$L$19*DCF_Base!$B$29),DCF_Base!$L$19*DCF_Base!$B$29))/(1+$A$28/100)^DCF_Base!$L$4+Assumptions!$B$5-Assumptions!$B$4)/Assumptions!$B$3*Assumptions!$B$10</f>
        <v>216.299907174201</v>
      </c>
      <c r="C28" s="0" t="n">
        <f aca="false">(SUMPRODUCT(DCF_Base!$C$19:$L$19/(1+$A$28/100)^DCF_Base!$C$4:$L$4)+MAX(0,MIN(IF($A$28&gt;$C$23,DCF_Base!$L$19*(1+$C$23/100)/(($A$28-$C$23)/100),DCF_Base!$L$19*DCF_Base!$B$29),DCF_Base!$L$19*DCF_Base!$B$29))/(1+$A$28/100)^DCF_Base!$L$4+Assumptions!$B$5-Assumptions!$B$4)/Assumptions!$B$3*Assumptions!$B$10</f>
        <v>221.987841466876</v>
      </c>
      <c r="D28" s="0" t="n">
        <f aca="false">(SUMPRODUCT(DCF_Base!$C$19:$L$19/(1+$A$28/100)^DCF_Base!$C$4:$L$4)+MAX(0,MIN(IF($A$28&gt;$D$23,DCF_Base!$L$19*(1+$D$23/100)/(($A$28-$D$23)/100),DCF_Base!$L$19*DCF_Base!$B$29),DCF_Base!$L$19*DCF_Base!$B$29))/(1+$A$28/100)^DCF_Base!$L$4+Assumptions!$B$5-Assumptions!$B$4)/Assumptions!$B$3*Assumptions!$B$10</f>
        <v>228.217483787424</v>
      </c>
      <c r="E28" s="0" t="n">
        <f aca="false">(SUMPRODUCT(DCF_Base!$C$19:$L$19/(1+$A$28/100)^DCF_Base!$C$4:$L$4)+MAX(0,MIN(IF($A$28&gt;$E$23,DCF_Base!$L$19*(1+$E$23/100)/(($A$28-$E$23)/100),DCF_Base!$L$19*DCF_Base!$B$29),DCF_Base!$L$19*DCF_Base!$B$29))/(1+$A$28/100)^DCF_Base!$L$4+Assumptions!$B$5-Assumptions!$B$4)/Assumptions!$B$3*Assumptions!$B$10</f>
        <v>235.070090340028</v>
      </c>
      <c r="F28" s="0" t="n">
        <f aca="false">(SUMPRODUCT(DCF_Base!$C$19:$L$19/(1+$A$28/100)^DCF_Base!$C$4:$L$4)+MAX(0,MIN(IF($A$28&gt;$F$23,DCF_Base!$L$19*(1+$F$23/100)/(($A$28-$F$23)/100),DCF_Base!$L$19*DCF_Base!$B$29),DCF_Base!$L$19*DCF_Base!$B$29))/(1+$A$28/100)^DCF_Base!$L$4+Assumptions!$B$5-Assumptions!$B$4)/Assumptions!$B$3*Assumptions!$B$10</f>
        <v>242.644023898168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2026-10-04T10:05:25Z</dcterms:created>
  <dc:creator>openpyxl</dc:creator>
  <dc:description/>
  <dc:language>en-NZ</dc:language>
  <cp:lastModifiedBy/>
  <dcterms:modified xsi:type="dcterms:W3CDTF">2026-10-04T10:05:25Z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