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<sst xmlns="http://schemas.openxmlformats.org/spreadsheetml/2006/main" count="357" uniqueCount="166">
  <si>
    <t xml:space="preserve">Ticker</t>
  </si>
  <si>
    <t xml:space="preserve">1729.HK</t>
  </si>
  <si>
    <t xml:space="preserve">Company</t>
  </si>
  <si>
    <t xml:space="preserve">Time Interconnect Technology Limited</t>
  </si>
  <si>
    <t xml:space="preserve">Valuation date</t>
  </si>
  <si>
    <t xml:space="preserve">2026-10-17</t>
  </si>
  <si>
    <t xml:space="preserve">Current price</t>
  </si>
  <si>
    <t xml:space="preserve">Price as of</t>
  </si>
  <si>
    <t xml:space="preserve">2026-10-16T08:08:14Z (HKEX regular close 16:08 HKT, 16 Oct 2026)</t>
  </si>
  <si>
    <t xml:space="preserve">Balance sheet date</t>
  </si>
  <si>
    <t xml:space="preserve">2026-06-30</t>
  </si>
  <si>
    <t xml:space="preserve">Model</t>
  </si>
  <si>
    <t xml:space="preserve">owner_fcf_dcf_component</t>
  </si>
  <si>
    <t xml:space="preserve">Currency (model)</t>
  </si>
  <si>
    <t xml:space="preserve">HKD</t>
  </si>
  <si>
    <t xml:space="preserve">Currency (quote)</t>
  </si>
  <si>
    <t xml:space="preserve">Units</t>
  </si>
  <si>
    <t xml:space="preserve">millions</t>
  </si>
  <si>
    <t xml:space="preserve">Engine</t>
  </si>
  <si>
    <t xml:space="preserve">dcf_engine v1</t>
  </si>
  <si>
    <t xml:space="preserve">Built at</t>
  </si>
  <si>
    <t xml:space="preserve">2026-10-16T16:16:07Z</t>
  </si>
  <si>
    <t xml:space="preserve">Drivers file</t>
  </si>
  <si>
    <t xml:space="preserve">1729.HK_Drivers.json</t>
  </si>
  <si>
    <t xml:space="preserve">Convention</t>
  </si>
  <si>
    <t xml:space="preserve">Percents stored as percents; formulas divide by 100. Blue = input, green = link, black = formula.</t>
  </si>
  <si>
    <t xml:space="preserve">Methodology</t>
  </si>
  <si>
    <t xml:space="preserve">summary: A contract manufacturer with one genuinely differentiated franchise (Tier-1 MPO/fibre assemblies for AI data centres, 20%+ segment margin) wrapped in two commodity-like ones (server assembly, copper wire) that generate most of the revenue and almost none of the profit. Value it on unlevered owner FCF with working capital charged on growth, because that is where the cash has gone: HK$4.5bn of equity raised in H1 FY2026 and HK$3.1bn of parent loans are financing inventory and receivables. The share count and net cash are taken at 30 Jun 2026 so the dilution is fully in the per-share figures. Leoni LCS, consolidated from Aug 2026, is excluded from the flows and carried at its buyout-implied value because no filing here discloses its revenue or debt.
key_risks_to_valuation: Working-capital intensity: every 5pp on wc_capture is worth roughly HK$1/share; if NWC stays at the 29%-of-revenue level seen at 30 Jun 2026 rather than reverting toward 13%, the base case overstates value.; AI capex cycle: server and data-centre fibre were 54% of H1 FY2026 revenue; a hyperscaler pause is the bear case and is weighted 30%.; Controller dependency: Luxshare Precision controls the company, lent it HK$3.1bn at 30 Jun 2026, and sits in the same server supply chain; terms, in-sourcing and transfer pricing are outside minority control.; Leoni LCS Group: consolidated from 1 Aug 2026 with undisclosed revenue, margin and debt. Carried at HK$194m; the 49% associate stake earned HK$165m in H1 FY2026, so this is the largest upside omission -- and Leoni's debt the largest unquantified downside.; Copper price pass-through: copper wire (29% of H1 revenue) and networking cable revenues move with LME copper; the margin paths assume no inventory-holding losses.; Dilution: the count rose from 1,990m to 2,232m in 18 months via placings and acquisition shares; further general-mandate placings would cut per-share value directly.; Pre-FY2024 restatements (Linkz common-control merger; 2025 revaluation-model change) make the historical series only partly like-for-like.</t>
  </si>
  <si>
    <t xml:space="preserve">Data sources</t>
  </si>
  <si>
    <t xml:space="preserve">price: Yahoo Finance chart API at inputs.price_as_of; 52-week range 11.95-24.70
financials: 1729.HK_Metrics.csv (core_metrics, millions HKD) and the FY2025 annual report / H1 FY2026 interim report under Extracted/: segment note 6 (FY2025 AR), interim balance sheet and cash flow (30 Jun 2026), notes 12-14 (inventories, receivables, payables), note 21 (Time Singapore buyout), share option note, FY2025 AR note 42 (DJC acquisition)
qualitative: H1 FY2026 interim MD&amp;A (segment commentary, placing use of proceeds, Leoni LCS and DJC integration); 1729.HK_Analysis.json (bull/bear cases, risks, guidance; read after the first build -- it corroborates the scenario axes and the Luxshare-concentration bear weight, and moved no driver)</t>
  </si>
  <si>
    <t xml:space="preserve">Scenario narrative: bear</t>
  </si>
  <si>
    <t xml:space="preserve">AI capex digests in FY2027 (flat) and contracts in FY2028 (-10%) as hyperscalers pause; server assembly, which is 43-60% of revenue, is the most exposed and least differentiated line, and Luxshare -- parent, lender and supply-chain counterparty -- can in-source it. Copper-wire margins stay at 2-3% and group operating EBITDA margin falls to 6.5% before a partial recovery to 7%. Working capital at -20% of incremental revenue traps cash in the up-years (released in the down-year). The HK$4.5bn placing proves to have funded inventory and receivables rather than returns. Terminal growth 2%.</t>
  </si>
  <si>
    <t xml:space="preserve">Scenario narrative: base</t>
  </si>
  <si>
    <t xml:space="preserve">AI data-centre demand stays strong through FY2027 but decelerates thereafter: FY2026 organic revenue ~HK$21bn (H2 at H1's level), +18% in FY2027 as Vietnam/Mexico/Turkey capacity and Morocco ramp, then single digits. Operating EBITDA margin holds ~9%: the high-margin fibre assembly business (MPO, double-density panels, shuffle boxes at 20%+ segment margin) grows fast enough to offset the structurally thin server-assembly (2.7%) and copper-wire (2.5%, copper pass-through) mix. Working capital consumes 15% of every incremental revenue dollar, so year-1 owner FCF is roughly zero despite ~HK$1.3bn of NOPAT, and cash conversion only arrives once growth slows. Leoni LCS is carried at its buyout-implied value, contributing nothing to the flows.</t>
  </si>
  <si>
    <t xml:space="preserve">Scenario narrative: bull</t>
  </si>
  <si>
    <t xml:space="preserve">The hyperscaler capex cycle extends: 800V DC liquid-cooled power cables and scale-up fibre connectivity add a second product wave, Leoni's European/American plants open global CSP customers, and the data-centre fibre mix lifts group EBITDA margin to 11%. Growth +28%/+18%/+12% in FY2027-29. Working-capital intensity eases to 12% of incremental revenue as the server business matures and payables terms with the Luxshare supply chain lengthen. Terminal growth 3%.</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</si>
  <si>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</si>
  <si>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</si>
  <si>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</si>
  <si>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</si>
  <si>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</si>
  <si>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</si>
  <si>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</si>
  <si>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</si>
  <si>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</si>
  <si>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</si>
  <si>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</si>
  <si>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</si>
  <si>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</si>
  <si>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</si>
  <si>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</si>
  <si>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</si>
  <si>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</si>
  <si>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</si>
  <si>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</si>
  <si>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</si>
  <si>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</si>
  <si>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</si>
  <si>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</si>
  <si>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</si>
  <si>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</si>
  <si>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</si>
  <si>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</si>
  <si>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DilutedEPS</t>
  </si>
  <si>
    <t xml:space="preserve">NetIncomeRestated</t>
  </si>
  <si>
    <t xml:space="preserve">ResearchAndDevelopment</t>
  </si>
  <si>
    <t xml:space="preserve">RevenueRestated</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</si>
  <si>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</si>
  <si>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</si>
  <si>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</si>
  <si>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</si>
  <si>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</si>
  <si>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</si>
  <si>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</si>
  <si>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</si>
  <si>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</si>
  <si>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</si>
  <si>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</si>
  <si>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</si>
  <si>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</si>
  <si>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</si>
  <si>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</si>
  <si>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</si>
  <si>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</si>
  <si>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</si>
  <si>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HKD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</si>
  <si>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</si>
  <si>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</si>
  <si>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</si>
  <si>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</si>
  <si>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</si>
  <si>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</si>
  <si>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</si>
  <si>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</si>
  <si>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</si>
  <si>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</si>
  <si>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</si>
  <si>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</si>
  <si>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</si>
  <si>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</si>
  <si>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</si>
  <si>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</si>
  <si>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</si>
  <si>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</si>
  <si>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</si>
  <si>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</si>
  <si>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</si>
  <si>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</si>
  <si>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</si>
  <si>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</si>
  <si>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</si>
  <si>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</si>
  <si>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1729.HK owner-FCF component DCF: bear case (millions, HKD)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</si>
  <si>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</si>
  <si>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</si>
  <si>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</si>
  <si>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</si>
  <si>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</si>
  <si>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</si>
  <si>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</si>
  <si>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</si>
  <si>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</si>
  <si>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</si>
  <si>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</si>
  <si>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</si>
  <si>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</si>
  <si>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</si>
  <si>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</si>
  <si>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</si>
  <si>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</si>
  <si>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</si>
  <si>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</si>
  <si>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</si>
  <si>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</si>
  <si>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</si>
  <si>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</si>
  <si>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</si>
  <si>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</si>
  <si>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</si>
  <si>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</si>
  <si>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</si>
  <si>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</si>
  <si>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</si>
  <si>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1729.HK owner-FCF component DCF: base case (millions, HKD)</t>
  </si>
  <si>
    <t xml:space="preserve">1729.HK owner-FCF component DCF: bull case (millions, HKD)</t>
  </si>
  <si>
    <t xml:space="preserve">1729.HK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</si>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</sst>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12.92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row>
    <row r="2" customFormat="false" ht="15" hidden="false" customHeight="false" outlineLevel="0" collapsed="false">
      <c r="A2" s="0" t="s">
        <v>67</v>
      </c>
      <c r="B2" s="0" t="n">
        <v>1238.374</v>
      </c>
      <c r="C2" s="0" t="n">
        <v>965.379</v>
      </c>
      <c r="D2" s="0" t="n">
        <v>272.995</v>
      </c>
      <c r="E2" s="0" t="n">
        <v>22</v>
      </c>
      <c r="F2" s="0" t="n">
        <v>173.337</v>
      </c>
      <c r="G2" s="0" t="n">
        <v>14</v>
      </c>
      <c r="H2" s="0" t="n">
        <v>184.613</v>
      </c>
      <c r="I2" s="0" t="n">
        <v>132.12</v>
      </c>
      <c r="J2" s="0" t="n">
        <v>10.7</v>
      </c>
      <c r="K2" s="0" t="n">
        <v>0.0868</v>
      </c>
      <c r="L2" s="0" t="n">
        <v>171.681</v>
      </c>
      <c r="M2" s="0" t="n">
        <v>11.272</v>
      </c>
      <c r="N2" s="0" t="n">
        <v>160.409</v>
      </c>
      <c r="O2" s="0" t="n">
        <v>458.722</v>
      </c>
      <c r="P2" s="0" t="n">
        <v>882.906</v>
      </c>
      <c r="Q2" s="0" t="n">
        <v>424.184</v>
      </c>
      <c r="R2" s="0" t="n">
        <v>41.525</v>
      </c>
      <c r="S2" s="0" t="n">
        <v>279.623</v>
      </c>
      <c r="T2" s="0" t="n">
        <v>1840</v>
      </c>
      <c r="U2" s="0" t="n">
        <v>0</v>
      </c>
      <c r="AA2" s="0" t="s">
        <v>17</v>
      </c>
      <c r="AB2" s="0" t="s">
        <v>14</v>
      </c>
    </row>
    <row r="3" customFormat="false" ht="15" hidden="false" customHeight="false" outlineLevel="0" collapsed="false">
      <c r="A3" s="0" t="s">
        <v>68</v>
      </c>
      <c r="B3" s="0" t="n">
        <v>1314.389</v>
      </c>
      <c r="C3" s="0" t="n">
        <v>1035.041</v>
      </c>
      <c r="D3" s="0" t="n">
        <v>279.348</v>
      </c>
      <c r="E3" s="0" t="n">
        <v>21.3</v>
      </c>
      <c r="F3" s="0" t="n">
        <v>147.629</v>
      </c>
      <c r="G3" s="0" t="n">
        <v>11.2</v>
      </c>
      <c r="H3" s="0" t="n">
        <v>167.24</v>
      </c>
      <c r="I3" s="0" t="n">
        <v>122.934</v>
      </c>
      <c r="J3" s="0" t="n">
        <v>9.4</v>
      </c>
      <c r="K3" s="0" t="n">
        <v>0.0668</v>
      </c>
      <c r="L3" s="0" t="n">
        <v>135.561</v>
      </c>
      <c r="M3" s="0" t="n">
        <v>15.74</v>
      </c>
      <c r="N3" s="0" t="n">
        <v>119.821</v>
      </c>
      <c r="O3" s="0" t="n">
        <v>549.078</v>
      </c>
      <c r="P3" s="0" t="n">
        <v>890.576</v>
      </c>
      <c r="Q3" s="0" t="n">
        <v>341.498</v>
      </c>
      <c r="R3" s="0" t="n">
        <v>49.233</v>
      </c>
      <c r="S3" s="0" t="n">
        <v>223.808</v>
      </c>
      <c r="T3" s="0" t="n">
        <v>1840</v>
      </c>
      <c r="U3" s="0" t="n">
        <v>3.807</v>
      </c>
      <c r="AA3" s="0" t="s">
        <v>17</v>
      </c>
      <c r="AB3" s="0" t="s">
        <v>14</v>
      </c>
      <c r="AC3" s="0" t="n">
        <v>0.0668</v>
      </c>
    </row>
    <row r="4" customFormat="false" ht="15" hidden="false" customHeight="false" outlineLevel="0" collapsed="false">
      <c r="A4" s="0" t="s">
        <v>69</v>
      </c>
      <c r="B4" s="0" t="n">
        <v>1438.776</v>
      </c>
      <c r="C4" s="0" t="n">
        <v>1133.628</v>
      </c>
      <c r="D4" s="0" t="n">
        <v>305.148</v>
      </c>
      <c r="E4" s="0" t="n">
        <v>21.2</v>
      </c>
      <c r="F4" s="0" t="n">
        <v>160.909</v>
      </c>
      <c r="G4" s="0" t="n">
        <v>11.2</v>
      </c>
      <c r="H4" s="0" t="n">
        <v>191.825</v>
      </c>
      <c r="I4" s="0" t="n">
        <v>128.114</v>
      </c>
      <c r="J4" s="0" t="n">
        <v>8.9</v>
      </c>
      <c r="K4" s="0" t="n">
        <v>0.0696</v>
      </c>
      <c r="L4" s="0" t="n">
        <v>147.273</v>
      </c>
      <c r="M4" s="0" t="n">
        <v>11.951</v>
      </c>
      <c r="N4" s="0" t="n">
        <v>135.322</v>
      </c>
      <c r="O4" s="0" t="n">
        <v>603.405</v>
      </c>
      <c r="P4" s="0" t="n">
        <v>1041.756</v>
      </c>
      <c r="Q4" s="0" t="n">
        <v>438.351</v>
      </c>
      <c r="R4" s="0" t="n">
        <v>40</v>
      </c>
      <c r="S4" s="0" t="n">
        <v>281.558</v>
      </c>
      <c r="T4" s="0" t="n">
        <v>1840</v>
      </c>
      <c r="U4" s="0" t="n">
        <v>6.259</v>
      </c>
      <c r="AA4" s="0" t="s">
        <v>17</v>
      </c>
      <c r="AB4" s="0" t="s">
        <v>14</v>
      </c>
      <c r="AC4" s="0" t="n">
        <v>0.069</v>
      </c>
      <c r="AD4" s="0" t="n">
        <v>154.08</v>
      </c>
      <c r="AF4" s="0" t="n">
        <v>2780.15</v>
      </c>
    </row>
    <row r="5" customFormat="false" ht="15" hidden="false" customHeight="false" outlineLevel="0" collapsed="false">
      <c r="A5" s="0" t="s">
        <v>70</v>
      </c>
      <c r="B5" s="0" t="n">
        <v>3008.019</v>
      </c>
      <c r="C5" s="0" t="n">
        <v>2427.802</v>
      </c>
      <c r="D5" s="0" t="n">
        <v>580.217</v>
      </c>
      <c r="E5" s="0" t="n">
        <v>19.3</v>
      </c>
      <c r="F5" s="0" t="n">
        <v>310.636</v>
      </c>
      <c r="G5" s="0" t="n">
        <v>10.3</v>
      </c>
      <c r="H5" s="0" t="n">
        <v>382.552</v>
      </c>
      <c r="I5" s="0" t="n">
        <v>226.361</v>
      </c>
      <c r="J5" s="0" t="n">
        <v>7.5</v>
      </c>
      <c r="K5" s="0" t="n">
        <v>0.123</v>
      </c>
      <c r="L5" s="0" t="n">
        <v>144.579</v>
      </c>
      <c r="M5" s="0" t="n">
        <v>46.755</v>
      </c>
      <c r="N5" s="0" t="n">
        <v>97.824</v>
      </c>
      <c r="O5" s="0" t="n">
        <v>852.474</v>
      </c>
      <c r="P5" s="0" t="n">
        <v>2598.964</v>
      </c>
      <c r="Q5" s="0" t="n">
        <v>1734.563</v>
      </c>
      <c r="R5" s="0" t="n">
        <v>1012.208</v>
      </c>
      <c r="S5" s="0" t="n">
        <v>156.55</v>
      </c>
      <c r="T5" s="0" t="n">
        <v>1840.057</v>
      </c>
      <c r="U5" s="0" t="n">
        <v>4.987</v>
      </c>
      <c r="AA5" s="0" t="s">
        <v>17</v>
      </c>
      <c r="AB5" s="0" t="s">
        <v>14</v>
      </c>
      <c r="AC5" s="0" t="n">
        <v>0.123</v>
      </c>
      <c r="AE5" s="0" t="n">
        <v>88.358</v>
      </c>
    </row>
    <row r="6" customFormat="false" ht="15" hidden="false" customHeight="false" outlineLevel="0" collapsed="false">
      <c r="A6" s="0" t="s">
        <v>71</v>
      </c>
      <c r="B6" s="0" t="n">
        <v>3590.117</v>
      </c>
      <c r="C6" s="0" t="n">
        <v>3002.02</v>
      </c>
      <c r="D6" s="0" t="n">
        <v>588.097</v>
      </c>
      <c r="E6" s="0" t="n">
        <v>16.4</v>
      </c>
      <c r="F6" s="0" t="n">
        <v>270.898</v>
      </c>
      <c r="G6" s="0" t="n">
        <v>7.5</v>
      </c>
      <c r="H6" s="0" t="n">
        <v>344.687</v>
      </c>
      <c r="I6" s="0" t="n">
        <v>168.223</v>
      </c>
      <c r="J6" s="0" t="n">
        <v>4.7</v>
      </c>
      <c r="K6" s="0" t="n">
        <v>0.091</v>
      </c>
      <c r="L6" s="0" t="n">
        <v>210.847</v>
      </c>
      <c r="M6" s="0" t="n">
        <v>59.353</v>
      </c>
      <c r="N6" s="0" t="n">
        <v>151.494</v>
      </c>
      <c r="O6" s="0" t="n">
        <v>1051.174</v>
      </c>
      <c r="P6" s="0" t="n">
        <v>3182.762</v>
      </c>
      <c r="Q6" s="0" t="n">
        <v>2119.317</v>
      </c>
      <c r="R6" s="0" t="n">
        <v>1062.163</v>
      </c>
      <c r="S6" s="0" t="n">
        <v>220.906</v>
      </c>
      <c r="T6" s="0" t="n">
        <v>1866.77</v>
      </c>
      <c r="U6" s="0" t="n">
        <v>4.335</v>
      </c>
      <c r="AA6" s="0" t="s">
        <v>17</v>
      </c>
      <c r="AB6" s="0" t="s">
        <v>14</v>
      </c>
      <c r="AC6" s="0" t="n">
        <v>0.0901</v>
      </c>
      <c r="AE6" s="0" t="n">
        <v>121.352</v>
      </c>
    </row>
    <row r="7" customFormat="false" ht="15" hidden="false" customHeight="false" outlineLevel="0" collapsed="false">
      <c r="A7" s="0" t="s">
        <v>72</v>
      </c>
      <c r="B7" s="0" t="n">
        <v>5764.839</v>
      </c>
      <c r="C7" s="0" t="n">
        <v>5140.174</v>
      </c>
      <c r="D7" s="0" t="n">
        <v>624.665</v>
      </c>
      <c r="E7" s="0" t="n">
        <v>10.8</v>
      </c>
      <c r="F7" s="0" t="n">
        <v>312.061</v>
      </c>
      <c r="G7" s="0" t="n">
        <v>5.4</v>
      </c>
      <c r="H7" s="0" t="n">
        <v>404.056</v>
      </c>
      <c r="I7" s="0" t="n">
        <v>215.14</v>
      </c>
      <c r="J7" s="0" t="n">
        <v>3.7</v>
      </c>
      <c r="K7" s="0" t="n">
        <v>0.1106</v>
      </c>
      <c r="L7" s="0" t="n">
        <v>-1447.992</v>
      </c>
      <c r="M7" s="0" t="n">
        <v>213.462</v>
      </c>
      <c r="N7" s="0" t="n">
        <v>-1661.454</v>
      </c>
      <c r="O7" s="0" t="n">
        <v>1132.352</v>
      </c>
      <c r="P7" s="0" t="n">
        <v>6106.964</v>
      </c>
      <c r="Q7" s="0" t="n">
        <v>4962.894</v>
      </c>
      <c r="R7" s="0" t="n">
        <v>3312.254</v>
      </c>
      <c r="S7" s="0" t="n">
        <v>288.003</v>
      </c>
      <c r="T7" s="0" t="n">
        <v>1945.952</v>
      </c>
      <c r="U7" s="0" t="n">
        <v>2.156</v>
      </c>
      <c r="AA7" s="0" t="s">
        <v>17</v>
      </c>
      <c r="AB7" s="0" t="s">
        <v>14</v>
      </c>
      <c r="AC7" s="0" t="n">
        <v>0.1105</v>
      </c>
      <c r="AE7" s="0" t="n">
        <v>109.939</v>
      </c>
    </row>
    <row r="8" customFormat="false" ht="15" hidden="false" customHeight="false" outlineLevel="0" collapsed="false">
      <c r="A8" s="0" t="s">
        <v>73</v>
      </c>
      <c r="B8" s="0" t="n">
        <v>7388.751</v>
      </c>
      <c r="C8" s="0" t="n">
        <v>6305.924</v>
      </c>
      <c r="D8" s="0" t="n">
        <v>1082.827</v>
      </c>
      <c r="E8" s="0" t="n">
        <v>14.7</v>
      </c>
      <c r="F8" s="0" t="n">
        <v>625.859</v>
      </c>
      <c r="G8" s="0" t="n">
        <v>8.5</v>
      </c>
      <c r="H8" s="0" t="n">
        <v>722.426</v>
      </c>
      <c r="I8" s="0" t="n">
        <v>464.147</v>
      </c>
      <c r="J8" s="0" t="n">
        <v>6.3</v>
      </c>
      <c r="K8" s="0" t="n">
        <v>0.2384</v>
      </c>
      <c r="L8" s="0" t="n">
        <v>1047.988</v>
      </c>
      <c r="M8" s="0" t="n">
        <v>179.698</v>
      </c>
      <c r="N8" s="0" t="n">
        <v>868.29</v>
      </c>
      <c r="O8" s="0" t="n">
        <v>1604.752</v>
      </c>
      <c r="P8" s="0" t="n">
        <v>4822.426</v>
      </c>
      <c r="Q8" s="0" t="n">
        <v>3206.951</v>
      </c>
      <c r="R8" s="0" t="n">
        <v>1390.631</v>
      </c>
      <c r="S8" s="0" t="n">
        <v>425.848</v>
      </c>
      <c r="T8" s="0" t="n">
        <v>1989.95</v>
      </c>
      <c r="U8" s="0" t="n">
        <v>41.45</v>
      </c>
      <c r="AA8" s="0" t="s">
        <v>17</v>
      </c>
      <c r="AB8" s="0" t="s">
        <v>14</v>
      </c>
      <c r="AC8" s="0" t="n">
        <v>0.2332</v>
      </c>
      <c r="AE8" s="0" t="n">
        <v>232.928</v>
      </c>
    </row>
    <row r="9" customFormat="false" ht="15" hidden="false" customHeight="false" outlineLevel="0" collapsed="false">
      <c r="A9" s="0" t="s">
        <v>74</v>
      </c>
      <c r="B9" s="0" t="n">
        <v>12409.577</v>
      </c>
      <c r="C9" s="0" t="n">
        <v>10940.758</v>
      </c>
      <c r="D9" s="0" t="n">
        <v>1468.819</v>
      </c>
      <c r="E9" s="0" t="n">
        <v>11.8</v>
      </c>
      <c r="F9" s="0" t="n">
        <v>980.018</v>
      </c>
      <c r="G9" s="0" t="n">
        <v>7.9</v>
      </c>
      <c r="H9" s="0" t="n">
        <v>1187.211</v>
      </c>
      <c r="I9" s="0" t="n">
        <v>783.681</v>
      </c>
      <c r="J9" s="0" t="n">
        <v>6.3</v>
      </c>
      <c r="K9" s="0" t="n">
        <v>0.4007</v>
      </c>
      <c r="L9" s="0" t="n">
        <v>664.515</v>
      </c>
      <c r="M9" s="0" t="n">
        <v>147.02</v>
      </c>
      <c r="N9" s="0" t="n">
        <v>517.495</v>
      </c>
      <c r="O9" s="0" t="n">
        <v>2826.855</v>
      </c>
      <c r="P9" s="0" t="n">
        <v>9173.823</v>
      </c>
      <c r="Q9" s="0" t="n">
        <v>6338.585</v>
      </c>
      <c r="R9" s="0" t="n">
        <v>2143.534</v>
      </c>
      <c r="S9" s="0" t="n">
        <v>767.107</v>
      </c>
      <c r="T9" s="0" t="n">
        <v>2039.472</v>
      </c>
      <c r="U9" s="0" t="n">
        <v>44.405</v>
      </c>
      <c r="AA9" s="0" t="s">
        <v>17</v>
      </c>
      <c r="AB9" s="0" t="s">
        <v>14</v>
      </c>
      <c r="AC9" s="0" t="n">
        <v>0.3843</v>
      </c>
      <c r="AE9" s="0" t="n">
        <v>265.953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75</v>
      </c>
      <c r="B1" s="2" t="s">
        <v>76</v>
      </c>
    </row>
    <row r="2" customFormat="false" ht="15" hidden="false" customHeight="false" outlineLevel="0" collapsed="false">
      <c r="A2" s="0" t="s">
        <v>77</v>
      </c>
      <c r="B2" s="3" t="n">
        <v>12.92</v>
      </c>
    </row>
    <row r="3" customFormat="false" ht="15" hidden="false" customHeight="false" outlineLevel="0" collapsed="false">
      <c r="A3" s="0" t="s">
        <v>78</v>
      </c>
      <c r="B3" s="3" t="n">
        <v>2310</v>
      </c>
    </row>
    <row r="4" customFormat="false" ht="15" hidden="false" customHeight="false" outlineLevel="0" collapsed="false">
      <c r="A4" s="0" t="s">
        <v>79</v>
      </c>
      <c r="B4" s="3" t="n">
        <v>-809.686</v>
      </c>
    </row>
    <row r="5" customFormat="false" ht="15" hidden="false" customHeight="false" outlineLevel="0" collapsed="false">
      <c r="A5" s="0" t="s">
        <v>80</v>
      </c>
      <c r="B5" s="3" t="n">
        <v>388.653</v>
      </c>
    </row>
    <row r="6" customFormat="false" ht="15" hidden="false" customHeight="false" outlineLevel="0" collapsed="false">
      <c r="A6" s="0" t="s">
        <v>81</v>
      </c>
      <c r="B6" s="3" t="n">
        <v>15</v>
      </c>
    </row>
    <row r="7" customFormat="false" ht="15" hidden="false" customHeight="false" outlineLevel="0" collapsed="false">
      <c r="A7" s="0" t="s">
        <v>82</v>
      </c>
      <c r="B7" s="3" t="n">
        <v>12409.577</v>
      </c>
    </row>
    <row r="8" customFormat="false" ht="15" hidden="false" customHeight="false" outlineLevel="0" collapsed="false">
      <c r="A8" s="0" t="s">
        <v>83</v>
      </c>
      <c r="B8" s="3" t="s">
        <v>74</v>
      </c>
    </row>
    <row r="9" customFormat="false" ht="15" hidden="false" customHeight="false" outlineLevel="0" collapsed="false">
      <c r="A9" s="0" t="s">
        <v>84</v>
      </c>
      <c r="B9" s="3" t="s">
        <v>85</v>
      </c>
    </row>
    <row r="10" customFormat="false" ht="15" hidden="false" customHeight="false" outlineLevel="0" collapsed="false">
      <c r="A10" s="0" t="s">
        <v>86</v>
      </c>
      <c r="B10" s="3" t="n">
        <v>1</v>
      </c>
    </row>
    <row r="12" customFormat="false" ht="15" hidden="false" customHeight="false" outlineLevel="0" collapsed="false">
      <c r="A12" s="2" t="s">
        <v>87</v>
      </c>
      <c r="C12" s="2" t="s">
        <v>88</v>
      </c>
      <c r="D12" s="2" t="s">
        <v>89</v>
      </c>
      <c r="E12" s="2" t="s">
        <v>90</v>
      </c>
      <c r="F12" s="2" t="s">
        <v>91</v>
      </c>
      <c r="G12" s="2" t="s">
        <v>92</v>
      </c>
      <c r="H12" s="2" t="s">
        <v>93</v>
      </c>
      <c r="I12" s="2" t="s">
        <v>94</v>
      </c>
      <c r="J12" s="2" t="s">
        <v>95</v>
      </c>
      <c r="K12" s="2" t="s">
        <v>96</v>
      </c>
      <c r="L12" s="2" t="s">
        <v>97</v>
      </c>
    </row>
    <row r="13" customFormat="false" ht="15" hidden="false" customHeight="false" outlineLevel="0" collapsed="false">
      <c r="A13" s="0" t="s">
        <v>98</v>
      </c>
      <c r="C13" s="3" t="n">
        <v>60</v>
      </c>
      <c r="D13" s="3" t="n">
        <v>0</v>
      </c>
      <c r="E13" s="3" t="n">
        <v>-10</v>
      </c>
      <c r="F13" s="3" t="n">
        <v>3</v>
      </c>
      <c r="G13" s="3" t="n">
        <v>4</v>
      </c>
      <c r="H13" s="3" t="n">
        <v>3</v>
      </c>
      <c r="I13" s="3" t="n">
        <v>3</v>
      </c>
      <c r="J13" s="3" t="n">
        <v>2.5</v>
      </c>
      <c r="K13" s="3" t="n">
        <v>2.5</v>
      </c>
      <c r="L13" s="3" t="n">
        <v>2.5</v>
      </c>
    </row>
    <row r="14" customFormat="false" ht="15" hidden="false" customHeight="false" outlineLevel="0" collapsed="false">
      <c r="A14" s="0" t="s">
        <v>99</v>
      </c>
      <c r="C14" s="3" t="n">
        <v>8.5</v>
      </c>
      <c r="D14" s="3" t="n">
        <v>7.5</v>
      </c>
      <c r="E14" s="3" t="n">
        <v>6.5</v>
      </c>
      <c r="F14" s="3" t="n">
        <v>6.5</v>
      </c>
      <c r="G14" s="3" t="n">
        <v>6.8</v>
      </c>
      <c r="H14" s="3" t="n">
        <v>7</v>
      </c>
      <c r="I14" s="3" t="n">
        <v>7</v>
      </c>
      <c r="J14" s="3" t="n">
        <v>7</v>
      </c>
      <c r="K14" s="3" t="n">
        <v>7</v>
      </c>
      <c r="L14" s="3" t="n">
        <v>7</v>
      </c>
    </row>
    <row r="15" customFormat="false" ht="15" hidden="false" customHeight="false" outlineLevel="0" collapsed="false">
      <c r="A15" s="0" t="s">
        <v>100</v>
      </c>
      <c r="C15" s="3" t="n">
        <v>0.25</v>
      </c>
      <c r="D15" s="3" t="n">
        <v>0.25</v>
      </c>
      <c r="E15" s="3" t="n">
        <v>0.22</v>
      </c>
      <c r="F15" s="3" t="n">
        <v>0.22</v>
      </c>
      <c r="G15" s="3" t="n">
        <v>0.2</v>
      </c>
      <c r="H15" s="3" t="n">
        <v>0.2</v>
      </c>
      <c r="I15" s="3" t="n">
        <v>0.18</v>
      </c>
      <c r="J15" s="3" t="n">
        <v>0.18</v>
      </c>
      <c r="K15" s="3" t="n">
        <v>0.15</v>
      </c>
      <c r="L15" s="3" t="n">
        <v>0.15</v>
      </c>
    </row>
    <row r="16" customFormat="false" ht="15" hidden="false" customHeight="false" outlineLevel="0" collapsed="false">
      <c r="A16" s="0" t="s">
        <v>101</v>
      </c>
      <c r="C16" s="3" t="n">
        <v>0.16</v>
      </c>
      <c r="D16" s="3" t="n">
        <v>0.16</v>
      </c>
      <c r="E16" s="3" t="n">
        <v>0.16</v>
      </c>
      <c r="F16" s="3" t="n">
        <v>0.16</v>
      </c>
      <c r="G16" s="3" t="n">
        <v>0.16</v>
      </c>
      <c r="H16" s="3" t="n">
        <v>0.16</v>
      </c>
      <c r="I16" s="3" t="n">
        <v>0.16</v>
      </c>
      <c r="J16" s="3" t="n">
        <v>0.16</v>
      </c>
      <c r="K16" s="3" t="n">
        <v>0.16</v>
      </c>
      <c r="L16" s="3" t="n">
        <v>0.16</v>
      </c>
    </row>
    <row r="17" customFormat="false" ht="15" hidden="false" customHeight="false" outlineLevel="0" collapsed="false">
      <c r="A17" s="0" t="s">
        <v>102</v>
      </c>
      <c r="C17" s="3" t="n">
        <v>1.4</v>
      </c>
      <c r="D17" s="3" t="n">
        <v>1.5</v>
      </c>
      <c r="E17" s="3" t="n">
        <v>1.6</v>
      </c>
      <c r="F17" s="3" t="n">
        <v>1.6</v>
      </c>
      <c r="G17" s="3" t="n">
        <v>1.5</v>
      </c>
      <c r="H17" s="3" t="n">
        <v>1.5</v>
      </c>
      <c r="I17" s="3" t="n">
        <v>1.5</v>
      </c>
      <c r="J17" s="3" t="n">
        <v>1.5</v>
      </c>
      <c r="K17" s="3" t="n">
        <v>1.5</v>
      </c>
      <c r="L17" s="3" t="n">
        <v>1.5</v>
      </c>
    </row>
    <row r="18" customFormat="false" ht="15" hidden="false" customHeight="false" outlineLevel="0" collapsed="false">
      <c r="A18" s="0" t="s">
        <v>103</v>
      </c>
      <c r="C18" s="3" t="n">
        <v>1.4</v>
      </c>
      <c r="D18" s="3" t="n">
        <v>1.2</v>
      </c>
      <c r="E18" s="3" t="n">
        <v>1</v>
      </c>
      <c r="F18" s="3" t="n">
        <v>1.2</v>
      </c>
      <c r="G18" s="3" t="n">
        <v>1.3</v>
      </c>
      <c r="H18" s="3" t="n">
        <v>1.3</v>
      </c>
      <c r="I18" s="3" t="n">
        <v>1.3</v>
      </c>
      <c r="J18" s="3" t="n">
        <v>1.3</v>
      </c>
      <c r="K18" s="3" t="n">
        <v>1.3</v>
      </c>
      <c r="L18" s="3" t="n">
        <v>1.3</v>
      </c>
    </row>
    <row r="19" customFormat="false" ht="15" hidden="false" customHeight="false" outlineLevel="0" collapsed="false">
      <c r="A19" s="0" t="s">
        <v>104</v>
      </c>
      <c r="C19" s="3" t="n">
        <v>16</v>
      </c>
      <c r="D19" s="3" t="n">
        <v>16</v>
      </c>
      <c r="E19" s="3" t="n">
        <v>17</v>
      </c>
      <c r="F19" s="3" t="n">
        <v>17</v>
      </c>
      <c r="G19" s="3" t="n">
        <v>18</v>
      </c>
      <c r="H19" s="3" t="n">
        <v>18</v>
      </c>
      <c r="I19" s="3" t="n">
        <v>18</v>
      </c>
      <c r="J19" s="3" t="n">
        <v>18</v>
      </c>
      <c r="K19" s="3" t="n">
        <v>18</v>
      </c>
      <c r="L19" s="3" t="n">
        <v>18</v>
      </c>
    </row>
    <row r="20" customFormat="false" ht="15" hidden="false" customHeight="false" outlineLevel="0" collapsed="false">
      <c r="A20" s="0" t="s">
        <v>105</v>
      </c>
      <c r="B20" s="3" t="n">
        <v>10</v>
      </c>
    </row>
    <row r="21" customFormat="false" ht="15" hidden="false" customHeight="false" outlineLevel="0" collapsed="false">
      <c r="A21" s="0" t="s">
        <v>106</v>
      </c>
      <c r="B21" s="3" t="n">
        <v>2</v>
      </c>
    </row>
    <row r="22" customFormat="false" ht="15" hidden="false" customHeight="false" outlineLevel="0" collapsed="false">
      <c r="A22" s="0" t="s">
        <v>107</v>
      </c>
      <c r="B22" s="3" t="n">
        <v>14</v>
      </c>
    </row>
    <row r="23" customFormat="false" ht="15" hidden="false" customHeight="false" outlineLevel="0" collapsed="false">
      <c r="A23" s="0" t="s">
        <v>108</v>
      </c>
      <c r="B23" s="3" t="n">
        <v>-20</v>
      </c>
    </row>
    <row r="24" customFormat="false" ht="15" hidden="false" customHeight="false" outlineLevel="0" collapsed="false">
      <c r="A24" s="0" t="s">
        <v>109</v>
      </c>
      <c r="B24" s="3" t="n">
        <v>0.3</v>
      </c>
    </row>
    <row r="26" customFormat="false" ht="15" hidden="false" customHeight="false" outlineLevel="0" collapsed="false">
      <c r="A26" s="2" t="s">
        <v>110</v>
      </c>
      <c r="C26" s="2" t="s">
        <v>88</v>
      </c>
      <c r="D26" s="2" t="s">
        <v>89</v>
      </c>
      <c r="E26" s="2" t="s">
        <v>90</v>
      </c>
      <c r="F26" s="2" t="s">
        <v>91</v>
      </c>
      <c r="G26" s="2" t="s">
        <v>92</v>
      </c>
      <c r="H26" s="2" t="s">
        <v>93</v>
      </c>
      <c r="I26" s="2" t="s">
        <v>94</v>
      </c>
      <c r="J26" s="2" t="s">
        <v>95</v>
      </c>
      <c r="K26" s="2" t="s">
        <v>96</v>
      </c>
      <c r="L26" s="2" t="s">
        <v>97</v>
      </c>
    </row>
    <row r="27" customFormat="false" ht="15" hidden="false" customHeight="false" outlineLevel="0" collapsed="false">
      <c r="A27" s="0" t="s">
        <v>98</v>
      </c>
      <c r="C27" s="3" t="n">
        <v>70</v>
      </c>
      <c r="D27" s="3" t="n">
        <v>18</v>
      </c>
      <c r="E27" s="3" t="n">
        <v>10</v>
      </c>
      <c r="F27" s="3" t="n">
        <v>7</v>
      </c>
      <c r="G27" s="3" t="n">
        <v>5</v>
      </c>
      <c r="H27" s="3" t="n">
        <v>4</v>
      </c>
      <c r="I27" s="3" t="n">
        <v>3</v>
      </c>
      <c r="J27" s="3" t="n">
        <v>3</v>
      </c>
      <c r="K27" s="3" t="n">
        <v>2.5</v>
      </c>
      <c r="L27" s="3" t="n">
        <v>2.5</v>
      </c>
    </row>
    <row r="28" customFormat="false" ht="15" hidden="false" customHeight="false" outlineLevel="0" collapsed="false">
      <c r="A28" s="0" t="s">
        <v>99</v>
      </c>
      <c r="C28" s="3" t="n">
        <v>9.5</v>
      </c>
      <c r="D28" s="3" t="n">
        <v>9.4</v>
      </c>
      <c r="E28" s="3" t="n">
        <v>9.3</v>
      </c>
      <c r="F28" s="3" t="n">
        <v>9.2</v>
      </c>
      <c r="G28" s="3" t="n">
        <v>9.1</v>
      </c>
      <c r="H28" s="3" t="n">
        <v>9</v>
      </c>
      <c r="I28" s="3" t="n">
        <v>9</v>
      </c>
      <c r="J28" s="3" t="n">
        <v>9</v>
      </c>
      <c r="K28" s="3" t="n">
        <v>9</v>
      </c>
      <c r="L28" s="3" t="n">
        <v>9</v>
      </c>
    </row>
    <row r="29" customFormat="false" ht="15" hidden="false" customHeight="false" outlineLevel="0" collapsed="false">
      <c r="A29" s="0" t="s">
        <v>100</v>
      </c>
      <c r="C29" s="3" t="n">
        <v>0.25</v>
      </c>
      <c r="D29" s="3" t="n">
        <v>0.25</v>
      </c>
      <c r="E29" s="3" t="n">
        <v>0.22</v>
      </c>
      <c r="F29" s="3" t="n">
        <v>0.22</v>
      </c>
      <c r="G29" s="3" t="n">
        <v>0.2</v>
      </c>
      <c r="H29" s="3" t="n">
        <v>0.2</v>
      </c>
      <c r="I29" s="3" t="n">
        <v>0.18</v>
      </c>
      <c r="J29" s="3" t="n">
        <v>0.18</v>
      </c>
      <c r="K29" s="3" t="n">
        <v>0.15</v>
      </c>
      <c r="L29" s="3" t="n">
        <v>0.15</v>
      </c>
    </row>
    <row r="30" customFormat="false" ht="15" hidden="false" customHeight="false" outlineLevel="0" collapsed="false">
      <c r="A30" s="0" t="s">
        <v>101</v>
      </c>
      <c r="C30" s="3" t="n">
        <v>0.16</v>
      </c>
      <c r="D30" s="3" t="n">
        <v>0.16</v>
      </c>
      <c r="E30" s="3" t="n">
        <v>0.16</v>
      </c>
      <c r="F30" s="3" t="n">
        <v>0.16</v>
      </c>
      <c r="G30" s="3" t="n">
        <v>0.16</v>
      </c>
      <c r="H30" s="3" t="n">
        <v>0.16</v>
      </c>
      <c r="I30" s="3" t="n">
        <v>0.16</v>
      </c>
      <c r="J30" s="3" t="n">
        <v>0.16</v>
      </c>
      <c r="K30" s="3" t="n">
        <v>0.16</v>
      </c>
      <c r="L30" s="3" t="n">
        <v>0.16</v>
      </c>
    </row>
    <row r="31" customFormat="false" ht="15" hidden="false" customHeight="false" outlineLevel="0" collapsed="false">
      <c r="A31" s="0" t="s">
        <v>102</v>
      </c>
      <c r="C31" s="3" t="n">
        <v>1.4</v>
      </c>
      <c r="D31" s="3" t="n">
        <v>1.4</v>
      </c>
      <c r="E31" s="3" t="n">
        <v>1.4</v>
      </c>
      <c r="F31" s="3" t="n">
        <v>1.4</v>
      </c>
      <c r="G31" s="3" t="n">
        <v>1.4</v>
      </c>
      <c r="H31" s="3" t="n">
        <v>1.4</v>
      </c>
      <c r="I31" s="3" t="n">
        <v>1.4</v>
      </c>
      <c r="J31" s="3" t="n">
        <v>1.4</v>
      </c>
      <c r="K31" s="3" t="n">
        <v>1.4</v>
      </c>
      <c r="L31" s="3" t="n">
        <v>1.4</v>
      </c>
    </row>
    <row r="32" customFormat="false" ht="15" hidden="false" customHeight="false" outlineLevel="0" collapsed="false">
      <c r="A32" s="0" t="s">
        <v>103</v>
      </c>
      <c r="C32" s="3" t="n">
        <v>1.5</v>
      </c>
      <c r="D32" s="3" t="n">
        <v>1.5</v>
      </c>
      <c r="E32" s="3" t="n">
        <v>1.5</v>
      </c>
      <c r="F32" s="3" t="n">
        <v>1.5</v>
      </c>
      <c r="G32" s="3" t="n">
        <v>1.5</v>
      </c>
      <c r="H32" s="3" t="n">
        <v>1.5</v>
      </c>
      <c r="I32" s="3" t="n">
        <v>1.5</v>
      </c>
      <c r="J32" s="3" t="n">
        <v>1.5</v>
      </c>
      <c r="K32" s="3" t="n">
        <v>1.5</v>
      </c>
      <c r="L32" s="3" t="n">
        <v>1.5</v>
      </c>
    </row>
    <row r="33" customFormat="false" ht="15" hidden="false" customHeight="false" outlineLevel="0" collapsed="false">
      <c r="A33" s="0" t="s">
        <v>104</v>
      </c>
      <c r="C33" s="3" t="n">
        <v>16</v>
      </c>
      <c r="D33" s="3" t="n">
        <v>16</v>
      </c>
      <c r="E33" s="3" t="n">
        <v>17</v>
      </c>
      <c r="F33" s="3" t="n">
        <v>17</v>
      </c>
      <c r="G33" s="3" t="n">
        <v>18</v>
      </c>
      <c r="H33" s="3" t="n">
        <v>18</v>
      </c>
      <c r="I33" s="3" t="n">
        <v>18</v>
      </c>
      <c r="J33" s="3" t="n">
        <v>18</v>
      </c>
      <c r="K33" s="3" t="n">
        <v>18</v>
      </c>
      <c r="L33" s="3" t="n">
        <v>18</v>
      </c>
    </row>
    <row r="34" customFormat="false" ht="15" hidden="false" customHeight="false" outlineLevel="0" collapsed="false">
      <c r="A34" s="0" t="s">
        <v>105</v>
      </c>
      <c r="B34" s="3" t="n">
        <v>10</v>
      </c>
    </row>
    <row r="35" customFormat="false" ht="15" hidden="false" customHeight="false" outlineLevel="0" collapsed="false">
      <c r="A35" s="0" t="s">
        <v>106</v>
      </c>
      <c r="B35" s="3" t="n">
        <v>2.5</v>
      </c>
    </row>
    <row r="36" customFormat="false" ht="15" hidden="false" customHeight="false" outlineLevel="0" collapsed="false">
      <c r="A36" s="0" t="s">
        <v>107</v>
      </c>
      <c r="B36" s="3" t="n">
        <v>14</v>
      </c>
    </row>
    <row r="37" customFormat="false" ht="15" hidden="false" customHeight="false" outlineLevel="0" collapsed="false">
      <c r="A37" s="0" t="s">
        <v>108</v>
      </c>
      <c r="B37" s="3" t="n">
        <v>-15</v>
      </c>
    </row>
    <row r="38" customFormat="false" ht="15" hidden="false" customHeight="false" outlineLevel="0" collapsed="false">
      <c r="A38" s="0" t="s">
        <v>109</v>
      </c>
      <c r="B38" s="3" t="n">
        <v>0.5</v>
      </c>
    </row>
    <row r="40" customFormat="false" ht="15" hidden="false" customHeight="false" outlineLevel="0" collapsed="false">
      <c r="A40" s="2" t="s">
        <v>111</v>
      </c>
      <c r="C40" s="2" t="s">
        <v>88</v>
      </c>
      <c r="D40" s="2" t="s">
        <v>89</v>
      </c>
      <c r="E40" s="2" t="s">
        <v>90</v>
      </c>
      <c r="F40" s="2" t="s">
        <v>91</v>
      </c>
      <c r="G40" s="2" t="s">
        <v>92</v>
      </c>
      <c r="H40" s="2" t="s">
        <v>93</v>
      </c>
      <c r="I40" s="2" t="s">
        <v>94</v>
      </c>
      <c r="J40" s="2" t="s">
        <v>95</v>
      </c>
      <c r="K40" s="2" t="s">
        <v>96</v>
      </c>
      <c r="L40" s="2" t="s">
        <v>97</v>
      </c>
    </row>
    <row r="41" customFormat="false" ht="15" hidden="false" customHeight="false" outlineLevel="0" collapsed="false">
      <c r="A41" s="0" t="s">
        <v>98</v>
      </c>
      <c r="C41" s="3" t="n">
        <v>78</v>
      </c>
      <c r="D41" s="3" t="n">
        <v>28</v>
      </c>
      <c r="E41" s="3" t="n">
        <v>18</v>
      </c>
      <c r="F41" s="3" t="n">
        <v>12</v>
      </c>
      <c r="G41" s="3" t="n">
        <v>8</v>
      </c>
      <c r="H41" s="3" t="n">
        <v>6</v>
      </c>
      <c r="I41" s="3" t="n">
        <v>5</v>
      </c>
      <c r="J41" s="3" t="n">
        <v>4</v>
      </c>
      <c r="K41" s="3" t="n">
        <v>3</v>
      </c>
      <c r="L41" s="3" t="n">
        <v>3</v>
      </c>
    </row>
    <row r="42" customFormat="false" ht="15" hidden="false" customHeight="false" outlineLevel="0" collapsed="false">
      <c r="A42" s="0" t="s">
        <v>99</v>
      </c>
      <c r="C42" s="3" t="n">
        <v>10</v>
      </c>
      <c r="D42" s="3" t="n">
        <v>10.3</v>
      </c>
      <c r="E42" s="3" t="n">
        <v>10.5</v>
      </c>
      <c r="F42" s="3" t="n">
        <v>10.8</v>
      </c>
      <c r="G42" s="3" t="n">
        <v>11</v>
      </c>
      <c r="H42" s="3" t="n">
        <v>11</v>
      </c>
      <c r="I42" s="3" t="n">
        <v>11</v>
      </c>
      <c r="J42" s="3" t="n">
        <v>11</v>
      </c>
      <c r="K42" s="3" t="n">
        <v>11</v>
      </c>
      <c r="L42" s="3" t="n">
        <v>11</v>
      </c>
    </row>
    <row r="43" customFormat="false" ht="15" hidden="false" customHeight="false" outlineLevel="0" collapsed="false">
      <c r="A43" s="0" t="s">
        <v>100</v>
      </c>
      <c r="C43" s="3" t="n">
        <v>0.25</v>
      </c>
      <c r="D43" s="3" t="n">
        <v>0.25</v>
      </c>
      <c r="E43" s="3" t="n">
        <v>0.22</v>
      </c>
      <c r="F43" s="3" t="n">
        <v>0.22</v>
      </c>
      <c r="G43" s="3" t="n">
        <v>0.2</v>
      </c>
      <c r="H43" s="3" t="n">
        <v>0.2</v>
      </c>
      <c r="I43" s="3" t="n">
        <v>0.18</v>
      </c>
      <c r="J43" s="3" t="n">
        <v>0.18</v>
      </c>
      <c r="K43" s="3" t="n">
        <v>0.15</v>
      </c>
      <c r="L43" s="3" t="n">
        <v>0.15</v>
      </c>
    </row>
    <row r="44" customFormat="false" ht="15" hidden="false" customHeight="false" outlineLevel="0" collapsed="false">
      <c r="A44" s="0" t="s">
        <v>101</v>
      </c>
      <c r="C44" s="3" t="n">
        <v>0.16</v>
      </c>
      <c r="D44" s="3" t="n">
        <v>0.16</v>
      </c>
      <c r="E44" s="3" t="n">
        <v>0.16</v>
      </c>
      <c r="F44" s="3" t="n">
        <v>0.16</v>
      </c>
      <c r="G44" s="3" t="n">
        <v>0.16</v>
      </c>
      <c r="H44" s="3" t="n">
        <v>0.16</v>
      </c>
      <c r="I44" s="3" t="n">
        <v>0.16</v>
      </c>
      <c r="J44" s="3" t="n">
        <v>0.16</v>
      </c>
      <c r="K44" s="3" t="n">
        <v>0.16</v>
      </c>
      <c r="L44" s="3" t="n">
        <v>0.16</v>
      </c>
    </row>
    <row r="45" customFormat="false" ht="15" hidden="false" customHeight="false" outlineLevel="0" collapsed="false">
      <c r="A45" s="0" t="s">
        <v>102</v>
      </c>
      <c r="C45" s="3" t="n">
        <v>1.4</v>
      </c>
      <c r="D45" s="3" t="n">
        <v>1.4</v>
      </c>
      <c r="E45" s="3" t="n">
        <v>1.4</v>
      </c>
      <c r="F45" s="3" t="n">
        <v>1.4</v>
      </c>
      <c r="G45" s="3" t="n">
        <v>1.4</v>
      </c>
      <c r="H45" s="3" t="n">
        <v>1.4</v>
      </c>
      <c r="I45" s="3" t="n">
        <v>1.4</v>
      </c>
      <c r="J45" s="3" t="n">
        <v>1.4</v>
      </c>
      <c r="K45" s="3" t="n">
        <v>1.4</v>
      </c>
      <c r="L45" s="3" t="n">
        <v>1.4</v>
      </c>
    </row>
    <row r="46" customFormat="false" ht="15" hidden="false" customHeight="false" outlineLevel="0" collapsed="false">
      <c r="A46" s="0" t="s">
        <v>103</v>
      </c>
      <c r="C46" s="3" t="n">
        <v>1.6</v>
      </c>
      <c r="D46" s="3" t="n">
        <v>1.6</v>
      </c>
      <c r="E46" s="3" t="n">
        <v>1.6</v>
      </c>
      <c r="F46" s="3" t="n">
        <v>1.6</v>
      </c>
      <c r="G46" s="3" t="n">
        <v>1.6</v>
      </c>
      <c r="H46" s="3" t="n">
        <v>1.5</v>
      </c>
      <c r="I46" s="3" t="n">
        <v>1.5</v>
      </c>
      <c r="J46" s="3" t="n">
        <v>1.5</v>
      </c>
      <c r="K46" s="3" t="n">
        <v>1.5</v>
      </c>
      <c r="L46" s="3" t="n">
        <v>1.5</v>
      </c>
    </row>
    <row r="47" customFormat="false" ht="15" hidden="false" customHeight="false" outlineLevel="0" collapsed="false">
      <c r="A47" s="0" t="s">
        <v>104</v>
      </c>
      <c r="C47" s="3" t="n">
        <v>16</v>
      </c>
      <c r="D47" s="3" t="n">
        <v>16</v>
      </c>
      <c r="E47" s="3" t="n">
        <v>17</v>
      </c>
      <c r="F47" s="3" t="n">
        <v>17</v>
      </c>
      <c r="G47" s="3" t="n">
        <v>18</v>
      </c>
      <c r="H47" s="3" t="n">
        <v>18</v>
      </c>
      <c r="I47" s="3" t="n">
        <v>18</v>
      </c>
      <c r="J47" s="3" t="n">
        <v>18</v>
      </c>
      <c r="K47" s="3" t="n">
        <v>18</v>
      </c>
      <c r="L47" s="3" t="n">
        <v>18</v>
      </c>
    </row>
    <row r="48" customFormat="false" ht="15" hidden="false" customHeight="false" outlineLevel="0" collapsed="false">
      <c r="A48" s="0" t="s">
        <v>105</v>
      </c>
      <c r="B48" s="3" t="n">
        <v>10</v>
      </c>
    </row>
    <row r="49" customFormat="false" ht="15" hidden="false" customHeight="false" outlineLevel="0" collapsed="false">
      <c r="A49" s="0" t="s">
        <v>106</v>
      </c>
      <c r="B49" s="3" t="n">
        <v>3</v>
      </c>
    </row>
    <row r="50" customFormat="false" ht="15" hidden="false" customHeight="false" outlineLevel="0" collapsed="false">
      <c r="A50" s="0" t="s">
        <v>107</v>
      </c>
      <c r="B50" s="3" t="n">
        <v>14</v>
      </c>
    </row>
    <row r="51" customFormat="false" ht="15" hidden="false" customHeight="false" outlineLevel="0" collapsed="false">
      <c r="A51" s="0" t="s">
        <v>108</v>
      </c>
      <c r="B51" s="3" t="n">
        <v>-12</v>
      </c>
    </row>
    <row r="52" customFormat="false" ht="15" hidden="false" customHeight="false" outlineLevel="0" collapsed="false">
      <c r="A52" s="0" t="s">
        <v>109</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112</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Assumptions!C13</f>
        <v>60</v>
      </c>
      <c r="D5" s="4" t="n">
        <f aca="false">Assumptions!D13</f>
        <v>0</v>
      </c>
      <c r="E5" s="4" t="n">
        <f aca="false">Assumptions!E13</f>
        <v>-10</v>
      </c>
      <c r="F5" s="4" t="n">
        <f aca="false">Assumptions!F13</f>
        <v>3</v>
      </c>
      <c r="G5" s="4" t="n">
        <f aca="false">Assumptions!G13</f>
        <v>4</v>
      </c>
      <c r="H5" s="4" t="n">
        <f aca="false">Assumptions!H13</f>
        <v>3</v>
      </c>
      <c r="I5" s="4" t="n">
        <f aca="false">Assumptions!I13</f>
        <v>3</v>
      </c>
      <c r="J5" s="4" t="n">
        <f aca="false">Assumptions!J13</f>
        <v>2.5</v>
      </c>
      <c r="K5" s="4" t="n">
        <f aca="false">Assumptions!K13</f>
        <v>2.5</v>
      </c>
      <c r="L5" s="4" t="n">
        <f aca="false">Assumptions!L13</f>
        <v>2.5</v>
      </c>
    </row>
    <row r="6" customFormat="false" ht="15" hidden="false" customHeight="false" outlineLevel="0" collapsed="false">
      <c r="A6" s="0" t="s">
        <v>37</v>
      </c>
      <c r="B6" s="3" t="n">
        <v>12409.577</v>
      </c>
      <c r="C6" s="0" t="n">
        <f aca="false">B6*(1+C5/100)</f>
        <v>19855.3232</v>
      </c>
      <c r="D6" s="0" t="n">
        <f aca="false">C6*(1+D5/100)</f>
        <v>19855.3232</v>
      </c>
      <c r="E6" s="0" t="n">
        <f aca="false">D6*(1+E5/100)</f>
        <v>17869.79088</v>
      </c>
      <c r="F6" s="0" t="n">
        <f aca="false">E6*(1+F5/100)</f>
        <v>18405.8846064</v>
      </c>
      <c r="G6" s="0" t="n">
        <f aca="false">F6*(1+G5/100)</f>
        <v>19142.119990656</v>
      </c>
      <c r="H6" s="0" t="n">
        <f aca="false">G6*(1+H5/100)</f>
        <v>19716.3835903757</v>
      </c>
      <c r="I6" s="0" t="n">
        <f aca="false">H6*(1+I5/100)</f>
        <v>20307.875098087</v>
      </c>
      <c r="J6" s="0" t="n">
        <f aca="false">I6*(1+J5/100)</f>
        <v>20815.5719755391</v>
      </c>
      <c r="K6" s="0" t="n">
        <f aca="false">J6*(1+K5/100)</f>
        <v>21335.9612749276</v>
      </c>
      <c r="L6" s="0" t="n">
        <f aca="false">K6*(1+L5/100)</f>
        <v>21869.3603068008</v>
      </c>
    </row>
    <row r="7" customFormat="false" ht="15" hidden="false" customHeight="false" outlineLevel="0" collapsed="false">
      <c r="A7" s="0" t="s">
        <v>99</v>
      </c>
      <c r="C7" s="4" t="n">
        <f aca="false">Assumptions!C14</f>
        <v>8.5</v>
      </c>
      <c r="D7" s="4" t="n">
        <f aca="false">Assumptions!D14</f>
        <v>7.5</v>
      </c>
      <c r="E7" s="4" t="n">
        <f aca="false">Assumptions!E14</f>
        <v>6.5</v>
      </c>
      <c r="F7" s="4" t="n">
        <f aca="false">Assumptions!F14</f>
        <v>6.5</v>
      </c>
      <c r="G7" s="4" t="n">
        <f aca="false">Assumptions!G14</f>
        <v>6.8</v>
      </c>
      <c r="H7" s="4" t="n">
        <f aca="false">Assumptions!H14</f>
        <v>7</v>
      </c>
      <c r="I7" s="4" t="n">
        <f aca="false">Assumptions!I14</f>
        <v>7</v>
      </c>
      <c r="J7" s="4" t="n">
        <f aca="false">Assumptions!J14</f>
        <v>7</v>
      </c>
      <c r="K7" s="4" t="n">
        <f aca="false">Assumptions!K14</f>
        <v>7</v>
      </c>
      <c r="L7" s="4" t="n">
        <f aca="false">Assumptions!L14</f>
        <v>7</v>
      </c>
    </row>
    <row r="8" customFormat="false" ht="15" hidden="false" customHeight="false" outlineLevel="0" collapsed="false">
      <c r="A8" s="0" t="s">
        <v>43</v>
      </c>
      <c r="C8" s="0" t="n">
        <f aca="false">C6*C7/100</f>
        <v>1687.702472</v>
      </c>
      <c r="D8" s="0" t="n">
        <f aca="false">D6*D7/100</f>
        <v>1489.14924</v>
      </c>
      <c r="E8" s="0" t="n">
        <f aca="false">E6*E7/100</f>
        <v>1161.5364072</v>
      </c>
      <c r="F8" s="0" t="n">
        <f aca="false">F6*F7/100</f>
        <v>1196.382499416</v>
      </c>
      <c r="G8" s="0" t="n">
        <f aca="false">G6*G7/100</f>
        <v>1301.66415936461</v>
      </c>
      <c r="H8" s="0" t="n">
        <f aca="false">H6*H7/100</f>
        <v>1380.1468513263</v>
      </c>
      <c r="I8" s="0" t="n">
        <f aca="false">I6*I7/100</f>
        <v>1421.55125686609</v>
      </c>
      <c r="J8" s="0" t="n">
        <f aca="false">J6*J7/100</f>
        <v>1457.09003828774</v>
      </c>
      <c r="K8" s="0" t="n">
        <f aca="false">K6*K7/100</f>
        <v>1493.51728924493</v>
      </c>
      <c r="L8" s="0" t="n">
        <f aca="false">L6*L7/100</f>
        <v>1530.85522147606</v>
      </c>
    </row>
    <row r="9" customFormat="false" ht="15" hidden="false" customHeight="false" outlineLevel="0" collapsed="false">
      <c r="A9" s="0" t="s">
        <v>100</v>
      </c>
      <c r="C9" s="4" t="n">
        <f aca="false">Assumptions!C15</f>
        <v>0.25</v>
      </c>
      <c r="D9" s="4" t="n">
        <f aca="false">Assumptions!D15</f>
        <v>0.25</v>
      </c>
      <c r="E9" s="4" t="n">
        <f aca="false">Assumptions!E15</f>
        <v>0.22</v>
      </c>
      <c r="F9" s="4" t="n">
        <f aca="false">Assumptions!F15</f>
        <v>0.22</v>
      </c>
      <c r="G9" s="4" t="n">
        <f aca="false">Assumptions!G15</f>
        <v>0.2</v>
      </c>
      <c r="H9" s="4" t="n">
        <f aca="false">Assumptions!H15</f>
        <v>0.2</v>
      </c>
      <c r="I9" s="4" t="n">
        <f aca="false">Assumptions!I15</f>
        <v>0.18</v>
      </c>
      <c r="J9" s="4" t="n">
        <f aca="false">Assumptions!J15</f>
        <v>0.18</v>
      </c>
      <c r="K9" s="4" t="n">
        <f aca="false">Assumptions!K15</f>
        <v>0.15</v>
      </c>
      <c r="L9" s="4" t="n">
        <f aca="false">Assumptions!L15</f>
        <v>0.15</v>
      </c>
    </row>
    <row r="10" customFormat="false" ht="15" hidden="false" customHeight="false" outlineLevel="0" collapsed="false">
      <c r="A10" s="0" t="s">
        <v>115</v>
      </c>
      <c r="C10" s="0" t="n">
        <f aca="false">-C6*C9/100</f>
        <v>-49.638308</v>
      </c>
      <c r="D10" s="0" t="n">
        <f aca="false">-D6*D9/100</f>
        <v>-49.638308</v>
      </c>
      <c r="E10" s="0" t="n">
        <f aca="false">-E6*E9/100</f>
        <v>-39.313539936</v>
      </c>
      <c r="F10" s="0" t="n">
        <f aca="false">-F6*F9/100</f>
        <v>-40.49294613408</v>
      </c>
      <c r="G10" s="0" t="n">
        <f aca="false">-G6*G9/100</f>
        <v>-38.284239981312</v>
      </c>
      <c r="H10" s="0" t="n">
        <f aca="false">-H6*H9/100</f>
        <v>-39.4327671807514</v>
      </c>
      <c r="I10" s="0" t="n">
        <f aca="false">-I6*I9/100</f>
        <v>-36.5541751765565</v>
      </c>
      <c r="J10" s="0" t="n">
        <f aca="false">-J6*J9/100</f>
        <v>-37.4680295559704</v>
      </c>
      <c r="K10" s="0" t="n">
        <f aca="false">-K6*K9/100</f>
        <v>-32.0039419123914</v>
      </c>
      <c r="L10" s="0" t="n">
        <f aca="false">-L6*L9/100</f>
        <v>-32.8040404602012</v>
      </c>
    </row>
    <row r="11" customFormat="false" ht="15" hidden="false" customHeight="false" outlineLevel="0" collapsed="false">
      <c r="A11" s="0" t="s">
        <v>116</v>
      </c>
      <c r="C11" s="0" t="n">
        <f aca="false">C8+C10+C24</f>
        <v>1606.29564688</v>
      </c>
      <c r="D11" s="0" t="n">
        <f aca="false">D8+D10+D24</f>
        <v>1407.74241488</v>
      </c>
      <c r="E11" s="0" t="n">
        <f aca="false">E8+E10+E24</f>
        <v>1093.631201856</v>
      </c>
      <c r="F11" s="0" t="n">
        <f aca="false">F8+F10+F24</f>
        <v>1126.44013791168</v>
      </c>
      <c r="G11" s="0" t="n">
        <f aca="false">G8+G10+G24</f>
        <v>1232.75252739825</v>
      </c>
      <c r="H11" s="0" t="n">
        <f aca="false">H8+H10+H24</f>
        <v>1309.16787040095</v>
      </c>
      <c r="I11" s="0" t="n">
        <f aca="false">I8+I10+I24</f>
        <v>1352.50448153259</v>
      </c>
      <c r="J11" s="0" t="n">
        <f aca="false">J8+J10+J24</f>
        <v>1386.31709357091</v>
      </c>
      <c r="K11" s="0" t="n">
        <f aca="false">K8+K10+K24</f>
        <v>1427.37580929266</v>
      </c>
      <c r="L11" s="0" t="n">
        <f aca="false">L8+L10+L24</f>
        <v>1463.06020452497</v>
      </c>
    </row>
    <row r="12" customFormat="false" ht="15" hidden="false" customHeight="false" outlineLevel="0" collapsed="false">
      <c r="A12" s="0" t="s">
        <v>117</v>
      </c>
      <c r="C12" s="4" t="n">
        <f aca="false">-C6*Assumptions!C17/100</f>
        <v>-277.9745248</v>
      </c>
      <c r="D12" s="4" t="n">
        <f aca="false">-D6*Assumptions!D17/100</f>
        <v>-297.829848</v>
      </c>
      <c r="E12" s="4" t="n">
        <f aca="false">-E6*Assumptions!E17/100</f>
        <v>-285.91665408</v>
      </c>
      <c r="F12" s="4" t="n">
        <f aca="false">-F6*Assumptions!F17/100</f>
        <v>-294.4941537024</v>
      </c>
      <c r="G12" s="4" t="n">
        <f aca="false">-G6*Assumptions!G17/100</f>
        <v>-287.13179985984</v>
      </c>
      <c r="H12" s="4" t="n">
        <f aca="false">-H6*Assumptions!H17/100</f>
        <v>-295.745753855635</v>
      </c>
      <c r="I12" s="4" t="n">
        <f aca="false">-I6*Assumptions!I17/100</f>
        <v>-304.618126471304</v>
      </c>
      <c r="J12" s="4" t="n">
        <f aca="false">-J6*Assumptions!J17/100</f>
        <v>-312.233579633087</v>
      </c>
      <c r="K12" s="4" t="n">
        <f aca="false">-K6*Assumptions!K17/100</f>
        <v>-320.039419123914</v>
      </c>
      <c r="L12" s="4" t="n">
        <f aca="false">-L6*Assumptions!L17/100</f>
        <v>-328.040404602012</v>
      </c>
    </row>
    <row r="13" customFormat="false" ht="15" hidden="false" customHeight="false" outlineLevel="0" collapsed="false">
      <c r="A13" s="0" t="s">
        <v>118</v>
      </c>
      <c r="C13" s="0" t="n">
        <f aca="false">C11+C12</f>
        <v>1328.32112208</v>
      </c>
      <c r="D13" s="0" t="n">
        <f aca="false">D11+D12</f>
        <v>1109.91256688</v>
      </c>
      <c r="E13" s="0" t="n">
        <f aca="false">E11+E12</f>
        <v>807.714547776</v>
      </c>
      <c r="F13" s="0" t="n">
        <f aca="false">F11+F12</f>
        <v>831.94598420928</v>
      </c>
      <c r="G13" s="0" t="n">
        <f aca="false">G11+G12</f>
        <v>945.620727538406</v>
      </c>
      <c r="H13" s="0" t="n">
        <f aca="false">H11+H12</f>
        <v>1013.42211654531</v>
      </c>
      <c r="I13" s="0" t="n">
        <f aca="false">I11+I12</f>
        <v>1047.88635506129</v>
      </c>
      <c r="J13" s="0" t="n">
        <f aca="false">J11+J12</f>
        <v>1074.08351393782</v>
      </c>
      <c r="K13" s="0" t="n">
        <f aca="false">K11+K12</f>
        <v>1107.33639016874</v>
      </c>
      <c r="L13" s="0" t="n">
        <f aca="false">L11+L12</f>
        <v>1135.01979992296</v>
      </c>
    </row>
    <row r="14" customFormat="false" ht="15" hidden="false" customHeight="false" outlineLevel="0" collapsed="false">
      <c r="A14" s="0" t="s">
        <v>104</v>
      </c>
      <c r="C14" s="4" t="n">
        <f aca="false">Assumptions!C19</f>
        <v>16</v>
      </c>
      <c r="D14" s="4" t="n">
        <f aca="false">Assumptions!D19</f>
        <v>16</v>
      </c>
      <c r="E14" s="4" t="n">
        <f aca="false">Assumptions!E19</f>
        <v>17</v>
      </c>
      <c r="F14" s="4" t="n">
        <f aca="false">Assumptions!F19</f>
        <v>17</v>
      </c>
      <c r="G14" s="4" t="n">
        <f aca="false">Assumptions!G19</f>
        <v>18</v>
      </c>
      <c r="H14" s="4" t="n">
        <f aca="false">Assumptions!H19</f>
        <v>18</v>
      </c>
      <c r="I14" s="4" t="n">
        <f aca="false">Assumptions!I19</f>
        <v>18</v>
      </c>
      <c r="J14" s="4" t="n">
        <f aca="false">Assumptions!J19</f>
        <v>18</v>
      </c>
      <c r="K14" s="4" t="n">
        <f aca="false">Assumptions!K19</f>
        <v>18</v>
      </c>
      <c r="L14" s="4" t="n">
        <f aca="false">Assumptions!L19</f>
        <v>18</v>
      </c>
    </row>
    <row r="15" customFormat="false" ht="15" hidden="false" customHeight="false" outlineLevel="0" collapsed="false">
      <c r="A15" s="0" t="s">
        <v>119</v>
      </c>
      <c r="C15" s="0" t="n">
        <f aca="false">C13-MAX(0,C13)*C14/100</f>
        <v>1115.7897425472</v>
      </c>
      <c r="D15" s="0" t="n">
        <f aca="false">D13-MAX(0,D13)*D14/100</f>
        <v>932.3265561792</v>
      </c>
      <c r="E15" s="0" t="n">
        <f aca="false">E13-MAX(0,E13)*E14/100</f>
        <v>670.40307465408</v>
      </c>
      <c r="F15" s="0" t="n">
        <f aca="false">F13-MAX(0,F13)*F14/100</f>
        <v>690.515166893702</v>
      </c>
      <c r="G15" s="0" t="n">
        <f aca="false">G13-MAX(0,G13)*G14/100</f>
        <v>775.408996581493</v>
      </c>
      <c r="H15" s="0" t="n">
        <f aca="false">H13-MAX(0,H13)*H14/100</f>
        <v>831.006135567154</v>
      </c>
      <c r="I15" s="0" t="n">
        <f aca="false">I13-MAX(0,I13)*I14/100</f>
        <v>859.266811150255</v>
      </c>
      <c r="J15" s="0" t="n">
        <f aca="false">J13-MAX(0,J13)*J14/100</f>
        <v>880.748481429012</v>
      </c>
      <c r="K15" s="0" t="n">
        <f aca="false">K13-MAX(0,K13)*K14/100</f>
        <v>908.015839938369</v>
      </c>
      <c r="L15" s="0" t="n">
        <f aca="false">L13-MAX(0,L13)*L14/100</f>
        <v>930.716235936828</v>
      </c>
    </row>
    <row r="16" customFormat="false" ht="15" hidden="false" customHeight="false" outlineLevel="0" collapsed="false">
      <c r="A16" s="0" t="s">
        <v>120</v>
      </c>
      <c r="C16" s="0" t="n">
        <f aca="false">-C12</f>
        <v>277.9745248</v>
      </c>
      <c r="D16" s="0" t="n">
        <f aca="false">-D12</f>
        <v>297.829848</v>
      </c>
      <c r="E16" s="0" t="n">
        <f aca="false">-E12</f>
        <v>285.91665408</v>
      </c>
      <c r="F16" s="0" t="n">
        <f aca="false">-F12</f>
        <v>294.4941537024</v>
      </c>
      <c r="G16" s="0" t="n">
        <f aca="false">-G12</f>
        <v>287.13179985984</v>
      </c>
      <c r="H16" s="0" t="n">
        <f aca="false">-H12</f>
        <v>295.745753855635</v>
      </c>
      <c r="I16" s="0" t="n">
        <f aca="false">-I12</f>
        <v>304.618126471304</v>
      </c>
      <c r="J16" s="0" t="n">
        <f aca="false">-J12</f>
        <v>312.233579633087</v>
      </c>
      <c r="K16" s="0" t="n">
        <f aca="false">-K12</f>
        <v>320.039419123914</v>
      </c>
      <c r="L16" s="0" t="n">
        <f aca="false">-L12</f>
        <v>328.040404602012</v>
      </c>
    </row>
    <row r="17" customFormat="false" ht="15" hidden="false" customHeight="false" outlineLevel="0" collapsed="false">
      <c r="A17" s="0" t="s">
        <v>121</v>
      </c>
      <c r="C17" s="4" t="n">
        <f aca="false">-C6*Assumptions!C18/100</f>
        <v>-277.9745248</v>
      </c>
      <c r="D17" s="4" t="n">
        <f aca="false">-D6*Assumptions!D18/100</f>
        <v>-238.2638784</v>
      </c>
      <c r="E17" s="4" t="n">
        <f aca="false">-E6*Assumptions!E18/100</f>
        <v>-178.6979088</v>
      </c>
      <c r="F17" s="4" t="n">
        <f aca="false">-F6*Assumptions!F18/100</f>
        <v>-220.8706152768</v>
      </c>
      <c r="G17" s="4" t="n">
        <f aca="false">-G6*Assumptions!G18/100</f>
        <v>-248.847559878528</v>
      </c>
      <c r="H17" s="4" t="n">
        <f aca="false">-H6*Assumptions!H18/100</f>
        <v>-256.312986674884</v>
      </c>
      <c r="I17" s="4" t="n">
        <f aca="false">-I6*Assumptions!I18/100</f>
        <v>-264.002376275131</v>
      </c>
      <c r="J17" s="4" t="n">
        <f aca="false">-J6*Assumptions!J18/100</f>
        <v>-270.602435682009</v>
      </c>
      <c r="K17" s="4" t="n">
        <f aca="false">-K6*Assumptions!K18/100</f>
        <v>-277.367496574059</v>
      </c>
      <c r="L17" s="4" t="n">
        <f aca="false">-L6*Assumptions!L18/100</f>
        <v>-284.30168398841</v>
      </c>
    </row>
    <row r="18" customFormat="false" ht="15" hidden="false" customHeight="false" outlineLevel="0" collapsed="false">
      <c r="A18" s="0" t="s">
        <v>122</v>
      </c>
      <c r="C18" s="4" t="n">
        <f aca="false">(C6-B6)*Assumptions!$B$23/100</f>
        <v>-1489.14924</v>
      </c>
      <c r="D18" s="4" t="n">
        <f aca="false">(D6-C6)*Assumptions!$B$23/100</f>
        <v>-0</v>
      </c>
      <c r="E18" s="4" t="n">
        <f aca="false">(E6-D6)*Assumptions!$B$23/100</f>
        <v>397.106464</v>
      </c>
      <c r="F18" s="4" t="n">
        <f aca="false">(F6-E6)*Assumptions!$B$23/100</f>
        <v>-107.21874528</v>
      </c>
      <c r="G18" s="4" t="n">
        <f aca="false">(G6-F6)*Assumptions!$B$23/100</f>
        <v>-147.2470768512</v>
      </c>
      <c r="H18" s="4" t="n">
        <f aca="false">(H6-G6)*Assumptions!$B$23/100</f>
        <v>-114.852719943936</v>
      </c>
      <c r="I18" s="4" t="n">
        <f aca="false">(I6-H6)*Assumptions!$B$23/100</f>
        <v>-118.298301542254</v>
      </c>
      <c r="J18" s="4" t="n">
        <f aca="false">(J6-I6)*Assumptions!$B$23/100</f>
        <v>-101.539375490435</v>
      </c>
      <c r="K18" s="4" t="n">
        <f aca="false">(K6-J6)*Assumptions!$B$23/100</f>
        <v>-104.077859877695</v>
      </c>
      <c r="L18" s="4" t="n">
        <f aca="false">(L6-K6)*Assumptions!$B$23/100</f>
        <v>-106.679806374638</v>
      </c>
    </row>
    <row r="19" customFormat="false" ht="15" hidden="false" customHeight="false" outlineLevel="0" collapsed="false">
      <c r="A19" s="0" t="s">
        <v>123</v>
      </c>
      <c r="C19" s="0" t="n">
        <f aca="false">C15+C16+C17+C18</f>
        <v>-373.3594974528</v>
      </c>
      <c r="D19" s="0" t="n">
        <f aca="false">D15+D16+D17+D18</f>
        <v>991.8925257792</v>
      </c>
      <c r="E19" s="0" t="n">
        <f aca="false">E15+E16+E17+E18</f>
        <v>1174.72828393408</v>
      </c>
      <c r="F19" s="0" t="n">
        <f aca="false">F15+F16+F17+F18</f>
        <v>656.919960039302</v>
      </c>
      <c r="G19" s="0" t="n">
        <f aca="false">G15+G16+G17+G18</f>
        <v>666.446159711605</v>
      </c>
      <c r="H19" s="0" t="n">
        <f aca="false">H15+H16+H17+H18</f>
        <v>755.58618280397</v>
      </c>
      <c r="I19" s="0" t="n">
        <f aca="false">I15+I16+I17+I18</f>
        <v>781.584259804175</v>
      </c>
      <c r="J19" s="0" t="n">
        <f aca="false">J15+J16+J17+J18</f>
        <v>820.840249889655</v>
      </c>
      <c r="K19" s="0" t="n">
        <f aca="false">K15+K16+K17+K18</f>
        <v>846.609902610529</v>
      </c>
      <c r="L19" s="0" t="n">
        <f aca="false">L15+L16+L17+L18</f>
        <v>867.775150175792</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-339.417724957091</v>
      </c>
      <c r="D21" s="0" t="n">
        <f aca="false">D19*D20</f>
        <v>819.745889073719</v>
      </c>
      <c r="E21" s="0" t="n">
        <f aca="false">E19*E20</f>
        <v>882.590746757385</v>
      </c>
      <c r="F21" s="0" t="n">
        <f aca="false">F19*F20</f>
        <v>448.685171804728</v>
      </c>
      <c r="G21" s="0" t="n">
        <f aca="false">G19*G20</f>
        <v>413.810631235823</v>
      </c>
      <c r="H21" s="0" t="n">
        <f aca="false">H19*H20</f>
        <v>426.508702101688</v>
      </c>
      <c r="I21" s="0" t="n">
        <f aca="false">I19*I20</f>
        <v>401.07630799985</v>
      </c>
      <c r="J21" s="0" t="n">
        <f aca="false">J19*J20</f>
        <v>382.928034546726</v>
      </c>
      <c r="K21" s="0" t="n">
        <f aca="false">K19*K20</f>
        <v>359.045243387686</v>
      </c>
      <c r="L21" s="0" t="n">
        <f aca="false">L19*L20</f>
        <v>334.564885883981</v>
      </c>
    </row>
    <row r="23" customFormat="false" ht="15" hidden="false" customHeight="false" outlineLevel="0" collapsed="false">
      <c r="A23" s="0" t="s">
        <v>101</v>
      </c>
      <c r="C23" s="4" t="n">
        <f aca="false">Assumptions!C16</f>
        <v>0.16</v>
      </c>
      <c r="D23" s="4" t="n">
        <f aca="false">Assumptions!D16</f>
        <v>0.16</v>
      </c>
      <c r="E23" s="4" t="n">
        <f aca="false">Assumptions!E16</f>
        <v>0.16</v>
      </c>
      <c r="F23" s="4" t="n">
        <f aca="false">Assumptions!F16</f>
        <v>0.16</v>
      </c>
      <c r="G23" s="4" t="n">
        <f aca="false">Assumptions!G16</f>
        <v>0.16</v>
      </c>
      <c r="H23" s="4" t="n">
        <f aca="false">Assumptions!H16</f>
        <v>0.16</v>
      </c>
      <c r="I23" s="4" t="n">
        <f aca="false">Assumptions!I16</f>
        <v>0.16</v>
      </c>
      <c r="J23" s="4" t="n">
        <f aca="false">Assumptions!J16</f>
        <v>0.16</v>
      </c>
      <c r="K23" s="4" t="n">
        <f aca="false">Assumptions!K16</f>
        <v>0.16</v>
      </c>
      <c r="L23" s="4" t="n">
        <f aca="false">Assumptions!L16</f>
        <v>0.16</v>
      </c>
    </row>
    <row r="24" customFormat="false" ht="15" hidden="false" customHeight="false" outlineLevel="0" collapsed="false">
      <c r="A24" s="0" t="s">
        <v>126</v>
      </c>
      <c r="C24" s="0" t="n">
        <f aca="false">-C6*C23/100</f>
        <v>-31.76851712</v>
      </c>
      <c r="D24" s="0" t="n">
        <f aca="false">-D6*D23/100</f>
        <v>-31.76851712</v>
      </c>
      <c r="E24" s="0" t="n">
        <f aca="false">-E6*E23/100</f>
        <v>-28.591665408</v>
      </c>
      <c r="F24" s="0" t="n">
        <f aca="false">-F6*F23/100</f>
        <v>-29.44941537024</v>
      </c>
      <c r="G24" s="0" t="n">
        <f aca="false">-G6*G23/100</f>
        <v>-30.6273919850496</v>
      </c>
      <c r="H24" s="0" t="n">
        <f aca="false">-H6*H23/100</f>
        <v>-31.5462137446011</v>
      </c>
      <c r="I24" s="0" t="n">
        <f aca="false">-I6*I23/100</f>
        <v>-32.4926001569391</v>
      </c>
      <c r="J24" s="0" t="n">
        <f aca="false">-J6*J23/100</f>
        <v>-33.3049151608626</v>
      </c>
      <c r="K24" s="0" t="n">
        <f aca="false">-K6*K23/100</f>
        <v>-34.1375380398842</v>
      </c>
      <c r="L24" s="0" t="n">
        <f aca="false">-L6*L23/100</f>
        <v>-34.9909764908813</v>
      </c>
    </row>
    <row r="26" customFormat="false" ht="15" hidden="false" customHeight="false" outlineLevel="0" collapsed="false">
      <c r="A26" s="2" t="s">
        <v>127</v>
      </c>
    </row>
    <row r="27" customFormat="false" ht="15" hidden="false" customHeight="false" outlineLevel="0" collapsed="false">
      <c r="A27" s="0" t="s">
        <v>105</v>
      </c>
      <c r="B27" s="4" t="n">
        <f aca="false">Assumptions!$B$20</f>
        <v>10</v>
      </c>
    </row>
    <row r="28" customFormat="false" ht="15" hidden="false" customHeight="false" outlineLevel="0" collapsed="false">
      <c r="A28" s="0" t="s">
        <v>106</v>
      </c>
      <c r="B28" s="4" t="n">
        <f aca="false">Assumptions!$B$21</f>
        <v>2</v>
      </c>
    </row>
    <row r="29" customFormat="false" ht="15" hidden="false" customHeight="false" outlineLevel="0" collapsed="false">
      <c r="A29" s="0" t="s">
        <v>107</v>
      </c>
      <c r="B29" s="4" t="n">
        <f aca="false">Assumptions!$B$22</f>
        <v>14</v>
      </c>
    </row>
    <row r="30" customFormat="false" ht="15" hidden="false" customHeight="false" outlineLevel="0" collapsed="false">
      <c r="A30" s="0" t="s">
        <v>128</v>
      </c>
      <c r="B30" s="0" t="n">
        <f aca="false">SUM(C21:L21)</f>
        <v>4129.53788783449</v>
      </c>
    </row>
    <row r="31" customFormat="false" ht="15" hidden="false" customHeight="false" outlineLevel="0" collapsed="false">
      <c r="A31" s="0" t="s">
        <v>129</v>
      </c>
      <c r="B31" s="0" t="n">
        <f aca="false">L19</f>
        <v>867.775150175792</v>
      </c>
    </row>
    <row r="32" customFormat="false" ht="15" hidden="false" customHeight="false" outlineLevel="0" collapsed="false">
      <c r="A32" s="0" t="s">
        <v>130</v>
      </c>
      <c r="B32" s="0" t="n">
        <f aca="false">IF(B27&gt;B28,B31*(1+B28/100)/((B27-B28)/100),B31*B29)</f>
        <v>11064.1331647414</v>
      </c>
    </row>
    <row r="33" customFormat="false" ht="15" hidden="false" customHeight="false" outlineLevel="0" collapsed="false">
      <c r="A33" s="0" t="s">
        <v>131</v>
      </c>
      <c r="B33" s="0" t="n">
        <f aca="false">B31*B29</f>
        <v>12148.8521024611</v>
      </c>
    </row>
    <row r="34" customFormat="false" ht="15" hidden="false" customHeight="false" outlineLevel="0" collapsed="false">
      <c r="A34" s="0" t="s">
        <v>132</v>
      </c>
      <c r="B34" s="0" t="n">
        <f aca="false">MAX(0,MIN(B32,B33))</f>
        <v>11064.1331647414</v>
      </c>
    </row>
    <row r="35" customFormat="false" ht="15" hidden="false" customHeight="false" outlineLevel="0" collapsed="false">
      <c r="A35" s="0" t="s">
        <v>133</v>
      </c>
      <c r="B35" s="0" t="n">
        <f aca="false">B34/(1+B27/100)^L4</f>
        <v>4265.70229502075</v>
      </c>
    </row>
    <row r="36" customFormat="false" ht="15" hidden="false" customHeight="false" outlineLevel="0" collapsed="false">
      <c r="A36" s="0" t="s">
        <v>134</v>
      </c>
      <c r="B36" s="0" t="n">
        <f aca="false">B30+B35</f>
        <v>8395.24018285525</v>
      </c>
    </row>
    <row r="37" customFormat="false" ht="15" hidden="false" customHeight="false" outlineLevel="0" collapsed="false">
      <c r="A37" s="0" t="s">
        <v>135</v>
      </c>
      <c r="B37" s="0" t="n">
        <f aca="false">B36+Assumptions!$B$5-Assumptions!$B$4</f>
        <v>9593.57918285525</v>
      </c>
    </row>
    <row r="38" customFormat="false" ht="15" hidden="false" customHeight="false" outlineLevel="0" collapsed="false">
      <c r="A38" s="0" t="s">
        <v>136</v>
      </c>
      <c r="B38" s="0" t="n">
        <f aca="false">B37/Assumptions!$B$3*Assumptions!$B$10</f>
        <v>4.15306458132262</v>
      </c>
    </row>
    <row r="39" customFormat="false" ht="15" hidden="false" customHeight="false" outlineLevel="0" collapsed="false">
      <c r="A39" s="0" t="s">
        <v>137</v>
      </c>
      <c r="B39" s="4" t="n">
        <f aca="false">B38/Assumptions!$B$2-1</f>
        <v>-0.678555372962646</v>
      </c>
    </row>
    <row r="41" customFormat="false" ht="15" hidden="false" customHeight="false" outlineLevel="0" collapsed="false">
      <c r="A41" s="0" t="s">
        <v>138</v>
      </c>
      <c r="B41" s="0" t="n">
        <f aca="false">SUMPRODUCT(-C10:L10/(1+$B$27/100)^C4:L4)</f>
        <v>251.830828344439</v>
      </c>
    </row>
    <row r="42" customFormat="false" ht="15" hidden="false" customHeight="false" outlineLevel="0" collapsed="false">
      <c r="A42" s="0" t="s">
        <v>139</v>
      </c>
      <c r="B42" s="0" t="n">
        <f aca="false">IF(B27&gt;B28,-L10*(1+B28/100)/((B27-B28)/100),-L10*20)/(1+B27/100)^L4</f>
        <v>161.254065236469</v>
      </c>
    </row>
    <row r="43" customFormat="false" ht="15" hidden="false" customHeight="false" outlineLevel="0" collapsed="false">
      <c r="A43" s="0" t="s">
        <v>140</v>
      </c>
      <c r="B43" s="0" t="n">
        <f aca="false">(B37+B41+B42)/Assumptions!$B$3*Assumptions!$B$10</f>
        <v>4.33188921057842</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6808.69733214852</v>
      </c>
    </row>
    <row r="47" customFormat="false" ht="15" hidden="false" customHeight="false" outlineLevel="0" collapsed="false">
      <c r="A47" s="0" t="s">
        <v>142</v>
      </c>
      <c r="B47" s="0" t="n">
        <f aca="false">(SUMPRODUCT(C19:L19/(1+B45/100)^C4:L4)+B46/(1+B45/100)^L4+Assumptions!$B$5-Assumptions!$B$4)/Assumptions!$B$3*Assumptions!$B$10</f>
        <v>2.65368818714588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143</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Assumptions!C27</f>
        <v>70</v>
      </c>
      <c r="D5" s="4" t="n">
        <f aca="false">Assumptions!D27</f>
        <v>18</v>
      </c>
      <c r="E5" s="4" t="n">
        <f aca="false">Assumptions!E27</f>
        <v>10</v>
      </c>
      <c r="F5" s="4" t="n">
        <f aca="false">Assumptions!F27</f>
        <v>7</v>
      </c>
      <c r="G5" s="4" t="n">
        <f aca="false">Assumptions!G27</f>
        <v>5</v>
      </c>
      <c r="H5" s="4" t="n">
        <f aca="false">Assumptions!H27</f>
        <v>4</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37</v>
      </c>
      <c r="B6" s="3" t="n">
        <v>12409.577</v>
      </c>
      <c r="C6" s="0" t="n">
        <f aca="false">B6*(1+C5/100)</f>
        <v>21096.2809</v>
      </c>
      <c r="D6" s="0" t="n">
        <f aca="false">C6*(1+D5/100)</f>
        <v>24893.611462</v>
      </c>
      <c r="E6" s="0" t="n">
        <f aca="false">D6*(1+E5/100)</f>
        <v>27382.9726082</v>
      </c>
      <c r="F6" s="0" t="n">
        <f aca="false">E6*(1+F5/100)</f>
        <v>29299.780690774</v>
      </c>
      <c r="G6" s="0" t="n">
        <f aca="false">F6*(1+G5/100)</f>
        <v>30764.7697253127</v>
      </c>
      <c r="H6" s="0" t="n">
        <f aca="false">G6*(1+H5/100)</f>
        <v>31995.3605143252</v>
      </c>
      <c r="I6" s="0" t="n">
        <f aca="false">H6*(1+I5/100)</f>
        <v>32955.221329755</v>
      </c>
      <c r="J6" s="0" t="n">
        <f aca="false">I6*(1+J5/100)</f>
        <v>33943.8779696476</v>
      </c>
      <c r="K6" s="0" t="n">
        <f aca="false">J6*(1+K5/100)</f>
        <v>34792.4749188888</v>
      </c>
      <c r="L6" s="0" t="n">
        <f aca="false">K6*(1+L5/100)</f>
        <v>35662.286791861</v>
      </c>
    </row>
    <row r="7" customFormat="false" ht="15" hidden="false" customHeight="false" outlineLevel="0" collapsed="false">
      <c r="A7" s="0" t="s">
        <v>99</v>
      </c>
      <c r="C7" s="4" t="n">
        <f aca="false">Assumptions!C28</f>
        <v>9.5</v>
      </c>
      <c r="D7" s="4" t="n">
        <f aca="false">Assumptions!D28</f>
        <v>9.4</v>
      </c>
      <c r="E7" s="4" t="n">
        <f aca="false">Assumptions!E28</f>
        <v>9.3</v>
      </c>
      <c r="F7" s="4" t="n">
        <f aca="false">Assumptions!F28</f>
        <v>9.2</v>
      </c>
      <c r="G7" s="4" t="n">
        <f aca="false">Assumptions!G28</f>
        <v>9.1</v>
      </c>
      <c r="H7" s="4" t="n">
        <f aca="false">Assumptions!H28</f>
        <v>9</v>
      </c>
      <c r="I7" s="4" t="n">
        <f aca="false">Assumptions!I28</f>
        <v>9</v>
      </c>
      <c r="J7" s="4" t="n">
        <f aca="false">Assumptions!J28</f>
        <v>9</v>
      </c>
      <c r="K7" s="4" t="n">
        <f aca="false">Assumptions!K28</f>
        <v>9</v>
      </c>
      <c r="L7" s="4" t="n">
        <f aca="false">Assumptions!L28</f>
        <v>9</v>
      </c>
    </row>
    <row r="8" customFormat="false" ht="15" hidden="false" customHeight="false" outlineLevel="0" collapsed="false">
      <c r="A8" s="0" t="s">
        <v>43</v>
      </c>
      <c r="C8" s="0" t="n">
        <f aca="false">C6*C7/100</f>
        <v>2004.1466855</v>
      </c>
      <c r="D8" s="0" t="n">
        <f aca="false">D6*D7/100</f>
        <v>2339.999477428</v>
      </c>
      <c r="E8" s="0" t="n">
        <f aca="false">E6*E7/100</f>
        <v>2546.6164525626</v>
      </c>
      <c r="F8" s="0" t="n">
        <f aca="false">F6*F7/100</f>
        <v>2695.57982355121</v>
      </c>
      <c r="G8" s="0" t="n">
        <f aca="false">G6*G7/100</f>
        <v>2799.59404500346</v>
      </c>
      <c r="H8" s="0" t="n">
        <f aca="false">H6*H7/100</f>
        <v>2879.58244628927</v>
      </c>
      <c r="I8" s="0" t="n">
        <f aca="false">I6*I7/100</f>
        <v>2965.96991967795</v>
      </c>
      <c r="J8" s="0" t="n">
        <f aca="false">J6*J7/100</f>
        <v>3054.94901726829</v>
      </c>
      <c r="K8" s="0" t="n">
        <f aca="false">K6*K7/100</f>
        <v>3131.32274269999</v>
      </c>
      <c r="L8" s="0" t="n">
        <f aca="false">L6*L7/100</f>
        <v>3209.60581126749</v>
      </c>
    </row>
    <row r="9" customFormat="false" ht="15" hidden="false" customHeight="false" outlineLevel="0" collapsed="false">
      <c r="A9" s="0" t="s">
        <v>100</v>
      </c>
      <c r="C9" s="4" t="n">
        <f aca="false">Assumptions!C29</f>
        <v>0.25</v>
      </c>
      <c r="D9" s="4" t="n">
        <f aca="false">Assumptions!D29</f>
        <v>0.25</v>
      </c>
      <c r="E9" s="4" t="n">
        <f aca="false">Assumptions!E29</f>
        <v>0.22</v>
      </c>
      <c r="F9" s="4" t="n">
        <f aca="false">Assumptions!F29</f>
        <v>0.22</v>
      </c>
      <c r="G9" s="4" t="n">
        <f aca="false">Assumptions!G29</f>
        <v>0.2</v>
      </c>
      <c r="H9" s="4" t="n">
        <f aca="false">Assumptions!H29</f>
        <v>0.2</v>
      </c>
      <c r="I9" s="4" t="n">
        <f aca="false">Assumptions!I29</f>
        <v>0.18</v>
      </c>
      <c r="J9" s="4" t="n">
        <f aca="false">Assumptions!J29</f>
        <v>0.18</v>
      </c>
      <c r="K9" s="4" t="n">
        <f aca="false">Assumptions!K29</f>
        <v>0.15</v>
      </c>
      <c r="L9" s="4" t="n">
        <f aca="false">Assumptions!L29</f>
        <v>0.15</v>
      </c>
    </row>
    <row r="10" customFormat="false" ht="15" hidden="false" customHeight="false" outlineLevel="0" collapsed="false">
      <c r="A10" s="0" t="s">
        <v>115</v>
      </c>
      <c r="C10" s="0" t="n">
        <f aca="false">-C6*C9/100</f>
        <v>-52.74070225</v>
      </c>
      <c r="D10" s="0" t="n">
        <f aca="false">-D6*D9/100</f>
        <v>-62.234028655</v>
      </c>
      <c r="E10" s="0" t="n">
        <f aca="false">-E6*E9/100</f>
        <v>-60.24253973804</v>
      </c>
      <c r="F10" s="0" t="n">
        <f aca="false">-F6*F9/100</f>
        <v>-64.4595175197028</v>
      </c>
      <c r="G10" s="0" t="n">
        <f aca="false">-G6*G9/100</f>
        <v>-61.5295394506254</v>
      </c>
      <c r="H10" s="0" t="n">
        <f aca="false">-H6*H9/100</f>
        <v>-63.9907210286504</v>
      </c>
      <c r="I10" s="0" t="n">
        <f aca="false">-I6*I9/100</f>
        <v>-59.3193983935589</v>
      </c>
      <c r="J10" s="0" t="n">
        <f aca="false">-J6*J9/100</f>
        <v>-61.0989803453657</v>
      </c>
      <c r="K10" s="0" t="n">
        <f aca="false">-K6*K9/100</f>
        <v>-52.1887123783332</v>
      </c>
      <c r="L10" s="0" t="n">
        <f aca="false">-L6*L9/100</f>
        <v>-53.4934301877915</v>
      </c>
    </row>
    <row r="11" customFormat="false" ht="15" hidden="false" customHeight="false" outlineLevel="0" collapsed="false">
      <c r="A11" s="0" t="s">
        <v>116</v>
      </c>
      <c r="C11" s="0" t="n">
        <f aca="false">C8+C10+C24</f>
        <v>1917.65193381</v>
      </c>
      <c r="D11" s="0" t="n">
        <f aca="false">D8+D10+D24</f>
        <v>2237.9356704338</v>
      </c>
      <c r="E11" s="0" t="n">
        <f aca="false">E8+E10+E24</f>
        <v>2442.56115665144</v>
      </c>
      <c r="F11" s="0" t="n">
        <f aca="false">F8+F10+F24</f>
        <v>2584.24065692627</v>
      </c>
      <c r="G11" s="0" t="n">
        <f aca="false">G8+G10+G24</f>
        <v>2688.84087399233</v>
      </c>
      <c r="H11" s="0" t="n">
        <f aca="false">H8+H10+H24</f>
        <v>2764.3991484377</v>
      </c>
      <c r="I11" s="0" t="n">
        <f aca="false">I8+I10+I24</f>
        <v>2853.92216715678</v>
      </c>
      <c r="J11" s="0" t="n">
        <f aca="false">J8+J10+J24</f>
        <v>2939.53983217148</v>
      </c>
      <c r="K11" s="0" t="n">
        <f aca="false">K8+K10+K24</f>
        <v>3023.46607045144</v>
      </c>
      <c r="L11" s="0" t="n">
        <f aca="false">L8+L10+L24</f>
        <v>3099.05272221272</v>
      </c>
    </row>
    <row r="12" customFormat="false" ht="15" hidden="false" customHeight="false" outlineLevel="0" collapsed="false">
      <c r="A12" s="0" t="s">
        <v>117</v>
      </c>
      <c r="C12" s="4" t="n">
        <f aca="false">-C6*Assumptions!C31/100</f>
        <v>-295.3479326</v>
      </c>
      <c r="D12" s="4" t="n">
        <f aca="false">-D6*Assumptions!D31/100</f>
        <v>-348.510560468</v>
      </c>
      <c r="E12" s="4" t="n">
        <f aca="false">-E6*Assumptions!E31/100</f>
        <v>-383.3616165148</v>
      </c>
      <c r="F12" s="4" t="n">
        <f aca="false">-F6*Assumptions!F31/100</f>
        <v>-410.196929670836</v>
      </c>
      <c r="G12" s="4" t="n">
        <f aca="false">-G6*Assumptions!G31/100</f>
        <v>-430.706776154378</v>
      </c>
      <c r="H12" s="4" t="n">
        <f aca="false">-H6*Assumptions!H31/100</f>
        <v>-447.935047200553</v>
      </c>
      <c r="I12" s="4" t="n">
        <f aca="false">-I6*Assumptions!I31/100</f>
        <v>-461.37309861657</v>
      </c>
      <c r="J12" s="4" t="n">
        <f aca="false">-J6*Assumptions!J31/100</f>
        <v>-475.214291575067</v>
      </c>
      <c r="K12" s="4" t="n">
        <f aca="false">-K6*Assumptions!K31/100</f>
        <v>-487.094648864443</v>
      </c>
      <c r="L12" s="4" t="n">
        <f aca="false">-L6*Assumptions!L31/100</f>
        <v>-499.272015086054</v>
      </c>
    </row>
    <row r="13" customFormat="false" ht="15" hidden="false" customHeight="false" outlineLevel="0" collapsed="false">
      <c r="A13" s="0" t="s">
        <v>118</v>
      </c>
      <c r="C13" s="0" t="n">
        <f aca="false">C11+C12</f>
        <v>1622.30400121</v>
      </c>
      <c r="D13" s="0" t="n">
        <f aca="false">D11+D12</f>
        <v>1889.4251099658</v>
      </c>
      <c r="E13" s="0" t="n">
        <f aca="false">E11+E12</f>
        <v>2059.19954013664</v>
      </c>
      <c r="F13" s="0" t="n">
        <f aca="false">F11+F12</f>
        <v>2174.04372725543</v>
      </c>
      <c r="G13" s="0" t="n">
        <f aca="false">G11+G12</f>
        <v>2258.13409783795</v>
      </c>
      <c r="H13" s="0" t="n">
        <f aca="false">H11+H12</f>
        <v>2316.46410123715</v>
      </c>
      <c r="I13" s="0" t="n">
        <f aca="false">I11+I12</f>
        <v>2392.54906854021</v>
      </c>
      <c r="J13" s="0" t="n">
        <f aca="false">J11+J12</f>
        <v>2464.32554059642</v>
      </c>
      <c r="K13" s="0" t="n">
        <f aca="false">K11+K12</f>
        <v>2536.37142158699</v>
      </c>
      <c r="L13" s="0" t="n">
        <f aca="false">L11+L12</f>
        <v>2599.78070712667</v>
      </c>
    </row>
    <row r="14" customFormat="false" ht="15" hidden="false" customHeight="false" outlineLevel="0" collapsed="false">
      <c r="A14" s="0" t="s">
        <v>104</v>
      </c>
      <c r="C14" s="4" t="n">
        <f aca="false">Assumptions!C33</f>
        <v>16</v>
      </c>
      <c r="D14" s="4" t="n">
        <f aca="false">Assumptions!D33</f>
        <v>16</v>
      </c>
      <c r="E14" s="4" t="n">
        <f aca="false">Assumptions!E33</f>
        <v>17</v>
      </c>
      <c r="F14" s="4" t="n">
        <f aca="false">Assumptions!F33</f>
        <v>17</v>
      </c>
      <c r="G14" s="4" t="n">
        <f aca="false">Assumptions!G33</f>
        <v>18</v>
      </c>
      <c r="H14" s="4" t="n">
        <f aca="false">Assumptions!H33</f>
        <v>18</v>
      </c>
      <c r="I14" s="4" t="n">
        <f aca="false">Assumptions!I33</f>
        <v>18</v>
      </c>
      <c r="J14" s="4" t="n">
        <f aca="false">Assumptions!J33</f>
        <v>18</v>
      </c>
      <c r="K14" s="4" t="n">
        <f aca="false">Assumptions!K33</f>
        <v>18</v>
      </c>
      <c r="L14" s="4" t="n">
        <f aca="false">Assumptions!L33</f>
        <v>18</v>
      </c>
    </row>
    <row r="15" customFormat="false" ht="15" hidden="false" customHeight="false" outlineLevel="0" collapsed="false">
      <c r="A15" s="0" t="s">
        <v>119</v>
      </c>
      <c r="C15" s="0" t="n">
        <f aca="false">C13-MAX(0,C13)*C14/100</f>
        <v>1362.7353610164</v>
      </c>
      <c r="D15" s="0" t="n">
        <f aca="false">D13-MAX(0,D13)*D14/100</f>
        <v>1587.11709237127</v>
      </c>
      <c r="E15" s="0" t="n">
        <f aca="false">E13-MAX(0,E13)*E14/100</f>
        <v>1709.13561831341</v>
      </c>
      <c r="F15" s="0" t="n">
        <f aca="false">F13-MAX(0,F13)*F14/100</f>
        <v>1804.45629362201</v>
      </c>
      <c r="G15" s="0" t="n">
        <f aca="false">G13-MAX(0,G13)*G14/100</f>
        <v>1851.66996022712</v>
      </c>
      <c r="H15" s="0" t="n">
        <f aca="false">H13-MAX(0,H13)*H14/100</f>
        <v>1899.50056301446</v>
      </c>
      <c r="I15" s="0" t="n">
        <f aca="false">I13-MAX(0,I13)*I14/100</f>
        <v>1961.89023620297</v>
      </c>
      <c r="J15" s="0" t="n">
        <f aca="false">J13-MAX(0,J13)*J14/100</f>
        <v>2020.74694328906</v>
      </c>
      <c r="K15" s="0" t="n">
        <f aca="false">K13-MAX(0,K13)*K14/100</f>
        <v>2079.82456570134</v>
      </c>
      <c r="L15" s="0" t="n">
        <f aca="false">L13-MAX(0,L13)*L14/100</f>
        <v>2131.82017984387</v>
      </c>
    </row>
    <row r="16" customFormat="false" ht="15" hidden="false" customHeight="false" outlineLevel="0" collapsed="false">
      <c r="A16" s="0" t="s">
        <v>120</v>
      </c>
      <c r="C16" s="0" t="n">
        <f aca="false">-C12</f>
        <v>295.3479326</v>
      </c>
      <c r="D16" s="0" t="n">
        <f aca="false">-D12</f>
        <v>348.510560468</v>
      </c>
      <c r="E16" s="0" t="n">
        <f aca="false">-E12</f>
        <v>383.3616165148</v>
      </c>
      <c r="F16" s="0" t="n">
        <f aca="false">-F12</f>
        <v>410.196929670836</v>
      </c>
      <c r="G16" s="0" t="n">
        <f aca="false">-G12</f>
        <v>430.706776154378</v>
      </c>
      <c r="H16" s="0" t="n">
        <f aca="false">-H12</f>
        <v>447.935047200553</v>
      </c>
      <c r="I16" s="0" t="n">
        <f aca="false">-I12</f>
        <v>461.37309861657</v>
      </c>
      <c r="J16" s="0" t="n">
        <f aca="false">-J12</f>
        <v>475.214291575067</v>
      </c>
      <c r="K16" s="0" t="n">
        <f aca="false">-K12</f>
        <v>487.094648864443</v>
      </c>
      <c r="L16" s="0" t="n">
        <f aca="false">-L12</f>
        <v>499.272015086054</v>
      </c>
    </row>
    <row r="17" customFormat="false" ht="15" hidden="false" customHeight="false" outlineLevel="0" collapsed="false">
      <c r="A17" s="0" t="s">
        <v>121</v>
      </c>
      <c r="C17" s="4" t="n">
        <f aca="false">-C6*Assumptions!C32/100</f>
        <v>-316.4442135</v>
      </c>
      <c r="D17" s="4" t="n">
        <f aca="false">-D6*Assumptions!D32/100</f>
        <v>-373.40417193</v>
      </c>
      <c r="E17" s="4" t="n">
        <f aca="false">-E6*Assumptions!E32/100</f>
        <v>-410.744589123</v>
      </c>
      <c r="F17" s="4" t="n">
        <f aca="false">-F6*Assumptions!F32/100</f>
        <v>-439.49671036161</v>
      </c>
      <c r="G17" s="4" t="n">
        <f aca="false">-G6*Assumptions!G32/100</f>
        <v>-461.471545879691</v>
      </c>
      <c r="H17" s="4" t="n">
        <f aca="false">-H6*Assumptions!H32/100</f>
        <v>-479.930407714878</v>
      </c>
      <c r="I17" s="4" t="n">
        <f aca="false">-I6*Assumptions!I32/100</f>
        <v>-494.328319946325</v>
      </c>
      <c r="J17" s="4" t="n">
        <f aca="false">-J6*Assumptions!J32/100</f>
        <v>-509.158169544714</v>
      </c>
      <c r="K17" s="4" t="n">
        <f aca="false">-K6*Assumptions!K32/100</f>
        <v>-521.887123783332</v>
      </c>
      <c r="L17" s="4" t="n">
        <f aca="false">-L6*Assumptions!L32/100</f>
        <v>-534.934301877916</v>
      </c>
    </row>
    <row r="18" customFormat="false" ht="15" hidden="false" customHeight="false" outlineLevel="0" collapsed="false">
      <c r="A18" s="0" t="s">
        <v>122</v>
      </c>
      <c r="C18" s="4" t="n">
        <f aca="false">(C6-B6)*Assumptions!$B$37/100</f>
        <v>-1303.005585</v>
      </c>
      <c r="D18" s="4" t="n">
        <f aca="false">(D6-C6)*Assumptions!$B$37/100</f>
        <v>-569.5995843</v>
      </c>
      <c r="E18" s="4" t="n">
        <f aca="false">(E6-D6)*Assumptions!$B$37/100</f>
        <v>-373.40417193</v>
      </c>
      <c r="F18" s="4" t="n">
        <f aca="false">(F6-E6)*Assumptions!$B$37/100</f>
        <v>-287.5212123861</v>
      </c>
      <c r="G18" s="4" t="n">
        <f aca="false">(G6-F6)*Assumptions!$B$37/100</f>
        <v>-219.748355180805</v>
      </c>
      <c r="H18" s="4" t="n">
        <f aca="false">(H6-G6)*Assumptions!$B$37/100</f>
        <v>-184.588618351876</v>
      </c>
      <c r="I18" s="4" t="n">
        <f aca="false">(I6-H6)*Assumptions!$B$37/100</f>
        <v>-143.979122314464</v>
      </c>
      <c r="J18" s="4" t="n">
        <f aca="false">(J6-I6)*Assumptions!$B$37/100</f>
        <v>-148.298495983898</v>
      </c>
      <c r="K18" s="4" t="n">
        <f aca="false">(K6-J6)*Assumptions!$B$37/100</f>
        <v>-127.289542386178</v>
      </c>
      <c r="L18" s="4" t="n">
        <f aca="false">(L6-K6)*Assumptions!$B$37/100</f>
        <v>-130.471780945833</v>
      </c>
    </row>
    <row r="19" customFormat="false" ht="15" hidden="false" customHeight="false" outlineLevel="0" collapsed="false">
      <c r="A19" s="0" t="s">
        <v>123</v>
      </c>
      <c r="C19" s="0" t="n">
        <f aca="false">C15+C16+C17+C18</f>
        <v>38.6334951163999</v>
      </c>
      <c r="D19" s="0" t="n">
        <f aca="false">D15+D16+D17+D18</f>
        <v>992.623896609272</v>
      </c>
      <c r="E19" s="0" t="n">
        <f aca="false">E15+E16+E17+E18</f>
        <v>1308.34847377521</v>
      </c>
      <c r="F19" s="0" t="n">
        <f aca="false">F15+F16+F17+F18</f>
        <v>1487.63530054513</v>
      </c>
      <c r="G19" s="0" t="n">
        <f aca="false">G15+G16+G17+G18</f>
        <v>1601.156835321</v>
      </c>
      <c r="H19" s="0" t="n">
        <f aca="false">H15+H16+H17+H18</f>
        <v>1682.91658414826</v>
      </c>
      <c r="I19" s="0" t="n">
        <f aca="false">I15+I16+I17+I18</f>
        <v>1784.95589255875</v>
      </c>
      <c r="J19" s="0" t="n">
        <f aca="false">J15+J16+J17+J18</f>
        <v>1838.50456933552</v>
      </c>
      <c r="K19" s="0" t="n">
        <f aca="false">K15+K16+K17+K18</f>
        <v>1917.74254839627</v>
      </c>
      <c r="L19" s="0" t="n">
        <f aca="false">L15+L16+L17+L18</f>
        <v>1965.68611210617</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35.1213591967272</v>
      </c>
      <c r="D21" s="0" t="n">
        <f aca="false">D19*D20</f>
        <v>820.350327776258</v>
      </c>
      <c r="E21" s="0" t="n">
        <f aca="false">E19*E20</f>
        <v>982.981573084306</v>
      </c>
      <c r="F21" s="0" t="n">
        <f aca="false">F19*F20</f>
        <v>1016.07492694839</v>
      </c>
      <c r="G21" s="0" t="n">
        <f aca="false">G19*G20</f>
        <v>994.192420612726</v>
      </c>
      <c r="H21" s="0" t="n">
        <f aca="false">H19*H20</f>
        <v>949.962538206845</v>
      </c>
      <c r="I21" s="0" t="n">
        <f aca="false">I19*I20</f>
        <v>915.964606950261</v>
      </c>
      <c r="J21" s="0" t="n">
        <f aca="false">J19*J20</f>
        <v>857.675950144336</v>
      </c>
      <c r="K21" s="0" t="n">
        <f aca="false">K19*K20</f>
        <v>813.310047426436</v>
      </c>
      <c r="L21" s="0" t="n">
        <f aca="false">L19*L20</f>
        <v>757.857089647361</v>
      </c>
    </row>
    <row r="23" customFormat="false" ht="15" hidden="false" customHeight="false" outlineLevel="0" collapsed="false">
      <c r="A23" s="0" t="s">
        <v>101</v>
      </c>
      <c r="C23" s="4" t="n">
        <f aca="false">Assumptions!C30</f>
        <v>0.16</v>
      </c>
      <c r="D23" s="4" t="n">
        <f aca="false">Assumptions!D30</f>
        <v>0.16</v>
      </c>
      <c r="E23" s="4" t="n">
        <f aca="false">Assumptions!E30</f>
        <v>0.16</v>
      </c>
      <c r="F23" s="4" t="n">
        <f aca="false">Assumptions!F30</f>
        <v>0.16</v>
      </c>
      <c r="G23" s="4" t="n">
        <f aca="false">Assumptions!G30</f>
        <v>0.16</v>
      </c>
      <c r="H23" s="4" t="n">
        <f aca="false">Assumptions!H30</f>
        <v>0.16</v>
      </c>
      <c r="I23" s="4" t="n">
        <f aca="false">Assumptions!I30</f>
        <v>0.16</v>
      </c>
      <c r="J23" s="4" t="n">
        <f aca="false">Assumptions!J30</f>
        <v>0.16</v>
      </c>
      <c r="K23" s="4" t="n">
        <f aca="false">Assumptions!K30</f>
        <v>0.16</v>
      </c>
      <c r="L23" s="4" t="n">
        <f aca="false">Assumptions!L30</f>
        <v>0.16</v>
      </c>
    </row>
    <row r="24" customFormat="false" ht="15" hidden="false" customHeight="false" outlineLevel="0" collapsed="false">
      <c r="A24" s="0" t="s">
        <v>126</v>
      </c>
      <c r="C24" s="0" t="n">
        <f aca="false">-C6*C23/100</f>
        <v>-33.75404944</v>
      </c>
      <c r="D24" s="0" t="n">
        <f aca="false">-D6*D23/100</f>
        <v>-39.8297783392</v>
      </c>
      <c r="E24" s="0" t="n">
        <f aca="false">-E6*E23/100</f>
        <v>-43.81275617312</v>
      </c>
      <c r="F24" s="0" t="n">
        <f aca="false">-F6*F23/100</f>
        <v>-46.8796491052384</v>
      </c>
      <c r="G24" s="0" t="n">
        <f aca="false">-G6*G23/100</f>
        <v>-49.2236315605003</v>
      </c>
      <c r="H24" s="0" t="n">
        <f aca="false">-H6*H23/100</f>
        <v>-51.1925768229203</v>
      </c>
      <c r="I24" s="0" t="n">
        <f aca="false">-I6*I23/100</f>
        <v>-52.728354127608</v>
      </c>
      <c r="J24" s="0" t="n">
        <f aca="false">-J6*J23/100</f>
        <v>-54.3102047514362</v>
      </c>
      <c r="K24" s="0" t="n">
        <f aca="false">-K6*K23/100</f>
        <v>-55.6679598702221</v>
      </c>
      <c r="L24" s="0" t="n">
        <f aca="false">-L6*L23/100</f>
        <v>-57.0596588669776</v>
      </c>
    </row>
    <row r="26" customFormat="false" ht="15" hidden="false" customHeight="false" outlineLevel="0" collapsed="false">
      <c r="A26" s="2" t="s">
        <v>127</v>
      </c>
    </row>
    <row r="27" customFormat="false" ht="15" hidden="false" customHeight="false" outlineLevel="0" collapsed="false">
      <c r="A27" s="0" t="s">
        <v>105</v>
      </c>
      <c r="B27" s="4" t="n">
        <f aca="false">Assumptions!$B$34</f>
        <v>10</v>
      </c>
    </row>
    <row r="28" customFormat="false" ht="15" hidden="false" customHeight="false" outlineLevel="0" collapsed="false">
      <c r="A28" s="0" t="s">
        <v>106</v>
      </c>
      <c r="B28" s="4" t="n">
        <f aca="false">Assumptions!$B$35</f>
        <v>2.5</v>
      </c>
    </row>
    <row r="29" customFormat="false" ht="15" hidden="false" customHeight="false" outlineLevel="0" collapsed="false">
      <c r="A29" s="0" t="s">
        <v>107</v>
      </c>
      <c r="B29" s="4" t="n">
        <f aca="false">Assumptions!$B$36</f>
        <v>14</v>
      </c>
    </row>
    <row r="30" customFormat="false" ht="15" hidden="false" customHeight="false" outlineLevel="0" collapsed="false">
      <c r="A30" s="0" t="s">
        <v>128</v>
      </c>
      <c r="B30" s="0" t="n">
        <f aca="false">SUM(C21:L21)</f>
        <v>8143.49083999364</v>
      </c>
    </row>
    <row r="31" customFormat="false" ht="15" hidden="false" customHeight="false" outlineLevel="0" collapsed="false">
      <c r="A31" s="0" t="s">
        <v>129</v>
      </c>
      <c r="B31" s="0" t="n">
        <f aca="false">L19</f>
        <v>1965.68611210617</v>
      </c>
    </row>
    <row r="32" customFormat="false" ht="15" hidden="false" customHeight="false" outlineLevel="0" collapsed="false">
      <c r="A32" s="0" t="s">
        <v>130</v>
      </c>
      <c r="B32" s="0" t="n">
        <f aca="false">IF(B27&gt;B28,B31*(1+B28/100)/((B27-B28)/100),B31*B29)</f>
        <v>26864.376865451</v>
      </c>
    </row>
    <row r="33" customFormat="false" ht="15" hidden="false" customHeight="false" outlineLevel="0" collapsed="false">
      <c r="A33" s="0" t="s">
        <v>131</v>
      </c>
      <c r="B33" s="0" t="n">
        <f aca="false">B31*B29</f>
        <v>27519.6055694864</v>
      </c>
    </row>
    <row r="34" customFormat="false" ht="15" hidden="false" customHeight="false" outlineLevel="0" collapsed="false">
      <c r="A34" s="0" t="s">
        <v>132</v>
      </c>
      <c r="B34" s="0" t="n">
        <f aca="false">MAX(0,MIN(B32,B33))</f>
        <v>26864.376865451</v>
      </c>
    </row>
    <row r="35" customFormat="false" ht="15" hidden="false" customHeight="false" outlineLevel="0" collapsed="false">
      <c r="A35" s="0" t="s">
        <v>133</v>
      </c>
      <c r="B35" s="0" t="n">
        <f aca="false">B34/(1+B27/100)^L4</f>
        <v>10357.3802251806</v>
      </c>
    </row>
    <row r="36" customFormat="false" ht="15" hidden="false" customHeight="false" outlineLevel="0" collapsed="false">
      <c r="A36" s="0" t="s">
        <v>134</v>
      </c>
      <c r="B36" s="0" t="n">
        <f aca="false">B30+B35</f>
        <v>18500.8710651742</v>
      </c>
    </row>
    <row r="37" customFormat="false" ht="15" hidden="false" customHeight="false" outlineLevel="0" collapsed="false">
      <c r="A37" s="0" t="s">
        <v>135</v>
      </c>
      <c r="B37" s="0" t="n">
        <f aca="false">B36+Assumptions!$B$5-Assumptions!$B$4</f>
        <v>19699.2100651742</v>
      </c>
    </row>
    <row r="38" customFormat="false" ht="15" hidden="false" customHeight="false" outlineLevel="0" collapsed="false">
      <c r="A38" s="0" t="s">
        <v>136</v>
      </c>
      <c r="B38" s="0" t="n">
        <f aca="false">B37/Assumptions!$B$3*Assumptions!$B$10</f>
        <v>8.5277965650105</v>
      </c>
    </row>
    <row r="39" customFormat="false" ht="15" hidden="false" customHeight="false" outlineLevel="0" collapsed="false">
      <c r="A39" s="0" t="s">
        <v>137</v>
      </c>
      <c r="B39" s="4" t="n">
        <f aca="false">B38/Assumptions!$B$2-1</f>
        <v>-0.339953826237578</v>
      </c>
    </row>
    <row r="41" customFormat="false" ht="15" hidden="false" customHeight="false" outlineLevel="0" collapsed="false">
      <c r="A41" s="0" t="s">
        <v>138</v>
      </c>
      <c r="B41" s="0" t="n">
        <f aca="false">SUMPRODUCT(-C10:L10/(1+$B$27/100)^C4:L4)</f>
        <v>364.693598629578</v>
      </c>
    </row>
    <row r="42" customFormat="false" ht="15" hidden="false" customHeight="false" outlineLevel="0" collapsed="false">
      <c r="A42" s="0" t="s">
        <v>139</v>
      </c>
      <c r="B42" s="0" t="n">
        <f aca="false">IF(B27&gt;B28,-L10*(1+B28/100)/((B27-B28)/100),-L10*20)/(1+B27/100)^L4</f>
        <v>281.861784845425</v>
      </c>
    </row>
    <row r="43" customFormat="false" ht="15" hidden="false" customHeight="false" outlineLevel="0" collapsed="false">
      <c r="A43" s="0" t="s">
        <v>140</v>
      </c>
      <c r="B43" s="0" t="n">
        <f aca="false">(B37+B41+B42)/Assumptions!$B$3*Assumptions!$B$10</f>
        <v>8.80769067041093</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16118.6261192706</v>
      </c>
    </row>
    <row r="47" customFormat="false" ht="15" hidden="false" customHeight="false" outlineLevel="0" collapsed="false">
      <c r="A47" s="0" t="s">
        <v>142</v>
      </c>
      <c r="B47" s="0" t="n">
        <f aca="false">(SUMPRODUCT(C19:L19/(1+B45/100)^C4:L4)+B46/(1+B45/100)^L4+Assumptions!$B$5-Assumptions!$B$4)/Assumptions!$B$3*Assumptions!$B$10</f>
        <v>4.9802157848304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144</v>
      </c>
    </row>
    <row r="3" customFormat="false" ht="15" hidden="false" customHeight="false" outlineLevel="0" collapsed="false">
      <c r="A3" s="0" t="s">
        <v>113</v>
      </c>
      <c r="B3" s="0" t="s">
        <v>74</v>
      </c>
      <c r="C3" s="2" t="s">
        <v>88</v>
      </c>
      <c r="D3" s="2" t="s">
        <v>89</v>
      </c>
      <c r="E3" s="2" t="s">
        <v>90</v>
      </c>
      <c r="F3" s="2" t="s">
        <v>91</v>
      </c>
      <c r="G3" s="2" t="s">
        <v>92</v>
      </c>
      <c r="H3" s="2" t="s">
        <v>93</v>
      </c>
      <c r="I3" s="2" t="s">
        <v>94</v>
      </c>
      <c r="J3" s="2" t="s">
        <v>95</v>
      </c>
      <c r="K3" s="2" t="s">
        <v>96</v>
      </c>
      <c r="L3" s="2" t="s">
        <v>97</v>
      </c>
    </row>
    <row r="4" customFormat="false" ht="15" hidden="false" customHeight="false" outlineLevel="0" collapsed="false">
      <c r="A4" s="0" t="s">
        <v>114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98</v>
      </c>
      <c r="C5" s="4" t="n">
        <f aca="false">Assumptions!C41</f>
        <v>78</v>
      </c>
      <c r="D5" s="4" t="n">
        <f aca="false">Assumptions!D41</f>
        <v>28</v>
      </c>
      <c r="E5" s="4" t="n">
        <f aca="false">Assumptions!E41</f>
        <v>18</v>
      </c>
      <c r="F5" s="4" t="n">
        <f aca="false">Assumptions!F41</f>
        <v>12</v>
      </c>
      <c r="G5" s="4" t="n">
        <f aca="false">Assumptions!G41</f>
        <v>8</v>
      </c>
      <c r="H5" s="4" t="n">
        <f aca="false">Assumptions!H41</f>
        <v>6</v>
      </c>
      <c r="I5" s="4" t="n">
        <f aca="false">Assumptions!I41</f>
        <v>5</v>
      </c>
      <c r="J5" s="4" t="n">
        <f aca="false">Assumptions!J41</f>
        <v>4</v>
      </c>
      <c r="K5" s="4" t="n">
        <f aca="false">Assumptions!K41</f>
        <v>3</v>
      </c>
      <c r="L5" s="4" t="n">
        <f aca="false">Assumptions!L41</f>
        <v>3</v>
      </c>
    </row>
    <row r="6" customFormat="false" ht="15" hidden="false" customHeight="false" outlineLevel="0" collapsed="false">
      <c r="A6" s="0" t="s">
        <v>37</v>
      </c>
      <c r="B6" s="3" t="n">
        <v>12409.577</v>
      </c>
      <c r="C6" s="0" t="n">
        <f aca="false">B6*(1+C5/100)</f>
        <v>22089.04706</v>
      </c>
      <c r="D6" s="0" t="n">
        <f aca="false">C6*(1+D5/100)</f>
        <v>28273.9802368</v>
      </c>
      <c r="E6" s="0" t="n">
        <f aca="false">D6*(1+E5/100)</f>
        <v>33363.296679424</v>
      </c>
      <c r="F6" s="0" t="n">
        <f aca="false">E6*(1+F5/100)</f>
        <v>37366.8922809549</v>
      </c>
      <c r="G6" s="0" t="n">
        <f aca="false">F6*(1+G5/100)</f>
        <v>40356.2436634313</v>
      </c>
      <c r="H6" s="0" t="n">
        <f aca="false">G6*(1+H5/100)</f>
        <v>42777.6182832372</v>
      </c>
      <c r="I6" s="0" t="n">
        <f aca="false">H6*(1+I5/100)</f>
        <v>44916.499197399</v>
      </c>
      <c r="J6" s="0" t="n">
        <f aca="false">I6*(1+J5/100)</f>
        <v>46713.159165295</v>
      </c>
      <c r="K6" s="0" t="n">
        <f aca="false">J6*(1+K5/100)</f>
        <v>48114.5539402538</v>
      </c>
      <c r="L6" s="0" t="n">
        <f aca="false">K6*(1+L5/100)</f>
        <v>49557.9905584614</v>
      </c>
    </row>
    <row r="7" customFormat="false" ht="15" hidden="false" customHeight="false" outlineLevel="0" collapsed="false">
      <c r="A7" s="0" t="s">
        <v>99</v>
      </c>
      <c r="C7" s="4" t="n">
        <f aca="false">Assumptions!C42</f>
        <v>10</v>
      </c>
      <c r="D7" s="4" t="n">
        <f aca="false">Assumptions!D42</f>
        <v>10.3</v>
      </c>
      <c r="E7" s="4" t="n">
        <f aca="false">Assumptions!E42</f>
        <v>10.5</v>
      </c>
      <c r="F7" s="4" t="n">
        <f aca="false">Assumptions!F42</f>
        <v>10.8</v>
      </c>
      <c r="G7" s="4" t="n">
        <f aca="false">Assumptions!G42</f>
        <v>11</v>
      </c>
      <c r="H7" s="4" t="n">
        <f aca="false">Assumptions!H42</f>
        <v>11</v>
      </c>
      <c r="I7" s="4" t="n">
        <f aca="false">Assumptions!I42</f>
        <v>11</v>
      </c>
      <c r="J7" s="4" t="n">
        <f aca="false">Assumptions!J42</f>
        <v>11</v>
      </c>
      <c r="K7" s="4" t="n">
        <f aca="false">Assumptions!K42</f>
        <v>11</v>
      </c>
      <c r="L7" s="4" t="n">
        <f aca="false">Assumptions!L42</f>
        <v>11</v>
      </c>
    </row>
    <row r="8" customFormat="false" ht="15" hidden="false" customHeight="false" outlineLevel="0" collapsed="false">
      <c r="A8" s="0" t="s">
        <v>43</v>
      </c>
      <c r="C8" s="0" t="n">
        <f aca="false">C6*C7/100</f>
        <v>2208.904706</v>
      </c>
      <c r="D8" s="0" t="n">
        <f aca="false">D6*D7/100</f>
        <v>2912.2199643904</v>
      </c>
      <c r="E8" s="0" t="n">
        <f aca="false">E6*E7/100</f>
        <v>3503.14615133952</v>
      </c>
      <c r="F8" s="0" t="n">
        <f aca="false">F6*F7/100</f>
        <v>4035.62436634313</v>
      </c>
      <c r="G8" s="0" t="n">
        <f aca="false">G6*G7/100</f>
        <v>4439.18680297744</v>
      </c>
      <c r="H8" s="0" t="n">
        <f aca="false">H6*H7/100</f>
        <v>4705.53801115609</v>
      </c>
      <c r="I8" s="0" t="n">
        <f aca="false">I6*I7/100</f>
        <v>4940.81491171389</v>
      </c>
      <c r="J8" s="0" t="n">
        <f aca="false">J6*J7/100</f>
        <v>5138.44750818245</v>
      </c>
      <c r="K8" s="0" t="n">
        <f aca="false">K6*K7/100</f>
        <v>5292.60093342792</v>
      </c>
      <c r="L8" s="0" t="n">
        <f aca="false">L6*L7/100</f>
        <v>5451.37896143076</v>
      </c>
    </row>
    <row r="9" customFormat="false" ht="15" hidden="false" customHeight="false" outlineLevel="0" collapsed="false">
      <c r="A9" s="0" t="s">
        <v>100</v>
      </c>
      <c r="C9" s="4" t="n">
        <f aca="false">Assumptions!C43</f>
        <v>0.25</v>
      </c>
      <c r="D9" s="4" t="n">
        <f aca="false">Assumptions!D43</f>
        <v>0.25</v>
      </c>
      <c r="E9" s="4" t="n">
        <f aca="false">Assumptions!E43</f>
        <v>0.22</v>
      </c>
      <c r="F9" s="4" t="n">
        <f aca="false">Assumptions!F43</f>
        <v>0.22</v>
      </c>
      <c r="G9" s="4" t="n">
        <f aca="false">Assumptions!G43</f>
        <v>0.2</v>
      </c>
      <c r="H9" s="4" t="n">
        <f aca="false">Assumptions!H43</f>
        <v>0.2</v>
      </c>
      <c r="I9" s="4" t="n">
        <f aca="false">Assumptions!I43</f>
        <v>0.18</v>
      </c>
      <c r="J9" s="4" t="n">
        <f aca="false">Assumptions!J43</f>
        <v>0.18</v>
      </c>
      <c r="K9" s="4" t="n">
        <f aca="false">Assumptions!K43</f>
        <v>0.15</v>
      </c>
      <c r="L9" s="4" t="n">
        <f aca="false">Assumptions!L43</f>
        <v>0.15</v>
      </c>
    </row>
    <row r="10" customFormat="false" ht="15" hidden="false" customHeight="false" outlineLevel="0" collapsed="false">
      <c r="A10" s="0" t="s">
        <v>115</v>
      </c>
      <c r="C10" s="0" t="n">
        <f aca="false">-C6*C9/100</f>
        <v>-55.22261765</v>
      </c>
      <c r="D10" s="0" t="n">
        <f aca="false">-D6*D9/100</f>
        <v>-70.684950592</v>
      </c>
      <c r="E10" s="0" t="n">
        <f aca="false">-E6*E9/100</f>
        <v>-73.3992526947328</v>
      </c>
      <c r="F10" s="0" t="n">
        <f aca="false">-F6*F9/100</f>
        <v>-82.2071630181007</v>
      </c>
      <c r="G10" s="0" t="n">
        <f aca="false">-G6*G9/100</f>
        <v>-80.7124873268626</v>
      </c>
      <c r="H10" s="0" t="n">
        <f aca="false">-H6*H9/100</f>
        <v>-85.5552365664743</v>
      </c>
      <c r="I10" s="0" t="n">
        <f aca="false">-I6*I9/100</f>
        <v>-80.8496985553182</v>
      </c>
      <c r="J10" s="0" t="n">
        <f aca="false">-J6*J9/100</f>
        <v>-84.083686497531</v>
      </c>
      <c r="K10" s="0" t="n">
        <f aca="false">-K6*K9/100</f>
        <v>-72.1718309103807</v>
      </c>
      <c r="L10" s="0" t="n">
        <f aca="false">-L6*L9/100</f>
        <v>-74.3369858376922</v>
      </c>
    </row>
    <row r="11" customFormat="false" ht="15" hidden="false" customHeight="false" outlineLevel="0" collapsed="false">
      <c r="A11" s="0" t="s">
        <v>116</v>
      </c>
      <c r="C11" s="0" t="n">
        <f aca="false">C8+C10+C24</f>
        <v>2118.339613054</v>
      </c>
      <c r="D11" s="0" t="n">
        <f aca="false">D8+D10+D24</f>
        <v>2796.29664541952</v>
      </c>
      <c r="E11" s="0" t="n">
        <f aca="false">E8+E10+E24</f>
        <v>3376.36562395771</v>
      </c>
      <c r="F11" s="0" t="n">
        <f aca="false">F8+F10+F24</f>
        <v>3893.6301756755</v>
      </c>
      <c r="G11" s="0" t="n">
        <f aca="false">G8+G10+G24</f>
        <v>4293.90432578909</v>
      </c>
      <c r="H11" s="0" t="n">
        <f aca="false">H8+H10+H24</f>
        <v>4551.53858533643</v>
      </c>
      <c r="I11" s="0" t="n">
        <f aca="false">I8+I10+I24</f>
        <v>4788.09881444274</v>
      </c>
      <c r="J11" s="0" t="n">
        <f aca="false">J8+J10+J24</f>
        <v>4979.62276702044</v>
      </c>
      <c r="K11" s="0" t="n">
        <f aca="false">K8+K10+K24</f>
        <v>5143.44581621314</v>
      </c>
      <c r="L11" s="0" t="n">
        <f aca="false">L8+L10+L24</f>
        <v>5297.74919069953</v>
      </c>
    </row>
    <row r="12" customFormat="false" ht="15" hidden="false" customHeight="false" outlineLevel="0" collapsed="false">
      <c r="A12" s="0" t="s">
        <v>117</v>
      </c>
      <c r="C12" s="4" t="n">
        <f aca="false">-C6*Assumptions!C45/100</f>
        <v>-309.24665884</v>
      </c>
      <c r="D12" s="4" t="n">
        <f aca="false">-D6*Assumptions!D45/100</f>
        <v>-395.8357233152</v>
      </c>
      <c r="E12" s="4" t="n">
        <f aca="false">-E6*Assumptions!E45/100</f>
        <v>-467.086153511936</v>
      </c>
      <c r="F12" s="4" t="n">
        <f aca="false">-F6*Assumptions!F45/100</f>
        <v>-523.136491933368</v>
      </c>
      <c r="G12" s="4" t="n">
        <f aca="false">-G6*Assumptions!G45/100</f>
        <v>-564.987411288038</v>
      </c>
      <c r="H12" s="4" t="n">
        <f aca="false">-H6*Assumptions!H45/100</f>
        <v>-598.88665596532</v>
      </c>
      <c r="I12" s="4" t="n">
        <f aca="false">-I6*Assumptions!I45/100</f>
        <v>-628.830988763586</v>
      </c>
      <c r="J12" s="4" t="n">
        <f aca="false">-J6*Assumptions!J45/100</f>
        <v>-653.98422831413</v>
      </c>
      <c r="K12" s="4" t="n">
        <f aca="false">-K6*Assumptions!K45/100</f>
        <v>-673.603755163554</v>
      </c>
      <c r="L12" s="4" t="n">
        <f aca="false">-L6*Assumptions!L45/100</f>
        <v>-693.81186781846</v>
      </c>
    </row>
    <row r="13" customFormat="false" ht="15" hidden="false" customHeight="false" outlineLevel="0" collapsed="false">
      <c r="A13" s="0" t="s">
        <v>118</v>
      </c>
      <c r="C13" s="0" t="n">
        <f aca="false">C11+C12</f>
        <v>1809.092954214</v>
      </c>
      <c r="D13" s="0" t="n">
        <f aca="false">D11+D12</f>
        <v>2400.46092210432</v>
      </c>
      <c r="E13" s="0" t="n">
        <f aca="false">E11+E12</f>
        <v>2909.27947044577</v>
      </c>
      <c r="F13" s="0" t="n">
        <f aca="false">F11+F12</f>
        <v>3370.49368374213</v>
      </c>
      <c r="G13" s="0" t="n">
        <f aca="false">G11+G12</f>
        <v>3728.91691450105</v>
      </c>
      <c r="H13" s="0" t="n">
        <f aca="false">H11+H12</f>
        <v>3952.65192937111</v>
      </c>
      <c r="I13" s="0" t="n">
        <f aca="false">I11+I12</f>
        <v>4159.26782567915</v>
      </c>
      <c r="J13" s="0" t="n">
        <f aca="false">J11+J12</f>
        <v>4325.63853870632</v>
      </c>
      <c r="K13" s="0" t="n">
        <f aca="false">K11+K12</f>
        <v>4469.84206104958</v>
      </c>
      <c r="L13" s="0" t="n">
        <f aca="false">L11+L12</f>
        <v>4603.93732288107</v>
      </c>
    </row>
    <row r="14" customFormat="false" ht="15" hidden="false" customHeight="false" outlineLevel="0" collapsed="false">
      <c r="A14" s="0" t="s">
        <v>104</v>
      </c>
      <c r="C14" s="4" t="n">
        <f aca="false">Assumptions!C47</f>
        <v>16</v>
      </c>
      <c r="D14" s="4" t="n">
        <f aca="false">Assumptions!D47</f>
        <v>16</v>
      </c>
      <c r="E14" s="4" t="n">
        <f aca="false">Assumptions!E47</f>
        <v>17</v>
      </c>
      <c r="F14" s="4" t="n">
        <f aca="false">Assumptions!F47</f>
        <v>17</v>
      </c>
      <c r="G14" s="4" t="n">
        <f aca="false">Assumptions!G47</f>
        <v>18</v>
      </c>
      <c r="H14" s="4" t="n">
        <f aca="false">Assumptions!H47</f>
        <v>18</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119</v>
      </c>
      <c r="C15" s="0" t="n">
        <f aca="false">C13-MAX(0,C13)*C14/100</f>
        <v>1519.63808153976</v>
      </c>
      <c r="D15" s="0" t="n">
        <f aca="false">D13-MAX(0,D13)*D14/100</f>
        <v>2016.38717456763</v>
      </c>
      <c r="E15" s="0" t="n">
        <f aca="false">E13-MAX(0,E13)*E14/100</f>
        <v>2414.70196046999</v>
      </c>
      <c r="F15" s="0" t="n">
        <f aca="false">F13-MAX(0,F13)*F14/100</f>
        <v>2797.50975750597</v>
      </c>
      <c r="G15" s="0" t="n">
        <f aca="false">G13-MAX(0,G13)*G14/100</f>
        <v>3057.71186989086</v>
      </c>
      <c r="H15" s="0" t="n">
        <f aca="false">H13-MAX(0,H13)*H14/100</f>
        <v>3241.17458208431</v>
      </c>
      <c r="I15" s="0" t="n">
        <f aca="false">I13-MAX(0,I13)*I14/100</f>
        <v>3410.5996170569</v>
      </c>
      <c r="J15" s="0" t="n">
        <f aca="false">J13-MAX(0,J13)*J14/100</f>
        <v>3547.02360173918</v>
      </c>
      <c r="K15" s="0" t="n">
        <f aca="false">K13-MAX(0,K13)*K14/100</f>
        <v>3665.27049006066</v>
      </c>
      <c r="L15" s="0" t="n">
        <f aca="false">L13-MAX(0,L13)*L14/100</f>
        <v>3775.22860476248</v>
      </c>
    </row>
    <row r="16" customFormat="false" ht="15" hidden="false" customHeight="false" outlineLevel="0" collapsed="false">
      <c r="A16" s="0" t="s">
        <v>120</v>
      </c>
      <c r="C16" s="0" t="n">
        <f aca="false">-C12</f>
        <v>309.24665884</v>
      </c>
      <c r="D16" s="0" t="n">
        <f aca="false">-D12</f>
        <v>395.8357233152</v>
      </c>
      <c r="E16" s="0" t="n">
        <f aca="false">-E12</f>
        <v>467.086153511936</v>
      </c>
      <c r="F16" s="0" t="n">
        <f aca="false">-F12</f>
        <v>523.136491933368</v>
      </c>
      <c r="G16" s="0" t="n">
        <f aca="false">-G12</f>
        <v>564.987411288038</v>
      </c>
      <c r="H16" s="0" t="n">
        <f aca="false">-H12</f>
        <v>598.88665596532</v>
      </c>
      <c r="I16" s="0" t="n">
        <f aca="false">-I12</f>
        <v>628.830988763586</v>
      </c>
      <c r="J16" s="0" t="n">
        <f aca="false">-J12</f>
        <v>653.98422831413</v>
      </c>
      <c r="K16" s="0" t="n">
        <f aca="false">-K12</f>
        <v>673.603755163554</v>
      </c>
      <c r="L16" s="0" t="n">
        <f aca="false">-L12</f>
        <v>693.81186781846</v>
      </c>
    </row>
    <row r="17" customFormat="false" ht="15" hidden="false" customHeight="false" outlineLevel="0" collapsed="false">
      <c r="A17" s="0" t="s">
        <v>121</v>
      </c>
      <c r="C17" s="4" t="n">
        <f aca="false">-C6*Assumptions!C46/100</f>
        <v>-353.42475296</v>
      </c>
      <c r="D17" s="4" t="n">
        <f aca="false">-D6*Assumptions!D46/100</f>
        <v>-452.3836837888</v>
      </c>
      <c r="E17" s="4" t="n">
        <f aca="false">-E6*Assumptions!E46/100</f>
        <v>-533.812746870784</v>
      </c>
      <c r="F17" s="4" t="n">
        <f aca="false">-F6*Assumptions!F46/100</f>
        <v>-597.870276495278</v>
      </c>
      <c r="G17" s="4" t="n">
        <f aca="false">-G6*Assumptions!G46/100</f>
        <v>-645.699898614901</v>
      </c>
      <c r="H17" s="4" t="n">
        <f aca="false">-H6*Assumptions!H46/100</f>
        <v>-641.664274248557</v>
      </c>
      <c r="I17" s="4" t="n">
        <f aca="false">-I6*Assumptions!I46/100</f>
        <v>-673.747487960985</v>
      </c>
      <c r="J17" s="4" t="n">
        <f aca="false">-J6*Assumptions!J46/100</f>
        <v>-700.697387479425</v>
      </c>
      <c r="K17" s="4" t="n">
        <f aca="false">-K6*Assumptions!K46/100</f>
        <v>-721.718309103807</v>
      </c>
      <c r="L17" s="4" t="n">
        <f aca="false">-L6*Assumptions!L46/100</f>
        <v>-743.369858376922</v>
      </c>
    </row>
    <row r="18" customFormat="false" ht="15" hidden="false" customHeight="false" outlineLevel="0" collapsed="false">
      <c r="A18" s="0" t="s">
        <v>122</v>
      </c>
      <c r="C18" s="4" t="n">
        <f aca="false">(C6-B6)*Assumptions!$B$51/100</f>
        <v>-1161.5364072</v>
      </c>
      <c r="D18" s="4" t="n">
        <f aca="false">(D6-C6)*Assumptions!$B$51/100</f>
        <v>-742.191981216</v>
      </c>
      <c r="E18" s="4" t="n">
        <f aca="false">(E6-D6)*Assumptions!$B$51/100</f>
        <v>-610.71797311488</v>
      </c>
      <c r="F18" s="4" t="n">
        <f aca="false">(F6-E6)*Assumptions!$B$51/100</f>
        <v>-480.431472183706</v>
      </c>
      <c r="G18" s="4" t="n">
        <f aca="false">(G6-F6)*Assumptions!$B$51/100</f>
        <v>-358.722165897167</v>
      </c>
      <c r="H18" s="4" t="n">
        <f aca="false">(H6-G6)*Assumptions!$B$51/100</f>
        <v>-290.564954376706</v>
      </c>
      <c r="I18" s="4" t="n">
        <f aca="false">(I6-H6)*Assumptions!$B$51/100</f>
        <v>-256.665709699424</v>
      </c>
      <c r="J18" s="4" t="n">
        <f aca="false">(J6-I6)*Assumptions!$B$51/100</f>
        <v>-215.599196147515</v>
      </c>
      <c r="K18" s="4" t="n">
        <f aca="false">(K6-J6)*Assumptions!$B$51/100</f>
        <v>-168.167372995062</v>
      </c>
      <c r="L18" s="4" t="n">
        <f aca="false">(L6-K6)*Assumptions!$B$51/100</f>
        <v>-173.212394184914</v>
      </c>
    </row>
    <row r="19" customFormat="false" ht="15" hidden="false" customHeight="false" outlineLevel="0" collapsed="false">
      <c r="A19" s="0" t="s">
        <v>123</v>
      </c>
      <c r="C19" s="0" t="n">
        <f aca="false">C15+C16+C17+C18</f>
        <v>313.92358021976</v>
      </c>
      <c r="D19" s="0" t="n">
        <f aca="false">D15+D16+D17+D18</f>
        <v>1217.64723287803</v>
      </c>
      <c r="E19" s="0" t="n">
        <f aca="false">E15+E16+E17+E18</f>
        <v>1737.25739399626</v>
      </c>
      <c r="F19" s="0" t="n">
        <f aca="false">F15+F16+F17+F18</f>
        <v>2242.34450076035</v>
      </c>
      <c r="G19" s="0" t="n">
        <f aca="false">G15+G16+G17+G18</f>
        <v>2618.27721666683</v>
      </c>
      <c r="H19" s="0" t="n">
        <f aca="false">H15+H16+H17+H18</f>
        <v>2907.83200942437</v>
      </c>
      <c r="I19" s="0" t="n">
        <f aca="false">I15+I16+I17+I18</f>
        <v>3109.01740816008</v>
      </c>
      <c r="J19" s="0" t="n">
        <f aca="false">J15+J16+J17+J18</f>
        <v>3284.71124642637</v>
      </c>
      <c r="K19" s="0" t="n">
        <f aca="false">K15+K16+K17+K18</f>
        <v>3448.98856312534</v>
      </c>
      <c r="L19" s="0" t="n">
        <f aca="false">L15+L16+L17+L18</f>
        <v>3552.4582200191</v>
      </c>
    </row>
    <row r="20" customFormat="false" ht="15" hidden="false" customHeight="false" outlineLevel="0" collapsed="false">
      <c r="A20" s="0" t="s">
        <v>124</v>
      </c>
      <c r="C20" s="0" t="n">
        <f aca="false">1/(1+$B$27/100)^C4</f>
        <v>0.909090909090909</v>
      </c>
      <c r="D20" s="0" t="n">
        <f aca="false">1/(1+$B$27/100)^D4</f>
        <v>0.826446280991735</v>
      </c>
      <c r="E20" s="0" t="n">
        <f aca="false">1/(1+$B$27/100)^E4</f>
        <v>0.751314800901578</v>
      </c>
      <c r="F20" s="0" t="n">
        <f aca="false">1/(1+$B$27/100)^F4</f>
        <v>0.683013455365071</v>
      </c>
      <c r="G20" s="0" t="n">
        <f aca="false">1/(1+$B$27/100)^G4</f>
        <v>0.620921323059155</v>
      </c>
      <c r="H20" s="0" t="n">
        <f aca="false">1/(1+$B$27/100)^H4</f>
        <v>0.564473930053777</v>
      </c>
      <c r="I20" s="0" t="n">
        <f aca="false">1/(1+$B$27/100)^I4</f>
        <v>0.513158118230707</v>
      </c>
      <c r="J20" s="0" t="n">
        <f aca="false">1/(1+$B$27/100)^J4</f>
        <v>0.466507380209733</v>
      </c>
      <c r="K20" s="0" t="n">
        <f aca="false">1/(1+$B$27/100)^K4</f>
        <v>0.424097618372485</v>
      </c>
      <c r="L20" s="0" t="n">
        <f aca="false">1/(1+$B$27/100)^L4</f>
        <v>0.385543289429531</v>
      </c>
    </row>
    <row r="21" customFormat="false" ht="15" hidden="false" customHeight="false" outlineLevel="0" collapsed="false">
      <c r="A21" s="0" t="s">
        <v>125</v>
      </c>
      <c r="C21" s="0" t="n">
        <f aca="false">C19*C20</f>
        <v>285.385072927054</v>
      </c>
      <c r="D21" s="0" t="n">
        <f aca="false">D19*D20</f>
        <v>1006.32002717192</v>
      </c>
      <c r="E21" s="0" t="n">
        <f aca="false">E19*E20</f>
        <v>1305.2271930851</v>
      </c>
      <c r="F21" s="0" t="n">
        <f aca="false">F19*F20</f>
        <v>1531.55146558319</v>
      </c>
      <c r="G21" s="0" t="n">
        <f aca="false">G19*G20</f>
        <v>1625.74415350841</v>
      </c>
      <c r="H21" s="0" t="n">
        <f aca="false">H19*H20</f>
        <v>1641.39536229595</v>
      </c>
      <c r="I21" s="0" t="n">
        <f aca="false">I19*I20</f>
        <v>1595.41752271793</v>
      </c>
      <c r="J21" s="0" t="n">
        <f aca="false">J19*J20</f>
        <v>1532.34203831581</v>
      </c>
      <c r="K21" s="0" t="n">
        <f aca="false">K19*K20</f>
        <v>1462.70783541539</v>
      </c>
      <c r="L21" s="0" t="n">
        <f aca="false">L19*L20</f>
        <v>1369.62642770714</v>
      </c>
    </row>
    <row r="23" customFormat="false" ht="15" hidden="false" customHeight="false" outlineLevel="0" collapsed="false">
      <c r="A23" s="0" t="s">
        <v>101</v>
      </c>
      <c r="C23" s="4" t="n">
        <f aca="false">Assumptions!C44</f>
        <v>0.16</v>
      </c>
      <c r="D23" s="4" t="n">
        <f aca="false">Assumptions!D44</f>
        <v>0.16</v>
      </c>
      <c r="E23" s="4" t="n">
        <f aca="false">Assumptions!E44</f>
        <v>0.16</v>
      </c>
      <c r="F23" s="4" t="n">
        <f aca="false">Assumptions!F44</f>
        <v>0.16</v>
      </c>
      <c r="G23" s="4" t="n">
        <f aca="false">Assumptions!G44</f>
        <v>0.16</v>
      </c>
      <c r="H23" s="4" t="n">
        <f aca="false">Assumptions!H44</f>
        <v>0.16</v>
      </c>
      <c r="I23" s="4" t="n">
        <f aca="false">Assumptions!I44</f>
        <v>0.16</v>
      </c>
      <c r="J23" s="4" t="n">
        <f aca="false">Assumptions!J44</f>
        <v>0.16</v>
      </c>
      <c r="K23" s="4" t="n">
        <f aca="false">Assumptions!K44</f>
        <v>0.16</v>
      </c>
      <c r="L23" s="4" t="n">
        <f aca="false">Assumptions!L44</f>
        <v>0.16</v>
      </c>
    </row>
    <row r="24" customFormat="false" ht="15" hidden="false" customHeight="false" outlineLevel="0" collapsed="false">
      <c r="A24" s="0" t="s">
        <v>126</v>
      </c>
      <c r="C24" s="0" t="n">
        <f aca="false">-C6*C23/100</f>
        <v>-35.342475296</v>
      </c>
      <c r="D24" s="0" t="n">
        <f aca="false">-D6*D23/100</f>
        <v>-45.23836837888</v>
      </c>
      <c r="E24" s="0" t="n">
        <f aca="false">-E6*E23/100</f>
        <v>-53.3812746870784</v>
      </c>
      <c r="F24" s="0" t="n">
        <f aca="false">-F6*F23/100</f>
        <v>-59.7870276495278</v>
      </c>
      <c r="G24" s="0" t="n">
        <f aca="false">-G6*G23/100</f>
        <v>-64.56998986149</v>
      </c>
      <c r="H24" s="0" t="n">
        <f aca="false">-H6*H23/100</f>
        <v>-68.4441892531795</v>
      </c>
      <c r="I24" s="0" t="n">
        <f aca="false">-I6*I23/100</f>
        <v>-71.8663987158384</v>
      </c>
      <c r="J24" s="0" t="n">
        <f aca="false">-J6*J23/100</f>
        <v>-74.741054664472</v>
      </c>
      <c r="K24" s="0" t="n">
        <f aca="false">-K6*K23/100</f>
        <v>-76.9832863044061</v>
      </c>
      <c r="L24" s="0" t="n">
        <f aca="false">-L6*L23/100</f>
        <v>-79.2927848935383</v>
      </c>
    </row>
    <row r="26" customFormat="false" ht="15" hidden="false" customHeight="false" outlineLevel="0" collapsed="false">
      <c r="A26" s="2" t="s">
        <v>127</v>
      </c>
    </row>
    <row r="27" customFormat="false" ht="15" hidden="false" customHeight="false" outlineLevel="0" collapsed="false">
      <c r="A27" s="0" t="s">
        <v>105</v>
      </c>
      <c r="B27" s="4" t="n">
        <f aca="false">Assumptions!$B$48</f>
        <v>10</v>
      </c>
    </row>
    <row r="28" customFormat="false" ht="15" hidden="false" customHeight="false" outlineLevel="0" collapsed="false">
      <c r="A28" s="0" t="s">
        <v>106</v>
      </c>
      <c r="B28" s="4" t="n">
        <f aca="false">Assumptions!$B$49</f>
        <v>3</v>
      </c>
    </row>
    <row r="29" customFormat="false" ht="15" hidden="false" customHeight="false" outlineLevel="0" collapsed="false">
      <c r="A29" s="0" t="s">
        <v>107</v>
      </c>
      <c r="B29" s="4" t="n">
        <f aca="false">Assumptions!$B$50</f>
        <v>14</v>
      </c>
    </row>
    <row r="30" customFormat="false" ht="15" hidden="false" customHeight="false" outlineLevel="0" collapsed="false">
      <c r="A30" s="0" t="s">
        <v>128</v>
      </c>
      <c r="B30" s="0" t="n">
        <f aca="false">SUM(C21:L21)</f>
        <v>13355.7170987279</v>
      </c>
    </row>
    <row r="31" customFormat="false" ht="15" hidden="false" customHeight="false" outlineLevel="0" collapsed="false">
      <c r="A31" s="0" t="s">
        <v>129</v>
      </c>
      <c r="B31" s="0" t="n">
        <f aca="false">L19</f>
        <v>3552.4582200191</v>
      </c>
    </row>
    <row r="32" customFormat="false" ht="15" hidden="false" customHeight="false" outlineLevel="0" collapsed="false">
      <c r="A32" s="0" t="s">
        <v>130</v>
      </c>
      <c r="B32" s="0" t="n">
        <f aca="false">IF(B27&gt;B28,B31*(1+B28/100)/((B27-B28)/100),B31*B29)</f>
        <v>52271.8852374239</v>
      </c>
    </row>
    <row r="33" customFormat="false" ht="15" hidden="false" customHeight="false" outlineLevel="0" collapsed="false">
      <c r="A33" s="0" t="s">
        <v>131</v>
      </c>
      <c r="B33" s="0" t="n">
        <f aca="false">B31*B29</f>
        <v>49734.4150802674</v>
      </c>
    </row>
    <row r="34" customFormat="false" ht="15" hidden="false" customHeight="false" outlineLevel="0" collapsed="false">
      <c r="A34" s="0" t="s">
        <v>132</v>
      </c>
      <c r="B34" s="0" t="n">
        <f aca="false">MAX(0,MIN(B32,B33))</f>
        <v>49734.4150802674</v>
      </c>
    </row>
    <row r="35" customFormat="false" ht="15" hidden="false" customHeight="false" outlineLevel="0" collapsed="false">
      <c r="A35" s="0" t="s">
        <v>133</v>
      </c>
      <c r="B35" s="0" t="n">
        <f aca="false">B34/(1+B27/100)^L4</f>
        <v>19174.7699879</v>
      </c>
    </row>
    <row r="36" customFormat="false" ht="15" hidden="false" customHeight="false" outlineLevel="0" collapsed="false">
      <c r="A36" s="0" t="s">
        <v>134</v>
      </c>
      <c r="B36" s="0" t="n">
        <f aca="false">B30+B35</f>
        <v>32530.4870866279</v>
      </c>
    </row>
    <row r="37" customFormat="false" ht="15" hidden="false" customHeight="false" outlineLevel="0" collapsed="false">
      <c r="A37" s="0" t="s">
        <v>135</v>
      </c>
      <c r="B37" s="0" t="n">
        <f aca="false">B36+Assumptions!$B$5-Assumptions!$B$4</f>
        <v>33728.8260866279</v>
      </c>
    </row>
    <row r="38" customFormat="false" ht="15" hidden="false" customHeight="false" outlineLevel="0" collapsed="false">
      <c r="A38" s="0" t="s">
        <v>136</v>
      </c>
      <c r="B38" s="0" t="n">
        <f aca="false">B37/Assumptions!$B$3*Assumptions!$B$10</f>
        <v>14.6012234141246</v>
      </c>
    </row>
    <row r="39" customFormat="false" ht="15" hidden="false" customHeight="false" outlineLevel="0" collapsed="false">
      <c r="A39" s="0" t="s">
        <v>137</v>
      </c>
      <c r="B39" s="4" t="n">
        <f aca="false">B38/Assumptions!$B$2-1</f>
        <v>0.130125651248037</v>
      </c>
    </row>
    <row r="41" customFormat="false" ht="15" hidden="false" customHeight="false" outlineLevel="0" collapsed="false">
      <c r="A41" s="0" t="s">
        <v>138</v>
      </c>
      <c r="B41" s="0" t="n">
        <f aca="false">SUMPRODUCT(-C10:L10/(1+$B$27/100)^C4:L4)</f>
        <v>458.306409779152</v>
      </c>
    </row>
    <row r="42" customFormat="false" ht="15" hidden="false" customHeight="false" outlineLevel="0" collapsed="false">
      <c r="A42" s="0" t="s">
        <v>139</v>
      </c>
      <c r="B42" s="0" t="n">
        <f aca="false">IF(B27&gt;B28,-L10*(1+B28/100)/((B27-B28)/100),-L10*20)/(1+B27/100)^L4</f>
        <v>421.713283250351</v>
      </c>
    </row>
    <row r="43" customFormat="false" ht="15" hidden="false" customHeight="false" outlineLevel="0" collapsed="false">
      <c r="A43" s="0" t="s">
        <v>140</v>
      </c>
      <c r="B43" s="0" t="n">
        <f aca="false">(B37+B41+B42)/Assumptions!$B$3*Assumptions!$B$10</f>
        <v>14.982184320198</v>
      </c>
    </row>
    <row r="45" customFormat="false" ht="15" hidden="false" customHeight="false" outlineLevel="0" collapsed="false">
      <c r="A45" s="0" t="s">
        <v>81</v>
      </c>
      <c r="B45" s="4" t="n">
        <f aca="false">Assumptions!$B$6</f>
        <v>15</v>
      </c>
    </row>
    <row r="46" customFormat="false" ht="15" hidden="false" customHeight="false" outlineLevel="0" collapsed="false">
      <c r="A46" s="0" t="s">
        <v>141</v>
      </c>
      <c r="B46" s="0" t="n">
        <f aca="false">MAX(0,MIN(IF(B45&gt;B28,B31*(1+B28/100)/((B45-B28)/100),B31*B29),B31*B29))</f>
        <v>30491.933055164</v>
      </c>
    </row>
    <row r="47" customFormat="false" ht="15" hidden="false" customHeight="false" outlineLevel="0" collapsed="false">
      <c r="A47" s="0" t="s">
        <v>142</v>
      </c>
      <c r="B47" s="0" t="n">
        <f aca="false">(SUMPRODUCT(C19:L19/(1+B45/100)^C4:L4)+B46/(1+B45/100)^L4+Assumptions!$B$5-Assumptions!$B$4)/Assumptions!$B$3*Assumptions!$B$10</f>
        <v>8.23095276562737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145</v>
      </c>
    </row>
    <row r="3" customFormat="false" ht="15" hidden="false" customHeight="false" outlineLevel="0" collapsed="false">
      <c r="A3" s="2" t="s">
        <v>146</v>
      </c>
      <c r="B3" s="2" t="s">
        <v>147</v>
      </c>
      <c r="C3" s="2" t="s">
        <v>137</v>
      </c>
      <c r="D3" s="2" t="s">
        <v>148</v>
      </c>
      <c r="E3" s="2" t="s">
        <v>140</v>
      </c>
      <c r="F3" s="2" t="s">
        <v>149</v>
      </c>
    </row>
    <row r="4" customFormat="false" ht="15" hidden="false" customHeight="false" outlineLevel="0" collapsed="false">
      <c r="A4" s="0" t="s">
        <v>150</v>
      </c>
      <c r="B4" s="4" t="n">
        <f aca="false">DCF_Bear!$B$38</f>
        <v>4.15306458132262</v>
      </c>
      <c r="C4" s="0" t="n">
        <f aca="false">B4/Assumptions!$B$2-1</f>
        <v>-0.678555372962646</v>
      </c>
      <c r="D4" s="4" t="n">
        <f aca="false">Assumptions!$B$24</f>
        <v>0.3</v>
      </c>
      <c r="E4" s="4" t="n">
        <f aca="false">DCF_Bear!$B$43</f>
        <v>4.33188921057842</v>
      </c>
      <c r="F4" s="4" t="n">
        <f aca="false">DCF_Bear!$B$47</f>
        <v>2.65368818714588</v>
      </c>
    </row>
    <row r="5" customFormat="false" ht="15" hidden="false" customHeight="false" outlineLevel="0" collapsed="false">
      <c r="A5" s="0" t="s">
        <v>151</v>
      </c>
      <c r="B5" s="4" t="n">
        <f aca="false">DCF_Base!$B$38</f>
        <v>8.5277965650105</v>
      </c>
      <c r="C5" s="0" t="n">
        <f aca="false">B5/Assumptions!$B$2-1</f>
        <v>-0.339953826237578</v>
      </c>
      <c r="D5" s="4" t="n">
        <f aca="false">Assumptions!$B$38</f>
        <v>0.5</v>
      </c>
      <c r="E5" s="4" t="n">
        <f aca="false">DCF_Base!$B$43</f>
        <v>8.80769067041093</v>
      </c>
      <c r="F5" s="4" t="n">
        <f aca="false">DCF_Base!$B$47</f>
        <v>4.9802157848304</v>
      </c>
    </row>
    <row r="6" customFormat="false" ht="15" hidden="false" customHeight="false" outlineLevel="0" collapsed="false">
      <c r="A6" s="0" t="s">
        <v>152</v>
      </c>
      <c r="B6" s="4" t="n">
        <f aca="false">DCF_Bull!$B$38</f>
        <v>14.6012234141246</v>
      </c>
      <c r="C6" s="0" t="n">
        <f aca="false">B6/Assumptions!$B$2-1</f>
        <v>0.130125651248037</v>
      </c>
      <c r="D6" s="4" t="n">
        <f aca="false">Assumptions!$B$52</f>
        <v>0.2</v>
      </c>
      <c r="E6" s="4" t="n">
        <f aca="false">DCF_Bull!$B$43</f>
        <v>14.982184320198</v>
      </c>
      <c r="F6" s="4" t="n">
        <f aca="false">DCF_Bull!$B$47</f>
        <v>8.23095276562737</v>
      </c>
    </row>
    <row r="8" customFormat="false" ht="15" hidden="false" customHeight="false" outlineLevel="0" collapsed="false">
      <c r="A8" s="0" t="s">
        <v>153</v>
      </c>
      <c r="B8" s="0" t="n">
        <f aca="false">SUMPRODUCT(B4:B6,D4:D6)</f>
        <v>8.43006233972696</v>
      </c>
    </row>
    <row r="9" customFormat="false" ht="15" hidden="false" customHeight="false" outlineLevel="0" collapsed="false">
      <c r="A9" s="0" t="s">
        <v>154</v>
      </c>
      <c r="B9" s="0" t="n">
        <f aca="false">SUMPRODUCT(E4:E6,D4:D6)</f>
        <v>8.69984896241859</v>
      </c>
    </row>
    <row r="10" customFormat="false" ht="15" hidden="false" customHeight="false" outlineLevel="0" collapsed="false">
      <c r="A10" s="0" t="s">
        <v>155</v>
      </c>
      <c r="B10" s="0" t="n">
        <f aca="false">1-Assumptions!$B$2/B8</f>
        <v>-0.532610255930618</v>
      </c>
    </row>
    <row r="11" customFormat="false" ht="15" hidden="false" customHeight="false" outlineLevel="0" collapsed="false">
      <c r="A11" s="0" t="s">
        <v>156</v>
      </c>
      <c r="B11" s="0" t="n">
        <f aca="false">IF(ABS(B9-B8)&gt;0.01*ABS(B8),(Assumptions!$B$2-B8)/(B9-B8)*100,"n/a")</f>
        <v>1664.2551122355</v>
      </c>
    </row>
    <row r="12" customFormat="false" ht="15" hidden="false" customHeight="false" outlineLevel="0" collapsed="false">
      <c r="A12" s="0" t="s">
        <v>157</v>
      </c>
      <c r="B12" s="0" t="n">
        <f aca="false">SUMPRODUCT(F4:F6,D4:D6)</f>
        <v>4.93240490168443</v>
      </c>
    </row>
    <row r="14" customFormat="false" ht="15" hidden="false" customHeight="false" outlineLevel="0" collapsed="false">
      <c r="A14" s="2" t="s">
        <v>158</v>
      </c>
      <c r="C14" s="0" t="s">
        <v>159</v>
      </c>
    </row>
    <row r="15" customFormat="false" ht="15" hidden="false" customHeight="false" outlineLevel="0" collapsed="false">
      <c r="A15" s="0" t="s">
        <v>160</v>
      </c>
      <c r="B15" s="0" t="n">
        <f aca="false">(SUMPRODUCT(DCF_Base!$C$19:$L$19/(1+$C$15/100)^DCF_Base!$C$4:$L$4)+MAX(0,MIN(IF($C$15&gt;DCF_Base!$B$28,DCF_Base!$L$19*(1+DCF_Base!$B$28/100)/(($C$15-DCF_Base!$B$28)/100),DCF_Base!$L$19*DCF_Base!$B$29),DCF_Base!$L$19*DCF_Base!$B$29))/(1+$C$15/100)^DCF_Base!$L$4+Assumptions!$B$5-Assumptions!$B$4)/Assumptions!$B$3*Assumptions!$B$10</f>
        <v>9.27035981528714</v>
      </c>
      <c r="C15" s="3" t="n">
        <v>9</v>
      </c>
    </row>
    <row r="16" customFormat="false" ht="15" hidden="false" customHeight="false" outlineLevel="0" collapsed="false">
      <c r="A16" s="0" t="s">
        <v>161</v>
      </c>
      <c r="B16" s="0" t="n">
        <f aca="false">(SUMPRODUCT(DCF_Base!$C$19:$L$19/(1+$C$16/100)^DCF_Base!$C$4:$L$4)+MAX(0,MIN(IF($C$16&gt;DCF_Base!$B$28,DCF_Base!$L$19*(1+DCF_Base!$B$28/100)/(($C$16-DCF_Base!$B$28)/100),DCF_Base!$L$19*DCF_Base!$B$29),DCF_Base!$L$19*DCF_Base!$B$29))/(1+$C$16/100)^DCF_Base!$L$4+Assumptions!$B$5-Assumptions!$B$4)/Assumptions!$B$3*Assumptions!$B$10</f>
        <v>8.5277965650105</v>
      </c>
      <c r="C16" s="3" t="n">
        <v>10</v>
      </c>
    </row>
    <row r="17" customFormat="false" ht="15" hidden="false" customHeight="false" outlineLevel="0" collapsed="false">
      <c r="A17" s="0" t="s">
        <v>162</v>
      </c>
      <c r="B17" s="0" t="n">
        <f aca="false">(SUMPRODUCT(DCF_Base!$C$19:$L$19/(1+$C$17/100)^DCF_Base!$C$4:$L$4)+MAX(0,MIN(IF($C$17&gt;DCF_Base!$B$28,DCF_Base!$L$19*(1+DCF_Base!$B$28/100)/(($C$17-DCF_Base!$B$28)/100),DCF_Base!$L$19*DCF_Base!$B$29),DCF_Base!$L$19*DCF_Base!$B$29))/(1+$C$17/100)^DCF_Base!$L$4+Assumptions!$B$5-Assumptions!$B$4)/Assumptions!$B$3*Assumptions!$B$10</f>
        <v>7.47747760377668</v>
      </c>
      <c r="C17" s="3" t="n">
        <v>11</v>
      </c>
    </row>
    <row r="18" customFormat="false" ht="15" hidden="false" customHeight="false" outlineLevel="0" collapsed="false">
      <c r="A18" s="0" t="s">
        <v>163</v>
      </c>
      <c r="B18" s="0" t="n">
        <f aca="false">(SUMPRODUCT(DCF_Base!$C$19:$L$19/(1+$C$18/100)^DCF_Base!$C$4:$L$4)+MAX(0,MIN(IF($C$18&gt;DCF_Base!$B$28,DCF_Base!$L$19*(1+DCF_Base!$B$28/100)/(($C$18-DCF_Base!$B$28)/100),DCF_Base!$L$19*DCF_Base!$B$29),DCF_Base!$L$19*DCF_Base!$B$29))/(1+$C$18/100)^DCF_Base!$L$4+Assumptions!$B$5-Assumptions!$B$4)/Assumptions!$B$3*Assumptions!$B$10</f>
        <v>6.65153235844788</v>
      </c>
      <c r="C18" s="3" t="n">
        <v>12</v>
      </c>
    </row>
    <row r="19" customFormat="false" ht="15" hidden="false" customHeight="false" outlineLevel="0" collapsed="false">
      <c r="A19" s="0" t="s">
        <v>164</v>
      </c>
      <c r="B19" s="0" t="n">
        <f aca="false">(SUMPRODUCT(DCF_Base!$C$19:$L$19/(1+$C$19/100)^DCF_Base!$C$4:$L$4)+MAX(0,MIN(IF($C$19&gt;DCF_Base!$B$28,DCF_Base!$L$19*(1+DCF_Base!$B$28/100)/(($C$19-DCF_Base!$B$28)/100),DCF_Base!$L$19*DCF_Base!$B$29),DCF_Base!$L$19*DCF_Base!$B$29))/(1+$C$19/100)^DCF_Base!$L$4+Assumptions!$B$5-Assumptions!$B$4)/Assumptions!$B$3*Assumptions!$B$10</f>
        <v>4.9802157848304</v>
      </c>
      <c r="C19" s="3" t="n">
        <v>15</v>
      </c>
    </row>
    <row r="21" customFormat="false" ht="15" hidden="false" customHeight="false" outlineLevel="0" collapsed="false">
      <c r="A21" s="2" t="s">
        <v>165</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8</v>
      </c>
      <c r="B23" s="0" t="n">
        <f aca="false">(SUMPRODUCT(DCF_Base!$C$19:$L$19/(1+$A$23/100)^DCF_Base!$C$4:$L$4)+MAX(0,MIN(IF($A$23&gt;$B$22,DCF_Base!$L$19*(1+$B$22/100)/(($A$23-$B$22)/100),DCF_Base!$L$19*DCF_Base!$B$29),DCF_Base!$L$19*DCF_Base!$B$29))/(1+$A$23/100)^DCF_Base!$L$4+Assumptions!$B$5-Assumptions!$B$4)/Assumptions!$B$3*Assumptions!$B$10</f>
        <v>9.96492204692711</v>
      </c>
      <c r="C23" s="0" t="n">
        <f aca="false">(SUMPRODUCT(DCF_Base!$C$19:$L$19/(1+$A$23/100)^DCF_Base!$C$4:$L$4)+MAX(0,MIN(IF($A$23&gt;$C$22,DCF_Base!$L$19*(1+$C$22/100)/(($A$23-$C$22)/100),DCF_Base!$L$19*DCF_Base!$B$29),DCF_Base!$L$19*DCF_Base!$B$29))/(1+$A$23/100)^DCF_Base!$L$4+Assumptions!$B$5-Assumptions!$B$4)/Assumptions!$B$3*Assumptions!$B$10</f>
        <v>9.96492204692711</v>
      </c>
      <c r="D23" s="0" t="n">
        <f aca="false">(SUMPRODUCT(DCF_Base!$C$19:$L$19/(1+$A$23/100)^DCF_Base!$C$4:$L$4)+MAX(0,MIN(IF($A$23&gt;$D$22,DCF_Base!$L$19*(1+$D$22/100)/(($A$23-$D$22)/100),DCF_Base!$L$19*DCF_Base!$B$29),DCF_Base!$L$19*DCF_Base!$B$29))/(1+$A$23/100)^DCF_Base!$L$4+Assumptions!$B$5-Assumptions!$B$4)/Assumptions!$B$3*Assumptions!$B$10</f>
        <v>9.96492204692711</v>
      </c>
      <c r="E23" s="0" t="n">
        <f aca="false">(SUMPRODUCT(DCF_Base!$C$19:$L$19/(1+$A$23/100)^DCF_Base!$C$4:$L$4)+MAX(0,MIN(IF($A$23&gt;$E$22,DCF_Base!$L$19*(1+$E$22/100)/(($A$23-$E$22)/100),DCF_Base!$L$19*DCF_Base!$B$29),DCF_Base!$L$19*DCF_Base!$B$29))/(1+$A$23/100)^DCF_Base!$L$4+Assumptions!$B$5-Assumptions!$B$4)/Assumptions!$B$3*Assumptions!$B$10</f>
        <v>9.96492204692711</v>
      </c>
      <c r="F23" s="0" t="n">
        <f aca="false">(SUMPRODUCT(DCF_Base!$C$19:$L$19/(1+$A$23/100)^DCF_Base!$C$4:$L$4)+MAX(0,MIN(IF($A$23&gt;$F$22,DCF_Base!$L$19*(1+$F$22/100)/(($A$23-$F$22)/100),DCF_Base!$L$19*DCF_Base!$B$29),DCF_Base!$L$19*DCF_Base!$B$29))/(1+$A$23/100)^DCF_Base!$L$4+Assumptions!$B$5-Assumptions!$B$4)/Assumptions!$B$3*Assumptions!$B$10</f>
        <v>9.96492204692711</v>
      </c>
    </row>
    <row r="24" customFormat="false" ht="15" hidden="false" customHeight="false" outlineLevel="0" collapsed="false">
      <c r="A24" s="3" t="n">
        <v>9</v>
      </c>
      <c r="B24" s="0" t="n">
        <f aca="false">(SUMPRODUCT(DCF_Base!$C$19:$L$19/(1+$A$24/100)^DCF_Base!$C$4:$L$4)+MAX(0,MIN(IF($A$24&gt;$B$22,DCF_Base!$L$19*(1+$B$22/100)/(($A$24-$B$22)/100),DCF_Base!$L$19*DCF_Base!$B$29),DCF_Base!$L$19*DCF_Base!$B$29))/(1+$A$24/100)^DCF_Base!$L$4+Assumptions!$B$5-Assumptions!$B$4)/Assumptions!$B$3*Assumptions!$B$10</f>
        <v>9.10261697554605</v>
      </c>
      <c r="C24" s="0" t="n">
        <f aca="false">(SUMPRODUCT(DCF_Base!$C$19:$L$19/(1+$A$24/100)^DCF_Base!$C$4:$L$4)+MAX(0,MIN(IF($A$24&gt;$C$22,DCF_Base!$L$19*(1+$C$22/100)/(($A$24-$C$22)/100),DCF_Base!$L$19*DCF_Base!$B$29),DCF_Base!$L$19*DCF_Base!$B$29))/(1+$A$24/100)^DCF_Base!$L$4+Assumptions!$B$5-Assumptions!$B$4)/Assumptions!$B$3*Assumptions!$B$10</f>
        <v>9.27035981528714</v>
      </c>
      <c r="D24" s="0" t="n">
        <f aca="false">(SUMPRODUCT(DCF_Base!$C$19:$L$19/(1+$A$24/100)^DCF_Base!$C$4:$L$4)+MAX(0,MIN(IF($A$24&gt;$D$22,DCF_Base!$L$19*(1+$D$22/100)/(($A$24-$D$22)/100),DCF_Base!$L$19*DCF_Base!$B$29),DCF_Base!$L$19*DCF_Base!$B$29))/(1+$A$24/100)^DCF_Base!$L$4+Assumptions!$B$5-Assumptions!$B$4)/Assumptions!$B$3*Assumptions!$B$10</f>
        <v>9.27035981528714</v>
      </c>
      <c r="E24" s="0" t="n">
        <f aca="false">(SUMPRODUCT(DCF_Base!$C$19:$L$19/(1+$A$24/100)^DCF_Base!$C$4:$L$4)+MAX(0,MIN(IF($A$24&gt;$E$22,DCF_Base!$L$19*(1+$E$22/100)/(($A$24-$E$22)/100),DCF_Base!$L$19*DCF_Base!$B$29),DCF_Base!$L$19*DCF_Base!$B$29))/(1+$A$24/100)^DCF_Base!$L$4+Assumptions!$B$5-Assumptions!$B$4)/Assumptions!$B$3*Assumptions!$B$10</f>
        <v>9.27035981528714</v>
      </c>
      <c r="F24" s="0" t="n">
        <f aca="false">(SUMPRODUCT(DCF_Base!$C$19:$L$19/(1+$A$24/100)^DCF_Base!$C$4:$L$4)+MAX(0,MIN(IF($A$24&gt;$F$22,DCF_Base!$L$19*(1+$F$22/100)/(($A$24-$F$22)/100),DCF_Base!$L$19*DCF_Base!$B$29),DCF_Base!$L$19*DCF_Base!$B$29))/(1+$A$24/100)^DCF_Base!$L$4+Assumptions!$B$5-Assumptions!$B$4)/Assumptions!$B$3*Assumptions!$B$10</f>
        <v>9.27035981528714</v>
      </c>
    </row>
    <row r="25" customFormat="false" ht="15" hidden="false" customHeight="false" outlineLevel="0" collapsed="false">
      <c r="A25" s="3" t="n">
        <v>10</v>
      </c>
      <c r="B25" s="0" t="n">
        <f aca="false">(SUMPRODUCT(DCF_Base!$C$19:$L$19/(1+$A$25/100)^DCF_Base!$C$4:$L$4)+MAX(0,MIN(IF($A$25&gt;$B$22,DCF_Base!$L$19*(1+$B$22/100)/(($A$25-$B$22)/100),DCF_Base!$L$19*DCF_Base!$B$29),DCF_Base!$L$19*DCF_Base!$B$29))/(1+$A$25/100)^DCF_Base!$L$4+Assumptions!$B$5-Assumptions!$B$4)/Assumptions!$B$3*Assumptions!$B$10</f>
        <v>7.96170350084813</v>
      </c>
      <c r="C25" s="0" t="n">
        <f aca="false">(SUMPRODUCT(DCF_Base!$C$19:$L$19/(1+$A$25/100)^DCF_Base!$C$4:$L$4)+MAX(0,MIN(IF($A$25&gt;$C$22,DCF_Base!$L$19*(1+$C$22/100)/(($A$25-$C$22)/100),DCF_Base!$L$19*DCF_Base!$B$29),DCF_Base!$L$19*DCF_Base!$B$29))/(1+$A$25/100)^DCF_Base!$L$4+Assumptions!$B$5-Assumptions!$B$4)/Assumptions!$B$3*Assumptions!$B$10</f>
        <v>8.22705962467424</v>
      </c>
      <c r="D25" s="0" t="n">
        <f aca="false">(SUMPRODUCT(DCF_Base!$C$19:$L$19/(1+$A$25/100)^DCF_Base!$C$4:$L$4)+MAX(0,MIN(IF($A$25&gt;$D$22,DCF_Base!$L$19*(1+$D$22/100)/(($A$25-$D$22)/100),DCF_Base!$L$19*DCF_Base!$B$29),DCF_Base!$L$19*DCF_Base!$B$29))/(1+$A$25/100)^DCF_Base!$L$4+Assumptions!$B$5-Assumptions!$B$4)/Assumptions!$B$3*Assumptions!$B$10</f>
        <v>8.5277965650105</v>
      </c>
      <c r="E25" s="0" t="n">
        <f aca="false">(SUMPRODUCT(DCF_Base!$C$19:$L$19/(1+$A$25/100)^DCF_Base!$C$4:$L$4)+MAX(0,MIN(IF($A$25&gt;$E$22,DCF_Base!$L$19*(1+$E$22/100)/(($A$25-$E$22)/100),DCF_Base!$L$19*DCF_Base!$B$29),DCF_Base!$L$19*DCF_Base!$B$29))/(1+$A$25/100)^DCF_Base!$L$4+Assumptions!$B$5-Assumptions!$B$4)/Assumptions!$B$3*Assumptions!$B$10</f>
        <v>8.6371554524055</v>
      </c>
      <c r="F25" s="0" t="n">
        <f aca="false">(SUMPRODUCT(DCF_Base!$C$19:$L$19/(1+$A$25/100)^DCF_Base!$C$4:$L$4)+MAX(0,MIN(IF($A$25&gt;$F$22,DCF_Base!$L$19*(1+$F$22/100)/(($A$25-$F$22)/100),DCF_Base!$L$19*DCF_Base!$B$29),DCF_Base!$L$19*DCF_Base!$B$29))/(1+$A$25/100)^DCF_Base!$L$4+Assumptions!$B$5-Assumptions!$B$4)/Assumptions!$B$3*Assumptions!$B$10</f>
        <v>8.6371554524055</v>
      </c>
    </row>
    <row r="26" customFormat="false" ht="15" hidden="false" customHeight="false" outlineLevel="0" collapsed="false">
      <c r="A26" s="3" t="n">
        <v>11</v>
      </c>
      <c r="B26" s="0" t="n">
        <f aca="false">(SUMPRODUCT(DCF_Base!$C$19:$L$19/(1+$A$26/100)^DCF_Base!$C$4:$L$4)+MAX(0,MIN(IF($A$26&gt;$B$22,DCF_Base!$L$19*(1+$B$22/100)/(($A$26-$B$22)/100),DCF_Base!$L$19*DCF_Base!$B$29),DCF_Base!$L$19*DCF_Base!$B$29))/(1+$A$26/100)^DCF_Base!$L$4+Assumptions!$B$5-Assumptions!$B$4)/Assumptions!$B$3*Assumptions!$B$10</f>
        <v>7.06551969076034</v>
      </c>
      <c r="C26" s="0" t="n">
        <f aca="false">(SUMPRODUCT(DCF_Base!$C$19:$L$19/(1+$A$26/100)^DCF_Base!$C$4:$L$4)+MAX(0,MIN(IF($A$26&gt;$C$22,DCF_Base!$L$19*(1+$C$22/100)/(($A$26-$C$22)/100),DCF_Base!$L$19*DCF_Base!$B$29),DCF_Base!$L$19*DCF_Base!$B$29))/(1+$A$26/100)^DCF_Base!$L$4+Assumptions!$B$5-Assumptions!$B$4)/Assumptions!$B$3*Assumptions!$B$10</f>
        <v>7.26005537190694</v>
      </c>
      <c r="D26" s="0" t="n">
        <f aca="false">(SUMPRODUCT(DCF_Base!$C$19:$L$19/(1+$A$26/100)^DCF_Base!$C$4:$L$4)+MAX(0,MIN(IF($A$26&gt;$D$22,DCF_Base!$L$19*(1+$D$22/100)/(($A$26-$D$22)/100),DCF_Base!$L$19*DCF_Base!$B$29),DCF_Base!$L$19*DCF_Base!$B$29))/(1+$A$26/100)^DCF_Base!$L$4+Assumptions!$B$5-Assumptions!$B$4)/Assumptions!$B$3*Assumptions!$B$10</f>
        <v>7.47747760377668</v>
      </c>
      <c r="E26" s="0" t="n">
        <f aca="false">(SUMPRODUCT(DCF_Base!$C$19:$L$19/(1+$A$26/100)^DCF_Base!$C$4:$L$4)+MAX(0,MIN(IF($A$26&gt;$E$22,DCF_Base!$L$19*(1+$E$22/100)/(($A$26-$E$22)/100),DCF_Base!$L$19*DCF_Base!$B$29),DCF_Base!$L$19*DCF_Base!$B$29))/(1+$A$26/100)^DCF_Base!$L$4+Assumptions!$B$5-Assumptions!$B$4)/Assumptions!$B$3*Assumptions!$B$10</f>
        <v>7.72207761463014</v>
      </c>
      <c r="F26" s="0" t="n">
        <f aca="false">(SUMPRODUCT(DCF_Base!$C$19:$L$19/(1+$A$26/100)^DCF_Base!$C$4:$L$4)+MAX(0,MIN(IF($A$26&gt;$F$22,DCF_Base!$L$19*(1+$F$22/100)/(($A$26-$F$22)/100),DCF_Base!$L$19*DCF_Base!$B$29),DCF_Base!$L$19*DCF_Base!$B$29))/(1+$A$26/100)^DCF_Base!$L$4+Assumptions!$B$5-Assumptions!$B$4)/Assumptions!$B$3*Assumptions!$B$10</f>
        <v>7.99929096026406</v>
      </c>
    </row>
    <row r="27" customFormat="false" ht="15" hidden="false" customHeight="false" outlineLevel="0" collapsed="false">
      <c r="A27" s="3" t="n">
        <v>12</v>
      </c>
      <c r="B27" s="0" t="n">
        <f aca="false">(SUMPRODUCT(DCF_Base!$C$19:$L$19/(1+$A$27/100)^DCF_Base!$C$4:$L$4)+MAX(0,MIN(IF($A$27&gt;$B$22,DCF_Base!$L$19*(1+$B$22/100)/(($A$27-$B$22)/100),DCF_Base!$L$19*DCF_Base!$B$29),DCF_Base!$L$19*DCF_Base!$B$29))/(1+$A$27/100)^DCF_Base!$L$4+Assumptions!$B$5-Assumptions!$B$4)/Assumptions!$B$3*Assumptions!$B$10</f>
        <v>6.34390349495037</v>
      </c>
      <c r="C27" s="0" t="n">
        <f aca="false">(SUMPRODUCT(DCF_Base!$C$19:$L$19/(1+$A$27/100)^DCF_Base!$C$4:$L$4)+MAX(0,MIN(IF($A$27&gt;$C$22,DCF_Base!$L$19*(1+$C$22/100)/(($A$27-$C$22)/100),DCF_Base!$L$19*DCF_Base!$B$29),DCF_Base!$L$19*DCF_Base!$B$29))/(1+$A$27/100)^DCF_Base!$L$4+Assumptions!$B$5-Assumptions!$B$4)/Assumptions!$B$3*Assumptions!$B$10</f>
        <v>6.49002720511168</v>
      </c>
      <c r="D27" s="0" t="n">
        <f aca="false">(SUMPRODUCT(DCF_Base!$C$19:$L$19/(1+$A$27/100)^DCF_Base!$C$4:$L$4)+MAX(0,MIN(IF($A$27&gt;$D$22,DCF_Base!$L$19*(1+$D$22/100)/(($A$27-$D$22)/100),DCF_Base!$L$19*DCF_Base!$B$29),DCF_Base!$L$19*DCF_Base!$B$29))/(1+$A$27/100)^DCF_Base!$L$4+Assumptions!$B$5-Assumptions!$B$4)/Assumptions!$B$3*Assumptions!$B$10</f>
        <v>6.65153235844788</v>
      </c>
      <c r="E27" s="0" t="n">
        <f aca="false">(SUMPRODUCT(DCF_Base!$C$19:$L$19/(1+$A$27/100)^DCF_Base!$C$4:$L$4)+MAX(0,MIN(IF($A$27&gt;$E$22,DCF_Base!$L$19*(1+$E$22/100)/(($A$27-$E$22)/100),DCF_Base!$L$19*DCF_Base!$B$29),DCF_Base!$L$19*DCF_Base!$B$29))/(1+$A$27/100)^DCF_Base!$L$4+Assumptions!$B$5-Assumptions!$B$4)/Assumptions!$B$3*Assumptions!$B$10</f>
        <v>6.83098252882142</v>
      </c>
      <c r="F27" s="0" t="n">
        <f aca="false">(SUMPRODUCT(DCF_Base!$C$19:$L$19/(1+$A$27/100)^DCF_Base!$C$4:$L$4)+MAX(0,MIN(IF($A$27&gt;$F$22,DCF_Base!$L$19*(1+$F$22/100)/(($A$27-$F$22)/100),DCF_Base!$L$19*DCF_Base!$B$29),DCF_Base!$L$19*DCF_Base!$B$29))/(1+$A$27/100)^DCF_Base!$L$4+Assumptions!$B$5-Assumptions!$B$4)/Assumptions!$B$3*Assumptions!$B$10</f>
        <v>7.0315444839448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2026-10-16T16:16:07Z</dcterms:created>
  <dc:creator>openpyxl</dc:creator>
  <dc:description/>
  <dc:language>en-NZ</dc:language>
  <cp:lastModifiedBy/>
  <dcterms:modified xsi:type="dcterms:W3CDTF">2026-10-16T16:16:07Z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