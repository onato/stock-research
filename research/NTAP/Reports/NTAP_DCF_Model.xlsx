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<sst xmlns="http://schemas.openxmlformats.org/spreadsheetml/2006/main" count="387" uniqueCount="174">
  <si>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</si>
  <si>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NTAP</t>
  </si>
  <si>
    <t xml:space="preserve">Company</t>
  </si>
  <si>
    <t xml:space="preserve">NetApp,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</si>
  <si>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</si>
  <si>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</si>
  <si>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</si>
  <si>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</si>
  <si>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2026-10-01T20:00:01Z regular close (Yahoo Finance chart API)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</si>
  <si>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</si>
  <si>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</si>
  <si>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</si>
  <si>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</si>
  <si>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</si>
  <si>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</si>
  <si>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</si>
  <si>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</si>
  <si>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</si>
  <si>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</si>
  <si>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</si>
  <si>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</si>
  <si>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2026-10-02T02:50:27Z</t>
  </si>
  <si>
    <t xml:space="preserve">Drivers file</t>
  </si>
  <si>
    <t xml:space="preserve">NTAP_Drivers.json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</si>
  <si>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</si>
  <si>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</si>
  <si>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</si>
  <si>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NetApp is valued as a stream of owner free cash flow: reported FCF less stock-based compensation (including the cash tax withheld on net-share settlement) less interest income, with the diluted share count held flat because SBC is expensed. The forward margin is built from components (adj EBITDA, SBC, D&amp;A, cash tax, capex, working capital on revenue growth) rather than carried from FY2026, whose reported FCF held a working-capital tailwind. The three scenarios differ on one axis above all: whether the FY2027 AI/all-flash surge is the start of a multi-year leg (bull), a spike that decays to the storage market's mid-single-digit trend (base), or a pull-forward followed by digestion (bear). The terminal value is capped at 15x owner FCF because the company's own history is a ~1% revenue CAGR with cyclical troughs; the street basis is reported alongside so the reader can see how much of the market price depends on treating SBC as non-cash.
key_risks_to_valuation: AI capex sustainability: FY2027 guidance (+17%) and Q1's +30% are driven by neocloud/GPU-cloud and all-flash demand; a hyperscaler/neocloud spending pause would hit growth and margins in the same year; Competitive share loss in all-flash arrays to Pure Storage and Dell, which would show up first in product gross margin and then in growth; NAND/flash and component cost inflation compressing product gross margin (70% FY2026) while pricing is contested; Hyperscaler disintermediation of third-party storage over the 10-year horizon, which caps the terminal growth and multiple; SBC treatment: house IV expenses $519M/yr (7.5% of revenue) of SBC and withholding; the street basis, which treats it as non-cash, is materially higher and is closer to how the market prices the shares; Cash tax: the model assumes Section 174 relief brings the cash rate from 26% to 22%; if it stays at 26% the base IV is lower by roughly 5%; Price is at the 52-week high after a ~130% re-rating; the valuation is on fundamentals and the stock's momentum is not an input</t>
  </si>
  <si>
    <t xml:space="preserve">Data sources</t>
  </si>
  <si>
    <t xml:space="preserve">price: Yahoo Finance chart API regular close at inputs.price_as_of; 52-week range 93.69-216.81
financials: SEC XBRL companyfacts (CIK 1002047): FY2026 10-K filed 2026-06-05 (FY ended 2026-04-24) for FY0 flows; Q1 FY2027 10-Q filed 2026-09-02 (quarter ended 2026-07-31) for cash, short-term investments, debt and the diluted share count; NTAP_Metrics.csv / NTAP.duckdb metrics_normalized for the history and KPIs (cash_taxes, equity_award_taxes, interest_income, buybacks, deferred_revenue)
qualitative: NTAP_Analysis.json (2026-10-02): Q1 FY2027 results and raised FY2027 guidance (revenue $7.975-8.225B, non-GAAP EPS $9.73-10.03), Insight 2026 / Novus launch, competitive position vs Dell and Pure Storage</t>
  </si>
  <si>
    <t xml:space="preserve">Scenario narrative: bear</t>
  </si>
  <si>
    <t xml:space="preserve">AI pull-forward fades (+13% FY2027), capex digestion (flat FY2028, -3% FY2029), Pure share gains and NAND cost squeeze compress adj EBITDA to 28.5-29%, growth reverts to the company's ~2% long-run history; terminal 2.0%.</t>
  </si>
  <si>
    <t xml:space="preserve">Scenario narrative: base</t>
  </si>
  <si>
    <t xml:space="preserve">FY2027 at the raised guidance midpoint (+17%), decaying to mid-single-digit growth by FY2030 as the all-flash refresh and AI pull-forward normalise; adj EBITDA 34% -&gt; 33%; SBC all-in 7.3% -&gt; 6.0%; cash tax 24% -&gt; 22%; terminal 2.5% at a 15x cap.</t>
  </si>
  <si>
    <t xml:space="preserve">Scenario narrative: bull</t>
  </si>
  <si>
    <t xml:space="preserve">Beat-and-raise continues (+21% FY2027), Novus opens a durable neocloud/GPU-cloud leg, double-digit growth through FY2029, adj EBITDA to 36%, SBC to 5.5%; terminal 3.0% capped at 15x.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</si>
  <si>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</si>
  <si>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</si>
  <si>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</si>
  <si>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</si>
  <si>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</si>
  <si>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</si>
  <si>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</si>
  <si>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</si>
  <si>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</si>
  <si>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</si>
  <si>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</si>
  <si>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</si>
  <si>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</si>
  <si>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</si>
  <si>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</si>
  <si>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</si>
  <si>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</si>
  <si>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</si>
  <si>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</si>
  <si>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</si>
  <si>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</si>
  <si>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</si>
  <si>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</si>
  <si>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</si>
  <si>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</si>
  <si>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</si>
  <si>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</si>
  <si>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</si>
  <si>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</si>
  <si>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</si>
  <si>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</si>
  <si>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</si>
  <si>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</si>
  <si>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</si>
  <si>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</si>
  <si>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</si>
  <si>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</si>
  <si>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</si>
  <si>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</si>
  <si>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</si>
  <si>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</si>
  <si>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</si>
  <si>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</si>
  <si>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</si>
  <si>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</si>
  <si>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</si>
  <si>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</si>
  <si>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</si>
  <si>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</si>
  <si>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</si>
  <si>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</si>
  <si>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</si>
  <si>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</si>
  <si>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</si>
  <si>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</si>
  <si>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</si>
  <si>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</si>
  <si>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</si>
  <si>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</si>
  <si>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</si>
  <si>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</si>
  <si>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</si>
  <si>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</si>
  <si>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</si>
  <si>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</si>
  <si>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</si>
  <si>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</si>
  <si>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</si>
  <si>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</si>
  <si>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</si>
  <si>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</si>
  <si>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</si>
  <si>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</si>
  <si>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</si>
  <si>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</si>
  <si>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</si>
  <si>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</si>
  <si>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</si>
  <si>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</si>
  <si>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</si>
  <si>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</si>
  <si>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</si>
  <si>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</si>
  <si>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NTAP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</si>
  <si>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</si>
  <si>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</si>
  <si>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</si>
  <si>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</si>
  <si>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</si>
  <si>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</si>
  <si>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</si>
  <si>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</si>
  <si>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</si>
  <si>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</si>
  <si>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</si>
  <si>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</si>
  <si>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</si>
  <si>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</si>
  <si>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</si>
  <si>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</si>
  <si>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</si>
  <si>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</si>
  <si>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</si>
  <si>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</si>
  <si>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</si>
  <si>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</si>
  <si>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</si>
  <si>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</si>
  <si>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</si>
  <si>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</si>
  <si>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</si>
  <si>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</si>
  <si>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</si>
  <si>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</si>
  <si>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NTAP owner-FCF component DCF: base case (millions, USD)</t>
  </si>
  <si>
    <t xml:space="preserve">NTAP owner-FCF component DCF: bull case (millions, USD)</t>
  </si>
  <si>
    <t xml:space="preserve">NTAP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</si>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</sst>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215.05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1700.3</v>
      </c>
      <c r="S2" s="0" t="n">
        <v>936.5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3406.4</v>
      </c>
      <c r="C3" s="0" t="n">
        <v>1416.5</v>
      </c>
      <c r="D3" s="0" t="n">
        <v>1989.9</v>
      </c>
      <c r="E3" s="0" t="n">
        <v>58.4165100986379</v>
      </c>
      <c r="F3" s="0" t="n">
        <v>47.2</v>
      </c>
      <c r="G3" s="0" t="n">
        <v>1.38562705495538</v>
      </c>
      <c r="H3" s="0" t="n">
        <v>217.7</v>
      </c>
      <c r="I3" s="0" t="n">
        <v>64.6</v>
      </c>
      <c r="J3" s="0" t="n">
        <v>1.89643024894317</v>
      </c>
      <c r="K3" s="0" t="n">
        <v>0.2</v>
      </c>
      <c r="L3" s="0" t="n">
        <v>889.2</v>
      </c>
      <c r="M3" s="0" t="n">
        <v>289.6</v>
      </c>
      <c r="N3" s="0" t="n">
        <v>599.6</v>
      </c>
      <c r="O3" s="0" t="n">
        <v>1784.2</v>
      </c>
      <c r="S3" s="0" t="n">
        <v>1494.2</v>
      </c>
      <c r="T3" s="0" t="n">
        <v>334.6</v>
      </c>
      <c r="U3" s="0" t="n">
        <v>140.8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3931.4</v>
      </c>
      <c r="C4" s="0" t="n">
        <v>1412.2</v>
      </c>
      <c r="D4" s="0" t="n">
        <v>2519.2</v>
      </c>
      <c r="E4" s="0" t="n">
        <v>64.0789540621661</v>
      </c>
      <c r="F4" s="0" t="n">
        <v>488.4</v>
      </c>
      <c r="G4" s="0" t="n">
        <v>12.4230554001119</v>
      </c>
      <c r="H4" s="0" t="n">
        <v>654.4</v>
      </c>
      <c r="I4" s="0" t="n">
        <v>400.4</v>
      </c>
      <c r="J4" s="0" t="n">
        <v>10.1846670397314</v>
      </c>
      <c r="K4" s="0" t="n">
        <v>1.18</v>
      </c>
      <c r="L4" s="0" t="n">
        <v>975</v>
      </c>
      <c r="M4" s="0" t="n">
        <v>135.6</v>
      </c>
      <c r="N4" s="0" t="n">
        <v>839.4</v>
      </c>
      <c r="O4" s="0" t="n">
        <v>2530.5</v>
      </c>
      <c r="P4" s="0" t="n">
        <v>6494.4</v>
      </c>
      <c r="Q4" s="0" t="n">
        <v>3963.9</v>
      </c>
      <c r="S4" s="0" t="n">
        <v>1705</v>
      </c>
      <c r="T4" s="0" t="n">
        <v>353.2</v>
      </c>
      <c r="U4" s="0" t="n">
        <v>159.8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5122.6</v>
      </c>
      <c r="C5" s="0" t="n">
        <v>1793.9</v>
      </c>
      <c r="D5" s="0" t="n">
        <v>3328.7</v>
      </c>
      <c r="E5" s="0" t="n">
        <v>64.9806738765471</v>
      </c>
      <c r="F5" s="0" t="n">
        <v>824.3</v>
      </c>
      <c r="G5" s="0" t="n">
        <v>16.0914379416702</v>
      </c>
      <c r="H5" s="0" t="n">
        <v>989.9</v>
      </c>
      <c r="I5" s="0" t="n">
        <v>673.1</v>
      </c>
      <c r="J5" s="0" t="n">
        <v>13.139811814313</v>
      </c>
      <c r="K5" s="0" t="n">
        <v>1.87</v>
      </c>
      <c r="L5" s="0" t="n">
        <v>1346.3</v>
      </c>
      <c r="M5" s="0" t="n">
        <v>222.7</v>
      </c>
      <c r="N5" s="0" t="n">
        <v>1123.6</v>
      </c>
      <c r="O5" s="0" t="n">
        <v>3730.2</v>
      </c>
      <c r="P5" s="0" t="n">
        <v>8498.8</v>
      </c>
      <c r="Q5" s="0" t="n">
        <v>4654</v>
      </c>
      <c r="S5" s="0" t="n">
        <v>2757.3</v>
      </c>
      <c r="T5" s="0" t="n">
        <v>393.7</v>
      </c>
      <c r="U5" s="0" t="n">
        <v>175.2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6233.2</v>
      </c>
      <c r="C6" s="0" t="n">
        <v>2519.8</v>
      </c>
      <c r="D6" s="0" t="n">
        <v>3713.4</v>
      </c>
      <c r="E6" s="0" t="n">
        <v>59.5745363537188</v>
      </c>
      <c r="F6" s="0" t="n">
        <v>746.5</v>
      </c>
      <c r="G6" s="0" t="n">
        <v>11.976192004107</v>
      </c>
      <c r="H6" s="0" t="n">
        <v>1039.6</v>
      </c>
      <c r="I6" s="0" t="n">
        <v>605.4</v>
      </c>
      <c r="J6" s="0" t="n">
        <v>9.71250721940576</v>
      </c>
      <c r="K6" s="0" t="n">
        <v>1.66</v>
      </c>
      <c r="L6" s="0" t="n">
        <v>1462.6</v>
      </c>
      <c r="M6" s="0" t="n">
        <v>407.1</v>
      </c>
      <c r="N6" s="0" t="n">
        <v>1055.5</v>
      </c>
      <c r="O6" s="0" t="n">
        <v>4293.6</v>
      </c>
      <c r="P6" s="0" t="n">
        <v>9532.3</v>
      </c>
      <c r="Q6" s="0" t="n">
        <v>5176.1</v>
      </c>
      <c r="R6" s="0" t="n">
        <v>2404.6</v>
      </c>
      <c r="S6" s="0" t="n">
        <v>1549.8</v>
      </c>
      <c r="T6" s="0" t="n">
        <v>384.3</v>
      </c>
      <c r="U6" s="0" t="n">
        <v>257.6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6332.4</v>
      </c>
      <c r="C7" s="0" t="n">
        <v>2571.3</v>
      </c>
      <c r="D7" s="0" t="n">
        <v>3761.1</v>
      </c>
      <c r="E7" s="0" t="n">
        <v>59.39454235361</v>
      </c>
      <c r="F7" s="0" t="n">
        <v>607.8</v>
      </c>
      <c r="G7" s="0" t="n">
        <v>9.59825658518097</v>
      </c>
      <c r="H7" s="0" t="n">
        <v>952.4</v>
      </c>
      <c r="I7" s="0" t="n">
        <v>505.3</v>
      </c>
      <c r="J7" s="0" t="n">
        <v>7.97959699324111</v>
      </c>
      <c r="K7" s="0" t="n">
        <v>1.4</v>
      </c>
      <c r="M7" s="0" t="n">
        <v>303.3</v>
      </c>
      <c r="O7" s="0" t="n">
        <v>4718</v>
      </c>
      <c r="P7" s="0" t="n">
        <v>11242.4</v>
      </c>
      <c r="Q7" s="0" t="n">
        <v>6524.9</v>
      </c>
      <c r="R7" s="0" t="n">
        <v>3510.2</v>
      </c>
      <c r="S7" s="0" t="n">
        <v>3277</v>
      </c>
      <c r="T7" s="0" t="n">
        <v>368</v>
      </c>
      <c r="U7" s="0" t="n">
        <v>276.6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6325</v>
      </c>
      <c r="C8" s="0" t="n">
        <v>2406</v>
      </c>
      <c r="D8" s="0" t="n">
        <v>3919</v>
      </c>
      <c r="E8" s="0" t="n">
        <v>61.9604743083004</v>
      </c>
      <c r="F8" s="0" t="n">
        <v>734</v>
      </c>
      <c r="G8" s="0" t="n">
        <v>11.604743083004</v>
      </c>
      <c r="H8" s="0" t="n">
        <v>1068</v>
      </c>
      <c r="I8" s="0" t="n">
        <v>638</v>
      </c>
      <c r="J8" s="0" t="n">
        <v>10.0869565217391</v>
      </c>
      <c r="K8" s="0" t="n">
        <v>1.87</v>
      </c>
      <c r="M8" s="0" t="n">
        <v>221</v>
      </c>
      <c r="O8" s="0" t="n">
        <v>3787</v>
      </c>
      <c r="P8" s="0" t="n">
        <v>9213.8</v>
      </c>
      <c r="Q8" s="0" t="n">
        <v>5427.3</v>
      </c>
      <c r="R8" s="0" t="n">
        <v>990.1</v>
      </c>
      <c r="S8" s="0" t="n">
        <v>2291</v>
      </c>
      <c r="T8" s="0" t="n">
        <v>348</v>
      </c>
      <c r="U8" s="0" t="n">
        <v>273</v>
      </c>
      <c r="V8" s="0" t="n">
        <v>0.6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6123</v>
      </c>
      <c r="C9" s="0" t="n">
        <v>2290</v>
      </c>
      <c r="D9" s="0" t="n">
        <v>3833</v>
      </c>
      <c r="E9" s="0" t="n">
        <v>62.6000326637269</v>
      </c>
      <c r="F9" s="0" t="n">
        <v>716</v>
      </c>
      <c r="G9" s="0" t="n">
        <v>11.6936142413849</v>
      </c>
      <c r="H9" s="0" t="n">
        <v>1023</v>
      </c>
      <c r="I9" s="0" t="n">
        <v>560</v>
      </c>
      <c r="J9" s="0" t="n">
        <v>9.145843540748</v>
      </c>
      <c r="K9" s="0" t="n">
        <v>1.77</v>
      </c>
      <c r="M9" s="0" t="n">
        <v>175</v>
      </c>
      <c r="O9" s="0" t="n">
        <v>3414</v>
      </c>
      <c r="P9" s="0" t="n">
        <v>9401</v>
      </c>
      <c r="Q9" s="0" t="n">
        <v>5987</v>
      </c>
      <c r="R9" s="0" t="n">
        <v>1487</v>
      </c>
      <c r="S9" s="0" t="n">
        <v>1922</v>
      </c>
      <c r="T9" s="0" t="n">
        <v>321</v>
      </c>
      <c r="U9" s="0" t="n">
        <v>259</v>
      </c>
      <c r="V9" s="0" t="n">
        <v>0.66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5546</v>
      </c>
      <c r="C10" s="0" t="n">
        <v>2173</v>
      </c>
      <c r="D10" s="0" t="n">
        <v>3373</v>
      </c>
      <c r="E10" s="0" t="n">
        <v>60.8186080057699</v>
      </c>
      <c r="F10" s="0" t="n">
        <v>348</v>
      </c>
      <c r="G10" s="0" t="n">
        <v>6.27479264334656</v>
      </c>
      <c r="H10" s="0" t="n">
        <v>627</v>
      </c>
      <c r="I10" s="0" t="n">
        <v>229</v>
      </c>
      <c r="J10" s="0" t="n">
        <v>4.12910205553552</v>
      </c>
      <c r="K10" s="0" t="n">
        <v>0.78</v>
      </c>
      <c r="L10" s="0" t="n">
        <v>974</v>
      </c>
      <c r="M10" s="0" t="n">
        <v>160</v>
      </c>
      <c r="N10" s="0" t="n">
        <v>814</v>
      </c>
      <c r="O10" s="0" t="n">
        <v>2881</v>
      </c>
      <c r="P10" s="0" t="n">
        <v>10037</v>
      </c>
      <c r="Q10" s="0" t="n">
        <v>7156</v>
      </c>
      <c r="R10" s="0" t="n">
        <v>1490</v>
      </c>
      <c r="S10" s="0" t="n">
        <v>2868</v>
      </c>
      <c r="T10" s="0" t="n">
        <v>297</v>
      </c>
      <c r="U10" s="0" t="n">
        <v>260</v>
      </c>
      <c r="V10" s="0" t="n">
        <v>0.72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5491</v>
      </c>
      <c r="C11" s="0" t="n">
        <v>2127</v>
      </c>
      <c r="D11" s="0" t="n">
        <v>3364</v>
      </c>
      <c r="E11" s="0" t="n">
        <v>61.2638863594974</v>
      </c>
      <c r="F11" s="0" t="n">
        <v>621</v>
      </c>
      <c r="G11" s="0" t="n">
        <v>11.3094154070297</v>
      </c>
      <c r="H11" s="0" t="n">
        <v>847</v>
      </c>
      <c r="I11" s="0" t="n">
        <v>481</v>
      </c>
      <c r="J11" s="0" t="n">
        <v>8.75978874521945</v>
      </c>
      <c r="K11" s="0" t="n">
        <v>1.75</v>
      </c>
      <c r="L11" s="0" t="n">
        <v>986</v>
      </c>
      <c r="M11" s="0" t="n">
        <v>175</v>
      </c>
      <c r="N11" s="0" t="n">
        <v>811</v>
      </c>
      <c r="O11" s="0" t="n">
        <v>2949</v>
      </c>
      <c r="P11" s="0" t="n">
        <v>9493</v>
      </c>
      <c r="Q11" s="0" t="n">
        <v>6713</v>
      </c>
      <c r="R11" s="0" t="n">
        <v>2242</v>
      </c>
      <c r="S11" s="0" t="n">
        <v>2444</v>
      </c>
      <c r="T11" s="0" t="n">
        <v>281</v>
      </c>
      <c r="U11" s="0" t="n">
        <v>195</v>
      </c>
      <c r="V11" s="0" t="n">
        <v>0.76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5919</v>
      </c>
      <c r="C12" s="0" t="n">
        <v>2210</v>
      </c>
      <c r="D12" s="0" t="n">
        <v>3709</v>
      </c>
      <c r="E12" s="0" t="n">
        <v>62.6626119276905</v>
      </c>
      <c r="F12" s="0" t="n">
        <v>1158</v>
      </c>
      <c r="G12" s="0" t="n">
        <v>19.5641155600608</v>
      </c>
      <c r="H12" s="0" t="n">
        <v>1356</v>
      </c>
      <c r="I12" s="0" t="n">
        <v>116</v>
      </c>
      <c r="J12" s="0" t="n">
        <v>1.9597905051529</v>
      </c>
      <c r="K12" s="0" t="n">
        <v>0.43</v>
      </c>
      <c r="L12" s="0" t="n">
        <v>1478</v>
      </c>
      <c r="M12" s="0" t="n">
        <v>145</v>
      </c>
      <c r="N12" s="0" t="n">
        <v>1333</v>
      </c>
      <c r="O12" s="0" t="n">
        <v>2276</v>
      </c>
      <c r="P12" s="0" t="n">
        <v>9991</v>
      </c>
      <c r="Q12" s="0" t="n">
        <v>7715</v>
      </c>
      <c r="R12" s="0" t="n">
        <v>1541</v>
      </c>
      <c r="S12" s="0" t="n">
        <v>2941</v>
      </c>
      <c r="T12" s="0" t="n">
        <v>276</v>
      </c>
      <c r="U12" s="0" t="n">
        <v>161</v>
      </c>
      <c r="V12" s="0" t="n">
        <v>0.8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6146</v>
      </c>
      <c r="C13" s="0" t="n">
        <v>2201</v>
      </c>
      <c r="D13" s="0" t="n">
        <v>3945</v>
      </c>
      <c r="E13" s="0" t="n">
        <v>64.1880898145135</v>
      </c>
      <c r="F13" s="0" t="n">
        <v>1221</v>
      </c>
      <c r="G13" s="0" t="n">
        <v>19.8665798893589</v>
      </c>
      <c r="H13" s="0" t="n">
        <v>1418</v>
      </c>
      <c r="I13" s="0" t="n">
        <v>1169</v>
      </c>
      <c r="J13" s="0" t="n">
        <v>19.0205011389522</v>
      </c>
      <c r="K13" s="0" t="n">
        <v>4.6</v>
      </c>
      <c r="L13" s="0" t="n">
        <v>1341</v>
      </c>
      <c r="M13" s="0" t="n">
        <v>173</v>
      </c>
      <c r="N13" s="0" t="n">
        <v>1168</v>
      </c>
      <c r="O13" s="0" t="n">
        <v>1090</v>
      </c>
      <c r="P13" s="0" t="n">
        <v>8741</v>
      </c>
      <c r="Q13" s="0" t="n">
        <v>7651</v>
      </c>
      <c r="R13" s="0" t="n">
        <v>1944</v>
      </c>
      <c r="S13" s="0" t="n">
        <v>2325</v>
      </c>
      <c r="T13" s="0" t="n">
        <v>259</v>
      </c>
      <c r="U13" s="0" t="n">
        <v>158</v>
      </c>
      <c r="V13" s="0" t="n">
        <v>1.6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5412</v>
      </c>
      <c r="C14" s="0" t="n">
        <v>1789</v>
      </c>
      <c r="D14" s="0" t="n">
        <v>3623</v>
      </c>
      <c r="E14" s="0" t="n">
        <v>66.9438285291944</v>
      </c>
      <c r="F14" s="0" t="n">
        <v>945</v>
      </c>
      <c r="G14" s="0" t="n">
        <v>17.4611973392461</v>
      </c>
      <c r="H14" s="0" t="n">
        <v>1138</v>
      </c>
      <c r="I14" s="0" t="n">
        <v>819</v>
      </c>
      <c r="J14" s="0" t="n">
        <v>15.1330376940133</v>
      </c>
      <c r="K14" s="0" t="n">
        <v>3.56</v>
      </c>
      <c r="L14" s="0" t="n">
        <v>1060</v>
      </c>
      <c r="M14" s="0" t="n">
        <v>124</v>
      </c>
      <c r="N14" s="0" t="n">
        <v>936</v>
      </c>
      <c r="O14" s="0" t="n">
        <v>242</v>
      </c>
      <c r="P14" s="0" t="n">
        <v>7522</v>
      </c>
      <c r="Q14" s="0" t="n">
        <v>7280</v>
      </c>
      <c r="R14" s="0" t="n">
        <v>1146</v>
      </c>
      <c r="S14" s="0" t="n">
        <v>2658</v>
      </c>
      <c r="T14" s="0" t="n">
        <v>233</v>
      </c>
      <c r="U14" s="0" t="n">
        <v>153</v>
      </c>
      <c r="V14" s="0" t="n">
        <v>1.92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5744</v>
      </c>
      <c r="C15" s="0" t="n">
        <v>1929</v>
      </c>
      <c r="D15" s="0" t="n">
        <v>3815</v>
      </c>
      <c r="E15" s="0" t="n">
        <v>66.4171309192201</v>
      </c>
      <c r="F15" s="0" t="n">
        <v>1031</v>
      </c>
      <c r="G15" s="0" t="n">
        <v>17.9491643454039</v>
      </c>
      <c r="H15" s="0" t="n">
        <v>1238</v>
      </c>
      <c r="I15" s="0" t="n">
        <v>730</v>
      </c>
      <c r="J15" s="0" t="n">
        <v>12.7089136490251</v>
      </c>
      <c r="K15" s="0" t="n">
        <v>3.29</v>
      </c>
      <c r="L15" s="0" t="n">
        <v>1333</v>
      </c>
      <c r="M15" s="0" t="n">
        <v>162</v>
      </c>
      <c r="N15" s="0" t="n">
        <v>1171</v>
      </c>
      <c r="O15" s="0" t="n">
        <v>685</v>
      </c>
      <c r="P15" s="0" t="n">
        <v>9360</v>
      </c>
      <c r="Q15" s="0" t="n">
        <v>8675</v>
      </c>
      <c r="R15" s="0" t="n">
        <v>2632</v>
      </c>
      <c r="S15" s="0" t="n">
        <v>4529</v>
      </c>
      <c r="T15" s="0" t="n">
        <v>226</v>
      </c>
      <c r="U15" s="0" t="n">
        <v>197</v>
      </c>
      <c r="V15" s="0" t="n">
        <v>1.92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6318</v>
      </c>
      <c r="C16" s="0" t="n">
        <v>2098</v>
      </c>
      <c r="D16" s="0" t="n">
        <v>4220</v>
      </c>
      <c r="E16" s="0" t="n">
        <v>66.7932890155112</v>
      </c>
      <c r="F16" s="0" t="n">
        <v>1157</v>
      </c>
      <c r="G16" s="0" t="n">
        <v>18.3127572016461</v>
      </c>
      <c r="H16" s="0" t="n">
        <v>1351</v>
      </c>
      <c r="I16" s="0" t="n">
        <v>937</v>
      </c>
      <c r="J16" s="0" t="n">
        <v>14.8306426084204</v>
      </c>
      <c r="K16" s="0" t="n">
        <v>4.2</v>
      </c>
      <c r="L16" s="0" t="n">
        <v>1211</v>
      </c>
      <c r="M16" s="0" t="n">
        <v>226</v>
      </c>
      <c r="N16" s="0" t="n">
        <v>985</v>
      </c>
      <c r="O16" s="0" t="n">
        <v>838</v>
      </c>
      <c r="P16" s="0" t="n">
        <v>10026</v>
      </c>
      <c r="Q16" s="0" t="n">
        <v>9188</v>
      </c>
      <c r="R16" s="0" t="n">
        <v>2886</v>
      </c>
      <c r="S16" s="0" t="n">
        <v>4112</v>
      </c>
      <c r="T16" s="0" t="n">
        <v>229</v>
      </c>
      <c r="U16" s="0" t="n">
        <v>245</v>
      </c>
      <c r="V16" s="0" t="n">
        <v>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6362</v>
      </c>
      <c r="C17" s="0" t="n">
        <v>2153</v>
      </c>
      <c r="D17" s="0" t="n">
        <v>4209</v>
      </c>
      <c r="E17" s="0" t="n">
        <v>66.1584407419051</v>
      </c>
      <c r="F17" s="0" t="n">
        <v>1018</v>
      </c>
      <c r="G17" s="0" t="n">
        <v>16.0012574662056</v>
      </c>
      <c r="H17" s="0" t="n">
        <v>1266</v>
      </c>
      <c r="I17" s="0" t="n">
        <v>1274</v>
      </c>
      <c r="J17" s="0" t="n">
        <v>20.0251493241119</v>
      </c>
      <c r="K17" s="0" t="n">
        <v>5.87</v>
      </c>
      <c r="L17" s="0" t="n">
        <v>1107</v>
      </c>
      <c r="M17" s="0" t="n">
        <v>239</v>
      </c>
      <c r="N17" s="0" t="n">
        <v>868</v>
      </c>
      <c r="O17" s="0" t="n">
        <v>1159</v>
      </c>
      <c r="P17" s="0" t="n">
        <v>9818</v>
      </c>
      <c r="Q17" s="0" t="n">
        <v>8659</v>
      </c>
      <c r="R17" s="0" t="n">
        <v>2389</v>
      </c>
      <c r="S17" s="0" t="n">
        <v>2316</v>
      </c>
      <c r="T17" s="0" t="n">
        <v>220</v>
      </c>
      <c r="U17" s="0" t="n">
        <v>312</v>
      </c>
      <c r="V17" s="0" t="n">
        <v>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6268</v>
      </c>
      <c r="C18" s="0" t="n">
        <v>1835</v>
      </c>
      <c r="D18" s="0" t="n">
        <v>4433</v>
      </c>
      <c r="E18" s="0" t="n">
        <v>70.7243139757498</v>
      </c>
      <c r="F18" s="0" t="n">
        <v>1214</v>
      </c>
      <c r="G18" s="0" t="n">
        <v>19.3682195277601</v>
      </c>
      <c r="H18" s="0" t="n">
        <v>1469</v>
      </c>
      <c r="I18" s="0" t="n">
        <v>986</v>
      </c>
      <c r="J18" s="0" t="n">
        <v>15.7306955966816</v>
      </c>
      <c r="K18" s="0" t="n">
        <v>4.74</v>
      </c>
      <c r="L18" s="0" t="n">
        <v>1685</v>
      </c>
      <c r="M18" s="0" t="n">
        <v>155</v>
      </c>
      <c r="N18" s="0" t="n">
        <v>1530</v>
      </c>
      <c r="O18" s="0" t="n">
        <v>1146</v>
      </c>
      <c r="P18" s="0" t="n">
        <v>9887</v>
      </c>
      <c r="Q18" s="0" t="n">
        <v>8741</v>
      </c>
      <c r="R18" s="0" t="n">
        <v>2792</v>
      </c>
      <c r="S18" s="0" t="n">
        <v>1903</v>
      </c>
      <c r="T18" s="0" t="n">
        <v>213</v>
      </c>
      <c r="U18" s="0" t="n">
        <v>357</v>
      </c>
      <c r="V18" s="0" t="n">
        <v>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6572</v>
      </c>
      <c r="C19" s="0" t="n">
        <v>1959</v>
      </c>
      <c r="D19" s="0" t="n">
        <v>4613</v>
      </c>
      <c r="E19" s="0" t="n">
        <v>70.1917224589166</v>
      </c>
      <c r="F19" s="0" t="n">
        <v>1337</v>
      </c>
      <c r="G19" s="0" t="n">
        <v>20.3438831405965</v>
      </c>
      <c r="H19" s="0" t="n">
        <v>1580</v>
      </c>
      <c r="I19" s="0" t="n">
        <v>1186</v>
      </c>
      <c r="J19" s="0" t="n">
        <v>18.0462568472307</v>
      </c>
      <c r="K19" s="0" t="n">
        <v>5.81</v>
      </c>
      <c r="L19" s="0" t="n">
        <v>1506</v>
      </c>
      <c r="M19" s="0" t="n">
        <v>168</v>
      </c>
      <c r="N19" s="0" t="n">
        <v>1338</v>
      </c>
      <c r="O19" s="0" t="n">
        <v>1040</v>
      </c>
      <c r="P19" s="0" t="n">
        <v>10823</v>
      </c>
      <c r="Q19" s="0" t="n">
        <v>9783</v>
      </c>
      <c r="R19" s="0" t="n">
        <v>3985</v>
      </c>
      <c r="S19" s="0" t="n">
        <v>2742</v>
      </c>
      <c r="T19" s="0" t="n">
        <v>209</v>
      </c>
      <c r="U19" s="0" t="n">
        <v>386</v>
      </c>
      <c r="V19" s="0" t="n">
        <v>2.08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6925</v>
      </c>
      <c r="C20" s="0" t="n">
        <v>2026</v>
      </c>
      <c r="D20" s="0" t="n">
        <v>4899</v>
      </c>
      <c r="E20" s="0" t="n">
        <v>70.7436823104693</v>
      </c>
      <c r="F20" s="0" t="n">
        <v>1674</v>
      </c>
      <c r="G20" s="0" t="n">
        <v>24.173285198556</v>
      </c>
      <c r="H20" s="0" t="n">
        <v>1874</v>
      </c>
      <c r="I20" s="0" t="n">
        <v>1276</v>
      </c>
      <c r="J20" s="0" t="n">
        <v>18.4259927797834</v>
      </c>
      <c r="K20" s="0" t="n">
        <v>6.41</v>
      </c>
      <c r="L20" s="0" t="n">
        <v>2067</v>
      </c>
      <c r="M20" s="0" t="n">
        <v>198</v>
      </c>
      <c r="N20" s="0" t="n">
        <v>1869</v>
      </c>
      <c r="O20" s="0" t="n">
        <v>1351</v>
      </c>
      <c r="P20" s="0" t="n">
        <v>10744</v>
      </c>
      <c r="Q20" s="0" t="n">
        <v>9393</v>
      </c>
      <c r="R20" s="0" t="n">
        <v>2487</v>
      </c>
      <c r="S20" s="0" t="n">
        <v>2070</v>
      </c>
      <c r="T20" s="0" t="n">
        <v>201</v>
      </c>
      <c r="U20" s="0" t="n">
        <v>382</v>
      </c>
      <c r="V20" s="0" t="n">
        <v>2.08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215.05</v>
      </c>
    </row>
    <row r="3" customFormat="false" ht="15" hidden="false" customHeight="false" outlineLevel="0" collapsed="false">
      <c r="A3" s="0" t="s">
        <v>85</v>
      </c>
      <c r="B3" s="3" t="n">
        <v>200</v>
      </c>
    </row>
    <row r="4" customFormat="false" ht="15" hidden="false" customHeight="false" outlineLevel="0" collapsed="false">
      <c r="A4" s="0" t="s">
        <v>86</v>
      </c>
      <c r="B4" s="3" t="n">
        <v>-1088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6925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13</v>
      </c>
      <c r="D13" s="3" t="n">
        <v>0</v>
      </c>
      <c r="E13" s="3" t="n">
        <v>-3</v>
      </c>
      <c r="F13" s="3" t="n">
        <v>2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106</v>
      </c>
      <c r="C14" s="3" t="n">
        <v>32</v>
      </c>
      <c r="D14" s="3" t="n">
        <v>30</v>
      </c>
      <c r="E14" s="3" t="n">
        <v>28.5</v>
      </c>
      <c r="F14" s="3" t="n">
        <v>28.5</v>
      </c>
      <c r="G14" s="3" t="n">
        <v>29</v>
      </c>
      <c r="H14" s="3" t="n">
        <v>29</v>
      </c>
      <c r="I14" s="3" t="n">
        <v>29</v>
      </c>
      <c r="J14" s="3" t="n">
        <v>29</v>
      </c>
      <c r="K14" s="3" t="n">
        <v>29</v>
      </c>
      <c r="L14" s="3" t="n">
        <v>29</v>
      </c>
    </row>
    <row r="15" customFormat="false" ht="15" hidden="false" customHeight="false" outlineLevel="0" collapsed="false">
      <c r="A15" s="0" t="s">
        <v>107</v>
      </c>
      <c r="C15" s="3" t="n">
        <v>7.5</v>
      </c>
      <c r="D15" s="3" t="n">
        <v>7.5</v>
      </c>
      <c r="E15" s="3" t="n">
        <v>7.5</v>
      </c>
      <c r="F15" s="3" t="n">
        <v>7.4</v>
      </c>
      <c r="G15" s="3" t="n">
        <v>7.3</v>
      </c>
      <c r="H15" s="3" t="n">
        <v>7.2</v>
      </c>
      <c r="I15" s="3" t="n">
        <v>7.1</v>
      </c>
      <c r="J15" s="3" t="n">
        <v>7</v>
      </c>
      <c r="K15" s="3" t="n">
        <v>7</v>
      </c>
      <c r="L15" s="3" t="n">
        <v>7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2.5</v>
      </c>
      <c r="D17" s="3" t="n">
        <v>2.5</v>
      </c>
      <c r="E17" s="3" t="n">
        <v>2.5</v>
      </c>
      <c r="F17" s="3" t="n">
        <v>2.5</v>
      </c>
      <c r="G17" s="3" t="n">
        <v>2.5</v>
      </c>
      <c r="H17" s="3" t="n">
        <v>2.5</v>
      </c>
      <c r="I17" s="3" t="n">
        <v>2.5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110</v>
      </c>
      <c r="C18" s="3" t="n">
        <v>3.3</v>
      </c>
      <c r="D18" s="3" t="n">
        <v>3</v>
      </c>
      <c r="E18" s="3" t="n">
        <v>2.8</v>
      </c>
      <c r="F18" s="3" t="n">
        <v>2.8</v>
      </c>
      <c r="G18" s="3" t="n">
        <v>2.8</v>
      </c>
      <c r="H18" s="3" t="n">
        <v>2.8</v>
      </c>
      <c r="I18" s="3" t="n">
        <v>2.8</v>
      </c>
      <c r="J18" s="3" t="n">
        <v>2.8</v>
      </c>
      <c r="K18" s="3" t="n">
        <v>2.8</v>
      </c>
      <c r="L18" s="3" t="n">
        <v>2.8</v>
      </c>
    </row>
    <row r="19" customFormat="false" ht="15" hidden="false" customHeight="false" outlineLevel="0" collapsed="false">
      <c r="A19" s="0" t="s">
        <v>111</v>
      </c>
      <c r="C19" s="3" t="n">
        <v>24</v>
      </c>
      <c r="D19" s="3" t="n">
        <v>23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112</v>
      </c>
      <c r="B20" s="3" t="n">
        <v>9.5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10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17</v>
      </c>
      <c r="D27" s="3" t="n">
        <v>9</v>
      </c>
      <c r="E27" s="3" t="n">
        <v>7</v>
      </c>
      <c r="F27" s="3" t="n">
        <v>5.5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34</v>
      </c>
      <c r="D28" s="3" t="n">
        <v>34</v>
      </c>
      <c r="E28" s="3" t="n">
        <v>34</v>
      </c>
      <c r="F28" s="3" t="n">
        <v>33.5</v>
      </c>
      <c r="G28" s="3" t="n">
        <v>33</v>
      </c>
      <c r="H28" s="3" t="n">
        <v>33</v>
      </c>
      <c r="I28" s="3" t="n">
        <v>33</v>
      </c>
      <c r="J28" s="3" t="n">
        <v>33</v>
      </c>
      <c r="K28" s="3" t="n">
        <v>33</v>
      </c>
      <c r="L28" s="3" t="n">
        <v>33</v>
      </c>
    </row>
    <row r="29" customFormat="false" ht="15" hidden="false" customHeight="false" outlineLevel="0" collapsed="false">
      <c r="A29" s="0" t="s">
        <v>107</v>
      </c>
      <c r="C29" s="3" t="n">
        <v>7.3</v>
      </c>
      <c r="D29" s="3" t="n">
        <v>7.2</v>
      </c>
      <c r="E29" s="3" t="n">
        <v>7</v>
      </c>
      <c r="F29" s="3" t="n">
        <v>6.8</v>
      </c>
      <c r="G29" s="3" t="n">
        <v>6.6</v>
      </c>
      <c r="H29" s="3" t="n">
        <v>6.5</v>
      </c>
      <c r="I29" s="3" t="n">
        <v>6.4</v>
      </c>
      <c r="J29" s="3" t="n">
        <v>6.2</v>
      </c>
      <c r="K29" s="3" t="n">
        <v>6.1</v>
      </c>
      <c r="L29" s="3" t="n">
        <v>6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2.5</v>
      </c>
      <c r="D31" s="3" t="n">
        <v>2.5</v>
      </c>
      <c r="E31" s="3" t="n">
        <v>2.5</v>
      </c>
      <c r="F31" s="3" t="n">
        <v>2.5</v>
      </c>
      <c r="G31" s="3" t="n">
        <v>2.5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110</v>
      </c>
      <c r="C32" s="3" t="n">
        <v>3.3</v>
      </c>
      <c r="D32" s="3" t="n">
        <v>3.2</v>
      </c>
      <c r="E32" s="3" t="n">
        <v>3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111</v>
      </c>
      <c r="C33" s="3" t="n">
        <v>24</v>
      </c>
      <c r="D33" s="3" t="n">
        <v>23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112</v>
      </c>
      <c r="B34" s="3" t="n">
        <v>9.5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15</v>
      </c>
    </row>
    <row r="37" customFormat="false" ht="15" hidden="false" customHeight="false" outlineLevel="0" collapsed="false">
      <c r="A37" s="0" t="s">
        <v>115</v>
      </c>
      <c r="B37" s="3" t="n">
        <v>10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21</v>
      </c>
      <c r="D41" s="3" t="n">
        <v>14</v>
      </c>
      <c r="E41" s="3" t="n">
        <v>10</v>
      </c>
      <c r="F41" s="3" t="n">
        <v>8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34.5</v>
      </c>
      <c r="D42" s="3" t="n">
        <v>35.5</v>
      </c>
      <c r="E42" s="3" t="n">
        <v>36</v>
      </c>
      <c r="F42" s="3" t="n">
        <v>36</v>
      </c>
      <c r="G42" s="3" t="n">
        <v>36</v>
      </c>
      <c r="H42" s="3" t="n">
        <v>35.5</v>
      </c>
      <c r="I42" s="3" t="n">
        <v>35</v>
      </c>
      <c r="J42" s="3" t="n">
        <v>35</v>
      </c>
      <c r="K42" s="3" t="n">
        <v>35</v>
      </c>
      <c r="L42" s="3" t="n">
        <v>35</v>
      </c>
    </row>
    <row r="43" customFormat="false" ht="15" hidden="false" customHeight="false" outlineLevel="0" collapsed="false">
      <c r="A43" s="0" t="s">
        <v>107</v>
      </c>
      <c r="C43" s="3" t="n">
        <v>7</v>
      </c>
      <c r="D43" s="3" t="n">
        <v>6.8</v>
      </c>
      <c r="E43" s="3" t="n">
        <v>6.6</v>
      </c>
      <c r="F43" s="3" t="n">
        <v>6.4</v>
      </c>
      <c r="G43" s="3" t="n">
        <v>6.2</v>
      </c>
      <c r="H43" s="3" t="n">
        <v>6</v>
      </c>
      <c r="I43" s="3" t="n">
        <v>5.8</v>
      </c>
      <c r="J43" s="3" t="n">
        <v>5.7</v>
      </c>
      <c r="K43" s="3" t="n">
        <v>5.6</v>
      </c>
      <c r="L43" s="3" t="n">
        <v>5.5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2.5</v>
      </c>
      <c r="D45" s="3" t="n">
        <v>2.5</v>
      </c>
      <c r="E45" s="3" t="n">
        <v>2.5</v>
      </c>
      <c r="F45" s="3" t="n">
        <v>2.5</v>
      </c>
      <c r="G45" s="3" t="n">
        <v>2.5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110</v>
      </c>
      <c r="C46" s="3" t="n">
        <v>3.3</v>
      </c>
      <c r="D46" s="3" t="n">
        <v>3.2</v>
      </c>
      <c r="E46" s="3" t="n">
        <v>3</v>
      </c>
      <c r="F46" s="3" t="n">
        <v>3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111</v>
      </c>
      <c r="C47" s="3" t="n">
        <v>23</v>
      </c>
      <c r="D47" s="3" t="n">
        <v>22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112</v>
      </c>
      <c r="B48" s="3" t="n">
        <v>9.5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15</v>
      </c>
    </row>
    <row r="51" customFormat="false" ht="15" hidden="false" customHeight="false" outlineLevel="0" collapsed="false">
      <c r="A51" s="0" t="s">
        <v>115</v>
      </c>
      <c r="B51" s="3" t="n">
        <v>10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13</v>
      </c>
      <c r="D5" s="4" t="n">
        <f aca="false">Assumptions!D13</f>
        <v>0</v>
      </c>
      <c r="E5" s="4" t="n">
        <f aca="false">Assumptions!E13</f>
        <v>-3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6925</v>
      </c>
      <c r="C6" s="0" t="n">
        <f aca="false">B6*(1+C5/100)</f>
        <v>7825.25</v>
      </c>
      <c r="D6" s="0" t="n">
        <f aca="false">C6*(1+D5/100)</f>
        <v>7825.25</v>
      </c>
      <c r="E6" s="0" t="n">
        <f aca="false">D6*(1+E5/100)</f>
        <v>7590.4925</v>
      </c>
      <c r="F6" s="0" t="n">
        <f aca="false">E6*(1+F5/100)</f>
        <v>7742.30235</v>
      </c>
      <c r="G6" s="0" t="n">
        <f aca="false">F6*(1+G5/100)</f>
        <v>7935.85990875</v>
      </c>
      <c r="H6" s="0" t="n">
        <f aca="false">G6*(1+H5/100)</f>
        <v>8134.25640646875</v>
      </c>
      <c r="I6" s="0" t="n">
        <f aca="false">H6*(1+I5/100)</f>
        <v>8296.94153459812</v>
      </c>
      <c r="J6" s="0" t="n">
        <f aca="false">I6*(1+J5/100)</f>
        <v>8462.88036529008</v>
      </c>
      <c r="K6" s="0" t="n">
        <f aca="false">J6*(1+K5/100)</f>
        <v>8632.13797259589</v>
      </c>
      <c r="L6" s="0" t="n">
        <f aca="false">K6*(1+L5/100)</f>
        <v>8804.7807320478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32</v>
      </c>
      <c r="D7" s="4" t="n">
        <f aca="false">Assumptions!D14</f>
        <v>30</v>
      </c>
      <c r="E7" s="4" t="n">
        <f aca="false">Assumptions!E14</f>
        <v>28.5</v>
      </c>
      <c r="F7" s="4" t="n">
        <f aca="false">Assumptions!F14</f>
        <v>28.5</v>
      </c>
      <c r="G7" s="4" t="n">
        <f aca="false">Assumptions!G14</f>
        <v>29</v>
      </c>
      <c r="H7" s="4" t="n">
        <f aca="false">Assumptions!H14</f>
        <v>29</v>
      </c>
      <c r="I7" s="4" t="n">
        <f aca="false">Assumptions!I14</f>
        <v>29</v>
      </c>
      <c r="J7" s="4" t="n">
        <f aca="false">Assumptions!J14</f>
        <v>29</v>
      </c>
      <c r="K7" s="4" t="n">
        <f aca="false">Assumptions!K14</f>
        <v>29</v>
      </c>
      <c r="L7" s="4" t="n">
        <f aca="false">Assumptions!L14</f>
        <v>29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2504.08</v>
      </c>
      <c r="D8" s="0" t="n">
        <f aca="false">D6*D7/100</f>
        <v>2347.575</v>
      </c>
      <c r="E8" s="0" t="n">
        <f aca="false">E6*E7/100</f>
        <v>2163.2903625</v>
      </c>
      <c r="F8" s="0" t="n">
        <f aca="false">F6*F7/100</f>
        <v>2206.55616975</v>
      </c>
      <c r="G8" s="0" t="n">
        <f aca="false">G6*G7/100</f>
        <v>2301.3993735375</v>
      </c>
      <c r="H8" s="0" t="n">
        <f aca="false">H6*H7/100</f>
        <v>2358.93435787594</v>
      </c>
      <c r="I8" s="0" t="n">
        <f aca="false">I6*I7/100</f>
        <v>2406.11304503346</v>
      </c>
      <c r="J8" s="0" t="n">
        <f aca="false">J6*J7/100</f>
        <v>2454.23530593412</v>
      </c>
      <c r="K8" s="0" t="n">
        <f aca="false">K6*K7/100</f>
        <v>2503.32001205281</v>
      </c>
      <c r="L8" s="0" t="n">
        <f aca="false">L6*L7/100</f>
        <v>2553.38641229386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7.5</v>
      </c>
      <c r="D9" s="4" t="n">
        <f aca="false">Assumptions!D15</f>
        <v>7.5</v>
      </c>
      <c r="E9" s="4" t="n">
        <f aca="false">Assumptions!E15</f>
        <v>7.5</v>
      </c>
      <c r="F9" s="4" t="n">
        <f aca="false">Assumptions!F15</f>
        <v>7.4</v>
      </c>
      <c r="G9" s="4" t="n">
        <f aca="false">Assumptions!G15</f>
        <v>7.3</v>
      </c>
      <c r="H9" s="4" t="n">
        <f aca="false">Assumptions!H15</f>
        <v>7.2</v>
      </c>
      <c r="I9" s="4" t="n">
        <f aca="false">Assumptions!I15</f>
        <v>7.1</v>
      </c>
      <c r="J9" s="4" t="n">
        <f aca="false">Assumptions!J15</f>
        <v>7</v>
      </c>
      <c r="K9" s="4" t="n">
        <f aca="false">Assumptions!K15</f>
        <v>7</v>
      </c>
      <c r="L9" s="4" t="n">
        <f aca="false">Assumptions!L15</f>
        <v>7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-586.89375</v>
      </c>
      <c r="D10" s="0" t="n">
        <f aca="false">-D6*D9/100</f>
        <v>-586.89375</v>
      </c>
      <c r="E10" s="0" t="n">
        <f aca="false">-E6*E9/100</f>
        <v>-569.2869375</v>
      </c>
      <c r="F10" s="0" t="n">
        <f aca="false">-F6*F9/100</f>
        <v>-572.9303739</v>
      </c>
      <c r="G10" s="0" t="n">
        <f aca="false">-G6*G9/100</f>
        <v>-579.31777333875</v>
      </c>
      <c r="H10" s="0" t="n">
        <f aca="false">-H6*H9/100</f>
        <v>-585.66646126575</v>
      </c>
      <c r="I10" s="0" t="n">
        <f aca="false">-I6*I9/100</f>
        <v>-589.082848956467</v>
      </c>
      <c r="J10" s="0" t="n">
        <f aca="false">-J6*J9/100</f>
        <v>-592.401625570306</v>
      </c>
      <c r="K10" s="0" t="n">
        <f aca="false">-K6*K9/100</f>
        <v>-604.249658081712</v>
      </c>
      <c r="L10" s="0" t="n">
        <f aca="false">-L6*L9/100</f>
        <v>-616.334651243346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1917.18625</v>
      </c>
      <c r="D11" s="0" t="n">
        <f aca="false">D8+D10+D24</f>
        <v>1760.68125</v>
      </c>
      <c r="E11" s="0" t="n">
        <f aca="false">E8+E10+E24</f>
        <v>1594.003425</v>
      </c>
      <c r="F11" s="0" t="n">
        <f aca="false">F8+F10+F24</f>
        <v>1633.62579585</v>
      </c>
      <c r="G11" s="0" t="n">
        <f aca="false">G8+G10+G24</f>
        <v>1722.08160019875</v>
      </c>
      <c r="H11" s="0" t="n">
        <f aca="false">H8+H10+H24</f>
        <v>1773.26789661019</v>
      </c>
      <c r="I11" s="0" t="n">
        <f aca="false">I8+I10+I24</f>
        <v>1817.03019607699</v>
      </c>
      <c r="J11" s="0" t="n">
        <f aca="false">J8+J10+J24</f>
        <v>1861.83368036382</v>
      </c>
      <c r="K11" s="0" t="n">
        <f aca="false">K8+K10+K24</f>
        <v>1899.0703539711</v>
      </c>
      <c r="L11" s="0" t="n">
        <f aca="false">L8+L10+L24</f>
        <v>1937.05176105052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-195.63125</v>
      </c>
      <c r="D12" s="4" t="n">
        <f aca="false">-D6*Assumptions!D17/100</f>
        <v>-195.63125</v>
      </c>
      <c r="E12" s="4" t="n">
        <f aca="false">-E6*Assumptions!E17/100</f>
        <v>-189.7623125</v>
      </c>
      <c r="F12" s="4" t="n">
        <f aca="false">-F6*Assumptions!F17/100</f>
        <v>-193.55755875</v>
      </c>
      <c r="G12" s="4" t="n">
        <f aca="false">-G6*Assumptions!G17/100</f>
        <v>-198.39649771875</v>
      </c>
      <c r="H12" s="4" t="n">
        <f aca="false">-H6*Assumptions!H17/100</f>
        <v>-203.356410161719</v>
      </c>
      <c r="I12" s="4" t="n">
        <f aca="false">-I6*Assumptions!I17/100</f>
        <v>-207.423538364953</v>
      </c>
      <c r="J12" s="4" t="n">
        <f aca="false">-J6*Assumptions!J17/100</f>
        <v>-211.572009132252</v>
      </c>
      <c r="K12" s="4" t="n">
        <f aca="false">-K6*Assumptions!K17/100</f>
        <v>-215.803449314897</v>
      </c>
      <c r="L12" s="4" t="n">
        <f aca="false">-L6*Assumptions!L17/100</f>
        <v>-220.119518301195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1721.555</v>
      </c>
      <c r="D13" s="0" t="n">
        <f aca="false">D11+D12</f>
        <v>1565.05</v>
      </c>
      <c r="E13" s="0" t="n">
        <f aca="false">E11+E12</f>
        <v>1404.2411125</v>
      </c>
      <c r="F13" s="0" t="n">
        <f aca="false">F11+F12</f>
        <v>1440.0682371</v>
      </c>
      <c r="G13" s="0" t="n">
        <f aca="false">G11+G12</f>
        <v>1523.68510248</v>
      </c>
      <c r="H13" s="0" t="n">
        <f aca="false">H11+H12</f>
        <v>1569.91148644847</v>
      </c>
      <c r="I13" s="0" t="n">
        <f aca="false">I11+I12</f>
        <v>1609.60665771204</v>
      </c>
      <c r="J13" s="0" t="n">
        <f aca="false">J11+J12</f>
        <v>1650.26167123157</v>
      </c>
      <c r="K13" s="0" t="n">
        <f aca="false">K11+K12</f>
        <v>1683.2669046562</v>
      </c>
      <c r="L13" s="0" t="n">
        <f aca="false">L11+L12</f>
        <v>1716.93224274932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24</v>
      </c>
      <c r="D14" s="4" t="n">
        <f aca="false">Assumptions!D19</f>
        <v>23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1308.3818</v>
      </c>
      <c r="D15" s="0" t="n">
        <f aca="false">D13-MAX(0,D13)*D14/100</f>
        <v>1205.0885</v>
      </c>
      <c r="E15" s="0" t="n">
        <f aca="false">E13-MAX(0,E13)*E14/100</f>
        <v>1095.30806775</v>
      </c>
      <c r="F15" s="0" t="n">
        <f aca="false">F13-MAX(0,F13)*F14/100</f>
        <v>1123.253224938</v>
      </c>
      <c r="G15" s="0" t="n">
        <f aca="false">G13-MAX(0,G13)*G14/100</f>
        <v>1188.4743799344</v>
      </c>
      <c r="H15" s="0" t="n">
        <f aca="false">H13-MAX(0,H13)*H14/100</f>
        <v>1224.53095942981</v>
      </c>
      <c r="I15" s="0" t="n">
        <f aca="false">I13-MAX(0,I13)*I14/100</f>
        <v>1255.49319301539</v>
      </c>
      <c r="J15" s="0" t="n">
        <f aca="false">J13-MAX(0,J13)*J14/100</f>
        <v>1287.20410356062</v>
      </c>
      <c r="K15" s="0" t="n">
        <f aca="false">K13-MAX(0,K13)*K14/100</f>
        <v>1312.94818563183</v>
      </c>
      <c r="L15" s="0" t="n">
        <f aca="false">L13-MAX(0,L13)*L14/100</f>
        <v>1339.20714934447</v>
      </c>
    </row>
    <row r="16" customFormat="false" ht="15" hidden="false" customHeight="false" outlineLevel="0" collapsed="false">
      <c r="A16" s="0" t="s">
        <v>127</v>
      </c>
      <c r="C16" s="0" t="n">
        <f aca="false">-C12</f>
        <v>195.63125</v>
      </c>
      <c r="D16" s="0" t="n">
        <f aca="false">-D12</f>
        <v>195.63125</v>
      </c>
      <c r="E16" s="0" t="n">
        <f aca="false">-E12</f>
        <v>189.7623125</v>
      </c>
      <c r="F16" s="0" t="n">
        <f aca="false">-F12</f>
        <v>193.55755875</v>
      </c>
      <c r="G16" s="0" t="n">
        <f aca="false">-G12</f>
        <v>198.39649771875</v>
      </c>
      <c r="H16" s="0" t="n">
        <f aca="false">-H12</f>
        <v>203.356410161719</v>
      </c>
      <c r="I16" s="0" t="n">
        <f aca="false">-I12</f>
        <v>207.423538364953</v>
      </c>
      <c r="J16" s="0" t="n">
        <f aca="false">-J12</f>
        <v>211.572009132252</v>
      </c>
      <c r="K16" s="0" t="n">
        <f aca="false">-K12</f>
        <v>215.803449314897</v>
      </c>
      <c r="L16" s="0" t="n">
        <f aca="false">-L12</f>
        <v>220.119518301195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-258.23325</v>
      </c>
      <c r="D17" s="4" t="n">
        <f aca="false">-D6*Assumptions!D18/100</f>
        <v>-234.7575</v>
      </c>
      <c r="E17" s="4" t="n">
        <f aca="false">-E6*Assumptions!E18/100</f>
        <v>-212.53379</v>
      </c>
      <c r="F17" s="4" t="n">
        <f aca="false">-F6*Assumptions!F18/100</f>
        <v>-216.7844658</v>
      </c>
      <c r="G17" s="4" t="n">
        <f aca="false">-G6*Assumptions!G18/100</f>
        <v>-222.204077445</v>
      </c>
      <c r="H17" s="4" t="n">
        <f aca="false">-H6*Assumptions!H18/100</f>
        <v>-227.759179381125</v>
      </c>
      <c r="I17" s="4" t="n">
        <f aca="false">-I6*Assumptions!I18/100</f>
        <v>-232.314362968747</v>
      </c>
      <c r="J17" s="4" t="n">
        <f aca="false">-J6*Assumptions!J18/100</f>
        <v>-236.960650228122</v>
      </c>
      <c r="K17" s="4" t="n">
        <f aca="false">-K6*Assumptions!K18/100</f>
        <v>-241.699863232685</v>
      </c>
      <c r="L17" s="4" t="n">
        <f aca="false">-L6*Assumptions!L18/100</f>
        <v>-246.533860497339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90.0249999999999</v>
      </c>
      <c r="D18" s="4" t="n">
        <f aca="false">(D6-C6)*Assumptions!$B$23/100</f>
        <v>0</v>
      </c>
      <c r="E18" s="4" t="n">
        <f aca="false">(E6-D6)*Assumptions!$B$23/100</f>
        <v>-23.4757500000001</v>
      </c>
      <c r="F18" s="4" t="n">
        <f aca="false">(F6-E6)*Assumptions!$B$23/100</f>
        <v>15.1809850000001</v>
      </c>
      <c r="G18" s="4" t="n">
        <f aca="false">(G6-F6)*Assumptions!$B$23/100</f>
        <v>19.3557558749999</v>
      </c>
      <c r="H18" s="4" t="n">
        <f aca="false">(H6-G6)*Assumptions!$B$23/100</f>
        <v>19.8396497718749</v>
      </c>
      <c r="I18" s="4" t="n">
        <f aca="false">(I6-H6)*Assumptions!$B$23/100</f>
        <v>16.2685128129375</v>
      </c>
      <c r="J18" s="4" t="n">
        <f aca="false">(J6-I6)*Assumptions!$B$23/100</f>
        <v>16.5938830691963</v>
      </c>
      <c r="K18" s="4" t="n">
        <f aca="false">(K6-J6)*Assumptions!$B$23/100</f>
        <v>16.9257607305803</v>
      </c>
      <c r="L18" s="4" t="n">
        <f aca="false">(L6-K6)*Assumptions!$B$23/100</f>
        <v>17.2642759451917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1335.8048</v>
      </c>
      <c r="D19" s="0" t="n">
        <f aca="false">D15+D16+D17+D18</f>
        <v>1165.96225</v>
      </c>
      <c r="E19" s="0" t="n">
        <f aca="false">E15+E16+E17+E18</f>
        <v>1049.06084025</v>
      </c>
      <c r="F19" s="0" t="n">
        <f aca="false">F15+F16+F17+F18</f>
        <v>1115.207302888</v>
      </c>
      <c r="G19" s="0" t="n">
        <f aca="false">G15+G16+G17+G18</f>
        <v>1184.02255608315</v>
      </c>
      <c r="H19" s="0" t="n">
        <f aca="false">H15+H16+H17+H18</f>
        <v>1219.96783998227</v>
      </c>
      <c r="I19" s="0" t="n">
        <f aca="false">I15+I16+I17+I18</f>
        <v>1246.87088122453</v>
      </c>
      <c r="J19" s="0" t="n">
        <f aca="false">J15+J16+J17+J18</f>
        <v>1278.40934553395</v>
      </c>
      <c r="K19" s="0" t="n">
        <f aca="false">K15+K16+K17+K18</f>
        <v>1303.97753244463</v>
      </c>
      <c r="L19" s="0" t="n">
        <f aca="false">L15+L16+L17+L18</f>
        <v>1330.05708309352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1219.91305936073</v>
      </c>
      <c r="D21" s="0" t="n">
        <f aca="false">D19*D20</f>
        <v>972.425303892746</v>
      </c>
      <c r="E21" s="0" t="n">
        <f aca="false">E19*E20</f>
        <v>799.021229292179</v>
      </c>
      <c r="F21" s="0" t="n">
        <f aca="false">F19*F20</f>
        <v>775.709531794114</v>
      </c>
      <c r="G21" s="0" t="n">
        <f aca="false">G19*G20</f>
        <v>752.123883941761</v>
      </c>
      <c r="H21" s="0" t="n">
        <f aca="false">H19*H20</f>
        <v>707.72358238438</v>
      </c>
      <c r="I21" s="0" t="n">
        <f aca="false">I19*I20</f>
        <v>660.575783480908</v>
      </c>
      <c r="J21" s="0" t="n">
        <f aca="false">J19*J20</f>
        <v>618.524608960185</v>
      </c>
      <c r="K21" s="0" t="n">
        <f aca="false">K19*K20</f>
        <v>576.159909716337</v>
      </c>
      <c r="L21" s="0" t="n">
        <f aca="false">L19*L20</f>
        <v>536.696902201519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7618.87379502486</v>
      </c>
    </row>
    <row r="31" customFormat="false" ht="15" hidden="false" customHeight="false" outlineLevel="0" collapsed="false">
      <c r="A31" s="0" t="s">
        <v>136</v>
      </c>
      <c r="B31" s="0" t="n">
        <f aca="false">L19</f>
        <v>1330.05708309352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18088.7763300719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19950.8562464028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18088.7763300719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7299.07786994066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14917.9516649655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16005.9516649655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80.0297583248276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-0.627855111253999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3679.71311250462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3382.31694755885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115.339908625145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10435.8324981184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48.7018775474136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17</v>
      </c>
      <c r="D5" s="4" t="n">
        <f aca="false">Assumptions!D27</f>
        <v>9</v>
      </c>
      <c r="E5" s="4" t="n">
        <f aca="false">Assumptions!E27</f>
        <v>7</v>
      </c>
      <c r="F5" s="4" t="n">
        <f aca="false">Assumptions!F27</f>
        <v>5.5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6925</v>
      </c>
      <c r="C6" s="0" t="n">
        <f aca="false">B6*(1+C5/100)</f>
        <v>8102.25</v>
      </c>
      <c r="D6" s="0" t="n">
        <f aca="false">C6*(1+D5/100)</f>
        <v>8831.4525</v>
      </c>
      <c r="E6" s="0" t="n">
        <f aca="false">D6*(1+E5/100)</f>
        <v>9449.654175</v>
      </c>
      <c r="F6" s="0" t="n">
        <f aca="false">E6*(1+F5/100)</f>
        <v>9969.385154625</v>
      </c>
      <c r="G6" s="0" t="n">
        <f aca="false">F6*(1+G5/100)</f>
        <v>10418.0074865831</v>
      </c>
      <c r="H6" s="0" t="n">
        <f aca="false">G6*(1+H5/100)</f>
        <v>10834.7277860464</v>
      </c>
      <c r="I6" s="0" t="n">
        <f aca="false">H6*(1+I5/100)</f>
        <v>11213.9432585581</v>
      </c>
      <c r="J6" s="0" t="n">
        <f aca="false">I6*(1+J5/100)</f>
        <v>11550.3615563148</v>
      </c>
      <c r="K6" s="0" t="n">
        <f aca="false">J6*(1+K5/100)</f>
        <v>11896.8724030043</v>
      </c>
      <c r="L6" s="0" t="n">
        <f aca="false">K6*(1+L5/100)</f>
        <v>12194.2942130794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34</v>
      </c>
      <c r="D7" s="4" t="n">
        <f aca="false">Assumptions!D28</f>
        <v>34</v>
      </c>
      <c r="E7" s="4" t="n">
        <f aca="false">Assumptions!E28</f>
        <v>34</v>
      </c>
      <c r="F7" s="4" t="n">
        <f aca="false">Assumptions!F28</f>
        <v>33.5</v>
      </c>
      <c r="G7" s="4" t="n">
        <f aca="false">Assumptions!G28</f>
        <v>33</v>
      </c>
      <c r="H7" s="4" t="n">
        <f aca="false">Assumptions!H28</f>
        <v>33</v>
      </c>
      <c r="I7" s="4" t="n">
        <f aca="false">Assumptions!I28</f>
        <v>33</v>
      </c>
      <c r="J7" s="4" t="n">
        <f aca="false">Assumptions!J28</f>
        <v>33</v>
      </c>
      <c r="K7" s="4" t="n">
        <f aca="false">Assumptions!K28</f>
        <v>33</v>
      </c>
      <c r="L7" s="4" t="n">
        <f aca="false">Assumptions!L28</f>
        <v>33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2754.765</v>
      </c>
      <c r="D8" s="0" t="n">
        <f aca="false">D6*D7/100</f>
        <v>3002.69385</v>
      </c>
      <c r="E8" s="0" t="n">
        <f aca="false">E6*E7/100</f>
        <v>3212.8824195</v>
      </c>
      <c r="F8" s="0" t="n">
        <f aca="false">F6*F7/100</f>
        <v>3339.74402679937</v>
      </c>
      <c r="G8" s="0" t="n">
        <f aca="false">G6*G7/100</f>
        <v>3437.94247057243</v>
      </c>
      <c r="H8" s="0" t="n">
        <f aca="false">H6*H7/100</f>
        <v>3575.46016939533</v>
      </c>
      <c r="I8" s="0" t="n">
        <f aca="false">I6*I7/100</f>
        <v>3700.60127532416</v>
      </c>
      <c r="J8" s="0" t="n">
        <f aca="false">J6*J7/100</f>
        <v>3811.61931358389</v>
      </c>
      <c r="K8" s="0" t="n">
        <f aca="false">K6*K7/100</f>
        <v>3925.96789299141</v>
      </c>
      <c r="L8" s="0" t="n">
        <f aca="false">L6*L7/100</f>
        <v>4024.11709031619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7.3</v>
      </c>
      <c r="D9" s="4" t="n">
        <f aca="false">Assumptions!D29</f>
        <v>7.2</v>
      </c>
      <c r="E9" s="4" t="n">
        <f aca="false">Assumptions!E29</f>
        <v>7</v>
      </c>
      <c r="F9" s="4" t="n">
        <f aca="false">Assumptions!F29</f>
        <v>6.8</v>
      </c>
      <c r="G9" s="4" t="n">
        <f aca="false">Assumptions!G29</f>
        <v>6.6</v>
      </c>
      <c r="H9" s="4" t="n">
        <f aca="false">Assumptions!H29</f>
        <v>6.5</v>
      </c>
      <c r="I9" s="4" t="n">
        <f aca="false">Assumptions!I29</f>
        <v>6.4</v>
      </c>
      <c r="J9" s="4" t="n">
        <f aca="false">Assumptions!J29</f>
        <v>6.2</v>
      </c>
      <c r="K9" s="4" t="n">
        <f aca="false">Assumptions!K29</f>
        <v>6.1</v>
      </c>
      <c r="L9" s="4" t="n">
        <f aca="false">Assumptions!L29</f>
        <v>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-591.46425</v>
      </c>
      <c r="D10" s="0" t="n">
        <f aca="false">-D6*D9/100</f>
        <v>-635.86458</v>
      </c>
      <c r="E10" s="0" t="n">
        <f aca="false">-E6*E9/100</f>
        <v>-661.47579225</v>
      </c>
      <c r="F10" s="0" t="n">
        <f aca="false">-F6*F9/100</f>
        <v>-677.9181905145</v>
      </c>
      <c r="G10" s="0" t="n">
        <f aca="false">-G6*G9/100</f>
        <v>-687.588494114486</v>
      </c>
      <c r="H10" s="0" t="n">
        <f aca="false">-H6*H9/100</f>
        <v>-704.257306093019</v>
      </c>
      <c r="I10" s="0" t="n">
        <f aca="false">-I6*I9/100</f>
        <v>-717.692368547717</v>
      </c>
      <c r="J10" s="0" t="n">
        <f aca="false">-J6*J9/100</f>
        <v>-716.122416491519</v>
      </c>
      <c r="K10" s="0" t="n">
        <f aca="false">-K6*K9/100</f>
        <v>-725.70921658326</v>
      </c>
      <c r="L10" s="0" t="n">
        <f aca="false">-L6*L9/100</f>
        <v>-731.657652784762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2163.30075</v>
      </c>
      <c r="D11" s="0" t="n">
        <f aca="false">D8+D10+D24</f>
        <v>2366.82927</v>
      </c>
      <c r="E11" s="0" t="n">
        <f aca="false">E8+E10+E24</f>
        <v>2551.40662725</v>
      </c>
      <c r="F11" s="0" t="n">
        <f aca="false">F8+F10+F24</f>
        <v>2661.82583628487</v>
      </c>
      <c r="G11" s="0" t="n">
        <f aca="false">G8+G10+G24</f>
        <v>2750.35397645794</v>
      </c>
      <c r="H11" s="0" t="n">
        <f aca="false">H8+H10+H24</f>
        <v>2871.20286330231</v>
      </c>
      <c r="I11" s="0" t="n">
        <f aca="false">I8+I10+I24</f>
        <v>2982.90890677645</v>
      </c>
      <c r="J11" s="0" t="n">
        <f aca="false">J8+J10+J24</f>
        <v>3095.49689709237</v>
      </c>
      <c r="K11" s="0" t="n">
        <f aca="false">K8+K10+K24</f>
        <v>3200.25867640815</v>
      </c>
      <c r="L11" s="0" t="n">
        <f aca="false">L8+L10+L24</f>
        <v>3292.45943753143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-202.55625</v>
      </c>
      <c r="D12" s="4" t="n">
        <f aca="false">-D6*Assumptions!D31/100</f>
        <v>-220.7863125</v>
      </c>
      <c r="E12" s="4" t="n">
        <f aca="false">-E6*Assumptions!E31/100</f>
        <v>-236.241354375</v>
      </c>
      <c r="F12" s="4" t="n">
        <f aca="false">-F6*Assumptions!F31/100</f>
        <v>-249.234628865625</v>
      </c>
      <c r="G12" s="4" t="n">
        <f aca="false">-G6*Assumptions!G31/100</f>
        <v>-260.450187164578</v>
      </c>
      <c r="H12" s="4" t="n">
        <f aca="false">-H6*Assumptions!H31/100</f>
        <v>-270.868194651161</v>
      </c>
      <c r="I12" s="4" t="n">
        <f aca="false">-I6*Assumptions!I31/100</f>
        <v>-280.348581463952</v>
      </c>
      <c r="J12" s="4" t="n">
        <f aca="false">-J6*Assumptions!J31/100</f>
        <v>-288.75903890787</v>
      </c>
      <c r="K12" s="4" t="n">
        <f aca="false">-K6*Assumptions!K31/100</f>
        <v>-297.421810075106</v>
      </c>
      <c r="L12" s="4" t="n">
        <f aca="false">-L6*Assumptions!L31/100</f>
        <v>-304.857355326984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1960.7445</v>
      </c>
      <c r="D13" s="0" t="n">
        <f aca="false">D11+D12</f>
        <v>2146.0429575</v>
      </c>
      <c r="E13" s="0" t="n">
        <f aca="false">E11+E12</f>
        <v>2315.165272875</v>
      </c>
      <c r="F13" s="0" t="n">
        <f aca="false">F11+F12</f>
        <v>2412.59120741925</v>
      </c>
      <c r="G13" s="0" t="n">
        <f aca="false">G11+G12</f>
        <v>2489.90378929337</v>
      </c>
      <c r="H13" s="0" t="n">
        <f aca="false">H11+H12</f>
        <v>2600.33466865115</v>
      </c>
      <c r="I13" s="0" t="n">
        <f aca="false">I11+I12</f>
        <v>2702.5603253125</v>
      </c>
      <c r="J13" s="0" t="n">
        <f aca="false">J11+J12</f>
        <v>2806.7378581845</v>
      </c>
      <c r="K13" s="0" t="n">
        <f aca="false">K11+K12</f>
        <v>2902.83686633304</v>
      </c>
      <c r="L13" s="0" t="n">
        <f aca="false">L11+L12</f>
        <v>2987.60208220444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24</v>
      </c>
      <c r="D14" s="4" t="n">
        <f aca="false">Assumptions!D33</f>
        <v>23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1490.16582</v>
      </c>
      <c r="D15" s="0" t="n">
        <f aca="false">D13-MAX(0,D13)*D14/100</f>
        <v>1652.453077275</v>
      </c>
      <c r="E15" s="0" t="n">
        <f aca="false">E13-MAX(0,E13)*E14/100</f>
        <v>1805.8289128425</v>
      </c>
      <c r="F15" s="0" t="n">
        <f aca="false">F13-MAX(0,F13)*F14/100</f>
        <v>1881.82114178701</v>
      </c>
      <c r="G15" s="0" t="n">
        <f aca="false">G13-MAX(0,G13)*G14/100</f>
        <v>1942.12495564883</v>
      </c>
      <c r="H15" s="0" t="n">
        <f aca="false">H13-MAX(0,H13)*H14/100</f>
        <v>2028.2610415479</v>
      </c>
      <c r="I15" s="0" t="n">
        <f aca="false">I13-MAX(0,I13)*I14/100</f>
        <v>2107.99705374375</v>
      </c>
      <c r="J15" s="0" t="n">
        <f aca="false">J13-MAX(0,J13)*J14/100</f>
        <v>2189.25552938391</v>
      </c>
      <c r="K15" s="0" t="n">
        <f aca="false">K13-MAX(0,K13)*K14/100</f>
        <v>2264.21275573977</v>
      </c>
      <c r="L15" s="0" t="n">
        <f aca="false">L13-MAX(0,L13)*L14/100</f>
        <v>2330.32962411947</v>
      </c>
    </row>
    <row r="16" customFormat="false" ht="15" hidden="false" customHeight="false" outlineLevel="0" collapsed="false">
      <c r="A16" s="0" t="s">
        <v>127</v>
      </c>
      <c r="C16" s="0" t="n">
        <f aca="false">-C12</f>
        <v>202.55625</v>
      </c>
      <c r="D16" s="0" t="n">
        <f aca="false">-D12</f>
        <v>220.7863125</v>
      </c>
      <c r="E16" s="0" t="n">
        <f aca="false">-E12</f>
        <v>236.241354375</v>
      </c>
      <c r="F16" s="0" t="n">
        <f aca="false">-F12</f>
        <v>249.234628865625</v>
      </c>
      <c r="G16" s="0" t="n">
        <f aca="false">-G12</f>
        <v>260.450187164578</v>
      </c>
      <c r="H16" s="0" t="n">
        <f aca="false">-H12</f>
        <v>270.868194651161</v>
      </c>
      <c r="I16" s="0" t="n">
        <f aca="false">-I12</f>
        <v>280.348581463952</v>
      </c>
      <c r="J16" s="0" t="n">
        <f aca="false">-J12</f>
        <v>288.75903890787</v>
      </c>
      <c r="K16" s="0" t="n">
        <f aca="false">-K12</f>
        <v>297.421810075106</v>
      </c>
      <c r="L16" s="0" t="n">
        <f aca="false">-L12</f>
        <v>304.857355326984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-267.37425</v>
      </c>
      <c r="D17" s="4" t="n">
        <f aca="false">-D6*Assumptions!D32/100</f>
        <v>-282.60648</v>
      </c>
      <c r="E17" s="4" t="n">
        <f aca="false">-E6*Assumptions!E32/100</f>
        <v>-283.48962525</v>
      </c>
      <c r="F17" s="4" t="n">
        <f aca="false">-F6*Assumptions!F32/100</f>
        <v>-299.08155463875</v>
      </c>
      <c r="G17" s="4" t="n">
        <f aca="false">-G6*Assumptions!G32/100</f>
        <v>-312.540224597494</v>
      </c>
      <c r="H17" s="4" t="n">
        <f aca="false">-H6*Assumptions!H32/100</f>
        <v>-325.041833581393</v>
      </c>
      <c r="I17" s="4" t="n">
        <f aca="false">-I6*Assumptions!I32/100</f>
        <v>-336.418297756742</v>
      </c>
      <c r="J17" s="4" t="n">
        <f aca="false">-J6*Assumptions!J32/100</f>
        <v>-346.510846689444</v>
      </c>
      <c r="K17" s="4" t="n">
        <f aca="false">-K6*Assumptions!K32/100</f>
        <v>-356.906172090128</v>
      </c>
      <c r="L17" s="4" t="n">
        <f aca="false">-L6*Assumptions!L32/100</f>
        <v>-365.828826392381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117.725</v>
      </c>
      <c r="D18" s="4" t="n">
        <f aca="false">(D6-C6)*Assumptions!$B$37/100</f>
        <v>72.92025</v>
      </c>
      <c r="E18" s="4" t="n">
        <f aca="false">(E6-D6)*Assumptions!$B$37/100</f>
        <v>61.8201675</v>
      </c>
      <c r="F18" s="4" t="n">
        <f aca="false">(F6-E6)*Assumptions!$B$37/100</f>
        <v>51.9730979624999</v>
      </c>
      <c r="G18" s="4" t="n">
        <f aca="false">(G6-F6)*Assumptions!$B$37/100</f>
        <v>44.8622331958124</v>
      </c>
      <c r="H18" s="4" t="n">
        <f aca="false">(H6-G6)*Assumptions!$B$37/100</f>
        <v>41.6720299463324</v>
      </c>
      <c r="I18" s="4" t="n">
        <f aca="false">(I6-H6)*Assumptions!$B$37/100</f>
        <v>37.9215472511625</v>
      </c>
      <c r="J18" s="4" t="n">
        <f aca="false">(J6-I6)*Assumptions!$B$37/100</f>
        <v>33.6418297756742</v>
      </c>
      <c r="K18" s="4" t="n">
        <f aca="false">(K6-J6)*Assumptions!$B$37/100</f>
        <v>34.6510846689445</v>
      </c>
      <c r="L18" s="4" t="n">
        <f aca="false">(L6-K6)*Assumptions!$B$37/100</f>
        <v>29.7421810075106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1543.07282</v>
      </c>
      <c r="D19" s="0" t="n">
        <f aca="false">D15+D16+D17+D18</f>
        <v>1663.553159775</v>
      </c>
      <c r="E19" s="0" t="n">
        <f aca="false">E15+E16+E17+E18</f>
        <v>1820.4008094675</v>
      </c>
      <c r="F19" s="0" t="n">
        <f aca="false">F15+F16+F17+F18</f>
        <v>1883.94731397639</v>
      </c>
      <c r="G19" s="0" t="n">
        <f aca="false">G15+G16+G17+G18</f>
        <v>1934.89715141172</v>
      </c>
      <c r="H19" s="0" t="n">
        <f aca="false">H15+H16+H17+H18</f>
        <v>2015.759432564</v>
      </c>
      <c r="I19" s="0" t="n">
        <f aca="false">I15+I16+I17+I18</f>
        <v>2089.84888470212</v>
      </c>
      <c r="J19" s="0" t="n">
        <f aca="false">J15+J16+J17+J18</f>
        <v>2165.14555137801</v>
      </c>
      <c r="K19" s="0" t="n">
        <f aca="false">K15+K16+K17+K18</f>
        <v>2239.37947839369</v>
      </c>
      <c r="L19" s="0" t="n">
        <f aca="false">L15+L16+L17+L18</f>
        <v>2299.10033406158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1409.19892237443</v>
      </c>
      <c r="D21" s="0" t="n">
        <f aca="false">D19*D20</f>
        <v>1387.42157984613</v>
      </c>
      <c r="E21" s="0" t="n">
        <f aca="false">E19*E20</f>
        <v>1386.51528755813</v>
      </c>
      <c r="F21" s="0" t="n">
        <f aca="false">F19*F20</f>
        <v>1310.42532187953</v>
      </c>
      <c r="G21" s="0" t="n">
        <f aca="false">G19*G20</f>
        <v>1229.10020005179</v>
      </c>
      <c r="H21" s="0" t="n">
        <f aca="false">H19*H20</f>
        <v>1169.37548686531</v>
      </c>
      <c r="I21" s="0" t="n">
        <f aca="false">I19*I20</f>
        <v>1107.17443574673</v>
      </c>
      <c r="J21" s="0" t="n">
        <f aca="false">J19*J20</f>
        <v>1047.54851033151</v>
      </c>
      <c r="K21" s="0" t="n">
        <f aca="false">K19*K20</f>
        <v>989.465420982411</v>
      </c>
      <c r="L21" s="0" t="n">
        <f aca="false">L19*L20</f>
        <v>927.719601531244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11963.9447671672</v>
      </c>
    </row>
    <row r="31" customFormat="false" ht="15" hidden="false" customHeight="false" outlineLevel="0" collapsed="false">
      <c r="A31" s="0" t="s">
        <v>136</v>
      </c>
      <c r="B31" s="0" t="n">
        <f aca="false">L19</f>
        <v>2299.10033406158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33665.3977487589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34486.5050109237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33665.3977487589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13584.4655938504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25548.4103610176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26636.4103610176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133.182051805088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-0.380692621227213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4233.74099411355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4323.07284005018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175.966120975906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18852.622739305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75.768166896684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21</v>
      </c>
      <c r="D5" s="4" t="n">
        <f aca="false">Assumptions!D41</f>
        <v>14</v>
      </c>
      <c r="E5" s="4" t="n">
        <f aca="false">Assumptions!E41</f>
        <v>10</v>
      </c>
      <c r="F5" s="4" t="n">
        <f aca="false">Assumptions!F41</f>
        <v>8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6925</v>
      </c>
      <c r="C6" s="0" t="n">
        <f aca="false">B6*(1+C5/100)</f>
        <v>8379.25</v>
      </c>
      <c r="D6" s="0" t="n">
        <f aca="false">C6*(1+D5/100)</f>
        <v>9552.345</v>
      </c>
      <c r="E6" s="0" t="n">
        <f aca="false">D6*(1+E5/100)</f>
        <v>10507.5795</v>
      </c>
      <c r="F6" s="0" t="n">
        <f aca="false">E6*(1+F5/100)</f>
        <v>11348.18586</v>
      </c>
      <c r="G6" s="0" t="n">
        <f aca="false">F6*(1+G5/100)</f>
        <v>12029.0770116</v>
      </c>
      <c r="H6" s="0" t="n">
        <f aca="false">G6*(1+H5/100)</f>
        <v>12630.53086218</v>
      </c>
      <c r="I6" s="0" t="n">
        <f aca="false">H6*(1+I5/100)</f>
        <v>13135.7520966672</v>
      </c>
      <c r="J6" s="0" t="n">
        <f aca="false">I6*(1+J5/100)</f>
        <v>13595.5034200506</v>
      </c>
      <c r="K6" s="0" t="n">
        <f aca="false">J6*(1+K5/100)</f>
        <v>14003.3685226521</v>
      </c>
      <c r="L6" s="0" t="n">
        <f aca="false">K6*(1+L5/100)</f>
        <v>14423.4695783316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34.5</v>
      </c>
      <c r="D7" s="4" t="n">
        <f aca="false">Assumptions!D42</f>
        <v>35.5</v>
      </c>
      <c r="E7" s="4" t="n">
        <f aca="false">Assumptions!E42</f>
        <v>36</v>
      </c>
      <c r="F7" s="4" t="n">
        <f aca="false">Assumptions!F42</f>
        <v>36</v>
      </c>
      <c r="G7" s="4" t="n">
        <f aca="false">Assumptions!G42</f>
        <v>36</v>
      </c>
      <c r="H7" s="4" t="n">
        <f aca="false">Assumptions!H42</f>
        <v>35.5</v>
      </c>
      <c r="I7" s="4" t="n">
        <f aca="false">Assumptions!I42</f>
        <v>35</v>
      </c>
      <c r="J7" s="4" t="n">
        <f aca="false">Assumptions!J42</f>
        <v>35</v>
      </c>
      <c r="K7" s="4" t="n">
        <f aca="false">Assumptions!K42</f>
        <v>35</v>
      </c>
      <c r="L7" s="4" t="n">
        <f aca="false">Assumptions!L42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2890.84125</v>
      </c>
      <c r="D8" s="0" t="n">
        <f aca="false">D6*D7/100</f>
        <v>3391.082475</v>
      </c>
      <c r="E8" s="0" t="n">
        <f aca="false">E6*E7/100</f>
        <v>3782.72862</v>
      </c>
      <c r="F8" s="0" t="n">
        <f aca="false">F6*F7/100</f>
        <v>4085.3469096</v>
      </c>
      <c r="G8" s="0" t="n">
        <f aca="false">G6*G7/100</f>
        <v>4330.467724176</v>
      </c>
      <c r="H8" s="0" t="n">
        <f aca="false">H6*H7/100</f>
        <v>4483.8384560739</v>
      </c>
      <c r="I8" s="0" t="n">
        <f aca="false">I6*I7/100</f>
        <v>4597.51323383352</v>
      </c>
      <c r="J8" s="0" t="n">
        <f aca="false">J6*J7/100</f>
        <v>4758.42619701769</v>
      </c>
      <c r="K8" s="0" t="n">
        <f aca="false">K6*K7/100</f>
        <v>4901.17898292823</v>
      </c>
      <c r="L8" s="0" t="n">
        <f aca="false">L6*L7/100</f>
        <v>5048.21435241607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7</v>
      </c>
      <c r="D9" s="4" t="n">
        <f aca="false">Assumptions!D43</f>
        <v>6.8</v>
      </c>
      <c r="E9" s="4" t="n">
        <f aca="false">Assumptions!E43</f>
        <v>6.6</v>
      </c>
      <c r="F9" s="4" t="n">
        <f aca="false">Assumptions!F43</f>
        <v>6.4</v>
      </c>
      <c r="G9" s="4" t="n">
        <f aca="false">Assumptions!G43</f>
        <v>6.2</v>
      </c>
      <c r="H9" s="4" t="n">
        <f aca="false">Assumptions!H43</f>
        <v>6</v>
      </c>
      <c r="I9" s="4" t="n">
        <f aca="false">Assumptions!I43</f>
        <v>5.8</v>
      </c>
      <c r="J9" s="4" t="n">
        <f aca="false">Assumptions!J43</f>
        <v>5.7</v>
      </c>
      <c r="K9" s="4" t="n">
        <f aca="false">Assumptions!K43</f>
        <v>5.6</v>
      </c>
      <c r="L9" s="4" t="n">
        <f aca="false">Assumptions!L43</f>
        <v>5.5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-586.5475</v>
      </c>
      <c r="D10" s="0" t="n">
        <f aca="false">-D6*D9/100</f>
        <v>-649.55946</v>
      </c>
      <c r="E10" s="0" t="n">
        <f aca="false">-E6*E9/100</f>
        <v>-693.500247</v>
      </c>
      <c r="F10" s="0" t="n">
        <f aca="false">-F6*F9/100</f>
        <v>-726.28389504</v>
      </c>
      <c r="G10" s="0" t="n">
        <f aca="false">-G6*G9/100</f>
        <v>-745.8027747192</v>
      </c>
      <c r="H10" s="0" t="n">
        <f aca="false">-H6*H9/100</f>
        <v>-757.8318517308</v>
      </c>
      <c r="I10" s="0" t="n">
        <f aca="false">-I6*I9/100</f>
        <v>-761.873621606698</v>
      </c>
      <c r="J10" s="0" t="n">
        <f aca="false">-J6*J9/100</f>
        <v>-774.943694942882</v>
      </c>
      <c r="K10" s="0" t="n">
        <f aca="false">-K6*K9/100</f>
        <v>-784.188637268516</v>
      </c>
      <c r="L10" s="0" t="n">
        <f aca="false">-L6*L9/100</f>
        <v>-793.29082680824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2304.29375</v>
      </c>
      <c r="D11" s="0" t="n">
        <f aca="false">D8+D10+D24</f>
        <v>2741.523015</v>
      </c>
      <c r="E11" s="0" t="n">
        <f aca="false">E8+E10+E24</f>
        <v>3089.228373</v>
      </c>
      <c r="F11" s="0" t="n">
        <f aca="false">F8+F10+F24</f>
        <v>3359.06301456</v>
      </c>
      <c r="G11" s="0" t="n">
        <f aca="false">G8+G10+G24</f>
        <v>3584.6649494568</v>
      </c>
      <c r="H11" s="0" t="n">
        <f aca="false">H8+H10+H24</f>
        <v>3726.0066043431</v>
      </c>
      <c r="I11" s="0" t="n">
        <f aca="false">I8+I10+I24</f>
        <v>3835.63961222682</v>
      </c>
      <c r="J11" s="0" t="n">
        <f aca="false">J8+J10+J24</f>
        <v>3983.48250207481</v>
      </c>
      <c r="K11" s="0" t="n">
        <f aca="false">K8+K10+K24</f>
        <v>4116.99034565971</v>
      </c>
      <c r="L11" s="0" t="n">
        <f aca="false">L8+L10+L24</f>
        <v>4254.92352560783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-209.48125</v>
      </c>
      <c r="D12" s="4" t="n">
        <f aca="false">-D6*Assumptions!D45/100</f>
        <v>-238.808625</v>
      </c>
      <c r="E12" s="4" t="n">
        <f aca="false">-E6*Assumptions!E45/100</f>
        <v>-262.6894875</v>
      </c>
      <c r="F12" s="4" t="n">
        <f aca="false">-F6*Assumptions!F45/100</f>
        <v>-283.7046465</v>
      </c>
      <c r="G12" s="4" t="n">
        <f aca="false">-G6*Assumptions!G45/100</f>
        <v>-300.72692529</v>
      </c>
      <c r="H12" s="4" t="n">
        <f aca="false">-H6*Assumptions!H45/100</f>
        <v>-315.7632715545</v>
      </c>
      <c r="I12" s="4" t="n">
        <f aca="false">-I6*Assumptions!I45/100</f>
        <v>-328.39380241668</v>
      </c>
      <c r="J12" s="4" t="n">
        <f aca="false">-J6*Assumptions!J45/100</f>
        <v>-339.887585501264</v>
      </c>
      <c r="K12" s="4" t="n">
        <f aca="false">-K6*Assumptions!K45/100</f>
        <v>-350.084213066302</v>
      </c>
      <c r="L12" s="4" t="n">
        <f aca="false">-L6*Assumptions!L45/100</f>
        <v>-360.586739458291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2094.8125</v>
      </c>
      <c r="D13" s="0" t="n">
        <f aca="false">D11+D12</f>
        <v>2502.71439</v>
      </c>
      <c r="E13" s="0" t="n">
        <f aca="false">E11+E12</f>
        <v>2826.5388855</v>
      </c>
      <c r="F13" s="0" t="n">
        <f aca="false">F11+F12</f>
        <v>3075.35836806</v>
      </c>
      <c r="G13" s="0" t="n">
        <f aca="false">G11+G12</f>
        <v>3283.9380241668</v>
      </c>
      <c r="H13" s="0" t="n">
        <f aca="false">H11+H12</f>
        <v>3410.2433327886</v>
      </c>
      <c r="I13" s="0" t="n">
        <f aca="false">I11+I12</f>
        <v>3507.24580981014</v>
      </c>
      <c r="J13" s="0" t="n">
        <f aca="false">J11+J12</f>
        <v>3643.59491657355</v>
      </c>
      <c r="K13" s="0" t="n">
        <f aca="false">K11+K12</f>
        <v>3766.90613259341</v>
      </c>
      <c r="L13" s="0" t="n">
        <f aca="false">L11+L12</f>
        <v>3894.33678614954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23</v>
      </c>
      <c r="D14" s="4" t="n">
        <f aca="false">Assumptions!D47</f>
        <v>22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1613.005625</v>
      </c>
      <c r="D15" s="0" t="n">
        <f aca="false">D13-MAX(0,D13)*D14/100</f>
        <v>1952.1172242</v>
      </c>
      <c r="E15" s="0" t="n">
        <f aca="false">E13-MAX(0,E13)*E14/100</f>
        <v>2232.965719545</v>
      </c>
      <c r="F15" s="0" t="n">
        <f aca="false">F13-MAX(0,F13)*F14/100</f>
        <v>2429.5331107674</v>
      </c>
      <c r="G15" s="0" t="n">
        <f aca="false">G13-MAX(0,G13)*G14/100</f>
        <v>2594.31103909177</v>
      </c>
      <c r="H15" s="0" t="n">
        <f aca="false">H13-MAX(0,H13)*H14/100</f>
        <v>2694.092232903</v>
      </c>
      <c r="I15" s="0" t="n">
        <f aca="false">I13-MAX(0,I13)*I14/100</f>
        <v>2770.72418975001</v>
      </c>
      <c r="J15" s="0" t="n">
        <f aca="false">J13-MAX(0,J13)*J14/100</f>
        <v>2878.4399840931</v>
      </c>
      <c r="K15" s="0" t="n">
        <f aca="false">K13-MAX(0,K13)*K14/100</f>
        <v>2975.85584474879</v>
      </c>
      <c r="L15" s="0" t="n">
        <f aca="false">L13-MAX(0,L13)*L14/100</f>
        <v>3076.52606105814</v>
      </c>
    </row>
    <row r="16" customFormat="false" ht="15" hidden="false" customHeight="false" outlineLevel="0" collapsed="false">
      <c r="A16" s="0" t="s">
        <v>127</v>
      </c>
      <c r="C16" s="0" t="n">
        <f aca="false">-C12</f>
        <v>209.48125</v>
      </c>
      <c r="D16" s="0" t="n">
        <f aca="false">-D12</f>
        <v>238.808625</v>
      </c>
      <c r="E16" s="0" t="n">
        <f aca="false">-E12</f>
        <v>262.6894875</v>
      </c>
      <c r="F16" s="0" t="n">
        <f aca="false">-F12</f>
        <v>283.7046465</v>
      </c>
      <c r="G16" s="0" t="n">
        <f aca="false">-G12</f>
        <v>300.72692529</v>
      </c>
      <c r="H16" s="0" t="n">
        <f aca="false">-H12</f>
        <v>315.7632715545</v>
      </c>
      <c r="I16" s="0" t="n">
        <f aca="false">-I12</f>
        <v>328.39380241668</v>
      </c>
      <c r="J16" s="0" t="n">
        <f aca="false">-J12</f>
        <v>339.887585501264</v>
      </c>
      <c r="K16" s="0" t="n">
        <f aca="false">-K12</f>
        <v>350.084213066302</v>
      </c>
      <c r="L16" s="0" t="n">
        <f aca="false">-L12</f>
        <v>360.586739458291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-276.51525</v>
      </c>
      <c r="D17" s="4" t="n">
        <f aca="false">-D6*Assumptions!D46/100</f>
        <v>-305.67504</v>
      </c>
      <c r="E17" s="4" t="n">
        <f aca="false">-E6*Assumptions!E46/100</f>
        <v>-315.227385</v>
      </c>
      <c r="F17" s="4" t="n">
        <f aca="false">-F6*Assumptions!F46/100</f>
        <v>-340.4455758</v>
      </c>
      <c r="G17" s="4" t="n">
        <f aca="false">-G6*Assumptions!G46/100</f>
        <v>-360.872310348</v>
      </c>
      <c r="H17" s="4" t="n">
        <f aca="false">-H6*Assumptions!H46/100</f>
        <v>-378.9159258654</v>
      </c>
      <c r="I17" s="4" t="n">
        <f aca="false">-I6*Assumptions!I46/100</f>
        <v>-394.072562900016</v>
      </c>
      <c r="J17" s="4" t="n">
        <f aca="false">-J6*Assumptions!J46/100</f>
        <v>-407.865102601517</v>
      </c>
      <c r="K17" s="4" t="n">
        <f aca="false">-K6*Assumptions!K46/100</f>
        <v>-420.101055679562</v>
      </c>
      <c r="L17" s="4" t="n">
        <f aca="false">-L6*Assumptions!L46/100</f>
        <v>-432.704087349949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145.425</v>
      </c>
      <c r="D18" s="4" t="n">
        <f aca="false">(D6-C6)*Assumptions!$B$51/100</f>
        <v>117.3095</v>
      </c>
      <c r="E18" s="4" t="n">
        <f aca="false">(E6-D6)*Assumptions!$B$51/100</f>
        <v>95.5234500000001</v>
      </c>
      <c r="F18" s="4" t="n">
        <f aca="false">(F6-E6)*Assumptions!$B$51/100</f>
        <v>84.0606360000002</v>
      </c>
      <c r="G18" s="4" t="n">
        <f aca="false">(G6-F6)*Assumptions!$B$51/100</f>
        <v>68.0891151600001</v>
      </c>
      <c r="H18" s="4" t="n">
        <f aca="false">(H6-G6)*Assumptions!$B$51/100</f>
        <v>60.1453850580001</v>
      </c>
      <c r="I18" s="4" t="n">
        <f aca="false">(I6-H6)*Assumptions!$B$51/100</f>
        <v>50.5221234487201</v>
      </c>
      <c r="J18" s="4" t="n">
        <f aca="false">(J6-I6)*Assumptions!$B$51/100</f>
        <v>45.9751323383351</v>
      </c>
      <c r="K18" s="4" t="n">
        <f aca="false">(K6-J6)*Assumptions!$B$51/100</f>
        <v>40.7865102601518</v>
      </c>
      <c r="L18" s="4" t="n">
        <f aca="false">(L6-K6)*Assumptions!$B$51/100</f>
        <v>42.0101055679563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1691.396625</v>
      </c>
      <c r="D19" s="0" t="n">
        <f aca="false">D15+D16+D17+D18</f>
        <v>2002.5603092</v>
      </c>
      <c r="E19" s="0" t="n">
        <f aca="false">E15+E16+E17+E18</f>
        <v>2275.951272045</v>
      </c>
      <c r="F19" s="0" t="n">
        <f aca="false">F15+F16+F17+F18</f>
        <v>2456.8528174674</v>
      </c>
      <c r="G19" s="0" t="n">
        <f aca="false">G15+G16+G17+G18</f>
        <v>2602.25476919377</v>
      </c>
      <c r="H19" s="0" t="n">
        <f aca="false">H15+H16+H17+H18</f>
        <v>2691.0849636501</v>
      </c>
      <c r="I19" s="0" t="n">
        <f aca="false">I15+I16+I17+I18</f>
        <v>2755.5675527154</v>
      </c>
      <c r="J19" s="0" t="n">
        <f aca="false">J15+J16+J17+J18</f>
        <v>2856.43759933119</v>
      </c>
      <c r="K19" s="0" t="n">
        <f aca="false">K15+K16+K17+K18</f>
        <v>2946.62551239568</v>
      </c>
      <c r="L19" s="0" t="n">
        <f aca="false">L15+L16+L17+L18</f>
        <v>3046.41881873444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1544.65445205479</v>
      </c>
      <c r="D21" s="0" t="n">
        <f aca="false">D19*D20</f>
        <v>1670.15726044078</v>
      </c>
      <c r="E21" s="0" t="n">
        <f aca="false">E19*E20</f>
        <v>1733.4870518712</v>
      </c>
      <c r="F21" s="0" t="n">
        <f aca="false">F19*F20</f>
        <v>1708.92366270317</v>
      </c>
      <c r="G21" s="0" t="n">
        <f aca="false">G19*G20</f>
        <v>1653.02422150355</v>
      </c>
      <c r="H21" s="0" t="n">
        <f aca="false">H19*H20</f>
        <v>1561.14303062518</v>
      </c>
      <c r="I21" s="0" t="n">
        <f aca="false">I19*I20</f>
        <v>1459.86342489761</v>
      </c>
      <c r="J21" s="0" t="n">
        <f aca="false">J19*J20</f>
        <v>1382.01191607182</v>
      </c>
      <c r="K21" s="0" t="n">
        <f aca="false">K19*K20</f>
        <v>1301.96069099975</v>
      </c>
      <c r="L21" s="0" t="n">
        <f aca="false">L19*L20</f>
        <v>1229.27321210937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15244.4989232772</v>
      </c>
    </row>
    <row r="31" customFormat="false" ht="15" hidden="false" customHeight="false" outlineLevel="0" collapsed="false">
      <c r="A31" s="0" t="s">
        <v>136</v>
      </c>
      <c r="B31" s="0" t="n">
        <f aca="false">L19</f>
        <v>3046.41881873444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48274.0212814841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45696.2822810165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45696.2822810165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18439.0981816405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33683.5971049177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34771.5971049177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173.857985524588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-0.191546219369503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4469.33943204537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5072.41886018785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221.566776985755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26148.4281941372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97.276156265854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80.0297583248276</v>
      </c>
      <c r="C4" s="0" t="n">
        <f aca="false">B4/Assumptions!$B$2-1</f>
        <v>-0.627855111253999</v>
      </c>
      <c r="D4" s="4" t="n">
        <f aca="false">Assumptions!$B$24</f>
        <v>0.25</v>
      </c>
      <c r="E4" s="4" t="n">
        <f aca="false">DCF_Bear!$B$43</f>
        <v>115.339908625145</v>
      </c>
      <c r="F4" s="4" t="n">
        <f aca="false">DCF_Bear!$B$47</f>
        <v>48.7018775474136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133.182051805088</v>
      </c>
      <c r="C5" s="0" t="n">
        <f aca="false">B5/Assumptions!$B$2-1</f>
        <v>-0.380692621227213</v>
      </c>
      <c r="D5" s="4" t="n">
        <f aca="false">Assumptions!$B$38</f>
        <v>0.5</v>
      </c>
      <c r="E5" s="4" t="n">
        <f aca="false">DCF_Base!$B$43</f>
        <v>175.966120975906</v>
      </c>
      <c r="F5" s="4" t="n">
        <f aca="false">DCF_Base!$B$47</f>
        <v>75.768166896684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173.857985524588</v>
      </c>
      <c r="C6" s="0" t="n">
        <f aca="false">B6/Assumptions!$B$2-1</f>
        <v>-0.191546219369503</v>
      </c>
      <c r="D6" s="4" t="n">
        <f aca="false">Assumptions!$B$52</f>
        <v>0.25</v>
      </c>
      <c r="E6" s="4" t="n">
        <f aca="false">DCF_Bull!$B$43</f>
        <v>221.566776985755</v>
      </c>
      <c r="F6" s="4" t="n">
        <f aca="false">DCF_Bull!$B$47</f>
        <v>97.276156265854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130.062961864898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172.209731890678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-0.65342997665532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201.645435897264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74.3785919016589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139.515929190168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133.182051805088</v>
      </c>
      <c r="C16" s="3" t="n">
        <v>9.5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124.46058298582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110.108730723045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98.7928929834545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75.768166896684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154.913715724804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154.913715724804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154.913715724804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154.913715724804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154.913715724804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141.870678827086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144.412825190741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144.412825190741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144.412825190741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144.412825190741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124.111936057974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128.344656739961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133.182051805088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134.838693950679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134.838693950679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110.333602183941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113.392577664449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116.833925080019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120.734118817666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125.191483089262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99.339370260561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101.610806348593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104.134624224183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106.955361849844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110.128691678712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2026-10-02T02:50:27Z</dcterms:created>
  <dc:creator>openpyxl</dc:creator>
  <dc:description/>
  <dc:language>en-NZ</dc:language>
  <cp:lastModifiedBy/>
  <dcterms:modified xsi:type="dcterms:W3CDTF">2026-10-02T02:50:27Z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