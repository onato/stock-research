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<sst xmlns="http://schemas.openxmlformats.org/spreadsheetml/2006/main" count="362" uniqueCount="168">
  <si>
    <t xml:space="preserve">Ticker</t>
  </si>
  <si>
    <t xml:space="preserve">1336.HK</t>
  </si>
  <si>
    <t xml:space="preserve">Company</t>
  </si>
  <si>
    <t xml:space="preserve">New China Life Insurance Company Ltd.</t>
  </si>
  <si>
    <t xml:space="preserve">Valuation date</t>
  </si>
  <si>
    <t xml:space="preserve">2026-10-16</t>
  </si>
  <si>
    <t xml:space="preserve">Current price</t>
  </si>
  <si>
    <t xml:space="preserve">Price as of</t>
  </si>
  <si>
    <t xml:space="preserve">2026-10-16T08:08:14Z HKEX regular close (Friday, 16:08 HKT); 52-week range 41.88-65.80, i.e. the price sits at the bottom of its range, 36% below the high, ahead of Q3 2026 results due around 29 October 2026</t>
  </si>
  <si>
    <t xml:space="preserve">Balance sheet date</t>
  </si>
  <si>
    <t xml:space="preserve">2026-06-30</t>
  </si>
  <si>
    <t xml:space="preserve">Model</t>
  </si>
  <si>
    <t xml:space="preserve">Life insurer FCFE at cost of equity, net debt held at zero (engine route)</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</si>
  <si>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</si>
  <si>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</si>
  <si>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</si>
  <si>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</si>
  <si>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</si>
  <si>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</si>
  <si>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</si>
  <si>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</si>
  <si>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</si>
  <si>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2026-10-16T09:27:57Z</t>
  </si>
  <si>
    <t xml:space="preserve">Drivers file</t>
  </si>
  <si>
    <t xml:space="preserve">1336.HK_Drivers.json</t>
  </si>
  <si>
    <t xml:space="preserve">Convention</t>
  </si>
  <si>
    <t xml:space="preserve">Percents stored as percents; formulas divide by 100. Blue = input, green = link, black = formula.</t>
  </si>
  <si>
    <t xml:space="preserve">Methodology</t>
  </si>
  <si>
    <t xml:space="preserve">summary: Value a Chinese life insurer on the cash it distributes, not on IFRS 17 net income (dominated by FVTPL and OCI investment variance) and not on OCF (policyholder float). Profit before tax after the structurally low 13.5% effective rate is the earnings measure; the payout ratio, calibrated to the FY2025 dividend and the H1 2026 solvency trajectory, sets how much of it must be retained. Debt interest is inside that measure, so net debt is zero. The FY2025 and H1 2026 margins are peak-cycle and are normalised down to the FY2019-25 average profit/investment-assets ratio, which coincides with the ~RMB29bn steady-state earnings the company's own embedded-value framework implies. CROSS-CHECK against EV: the base value of ~RMB50/share is ~0.5x the H1 2026 EV of RMB99.5/share (310,384 / 3,119.5) and the bull ~0.8x; the current H-share price is 0.36x EV, the A-share 0.53x. A full appraisal value (EV + 5x VNB = ~RMB120/share) is not used because the EV's 4.0% investment-return assumption sits 220bp above the 10-year CGB and the market has, reasonably, never paid it for an H-share lifer. Retained earnings are charged as lost cash (the engine's retention plug), which understates value if retained capital genuinely compounds EV at the 8.5% RDR; the rising payout path is the compromise, and its sensitivity is stated in inputs.notes.
key_risks_to_valuation: Capital-markets leverage: ~21% of a RMB1.9tn investment book in equities/funds and 31.5% at FVTPL; a 10% A-share drawdown is roughly a year of normalised profit through P&amp;L and OCI; Negative-spread risk: 10-year CGB yield ~1.8% and net investment yield 2.6% (H1 2026) against a legacy book with 3-3.5% guarantees; the EV's 4.0% long-run return assumption may be too high; Regulatory repricing: NFRA illustrated-rate cap cut 3.9% -&gt; 3.5% from 1 July 2026 and guaranteed-rate cuts compress new-business margins industry-wide; participating products also consume more capital; Solvency trajectory: core solvency fell from 135.11% to 126.21% in H1 2026 despite RMB22.8bn of profit; a further fall would cap the payout path the valuation depends on (payout flat at 25% roughly halves the base value); Payout policy is a state-shareholder decision (Central Huijin, China Baowu); the rise to 50% is a judgment, not guidance; A/H structure: the H-share has traded at a 30%+ discount to the A-share for years; the model values the H at the H price but there is no mechanism forcing convergence; Q3 2026 results (c. 29 Oct 2026) are the first evidence on H2 2026; the base assumes a weak H2 and the bear an H2 loss -- an H2 as strong as H1 would move the FY2026 anchor up ~RMB14bn of PBT; Model risk: FCFE charges all retained earnings as lost; if retained capital compounds EV at the RDR, value is understated by a wide margin</t>
  </si>
  <si>
    <t xml:space="preserve">Data sources</t>
  </si>
  <si>
    <t xml:space="preserve">price: Yahoo Finance chart API at inputs.price_as_of (HKEX regular close); 52-week range 41.88-65.80. FX: Yahoo HKDCNY=X, inverted, same date; A-share parity from 601336.SS
financials: 1336.HK_Metrics.csv (core_metrics, RMB millions, FY2016-FY2025 + H1 FY2023-FY2026); FY2025 Annual Report (consolidated income statement, investment income table, embedded value section incl. ANW/VIF/VNB, solvency, dividends, borrowings, Note 8 leases); H1 2026 Interim Report (share capital table, EV 310,384 / VNB 6,916, solvency 126.21% / 195.74%, investment assets 1,901,854 and yields, CSM 193,857, equity 123,578, tax)
qualitative: 1336.HK_Analysis.json (2026-10-16): reform program, EV/VNB disclosure, product-mix shift, NFRA rate cuts, solvency, bull/bear cases</t>
  </si>
  <si>
    <t xml:space="preserve">Scenario narrative: bear</t>
  </si>
  <si>
    <t xml:space="preserve">An H2 2026 equity drawdown and a further CGB yield decline expose negative-spread risk on the legacy guaranteed book; profit falls to the FY2022-23 level, the payout stays at 25-30% to protect a core solvency ratio drifting toward 110%, and the stock settles at 9x a flat dividend stream -- below today's price.</t>
  </si>
  <si>
    <t xml:space="preserve">Scenario narrative: base</t>
  </si>
  <si>
    <t xml:space="preserve">A state-controlled pure-play Chinese life insurer whose 2023-25 reform delivered VNB +57% and EV +11%, valued on the dividends it can actually pay. Profit normalises from the FY2025 / H1 2026 market-rally peak to ~1.3% of a RMB2tn investment book (~RMB26-28bn), grows with the book and the CSM at 5% fading to 3%, and the payout climbs from 28% toward the peer-level 50% as capital consumption eases. Capitalised at a 10.5% CNY cost of equity with the terminal capped at 12x FCFE, the H-share is worth roughly 0.5x embedded value -- well above a price that currently discounts it at 0.36x EV, 0.9x IFRS book and ~3x peak earnings.</t>
  </si>
  <si>
    <t xml:space="preserve">Scenario narrative: bull</t>
  </si>
  <si>
    <t xml:space="preserve">Investment yields hold near 5%, VNB compounds at 12-15%, the margin settles at 21-22% instead of 19%, solvency rebuilds and the payout reaches 55%; the H-share rerates toward the A-share's 0.8x EV.</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</si>
  <si>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</si>
  <si>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</si>
  <si>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</si>
  <si>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</si>
  <si>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</si>
  <si>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</si>
  <si>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</si>
  <si>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</si>
  <si>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</si>
  <si>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</si>
  <si>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</si>
  <si>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</si>
  <si>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</si>
  <si>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</si>
  <si>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</si>
  <si>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</si>
  <si>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</si>
  <si>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</si>
  <si>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</si>
  <si>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</si>
  <si>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</si>
  <si>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</si>
  <si>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</si>
  <si>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</si>
  <si>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</si>
  <si>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</si>
  <si>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</si>
  <si>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</si>
  <si>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ROE</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</si>
  <si>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</si>
  <si>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</si>
  <si>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</si>
  <si>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</si>
  <si>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</si>
  <si>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</si>
  <si>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</si>
  <si>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</si>
  <si>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</si>
  <si>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</si>
  <si>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</si>
  <si>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</si>
  <si>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</si>
  <si>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</si>
  <si>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</si>
  <si>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</si>
  <si>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</si>
  <si>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</si>
  <si>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</si>
  <si>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</si>
  <si>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</si>
  <si>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</si>
  <si>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</si>
  <si>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</si>
  <si>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</si>
  <si>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</si>
  <si>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</si>
  <si>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</si>
  <si>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</si>
  <si>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</si>
  <si>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</si>
  <si>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</si>
  <si>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</si>
  <si>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</si>
  <si>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</si>
  <si>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</si>
  <si>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</si>
  <si>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</si>
  <si>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</si>
  <si>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</si>
  <si>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</si>
  <si>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</si>
  <si>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</si>
  <si>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</si>
  <si>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</si>
  <si>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</si>
  <si>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</si>
  <si>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1336.HK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</si>
  <si>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</si>
  <si>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</si>
  <si>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</si>
  <si>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</si>
  <si>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</si>
  <si>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</si>
  <si>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</si>
  <si>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</si>
  <si>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</si>
  <si>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</si>
  <si>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</si>
  <si>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</si>
  <si>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</si>
  <si>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</si>
  <si>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</si>
  <si>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</si>
  <si>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</si>
  <si>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</si>
  <si>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</si>
  <si>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</si>
  <si>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</si>
  <si>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</si>
  <si>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</si>
  <si>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</si>
  <si>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</si>
  <si>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</si>
  <si>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</si>
  <si>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</si>
  <si>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</si>
  <si>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</si>
  <si>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1336.HK owner-FCF component DCF: base case (millions, CNY)</t>
  </si>
  <si>
    <t xml:space="preserve">1336.HK owner-FCF component DCF: bull case (millions, CNY)</t>
  </si>
  <si>
    <t xml:space="preserve">1336.HK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</si>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</sst>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42.1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144796</v>
      </c>
      <c r="I2" s="0" t="n">
        <v>4942</v>
      </c>
      <c r="J2" s="0" t="n">
        <v>3.4</v>
      </c>
      <c r="K2" s="0" t="n">
        <v>1.58</v>
      </c>
      <c r="L2" s="0" t="n">
        <v>7330</v>
      </c>
      <c r="O2" s="0" t="n">
        <v>59118</v>
      </c>
      <c r="P2" s="0" t="n">
        <v>699181</v>
      </c>
      <c r="Q2" s="0" t="n">
        <v>640056</v>
      </c>
      <c r="T2" s="0" t="n">
        <v>3119.55</v>
      </c>
      <c r="AA2" s="0" t="s">
        <v>18</v>
      </c>
      <c r="AB2" s="0" t="s">
        <v>14</v>
      </c>
      <c r="AC2" s="0" t="n">
        <v>18.95</v>
      </c>
    </row>
    <row r="3" customFormat="false" ht="15" hidden="false" customHeight="false" outlineLevel="0" collapsed="false">
      <c r="A3" s="0" t="s">
        <v>67</v>
      </c>
      <c r="B3" s="0" t="n">
        <v>143082</v>
      </c>
      <c r="I3" s="0" t="n">
        <v>5383</v>
      </c>
      <c r="J3" s="0" t="n">
        <v>3.8</v>
      </c>
      <c r="K3" s="0" t="n">
        <v>1.73</v>
      </c>
      <c r="L3" s="0" t="n">
        <v>7865</v>
      </c>
      <c r="M3" s="0" t="n">
        <v>3994</v>
      </c>
      <c r="N3" s="0" t="n">
        <v>3871</v>
      </c>
      <c r="O3" s="0" t="n">
        <v>63715</v>
      </c>
      <c r="P3" s="0" t="n">
        <v>710275</v>
      </c>
      <c r="Q3" s="0" t="n">
        <v>646552</v>
      </c>
      <c r="R3" s="0" t="n">
        <v>4000</v>
      </c>
      <c r="S3" s="0" t="n">
        <v>8812</v>
      </c>
      <c r="T3" s="0" t="n">
        <v>3119.55</v>
      </c>
      <c r="AA3" s="0" t="s">
        <v>18</v>
      </c>
      <c r="AB3" s="0" t="s">
        <v>14</v>
      </c>
      <c r="AC3" s="0" t="n">
        <v>20.42</v>
      </c>
      <c r="AD3" s="0" t="n">
        <v>8.76</v>
      </c>
    </row>
    <row r="4" customFormat="false" ht="15" hidden="false" customHeight="false" outlineLevel="0" collapsed="false">
      <c r="A4" s="0" t="s">
        <v>68</v>
      </c>
      <c r="B4" s="0" t="n">
        <v>151964</v>
      </c>
      <c r="I4" s="0" t="n">
        <v>7922</v>
      </c>
      <c r="J4" s="0" t="n">
        <v>5.2</v>
      </c>
      <c r="K4" s="0" t="n">
        <v>2.54</v>
      </c>
      <c r="L4" s="0" t="n">
        <v>13768</v>
      </c>
      <c r="M4" s="0" t="n">
        <v>7806</v>
      </c>
      <c r="N4" s="0" t="n">
        <v>5962</v>
      </c>
      <c r="O4" s="0" t="n">
        <v>65587</v>
      </c>
      <c r="P4" s="0" t="n">
        <v>733929</v>
      </c>
      <c r="Q4" s="0" t="n">
        <v>668333</v>
      </c>
      <c r="R4" s="0" t="n">
        <v>4000</v>
      </c>
      <c r="S4" s="0" t="n">
        <v>9005</v>
      </c>
      <c r="T4" s="0" t="n">
        <v>3119.55</v>
      </c>
      <c r="AA4" s="0" t="s">
        <v>18</v>
      </c>
      <c r="AB4" s="0" t="s">
        <v>14</v>
      </c>
      <c r="AC4" s="0" t="n">
        <v>21.02</v>
      </c>
      <c r="AD4" s="0" t="n">
        <v>12.25</v>
      </c>
    </row>
    <row r="5" customFormat="false" ht="15" hidden="false" customHeight="false" outlineLevel="0" collapsed="false">
      <c r="A5" s="0" t="s">
        <v>69</v>
      </c>
      <c r="B5" s="0" t="n">
        <v>172103</v>
      </c>
      <c r="I5" s="0" t="n">
        <v>14559</v>
      </c>
      <c r="J5" s="0" t="n">
        <v>8.5</v>
      </c>
      <c r="K5" s="0" t="n">
        <v>4.67</v>
      </c>
      <c r="L5" s="0" t="n">
        <v>42102</v>
      </c>
      <c r="M5" s="0" t="n">
        <v>5042</v>
      </c>
      <c r="N5" s="0" t="n">
        <v>37060</v>
      </c>
      <c r="O5" s="0" t="n">
        <v>84451</v>
      </c>
      <c r="P5" s="0" t="n">
        <v>878970</v>
      </c>
      <c r="Q5" s="0" t="n">
        <v>794509</v>
      </c>
      <c r="R5" s="0" t="n">
        <v>0</v>
      </c>
      <c r="S5" s="0" t="n">
        <v>11765</v>
      </c>
      <c r="T5" s="0" t="n">
        <v>3119.55</v>
      </c>
      <c r="AA5" s="0" t="s">
        <v>18</v>
      </c>
      <c r="AB5" s="0" t="s">
        <v>14</v>
      </c>
      <c r="AC5" s="0" t="n">
        <v>27.07</v>
      </c>
      <c r="AD5" s="0" t="n">
        <v>19.41</v>
      </c>
    </row>
    <row r="6" customFormat="false" ht="15" hidden="false" customHeight="false" outlineLevel="0" collapsed="false">
      <c r="A6" s="0" t="s">
        <v>70</v>
      </c>
      <c r="B6" s="0" t="n">
        <v>203858</v>
      </c>
      <c r="I6" s="0" t="n">
        <v>14294</v>
      </c>
      <c r="J6" s="0" t="n">
        <v>7</v>
      </c>
      <c r="K6" s="0" t="n">
        <v>4.58</v>
      </c>
      <c r="L6" s="0" t="n">
        <v>67179</v>
      </c>
      <c r="M6" s="0" t="n">
        <v>3035</v>
      </c>
      <c r="N6" s="0" t="n">
        <v>64144</v>
      </c>
      <c r="O6" s="0" t="n">
        <v>101667</v>
      </c>
      <c r="P6" s="0" t="n">
        <v>1004376</v>
      </c>
      <c r="Q6" s="0" t="n">
        <v>902696</v>
      </c>
      <c r="R6" s="0" t="n">
        <v>10000</v>
      </c>
      <c r="S6" s="0" t="n">
        <v>12993</v>
      </c>
      <c r="T6" s="0" t="n">
        <v>3119.55</v>
      </c>
      <c r="AA6" s="0" t="s">
        <v>18</v>
      </c>
      <c r="AB6" s="0" t="s">
        <v>14</v>
      </c>
      <c r="AC6" s="0" t="n">
        <v>32.59</v>
      </c>
      <c r="AD6" s="0" t="n">
        <v>15.36</v>
      </c>
    </row>
    <row r="7" customFormat="false" ht="15" hidden="false" customHeight="false" outlineLevel="0" collapsed="false">
      <c r="A7" s="0" t="s">
        <v>71</v>
      </c>
      <c r="B7" s="0" t="n">
        <v>220027</v>
      </c>
      <c r="I7" s="0" t="n">
        <v>14947</v>
      </c>
      <c r="J7" s="0" t="n">
        <v>6.8</v>
      </c>
      <c r="K7" s="0" t="n">
        <v>4.79</v>
      </c>
      <c r="L7" s="0" t="n">
        <v>73853</v>
      </c>
      <c r="M7" s="0" t="n">
        <v>3258</v>
      </c>
      <c r="N7" s="0" t="n">
        <v>70595</v>
      </c>
      <c r="O7" s="0" t="n">
        <v>108497</v>
      </c>
      <c r="P7" s="0" t="n">
        <v>1127721</v>
      </c>
      <c r="Q7" s="0" t="n">
        <v>1019207</v>
      </c>
      <c r="R7" s="0" t="n">
        <v>10000</v>
      </c>
      <c r="S7" s="0" t="n">
        <v>15459</v>
      </c>
      <c r="T7" s="0" t="n">
        <v>3119.55</v>
      </c>
      <c r="AA7" s="0" t="s">
        <v>18</v>
      </c>
      <c r="AB7" s="0" t="s">
        <v>14</v>
      </c>
      <c r="AC7" s="0" t="n">
        <v>34.77</v>
      </c>
      <c r="AD7" s="0" t="n">
        <v>14.22</v>
      </c>
    </row>
    <row r="8" customFormat="false" ht="15" hidden="false" customHeight="false" outlineLevel="0" collapsed="false">
      <c r="A8" s="0" t="s">
        <v>72</v>
      </c>
      <c r="B8" s="0" t="n">
        <v>209481</v>
      </c>
      <c r="I8" s="0" t="n">
        <v>9822</v>
      </c>
      <c r="J8" s="0" t="n">
        <v>4.7</v>
      </c>
      <c r="K8" s="0" t="n">
        <v>3.15</v>
      </c>
      <c r="L8" s="0" t="n">
        <v>89385</v>
      </c>
      <c r="M8" s="0" t="n">
        <v>1789</v>
      </c>
      <c r="N8" s="0" t="n">
        <v>87596</v>
      </c>
      <c r="O8" s="0" t="n">
        <v>102884</v>
      </c>
      <c r="P8" s="0" t="n">
        <v>1255044</v>
      </c>
      <c r="Q8" s="0" t="n">
        <v>1152139</v>
      </c>
      <c r="R8" s="0" t="n">
        <v>10000</v>
      </c>
      <c r="S8" s="0" t="n">
        <v>17586</v>
      </c>
      <c r="T8" s="0" t="n">
        <v>3119.55</v>
      </c>
      <c r="AA8" s="0" t="s">
        <v>18</v>
      </c>
      <c r="AB8" s="0" t="s">
        <v>14</v>
      </c>
      <c r="AC8" s="0" t="n">
        <v>32.98</v>
      </c>
      <c r="AD8" s="0" t="n">
        <v>9.29</v>
      </c>
    </row>
    <row r="9" customFormat="false" ht="15" hidden="false" customHeight="false" outlineLevel="0" collapsed="false">
      <c r="A9" s="0" t="s">
        <v>73</v>
      </c>
      <c r="B9" s="0" t="n">
        <v>72254</v>
      </c>
      <c r="I9" s="0" t="n">
        <v>8712</v>
      </c>
      <c r="J9" s="0" t="n">
        <v>12.1</v>
      </c>
      <c r="K9" s="0" t="n">
        <v>2.79</v>
      </c>
      <c r="L9" s="0" t="n">
        <v>91548</v>
      </c>
      <c r="M9" s="0" t="n">
        <v>2090</v>
      </c>
      <c r="N9" s="0" t="n">
        <v>89458</v>
      </c>
      <c r="O9" s="0" t="n">
        <v>105067</v>
      </c>
      <c r="P9" s="0" t="n">
        <v>1403257</v>
      </c>
      <c r="Q9" s="0" t="n">
        <v>1298165</v>
      </c>
      <c r="R9" s="0" t="n">
        <v>20262</v>
      </c>
      <c r="S9" s="0" t="n">
        <v>21788</v>
      </c>
      <c r="T9" s="0" t="n">
        <v>3119.55</v>
      </c>
      <c r="AA9" s="0" t="s">
        <v>18</v>
      </c>
      <c r="AB9" s="0" t="s">
        <v>14</v>
      </c>
    </row>
    <row r="10" customFormat="false" ht="15" hidden="false" customHeight="false" outlineLevel="0" collapsed="false">
      <c r="A10" s="0" t="s">
        <v>74</v>
      </c>
      <c r="B10" s="0" t="n">
        <v>132044</v>
      </c>
      <c r="I10" s="0" t="n">
        <v>26229</v>
      </c>
      <c r="J10" s="0" t="n">
        <v>19.9</v>
      </c>
      <c r="K10" s="0" t="n">
        <v>8.41</v>
      </c>
      <c r="L10" s="0" t="n">
        <v>96290</v>
      </c>
      <c r="M10" s="0" t="n">
        <v>1100</v>
      </c>
      <c r="N10" s="0" t="n">
        <v>95190</v>
      </c>
      <c r="O10" s="0" t="n">
        <v>96240</v>
      </c>
      <c r="P10" s="0" t="n">
        <v>1692297</v>
      </c>
      <c r="Q10" s="0" t="n">
        <v>1596028</v>
      </c>
      <c r="R10" s="0" t="n">
        <v>30384</v>
      </c>
      <c r="S10" s="0" t="n">
        <v>38432</v>
      </c>
      <c r="T10" s="0" t="n">
        <v>3119.55</v>
      </c>
      <c r="AA10" s="0" t="s">
        <v>18</v>
      </c>
      <c r="AB10" s="0" t="s">
        <v>14</v>
      </c>
    </row>
    <row r="11" customFormat="false" ht="15" hidden="false" customHeight="false" outlineLevel="0" collapsed="false">
      <c r="A11" s="0" t="s">
        <v>75</v>
      </c>
      <c r="B11" s="0" t="n">
        <v>155551</v>
      </c>
      <c r="I11" s="0" t="n">
        <v>36284</v>
      </c>
      <c r="J11" s="0" t="n">
        <v>23.3</v>
      </c>
      <c r="K11" s="0" t="n">
        <v>11.63</v>
      </c>
      <c r="L11" s="0" t="n">
        <v>110916</v>
      </c>
      <c r="M11" s="0" t="n">
        <v>1482</v>
      </c>
      <c r="N11" s="0" t="n">
        <v>109434</v>
      </c>
      <c r="O11" s="0" t="n">
        <v>111544</v>
      </c>
      <c r="P11" s="0" t="n">
        <v>1899484</v>
      </c>
      <c r="Q11" s="0" t="n">
        <v>1787906</v>
      </c>
      <c r="R11" s="0" t="n">
        <v>20173</v>
      </c>
      <c r="S11" s="0" t="n">
        <v>42898</v>
      </c>
      <c r="T11" s="0" t="n">
        <v>3119.55</v>
      </c>
      <c r="AA11" s="0" t="s">
        <v>18</v>
      </c>
      <c r="AB1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42.1</v>
      </c>
    </row>
    <row r="3" customFormat="false" ht="15" hidden="false" customHeight="false" outlineLevel="0" collapsed="false">
      <c r="A3" s="0" t="s">
        <v>79</v>
      </c>
      <c r="B3" s="3" t="n">
        <v>3119.547</v>
      </c>
    </row>
    <row r="4" customFormat="false" ht="15" hidden="false" customHeight="false" outlineLevel="0" collapsed="false">
      <c r="A4" s="0" t="s">
        <v>80</v>
      </c>
      <c r="B4" s="3" t="n">
        <v>0</v>
      </c>
    </row>
    <row r="5" customFormat="false" ht="15" hidden="false" customHeight="false" outlineLevel="0" collapsed="false">
      <c r="A5" s="0" t="s">
        <v>81</v>
      </c>
      <c r="B5" s="3" t="n">
        <v>0</v>
      </c>
    </row>
    <row r="6" customFormat="false" ht="15" hidden="false" customHeight="false" outlineLevel="0" collapsed="false">
      <c r="A6" s="0" t="s">
        <v>82</v>
      </c>
      <c r="B6" s="3" t="n">
        <v>15</v>
      </c>
    </row>
    <row r="7" customFormat="false" ht="15" hidden="false" customHeight="false" outlineLevel="0" collapsed="false">
      <c r="A7" s="0" t="s">
        <v>83</v>
      </c>
      <c r="B7" s="3" t="n">
        <v>155551</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1.1745</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-2</v>
      </c>
      <c r="D13" s="3" t="n">
        <v>-3</v>
      </c>
      <c r="E13" s="3" t="n">
        <v>2</v>
      </c>
      <c r="F13" s="3" t="n">
        <v>3</v>
      </c>
      <c r="G13" s="3" t="n">
        <v>3</v>
      </c>
      <c r="H13" s="3" t="n">
        <v>3</v>
      </c>
      <c r="I13" s="3" t="n">
        <v>3</v>
      </c>
      <c r="J13" s="3" t="n">
        <v>2.5</v>
      </c>
      <c r="K13" s="3" t="n">
        <v>2.5</v>
      </c>
      <c r="L13" s="3" t="n">
        <v>2.5</v>
      </c>
    </row>
    <row r="14" customFormat="false" ht="15" hidden="false" customHeight="false" outlineLevel="0" collapsed="false">
      <c r="A14" s="0" t="s">
        <v>100</v>
      </c>
      <c r="C14" s="3" t="n">
        <v>17</v>
      </c>
      <c r="D14" s="3" t="n">
        <v>13</v>
      </c>
      <c r="E14" s="3" t="n">
        <v>13.5</v>
      </c>
      <c r="F14" s="3" t="n">
        <v>14</v>
      </c>
      <c r="G14" s="3" t="n">
        <v>14</v>
      </c>
      <c r="H14" s="3" t="n">
        <v>14</v>
      </c>
      <c r="I14" s="3" t="n">
        <v>14</v>
      </c>
      <c r="J14" s="3" t="n">
        <v>14</v>
      </c>
      <c r="K14" s="3" t="n">
        <v>14</v>
      </c>
      <c r="L14" s="3" t="n">
        <v>14</v>
      </c>
    </row>
    <row r="15" customFormat="false" ht="15" hidden="false" customHeight="false" outlineLevel="0" collapsed="false">
      <c r="A15" s="0" t="s">
        <v>101</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104</v>
      </c>
      <c r="C18" s="3" t="n">
        <v>10.84</v>
      </c>
      <c r="D18" s="3" t="n">
        <v>7.96</v>
      </c>
      <c r="E18" s="3" t="n">
        <v>8.03</v>
      </c>
      <c r="F18" s="3" t="n">
        <v>8.33</v>
      </c>
      <c r="G18" s="3" t="n">
        <v>8.09</v>
      </c>
      <c r="H18" s="3" t="n">
        <v>7.85</v>
      </c>
      <c r="I18" s="3" t="n">
        <v>7.62</v>
      </c>
      <c r="J18" s="3" t="n">
        <v>7.38</v>
      </c>
      <c r="K18" s="3" t="n">
        <v>7.14</v>
      </c>
      <c r="L18" s="3" t="n">
        <v>7.14</v>
      </c>
    </row>
    <row r="19" customFormat="false" ht="15" hidden="false" customHeight="false" outlineLevel="0" collapsed="false">
      <c r="A19" s="0" t="s">
        <v>105</v>
      </c>
      <c r="C19" s="3" t="n">
        <v>15</v>
      </c>
      <c r="D19" s="3" t="n">
        <v>15</v>
      </c>
      <c r="E19" s="3" t="n">
        <v>15</v>
      </c>
      <c r="F19" s="3" t="n">
        <v>15</v>
      </c>
      <c r="G19" s="3" t="n">
        <v>15</v>
      </c>
      <c r="H19" s="3" t="n">
        <v>15</v>
      </c>
      <c r="I19" s="3" t="n">
        <v>15</v>
      </c>
      <c r="J19" s="3" t="n">
        <v>15</v>
      </c>
      <c r="K19" s="3" t="n">
        <v>15</v>
      </c>
      <c r="L19" s="3" t="n">
        <v>15</v>
      </c>
    </row>
    <row r="20" customFormat="false" ht="15" hidden="false" customHeight="false" outlineLevel="0" collapsed="false">
      <c r="A20" s="0" t="s">
        <v>106</v>
      </c>
      <c r="B20" s="3" t="n">
        <v>10.5</v>
      </c>
    </row>
    <row r="21" customFormat="false" ht="15" hidden="false" customHeight="false" outlineLevel="0" collapsed="false">
      <c r="A21" s="0" t="s">
        <v>107</v>
      </c>
      <c r="B21" s="3" t="n">
        <v>2.5</v>
      </c>
    </row>
    <row r="22" customFormat="false" ht="15" hidden="false" customHeight="false" outlineLevel="0" collapsed="false">
      <c r="A22" s="0" t="s">
        <v>108</v>
      </c>
      <c r="B22" s="3" t="n">
        <v>9</v>
      </c>
    </row>
    <row r="23" customFormat="false" ht="15" hidden="false" customHeight="false" outlineLevel="0" collapsed="false">
      <c r="A23" s="0" t="s">
        <v>109</v>
      </c>
      <c r="B23" s="3" t="n">
        <v>0</v>
      </c>
    </row>
    <row r="24" customFormat="false" ht="15" hidden="false" customHeight="false" outlineLevel="0" collapsed="false">
      <c r="A24" s="0" t="s">
        <v>110</v>
      </c>
      <c r="B24" s="3" t="n">
        <v>0.3</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4</v>
      </c>
      <c r="D27" s="3" t="n">
        <v>1</v>
      </c>
      <c r="E27" s="3" t="n">
        <v>5</v>
      </c>
      <c r="F27" s="3" t="n">
        <v>5.5</v>
      </c>
      <c r="G27" s="3" t="n">
        <v>5.5</v>
      </c>
      <c r="H27" s="3" t="n">
        <v>5</v>
      </c>
      <c r="I27" s="3" t="n">
        <v>4.5</v>
      </c>
      <c r="J27" s="3" t="n">
        <v>4</v>
      </c>
      <c r="K27" s="3" t="n">
        <v>3.5</v>
      </c>
      <c r="L27" s="3" t="n">
        <v>3</v>
      </c>
    </row>
    <row r="28" customFormat="false" ht="15" hidden="false" customHeight="false" outlineLevel="0" collapsed="false">
      <c r="A28" s="0" t="s">
        <v>100</v>
      </c>
      <c r="C28" s="3" t="n">
        <v>23</v>
      </c>
      <c r="D28" s="3" t="n">
        <v>18.5</v>
      </c>
      <c r="E28" s="3" t="n">
        <v>18.8</v>
      </c>
      <c r="F28" s="3" t="n">
        <v>19</v>
      </c>
      <c r="G28" s="3" t="n">
        <v>19</v>
      </c>
      <c r="H28" s="3" t="n">
        <v>19</v>
      </c>
      <c r="I28" s="3" t="n">
        <v>19</v>
      </c>
      <c r="J28" s="3" t="n">
        <v>19</v>
      </c>
      <c r="K28" s="3" t="n">
        <v>19</v>
      </c>
      <c r="L28" s="3" t="n">
        <v>19</v>
      </c>
    </row>
    <row r="29" customFormat="false" ht="15" hidden="false" customHeight="false" outlineLevel="0" collapsed="false">
      <c r="A29" s="0" t="s">
        <v>101</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104</v>
      </c>
      <c r="C32" s="3" t="n">
        <v>14.32</v>
      </c>
      <c r="D32" s="3" t="n">
        <v>10.88</v>
      </c>
      <c r="E32" s="3" t="n">
        <v>10.57</v>
      </c>
      <c r="F32" s="3" t="n">
        <v>10.19</v>
      </c>
      <c r="G32" s="3" t="n">
        <v>9.86</v>
      </c>
      <c r="H32" s="3" t="n">
        <v>9.53</v>
      </c>
      <c r="I32" s="3" t="n">
        <v>9.2</v>
      </c>
      <c r="J32" s="3" t="n">
        <v>8.87</v>
      </c>
      <c r="K32" s="3" t="n">
        <v>8.55</v>
      </c>
      <c r="L32" s="3" t="n">
        <v>8.22</v>
      </c>
    </row>
    <row r="33" customFormat="false" ht="15" hidden="false" customHeight="false" outlineLevel="0" collapsed="false">
      <c r="A33" s="0" t="s">
        <v>105</v>
      </c>
      <c r="C33" s="3" t="n">
        <v>13.5</v>
      </c>
      <c r="D33" s="3" t="n">
        <v>13.5</v>
      </c>
      <c r="E33" s="3" t="n">
        <v>13.5</v>
      </c>
      <c r="F33" s="3" t="n">
        <v>13.5</v>
      </c>
      <c r="G33" s="3" t="n">
        <v>13.5</v>
      </c>
      <c r="H33" s="3" t="n">
        <v>13.5</v>
      </c>
      <c r="I33" s="3" t="n">
        <v>13.5</v>
      </c>
      <c r="J33" s="3" t="n">
        <v>13.5</v>
      </c>
      <c r="K33" s="3" t="n">
        <v>13.5</v>
      </c>
      <c r="L33" s="3" t="n">
        <v>13.5</v>
      </c>
    </row>
    <row r="34" customFormat="false" ht="15" hidden="false" customHeight="false" outlineLevel="0" collapsed="false">
      <c r="A34" s="0" t="s">
        <v>106</v>
      </c>
      <c r="B34" s="3" t="n">
        <v>10.5</v>
      </c>
    </row>
    <row r="35" customFormat="false" ht="15" hidden="false" customHeight="false" outlineLevel="0" collapsed="false">
      <c r="A35" s="0" t="s">
        <v>107</v>
      </c>
      <c r="B35" s="3" t="n">
        <v>3</v>
      </c>
    </row>
    <row r="36" customFormat="false" ht="15" hidden="false" customHeight="false" outlineLevel="0" collapsed="false">
      <c r="A36" s="0" t="s">
        <v>108</v>
      </c>
      <c r="B36" s="3" t="n">
        <v>12</v>
      </c>
    </row>
    <row r="37" customFormat="false" ht="15" hidden="false" customHeight="false" outlineLevel="0" collapsed="false">
      <c r="A37" s="0" t="s">
        <v>109</v>
      </c>
      <c r="B37" s="3" t="n">
        <v>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8</v>
      </c>
      <c r="D41" s="3" t="n">
        <v>7</v>
      </c>
      <c r="E41" s="3" t="n">
        <v>6</v>
      </c>
      <c r="F41" s="3" t="n">
        <v>6</v>
      </c>
      <c r="G41" s="3" t="n">
        <v>6</v>
      </c>
      <c r="H41" s="3" t="n">
        <v>5.5</v>
      </c>
      <c r="I41" s="3" t="n">
        <v>5</v>
      </c>
      <c r="J41" s="3" t="n">
        <v>4.5</v>
      </c>
      <c r="K41" s="3" t="n">
        <v>4</v>
      </c>
      <c r="L41" s="3" t="n">
        <v>3.5</v>
      </c>
    </row>
    <row r="42" customFormat="false" ht="15" hidden="false" customHeight="false" outlineLevel="0" collapsed="false">
      <c r="A42" s="0" t="s">
        <v>100</v>
      </c>
      <c r="C42" s="3" t="n">
        <v>25</v>
      </c>
      <c r="D42" s="3" t="n">
        <v>21</v>
      </c>
      <c r="E42" s="3" t="n">
        <v>21.5</v>
      </c>
      <c r="F42" s="3" t="n">
        <v>22</v>
      </c>
      <c r="G42" s="3" t="n">
        <v>22</v>
      </c>
      <c r="H42" s="3" t="n">
        <v>22</v>
      </c>
      <c r="I42" s="3" t="n">
        <v>22</v>
      </c>
      <c r="J42" s="3" t="n">
        <v>22</v>
      </c>
      <c r="K42" s="3" t="n">
        <v>22</v>
      </c>
      <c r="L42" s="3" t="n">
        <v>22</v>
      </c>
    </row>
    <row r="43" customFormat="false" ht="15" hidden="false" customHeight="false" outlineLevel="0" collapsed="false">
      <c r="A43" s="0" t="s">
        <v>101</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104</v>
      </c>
      <c r="C46" s="3" t="n">
        <v>15.57</v>
      </c>
      <c r="D46" s="3" t="n">
        <v>12.17</v>
      </c>
      <c r="E46" s="3" t="n">
        <v>11.72</v>
      </c>
      <c r="F46" s="3" t="n">
        <v>11.23</v>
      </c>
      <c r="G46" s="3" t="n">
        <v>10.66</v>
      </c>
      <c r="H46" s="3" t="n">
        <v>10.09</v>
      </c>
      <c r="I46" s="3" t="n">
        <v>9.52</v>
      </c>
      <c r="J46" s="3" t="n">
        <v>9.13</v>
      </c>
      <c r="K46" s="3" t="n">
        <v>8.75</v>
      </c>
      <c r="L46" s="3" t="n">
        <v>8.56</v>
      </c>
    </row>
    <row r="47" customFormat="false" ht="15" hidden="false" customHeight="false" outlineLevel="0" collapsed="false">
      <c r="A47" s="0" t="s">
        <v>105</v>
      </c>
      <c r="C47" s="3" t="n">
        <v>13.5</v>
      </c>
      <c r="D47" s="3" t="n">
        <v>13.5</v>
      </c>
      <c r="E47" s="3" t="n">
        <v>13.5</v>
      </c>
      <c r="F47" s="3" t="n">
        <v>13.5</v>
      </c>
      <c r="G47" s="3" t="n">
        <v>13.5</v>
      </c>
      <c r="H47" s="3" t="n">
        <v>13.5</v>
      </c>
      <c r="I47" s="3" t="n">
        <v>13.5</v>
      </c>
      <c r="J47" s="3" t="n">
        <v>13.5</v>
      </c>
      <c r="K47" s="3" t="n">
        <v>13.5</v>
      </c>
      <c r="L47" s="3" t="n">
        <v>13.5</v>
      </c>
    </row>
    <row r="48" customFormat="false" ht="15" hidden="false" customHeight="false" outlineLevel="0" collapsed="false">
      <c r="A48" s="0" t="s">
        <v>106</v>
      </c>
      <c r="B48" s="3" t="n">
        <v>10.5</v>
      </c>
    </row>
    <row r="49" customFormat="false" ht="15" hidden="false" customHeight="false" outlineLevel="0" collapsed="false">
      <c r="A49" s="0" t="s">
        <v>107</v>
      </c>
      <c r="B49" s="3" t="n">
        <v>3.5</v>
      </c>
    </row>
    <row r="50" customFormat="false" ht="15" hidden="false" customHeight="false" outlineLevel="0" collapsed="false">
      <c r="A50" s="0" t="s">
        <v>108</v>
      </c>
      <c r="B50" s="3" t="n">
        <v>14</v>
      </c>
    </row>
    <row r="51" customFormat="false" ht="15" hidden="false" customHeight="false" outlineLevel="0" collapsed="false">
      <c r="A51" s="0" t="s">
        <v>109</v>
      </c>
      <c r="B51" s="3" t="n">
        <v>0</v>
      </c>
    </row>
    <row r="52" customFormat="false" ht="15" hidden="false" customHeight="false" outlineLevel="0" collapsed="false">
      <c r="A52" s="0" t="s">
        <v>110</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-2</v>
      </c>
      <c r="D5" s="4" t="n">
        <f aca="false">Assumptions!D13</f>
        <v>-3</v>
      </c>
      <c r="E5" s="4" t="n">
        <f aca="false">Assumptions!E13</f>
        <v>2</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155551</v>
      </c>
      <c r="C6" s="0" t="n">
        <f aca="false">B6*(1+C5/100)</f>
        <v>152439.98</v>
      </c>
      <c r="D6" s="0" t="n">
        <f aca="false">C6*(1+D5/100)</f>
        <v>147866.7806</v>
      </c>
      <c r="E6" s="0" t="n">
        <f aca="false">D6*(1+E5/100)</f>
        <v>150824.116212</v>
      </c>
      <c r="F6" s="0" t="n">
        <f aca="false">E6*(1+F5/100)</f>
        <v>155348.83969836</v>
      </c>
      <c r="G6" s="0" t="n">
        <f aca="false">F6*(1+G5/100)</f>
        <v>160009.304889311</v>
      </c>
      <c r="H6" s="0" t="n">
        <f aca="false">G6*(1+H5/100)</f>
        <v>164809.58403599</v>
      </c>
      <c r="I6" s="0" t="n">
        <f aca="false">H6*(1+I5/100)</f>
        <v>169753.87155707</v>
      </c>
      <c r="J6" s="0" t="n">
        <f aca="false">I6*(1+J5/100)</f>
        <v>173997.718345997</v>
      </c>
      <c r="K6" s="0" t="n">
        <f aca="false">J6*(1+K5/100)</f>
        <v>178347.661304646</v>
      </c>
      <c r="L6" s="0" t="n">
        <f aca="false">K6*(1+L5/100)</f>
        <v>182806.352837263</v>
      </c>
    </row>
    <row r="7" customFormat="false" ht="15" hidden="false" customHeight="false" outlineLevel="0" collapsed="false">
      <c r="A7" s="0" t="s">
        <v>100</v>
      </c>
      <c r="C7" s="4" t="n">
        <f aca="false">Assumptions!C14</f>
        <v>17</v>
      </c>
      <c r="D7" s="4" t="n">
        <f aca="false">Assumptions!D14</f>
        <v>13</v>
      </c>
      <c r="E7" s="4" t="n">
        <f aca="false">Assumptions!E14</f>
        <v>13.5</v>
      </c>
      <c r="F7" s="4" t="n">
        <f aca="false">Assumptions!F14</f>
        <v>14</v>
      </c>
      <c r="G7" s="4" t="n">
        <f aca="false">Assumptions!G14</f>
        <v>14</v>
      </c>
      <c r="H7" s="4" t="n">
        <f aca="false">Assumptions!H14</f>
        <v>14</v>
      </c>
      <c r="I7" s="4" t="n">
        <f aca="false">Assumptions!I14</f>
        <v>14</v>
      </c>
      <c r="J7" s="4" t="n">
        <f aca="false">Assumptions!J14</f>
        <v>14</v>
      </c>
      <c r="K7" s="4" t="n">
        <f aca="false">Assumptions!K14</f>
        <v>14</v>
      </c>
      <c r="L7" s="4" t="n">
        <f aca="false">Assumptions!L14</f>
        <v>14</v>
      </c>
    </row>
    <row r="8" customFormat="false" ht="15" hidden="false" customHeight="false" outlineLevel="0" collapsed="false">
      <c r="A8" s="0" t="s">
        <v>44</v>
      </c>
      <c r="C8" s="0" t="n">
        <f aca="false">C6*C7/100</f>
        <v>25914.7966</v>
      </c>
      <c r="D8" s="0" t="n">
        <f aca="false">D6*D7/100</f>
        <v>19222.681478</v>
      </c>
      <c r="E8" s="0" t="n">
        <f aca="false">E6*E7/100</f>
        <v>20361.25568862</v>
      </c>
      <c r="F8" s="0" t="n">
        <f aca="false">F6*F7/100</f>
        <v>21748.8375577704</v>
      </c>
      <c r="G8" s="0" t="n">
        <f aca="false">G6*G7/100</f>
        <v>22401.3026845035</v>
      </c>
      <c r="H8" s="0" t="n">
        <f aca="false">H6*H7/100</f>
        <v>23073.3417650386</v>
      </c>
      <c r="I8" s="0" t="n">
        <f aca="false">I6*I7/100</f>
        <v>23765.5420179898</v>
      </c>
      <c r="J8" s="0" t="n">
        <f aca="false">J6*J7/100</f>
        <v>24359.6805684395</v>
      </c>
      <c r="K8" s="0" t="n">
        <f aca="false">K6*K7/100</f>
        <v>24968.6725826505</v>
      </c>
      <c r="L8" s="0" t="n">
        <f aca="false">L6*L7/100</f>
        <v>25592.8893972168</v>
      </c>
    </row>
    <row r="9" customFormat="false" ht="15" hidden="false" customHeight="false" outlineLevel="0" collapsed="false">
      <c r="A9" s="0" t="s">
        <v>101</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25914.7966</v>
      </c>
      <c r="D11" s="0" t="n">
        <f aca="false">D8+D10+D24</f>
        <v>19222.681478</v>
      </c>
      <c r="E11" s="0" t="n">
        <f aca="false">E8+E10+E24</f>
        <v>20361.25568862</v>
      </c>
      <c r="F11" s="0" t="n">
        <f aca="false">F8+F10+F24</f>
        <v>21748.8375577704</v>
      </c>
      <c r="G11" s="0" t="n">
        <f aca="false">G8+G10+G24</f>
        <v>22401.3026845035</v>
      </c>
      <c r="H11" s="0" t="n">
        <f aca="false">H8+H10+H24</f>
        <v>23073.3417650386</v>
      </c>
      <c r="I11" s="0" t="n">
        <f aca="false">I8+I10+I24</f>
        <v>23765.5420179898</v>
      </c>
      <c r="J11" s="0" t="n">
        <f aca="false">J8+J10+J24</f>
        <v>24359.6805684395</v>
      </c>
      <c r="K11" s="0" t="n">
        <f aca="false">K8+K10+K24</f>
        <v>24968.6725826505</v>
      </c>
      <c r="L11" s="0" t="n">
        <f aca="false">L8+L10+L24</f>
        <v>25592.8893972168</v>
      </c>
    </row>
    <row r="12" customFormat="false" ht="15" hidden="false" customHeight="false" outlineLevel="0" collapsed="false">
      <c r="A12" s="0" t="s">
        <v>118</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119</v>
      </c>
      <c r="C13" s="0" t="n">
        <f aca="false">C11+C12</f>
        <v>25914.7966</v>
      </c>
      <c r="D13" s="0" t="n">
        <f aca="false">D11+D12</f>
        <v>19222.681478</v>
      </c>
      <c r="E13" s="0" t="n">
        <f aca="false">E11+E12</f>
        <v>20361.25568862</v>
      </c>
      <c r="F13" s="0" t="n">
        <f aca="false">F11+F12</f>
        <v>21748.8375577704</v>
      </c>
      <c r="G13" s="0" t="n">
        <f aca="false">G11+G12</f>
        <v>22401.3026845035</v>
      </c>
      <c r="H13" s="0" t="n">
        <f aca="false">H11+H12</f>
        <v>23073.3417650386</v>
      </c>
      <c r="I13" s="0" t="n">
        <f aca="false">I11+I12</f>
        <v>23765.5420179898</v>
      </c>
      <c r="J13" s="0" t="n">
        <f aca="false">J11+J12</f>
        <v>24359.6805684395</v>
      </c>
      <c r="K13" s="0" t="n">
        <f aca="false">K11+K12</f>
        <v>24968.6725826505</v>
      </c>
      <c r="L13" s="0" t="n">
        <f aca="false">L11+L12</f>
        <v>25592.8893972168</v>
      </c>
    </row>
    <row r="14" customFormat="false" ht="15" hidden="false" customHeight="false" outlineLevel="0" collapsed="false">
      <c r="A14" s="0" t="s">
        <v>105</v>
      </c>
      <c r="C14" s="4" t="n">
        <f aca="false">Assumptions!C19</f>
        <v>15</v>
      </c>
      <c r="D14" s="4" t="n">
        <f aca="false">Assumptions!D19</f>
        <v>15</v>
      </c>
      <c r="E14" s="4" t="n">
        <f aca="false">Assumptions!E19</f>
        <v>15</v>
      </c>
      <c r="F14" s="4" t="n">
        <f aca="false">Assumptions!F19</f>
        <v>15</v>
      </c>
      <c r="G14" s="4" t="n">
        <f aca="false">Assumptions!G19</f>
        <v>15</v>
      </c>
      <c r="H14" s="4" t="n">
        <f aca="false">Assumptions!H19</f>
        <v>15</v>
      </c>
      <c r="I14" s="4" t="n">
        <f aca="false">Assumptions!I19</f>
        <v>15</v>
      </c>
      <c r="J14" s="4" t="n">
        <f aca="false">Assumptions!J19</f>
        <v>15</v>
      </c>
      <c r="K14" s="4" t="n">
        <f aca="false">Assumptions!K19</f>
        <v>15</v>
      </c>
      <c r="L14" s="4" t="n">
        <f aca="false">Assumptions!L19</f>
        <v>15</v>
      </c>
    </row>
    <row r="15" customFormat="false" ht="15" hidden="false" customHeight="false" outlineLevel="0" collapsed="false">
      <c r="A15" s="0" t="s">
        <v>120</v>
      </c>
      <c r="C15" s="0" t="n">
        <f aca="false">C13-MAX(0,C13)*C14/100</f>
        <v>22027.57711</v>
      </c>
      <c r="D15" s="0" t="n">
        <f aca="false">D13-MAX(0,D13)*D14/100</f>
        <v>16339.2792563</v>
      </c>
      <c r="E15" s="0" t="n">
        <f aca="false">E13-MAX(0,E13)*E14/100</f>
        <v>17307.067335327</v>
      </c>
      <c r="F15" s="0" t="n">
        <f aca="false">F13-MAX(0,F13)*F14/100</f>
        <v>18486.5119241048</v>
      </c>
      <c r="G15" s="0" t="n">
        <f aca="false">G13-MAX(0,G13)*G14/100</f>
        <v>19041.107281828</v>
      </c>
      <c r="H15" s="0" t="n">
        <f aca="false">H13-MAX(0,H13)*H14/100</f>
        <v>19612.3405002828</v>
      </c>
      <c r="I15" s="0" t="n">
        <f aca="false">I13-MAX(0,I13)*I14/100</f>
        <v>20200.7107152913</v>
      </c>
      <c r="J15" s="0" t="n">
        <f aca="false">J13-MAX(0,J13)*J14/100</f>
        <v>20705.7284831736</v>
      </c>
      <c r="K15" s="0" t="n">
        <f aca="false">K13-MAX(0,K13)*K14/100</f>
        <v>21223.3716952529</v>
      </c>
      <c r="L15" s="0" t="n">
        <f aca="false">L13-MAX(0,L13)*L14/100</f>
        <v>21753.9559876343</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-C6*Assumptions!C18/100</f>
        <v>-16524.493832</v>
      </c>
      <c r="D17" s="4" t="n">
        <f aca="false">-D6*Assumptions!D18/100</f>
        <v>-11770.19573576</v>
      </c>
      <c r="E17" s="4" t="n">
        <f aca="false">-E6*Assumptions!E18/100</f>
        <v>-12111.1765318236</v>
      </c>
      <c r="F17" s="4" t="n">
        <f aca="false">-F6*Assumptions!F18/100</f>
        <v>-12940.5583468734</v>
      </c>
      <c r="G17" s="4" t="n">
        <f aca="false">-G6*Assumptions!G18/100</f>
        <v>-12944.7527655452</v>
      </c>
      <c r="H17" s="4" t="n">
        <f aca="false">-H6*Assumptions!H18/100</f>
        <v>-12937.5523468252</v>
      </c>
      <c r="I17" s="4" t="n">
        <f aca="false">-I6*Assumptions!I18/100</f>
        <v>-12935.2450126487</v>
      </c>
      <c r="J17" s="4" t="n">
        <f aca="false">-J6*Assumptions!J18/100</f>
        <v>-12841.0316139345</v>
      </c>
      <c r="K17" s="4" t="n">
        <f aca="false">-K6*Assumptions!K18/100</f>
        <v>-12734.0230171518</v>
      </c>
      <c r="L17" s="4" t="n">
        <f aca="false">-L6*Assumptions!L18/100</f>
        <v>-13052.3735925806</v>
      </c>
    </row>
    <row r="18" customFormat="false" ht="15" hidden="false" customHeight="false" outlineLevel="0" collapsed="false">
      <c r="A18" s="0" t="s">
        <v>123</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124</v>
      </c>
      <c r="C19" s="0" t="n">
        <f aca="false">C15+C16+C17+C18</f>
        <v>5503.083278</v>
      </c>
      <c r="D19" s="0" t="n">
        <f aca="false">D15+D16+D17+D18</f>
        <v>4569.08352054</v>
      </c>
      <c r="E19" s="0" t="n">
        <f aca="false">E15+E16+E17+E18</f>
        <v>5195.8908035034</v>
      </c>
      <c r="F19" s="0" t="n">
        <f aca="false">F15+F16+F17+F18</f>
        <v>5545.95357723145</v>
      </c>
      <c r="G19" s="0" t="n">
        <f aca="false">G15+G16+G17+G18</f>
        <v>6096.35451628274</v>
      </c>
      <c r="H19" s="0" t="n">
        <f aca="false">H15+H16+H17+H18</f>
        <v>6674.7881534576</v>
      </c>
      <c r="I19" s="0" t="n">
        <f aca="false">I15+I16+I17+I18</f>
        <v>7265.46570264259</v>
      </c>
      <c r="J19" s="0" t="n">
        <f aca="false">J15+J16+J17+J18</f>
        <v>7864.69686923905</v>
      </c>
      <c r="K19" s="0" t="n">
        <f aca="false">K15+K16+K17+K18</f>
        <v>8489.34867810117</v>
      </c>
      <c r="L19" s="0" t="n">
        <f aca="false">L15+L16+L17+L18</f>
        <v>8701.5823950537</v>
      </c>
    </row>
    <row r="20" customFormat="false" ht="15" hidden="false" customHeight="false" outlineLevel="0" collapsed="false">
      <c r="A20" s="0" t="s">
        <v>125</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126</v>
      </c>
      <c r="C21" s="0" t="n">
        <f aca="false">C19*C20</f>
        <v>4980.16586244344</v>
      </c>
      <c r="D21" s="0" t="n">
        <f aca="false">D19*D20</f>
        <v>3742.00652774513</v>
      </c>
      <c r="E21" s="0" t="n">
        <f aca="false">E19*E20</f>
        <v>3850.99700913577</v>
      </c>
      <c r="F21" s="0" t="n">
        <f aca="false">F19*F20</f>
        <v>3719.8644772851</v>
      </c>
      <c r="G21" s="0" t="n">
        <f aca="false">G19*G20</f>
        <v>3700.48649966664</v>
      </c>
      <c r="H21" s="0" t="n">
        <f aca="false">H19*H20</f>
        <v>3666.60239981933</v>
      </c>
      <c r="I21" s="0" t="n">
        <f aca="false">I19*I20</f>
        <v>3611.83174557031</v>
      </c>
      <c r="J21" s="0" t="n">
        <f aca="false">J19*J20</f>
        <v>3538.21129048659</v>
      </c>
      <c r="K21" s="0" t="n">
        <f aca="false">K19*K20</f>
        <v>3456.3194022112</v>
      </c>
      <c r="L21" s="0" t="n">
        <f aca="false">L19*L20</f>
        <v>3206.08813327283</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10.5</v>
      </c>
    </row>
    <row r="28" customFormat="false" ht="15" hidden="false" customHeight="false" outlineLevel="0" collapsed="false">
      <c r="A28" s="0" t="s">
        <v>107</v>
      </c>
      <c r="B28" s="4" t="n">
        <f aca="false">Assumptions!$B$21</f>
        <v>2.5</v>
      </c>
    </row>
    <row r="29" customFormat="false" ht="15" hidden="false" customHeight="false" outlineLevel="0" collapsed="false">
      <c r="A29" s="0" t="s">
        <v>108</v>
      </c>
      <c r="B29" s="4" t="n">
        <f aca="false">Assumptions!$B$22</f>
        <v>9</v>
      </c>
    </row>
    <row r="30" customFormat="false" ht="15" hidden="false" customHeight="false" outlineLevel="0" collapsed="false">
      <c r="A30" s="0" t="s">
        <v>129</v>
      </c>
      <c r="B30" s="0" t="n">
        <f aca="false">SUM(C21:L21)</f>
        <v>37472.5733476363</v>
      </c>
    </row>
    <row r="31" customFormat="false" ht="15" hidden="false" customHeight="false" outlineLevel="0" collapsed="false">
      <c r="A31" s="0" t="s">
        <v>130</v>
      </c>
      <c r="B31" s="0" t="n">
        <f aca="false">L19</f>
        <v>8701.5823950537</v>
      </c>
    </row>
    <row r="32" customFormat="false" ht="15" hidden="false" customHeight="false" outlineLevel="0" collapsed="false">
      <c r="A32" s="0" t="s">
        <v>131</v>
      </c>
      <c r="B32" s="0" t="n">
        <f aca="false">IF(B27&gt;B28,B31*(1+B28/100)/((B27-B28)/100),B31*B29)</f>
        <v>111489.024436626</v>
      </c>
    </row>
    <row r="33" customFormat="false" ht="15" hidden="false" customHeight="false" outlineLevel="0" collapsed="false">
      <c r="A33" s="0" t="s">
        <v>132</v>
      </c>
      <c r="B33" s="0" t="n">
        <f aca="false">B31*B29</f>
        <v>78314.2415554833</v>
      </c>
    </row>
    <row r="34" customFormat="false" ht="15" hidden="false" customHeight="false" outlineLevel="0" collapsed="false">
      <c r="A34" s="0" t="s">
        <v>133</v>
      </c>
      <c r="B34" s="0" t="n">
        <f aca="false">MAX(0,MIN(B32,B33))</f>
        <v>78314.2415554833</v>
      </c>
    </row>
    <row r="35" customFormat="false" ht="15" hidden="false" customHeight="false" outlineLevel="0" collapsed="false">
      <c r="A35" s="0" t="s">
        <v>134</v>
      </c>
      <c r="B35" s="0" t="n">
        <f aca="false">B34/(1+B27/100)^L4</f>
        <v>28854.7931994555</v>
      </c>
    </row>
    <row r="36" customFormat="false" ht="15" hidden="false" customHeight="false" outlineLevel="0" collapsed="false">
      <c r="A36" s="0" t="s">
        <v>135</v>
      </c>
      <c r="B36" s="0" t="n">
        <f aca="false">B30+B35</f>
        <v>66327.3665470918</v>
      </c>
    </row>
    <row r="37" customFormat="false" ht="15" hidden="false" customHeight="false" outlineLevel="0" collapsed="false">
      <c r="A37" s="0" t="s">
        <v>136</v>
      </c>
      <c r="B37" s="0" t="n">
        <f aca="false">B36+Assumptions!$B$5-Assumptions!$B$4</f>
        <v>66327.3665470918</v>
      </c>
    </row>
    <row r="38" customFormat="false" ht="15" hidden="false" customHeight="false" outlineLevel="0" collapsed="false">
      <c r="A38" s="0" t="s">
        <v>137</v>
      </c>
      <c r="B38" s="0" t="n">
        <f aca="false">B37/Assumptions!$B$3*Assumptions!$B$10</f>
        <v>24.9720526760967</v>
      </c>
    </row>
    <row r="39" customFormat="false" ht="15" hidden="false" customHeight="false" outlineLevel="0" collapsed="false">
      <c r="A39" s="0" t="s">
        <v>138</v>
      </c>
      <c r="B39" s="4" t="n">
        <f aca="false">B38/Assumptions!$B$2-1</f>
        <v>-0.406839603893191</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24.9720526760967</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71352.9756394403</v>
      </c>
    </row>
    <row r="47" customFormat="false" ht="15" hidden="false" customHeight="false" outlineLevel="0" collapsed="false">
      <c r="A47" s="0" t="s">
        <v>143</v>
      </c>
      <c r="B47" s="0" t="n">
        <f aca="false">(SUMPRODUCT(C19:L19/(1+B45/100)^C4:L4)+B46/(1+B45/100)^L4+Assumptions!$B$5-Assumptions!$B$4)/Assumptions!$B$3*Assumptions!$B$10</f>
        <v>18.1652032441477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4</v>
      </c>
      <c r="D5" s="4" t="n">
        <f aca="false">Assumptions!D27</f>
        <v>1</v>
      </c>
      <c r="E5" s="4" t="n">
        <f aca="false">Assumptions!E27</f>
        <v>5</v>
      </c>
      <c r="F5" s="4" t="n">
        <f aca="false">Assumptions!F27</f>
        <v>5.5</v>
      </c>
      <c r="G5" s="4" t="n">
        <f aca="false">Assumptions!G27</f>
        <v>5.5</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38</v>
      </c>
      <c r="B6" s="3" t="n">
        <v>155551</v>
      </c>
      <c r="C6" s="0" t="n">
        <f aca="false">B6*(1+C5/100)</f>
        <v>161773.04</v>
      </c>
      <c r="D6" s="0" t="n">
        <f aca="false">C6*(1+D5/100)</f>
        <v>163390.7704</v>
      </c>
      <c r="E6" s="0" t="n">
        <f aca="false">D6*(1+E5/100)</f>
        <v>171560.30892</v>
      </c>
      <c r="F6" s="0" t="n">
        <f aca="false">E6*(1+F5/100)</f>
        <v>180996.1259106</v>
      </c>
      <c r="G6" s="0" t="n">
        <f aca="false">F6*(1+G5/100)</f>
        <v>190950.912835683</v>
      </c>
      <c r="H6" s="0" t="n">
        <f aca="false">G6*(1+H5/100)</f>
        <v>200498.458477467</v>
      </c>
      <c r="I6" s="0" t="n">
        <f aca="false">H6*(1+I5/100)</f>
        <v>209520.889108953</v>
      </c>
      <c r="J6" s="0" t="n">
        <f aca="false">I6*(1+J5/100)</f>
        <v>217901.724673311</v>
      </c>
      <c r="K6" s="0" t="n">
        <f aca="false">J6*(1+K5/100)</f>
        <v>225528.285036877</v>
      </c>
      <c r="L6" s="0" t="n">
        <f aca="false">K6*(1+L5/100)</f>
        <v>232294.133587984</v>
      </c>
    </row>
    <row r="7" customFormat="false" ht="15" hidden="false" customHeight="false" outlineLevel="0" collapsed="false">
      <c r="A7" s="0" t="s">
        <v>100</v>
      </c>
      <c r="C7" s="4" t="n">
        <f aca="false">Assumptions!C28</f>
        <v>23</v>
      </c>
      <c r="D7" s="4" t="n">
        <f aca="false">Assumptions!D28</f>
        <v>18.5</v>
      </c>
      <c r="E7" s="4" t="n">
        <f aca="false">Assumptions!E28</f>
        <v>18.8</v>
      </c>
      <c r="F7" s="4" t="n">
        <f aca="false">Assumptions!F28</f>
        <v>19</v>
      </c>
      <c r="G7" s="4" t="n">
        <f aca="false">Assumptions!G28</f>
        <v>19</v>
      </c>
      <c r="H7" s="4" t="n">
        <f aca="false">Assumptions!H28</f>
        <v>19</v>
      </c>
      <c r="I7" s="4" t="n">
        <f aca="false">Assumptions!I28</f>
        <v>19</v>
      </c>
      <c r="J7" s="4" t="n">
        <f aca="false">Assumptions!J28</f>
        <v>19</v>
      </c>
      <c r="K7" s="4" t="n">
        <f aca="false">Assumptions!K28</f>
        <v>19</v>
      </c>
      <c r="L7" s="4" t="n">
        <f aca="false">Assumptions!L28</f>
        <v>19</v>
      </c>
    </row>
    <row r="8" customFormat="false" ht="15" hidden="false" customHeight="false" outlineLevel="0" collapsed="false">
      <c r="A8" s="0" t="s">
        <v>44</v>
      </c>
      <c r="C8" s="0" t="n">
        <f aca="false">C6*C7/100</f>
        <v>37207.7992</v>
      </c>
      <c r="D8" s="0" t="n">
        <f aca="false">D6*D7/100</f>
        <v>30227.292524</v>
      </c>
      <c r="E8" s="0" t="n">
        <f aca="false">E6*E7/100</f>
        <v>32253.33807696</v>
      </c>
      <c r="F8" s="0" t="n">
        <f aca="false">F6*F7/100</f>
        <v>34389.263923014</v>
      </c>
      <c r="G8" s="0" t="n">
        <f aca="false">G6*G7/100</f>
        <v>36280.6734387798</v>
      </c>
      <c r="H8" s="0" t="n">
        <f aca="false">H6*H7/100</f>
        <v>38094.7071107188</v>
      </c>
      <c r="I8" s="0" t="n">
        <f aca="false">I6*I7/100</f>
        <v>39808.9689307011</v>
      </c>
      <c r="J8" s="0" t="n">
        <f aca="false">J6*J7/100</f>
        <v>41401.3276879291</v>
      </c>
      <c r="K8" s="0" t="n">
        <f aca="false">K6*K7/100</f>
        <v>42850.3741570067</v>
      </c>
      <c r="L8" s="0" t="n">
        <f aca="false">L6*L7/100</f>
        <v>44135.8853817169</v>
      </c>
    </row>
    <row r="9" customFormat="false" ht="15" hidden="false" customHeight="false" outlineLevel="0" collapsed="false">
      <c r="A9" s="0" t="s">
        <v>101</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37207.7992</v>
      </c>
      <c r="D11" s="0" t="n">
        <f aca="false">D8+D10+D24</f>
        <v>30227.292524</v>
      </c>
      <c r="E11" s="0" t="n">
        <f aca="false">E8+E10+E24</f>
        <v>32253.33807696</v>
      </c>
      <c r="F11" s="0" t="n">
        <f aca="false">F8+F10+F24</f>
        <v>34389.263923014</v>
      </c>
      <c r="G11" s="0" t="n">
        <f aca="false">G8+G10+G24</f>
        <v>36280.6734387798</v>
      </c>
      <c r="H11" s="0" t="n">
        <f aca="false">H8+H10+H24</f>
        <v>38094.7071107188</v>
      </c>
      <c r="I11" s="0" t="n">
        <f aca="false">I8+I10+I24</f>
        <v>39808.9689307011</v>
      </c>
      <c r="J11" s="0" t="n">
        <f aca="false">J8+J10+J24</f>
        <v>41401.3276879291</v>
      </c>
      <c r="K11" s="0" t="n">
        <f aca="false">K8+K10+K24</f>
        <v>42850.3741570067</v>
      </c>
      <c r="L11" s="0" t="n">
        <f aca="false">L8+L10+L24</f>
        <v>44135.8853817169</v>
      </c>
    </row>
    <row r="12" customFormat="false" ht="15" hidden="false" customHeight="false" outlineLevel="0" collapsed="false">
      <c r="A12" s="0" t="s">
        <v>118</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119</v>
      </c>
      <c r="C13" s="0" t="n">
        <f aca="false">C11+C12</f>
        <v>37207.7992</v>
      </c>
      <c r="D13" s="0" t="n">
        <f aca="false">D11+D12</f>
        <v>30227.292524</v>
      </c>
      <c r="E13" s="0" t="n">
        <f aca="false">E11+E12</f>
        <v>32253.33807696</v>
      </c>
      <c r="F13" s="0" t="n">
        <f aca="false">F11+F12</f>
        <v>34389.263923014</v>
      </c>
      <c r="G13" s="0" t="n">
        <f aca="false">G11+G12</f>
        <v>36280.6734387798</v>
      </c>
      <c r="H13" s="0" t="n">
        <f aca="false">H11+H12</f>
        <v>38094.7071107188</v>
      </c>
      <c r="I13" s="0" t="n">
        <f aca="false">I11+I12</f>
        <v>39808.9689307011</v>
      </c>
      <c r="J13" s="0" t="n">
        <f aca="false">J11+J12</f>
        <v>41401.3276879291</v>
      </c>
      <c r="K13" s="0" t="n">
        <f aca="false">K11+K12</f>
        <v>42850.3741570067</v>
      </c>
      <c r="L13" s="0" t="n">
        <f aca="false">L11+L12</f>
        <v>44135.8853817169</v>
      </c>
    </row>
    <row r="14" customFormat="false" ht="15" hidden="false" customHeight="false" outlineLevel="0" collapsed="false">
      <c r="A14" s="0" t="s">
        <v>105</v>
      </c>
      <c r="C14" s="4" t="n">
        <f aca="false">Assumptions!C33</f>
        <v>13.5</v>
      </c>
      <c r="D14" s="4" t="n">
        <f aca="false">Assumptions!D33</f>
        <v>13.5</v>
      </c>
      <c r="E14" s="4" t="n">
        <f aca="false">Assumptions!E33</f>
        <v>13.5</v>
      </c>
      <c r="F14" s="4" t="n">
        <f aca="false">Assumptions!F33</f>
        <v>13.5</v>
      </c>
      <c r="G14" s="4" t="n">
        <f aca="false">Assumptions!G33</f>
        <v>13.5</v>
      </c>
      <c r="H14" s="4" t="n">
        <f aca="false">Assumptions!H33</f>
        <v>13.5</v>
      </c>
      <c r="I14" s="4" t="n">
        <f aca="false">Assumptions!I33</f>
        <v>13.5</v>
      </c>
      <c r="J14" s="4" t="n">
        <f aca="false">Assumptions!J33</f>
        <v>13.5</v>
      </c>
      <c r="K14" s="4" t="n">
        <f aca="false">Assumptions!K33</f>
        <v>13.5</v>
      </c>
      <c r="L14" s="4" t="n">
        <f aca="false">Assumptions!L33</f>
        <v>13.5</v>
      </c>
    </row>
    <row r="15" customFormat="false" ht="15" hidden="false" customHeight="false" outlineLevel="0" collapsed="false">
      <c r="A15" s="0" t="s">
        <v>120</v>
      </c>
      <c r="C15" s="0" t="n">
        <f aca="false">C13-MAX(0,C13)*C14/100</f>
        <v>32184.746308</v>
      </c>
      <c r="D15" s="0" t="n">
        <f aca="false">D13-MAX(0,D13)*D14/100</f>
        <v>26146.60803326</v>
      </c>
      <c r="E15" s="0" t="n">
        <f aca="false">E13-MAX(0,E13)*E14/100</f>
        <v>27899.1374365704</v>
      </c>
      <c r="F15" s="0" t="n">
        <f aca="false">F13-MAX(0,F13)*F14/100</f>
        <v>29746.7132934071</v>
      </c>
      <c r="G15" s="0" t="n">
        <f aca="false">G13-MAX(0,G13)*G14/100</f>
        <v>31382.7825245445</v>
      </c>
      <c r="H15" s="0" t="n">
        <f aca="false">H13-MAX(0,H13)*H14/100</f>
        <v>32951.9216507717</v>
      </c>
      <c r="I15" s="0" t="n">
        <f aca="false">I13-MAX(0,I13)*I14/100</f>
        <v>34434.7581250565</v>
      </c>
      <c r="J15" s="0" t="n">
        <f aca="false">J13-MAX(0,J13)*J14/100</f>
        <v>35812.1484500587</v>
      </c>
      <c r="K15" s="0" t="n">
        <f aca="false">K13-MAX(0,K13)*K14/100</f>
        <v>37065.5736458108</v>
      </c>
      <c r="L15" s="0" t="n">
        <f aca="false">L13-MAX(0,L13)*L14/100</f>
        <v>38177.5408551851</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-C6*Assumptions!C32/100</f>
        <v>-23165.899328</v>
      </c>
      <c r="D17" s="4" t="n">
        <f aca="false">-D6*Assumptions!D32/100</f>
        <v>-17776.91581952</v>
      </c>
      <c r="E17" s="4" t="n">
        <f aca="false">-E6*Assumptions!E32/100</f>
        <v>-18133.924652844</v>
      </c>
      <c r="F17" s="4" t="n">
        <f aca="false">-F6*Assumptions!F32/100</f>
        <v>-18443.5052302901</v>
      </c>
      <c r="G17" s="4" t="n">
        <f aca="false">-G6*Assumptions!G32/100</f>
        <v>-18827.7600055983</v>
      </c>
      <c r="H17" s="4" t="n">
        <f aca="false">-H6*Assumptions!H32/100</f>
        <v>-19107.5030929026</v>
      </c>
      <c r="I17" s="4" t="n">
        <f aca="false">-I6*Assumptions!I32/100</f>
        <v>-19275.9217980237</v>
      </c>
      <c r="J17" s="4" t="n">
        <f aca="false">-J6*Assumptions!J32/100</f>
        <v>-19327.8829785227</v>
      </c>
      <c r="K17" s="4" t="n">
        <f aca="false">-K6*Assumptions!K32/100</f>
        <v>-19282.668370653</v>
      </c>
      <c r="L17" s="4" t="n">
        <f aca="false">-L6*Assumptions!L32/100</f>
        <v>-19094.5777809322</v>
      </c>
    </row>
    <row r="18" customFormat="false" ht="15" hidden="false" customHeight="false" outlineLevel="0" collapsed="false">
      <c r="A18" s="0" t="s">
        <v>123</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124</v>
      </c>
      <c r="C19" s="0" t="n">
        <f aca="false">C15+C16+C17+C18</f>
        <v>9018.84698</v>
      </c>
      <c r="D19" s="0" t="n">
        <f aca="false">D15+D16+D17+D18</f>
        <v>8369.69221374</v>
      </c>
      <c r="E19" s="0" t="n">
        <f aca="false">E15+E16+E17+E18</f>
        <v>9765.2127837264</v>
      </c>
      <c r="F19" s="0" t="n">
        <f aca="false">F15+F16+F17+F18</f>
        <v>11303.208063117</v>
      </c>
      <c r="G19" s="0" t="n">
        <f aca="false">G15+G16+G17+G18</f>
        <v>12555.0225189462</v>
      </c>
      <c r="H19" s="0" t="n">
        <f aca="false">H15+H16+H17+H18</f>
        <v>13844.4185578691</v>
      </c>
      <c r="I19" s="0" t="n">
        <f aca="false">I15+I16+I17+I18</f>
        <v>15158.8363270328</v>
      </c>
      <c r="J19" s="0" t="n">
        <f aca="false">J15+J16+J17+J18</f>
        <v>16484.265471536</v>
      </c>
      <c r="K19" s="0" t="n">
        <f aca="false">K15+K16+K17+K18</f>
        <v>17782.9052751578</v>
      </c>
      <c r="L19" s="0" t="n">
        <f aca="false">L15+L16+L17+L18</f>
        <v>19082.9630742528</v>
      </c>
    </row>
    <row r="20" customFormat="false" ht="15" hidden="false" customHeight="false" outlineLevel="0" collapsed="false">
      <c r="A20" s="0" t="s">
        <v>125</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126</v>
      </c>
      <c r="C21" s="0" t="n">
        <f aca="false">C19*C20</f>
        <v>8161.85247058824</v>
      </c>
      <c r="D21" s="0" t="n">
        <f aca="false">D19*D20</f>
        <v>6854.64442885281</v>
      </c>
      <c r="E21" s="0" t="n">
        <f aca="false">E19*E20</f>
        <v>7237.60499322821</v>
      </c>
      <c r="F21" s="0" t="n">
        <f aca="false">F19*F20</f>
        <v>7581.45584304386</v>
      </c>
      <c r="G21" s="0" t="n">
        <f aca="false">G19*G20</f>
        <v>7620.89724445679</v>
      </c>
      <c r="H21" s="0" t="n">
        <f aca="false">H19*H20</f>
        <v>7605.03212107054</v>
      </c>
      <c r="I21" s="0" t="n">
        <f aca="false">I19*I20</f>
        <v>7535.80961120873</v>
      </c>
      <c r="J21" s="0" t="n">
        <f aca="false">J19*J20</f>
        <v>7416.02825595109</v>
      </c>
      <c r="K21" s="0" t="n">
        <f aca="false">K19*K20</f>
        <v>7240.06079391703</v>
      </c>
      <c r="L21" s="0" t="n">
        <f aca="false">L19*L20</f>
        <v>7031.0960331564</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10.5</v>
      </c>
    </row>
    <row r="28" customFormat="false" ht="15" hidden="false" customHeight="false" outlineLevel="0" collapsed="false">
      <c r="A28" s="0" t="s">
        <v>107</v>
      </c>
      <c r="B28" s="4" t="n">
        <f aca="false">Assumptions!$B$35</f>
        <v>3</v>
      </c>
    </row>
    <row r="29" customFormat="false" ht="15" hidden="false" customHeight="false" outlineLevel="0" collapsed="false">
      <c r="A29" s="0" t="s">
        <v>108</v>
      </c>
      <c r="B29" s="4" t="n">
        <f aca="false">Assumptions!$B$36</f>
        <v>12</v>
      </c>
    </row>
    <row r="30" customFormat="false" ht="15" hidden="false" customHeight="false" outlineLevel="0" collapsed="false">
      <c r="A30" s="0" t="s">
        <v>129</v>
      </c>
      <c r="B30" s="0" t="n">
        <f aca="false">SUM(C21:L21)</f>
        <v>74284.4817954737</v>
      </c>
    </row>
    <row r="31" customFormat="false" ht="15" hidden="false" customHeight="false" outlineLevel="0" collapsed="false">
      <c r="A31" s="0" t="s">
        <v>130</v>
      </c>
      <c r="B31" s="0" t="n">
        <f aca="false">L19</f>
        <v>19082.9630742528</v>
      </c>
    </row>
    <row r="32" customFormat="false" ht="15" hidden="false" customHeight="false" outlineLevel="0" collapsed="false">
      <c r="A32" s="0" t="s">
        <v>131</v>
      </c>
      <c r="B32" s="0" t="n">
        <f aca="false">IF(B27&gt;B28,B31*(1+B28/100)/((B27-B28)/100),B31*B29)</f>
        <v>262072.692886406</v>
      </c>
    </row>
    <row r="33" customFormat="false" ht="15" hidden="false" customHeight="false" outlineLevel="0" collapsed="false">
      <c r="A33" s="0" t="s">
        <v>132</v>
      </c>
      <c r="B33" s="0" t="n">
        <f aca="false">B31*B29</f>
        <v>228995.556891034</v>
      </c>
    </row>
    <row r="34" customFormat="false" ht="15" hidden="false" customHeight="false" outlineLevel="0" collapsed="false">
      <c r="A34" s="0" t="s">
        <v>133</v>
      </c>
      <c r="B34" s="0" t="n">
        <f aca="false">MAX(0,MIN(B32,B33))</f>
        <v>228995.556891034</v>
      </c>
    </row>
    <row r="35" customFormat="false" ht="15" hidden="false" customHeight="false" outlineLevel="0" collapsed="false">
      <c r="A35" s="0" t="s">
        <v>134</v>
      </c>
      <c r="B35" s="0" t="n">
        <f aca="false">B34/(1+B27/100)^L4</f>
        <v>84373.1523978768</v>
      </c>
    </row>
    <row r="36" customFormat="false" ht="15" hidden="false" customHeight="false" outlineLevel="0" collapsed="false">
      <c r="A36" s="0" t="s">
        <v>135</v>
      </c>
      <c r="B36" s="0" t="n">
        <f aca="false">B30+B35</f>
        <v>158657.63419335</v>
      </c>
    </row>
    <row r="37" customFormat="false" ht="15" hidden="false" customHeight="false" outlineLevel="0" collapsed="false">
      <c r="A37" s="0" t="s">
        <v>136</v>
      </c>
      <c r="B37" s="0" t="n">
        <f aca="false">B36+Assumptions!$B$5-Assumptions!$B$4</f>
        <v>158657.63419335</v>
      </c>
    </row>
    <row r="38" customFormat="false" ht="15" hidden="false" customHeight="false" outlineLevel="0" collapsed="false">
      <c r="A38" s="0" t="s">
        <v>137</v>
      </c>
      <c r="B38" s="0" t="n">
        <f aca="false">B37/Assumptions!$B$3*Assumptions!$B$10</f>
        <v>59.7341188833155</v>
      </c>
    </row>
    <row r="39" customFormat="false" ht="15" hidden="false" customHeight="false" outlineLevel="0" collapsed="false">
      <c r="A39" s="0" t="s">
        <v>138</v>
      </c>
      <c r="B39" s="4" t="n">
        <f aca="false">B38/Assumptions!$B$2-1</f>
        <v>0.418862681313906</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59.7341188833155</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163795.433054004</v>
      </c>
    </row>
    <row r="47" customFormat="false" ht="15" hidden="false" customHeight="false" outlineLevel="0" collapsed="false">
      <c r="A47" s="0" t="s">
        <v>143</v>
      </c>
      <c r="B47" s="0" t="n">
        <f aca="false">(SUMPRODUCT(C19:L19/(1+B45/100)^C4:L4)+B46/(1+B45/100)^L4+Assumptions!$B$5-Assumptions!$B$4)/Assumptions!$B$3*Assumptions!$B$10</f>
        <v>37.88660580566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8</v>
      </c>
      <c r="D5" s="4" t="n">
        <f aca="false">Assumptions!D41</f>
        <v>7</v>
      </c>
      <c r="E5" s="4" t="n">
        <f aca="false">Assumptions!E41</f>
        <v>6</v>
      </c>
      <c r="F5" s="4" t="n">
        <f aca="false">Assumptions!F41</f>
        <v>6</v>
      </c>
      <c r="G5" s="4" t="n">
        <f aca="false">Assumptions!G41</f>
        <v>6</v>
      </c>
      <c r="H5" s="4" t="n">
        <f aca="false">Assumptions!H41</f>
        <v>5.5</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38</v>
      </c>
      <c r="B6" s="3" t="n">
        <v>155551</v>
      </c>
      <c r="C6" s="0" t="n">
        <f aca="false">B6*(1+C5/100)</f>
        <v>167995.08</v>
      </c>
      <c r="D6" s="0" t="n">
        <f aca="false">C6*(1+D5/100)</f>
        <v>179754.7356</v>
      </c>
      <c r="E6" s="0" t="n">
        <f aca="false">D6*(1+E5/100)</f>
        <v>190540.019736</v>
      </c>
      <c r="F6" s="0" t="n">
        <f aca="false">E6*(1+F5/100)</f>
        <v>201972.42092016</v>
      </c>
      <c r="G6" s="0" t="n">
        <f aca="false">F6*(1+G5/100)</f>
        <v>214090.76617537</v>
      </c>
      <c r="H6" s="0" t="n">
        <f aca="false">G6*(1+H5/100)</f>
        <v>225865.758315015</v>
      </c>
      <c r="I6" s="0" t="n">
        <f aca="false">H6*(1+I5/100)</f>
        <v>237159.046230766</v>
      </c>
      <c r="J6" s="0" t="n">
        <f aca="false">I6*(1+J5/100)</f>
        <v>247831.20331115</v>
      </c>
      <c r="K6" s="0" t="n">
        <f aca="false">J6*(1+K5/100)</f>
        <v>257744.451443596</v>
      </c>
      <c r="L6" s="0" t="n">
        <f aca="false">K6*(1+L5/100)</f>
        <v>266765.507244122</v>
      </c>
    </row>
    <row r="7" customFormat="false" ht="15" hidden="false" customHeight="false" outlineLevel="0" collapsed="false">
      <c r="A7" s="0" t="s">
        <v>100</v>
      </c>
      <c r="C7" s="4" t="n">
        <f aca="false">Assumptions!C42</f>
        <v>25</v>
      </c>
      <c r="D7" s="4" t="n">
        <f aca="false">Assumptions!D42</f>
        <v>21</v>
      </c>
      <c r="E7" s="4" t="n">
        <f aca="false">Assumptions!E42</f>
        <v>21.5</v>
      </c>
      <c r="F7" s="4" t="n">
        <f aca="false">Assumptions!F42</f>
        <v>22</v>
      </c>
      <c r="G7" s="4" t="n">
        <f aca="false">Assumptions!G42</f>
        <v>22</v>
      </c>
      <c r="H7" s="4" t="n">
        <f aca="false">Assumptions!H42</f>
        <v>22</v>
      </c>
      <c r="I7" s="4" t="n">
        <f aca="false">Assumptions!I42</f>
        <v>22</v>
      </c>
      <c r="J7" s="4" t="n">
        <f aca="false">Assumptions!J42</f>
        <v>22</v>
      </c>
      <c r="K7" s="4" t="n">
        <f aca="false">Assumptions!K42</f>
        <v>22</v>
      </c>
      <c r="L7" s="4" t="n">
        <f aca="false">Assumptions!L42</f>
        <v>22</v>
      </c>
    </row>
    <row r="8" customFormat="false" ht="15" hidden="false" customHeight="false" outlineLevel="0" collapsed="false">
      <c r="A8" s="0" t="s">
        <v>44</v>
      </c>
      <c r="C8" s="0" t="n">
        <f aca="false">C6*C7/100</f>
        <v>41998.77</v>
      </c>
      <c r="D8" s="0" t="n">
        <f aca="false">D6*D7/100</f>
        <v>37748.494476</v>
      </c>
      <c r="E8" s="0" t="n">
        <f aca="false">E6*E7/100</f>
        <v>40966.10424324</v>
      </c>
      <c r="F8" s="0" t="n">
        <f aca="false">F6*F7/100</f>
        <v>44433.9326024352</v>
      </c>
      <c r="G8" s="0" t="n">
        <f aca="false">G6*G7/100</f>
        <v>47099.9685585813</v>
      </c>
      <c r="H8" s="0" t="n">
        <f aca="false">H6*H7/100</f>
        <v>49690.4668293033</v>
      </c>
      <c r="I8" s="0" t="n">
        <f aca="false">I6*I7/100</f>
        <v>52174.9901707685</v>
      </c>
      <c r="J8" s="0" t="n">
        <f aca="false">J6*J7/100</f>
        <v>54522.864728453</v>
      </c>
      <c r="K8" s="0" t="n">
        <f aca="false">K6*K7/100</f>
        <v>56703.7793175912</v>
      </c>
      <c r="L8" s="0" t="n">
        <f aca="false">L6*L7/100</f>
        <v>58688.4115937068</v>
      </c>
    </row>
    <row r="9" customFormat="false" ht="15" hidden="false" customHeight="false" outlineLevel="0" collapsed="false">
      <c r="A9" s="0" t="s">
        <v>101</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41998.77</v>
      </c>
      <c r="D11" s="0" t="n">
        <f aca="false">D8+D10+D24</f>
        <v>37748.494476</v>
      </c>
      <c r="E11" s="0" t="n">
        <f aca="false">E8+E10+E24</f>
        <v>40966.10424324</v>
      </c>
      <c r="F11" s="0" t="n">
        <f aca="false">F8+F10+F24</f>
        <v>44433.9326024352</v>
      </c>
      <c r="G11" s="0" t="n">
        <f aca="false">G8+G10+G24</f>
        <v>47099.9685585813</v>
      </c>
      <c r="H11" s="0" t="n">
        <f aca="false">H8+H10+H24</f>
        <v>49690.4668293033</v>
      </c>
      <c r="I11" s="0" t="n">
        <f aca="false">I8+I10+I24</f>
        <v>52174.9901707685</v>
      </c>
      <c r="J11" s="0" t="n">
        <f aca="false">J8+J10+J24</f>
        <v>54522.864728453</v>
      </c>
      <c r="K11" s="0" t="n">
        <f aca="false">K8+K10+K24</f>
        <v>56703.7793175912</v>
      </c>
      <c r="L11" s="0" t="n">
        <f aca="false">L8+L10+L24</f>
        <v>58688.4115937068</v>
      </c>
    </row>
    <row r="12" customFormat="false" ht="15" hidden="false" customHeight="false" outlineLevel="0" collapsed="false">
      <c r="A12" s="0" t="s">
        <v>118</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119</v>
      </c>
      <c r="C13" s="0" t="n">
        <f aca="false">C11+C12</f>
        <v>41998.77</v>
      </c>
      <c r="D13" s="0" t="n">
        <f aca="false">D11+D12</f>
        <v>37748.494476</v>
      </c>
      <c r="E13" s="0" t="n">
        <f aca="false">E11+E12</f>
        <v>40966.10424324</v>
      </c>
      <c r="F13" s="0" t="n">
        <f aca="false">F11+F12</f>
        <v>44433.9326024352</v>
      </c>
      <c r="G13" s="0" t="n">
        <f aca="false">G11+G12</f>
        <v>47099.9685585813</v>
      </c>
      <c r="H13" s="0" t="n">
        <f aca="false">H11+H12</f>
        <v>49690.4668293033</v>
      </c>
      <c r="I13" s="0" t="n">
        <f aca="false">I11+I12</f>
        <v>52174.9901707685</v>
      </c>
      <c r="J13" s="0" t="n">
        <f aca="false">J11+J12</f>
        <v>54522.864728453</v>
      </c>
      <c r="K13" s="0" t="n">
        <f aca="false">K11+K12</f>
        <v>56703.7793175912</v>
      </c>
      <c r="L13" s="0" t="n">
        <f aca="false">L11+L12</f>
        <v>58688.4115937068</v>
      </c>
    </row>
    <row r="14" customFormat="false" ht="15" hidden="false" customHeight="false" outlineLevel="0" collapsed="false">
      <c r="A14" s="0" t="s">
        <v>105</v>
      </c>
      <c r="C14" s="4" t="n">
        <f aca="false">Assumptions!C47</f>
        <v>13.5</v>
      </c>
      <c r="D14" s="4" t="n">
        <f aca="false">Assumptions!D47</f>
        <v>13.5</v>
      </c>
      <c r="E14" s="4" t="n">
        <f aca="false">Assumptions!E47</f>
        <v>13.5</v>
      </c>
      <c r="F14" s="4" t="n">
        <f aca="false">Assumptions!F47</f>
        <v>13.5</v>
      </c>
      <c r="G14" s="4" t="n">
        <f aca="false">Assumptions!G47</f>
        <v>13.5</v>
      </c>
      <c r="H14" s="4" t="n">
        <f aca="false">Assumptions!H47</f>
        <v>13.5</v>
      </c>
      <c r="I14" s="4" t="n">
        <f aca="false">Assumptions!I47</f>
        <v>13.5</v>
      </c>
      <c r="J14" s="4" t="n">
        <f aca="false">Assumptions!J47</f>
        <v>13.5</v>
      </c>
      <c r="K14" s="4" t="n">
        <f aca="false">Assumptions!K47</f>
        <v>13.5</v>
      </c>
      <c r="L14" s="4" t="n">
        <f aca="false">Assumptions!L47</f>
        <v>13.5</v>
      </c>
    </row>
    <row r="15" customFormat="false" ht="15" hidden="false" customHeight="false" outlineLevel="0" collapsed="false">
      <c r="A15" s="0" t="s">
        <v>120</v>
      </c>
      <c r="C15" s="0" t="n">
        <f aca="false">C13-MAX(0,C13)*C14/100</f>
        <v>36328.93605</v>
      </c>
      <c r="D15" s="0" t="n">
        <f aca="false">D13-MAX(0,D13)*D14/100</f>
        <v>32652.44772174</v>
      </c>
      <c r="E15" s="0" t="n">
        <f aca="false">E13-MAX(0,E13)*E14/100</f>
        <v>35435.6801704026</v>
      </c>
      <c r="F15" s="0" t="n">
        <f aca="false">F13-MAX(0,F13)*F14/100</f>
        <v>38435.3517011065</v>
      </c>
      <c r="G15" s="0" t="n">
        <f aca="false">G13-MAX(0,G13)*G14/100</f>
        <v>40741.4728031728</v>
      </c>
      <c r="H15" s="0" t="n">
        <f aca="false">H13-MAX(0,H13)*H14/100</f>
        <v>42982.2538073473</v>
      </c>
      <c r="I15" s="0" t="n">
        <f aca="false">I13-MAX(0,I13)*I14/100</f>
        <v>45131.3664977147</v>
      </c>
      <c r="J15" s="0" t="n">
        <f aca="false">J13-MAX(0,J13)*J14/100</f>
        <v>47162.2779901119</v>
      </c>
      <c r="K15" s="0" t="n">
        <f aca="false">K13-MAX(0,K13)*K14/100</f>
        <v>49048.7691097164</v>
      </c>
      <c r="L15" s="0" t="n">
        <f aca="false">L13-MAX(0,L13)*L14/100</f>
        <v>50765.4760285564</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-C6*Assumptions!C46/100</f>
        <v>-26156.833956</v>
      </c>
      <c r="D17" s="4" t="n">
        <f aca="false">-D6*Assumptions!D46/100</f>
        <v>-21876.15132252</v>
      </c>
      <c r="E17" s="4" t="n">
        <f aca="false">-E6*Assumptions!E46/100</f>
        <v>-22331.2903130592</v>
      </c>
      <c r="F17" s="4" t="n">
        <f aca="false">-F6*Assumptions!F46/100</f>
        <v>-22681.502869334</v>
      </c>
      <c r="G17" s="4" t="n">
        <f aca="false">-G6*Assumptions!G46/100</f>
        <v>-22822.0756742944</v>
      </c>
      <c r="H17" s="4" t="n">
        <f aca="false">-H6*Assumptions!H46/100</f>
        <v>-22789.855013985</v>
      </c>
      <c r="I17" s="4" t="n">
        <f aca="false">-I6*Assumptions!I46/100</f>
        <v>-22577.5412011689</v>
      </c>
      <c r="J17" s="4" t="n">
        <f aca="false">-J6*Assumptions!J46/100</f>
        <v>-22626.988862308</v>
      </c>
      <c r="K17" s="4" t="n">
        <f aca="false">-K6*Assumptions!K46/100</f>
        <v>-22552.6395013147</v>
      </c>
      <c r="L17" s="4" t="n">
        <f aca="false">-L6*Assumptions!L46/100</f>
        <v>-22835.1274200968</v>
      </c>
    </row>
    <row r="18" customFormat="false" ht="15" hidden="false" customHeight="false" outlineLevel="0" collapsed="false">
      <c r="A18" s="0" t="s">
        <v>123</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124</v>
      </c>
      <c r="C19" s="0" t="n">
        <f aca="false">C15+C16+C17+C18</f>
        <v>10172.102094</v>
      </c>
      <c r="D19" s="0" t="n">
        <f aca="false">D15+D16+D17+D18</f>
        <v>10776.29639922</v>
      </c>
      <c r="E19" s="0" t="n">
        <f aca="false">E15+E16+E17+E18</f>
        <v>13104.3898573434</v>
      </c>
      <c r="F19" s="0" t="n">
        <f aca="false">F15+F16+F17+F18</f>
        <v>15753.8488317725</v>
      </c>
      <c r="G19" s="0" t="n">
        <f aca="false">G15+G16+G17+G18</f>
        <v>17919.3971288784</v>
      </c>
      <c r="H19" s="0" t="n">
        <f aca="false">H15+H16+H17+H18</f>
        <v>20192.3987933623</v>
      </c>
      <c r="I19" s="0" t="n">
        <f aca="false">I15+I16+I17+I18</f>
        <v>22553.8252965458</v>
      </c>
      <c r="J19" s="0" t="n">
        <f aca="false">J15+J16+J17+J18</f>
        <v>24535.2891278039</v>
      </c>
      <c r="K19" s="0" t="n">
        <f aca="false">K15+K16+K17+K18</f>
        <v>26496.1296084017</v>
      </c>
      <c r="L19" s="0" t="n">
        <f aca="false">L15+L16+L17+L18</f>
        <v>27930.3486084596</v>
      </c>
    </row>
    <row r="20" customFormat="false" ht="15" hidden="false" customHeight="false" outlineLevel="0" collapsed="false">
      <c r="A20" s="0" t="s">
        <v>125</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126</v>
      </c>
      <c r="C21" s="0" t="n">
        <f aca="false">C19*C20</f>
        <v>9205.52225701357</v>
      </c>
      <c r="D21" s="0" t="n">
        <f aca="false">D19*D20</f>
        <v>8825.61487211155</v>
      </c>
      <c r="E21" s="0" t="n">
        <f aca="false">E19*E20</f>
        <v>9712.47627320263</v>
      </c>
      <c r="F21" s="0" t="n">
        <f aca="false">F19*F20</f>
        <v>10566.6558209966</v>
      </c>
      <c r="G21" s="0" t="n">
        <f aca="false">G19*G20</f>
        <v>10877.0720240221</v>
      </c>
      <c r="H21" s="0" t="n">
        <f aca="false">H19*H20</f>
        <v>11092.1120148958</v>
      </c>
      <c r="I21" s="0" t="n">
        <f aca="false">I19*I20</f>
        <v>11212.0303809957</v>
      </c>
      <c r="J21" s="0" t="n">
        <f aca="false">J19*J20</f>
        <v>11038.0652237075</v>
      </c>
      <c r="K21" s="0" t="n">
        <f aca="false">K19*K20</f>
        <v>10787.5280332466</v>
      </c>
      <c r="L21" s="0" t="n">
        <f aca="false">L19*L20</f>
        <v>10290.9051671633</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10.5</v>
      </c>
    </row>
    <row r="28" customFormat="false" ht="15" hidden="false" customHeight="false" outlineLevel="0" collapsed="false">
      <c r="A28" s="0" t="s">
        <v>107</v>
      </c>
      <c r="B28" s="4" t="n">
        <f aca="false">Assumptions!$B$49</f>
        <v>3.5</v>
      </c>
    </row>
    <row r="29" customFormat="false" ht="15" hidden="false" customHeight="false" outlineLevel="0" collapsed="false">
      <c r="A29" s="0" t="s">
        <v>108</v>
      </c>
      <c r="B29" s="4" t="n">
        <f aca="false">Assumptions!$B$50</f>
        <v>14</v>
      </c>
    </row>
    <row r="30" customFormat="false" ht="15" hidden="false" customHeight="false" outlineLevel="0" collapsed="false">
      <c r="A30" s="0" t="s">
        <v>129</v>
      </c>
      <c r="B30" s="0" t="n">
        <f aca="false">SUM(C21:L21)</f>
        <v>103607.982067355</v>
      </c>
    </row>
    <row r="31" customFormat="false" ht="15" hidden="false" customHeight="false" outlineLevel="0" collapsed="false">
      <c r="A31" s="0" t="s">
        <v>130</v>
      </c>
      <c r="B31" s="0" t="n">
        <f aca="false">L19</f>
        <v>27930.3486084596</v>
      </c>
    </row>
    <row r="32" customFormat="false" ht="15" hidden="false" customHeight="false" outlineLevel="0" collapsed="false">
      <c r="A32" s="0" t="s">
        <v>131</v>
      </c>
      <c r="B32" s="0" t="n">
        <f aca="false">IF(B27&gt;B28,B31*(1+B28/100)/((B27-B28)/100),B31*B29)</f>
        <v>412970.154425081</v>
      </c>
    </row>
    <row r="33" customFormat="false" ht="15" hidden="false" customHeight="false" outlineLevel="0" collapsed="false">
      <c r="A33" s="0" t="s">
        <v>132</v>
      </c>
      <c r="B33" s="0" t="n">
        <f aca="false">B31*B29</f>
        <v>391024.880518434</v>
      </c>
    </row>
    <row r="34" customFormat="false" ht="15" hidden="false" customHeight="false" outlineLevel="0" collapsed="false">
      <c r="A34" s="0" t="s">
        <v>133</v>
      </c>
      <c r="B34" s="0" t="n">
        <f aca="false">MAX(0,MIN(B32,B33))</f>
        <v>391024.880518434</v>
      </c>
    </row>
    <row r="35" customFormat="false" ht="15" hidden="false" customHeight="false" outlineLevel="0" collapsed="false">
      <c r="A35" s="0" t="s">
        <v>134</v>
      </c>
      <c r="B35" s="0" t="n">
        <f aca="false">B34/(1+B27/100)^L4</f>
        <v>144072.672340286</v>
      </c>
    </row>
    <row r="36" customFormat="false" ht="15" hidden="false" customHeight="false" outlineLevel="0" collapsed="false">
      <c r="A36" s="0" t="s">
        <v>135</v>
      </c>
      <c r="B36" s="0" t="n">
        <f aca="false">B30+B35</f>
        <v>247680.654407642</v>
      </c>
    </row>
    <row r="37" customFormat="false" ht="15" hidden="false" customHeight="false" outlineLevel="0" collapsed="false">
      <c r="A37" s="0" t="s">
        <v>136</v>
      </c>
      <c r="B37" s="0" t="n">
        <f aca="false">B36+Assumptions!$B$5-Assumptions!$B$4</f>
        <v>247680.654407642</v>
      </c>
    </row>
    <row r="38" customFormat="false" ht="15" hidden="false" customHeight="false" outlineLevel="0" collapsed="false">
      <c r="A38" s="0" t="s">
        <v>137</v>
      </c>
      <c r="B38" s="0" t="n">
        <f aca="false">B37/Assumptions!$B$3*Assumptions!$B$10</f>
        <v>93.2510164462261</v>
      </c>
    </row>
    <row r="39" customFormat="false" ht="15" hidden="false" customHeight="false" outlineLevel="0" collapsed="false">
      <c r="A39" s="0" t="s">
        <v>138</v>
      </c>
      <c r="B39" s="4" t="n">
        <f aca="false">B38/Assumptions!$B$2-1</f>
        <v>1.21498851416214</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93.2510164462261</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251373.137476136</v>
      </c>
    </row>
    <row r="47" customFormat="false" ht="15" hidden="false" customHeight="false" outlineLevel="0" collapsed="false">
      <c r="A47" s="0" t="s">
        <v>143</v>
      </c>
      <c r="B47" s="0" t="n">
        <f aca="false">(SUMPRODUCT(C19:L19/(1+B45/100)^C4:L4)+B46/(1+B45/100)^L4+Assumptions!$B$5-Assumptions!$B$4)/Assumptions!$B$3*Assumptions!$B$10</f>
        <v>54.7152085975109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24.9720526760967</v>
      </c>
      <c r="C4" s="0" t="n">
        <f aca="false">B4/Assumptions!$B$2-1</f>
        <v>-0.406839603893191</v>
      </c>
      <c r="D4" s="4" t="n">
        <f aca="false">Assumptions!$B$24</f>
        <v>0.3</v>
      </c>
      <c r="E4" s="4" t="n">
        <f aca="false">DCF_Bear!$B$43</f>
        <v>24.9720526760967</v>
      </c>
      <c r="F4" s="4" t="n">
        <f aca="false">DCF_Bear!$B$47</f>
        <v>18.1652032441477</v>
      </c>
    </row>
    <row r="5" customFormat="false" ht="15" hidden="false" customHeight="false" outlineLevel="0" collapsed="false">
      <c r="A5" s="0" t="s">
        <v>152</v>
      </c>
      <c r="B5" s="4" t="n">
        <f aca="false">DCF_Base!$B$38</f>
        <v>59.7341188833155</v>
      </c>
      <c r="C5" s="0" t="n">
        <f aca="false">B5/Assumptions!$B$2-1</f>
        <v>0.418862681313906</v>
      </c>
      <c r="D5" s="4" t="n">
        <f aca="false">Assumptions!$B$38</f>
        <v>0.5</v>
      </c>
      <c r="E5" s="4" t="n">
        <f aca="false">DCF_Base!$B$43</f>
        <v>59.7341188833155</v>
      </c>
      <c r="F5" s="4" t="n">
        <f aca="false">DCF_Base!$B$47</f>
        <v>37.88660580566</v>
      </c>
    </row>
    <row r="6" customFormat="false" ht="15" hidden="false" customHeight="false" outlineLevel="0" collapsed="false">
      <c r="A6" s="0" t="s">
        <v>153</v>
      </c>
      <c r="B6" s="4" t="n">
        <f aca="false">DCF_Bull!$B$38</f>
        <v>93.2510164462261</v>
      </c>
      <c r="C6" s="0" t="n">
        <f aca="false">B6/Assumptions!$B$2-1</f>
        <v>1.21498851416214</v>
      </c>
      <c r="D6" s="4" t="n">
        <f aca="false">Assumptions!$B$52</f>
        <v>0.2</v>
      </c>
      <c r="E6" s="4" t="n">
        <f aca="false">DCF_Bull!$B$43</f>
        <v>93.2510164462261</v>
      </c>
      <c r="F6" s="4" t="n">
        <f aca="false">DCF_Bull!$B$47</f>
        <v>54.7152085975109</v>
      </c>
    </row>
    <row r="8" customFormat="false" ht="15" hidden="false" customHeight="false" outlineLevel="0" collapsed="false">
      <c r="A8" s="0" t="s">
        <v>154</v>
      </c>
      <c r="B8" s="0" t="n">
        <f aca="false">SUMPRODUCT(B4:B6,D4:D6)</f>
        <v>56.008878533732</v>
      </c>
    </row>
    <row r="9" customFormat="false" ht="15" hidden="false" customHeight="false" outlineLevel="0" collapsed="false">
      <c r="A9" s="0" t="s">
        <v>155</v>
      </c>
      <c r="B9" s="0" t="n">
        <f aca="false">SUMPRODUCT(E4:E6,D4:D6)</f>
        <v>56.008878533732</v>
      </c>
    </row>
    <row r="10" customFormat="false" ht="15" hidden="false" customHeight="false" outlineLevel="0" collapsed="false">
      <c r="A10" s="0" t="s">
        <v>156</v>
      </c>
      <c r="B10" s="0" t="n">
        <f aca="false">1-Assumptions!$B$2/B8</f>
        <v>0.248333458870368</v>
      </c>
    </row>
    <row r="11" customFormat="false" ht="15" hidden="false" customHeight="false" outlineLevel="0" collapsed="false">
      <c r="A11" s="0" t="s">
        <v>157</v>
      </c>
      <c r="B11" s="0" t="str">
        <f aca="false">IF(ABS(B9-B8)&gt;0.01*ABS(B8),(Assumptions!$B$2-B8)/(B9-B8)*100,"n/a")</f>
        <v>n/a</v>
      </c>
    </row>
    <row r="12" customFormat="false" ht="15" hidden="false" customHeight="false" outlineLevel="0" collapsed="false">
      <c r="A12" s="0" t="s">
        <v>158</v>
      </c>
      <c r="B12" s="0" t="n">
        <f aca="false">SUMPRODUCT(F4:F6,D4:D6)</f>
        <v>35.3359055955765</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66.5743617942631</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61.9108410498957</v>
      </c>
      <c r="C16" s="3" t="n">
        <v>10</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59.7341188833155</v>
      </c>
      <c r="C17" s="3" t="n">
        <v>10.5</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57.6538244428139</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52.4782774034475</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37.88660580566</v>
      </c>
      <c r="C20" s="3" t="n">
        <v>15</v>
      </c>
    </row>
    <row r="22" customFormat="false" ht="15" hidden="false" customHeight="false" outlineLevel="0" collapsed="false">
      <c r="A22" s="2" t="s">
        <v>167</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69.0723315015681</v>
      </c>
      <c r="C24" s="0" t="n">
        <f aca="false">(SUMPRODUCT(DCF_Base!$C$19:$L$19/(1+$A$24/100)^DCF_Base!$C$4:$L$4)+MAX(0,MIN(IF($A$24&gt;$C$23,DCF_Base!$L$19*(1+$C$23/100)/(($A$24-$C$23)/100),DCF_Base!$L$19*DCF_Base!$B$29),DCF_Base!$L$19*DCF_Base!$B$29))/(1+$A$24/100)^DCF_Base!$L$4+Assumptions!$B$5-Assumptions!$B$4)/Assumptions!$B$3*Assumptions!$B$10</f>
        <v>69.0723315015681</v>
      </c>
      <c r="D24" s="0" t="n">
        <f aca="false">(SUMPRODUCT(DCF_Base!$C$19:$L$19/(1+$A$24/100)^DCF_Base!$C$4:$L$4)+MAX(0,MIN(IF($A$24&gt;$D$23,DCF_Base!$L$19*(1+$D$23/100)/(($A$24-$D$23)/100),DCF_Base!$L$19*DCF_Base!$B$29),DCF_Base!$L$19*DCF_Base!$B$29))/(1+$A$24/100)^DCF_Base!$L$4+Assumptions!$B$5-Assumptions!$B$4)/Assumptions!$B$3*Assumptions!$B$10</f>
        <v>69.0723315015681</v>
      </c>
      <c r="E24" s="0" t="n">
        <f aca="false">(SUMPRODUCT(DCF_Base!$C$19:$L$19/(1+$A$24/100)^DCF_Base!$C$4:$L$4)+MAX(0,MIN(IF($A$24&gt;$E$23,DCF_Base!$L$19*(1+$E$23/100)/(($A$24-$E$23)/100),DCF_Base!$L$19*DCF_Base!$B$29),DCF_Base!$L$19*DCF_Base!$B$29))/(1+$A$24/100)^DCF_Base!$L$4+Assumptions!$B$5-Assumptions!$B$4)/Assumptions!$B$3*Assumptions!$B$10</f>
        <v>69.0723315015681</v>
      </c>
      <c r="F24" s="0" t="n">
        <f aca="false">(SUMPRODUCT(DCF_Base!$C$19:$L$19/(1+$A$24/100)^DCF_Base!$C$4:$L$4)+MAX(0,MIN(IF($A$24&gt;$F$23,DCF_Base!$L$19*(1+$F$23/100)/(($A$24-$F$23)/100),DCF_Base!$L$19*DCF_Base!$B$29),DCF_Base!$L$19*DCF_Base!$B$29))/(1+$A$24/100)^DCF_Base!$L$4+Assumptions!$B$5-Assumptions!$B$4)/Assumptions!$B$3*Assumptions!$B$10</f>
        <v>69.0723315015681</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64.1891137457867</v>
      </c>
      <c r="C25" s="0" t="n">
        <f aca="false">(SUMPRODUCT(DCF_Base!$C$19:$L$19/(1+$A$25/100)^DCF_Base!$C$4:$L$4)+MAX(0,MIN(IF($A$25&gt;$C$23,DCF_Base!$L$19*(1+$C$23/100)/(($A$25-$C$23)/100),DCF_Base!$L$19*DCF_Base!$B$29),DCF_Base!$L$19*DCF_Base!$B$29))/(1+$A$25/100)^DCF_Base!$L$4+Assumptions!$B$5-Assumptions!$B$4)/Assumptions!$B$3*Assumptions!$B$10</f>
        <v>64.1891137457867</v>
      </c>
      <c r="D25" s="0" t="n">
        <f aca="false">(SUMPRODUCT(DCF_Base!$C$19:$L$19/(1+$A$25/100)^DCF_Base!$C$4:$L$4)+MAX(0,MIN(IF($A$25&gt;$D$23,DCF_Base!$L$19*(1+$D$23/100)/(($A$25-$D$23)/100),DCF_Base!$L$19*DCF_Base!$B$29),DCF_Base!$L$19*DCF_Base!$B$29))/(1+$A$25/100)^DCF_Base!$L$4+Assumptions!$B$5-Assumptions!$B$4)/Assumptions!$B$3*Assumptions!$B$10</f>
        <v>64.1891137457867</v>
      </c>
      <c r="E25" s="0" t="n">
        <f aca="false">(SUMPRODUCT(DCF_Base!$C$19:$L$19/(1+$A$25/100)^DCF_Base!$C$4:$L$4)+MAX(0,MIN(IF($A$25&gt;$E$23,DCF_Base!$L$19*(1+$E$23/100)/(($A$25-$E$23)/100),DCF_Base!$L$19*DCF_Base!$B$29),DCF_Base!$L$19*DCF_Base!$B$29))/(1+$A$25/100)^DCF_Base!$L$4+Assumptions!$B$5-Assumptions!$B$4)/Assumptions!$B$3*Assumptions!$B$10</f>
        <v>64.1891137457867</v>
      </c>
      <c r="F25" s="0" t="n">
        <f aca="false">(SUMPRODUCT(DCF_Base!$C$19:$L$19/(1+$A$25/100)^DCF_Base!$C$4:$L$4)+MAX(0,MIN(IF($A$25&gt;$F$23,DCF_Base!$L$19*(1+$F$23/100)/(($A$25-$F$23)/100),DCF_Base!$L$19*DCF_Base!$B$29),DCF_Base!$L$19*DCF_Base!$B$29))/(1+$A$25/100)^DCF_Base!$L$4+Assumptions!$B$5-Assumptions!$B$4)/Assumptions!$B$3*Assumptions!$B$10</f>
        <v>64.1891137457867</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59.7341188833155</v>
      </c>
      <c r="C26" s="0" t="n">
        <f aca="false">(SUMPRODUCT(DCF_Base!$C$19:$L$19/(1+$A$26/100)^DCF_Base!$C$4:$L$4)+MAX(0,MIN(IF($A$26&gt;$C$23,DCF_Base!$L$19*(1+$C$23/100)/(($A$26-$C$23)/100),DCF_Base!$L$19*DCF_Base!$B$29),DCF_Base!$L$19*DCF_Base!$B$29))/(1+$A$26/100)^DCF_Base!$L$4+Assumptions!$B$5-Assumptions!$B$4)/Assumptions!$B$3*Assumptions!$B$10</f>
        <v>59.7341188833155</v>
      </c>
      <c r="D26" s="0" t="n">
        <f aca="false">(SUMPRODUCT(DCF_Base!$C$19:$L$19/(1+$A$26/100)^DCF_Base!$C$4:$L$4)+MAX(0,MIN(IF($A$26&gt;$D$23,DCF_Base!$L$19*(1+$D$23/100)/(($A$26-$D$23)/100),DCF_Base!$L$19*DCF_Base!$B$29),DCF_Base!$L$19*DCF_Base!$B$29))/(1+$A$26/100)^DCF_Base!$L$4+Assumptions!$B$5-Assumptions!$B$4)/Assumptions!$B$3*Assumptions!$B$10</f>
        <v>59.7341188833155</v>
      </c>
      <c r="E26" s="0" t="n">
        <f aca="false">(SUMPRODUCT(DCF_Base!$C$19:$L$19/(1+$A$26/100)^DCF_Base!$C$4:$L$4)+MAX(0,MIN(IF($A$26&gt;$E$23,DCF_Base!$L$19*(1+$E$23/100)/(($A$26-$E$23)/100),DCF_Base!$L$19*DCF_Base!$B$29),DCF_Base!$L$19*DCF_Base!$B$29))/(1+$A$26/100)^DCF_Base!$L$4+Assumptions!$B$5-Assumptions!$B$4)/Assumptions!$B$3*Assumptions!$B$10</f>
        <v>59.7341188833155</v>
      </c>
      <c r="F26" s="0" t="n">
        <f aca="false">(SUMPRODUCT(DCF_Base!$C$19:$L$19/(1+$A$26/100)^DCF_Base!$C$4:$L$4)+MAX(0,MIN(IF($A$26&gt;$F$23,DCF_Base!$L$19*(1+$F$23/100)/(($A$26-$F$23)/100),DCF_Base!$L$19*DCF_Base!$B$29),DCF_Base!$L$19*DCF_Base!$B$29))/(1+$A$26/100)^DCF_Base!$L$4+Assumptions!$B$5-Assumptions!$B$4)/Assumptions!$B$3*Assumptions!$B$10</f>
        <v>59.7341188833155</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52.6093796921703</v>
      </c>
      <c r="C27" s="0" t="n">
        <f aca="false">(SUMPRODUCT(DCF_Base!$C$19:$L$19/(1+$A$27/100)^DCF_Base!$C$4:$L$4)+MAX(0,MIN(IF($A$27&gt;$C$23,DCF_Base!$L$19*(1+$C$23/100)/(($A$27-$C$23)/100),DCF_Base!$L$19*DCF_Base!$B$29),DCF_Base!$L$19*DCF_Base!$B$29))/(1+$A$27/100)^DCF_Base!$L$4+Assumptions!$B$5-Assumptions!$B$4)/Assumptions!$B$3*Assumptions!$B$10</f>
        <v>54.1867635093832</v>
      </c>
      <c r="D27" s="0" t="n">
        <f aca="false">(SUMPRODUCT(DCF_Base!$C$19:$L$19/(1+$A$27/100)^DCF_Base!$C$4:$L$4)+MAX(0,MIN(IF($A$27&gt;$D$23,DCF_Base!$L$19*(1+$D$23/100)/(($A$27-$D$23)/100),DCF_Base!$L$19*DCF_Base!$B$29),DCF_Base!$L$19*DCF_Base!$B$29))/(1+$A$27/100)^DCF_Base!$L$4+Assumptions!$B$5-Assumptions!$B$4)/Assumptions!$B$3*Assumptions!$B$10</f>
        <v>55.6651187461434</v>
      </c>
      <c r="E27" s="0" t="n">
        <f aca="false">(SUMPRODUCT(DCF_Base!$C$19:$L$19/(1+$A$27/100)^DCF_Base!$C$4:$L$4)+MAX(0,MIN(IF($A$27&gt;$E$23,DCF_Base!$L$19*(1+$E$23/100)/(($A$27-$E$23)/100),DCF_Base!$L$19*DCF_Base!$B$29),DCF_Base!$L$19*DCF_Base!$B$29))/(1+$A$27/100)^DCF_Base!$L$4+Assumptions!$B$5-Assumptions!$B$4)/Assumptions!$B$3*Assumptions!$B$10</f>
        <v>55.6651187461434</v>
      </c>
      <c r="F27" s="0" t="n">
        <f aca="false">(SUMPRODUCT(DCF_Base!$C$19:$L$19/(1+$A$27/100)^DCF_Base!$C$4:$L$4)+MAX(0,MIN(IF($A$27&gt;$F$23,DCF_Base!$L$19*(1+$F$23/100)/(($A$27-$F$23)/100),DCF_Base!$L$19*DCF_Base!$B$29),DCF_Base!$L$19*DCF_Base!$B$29))/(1+$A$27/100)^DCF_Base!$L$4+Assumptions!$B$5-Assumptions!$B$4)/Assumptions!$B$3*Assumptions!$B$10</f>
        <v>55.6651187461434</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46.8873069059394</v>
      </c>
      <c r="C28" s="0" t="n">
        <f aca="false">(SUMPRODUCT(DCF_Base!$C$19:$L$19/(1+$A$28/100)^DCF_Base!$C$4:$L$4)+MAX(0,MIN(IF($A$28&gt;$C$23,DCF_Base!$L$19*(1+$C$23/100)/(($A$28-$C$23)/100),DCF_Base!$L$19*DCF_Base!$B$29),DCF_Base!$L$19*DCF_Base!$B$29))/(1+$A$28/100)^DCF_Base!$L$4+Assumptions!$B$5-Assumptions!$B$4)/Assumptions!$B$3*Assumptions!$B$10</f>
        <v>48.0725714716409</v>
      </c>
      <c r="D28" s="0" t="n">
        <f aca="false">(SUMPRODUCT(DCF_Base!$C$19:$L$19/(1+$A$28/100)^DCF_Base!$C$4:$L$4)+MAX(0,MIN(IF($A$28&gt;$D$23,DCF_Base!$L$19*(1+$D$23/100)/(($A$28-$D$23)/100),DCF_Base!$L$19*DCF_Base!$B$29),DCF_Base!$L$19*DCF_Base!$B$29))/(1+$A$28/100)^DCF_Base!$L$4+Assumptions!$B$5-Assumptions!$B$4)/Assumptions!$B$3*Assumptions!$B$10</f>
        <v>49.3826007284689</v>
      </c>
      <c r="E28" s="0" t="n">
        <f aca="false">(SUMPRODUCT(DCF_Base!$C$19:$L$19/(1+$A$28/100)^DCF_Base!$C$4:$L$4)+MAX(0,MIN(IF($A$28&gt;$E$23,DCF_Base!$L$19*(1+$E$23/100)/(($A$28-$E$23)/100),DCF_Base!$L$19*DCF_Base!$B$29),DCF_Base!$L$19*DCF_Base!$B$29))/(1+$A$28/100)^DCF_Base!$L$4+Assumptions!$B$5-Assumptions!$B$4)/Assumptions!$B$3*Assumptions!$B$10</f>
        <v>50.8381887916112</v>
      </c>
      <c r="F28" s="0" t="n">
        <f aca="false">(SUMPRODUCT(DCF_Base!$C$19:$L$19/(1+$A$28/100)^DCF_Base!$C$4:$L$4)+MAX(0,MIN(IF($A$28&gt;$F$23,DCF_Base!$L$19*(1+$F$23/100)/(($A$28-$F$23)/100),DCF_Base!$L$19*DCF_Base!$B$29),DCF_Base!$L$19*DCF_Base!$B$29))/(1+$A$28/100)^DCF_Base!$L$4+Assumptions!$B$5-Assumptions!$B$4)/Assumptions!$B$3*Assumptions!$B$10</f>
        <v>51.9444357195993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2026-10-16T09:27:57Z</dcterms:created>
  <dc:creator>openpyxl</dc:creator>
  <dc:description/>
  <dc:language>en-NZ</dc:language>
  <cp:lastModifiedBy/>
  <dcterms:modified xsi:type="dcterms:W3CDTF">2026-10-16T09:27:57Z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