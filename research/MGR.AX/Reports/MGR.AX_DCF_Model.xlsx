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<sst xmlns="http://schemas.openxmlformats.org/spreadsheetml/2006/main" count="366" uniqueCount="169">
  <si>
    <t xml:space="preserve">Ticker</t>
  </si>
  <si>
    <t xml:space="preserve">MGR.AX</t>
  </si>
  <si>
    <t xml:space="preserve">Company</t>
  </si>
  <si>
    <t xml:space="preserve">Mirvac Group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</si>
  <si>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</si>
  <si>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</si>
  <si>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</si>
  <si>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</si>
  <si>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2026-09-23T06:10:04Z (ASX regular close 16:00 AEST; Yahoo v8 chart meta; 52-week range 1.607-2.46)</t>
  </si>
  <si>
    <t xml:space="preserve">Balance sheet date</t>
  </si>
  <si>
    <t xml:space="preserve">2026-06-30</t>
  </si>
  <si>
    <t xml:space="preserve">Model</t>
  </si>
  <si>
    <t xml:space="preserve">REIT operating profit capitalisation at cost of equity (engine route; stapled property trust plus development and funds management)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</si>
  <si>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</si>
  <si>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</si>
  <si>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</si>
  <si>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</si>
  <si>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</si>
  <si>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</si>
  <si>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</si>
  <si>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</si>
  <si>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2026-09-23T09:08:44Z</t>
  </si>
  <si>
    <t xml:space="preserve">Drivers file</t>
  </si>
  <si>
    <t xml:space="preserve">MGR.AX_Drivers.json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</si>
  <si>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</si>
  <si>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</si>
  <si>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</si>
  <si>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Stapled REIT/developer valued on its own distributable measure (Operating profit after tax) as free cash flow to equity at a 9.5% AUD cost of equity, with reinvestment of the ~25% retained charged explicitly and net debt held at zero because the flow is post-interest. Statutory profit and statutory FCF are fair-value and inventory-timing noise and are ignored. The earnings-based value sits below NTA (A$2.33) because operating ROE on book (5.4%) is below the cost of equity; the current 24% discount to NTA is the market pricing the same gap.
key_risks_to_valuation: Interest rates: ~A$3.5bn net debt at 5.7% with 66% hedged; each 50bp is ~A$18m (3.5%) of operating profit.; Development cycle: A$1.9bn of development revenue and 270 of 908 segment EBIT depend on residential settlement timing and margins that are still below the 18-22% target band.; Office valuations: a further devaluation cycle would push look-through gearing toward the 30% ceiling and could force asset sales or an FY20-style equity raise (3,710m -&gt; 3,933m securities).; Capital-partner dependence: FY26 operating profit included sell-down gains at Harbourside, SEED and Kindira; the base case assumes the secured pipeline continues to attract partners.; Ten-year record: operating EPS 13.0c (FY16) -&gt; 12.9c (FY26) despite 25-30% retention; the 2.5% terminal growth assumes better capital allocation than the last decade delivered.</t>
  </si>
  <si>
    <t xml:space="preserve">Data sources</t>
  </si>
  <si>
    <t xml:space="preserve">price: Yahoo Finance v8 chart API at inputs.price_as_of; 52-week range 1.607-2.46
financials: MGR.AX_Annual_FY2026.txt (segment note B, operating profit reconciliation, five-year summary, capital management); MGR.AX_Metrics.csv and kpis (OperatingProfit, DividendsPaid, Depreciation, CashTaxesPaid) for FY2016-FY2026 history
qualitative: FY26 annual report: Group outlook and FY27 guidance (line 2518), performance-by-pillar commentary on residential pre-sales, office leasing, build-to-rent and MWOF capital raising</t>
  </si>
  <si>
    <t xml:space="preserve">Scenario narrative: bear</t>
  </si>
  <si>
    <t xml:space="preserve">The FY23-FY25 pattern repeats: office values fall again, development margins stay compressed as settlements defer, look-through gearing approaches 30% and Mirvac recycles assets at soft prices or raises equity as in FY20. Operating profit troughs near A$430m in FY28 and per-security earnings resume the last decade's flat trend, so the distribution barely grows from 9.9c.</t>
  </si>
  <si>
    <t xml:space="preserve">Scenario narrative: base</t>
  </si>
  <si>
    <t xml:space="preserve">Mirvac earns its FY27 guidance (13.2-13.4c, DPS 9.9c) on 2,800-3,100 lot settlements and a 5.7% cost of debt, grows operating profit ~3-4% a year through FY29 as the secured commercial and mixed-use pipeline (55 Pitt Street, Harbourside, Aspect, SEED) completes, and then compounds at ~2.5% -- CPI-like rent growth on a 98%-occupied portfolio with a 75% payout. The A$3.5bn net debt is serviced inside the flows; no NTA convergence is assumed.</t>
  </si>
  <si>
    <t xml:space="preserve">Scenario narrative: bull</t>
  </si>
  <si>
    <t xml:space="preserve">Australian housing undersupply plus a restocked masterplanned-communities pipeline lifts settlements past 3,100 a year at 18-22% margins; RBA easing takes the average borrowing rate toward 5%; LIV build-to-rent and the ART-backed funds platform become a capital-light earnings leg. Operating EPS compounds ~5% a year to FY31 and the stock re-rates toward NTA (A$2.33).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</si>
  <si>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</si>
  <si>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</si>
  <si>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</si>
  <si>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</si>
  <si>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</si>
  <si>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</si>
  <si>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</si>
  <si>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</si>
  <si>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</si>
  <si>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</si>
  <si>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</si>
  <si>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</si>
  <si>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</si>
  <si>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</si>
  <si>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</si>
  <si>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</si>
  <si>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</si>
  <si>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</si>
  <si>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</si>
  <si>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</si>
  <si>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</si>
  <si>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</si>
  <si>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</si>
  <si>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</si>
  <si>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</si>
  <si>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</si>
  <si>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</si>
  <si>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CapexInvestmentProperty</t>
  </si>
  <si>
    <t xml:space="preserve">OperatingProfit</t>
  </si>
  <si>
    <t xml:space="preserve">WeightedAvgSecurities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</si>
  <si>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</si>
  <si>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</si>
  <si>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</si>
  <si>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</si>
  <si>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</si>
  <si>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</si>
  <si>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</si>
  <si>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</si>
  <si>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</si>
  <si>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</si>
  <si>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</si>
  <si>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</si>
  <si>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</si>
  <si>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</si>
  <si>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</si>
  <si>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</si>
  <si>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</si>
  <si>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</si>
  <si>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</si>
  <si>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</si>
  <si>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</si>
  <si>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</si>
  <si>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</si>
  <si>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</si>
  <si>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</si>
  <si>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</si>
  <si>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</si>
  <si>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</si>
  <si>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</si>
  <si>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</si>
  <si>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</si>
  <si>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</si>
  <si>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</si>
  <si>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</si>
  <si>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</si>
  <si>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</si>
  <si>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</si>
  <si>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</si>
  <si>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</si>
  <si>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</si>
  <si>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</si>
  <si>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</si>
  <si>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</si>
  <si>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</si>
  <si>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</si>
  <si>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</si>
  <si>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</si>
  <si>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</si>
  <si>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MGR.AX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</si>
  <si>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</si>
  <si>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</si>
  <si>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</si>
  <si>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</si>
  <si>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</si>
  <si>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</si>
  <si>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</si>
  <si>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</si>
  <si>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</si>
  <si>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</si>
  <si>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</si>
  <si>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</si>
  <si>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</si>
  <si>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</si>
  <si>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</si>
  <si>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</si>
  <si>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</si>
  <si>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</si>
  <si>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</si>
  <si>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</si>
  <si>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</si>
  <si>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</si>
  <si>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</si>
  <si>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</si>
  <si>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</si>
  <si>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</si>
  <si>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</si>
  <si>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</si>
  <si>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</si>
  <si>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</si>
  <si>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MGR.AX owner-FCF component DCF: base case (millions, AUD)</t>
  </si>
  <si>
    <t xml:space="preserve">MGR.AX owner-FCF component DCF: bull case (millions, AUD)</t>
  </si>
  <si>
    <t xml:space="preserve">MGR.AX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</si>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</sst>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2321</v>
      </c>
      <c r="I2" s="0" t="n">
        <v>1033</v>
      </c>
      <c r="J2" s="0" t="n">
        <v>44.5</v>
      </c>
      <c r="K2" s="0" t="n">
        <v>0.279</v>
      </c>
      <c r="L2" s="0" t="n">
        <v>509</v>
      </c>
      <c r="M2" s="0" t="n">
        <v>767</v>
      </c>
      <c r="N2" s="0" t="n">
        <v>-258</v>
      </c>
      <c r="O2" s="0" t="n">
        <v>7180</v>
      </c>
      <c r="P2" s="0" t="n">
        <v>11169</v>
      </c>
      <c r="Q2" s="0" t="n">
        <v>3989</v>
      </c>
      <c r="R2" s="0" t="n">
        <v>2815</v>
      </c>
      <c r="S2" s="0" t="n">
        <v>354</v>
      </c>
      <c r="T2" s="0" t="n">
        <v>3700</v>
      </c>
      <c r="U2" s="0" t="n">
        <v>10</v>
      </c>
      <c r="AA2" s="0" t="s">
        <v>17</v>
      </c>
      <c r="AB2" s="0" t="s">
        <v>14</v>
      </c>
      <c r="AC2" s="0" t="n">
        <v>751</v>
      </c>
      <c r="AD2" s="0" t="n">
        <v>482</v>
      </c>
      <c r="AE2" s="0" t="n">
        <v>3700</v>
      </c>
    </row>
    <row r="3" customFormat="false" ht="15" hidden="false" customHeight="false" outlineLevel="0" collapsed="false">
      <c r="A3" s="0" t="s">
        <v>67</v>
      </c>
      <c r="B3" s="0" t="n">
        <v>2275</v>
      </c>
      <c r="I3" s="0" t="n">
        <v>1164</v>
      </c>
      <c r="J3" s="0" t="n">
        <v>51.2</v>
      </c>
      <c r="K3" s="0" t="n">
        <v>0.314</v>
      </c>
      <c r="L3" s="0" t="n">
        <v>513</v>
      </c>
      <c r="M3" s="0" t="n">
        <v>444</v>
      </c>
      <c r="N3" s="0" t="n">
        <v>69</v>
      </c>
      <c r="O3" s="0" t="n">
        <v>7972</v>
      </c>
      <c r="P3" s="0" t="n">
        <v>12108</v>
      </c>
      <c r="Q3" s="0" t="n">
        <v>4136</v>
      </c>
      <c r="R3" s="0" t="n">
        <v>2965</v>
      </c>
      <c r="S3" s="0" t="n">
        <v>106</v>
      </c>
      <c r="T3" s="0" t="n">
        <v>3705</v>
      </c>
      <c r="U3" s="0" t="n">
        <v>15</v>
      </c>
      <c r="AA3" s="0" t="s">
        <v>17</v>
      </c>
      <c r="AB3" s="0" t="s">
        <v>14</v>
      </c>
      <c r="AC3" s="0" t="n">
        <v>430</v>
      </c>
      <c r="AD3" s="0" t="n">
        <v>534</v>
      </c>
      <c r="AE3" s="0" t="n">
        <v>3705</v>
      </c>
    </row>
    <row r="4" customFormat="false" ht="15" hidden="false" customHeight="false" outlineLevel="0" collapsed="false">
      <c r="A4" s="0" t="s">
        <v>68</v>
      </c>
      <c r="B4" s="0" t="n">
        <v>2159</v>
      </c>
      <c r="I4" s="0" t="n">
        <v>1089</v>
      </c>
      <c r="J4" s="0" t="n">
        <v>50.4</v>
      </c>
      <c r="K4" s="0" t="n">
        <v>0.294</v>
      </c>
      <c r="L4" s="0" t="n">
        <v>663</v>
      </c>
      <c r="M4" s="0" t="n">
        <v>642</v>
      </c>
      <c r="N4" s="0" t="n">
        <v>21</v>
      </c>
      <c r="O4" s="0" t="n">
        <v>8655</v>
      </c>
      <c r="P4" s="0" t="n">
        <v>13345</v>
      </c>
      <c r="Q4" s="0" t="n">
        <v>4690</v>
      </c>
      <c r="R4" s="0" t="n">
        <v>3073</v>
      </c>
      <c r="S4" s="0" t="n">
        <v>221</v>
      </c>
      <c r="T4" s="0" t="n">
        <v>3710</v>
      </c>
      <c r="U4" s="0" t="n">
        <v>11</v>
      </c>
      <c r="AA4" s="0" t="s">
        <v>17</v>
      </c>
      <c r="AB4" s="0" t="s">
        <v>14</v>
      </c>
      <c r="AC4" s="0" t="n">
        <v>628</v>
      </c>
      <c r="AD4" s="0" t="n">
        <v>580</v>
      </c>
      <c r="AE4" s="0" t="n">
        <v>3710</v>
      </c>
    </row>
    <row r="5" customFormat="false" ht="15" hidden="false" customHeight="false" outlineLevel="0" collapsed="false">
      <c r="A5" s="0" t="s">
        <v>69</v>
      </c>
      <c r="B5" s="0" t="n">
        <v>2186</v>
      </c>
      <c r="I5" s="0" t="n">
        <v>1019</v>
      </c>
      <c r="J5" s="0" t="n">
        <v>46.6</v>
      </c>
      <c r="K5" s="0" t="n">
        <v>0.276</v>
      </c>
      <c r="L5" s="0" t="n">
        <v>518</v>
      </c>
      <c r="M5" s="0" t="n">
        <v>907</v>
      </c>
      <c r="N5" s="0" t="n">
        <v>-389</v>
      </c>
      <c r="O5" s="0" t="n">
        <v>9843</v>
      </c>
      <c r="P5" s="0" t="n">
        <v>14771</v>
      </c>
      <c r="Q5" s="0" t="n">
        <v>4897</v>
      </c>
      <c r="R5" s="0" t="n">
        <v>3448</v>
      </c>
      <c r="S5" s="0" t="n">
        <v>134</v>
      </c>
      <c r="T5" s="0" t="n">
        <v>3696</v>
      </c>
      <c r="U5" s="0" t="n">
        <v>14</v>
      </c>
      <c r="AA5" s="0" t="s">
        <v>17</v>
      </c>
      <c r="AB5" s="0" t="s">
        <v>14</v>
      </c>
      <c r="AC5" s="0" t="n">
        <v>895</v>
      </c>
      <c r="AD5" s="0" t="n">
        <v>631</v>
      </c>
      <c r="AE5" s="0" t="n">
        <v>3696</v>
      </c>
    </row>
    <row r="6" customFormat="false" ht="15" hidden="false" customHeight="false" outlineLevel="0" collapsed="false">
      <c r="A6" s="0" t="s">
        <v>70</v>
      </c>
      <c r="B6" s="0" t="n">
        <v>2116</v>
      </c>
      <c r="F6" s="0" t="n">
        <v>796</v>
      </c>
      <c r="G6" s="0" t="n">
        <v>37.6</v>
      </c>
      <c r="I6" s="0" t="n">
        <v>558</v>
      </c>
      <c r="J6" s="0" t="n">
        <v>26.4</v>
      </c>
      <c r="K6" s="0" t="n">
        <v>0.142</v>
      </c>
      <c r="L6" s="0" t="n">
        <v>455</v>
      </c>
      <c r="M6" s="0" t="n">
        <v>700</v>
      </c>
      <c r="N6" s="0" t="n">
        <v>-245</v>
      </c>
      <c r="O6" s="0" t="n">
        <v>10107</v>
      </c>
      <c r="P6" s="0" t="n">
        <v>15407</v>
      </c>
      <c r="Q6" s="0" t="n">
        <v>5249</v>
      </c>
      <c r="R6" s="0" t="n">
        <v>4300</v>
      </c>
      <c r="S6" s="0" t="n">
        <v>324</v>
      </c>
      <c r="T6" s="0" t="n">
        <v>3933</v>
      </c>
      <c r="U6" s="0" t="n">
        <v>10</v>
      </c>
      <c r="AA6" s="0" t="s">
        <v>17</v>
      </c>
      <c r="AB6" s="0" t="s">
        <v>14</v>
      </c>
      <c r="AC6" s="0" t="n">
        <v>696</v>
      </c>
      <c r="AD6" s="0" t="n">
        <v>602</v>
      </c>
      <c r="AE6" s="0" t="n">
        <v>3933</v>
      </c>
    </row>
    <row r="7" customFormat="false" ht="15" hidden="false" customHeight="false" outlineLevel="0" collapsed="false">
      <c r="A7" s="0" t="s">
        <v>71</v>
      </c>
      <c r="B7" s="0" t="n">
        <v>1808</v>
      </c>
      <c r="F7" s="0" t="n">
        <v>704</v>
      </c>
      <c r="G7" s="0" t="n">
        <v>38.9</v>
      </c>
      <c r="I7" s="0" t="n">
        <v>901</v>
      </c>
      <c r="J7" s="0" t="n">
        <v>49.8</v>
      </c>
      <c r="K7" s="0" t="n">
        <v>0.229</v>
      </c>
      <c r="L7" s="0" t="n">
        <v>635</v>
      </c>
      <c r="M7" s="0" t="n">
        <v>634</v>
      </c>
      <c r="N7" s="0" t="n">
        <v>1</v>
      </c>
      <c r="O7" s="0" t="n">
        <v>10593</v>
      </c>
      <c r="P7" s="0" t="n">
        <v>15913</v>
      </c>
      <c r="Q7" s="0" t="n">
        <v>5254</v>
      </c>
      <c r="R7" s="0" t="n">
        <v>3922</v>
      </c>
      <c r="S7" s="0" t="n">
        <v>117</v>
      </c>
      <c r="T7" s="0" t="n">
        <v>3938</v>
      </c>
      <c r="U7" s="0" t="n">
        <v>10</v>
      </c>
      <c r="AA7" s="0" t="s">
        <v>17</v>
      </c>
      <c r="AB7" s="0" t="s">
        <v>14</v>
      </c>
      <c r="AC7" s="0" t="n">
        <v>631</v>
      </c>
      <c r="AD7" s="0" t="n">
        <v>550</v>
      </c>
      <c r="AE7" s="0" t="n">
        <v>3938</v>
      </c>
    </row>
    <row r="8" customFormat="false" ht="15" hidden="false" customHeight="false" outlineLevel="0" collapsed="false">
      <c r="A8" s="0" t="s">
        <v>72</v>
      </c>
      <c r="B8" s="0" t="n">
        <v>2306</v>
      </c>
      <c r="F8" s="0" t="n">
        <v>773</v>
      </c>
      <c r="G8" s="0" t="n">
        <v>33.5</v>
      </c>
      <c r="I8" s="0" t="n">
        <v>906</v>
      </c>
      <c r="J8" s="0" t="n">
        <v>39.3</v>
      </c>
      <c r="K8" s="0" t="n">
        <v>0.23</v>
      </c>
      <c r="L8" s="0" t="n">
        <v>896</v>
      </c>
      <c r="M8" s="0" t="n">
        <v>799</v>
      </c>
      <c r="N8" s="0" t="n">
        <v>97</v>
      </c>
      <c r="O8" s="0" t="n">
        <v>11126</v>
      </c>
      <c r="P8" s="0" t="n">
        <v>17205</v>
      </c>
      <c r="Q8" s="0" t="n">
        <v>6013</v>
      </c>
      <c r="R8" s="0" t="n">
        <v>4211</v>
      </c>
      <c r="S8" s="0" t="n">
        <v>558</v>
      </c>
      <c r="T8" s="0" t="n">
        <v>3942</v>
      </c>
      <c r="U8" s="0" t="n">
        <v>14</v>
      </c>
      <c r="AA8" s="0" t="s">
        <v>17</v>
      </c>
      <c r="AB8" s="0" t="s">
        <v>14</v>
      </c>
      <c r="AC8" s="0" t="n">
        <v>792</v>
      </c>
      <c r="AD8" s="0" t="n">
        <v>596</v>
      </c>
      <c r="AE8" s="0" t="n">
        <v>3942</v>
      </c>
    </row>
    <row r="9" customFormat="false" ht="15" hidden="false" customHeight="false" outlineLevel="0" collapsed="false">
      <c r="A9" s="0" t="s">
        <v>73</v>
      </c>
      <c r="B9" s="0" t="n">
        <v>1902</v>
      </c>
      <c r="F9" s="0" t="n">
        <v>767</v>
      </c>
      <c r="G9" s="0" t="n">
        <v>40.3</v>
      </c>
      <c r="I9" s="0" t="n">
        <v>-165</v>
      </c>
      <c r="J9" s="0" t="n">
        <v>-8.7</v>
      </c>
      <c r="K9" s="0" t="n">
        <v>-0.042</v>
      </c>
      <c r="L9" s="0" t="n">
        <v>-57</v>
      </c>
      <c r="M9" s="0" t="n">
        <v>739</v>
      </c>
      <c r="N9" s="0" t="n">
        <v>-796</v>
      </c>
      <c r="O9" s="0" t="n">
        <v>10557</v>
      </c>
      <c r="P9" s="0" t="n">
        <v>16882</v>
      </c>
      <c r="Q9" s="0" t="n">
        <v>6325</v>
      </c>
      <c r="R9" s="0" t="n">
        <v>4476</v>
      </c>
      <c r="S9" s="0" t="n">
        <v>122</v>
      </c>
      <c r="T9" s="0" t="n">
        <v>3946</v>
      </c>
      <c r="U9" s="0" t="n">
        <v>13</v>
      </c>
      <c r="AA9" s="0" t="s">
        <v>17</v>
      </c>
      <c r="AB9" s="0" t="s">
        <v>14</v>
      </c>
      <c r="AC9" s="0" t="n">
        <v>736</v>
      </c>
      <c r="AD9" s="0" t="n">
        <v>580</v>
      </c>
      <c r="AE9" s="0" t="n">
        <v>3946</v>
      </c>
    </row>
    <row r="10" customFormat="false" ht="15" hidden="false" customHeight="false" outlineLevel="0" collapsed="false">
      <c r="A10" s="0" t="s">
        <v>74</v>
      </c>
      <c r="B10" s="0" t="n">
        <v>3035</v>
      </c>
      <c r="F10" s="0" t="n">
        <v>860</v>
      </c>
      <c r="G10" s="0" t="n">
        <v>28.3</v>
      </c>
      <c r="I10" s="0" t="n">
        <v>-805</v>
      </c>
      <c r="J10" s="0" t="n">
        <v>-26.5</v>
      </c>
      <c r="K10" s="0" t="n">
        <v>-0.204</v>
      </c>
      <c r="L10" s="0" t="n">
        <v>542</v>
      </c>
      <c r="M10" s="0" t="n">
        <v>424</v>
      </c>
      <c r="N10" s="0" t="n">
        <v>118</v>
      </c>
      <c r="O10" s="0" t="n">
        <v>9351</v>
      </c>
      <c r="P10" s="0" t="n">
        <v>15556</v>
      </c>
      <c r="Q10" s="0" t="n">
        <v>6205</v>
      </c>
      <c r="R10" s="0" t="n">
        <v>4424</v>
      </c>
      <c r="S10" s="0" t="n">
        <v>335</v>
      </c>
      <c r="T10" s="0" t="n">
        <v>3946</v>
      </c>
      <c r="U10" s="0" t="n">
        <v>7</v>
      </c>
      <c r="AA10" s="0" t="s">
        <v>17</v>
      </c>
      <c r="AB10" s="0" t="s">
        <v>14</v>
      </c>
      <c r="AC10" s="0" t="n">
        <v>423</v>
      </c>
      <c r="AD10" s="0" t="n">
        <v>552</v>
      </c>
      <c r="AE10" s="0" t="n">
        <v>3946</v>
      </c>
    </row>
    <row r="11" customFormat="false" ht="15" hidden="false" customHeight="false" outlineLevel="0" collapsed="false">
      <c r="A11" s="0" t="s">
        <v>75</v>
      </c>
      <c r="B11" s="0" t="n">
        <v>2472</v>
      </c>
      <c r="F11" s="0" t="n">
        <v>736</v>
      </c>
      <c r="G11" s="0" t="n">
        <v>29.8</v>
      </c>
      <c r="I11" s="0" t="n">
        <v>68</v>
      </c>
      <c r="J11" s="0" t="n">
        <v>2.8</v>
      </c>
      <c r="K11" s="0" t="n">
        <v>0.017</v>
      </c>
      <c r="L11" s="0" t="n">
        <v>550</v>
      </c>
      <c r="M11" s="0" t="n">
        <v>353</v>
      </c>
      <c r="N11" s="0" t="n">
        <v>197</v>
      </c>
      <c r="O11" s="0" t="n">
        <v>9055</v>
      </c>
      <c r="P11" s="0" t="n">
        <v>15078</v>
      </c>
      <c r="Q11" s="0" t="n">
        <v>6023</v>
      </c>
      <c r="R11" s="0" t="n">
        <v>4464</v>
      </c>
      <c r="S11" s="0" t="n">
        <v>236</v>
      </c>
      <c r="T11" s="0" t="n">
        <v>3946</v>
      </c>
      <c r="U11" s="0" t="n">
        <v>9</v>
      </c>
      <c r="AA11" s="0" t="s">
        <v>17</v>
      </c>
      <c r="AB11" s="0" t="s">
        <v>14</v>
      </c>
      <c r="AC11" s="0" t="n">
        <v>351</v>
      </c>
      <c r="AD11" s="0" t="n">
        <v>474</v>
      </c>
      <c r="AE11" s="0" t="n">
        <v>3946</v>
      </c>
    </row>
    <row r="12" customFormat="false" ht="15" hidden="false" customHeight="false" outlineLevel="0" collapsed="false">
      <c r="A12" s="0" t="s">
        <v>76</v>
      </c>
      <c r="B12" s="0" t="n">
        <v>2626</v>
      </c>
      <c r="F12" s="0" t="n">
        <v>826</v>
      </c>
      <c r="G12" s="0" t="n">
        <v>31.5</v>
      </c>
      <c r="I12" s="0" t="n">
        <v>677</v>
      </c>
      <c r="J12" s="0" t="n">
        <v>25.8</v>
      </c>
      <c r="K12" s="0" t="n">
        <v>0.172</v>
      </c>
      <c r="L12" s="0" t="n">
        <v>875</v>
      </c>
      <c r="M12" s="0" t="n">
        <v>304</v>
      </c>
      <c r="N12" s="0" t="n">
        <v>571</v>
      </c>
      <c r="O12" s="0" t="n">
        <v>9355</v>
      </c>
      <c r="P12" s="0" t="n">
        <v>14927</v>
      </c>
      <c r="Q12" s="0" t="n">
        <v>5572</v>
      </c>
      <c r="R12" s="0" t="n">
        <v>3788</v>
      </c>
      <c r="S12" s="0" t="n">
        <v>238</v>
      </c>
      <c r="T12" s="0" t="n">
        <v>3946</v>
      </c>
      <c r="AA12" s="0" t="s">
        <v>17</v>
      </c>
      <c r="AB12" s="0" t="s">
        <v>14</v>
      </c>
      <c r="AC12" s="0" t="n">
        <v>300</v>
      </c>
      <c r="AD12" s="0" t="n">
        <v>508</v>
      </c>
      <c r="AE12" s="0" t="n">
        <v>3946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1.78</v>
      </c>
    </row>
    <row r="3" customFormat="false" ht="15" hidden="false" customHeight="false" outlineLevel="0" collapsed="false">
      <c r="A3" s="0" t="s">
        <v>80</v>
      </c>
      <c r="B3" s="3" t="n">
        <v>3946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2654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</v>
      </c>
      <c r="D13" s="3" t="n">
        <v>-4</v>
      </c>
      <c r="E13" s="3" t="n">
        <v>-2</v>
      </c>
      <c r="F13" s="3" t="n">
        <v>0</v>
      </c>
      <c r="G13" s="3" t="n">
        <v>1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23</v>
      </c>
      <c r="D14" s="3" t="n">
        <v>22</v>
      </c>
      <c r="E14" s="3" t="n">
        <v>21.5</v>
      </c>
      <c r="F14" s="3" t="n">
        <v>21.5</v>
      </c>
      <c r="G14" s="3" t="n">
        <v>21.5</v>
      </c>
      <c r="H14" s="3" t="n">
        <v>21.5</v>
      </c>
      <c r="I14" s="3" t="n">
        <v>21.5</v>
      </c>
      <c r="J14" s="3" t="n">
        <v>21.5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2.4</v>
      </c>
      <c r="D17" s="3" t="n">
        <v>2.4</v>
      </c>
      <c r="E17" s="3" t="n">
        <v>2.4</v>
      </c>
      <c r="F17" s="3" t="n">
        <v>2.4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105</v>
      </c>
      <c r="C18" s="3" t="n">
        <v>7.2</v>
      </c>
      <c r="D18" s="3" t="n">
        <v>7.2</v>
      </c>
      <c r="E18" s="3" t="n">
        <v>7.2</v>
      </c>
      <c r="F18" s="3" t="n">
        <v>7.2</v>
      </c>
      <c r="G18" s="3" t="n">
        <v>7.2</v>
      </c>
      <c r="H18" s="3" t="n">
        <v>7.2</v>
      </c>
      <c r="I18" s="3" t="n">
        <v>7.2</v>
      </c>
      <c r="J18" s="3" t="n">
        <v>7.2</v>
      </c>
      <c r="K18" s="3" t="n">
        <v>7.2</v>
      </c>
      <c r="L18" s="3" t="n">
        <v>7.2</v>
      </c>
    </row>
    <row r="19" customFormat="false" ht="15" hidden="false" customHeight="false" outlineLevel="0" collapsed="false">
      <c r="A19" s="0" t="s">
        <v>106</v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</v>
      </c>
      <c r="H19" s="3" t="n">
        <v>9</v>
      </c>
      <c r="I19" s="3" t="n">
        <v>9</v>
      </c>
      <c r="J19" s="3" t="n">
        <v>9</v>
      </c>
      <c r="K19" s="3" t="n">
        <v>9</v>
      </c>
      <c r="L19" s="3" t="n">
        <v>9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18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3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23.4</v>
      </c>
      <c r="D28" s="3" t="n">
        <v>23.4</v>
      </c>
      <c r="E28" s="3" t="n">
        <v>23.4</v>
      </c>
      <c r="F28" s="3" t="n">
        <v>23.4</v>
      </c>
      <c r="G28" s="3" t="n">
        <v>23.4</v>
      </c>
      <c r="H28" s="3" t="n">
        <v>23.4</v>
      </c>
      <c r="I28" s="3" t="n">
        <v>23.4</v>
      </c>
      <c r="J28" s="3" t="n">
        <v>23.4</v>
      </c>
      <c r="K28" s="3" t="n">
        <v>23.4</v>
      </c>
      <c r="L28" s="3" t="n">
        <v>23.4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2.4</v>
      </c>
      <c r="D31" s="3" t="n">
        <v>2.4</v>
      </c>
      <c r="E31" s="3" t="n">
        <v>2.4</v>
      </c>
      <c r="F31" s="3" t="n">
        <v>2.4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105</v>
      </c>
      <c r="C32" s="3" t="n">
        <v>7.2</v>
      </c>
      <c r="D32" s="3" t="n">
        <v>7.2</v>
      </c>
      <c r="E32" s="3" t="n">
        <v>7.2</v>
      </c>
      <c r="F32" s="3" t="n">
        <v>7.2</v>
      </c>
      <c r="G32" s="3" t="n">
        <v>7.2</v>
      </c>
      <c r="H32" s="3" t="n">
        <v>7.2</v>
      </c>
      <c r="I32" s="3" t="n">
        <v>7.2</v>
      </c>
      <c r="J32" s="3" t="n">
        <v>7.2</v>
      </c>
      <c r="K32" s="3" t="n">
        <v>7.2</v>
      </c>
      <c r="L32" s="3" t="n">
        <v>7.2</v>
      </c>
    </row>
    <row r="33" customFormat="false" ht="15" hidden="false" customHeight="false" outlineLevel="0" collapsed="false">
      <c r="A33" s="0" t="s">
        <v>106</v>
      </c>
      <c r="C33" s="3" t="n">
        <v>9</v>
      </c>
      <c r="D33" s="3" t="n">
        <v>9</v>
      </c>
      <c r="E33" s="3" t="n">
        <v>9</v>
      </c>
      <c r="F33" s="3" t="n">
        <v>9</v>
      </c>
      <c r="G33" s="3" t="n">
        <v>9</v>
      </c>
      <c r="H33" s="3" t="n">
        <v>9</v>
      </c>
      <c r="I33" s="3" t="n">
        <v>9</v>
      </c>
      <c r="J33" s="3" t="n">
        <v>9</v>
      </c>
      <c r="K33" s="3" t="n">
        <v>9</v>
      </c>
      <c r="L33" s="3" t="n">
        <v>9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4</v>
      </c>
      <c r="D41" s="3" t="n">
        <v>6</v>
      </c>
      <c r="E41" s="3" t="n">
        <v>6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23.6</v>
      </c>
      <c r="D42" s="3" t="n">
        <v>24</v>
      </c>
      <c r="E42" s="3" t="n">
        <v>24.4</v>
      </c>
      <c r="F42" s="3" t="n">
        <v>24.8</v>
      </c>
      <c r="G42" s="3" t="n">
        <v>25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2.4</v>
      </c>
      <c r="D45" s="3" t="n">
        <v>2.4</v>
      </c>
      <c r="E45" s="3" t="n">
        <v>2.4</v>
      </c>
      <c r="F45" s="3" t="n">
        <v>2.4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105</v>
      </c>
      <c r="C46" s="3" t="n">
        <v>7.2</v>
      </c>
      <c r="D46" s="3" t="n">
        <v>7.2</v>
      </c>
      <c r="E46" s="3" t="n">
        <v>7.2</v>
      </c>
      <c r="F46" s="3" t="n">
        <v>7.2</v>
      </c>
      <c r="G46" s="3" t="n">
        <v>7.2</v>
      </c>
      <c r="H46" s="3" t="n">
        <v>7.2</v>
      </c>
      <c r="I46" s="3" t="n">
        <v>7.2</v>
      </c>
      <c r="J46" s="3" t="n">
        <v>7.2</v>
      </c>
      <c r="K46" s="3" t="n">
        <v>7.2</v>
      </c>
      <c r="L46" s="3" t="n">
        <v>7.2</v>
      </c>
    </row>
    <row r="47" customFormat="false" ht="15" hidden="false" customHeight="false" outlineLevel="0" collapsed="false">
      <c r="A47" s="0" t="s">
        <v>106</v>
      </c>
      <c r="C47" s="3" t="n">
        <v>9</v>
      </c>
      <c r="D47" s="3" t="n">
        <v>9</v>
      </c>
      <c r="E47" s="3" t="n">
        <v>9</v>
      </c>
      <c r="F47" s="3" t="n">
        <v>9</v>
      </c>
      <c r="G47" s="3" t="n">
        <v>9</v>
      </c>
      <c r="H47" s="3" t="n">
        <v>9</v>
      </c>
      <c r="I47" s="3" t="n">
        <v>9</v>
      </c>
      <c r="J47" s="3" t="n">
        <v>9</v>
      </c>
      <c r="K47" s="3" t="n">
        <v>9</v>
      </c>
      <c r="L47" s="3" t="n">
        <v>9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</v>
      </c>
      <c r="D5" s="4" t="n">
        <f aca="false">Assumptions!D13</f>
        <v>-4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2654</v>
      </c>
      <c r="C6" s="0" t="n">
        <f aca="false">B6*(1+C5/100)</f>
        <v>2680.54</v>
      </c>
      <c r="D6" s="0" t="n">
        <f aca="false">C6*(1+D5/100)</f>
        <v>2573.3184</v>
      </c>
      <c r="E6" s="0" t="n">
        <f aca="false">D6*(1+E5/100)</f>
        <v>2521.852032</v>
      </c>
      <c r="F6" s="0" t="n">
        <f aca="false">E6*(1+F5/100)</f>
        <v>2521.852032</v>
      </c>
      <c r="G6" s="0" t="n">
        <f aca="false">F6*(1+G5/100)</f>
        <v>2547.07055232</v>
      </c>
      <c r="H6" s="0" t="n">
        <f aca="false">G6*(1+H5/100)</f>
        <v>2585.2766106048</v>
      </c>
      <c r="I6" s="0" t="n">
        <f aca="false">H6*(1+I5/100)</f>
        <v>2636.9821428169</v>
      </c>
      <c r="J6" s="0" t="n">
        <f aca="false">I6*(1+J5/100)</f>
        <v>2689.72178567323</v>
      </c>
      <c r="K6" s="0" t="n">
        <f aca="false">J6*(1+K5/100)</f>
        <v>2743.5162213867</v>
      </c>
      <c r="L6" s="0" t="n">
        <f aca="false">K6*(1+L5/100)</f>
        <v>2798.38654581443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23</v>
      </c>
      <c r="D7" s="4" t="n">
        <f aca="false">Assumptions!D14</f>
        <v>22</v>
      </c>
      <c r="E7" s="4" t="n">
        <f aca="false">Assumptions!E14</f>
        <v>21.5</v>
      </c>
      <c r="F7" s="4" t="n">
        <f aca="false">Assumptions!F14</f>
        <v>21.5</v>
      </c>
      <c r="G7" s="4" t="n">
        <f aca="false">Assumptions!G14</f>
        <v>21.5</v>
      </c>
      <c r="H7" s="4" t="n">
        <f aca="false">Assumptions!H14</f>
        <v>21.5</v>
      </c>
      <c r="I7" s="4" t="n">
        <f aca="false">Assumptions!I14</f>
        <v>21.5</v>
      </c>
      <c r="J7" s="4" t="n">
        <f aca="false">Assumptions!J14</f>
        <v>21.5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616.5242</v>
      </c>
      <c r="D8" s="0" t="n">
        <f aca="false">D6*D7/100</f>
        <v>566.130048</v>
      </c>
      <c r="E8" s="0" t="n">
        <f aca="false">E6*E7/100</f>
        <v>542.19818688</v>
      </c>
      <c r="F8" s="0" t="n">
        <f aca="false">F6*F7/100</f>
        <v>542.19818688</v>
      </c>
      <c r="G8" s="0" t="n">
        <f aca="false">G6*G7/100</f>
        <v>547.6201687488</v>
      </c>
      <c r="H8" s="0" t="n">
        <f aca="false">H6*H7/100</f>
        <v>555.834471280032</v>
      </c>
      <c r="I8" s="0" t="n">
        <f aca="false">I6*I7/100</f>
        <v>566.951160705633</v>
      </c>
      <c r="J8" s="0" t="n">
        <f aca="false">J6*J7/100</f>
        <v>578.290183919745</v>
      </c>
      <c r="K8" s="0" t="n">
        <f aca="false">K6*K7/100</f>
        <v>589.85598759814</v>
      </c>
      <c r="L8" s="0" t="n">
        <f aca="false">L6*L7/100</f>
        <v>601.653107350103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616.5242</v>
      </c>
      <c r="D11" s="0" t="n">
        <f aca="false">D8+D10+D24</f>
        <v>566.130048</v>
      </c>
      <c r="E11" s="0" t="n">
        <f aca="false">E8+E10+E24</f>
        <v>542.19818688</v>
      </c>
      <c r="F11" s="0" t="n">
        <f aca="false">F8+F10+F24</f>
        <v>542.19818688</v>
      </c>
      <c r="G11" s="0" t="n">
        <f aca="false">G8+G10+G24</f>
        <v>547.6201687488</v>
      </c>
      <c r="H11" s="0" t="n">
        <f aca="false">H8+H10+H24</f>
        <v>555.834471280032</v>
      </c>
      <c r="I11" s="0" t="n">
        <f aca="false">I8+I10+I24</f>
        <v>566.951160705633</v>
      </c>
      <c r="J11" s="0" t="n">
        <f aca="false">J8+J10+J24</f>
        <v>578.290183919745</v>
      </c>
      <c r="K11" s="0" t="n">
        <f aca="false">K8+K10+K24</f>
        <v>589.85598759814</v>
      </c>
      <c r="L11" s="0" t="n">
        <f aca="false">L8+L10+L24</f>
        <v>601.653107350103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-64.33296</v>
      </c>
      <c r="D12" s="4" t="n">
        <f aca="false">-D6*Assumptions!D17/100</f>
        <v>-61.7596416</v>
      </c>
      <c r="E12" s="4" t="n">
        <f aca="false">-E6*Assumptions!E17/100</f>
        <v>-60.524448768</v>
      </c>
      <c r="F12" s="4" t="n">
        <f aca="false">-F6*Assumptions!F17/100</f>
        <v>-60.524448768</v>
      </c>
      <c r="G12" s="4" t="n">
        <f aca="false">-G6*Assumptions!G17/100</f>
        <v>-61.12969325568</v>
      </c>
      <c r="H12" s="4" t="n">
        <f aca="false">-H6*Assumptions!H17/100</f>
        <v>-62.0466386545152</v>
      </c>
      <c r="I12" s="4" t="n">
        <f aca="false">-I6*Assumptions!I17/100</f>
        <v>-63.2875714276055</v>
      </c>
      <c r="J12" s="4" t="n">
        <f aca="false">-J6*Assumptions!J17/100</f>
        <v>-64.5533228561576</v>
      </c>
      <c r="K12" s="4" t="n">
        <f aca="false">-K6*Assumptions!K17/100</f>
        <v>-65.8443893132808</v>
      </c>
      <c r="L12" s="4" t="n">
        <f aca="false">-L6*Assumptions!L17/100</f>
        <v>-67.1612770995464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552.19124</v>
      </c>
      <c r="D13" s="0" t="n">
        <f aca="false">D11+D12</f>
        <v>504.3704064</v>
      </c>
      <c r="E13" s="0" t="n">
        <f aca="false">E11+E12</f>
        <v>481.673738112</v>
      </c>
      <c r="F13" s="0" t="n">
        <f aca="false">F11+F12</f>
        <v>481.673738112</v>
      </c>
      <c r="G13" s="0" t="n">
        <f aca="false">G11+G12</f>
        <v>486.49047549312</v>
      </c>
      <c r="H13" s="0" t="n">
        <f aca="false">H11+H12</f>
        <v>493.787832625517</v>
      </c>
      <c r="I13" s="0" t="n">
        <f aca="false">I11+I12</f>
        <v>503.663589278027</v>
      </c>
      <c r="J13" s="0" t="n">
        <f aca="false">J11+J12</f>
        <v>513.736861063588</v>
      </c>
      <c r="K13" s="0" t="n">
        <f aca="false">K11+K12</f>
        <v>524.011598284859</v>
      </c>
      <c r="L13" s="0" t="n">
        <f aca="false">L11+L12</f>
        <v>534.491830250557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9</v>
      </c>
      <c r="D14" s="4" t="n">
        <f aca="false">Assumptions!D19</f>
        <v>9</v>
      </c>
      <c r="E14" s="4" t="n">
        <f aca="false">Assumptions!E19</f>
        <v>9</v>
      </c>
      <c r="F14" s="4" t="n">
        <f aca="false">Assumptions!F19</f>
        <v>9</v>
      </c>
      <c r="G14" s="4" t="n">
        <f aca="false">Assumptions!G19</f>
        <v>9</v>
      </c>
      <c r="H14" s="4" t="n">
        <f aca="false">Assumptions!H19</f>
        <v>9</v>
      </c>
      <c r="I14" s="4" t="n">
        <f aca="false">Assumptions!I19</f>
        <v>9</v>
      </c>
      <c r="J14" s="4" t="n">
        <f aca="false">Assumptions!J19</f>
        <v>9</v>
      </c>
      <c r="K14" s="4" t="n">
        <f aca="false">Assumptions!K19</f>
        <v>9</v>
      </c>
      <c r="L14" s="4" t="n">
        <f aca="false">Assumptions!L19</f>
        <v>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502.4940284</v>
      </c>
      <c r="D15" s="0" t="n">
        <f aca="false">D13-MAX(0,D13)*D14/100</f>
        <v>458.977069824</v>
      </c>
      <c r="E15" s="0" t="n">
        <f aca="false">E13-MAX(0,E13)*E14/100</f>
        <v>438.32310168192</v>
      </c>
      <c r="F15" s="0" t="n">
        <f aca="false">F13-MAX(0,F13)*F14/100</f>
        <v>438.32310168192</v>
      </c>
      <c r="G15" s="0" t="n">
        <f aca="false">G13-MAX(0,G13)*G14/100</f>
        <v>442.706332698739</v>
      </c>
      <c r="H15" s="0" t="n">
        <f aca="false">H13-MAX(0,H13)*H14/100</f>
        <v>449.34692768922</v>
      </c>
      <c r="I15" s="0" t="n">
        <f aca="false">I13-MAX(0,I13)*I14/100</f>
        <v>458.333866243005</v>
      </c>
      <c r="J15" s="0" t="n">
        <f aca="false">J13-MAX(0,J13)*J14/100</f>
        <v>467.500543567865</v>
      </c>
      <c r="K15" s="0" t="n">
        <f aca="false">K13-MAX(0,K13)*K14/100</f>
        <v>476.850554439222</v>
      </c>
      <c r="L15" s="0" t="n">
        <f aca="false">L13-MAX(0,L13)*L14/100</f>
        <v>486.387565528006</v>
      </c>
    </row>
    <row r="16" customFormat="false" ht="15" hidden="false" customHeight="false" outlineLevel="0" collapsed="false">
      <c r="A16" s="0" t="s">
        <v>122</v>
      </c>
      <c r="C16" s="0" t="n">
        <f aca="false">-C12</f>
        <v>64.33296</v>
      </c>
      <c r="D16" s="0" t="n">
        <f aca="false">-D12</f>
        <v>61.7596416</v>
      </c>
      <c r="E16" s="0" t="n">
        <f aca="false">-E12</f>
        <v>60.524448768</v>
      </c>
      <c r="F16" s="0" t="n">
        <f aca="false">-F12</f>
        <v>60.524448768</v>
      </c>
      <c r="G16" s="0" t="n">
        <f aca="false">-G12</f>
        <v>61.12969325568</v>
      </c>
      <c r="H16" s="0" t="n">
        <f aca="false">-H12</f>
        <v>62.0466386545152</v>
      </c>
      <c r="I16" s="0" t="n">
        <f aca="false">-I12</f>
        <v>63.2875714276055</v>
      </c>
      <c r="J16" s="0" t="n">
        <f aca="false">-J12</f>
        <v>64.5533228561576</v>
      </c>
      <c r="K16" s="0" t="n">
        <f aca="false">-K12</f>
        <v>65.8443893132808</v>
      </c>
      <c r="L16" s="0" t="n">
        <f aca="false">-L12</f>
        <v>67.1612770995464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-192.99888</v>
      </c>
      <c r="D17" s="4" t="n">
        <f aca="false">-D6*Assumptions!D18/100</f>
        <v>-185.2789248</v>
      </c>
      <c r="E17" s="4" t="n">
        <f aca="false">-E6*Assumptions!E18/100</f>
        <v>-181.573346304</v>
      </c>
      <c r="F17" s="4" t="n">
        <f aca="false">-F6*Assumptions!F18/100</f>
        <v>-181.573346304</v>
      </c>
      <c r="G17" s="4" t="n">
        <f aca="false">-G6*Assumptions!G18/100</f>
        <v>-183.38907976704</v>
      </c>
      <c r="H17" s="4" t="n">
        <f aca="false">-H6*Assumptions!H18/100</f>
        <v>-186.139915963546</v>
      </c>
      <c r="I17" s="4" t="n">
        <f aca="false">-I6*Assumptions!I18/100</f>
        <v>-189.862714282816</v>
      </c>
      <c r="J17" s="4" t="n">
        <f aca="false">-J6*Assumptions!J18/100</f>
        <v>-193.659968568473</v>
      </c>
      <c r="K17" s="4" t="n">
        <f aca="false">-K6*Assumptions!K18/100</f>
        <v>-197.533167939842</v>
      </c>
      <c r="L17" s="4" t="n">
        <f aca="false">-L6*Assumptions!L18/100</f>
        <v>-201.483831298639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373.8281084</v>
      </c>
      <c r="D19" s="0" t="n">
        <f aca="false">D15+D16+D17+D18</f>
        <v>335.457786624</v>
      </c>
      <c r="E19" s="0" t="n">
        <f aca="false">E15+E16+E17+E18</f>
        <v>317.27420414592</v>
      </c>
      <c r="F19" s="0" t="n">
        <f aca="false">F15+F16+F17+F18</f>
        <v>317.27420414592</v>
      </c>
      <c r="G19" s="0" t="n">
        <f aca="false">G15+G16+G17+G18</f>
        <v>320.446946187379</v>
      </c>
      <c r="H19" s="0" t="n">
        <f aca="false">H15+H16+H17+H18</f>
        <v>325.25365038019</v>
      </c>
      <c r="I19" s="0" t="n">
        <f aca="false">I15+I16+I17+I18</f>
        <v>331.758723387794</v>
      </c>
      <c r="J19" s="0" t="n">
        <f aca="false">J15+J16+J17+J18</f>
        <v>338.39389785555</v>
      </c>
      <c r="K19" s="0" t="n">
        <f aca="false">K15+K16+K17+K18</f>
        <v>345.161775812661</v>
      </c>
      <c r="L19" s="0" t="n">
        <f aca="false">L15+L16+L17+L18</f>
        <v>352.065011328914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341.395532785388</v>
      </c>
      <c r="D21" s="0" t="n">
        <f aca="false">D19*D20</f>
        <v>279.775473091887</v>
      </c>
      <c r="E21" s="0" t="n">
        <f aca="false">E19*E20</f>
        <v>241.653119526373</v>
      </c>
      <c r="F21" s="0" t="n">
        <f aca="false">F19*F20</f>
        <v>220.687780389382</v>
      </c>
      <c r="G21" s="0" t="n">
        <f aca="false">G19*G20</f>
        <v>203.556765473311</v>
      </c>
      <c r="H21" s="0" t="n">
        <f aca="false">H19*H20</f>
        <v>188.685038315444</v>
      </c>
      <c r="I21" s="0" t="n">
        <f aca="false">I19*I20</f>
        <v>175.761405554112</v>
      </c>
      <c r="J21" s="0" t="n">
        <f aca="false">J19*J20</f>
        <v>163.722953118899</v>
      </c>
      <c r="K21" s="0" t="n">
        <f aca="false">K19*K20</f>
        <v>152.509052220344</v>
      </c>
      <c r="L21" s="0" t="n">
        <f aca="false">L19*L20</f>
        <v>142.0632267258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2109.81034720094</v>
      </c>
    </row>
    <row r="31" customFormat="false" ht="15" hidden="false" customHeight="false" outlineLevel="0" collapsed="false">
      <c r="A31" s="0" t="s">
        <v>131</v>
      </c>
      <c r="B31" s="0" t="n">
        <f aca="false">L19</f>
        <v>352.065011328914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4466.82483123559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6337.17020392045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4466.82483123559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1802.42718908359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3912.23753628453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3912.23753628453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0.991443876402566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-0.443009058200805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0.991443876402566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2647.00730739887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0.593881368101515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2654</v>
      </c>
      <c r="C6" s="0" t="n">
        <f aca="false">B6*(1+C5/100)</f>
        <v>2733.62</v>
      </c>
      <c r="D6" s="0" t="n">
        <f aca="false">C6*(1+D5/100)</f>
        <v>2842.9648</v>
      </c>
      <c r="E6" s="0" t="n">
        <f aca="false">D6*(1+E5/100)</f>
        <v>2942.468568</v>
      </c>
      <c r="F6" s="0" t="n">
        <f aca="false">E6*(1+F5/100)</f>
        <v>3030.74262504</v>
      </c>
      <c r="G6" s="0" t="n">
        <f aca="false">F6*(1+G5/100)</f>
        <v>3121.6649037912</v>
      </c>
      <c r="H6" s="0" t="n">
        <f aca="false">G6*(1+H5/100)</f>
        <v>3199.70652638598</v>
      </c>
      <c r="I6" s="0" t="n">
        <f aca="false">H6*(1+I5/100)</f>
        <v>3279.69918954563</v>
      </c>
      <c r="J6" s="0" t="n">
        <f aca="false">I6*(1+J5/100)</f>
        <v>3361.69166928427</v>
      </c>
      <c r="K6" s="0" t="n">
        <f aca="false">J6*(1+K5/100)</f>
        <v>3445.73396101638</v>
      </c>
      <c r="L6" s="0" t="n">
        <f aca="false">K6*(1+L5/100)</f>
        <v>3531.87731004178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23.4</v>
      </c>
      <c r="D7" s="4" t="n">
        <f aca="false">Assumptions!D28</f>
        <v>23.4</v>
      </c>
      <c r="E7" s="4" t="n">
        <f aca="false">Assumptions!E28</f>
        <v>23.4</v>
      </c>
      <c r="F7" s="4" t="n">
        <f aca="false">Assumptions!F28</f>
        <v>23.4</v>
      </c>
      <c r="G7" s="4" t="n">
        <f aca="false">Assumptions!G28</f>
        <v>23.4</v>
      </c>
      <c r="H7" s="4" t="n">
        <f aca="false">Assumptions!H28</f>
        <v>23.4</v>
      </c>
      <c r="I7" s="4" t="n">
        <f aca="false">Assumptions!I28</f>
        <v>23.4</v>
      </c>
      <c r="J7" s="4" t="n">
        <f aca="false">Assumptions!J28</f>
        <v>23.4</v>
      </c>
      <c r="K7" s="4" t="n">
        <f aca="false">Assumptions!K28</f>
        <v>23.4</v>
      </c>
      <c r="L7" s="4" t="n">
        <f aca="false">Assumptions!L28</f>
        <v>23.4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639.66708</v>
      </c>
      <c r="D8" s="0" t="n">
        <f aca="false">D6*D7/100</f>
        <v>665.2537632</v>
      </c>
      <c r="E8" s="0" t="n">
        <f aca="false">E6*E7/100</f>
        <v>688.537644912</v>
      </c>
      <c r="F8" s="0" t="n">
        <f aca="false">F6*F7/100</f>
        <v>709.19377425936</v>
      </c>
      <c r="G8" s="0" t="n">
        <f aca="false">G6*G7/100</f>
        <v>730.469587487141</v>
      </c>
      <c r="H8" s="0" t="n">
        <f aca="false">H6*H7/100</f>
        <v>748.731327174319</v>
      </c>
      <c r="I8" s="0" t="n">
        <f aca="false">I6*I7/100</f>
        <v>767.449610353677</v>
      </c>
      <c r="J8" s="0" t="n">
        <f aca="false">J6*J7/100</f>
        <v>786.635850612519</v>
      </c>
      <c r="K8" s="0" t="n">
        <f aca="false">K6*K7/100</f>
        <v>806.301746877832</v>
      </c>
      <c r="L8" s="0" t="n">
        <f aca="false">L6*L7/100</f>
        <v>826.459290549778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639.66708</v>
      </c>
      <c r="D11" s="0" t="n">
        <f aca="false">D8+D10+D24</f>
        <v>665.2537632</v>
      </c>
      <c r="E11" s="0" t="n">
        <f aca="false">E8+E10+E24</f>
        <v>688.537644912</v>
      </c>
      <c r="F11" s="0" t="n">
        <f aca="false">F8+F10+F24</f>
        <v>709.19377425936</v>
      </c>
      <c r="G11" s="0" t="n">
        <f aca="false">G8+G10+G24</f>
        <v>730.469587487141</v>
      </c>
      <c r="H11" s="0" t="n">
        <f aca="false">H8+H10+H24</f>
        <v>748.731327174319</v>
      </c>
      <c r="I11" s="0" t="n">
        <f aca="false">I8+I10+I24</f>
        <v>767.449610353677</v>
      </c>
      <c r="J11" s="0" t="n">
        <f aca="false">J8+J10+J24</f>
        <v>786.635850612519</v>
      </c>
      <c r="K11" s="0" t="n">
        <f aca="false">K8+K10+K24</f>
        <v>806.301746877832</v>
      </c>
      <c r="L11" s="0" t="n">
        <f aca="false">L8+L10+L24</f>
        <v>826.459290549778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-65.60688</v>
      </c>
      <c r="D12" s="4" t="n">
        <f aca="false">-D6*Assumptions!D31/100</f>
        <v>-68.2311552</v>
      </c>
      <c r="E12" s="4" t="n">
        <f aca="false">-E6*Assumptions!E31/100</f>
        <v>-70.619245632</v>
      </c>
      <c r="F12" s="4" t="n">
        <f aca="false">-F6*Assumptions!F31/100</f>
        <v>-72.73782300096</v>
      </c>
      <c r="G12" s="4" t="n">
        <f aca="false">-G6*Assumptions!G31/100</f>
        <v>-74.9199576909888</v>
      </c>
      <c r="H12" s="4" t="n">
        <f aca="false">-H6*Assumptions!H31/100</f>
        <v>-76.7929566332635</v>
      </c>
      <c r="I12" s="4" t="n">
        <f aca="false">-I6*Assumptions!I31/100</f>
        <v>-78.7127805490951</v>
      </c>
      <c r="J12" s="4" t="n">
        <f aca="false">-J6*Assumptions!J31/100</f>
        <v>-80.6806000628225</v>
      </c>
      <c r="K12" s="4" t="n">
        <f aca="false">-K6*Assumptions!K31/100</f>
        <v>-82.697615064393</v>
      </c>
      <c r="L12" s="4" t="n">
        <f aca="false">-L6*Assumptions!L31/100</f>
        <v>-84.7650554410028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574.0602</v>
      </c>
      <c r="D13" s="0" t="n">
        <f aca="false">D11+D12</f>
        <v>597.022608</v>
      </c>
      <c r="E13" s="0" t="n">
        <f aca="false">E11+E12</f>
        <v>617.91839928</v>
      </c>
      <c r="F13" s="0" t="n">
        <f aca="false">F11+F12</f>
        <v>636.4559512584</v>
      </c>
      <c r="G13" s="0" t="n">
        <f aca="false">G11+G12</f>
        <v>655.549629796152</v>
      </c>
      <c r="H13" s="0" t="n">
        <f aca="false">H11+H12</f>
        <v>671.938370541056</v>
      </c>
      <c r="I13" s="0" t="n">
        <f aca="false">I11+I12</f>
        <v>688.736829804582</v>
      </c>
      <c r="J13" s="0" t="n">
        <f aca="false">J11+J12</f>
        <v>705.955250549696</v>
      </c>
      <c r="K13" s="0" t="n">
        <f aca="false">K11+K12</f>
        <v>723.604131813439</v>
      </c>
      <c r="L13" s="0" t="n">
        <f aca="false">L11+L12</f>
        <v>741.694235108775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9</v>
      </c>
      <c r="D14" s="4" t="n">
        <f aca="false">Assumptions!D33</f>
        <v>9</v>
      </c>
      <c r="E14" s="4" t="n">
        <f aca="false">Assumptions!E33</f>
        <v>9</v>
      </c>
      <c r="F14" s="4" t="n">
        <f aca="false">Assumptions!F33</f>
        <v>9</v>
      </c>
      <c r="G14" s="4" t="n">
        <f aca="false">Assumptions!G33</f>
        <v>9</v>
      </c>
      <c r="H14" s="4" t="n">
        <f aca="false">Assumptions!H33</f>
        <v>9</v>
      </c>
      <c r="I14" s="4" t="n">
        <f aca="false">Assumptions!I33</f>
        <v>9</v>
      </c>
      <c r="J14" s="4" t="n">
        <f aca="false">Assumptions!J33</f>
        <v>9</v>
      </c>
      <c r="K14" s="4" t="n">
        <f aca="false">Assumptions!K33</f>
        <v>9</v>
      </c>
      <c r="L14" s="4" t="n">
        <f aca="false">Assumptions!L33</f>
        <v>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522.394782</v>
      </c>
      <c r="D15" s="0" t="n">
        <f aca="false">D13-MAX(0,D13)*D14/100</f>
        <v>543.29057328</v>
      </c>
      <c r="E15" s="0" t="n">
        <f aca="false">E13-MAX(0,E13)*E14/100</f>
        <v>562.3057433448</v>
      </c>
      <c r="F15" s="0" t="n">
        <f aca="false">F13-MAX(0,F13)*F14/100</f>
        <v>579.174915645144</v>
      </c>
      <c r="G15" s="0" t="n">
        <f aca="false">G13-MAX(0,G13)*G14/100</f>
        <v>596.550163114498</v>
      </c>
      <c r="H15" s="0" t="n">
        <f aca="false">H13-MAX(0,H13)*H14/100</f>
        <v>611.463917192361</v>
      </c>
      <c r="I15" s="0" t="n">
        <f aca="false">I13-MAX(0,I13)*I14/100</f>
        <v>626.75051512217</v>
      </c>
      <c r="J15" s="0" t="n">
        <f aca="false">J13-MAX(0,J13)*J14/100</f>
        <v>642.419278000224</v>
      </c>
      <c r="K15" s="0" t="n">
        <f aca="false">K13-MAX(0,K13)*K14/100</f>
        <v>658.479759950229</v>
      </c>
      <c r="L15" s="0" t="n">
        <f aca="false">L13-MAX(0,L13)*L14/100</f>
        <v>674.941753948985</v>
      </c>
    </row>
    <row r="16" customFormat="false" ht="15" hidden="false" customHeight="false" outlineLevel="0" collapsed="false">
      <c r="A16" s="0" t="s">
        <v>122</v>
      </c>
      <c r="C16" s="0" t="n">
        <f aca="false">-C12</f>
        <v>65.60688</v>
      </c>
      <c r="D16" s="0" t="n">
        <f aca="false">-D12</f>
        <v>68.2311552</v>
      </c>
      <c r="E16" s="0" t="n">
        <f aca="false">-E12</f>
        <v>70.619245632</v>
      </c>
      <c r="F16" s="0" t="n">
        <f aca="false">-F12</f>
        <v>72.73782300096</v>
      </c>
      <c r="G16" s="0" t="n">
        <f aca="false">-G12</f>
        <v>74.9199576909888</v>
      </c>
      <c r="H16" s="0" t="n">
        <f aca="false">-H12</f>
        <v>76.7929566332635</v>
      </c>
      <c r="I16" s="0" t="n">
        <f aca="false">-I12</f>
        <v>78.7127805490951</v>
      </c>
      <c r="J16" s="0" t="n">
        <f aca="false">-J12</f>
        <v>80.6806000628225</v>
      </c>
      <c r="K16" s="0" t="n">
        <f aca="false">-K12</f>
        <v>82.697615064393</v>
      </c>
      <c r="L16" s="0" t="n">
        <f aca="false">-L12</f>
        <v>84.7650554410028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-196.82064</v>
      </c>
      <c r="D17" s="4" t="n">
        <f aca="false">-D6*Assumptions!D32/100</f>
        <v>-204.6934656</v>
      </c>
      <c r="E17" s="4" t="n">
        <f aca="false">-E6*Assumptions!E32/100</f>
        <v>-211.857736896</v>
      </c>
      <c r="F17" s="4" t="n">
        <f aca="false">-F6*Assumptions!F32/100</f>
        <v>-218.21346900288</v>
      </c>
      <c r="G17" s="4" t="n">
        <f aca="false">-G6*Assumptions!G32/100</f>
        <v>-224.759873072966</v>
      </c>
      <c r="H17" s="4" t="n">
        <f aca="false">-H6*Assumptions!H32/100</f>
        <v>-230.378869899791</v>
      </c>
      <c r="I17" s="4" t="n">
        <f aca="false">-I6*Assumptions!I32/100</f>
        <v>-236.138341647285</v>
      </c>
      <c r="J17" s="4" t="n">
        <f aca="false">-J6*Assumptions!J32/100</f>
        <v>-242.041800188467</v>
      </c>
      <c r="K17" s="4" t="n">
        <f aca="false">-K6*Assumptions!K32/100</f>
        <v>-248.092845193179</v>
      </c>
      <c r="L17" s="4" t="n">
        <f aca="false">-L6*Assumptions!L32/100</f>
        <v>-254.295166323009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391.181022</v>
      </c>
      <c r="D19" s="0" t="n">
        <f aca="false">D15+D16+D17+D18</f>
        <v>406.82826288</v>
      </c>
      <c r="E19" s="0" t="n">
        <f aca="false">E15+E16+E17+E18</f>
        <v>421.0672520808</v>
      </c>
      <c r="F19" s="0" t="n">
        <f aca="false">F15+F16+F17+F18</f>
        <v>433.699269643224</v>
      </c>
      <c r="G19" s="0" t="n">
        <f aca="false">G15+G16+G17+G18</f>
        <v>446.710247732521</v>
      </c>
      <c r="H19" s="0" t="n">
        <f aca="false">H15+H16+H17+H18</f>
        <v>457.878003925834</v>
      </c>
      <c r="I19" s="0" t="n">
        <f aca="false">I15+I16+I17+I18</f>
        <v>469.324954023979</v>
      </c>
      <c r="J19" s="0" t="n">
        <f aca="false">J15+J16+J17+J18</f>
        <v>481.058077874579</v>
      </c>
      <c r="K19" s="0" t="n">
        <f aca="false">K15+K16+K17+K18</f>
        <v>493.084529821443</v>
      </c>
      <c r="L19" s="0" t="n">
        <f aca="false">L15+L16+L17+L18</f>
        <v>505.411643066979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357.242942465753</v>
      </c>
      <c r="D21" s="0" t="n">
        <f aca="false">D19*D20</f>
        <v>339.299233026834</v>
      </c>
      <c r="E21" s="0" t="n">
        <f aca="false">E19*E20</f>
        <v>320.707494230843</v>
      </c>
      <c r="F21" s="0" t="n">
        <f aca="false">F19*F20</f>
        <v>301.670063066455</v>
      </c>
      <c r="G21" s="0" t="n">
        <f aca="false">G19*G20</f>
        <v>283.762707724611</v>
      </c>
      <c r="H21" s="0" t="n">
        <f aca="false">H19*H20</f>
        <v>265.622625952262</v>
      </c>
      <c r="I21" s="0" t="n">
        <f aca="false">I19*I20</f>
        <v>248.642184110564</v>
      </c>
      <c r="J21" s="0" t="n">
        <f aca="false">J19*J20</f>
        <v>232.74724996651</v>
      </c>
      <c r="K21" s="0" t="n">
        <f aca="false">K19*K20</f>
        <v>217.868430333948</v>
      </c>
      <c r="L21" s="0" t="n">
        <f aca="false">L19*L20</f>
        <v>203.940768120819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2771.5036989986</v>
      </c>
    </row>
    <row r="31" customFormat="false" ht="15" hidden="false" customHeight="false" outlineLevel="0" collapsed="false">
      <c r="A31" s="0" t="s">
        <v>131</v>
      </c>
      <c r="B31" s="0" t="n">
        <f aca="false">L19</f>
        <v>505.411643066979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7400.67048776648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9097.40957520563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7400.67048776648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2986.2755331977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5757.7792321963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5757.7792321963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1.45914324181356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-0.18025660572272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1.45914324181356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4144.37547314923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0.814969542613593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2654</v>
      </c>
      <c r="C6" s="0" t="n">
        <f aca="false">B6*(1+C5/100)</f>
        <v>2760.16</v>
      </c>
      <c r="D6" s="0" t="n">
        <f aca="false">C6*(1+D5/100)</f>
        <v>2925.7696</v>
      </c>
      <c r="E6" s="0" t="n">
        <f aca="false">D6*(1+E5/100)</f>
        <v>3101.315776</v>
      </c>
      <c r="F6" s="0" t="n">
        <f aca="false">E6*(1+F5/100)</f>
        <v>3256.3815648</v>
      </c>
      <c r="G6" s="0" t="n">
        <f aca="false">F6*(1+G5/100)</f>
        <v>3402.918735216</v>
      </c>
      <c r="H6" s="0" t="n">
        <f aca="false">G6*(1+H5/100)</f>
        <v>3539.03548462464</v>
      </c>
      <c r="I6" s="0" t="n">
        <f aca="false">H6*(1+I5/100)</f>
        <v>3662.9017265865</v>
      </c>
      <c r="J6" s="0" t="n">
        <f aca="false">I6*(1+J5/100)</f>
        <v>3772.7887783841</v>
      </c>
      <c r="K6" s="0" t="n">
        <f aca="false">J6*(1+K5/100)</f>
        <v>3885.97244173562</v>
      </c>
      <c r="L6" s="0" t="n">
        <f aca="false">K6*(1+L5/100)</f>
        <v>4002.55161498769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23.6</v>
      </c>
      <c r="D7" s="4" t="n">
        <f aca="false">Assumptions!D42</f>
        <v>24</v>
      </c>
      <c r="E7" s="4" t="n">
        <f aca="false">Assumptions!E42</f>
        <v>24.4</v>
      </c>
      <c r="F7" s="4" t="n">
        <f aca="false">Assumptions!F42</f>
        <v>24.8</v>
      </c>
      <c r="G7" s="4" t="n">
        <f aca="false">Assumptions!G42</f>
        <v>25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651.39776</v>
      </c>
      <c r="D8" s="0" t="n">
        <f aca="false">D6*D7/100</f>
        <v>702.184704</v>
      </c>
      <c r="E8" s="0" t="n">
        <f aca="false">E6*E7/100</f>
        <v>756.721049344</v>
      </c>
      <c r="F8" s="0" t="n">
        <f aca="false">F6*F7/100</f>
        <v>807.5826280704</v>
      </c>
      <c r="G8" s="0" t="n">
        <f aca="false">G6*G7/100</f>
        <v>850.729683804</v>
      </c>
      <c r="H8" s="0" t="n">
        <f aca="false">H6*H7/100</f>
        <v>884.75887115616</v>
      </c>
      <c r="I8" s="0" t="n">
        <f aca="false">I6*I7/100</f>
        <v>915.725431646626</v>
      </c>
      <c r="J8" s="0" t="n">
        <f aca="false">J6*J7/100</f>
        <v>943.197194596025</v>
      </c>
      <c r="K8" s="0" t="n">
        <f aca="false">K6*K7/100</f>
        <v>971.493110433905</v>
      </c>
      <c r="L8" s="0" t="n">
        <f aca="false">L6*L7/100</f>
        <v>1000.63790374692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651.39776</v>
      </c>
      <c r="D11" s="0" t="n">
        <f aca="false">D8+D10+D24</f>
        <v>702.184704</v>
      </c>
      <c r="E11" s="0" t="n">
        <f aca="false">E8+E10+E24</f>
        <v>756.721049344</v>
      </c>
      <c r="F11" s="0" t="n">
        <f aca="false">F8+F10+F24</f>
        <v>807.5826280704</v>
      </c>
      <c r="G11" s="0" t="n">
        <f aca="false">G8+G10+G24</f>
        <v>850.729683804</v>
      </c>
      <c r="H11" s="0" t="n">
        <f aca="false">H8+H10+H24</f>
        <v>884.75887115616</v>
      </c>
      <c r="I11" s="0" t="n">
        <f aca="false">I8+I10+I24</f>
        <v>915.725431646626</v>
      </c>
      <c r="J11" s="0" t="n">
        <f aca="false">J8+J10+J24</f>
        <v>943.197194596025</v>
      </c>
      <c r="K11" s="0" t="n">
        <f aca="false">K8+K10+K24</f>
        <v>971.493110433905</v>
      </c>
      <c r="L11" s="0" t="n">
        <f aca="false">L8+L10+L24</f>
        <v>1000.63790374692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-66.24384</v>
      </c>
      <c r="D12" s="4" t="n">
        <f aca="false">-D6*Assumptions!D45/100</f>
        <v>-70.2184704</v>
      </c>
      <c r="E12" s="4" t="n">
        <f aca="false">-E6*Assumptions!E45/100</f>
        <v>-74.431578624</v>
      </c>
      <c r="F12" s="4" t="n">
        <f aca="false">-F6*Assumptions!F45/100</f>
        <v>-78.1531575552</v>
      </c>
      <c r="G12" s="4" t="n">
        <f aca="false">-G6*Assumptions!G45/100</f>
        <v>-81.670049645184</v>
      </c>
      <c r="H12" s="4" t="n">
        <f aca="false">-H6*Assumptions!H45/100</f>
        <v>-84.9368516309914</v>
      </c>
      <c r="I12" s="4" t="n">
        <f aca="false">-I6*Assumptions!I45/100</f>
        <v>-87.9096414380761</v>
      </c>
      <c r="J12" s="4" t="n">
        <f aca="false">-J6*Assumptions!J45/100</f>
        <v>-90.5469306812184</v>
      </c>
      <c r="K12" s="4" t="n">
        <f aca="false">-K6*Assumptions!K45/100</f>
        <v>-93.2633386016549</v>
      </c>
      <c r="L12" s="4" t="n">
        <f aca="false">-L6*Assumptions!L45/100</f>
        <v>-96.0612387597046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585.15392</v>
      </c>
      <c r="D13" s="0" t="n">
        <f aca="false">D11+D12</f>
        <v>631.9662336</v>
      </c>
      <c r="E13" s="0" t="n">
        <f aca="false">E11+E12</f>
        <v>682.28947072</v>
      </c>
      <c r="F13" s="0" t="n">
        <f aca="false">F11+F12</f>
        <v>729.4294705152</v>
      </c>
      <c r="G13" s="0" t="n">
        <f aca="false">G11+G12</f>
        <v>769.059634158816</v>
      </c>
      <c r="H13" s="0" t="n">
        <f aca="false">H11+H12</f>
        <v>799.822019525169</v>
      </c>
      <c r="I13" s="0" t="n">
        <f aca="false">I11+I12</f>
        <v>827.81579020855</v>
      </c>
      <c r="J13" s="0" t="n">
        <f aca="false">J11+J12</f>
        <v>852.650263914806</v>
      </c>
      <c r="K13" s="0" t="n">
        <f aca="false">K11+K12</f>
        <v>878.22977183225</v>
      </c>
      <c r="L13" s="0" t="n">
        <f aca="false">L11+L12</f>
        <v>904.576664987218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9</v>
      </c>
      <c r="D14" s="4" t="n">
        <f aca="false">Assumptions!D47</f>
        <v>9</v>
      </c>
      <c r="E14" s="4" t="n">
        <f aca="false">Assumptions!E47</f>
        <v>9</v>
      </c>
      <c r="F14" s="4" t="n">
        <f aca="false">Assumptions!F47</f>
        <v>9</v>
      </c>
      <c r="G14" s="4" t="n">
        <f aca="false">Assumptions!G47</f>
        <v>9</v>
      </c>
      <c r="H14" s="4" t="n">
        <f aca="false">Assumptions!H47</f>
        <v>9</v>
      </c>
      <c r="I14" s="4" t="n">
        <f aca="false">Assumptions!I47</f>
        <v>9</v>
      </c>
      <c r="J14" s="4" t="n">
        <f aca="false">Assumptions!J47</f>
        <v>9</v>
      </c>
      <c r="K14" s="4" t="n">
        <f aca="false">Assumptions!K47</f>
        <v>9</v>
      </c>
      <c r="L14" s="4" t="n">
        <f aca="false">Assumptions!L47</f>
        <v>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532.4900672</v>
      </c>
      <c r="D15" s="0" t="n">
        <f aca="false">D13-MAX(0,D13)*D14/100</f>
        <v>575.089272576</v>
      </c>
      <c r="E15" s="0" t="n">
        <f aca="false">E13-MAX(0,E13)*E14/100</f>
        <v>620.8834183552</v>
      </c>
      <c r="F15" s="0" t="n">
        <f aca="false">F13-MAX(0,F13)*F14/100</f>
        <v>663.780818168832</v>
      </c>
      <c r="G15" s="0" t="n">
        <f aca="false">G13-MAX(0,G13)*G14/100</f>
        <v>699.844267084523</v>
      </c>
      <c r="H15" s="0" t="n">
        <f aca="false">H13-MAX(0,H13)*H14/100</f>
        <v>727.838037767904</v>
      </c>
      <c r="I15" s="0" t="n">
        <f aca="false">I13-MAX(0,I13)*I14/100</f>
        <v>753.31236908978</v>
      </c>
      <c r="J15" s="0" t="n">
        <f aca="false">J13-MAX(0,J13)*J14/100</f>
        <v>775.911740162474</v>
      </c>
      <c r="K15" s="0" t="n">
        <f aca="false">K13-MAX(0,K13)*K14/100</f>
        <v>799.189092367348</v>
      </c>
      <c r="L15" s="0" t="n">
        <f aca="false">L13-MAX(0,L13)*L14/100</f>
        <v>823.164765138368</v>
      </c>
    </row>
    <row r="16" customFormat="false" ht="15" hidden="false" customHeight="false" outlineLevel="0" collapsed="false">
      <c r="A16" s="0" t="s">
        <v>122</v>
      </c>
      <c r="C16" s="0" t="n">
        <f aca="false">-C12</f>
        <v>66.24384</v>
      </c>
      <c r="D16" s="0" t="n">
        <f aca="false">-D12</f>
        <v>70.2184704</v>
      </c>
      <c r="E16" s="0" t="n">
        <f aca="false">-E12</f>
        <v>74.431578624</v>
      </c>
      <c r="F16" s="0" t="n">
        <f aca="false">-F12</f>
        <v>78.1531575552</v>
      </c>
      <c r="G16" s="0" t="n">
        <f aca="false">-G12</f>
        <v>81.670049645184</v>
      </c>
      <c r="H16" s="0" t="n">
        <f aca="false">-H12</f>
        <v>84.9368516309914</v>
      </c>
      <c r="I16" s="0" t="n">
        <f aca="false">-I12</f>
        <v>87.9096414380761</v>
      </c>
      <c r="J16" s="0" t="n">
        <f aca="false">-J12</f>
        <v>90.5469306812184</v>
      </c>
      <c r="K16" s="0" t="n">
        <f aca="false">-K12</f>
        <v>93.2633386016549</v>
      </c>
      <c r="L16" s="0" t="n">
        <f aca="false">-L12</f>
        <v>96.0612387597046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-198.73152</v>
      </c>
      <c r="D17" s="4" t="n">
        <f aca="false">-D6*Assumptions!D46/100</f>
        <v>-210.6554112</v>
      </c>
      <c r="E17" s="4" t="n">
        <f aca="false">-E6*Assumptions!E46/100</f>
        <v>-223.294735872</v>
      </c>
      <c r="F17" s="4" t="n">
        <f aca="false">-F6*Assumptions!F46/100</f>
        <v>-234.4594726656</v>
      </c>
      <c r="G17" s="4" t="n">
        <f aca="false">-G6*Assumptions!G46/100</f>
        <v>-245.010148935552</v>
      </c>
      <c r="H17" s="4" t="n">
        <f aca="false">-H6*Assumptions!H46/100</f>
        <v>-254.810554892974</v>
      </c>
      <c r="I17" s="4" t="n">
        <f aca="false">-I6*Assumptions!I46/100</f>
        <v>-263.728924314228</v>
      </c>
      <c r="J17" s="4" t="n">
        <f aca="false">-J6*Assumptions!J46/100</f>
        <v>-271.640792043655</v>
      </c>
      <c r="K17" s="4" t="n">
        <f aca="false">-K6*Assumptions!K46/100</f>
        <v>-279.790015804965</v>
      </c>
      <c r="L17" s="4" t="n">
        <f aca="false">-L6*Assumptions!L46/100</f>
        <v>-288.183716279114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400.0023872</v>
      </c>
      <c r="D19" s="0" t="n">
        <f aca="false">D15+D16+D17+D18</f>
        <v>434.652331776</v>
      </c>
      <c r="E19" s="0" t="n">
        <f aca="false">E15+E16+E17+E18</f>
        <v>472.0202611072</v>
      </c>
      <c r="F19" s="0" t="n">
        <f aca="false">F15+F16+F17+F18</f>
        <v>507.474503058432</v>
      </c>
      <c r="G19" s="0" t="n">
        <f aca="false">G15+G16+G17+G18</f>
        <v>536.504167794155</v>
      </c>
      <c r="H19" s="0" t="n">
        <f aca="false">H15+H16+H17+H18</f>
        <v>557.964334505921</v>
      </c>
      <c r="I19" s="0" t="n">
        <f aca="false">I15+I16+I17+I18</f>
        <v>577.493086213628</v>
      </c>
      <c r="J19" s="0" t="n">
        <f aca="false">J15+J16+J17+J18</f>
        <v>594.817878800037</v>
      </c>
      <c r="K19" s="0" t="n">
        <f aca="false">K15+K16+K17+K18</f>
        <v>612.662415164038</v>
      </c>
      <c r="L19" s="0" t="n">
        <f aca="false">L15+L16+L17+L18</f>
        <v>631.042287618959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365.298983744292</v>
      </c>
      <c r="D21" s="0" t="n">
        <f aca="false">D19*D20</f>
        <v>362.504811639457</v>
      </c>
      <c r="E21" s="0" t="n">
        <f aca="false">E19*E20</f>
        <v>359.516049794415</v>
      </c>
      <c r="F21" s="0" t="n">
        <f aca="false">F19*F20</f>
        <v>352.986218925829</v>
      </c>
      <c r="G21" s="0" t="n">
        <f aca="false">G19*G20</f>
        <v>340.802289921869</v>
      </c>
      <c r="H21" s="0" t="n">
        <f aca="false">H19*H20</f>
        <v>323.684366683784</v>
      </c>
      <c r="I21" s="0" t="n">
        <f aca="false">I19*I20</f>
        <v>305.948237002481</v>
      </c>
      <c r="J21" s="0" t="n">
        <f aca="false">J19*J20</f>
        <v>287.786926130188</v>
      </c>
      <c r="K21" s="0" t="n">
        <f aca="false">K19*K20</f>
        <v>270.703683939811</v>
      </c>
      <c r="L21" s="0" t="n">
        <f aca="false">L19*L20</f>
        <v>254.634515486763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3223.86608326889</v>
      </c>
    </row>
    <row r="31" customFormat="false" ht="15" hidden="false" customHeight="false" outlineLevel="0" collapsed="false">
      <c r="A31" s="0" t="s">
        <v>131</v>
      </c>
      <c r="B31" s="0" t="n">
        <f aca="false">L19</f>
        <v>631.042287618959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9999.59317303889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11358.7611771413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9999.59317303889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4034.97770694409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7258.84379021298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7258.84379021298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1.83954480238545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0.0334521361716005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1.83954480238545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5416.44630206273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0.97960247481073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0.991443876402566</v>
      </c>
      <c r="C4" s="0" t="n">
        <f aca="false">B4/Assumptions!$B$2-1</f>
        <v>-0.443009058200805</v>
      </c>
      <c r="D4" s="4" t="n">
        <f aca="false">Assumptions!$B$24</f>
        <v>0.25</v>
      </c>
      <c r="E4" s="4" t="n">
        <f aca="false">DCF_Bear!$B$43</f>
        <v>0.991443876402566</v>
      </c>
      <c r="F4" s="4" t="n">
        <f aca="false">DCF_Bear!$B$47</f>
        <v>0.593881368101515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1.45914324181356</v>
      </c>
      <c r="C5" s="0" t="n">
        <f aca="false">B5/Assumptions!$B$2-1</f>
        <v>-0.18025660572272</v>
      </c>
      <c r="D5" s="4" t="n">
        <f aca="false">Assumptions!$B$38</f>
        <v>0.5</v>
      </c>
      <c r="E5" s="4" t="n">
        <f aca="false">DCF_Base!$B$43</f>
        <v>1.45914324181356</v>
      </c>
      <c r="F5" s="4" t="n">
        <f aca="false">DCF_Base!$B$47</f>
        <v>0.814969542613593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1.83954480238545</v>
      </c>
      <c r="C6" s="0" t="n">
        <f aca="false">B6/Assumptions!$B$2-1</f>
        <v>0.0334521361716005</v>
      </c>
      <c r="D6" s="4" t="n">
        <f aca="false">Assumptions!$B$52</f>
        <v>0.25</v>
      </c>
      <c r="E6" s="4" t="n">
        <f aca="false">DCF_Bull!$B$43</f>
        <v>1.83954480238545</v>
      </c>
      <c r="F6" s="4" t="n">
        <f aca="false">DCF_Bull!$B$47</f>
        <v>0.97960247481073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1.43731879060378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1.43731879060378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-0.238416982813023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0.800855732034858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1.57179758482766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1.45914324181356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1.36151514846862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1.20073051165313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1.07381203869575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0.814969542613593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1.82231392139546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1.88963725698037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1.88963725698037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1.88963725698037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1.88963725698037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1.55689214402212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1.6244349541499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1.70323489929897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1.75516297375204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1.75516297375204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1.35808469197453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1.40524534856608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1.45914324181356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1.52133311863758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1.59388797493227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1.20366965622853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1.23775253175871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1.27609576673017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1.31955143303115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1.36921505166084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1.08031523742209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1.10562340806827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1.13374359767513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1.1651720448828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1.20052904799143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2026-09-23T09:08:44Z</dcterms:created>
  <dc:creator>openpyxl</dc:creator>
  <dc:description/>
  <dc:language>en-NZ</dc:language>
  <cp:lastModifiedBy/>
  <dcterms:modified xsi:type="dcterms:W3CDTF">2026-09-23T09:08:44Z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