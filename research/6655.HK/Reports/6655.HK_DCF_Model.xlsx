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<sst xmlns="http://schemas.openxmlformats.org/spreadsheetml/2006/main" count="348" uniqueCount="162">
  <si>
    <t xml:space="preserve">Ticker</t>
  </si>
  <si>
    <t xml:space="preserve">6655.HK</t>
  </si>
  <si>
    <t xml:space="preserve">Company</t>
  </si>
  <si>
    <t xml:space="preserve">Huaxin Building Materials Group Co., Ltd. (formerly Huaxin Cement)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</si>
  <si>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</si>
  <si>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</si>
  <si>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</si>
  <si>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</si>
  <si>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HKEX close (Yahoo chart API)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</si>
  <si>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</si>
  <si>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</si>
  <si>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</si>
  <si>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</si>
  <si>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</si>
  <si>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</si>
  <si>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</si>
  <si>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</si>
  <si>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</si>
  <si>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</si>
  <si>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</si>
  <si>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</si>
  <si>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</si>
  <si>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2026-10-23T15:11:59Z</t>
  </si>
  <si>
    <t xml:space="preserve">Drivers file</t>
  </si>
  <si>
    <t xml:space="preserve">6655.HK_Drivers.json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</si>
  <si>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</si>
  <si>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</si>
  <si>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</si>
  <si>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cyclical, levered, SBC-zero industrial valued on unlevered owner FCF built from components, with the FY2026 capex supercycle charged explicitly rather than hidden in a flat margin, NCI and tax charged once as a combined leakage driver, leases held as debt, a CNY-built WACC applied uniformly, and a 12x cap on the terminal multiple. Risk is priced in the scenario weights (30/50/20), not in an ad-hoc discount-rate premium. The H-share trades at a ~42% discount to the A-share line, so the HKD quote is already the cheaper claim on the same cash flows.
key_risks_to_valuation: Capex execution: RMB15bn FY2026 programme (42% of revenue) with net debt already ~RMB18bn; a slip in overseas EBITDA delivery leaves the leverage without the cash flow; Frontier-market FX and political risk (Nigeria naira, Mozambique, Zimbabwe, Central Asia) on ~33% and rising share of revenue; Domestic China cement demand in structural decline (2025 output a 15-year low); base case assumes no price recovery, bull case needs one; NCI leakage is modelled at ~18% of unlevered profit; overseas growth in partly-owned subsidiaries could lift it; H1 2026 interim balance sheet not in the folder: net debt anchor is 31 Mar 2026 and will rise as the capex programme is funded; Terminal value capped at 12x owner FCF; a Chinese cement producer may be awarded less by the market (sector EV/EBITDA 5-7x)</t>
  </si>
  <si>
    <t xml:space="preserve">Data sources</t>
  </si>
  <si>
    <t xml:space="preserve">price: Yahoo Finance chart API for 6655.HK at inputs.price_as_of; 52-week range 11.35-20.20 HKD. FX from Yahoo CNYHKD=X; A-share parity from 600801.SS.
financials: 6655.HK_Metrics.csv (FY2020-FY2025 annual + interims, RMB millions) built from the HKEX annual reports; FY2025 AR consolidated statements and notes V.1, V.28, V.57-59; Q1 2026 quarterly report balance sheet (31 Mar 2026).
qualitative: 6655.HK_Analysis.json (business mix, overseas M&amp;A, guidance, bull/bear axes) and the FY2025 AR outlook and business-plan sections.</t>
  </si>
  <si>
    <t xml:space="preserve">Scenario narrative: bear</t>
  </si>
  <si>
    <t xml:space="preserve">The overseas pivot proves harder than the slide deck: Nigerian FX devaluation, political scrutiny of the Lafarge Africa deal, cost over-runs on greenfield lines in Mozambique and Zimbabwe, and an over-paid acquisition or two mean the RMB15bn is spent but EBITDA lags (capex 24% of revenue in FY2026 with margins falling to 23.5%). Domestically, anti-involution again fails to translate into pricing power, demand keeps falling with real estate, and ready-mix receivables consume working capital (-5% capture). Revenue growth collapses to ~0-2% from FY2028 and the EBITDA margin settles at 24%, below FY2025. With ~RMB18bn of net debt the equity is a thin slice: this path produces a sharply lower but still positive value, so the business survives it, but the balance sheet leaves little margin for a second mistake.</t>
  </si>
  <si>
    <t xml:space="preserve">Scenario narrative: base</t>
  </si>
  <si>
    <t xml:space="preserve">Huaxin delivers the FY2026 plan: revenue clears RMB40bn (+15%) as the Nigeria, Mozambique, Tanzania and Zimbabwe capacity comes on stream and overseas EBITDA passes RMB7bn, then growth fades to mid-single digits by FY2028 because the ~60% of revenue tied to Chinese cement, clinker and ready-mix keeps shrinking 3-5% a year while aggregates and overseas grow. Group EBITDA margin drifts from 26% to 28% purely on mix (overseas gross margins are roughly double domestic), with no domestic price recovery assumed. The RMB15bn FY2026 capex programme is charged at ~83% execution and capex converges on D&amp;A by FY2032, so owner FCF is negative in FY2026 and only reaches a mature ~RMB5bn+ run rate from FY2029. NCI leakage (~18%) and a 27-28% effective tax rate are charged in the flows; net debt of ~RMB18bn at March 2026 is deducted. Terminal value is capped at 12x owner FCF.</t>
  </si>
  <si>
    <t xml:space="preserve">Scenario narrative: bull</t>
  </si>
  <si>
    <t xml:space="preserve">Both engines fire. Overseas: the African and Central Asian plants ramp ahead of schedule, Lafarge Africa's naira-denominated pricing holds, further bolt-ons add capacity at sensible multiples, and overseas becomes ~45% of revenue by FY2028 at 35%+ EBITDA margins. Domestic: 'organise production by approved capacity', carbon trading and ultra-low-emission mandates force marginal capacity out and domestic cement prices recover 10-15% from the 2025 trough, lifting group EBITDA margin to ~31% -- still below the FY2020 peak of 33%. Revenue grows 17%/11%/8% over FY2026-28 and capex intensity normalises a year earlier than base. Terminal growth 3% (EM mix) with the same 12x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</si>
  <si>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</si>
  <si>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</si>
  <si>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</si>
  <si>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</si>
  <si>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</si>
  <si>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</si>
  <si>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</si>
  <si>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</si>
  <si>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</si>
  <si>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</si>
  <si>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</si>
  <si>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</si>
  <si>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</si>
  <si>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</si>
  <si>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</si>
  <si>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</si>
  <si>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</si>
  <si>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</si>
  <si>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</si>
  <si>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</si>
  <si>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</si>
  <si>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</si>
  <si>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</si>
  <si>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</si>
  <si>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</si>
  <si>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</si>
  <si>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</si>
  <si>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</si>
  <si>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</si>
  <si>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</si>
  <si>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</si>
  <si>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</si>
  <si>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</si>
  <si>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</si>
  <si>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</si>
  <si>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</si>
  <si>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</si>
  <si>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</si>
  <si>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</si>
  <si>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</si>
  <si>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</si>
  <si>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</si>
  <si>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</si>
  <si>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</si>
  <si>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</si>
  <si>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</si>
  <si>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</si>
  <si>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</si>
  <si>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</si>
  <si>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</si>
  <si>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</si>
  <si>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</si>
  <si>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</si>
  <si>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</si>
  <si>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</si>
  <si>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</si>
  <si>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</si>
  <si>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</si>
  <si>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</si>
  <si>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</si>
  <si>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</si>
  <si>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</si>
  <si>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</si>
  <si>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</si>
  <si>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</si>
  <si>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</si>
  <si>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</si>
  <si>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</si>
  <si>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</si>
  <si>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</si>
  <si>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6655.HK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</si>
  <si>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</si>
  <si>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</si>
  <si>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</si>
  <si>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</si>
  <si>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</si>
  <si>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</si>
  <si>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</si>
  <si>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</si>
  <si>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</si>
  <si>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</si>
  <si>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</si>
  <si>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</si>
  <si>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</si>
  <si>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</si>
  <si>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</si>
  <si>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</si>
  <si>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</si>
  <si>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</si>
  <si>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</si>
  <si>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</si>
  <si>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</si>
  <si>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</si>
  <si>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</si>
  <si>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</si>
  <si>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</si>
  <si>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</si>
  <si>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</si>
  <si>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</si>
  <si>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</si>
  <si>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</si>
  <si>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6655.HK owner-FCF component DCF: base case (millions, CNY)</t>
  </si>
  <si>
    <t xml:space="preserve">6655.HK owner-FCF component DCF: bull case (millions, CNY)</t>
  </si>
  <si>
    <t xml:space="preserve">6655.HK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</si>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</sst>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15.68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29356.516</v>
      </c>
      <c r="C2" s="0" t="n">
        <v>18035.261</v>
      </c>
      <c r="D2" s="0" t="n">
        <v>11321.255</v>
      </c>
      <c r="E2" s="0" t="n">
        <v>38.6</v>
      </c>
      <c r="F2" s="0" t="n">
        <v>7698.942</v>
      </c>
      <c r="G2" s="0" t="n">
        <v>26.2</v>
      </c>
      <c r="H2" s="0" t="n">
        <v>9624.851</v>
      </c>
      <c r="I2" s="0" t="n">
        <v>5630.599</v>
      </c>
      <c r="J2" s="0" t="n">
        <v>19.2</v>
      </c>
      <c r="K2" s="0" t="n">
        <v>2.69</v>
      </c>
      <c r="L2" s="0" t="n">
        <v>8405.473</v>
      </c>
      <c r="M2" s="0" t="n">
        <v>3589.697</v>
      </c>
      <c r="N2" s="0" t="n">
        <v>4815.776</v>
      </c>
      <c r="O2" s="0" t="n">
        <v>23571.375</v>
      </c>
      <c r="P2" s="0" t="n">
        <v>43928.509</v>
      </c>
      <c r="Q2" s="0" t="n">
        <v>18188.571</v>
      </c>
      <c r="R2" s="0" t="n">
        <v>7947.527</v>
      </c>
      <c r="S2" s="0" t="n">
        <v>8641.613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32464.083</v>
      </c>
      <c r="C3" s="0" t="n">
        <v>21392.494</v>
      </c>
      <c r="D3" s="0" t="n">
        <v>11071.589</v>
      </c>
      <c r="E3" s="0" t="n">
        <v>34.1</v>
      </c>
      <c r="F3" s="0" t="n">
        <v>7444.36</v>
      </c>
      <c r="G3" s="0" t="n">
        <v>22.9</v>
      </c>
      <c r="H3" s="0" t="n">
        <v>9710.87</v>
      </c>
      <c r="I3" s="0" t="n">
        <v>5363.526</v>
      </c>
      <c r="J3" s="0" t="n">
        <v>16.5</v>
      </c>
      <c r="K3" s="0" t="n">
        <v>2.58</v>
      </c>
      <c r="L3" s="0" t="n">
        <v>7594.957</v>
      </c>
      <c r="M3" s="0" t="n">
        <v>6229.454</v>
      </c>
      <c r="N3" s="0" t="n">
        <v>1365.503</v>
      </c>
      <c r="O3" s="0" t="n">
        <v>26729.911</v>
      </c>
      <c r="P3" s="0" t="n">
        <v>52549.618</v>
      </c>
      <c r="Q3" s="0" t="n">
        <v>23171.781</v>
      </c>
      <c r="R3" s="0" t="n">
        <v>10489.963</v>
      </c>
      <c r="S3" s="0" t="n">
        <v>8836.439</v>
      </c>
      <c r="T3" s="0" t="n">
        <v>2073.91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30470.382</v>
      </c>
      <c r="C4" s="0" t="n">
        <v>22481.902</v>
      </c>
      <c r="D4" s="0" t="n">
        <v>7988.48</v>
      </c>
      <c r="E4" s="0" t="n">
        <v>26.2</v>
      </c>
      <c r="F4" s="0" t="n">
        <v>4022.571</v>
      </c>
      <c r="G4" s="0" t="n">
        <v>13.2</v>
      </c>
      <c r="H4" s="0" t="n">
        <v>6956.418</v>
      </c>
      <c r="I4" s="0" t="n">
        <v>2698.869</v>
      </c>
      <c r="J4" s="0" t="n">
        <v>8.9</v>
      </c>
      <c r="K4" s="0" t="n">
        <v>1.3</v>
      </c>
      <c r="L4" s="0" t="n">
        <v>4567.694</v>
      </c>
      <c r="M4" s="0" t="n">
        <v>7718</v>
      </c>
      <c r="N4" s="0" t="n">
        <v>-3150.306</v>
      </c>
      <c r="O4" s="0" t="n">
        <v>27446.305</v>
      </c>
      <c r="P4" s="0" t="n">
        <v>64241.676</v>
      </c>
      <c r="Q4" s="0" t="n">
        <v>33403.496</v>
      </c>
      <c r="R4" s="0" t="n">
        <v>17488.747</v>
      </c>
      <c r="S4" s="0" t="n">
        <v>7038.342</v>
      </c>
      <c r="T4" s="0" t="n">
        <v>2073.91</v>
      </c>
      <c r="U4" s="0" t="n">
        <v>-48.733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33757.087</v>
      </c>
      <c r="C5" s="0" t="n">
        <v>24741.415</v>
      </c>
      <c r="D5" s="0" t="n">
        <v>9015.672</v>
      </c>
      <c r="E5" s="0" t="n">
        <v>26.7</v>
      </c>
      <c r="F5" s="0" t="n">
        <v>4351.501</v>
      </c>
      <c r="G5" s="0" t="n">
        <v>12.9</v>
      </c>
      <c r="H5" s="0" t="n">
        <v>8712.092</v>
      </c>
      <c r="I5" s="0" t="n">
        <v>2762.117</v>
      </c>
      <c r="J5" s="0" t="n">
        <v>8.2</v>
      </c>
      <c r="K5" s="0" t="n">
        <v>1.33</v>
      </c>
      <c r="L5" s="0" t="n">
        <v>6235.555</v>
      </c>
      <c r="M5" s="0" t="n">
        <v>4850.15</v>
      </c>
      <c r="N5" s="0" t="n">
        <v>1385.405</v>
      </c>
      <c r="O5" s="0" t="n">
        <v>28932.95</v>
      </c>
      <c r="P5" s="0" t="n">
        <v>68800.268</v>
      </c>
      <c r="Q5" s="0" t="n">
        <v>35505.386</v>
      </c>
      <c r="R5" s="0" t="n">
        <v>21301.464</v>
      </c>
      <c r="S5" s="0" t="n">
        <v>5849.465</v>
      </c>
      <c r="T5" s="0" t="n">
        <v>2074.04</v>
      </c>
      <c r="U5" s="0" t="n">
        <v>30.381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34217.348</v>
      </c>
      <c r="C6" s="0" t="n">
        <v>25770.522</v>
      </c>
      <c r="D6" s="0" t="n">
        <v>8446.826</v>
      </c>
      <c r="E6" s="0" t="n">
        <v>24.7</v>
      </c>
      <c r="F6" s="0" t="n">
        <v>4223.788</v>
      </c>
      <c r="G6" s="0" t="n">
        <v>12.3</v>
      </c>
      <c r="H6" s="0" t="n">
        <v>8634.238</v>
      </c>
      <c r="I6" s="0" t="n">
        <v>2416.28</v>
      </c>
      <c r="J6" s="0" t="n">
        <v>7.1</v>
      </c>
      <c r="K6" s="0" t="n">
        <v>1.16</v>
      </c>
      <c r="L6" s="0" t="n">
        <v>5977.317</v>
      </c>
      <c r="M6" s="0" t="n">
        <v>4534.815</v>
      </c>
      <c r="N6" s="0" t="n">
        <v>1442.502</v>
      </c>
      <c r="O6" s="0" t="n">
        <v>30291.427</v>
      </c>
      <c r="P6" s="0" t="n">
        <v>69512.689</v>
      </c>
      <c r="Q6" s="0" t="n">
        <v>34614.885</v>
      </c>
      <c r="R6" s="0" t="n">
        <v>20088.998</v>
      </c>
      <c r="S6" s="0" t="n">
        <v>6809.003</v>
      </c>
      <c r="T6" s="0" t="n">
        <v>2079</v>
      </c>
      <c r="U6" s="0" t="n">
        <v>26.972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35348.28</v>
      </c>
      <c r="C7" s="0" t="n">
        <v>24666.259</v>
      </c>
      <c r="D7" s="0" t="n">
        <v>10682.021</v>
      </c>
      <c r="E7" s="0" t="n">
        <v>30.2</v>
      </c>
      <c r="F7" s="0" t="n">
        <v>5007.646</v>
      </c>
      <c r="G7" s="0" t="n">
        <v>14.2</v>
      </c>
      <c r="H7" s="0" t="n">
        <v>9191.208</v>
      </c>
      <c r="I7" s="0" t="n">
        <v>2853.332</v>
      </c>
      <c r="J7" s="0" t="n">
        <v>8.1</v>
      </c>
      <c r="K7" s="0" t="n">
        <v>1.37</v>
      </c>
      <c r="L7" s="0" t="n">
        <v>6694.038</v>
      </c>
      <c r="M7" s="0" t="n">
        <v>2620.03</v>
      </c>
      <c r="N7" s="0" t="n">
        <v>4074.008</v>
      </c>
      <c r="O7" s="0" t="n">
        <v>32061.426</v>
      </c>
      <c r="P7" s="0" t="n">
        <v>81073.095</v>
      </c>
      <c r="Q7" s="0" t="n">
        <v>43673.854</v>
      </c>
      <c r="R7" s="0" t="n">
        <v>25409.345</v>
      </c>
      <c r="S7" s="0" t="n">
        <v>8534.683</v>
      </c>
      <c r="T7" s="0" t="n">
        <v>2079</v>
      </c>
      <c r="U7" s="0" t="n">
        <v>4.782</v>
      </c>
      <c r="AA7" s="0" t="s">
        <v>18</v>
      </c>
      <c r="AB7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15.68</v>
      </c>
    </row>
    <row r="3" customFormat="false" ht="15" hidden="false" customHeight="false" outlineLevel="0" collapsed="false">
      <c r="A3" s="0" t="s">
        <v>73</v>
      </c>
      <c r="B3" s="3" t="n">
        <v>2075.33</v>
      </c>
    </row>
    <row r="4" customFormat="false" ht="15" hidden="false" customHeight="false" outlineLevel="0" collapsed="false">
      <c r="A4" s="0" t="s">
        <v>74</v>
      </c>
      <c r="B4" s="3" t="n">
        <v>18041</v>
      </c>
    </row>
    <row r="5" customFormat="false" ht="15" hidden="false" customHeight="false" outlineLevel="0" collapsed="false">
      <c r="A5" s="0" t="s">
        <v>75</v>
      </c>
      <c r="B5" s="3" t="n">
        <v>0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35348.28</v>
      </c>
    </row>
    <row r="8" customFormat="false" ht="15" hidden="false" customHeight="false" outlineLevel="0" collapsed="false">
      <c r="A8" s="0" t="s">
        <v>78</v>
      </c>
      <c r="B8" s="3" t="s">
        <v>69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1.1746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10</v>
      </c>
      <c r="D13" s="3" t="n">
        <v>2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94</v>
      </c>
      <c r="C14" s="3" t="n">
        <v>25</v>
      </c>
      <c r="D14" s="3" t="n">
        <v>24</v>
      </c>
      <c r="E14" s="3" t="n">
        <v>23.5</v>
      </c>
      <c r="F14" s="3" t="n">
        <v>23.5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95</v>
      </c>
      <c r="C15" s="3" t="n">
        <v>0.01</v>
      </c>
      <c r="D15" s="3" t="n">
        <v>0.01</v>
      </c>
      <c r="E15" s="3" t="n">
        <v>0.01</v>
      </c>
      <c r="F15" s="3" t="n">
        <v>0.01</v>
      </c>
      <c r="G15" s="3" t="n">
        <v>0.01</v>
      </c>
      <c r="H15" s="3" t="n">
        <v>0.01</v>
      </c>
      <c r="I15" s="3" t="n">
        <v>0.01</v>
      </c>
      <c r="J15" s="3" t="n">
        <v>0.01</v>
      </c>
      <c r="K15" s="3" t="n">
        <v>0.01</v>
      </c>
      <c r="L15" s="3" t="n">
        <v>0.01</v>
      </c>
    </row>
    <row r="16" customFormat="false" ht="15" hidden="false" customHeight="false" outlineLevel="0" collapsed="false">
      <c r="A16" s="0" t="s">
        <v>96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97</v>
      </c>
      <c r="C17" s="3" t="n">
        <v>10.6</v>
      </c>
      <c r="D17" s="3" t="n">
        <v>10.8</v>
      </c>
      <c r="E17" s="3" t="n">
        <v>11</v>
      </c>
      <c r="F17" s="3" t="n">
        <v>11</v>
      </c>
      <c r="G17" s="3" t="n">
        <v>11</v>
      </c>
      <c r="H17" s="3" t="n">
        <v>10.8</v>
      </c>
      <c r="I17" s="3" t="n">
        <v>10.6</v>
      </c>
      <c r="J17" s="3" t="n">
        <v>10.5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98</v>
      </c>
      <c r="C18" s="3" t="n">
        <v>24</v>
      </c>
      <c r="D18" s="3" t="n">
        <v>18</v>
      </c>
      <c r="E18" s="3" t="n">
        <v>14</v>
      </c>
      <c r="F18" s="3" t="n">
        <v>12</v>
      </c>
      <c r="G18" s="3" t="n">
        <v>11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99</v>
      </c>
      <c r="C19" s="3" t="n">
        <v>42</v>
      </c>
      <c r="D19" s="3" t="n">
        <v>42</v>
      </c>
      <c r="E19" s="3" t="n">
        <v>42</v>
      </c>
      <c r="F19" s="3" t="n">
        <v>42</v>
      </c>
      <c r="G19" s="3" t="n">
        <v>42</v>
      </c>
      <c r="H19" s="3" t="n">
        <v>42</v>
      </c>
      <c r="I19" s="3" t="n">
        <v>42</v>
      </c>
      <c r="J19" s="3" t="n">
        <v>42</v>
      </c>
      <c r="K19" s="3" t="n">
        <v>42</v>
      </c>
      <c r="L19" s="3" t="n">
        <v>42</v>
      </c>
    </row>
    <row r="20" customFormat="false" ht="15" hidden="false" customHeight="false" outlineLevel="0" collapsed="false">
      <c r="A20" s="0" t="s">
        <v>100</v>
      </c>
      <c r="B20" s="3" t="n">
        <v>8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12</v>
      </c>
    </row>
    <row r="23" customFormat="false" ht="15" hidden="false" customHeight="false" outlineLevel="0" collapsed="false">
      <c r="A23" s="0" t="s">
        <v>103</v>
      </c>
      <c r="B23" s="3" t="n">
        <v>-5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15</v>
      </c>
      <c r="D27" s="3" t="n">
        <v>8</v>
      </c>
      <c r="E27" s="3" t="n">
        <v>6</v>
      </c>
      <c r="F27" s="3" t="n">
        <v>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94</v>
      </c>
      <c r="C28" s="3" t="n">
        <v>27</v>
      </c>
      <c r="D28" s="3" t="n">
        <v>27.5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95</v>
      </c>
      <c r="C29" s="3" t="n">
        <v>0.01</v>
      </c>
      <c r="D29" s="3" t="n">
        <v>0.01</v>
      </c>
      <c r="E29" s="3" t="n">
        <v>0.01</v>
      </c>
      <c r="F29" s="3" t="n">
        <v>0.01</v>
      </c>
      <c r="G29" s="3" t="n">
        <v>0.01</v>
      </c>
      <c r="H29" s="3" t="n">
        <v>0.01</v>
      </c>
      <c r="I29" s="3" t="n">
        <v>0.01</v>
      </c>
      <c r="J29" s="3" t="n">
        <v>0.01</v>
      </c>
      <c r="K29" s="3" t="n">
        <v>0.01</v>
      </c>
      <c r="L29" s="3" t="n">
        <v>0.01</v>
      </c>
    </row>
    <row r="30" customFormat="false" ht="15" hidden="false" customHeight="false" outlineLevel="0" collapsed="false">
      <c r="A30" s="0" t="s">
        <v>96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97</v>
      </c>
      <c r="C31" s="3" t="n">
        <v>10.5</v>
      </c>
      <c r="D31" s="3" t="n">
        <v>10.4</v>
      </c>
      <c r="E31" s="3" t="n">
        <v>10.3</v>
      </c>
      <c r="F31" s="3" t="n">
        <v>10.2</v>
      </c>
      <c r="G31" s="3" t="n">
        <v>10.1</v>
      </c>
      <c r="H31" s="3" t="n">
        <v>10</v>
      </c>
      <c r="I31" s="3" t="n">
        <v>10</v>
      </c>
      <c r="J31" s="3" t="n">
        <v>10</v>
      </c>
      <c r="K31" s="3" t="n">
        <v>10</v>
      </c>
      <c r="L31" s="3" t="n">
        <v>10</v>
      </c>
    </row>
    <row r="32" customFormat="false" ht="15" hidden="false" customHeight="false" outlineLevel="0" collapsed="false">
      <c r="A32" s="0" t="s">
        <v>98</v>
      </c>
      <c r="C32" s="3" t="n">
        <v>22</v>
      </c>
      <c r="D32" s="3" t="n">
        <v>16</v>
      </c>
      <c r="E32" s="3" t="n">
        <v>13</v>
      </c>
      <c r="F32" s="3" t="n">
        <v>11.5</v>
      </c>
      <c r="G32" s="3" t="n">
        <v>11</v>
      </c>
      <c r="H32" s="3" t="n">
        <v>10.5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99</v>
      </c>
      <c r="C33" s="3" t="n">
        <v>41</v>
      </c>
      <c r="D33" s="3" t="n">
        <v>41</v>
      </c>
      <c r="E33" s="3" t="n">
        <v>40.5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100</v>
      </c>
      <c r="B34" s="3" t="n">
        <v>8</v>
      </c>
    </row>
    <row r="35" customFormat="false" ht="15" hidden="false" customHeight="false" outlineLevel="0" collapsed="false">
      <c r="A35" s="0" t="s">
        <v>101</v>
      </c>
      <c r="B35" s="3" t="n">
        <v>2.5</v>
      </c>
    </row>
    <row r="36" customFormat="false" ht="15" hidden="false" customHeight="false" outlineLevel="0" collapsed="false">
      <c r="A36" s="0" t="s">
        <v>102</v>
      </c>
      <c r="B36" s="3" t="n">
        <v>12</v>
      </c>
    </row>
    <row r="37" customFormat="false" ht="15" hidden="false" customHeight="false" outlineLevel="0" collapsed="false">
      <c r="A37" s="0" t="s">
        <v>103</v>
      </c>
      <c r="B37" s="3" t="n">
        <v>0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17</v>
      </c>
      <c r="D41" s="3" t="n">
        <v>11</v>
      </c>
      <c r="E41" s="3" t="n">
        <v>8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94</v>
      </c>
      <c r="C42" s="3" t="n">
        <v>28</v>
      </c>
      <c r="D42" s="3" t="n">
        <v>29</v>
      </c>
      <c r="E42" s="3" t="n">
        <v>30</v>
      </c>
      <c r="F42" s="3" t="n">
        <v>30.5</v>
      </c>
      <c r="G42" s="3" t="n">
        <v>31</v>
      </c>
      <c r="H42" s="3" t="n">
        <v>31</v>
      </c>
      <c r="I42" s="3" t="n">
        <v>31</v>
      </c>
      <c r="J42" s="3" t="n">
        <v>31</v>
      </c>
      <c r="K42" s="3" t="n">
        <v>31</v>
      </c>
      <c r="L42" s="3" t="n">
        <v>31</v>
      </c>
    </row>
    <row r="43" customFormat="false" ht="15" hidden="false" customHeight="false" outlineLevel="0" collapsed="false">
      <c r="A43" s="0" t="s">
        <v>95</v>
      </c>
      <c r="C43" s="3" t="n">
        <v>0.01</v>
      </c>
      <c r="D43" s="3" t="n">
        <v>0.01</v>
      </c>
      <c r="E43" s="3" t="n">
        <v>0.01</v>
      </c>
      <c r="F43" s="3" t="n">
        <v>0.01</v>
      </c>
      <c r="G43" s="3" t="n">
        <v>0.01</v>
      </c>
      <c r="H43" s="3" t="n">
        <v>0.01</v>
      </c>
      <c r="I43" s="3" t="n">
        <v>0.01</v>
      </c>
      <c r="J43" s="3" t="n">
        <v>0.01</v>
      </c>
      <c r="K43" s="3" t="n">
        <v>0.01</v>
      </c>
      <c r="L43" s="3" t="n">
        <v>0.01</v>
      </c>
    </row>
    <row r="44" customFormat="false" ht="15" hidden="false" customHeight="false" outlineLevel="0" collapsed="false">
      <c r="A44" s="0" t="s">
        <v>96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97</v>
      </c>
      <c r="C45" s="3" t="n">
        <v>10.4</v>
      </c>
      <c r="D45" s="3" t="n">
        <v>10.2</v>
      </c>
      <c r="E45" s="3" t="n">
        <v>10</v>
      </c>
      <c r="F45" s="3" t="n">
        <v>9.8</v>
      </c>
      <c r="G45" s="3" t="n">
        <v>9.6</v>
      </c>
      <c r="H45" s="3" t="n">
        <v>9.5</v>
      </c>
      <c r="I45" s="3" t="n">
        <v>9.5</v>
      </c>
      <c r="J45" s="3" t="n">
        <v>9.5</v>
      </c>
      <c r="K45" s="3" t="n">
        <v>9.5</v>
      </c>
      <c r="L45" s="3" t="n">
        <v>9.5</v>
      </c>
    </row>
    <row r="46" customFormat="false" ht="15" hidden="false" customHeight="false" outlineLevel="0" collapsed="false">
      <c r="A46" s="0" t="s">
        <v>98</v>
      </c>
      <c r="C46" s="3" t="n">
        <v>21</v>
      </c>
      <c r="D46" s="3" t="n">
        <v>15</v>
      </c>
      <c r="E46" s="3" t="n">
        <v>12</v>
      </c>
      <c r="F46" s="3" t="n">
        <v>11</v>
      </c>
      <c r="G46" s="3" t="n">
        <v>10.5</v>
      </c>
      <c r="H46" s="3" t="n">
        <v>10</v>
      </c>
      <c r="I46" s="3" t="n">
        <v>9.5</v>
      </c>
      <c r="J46" s="3" t="n">
        <v>9.5</v>
      </c>
      <c r="K46" s="3" t="n">
        <v>9.5</v>
      </c>
      <c r="L46" s="3" t="n">
        <v>9.5</v>
      </c>
    </row>
    <row r="47" customFormat="false" ht="15" hidden="false" customHeight="false" outlineLevel="0" collapsed="false">
      <c r="A47" s="0" t="s">
        <v>99</v>
      </c>
      <c r="C47" s="3" t="n">
        <v>40</v>
      </c>
      <c r="D47" s="3" t="n">
        <v>39.5</v>
      </c>
      <c r="E47" s="3" t="n">
        <v>39</v>
      </c>
      <c r="F47" s="3" t="n">
        <v>39</v>
      </c>
      <c r="G47" s="3" t="n">
        <v>39</v>
      </c>
      <c r="H47" s="3" t="n">
        <v>39</v>
      </c>
      <c r="I47" s="3" t="n">
        <v>39</v>
      </c>
      <c r="J47" s="3" t="n">
        <v>39</v>
      </c>
      <c r="K47" s="3" t="n">
        <v>39</v>
      </c>
      <c r="L47" s="3" t="n">
        <v>39</v>
      </c>
    </row>
    <row r="48" customFormat="false" ht="15" hidden="false" customHeight="false" outlineLevel="0" collapsed="false">
      <c r="A48" s="0" t="s">
        <v>100</v>
      </c>
      <c r="B48" s="3" t="n">
        <v>8</v>
      </c>
    </row>
    <row r="49" customFormat="false" ht="15" hidden="false" customHeight="false" outlineLevel="0" collapsed="false">
      <c r="A49" s="0" t="s">
        <v>101</v>
      </c>
      <c r="B49" s="3" t="n">
        <v>3</v>
      </c>
    </row>
    <row r="50" customFormat="false" ht="15" hidden="false" customHeight="false" outlineLevel="0" collapsed="false">
      <c r="A50" s="0" t="s">
        <v>102</v>
      </c>
      <c r="B50" s="3" t="n">
        <v>12</v>
      </c>
    </row>
    <row r="51" customFormat="false" ht="15" hidden="false" customHeight="false" outlineLevel="0" collapsed="false">
      <c r="A51" s="0" t="s">
        <v>103</v>
      </c>
      <c r="B51" s="3" t="n">
        <v>0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10</v>
      </c>
      <c r="D5" s="4" t="n">
        <f aca="false">Assumptions!D13</f>
        <v>2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35348.28</v>
      </c>
      <c r="C6" s="0" t="n">
        <f aca="false">B6*(1+C5/100)</f>
        <v>38883.108</v>
      </c>
      <c r="D6" s="0" t="n">
        <f aca="false">C6*(1+D5/100)</f>
        <v>39660.77016</v>
      </c>
      <c r="E6" s="0" t="n">
        <f aca="false">D6*(1+E5/100)</f>
        <v>39660.77016</v>
      </c>
      <c r="F6" s="0" t="n">
        <f aca="false">E6*(1+F5/100)</f>
        <v>40057.3778616</v>
      </c>
      <c r="G6" s="0" t="n">
        <f aca="false">F6*(1+G5/100)</f>
        <v>40658.238529524</v>
      </c>
      <c r="H6" s="0" t="n">
        <f aca="false">G6*(1+H5/100)</f>
        <v>41471.4033001145</v>
      </c>
      <c r="I6" s="0" t="n">
        <f aca="false">H6*(1+I5/100)</f>
        <v>42300.8313661168</v>
      </c>
      <c r="J6" s="0" t="n">
        <f aca="false">I6*(1+J5/100)</f>
        <v>43146.8479934391</v>
      </c>
      <c r="K6" s="0" t="n">
        <f aca="false">J6*(1+K5/100)</f>
        <v>44009.7849533079</v>
      </c>
      <c r="L6" s="0" t="n">
        <f aca="false">K6*(1+L5/100)</f>
        <v>44889.9806523741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25</v>
      </c>
      <c r="D7" s="4" t="n">
        <f aca="false">Assumptions!D14</f>
        <v>24</v>
      </c>
      <c r="E7" s="4" t="n">
        <f aca="false">Assumptions!E14</f>
        <v>23.5</v>
      </c>
      <c r="F7" s="4" t="n">
        <f aca="false">Assumptions!F14</f>
        <v>23.5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44</v>
      </c>
      <c r="C8" s="0" t="n">
        <f aca="false">C6*C7/100</f>
        <v>9720.777</v>
      </c>
      <c r="D8" s="0" t="n">
        <f aca="false">D6*D7/100</f>
        <v>9518.5848384</v>
      </c>
      <c r="E8" s="0" t="n">
        <f aca="false">E6*E7/100</f>
        <v>9320.2809876</v>
      </c>
      <c r="F8" s="0" t="n">
        <f aca="false">F6*F7/100</f>
        <v>9413.483797476</v>
      </c>
      <c r="G8" s="0" t="n">
        <f aca="false">G6*G7/100</f>
        <v>9757.97724708576</v>
      </c>
      <c r="H8" s="0" t="n">
        <f aca="false">H6*H7/100</f>
        <v>9953.13679202748</v>
      </c>
      <c r="I8" s="0" t="n">
        <f aca="false">I6*I7/100</f>
        <v>10152.199527868</v>
      </c>
      <c r="J8" s="0" t="n">
        <f aca="false">J6*J7/100</f>
        <v>10355.2435184254</v>
      </c>
      <c r="K8" s="0" t="n">
        <f aca="false">K6*K7/100</f>
        <v>10562.3483887939</v>
      </c>
      <c r="L8" s="0" t="n">
        <f aca="false">L6*L7/100</f>
        <v>10773.5953565698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0.01</v>
      </c>
      <c r="D9" s="4" t="n">
        <f aca="false">Assumptions!D15</f>
        <v>0.01</v>
      </c>
      <c r="E9" s="4" t="n">
        <f aca="false">Assumptions!E15</f>
        <v>0.01</v>
      </c>
      <c r="F9" s="4" t="n">
        <f aca="false">Assumptions!F15</f>
        <v>0.01</v>
      </c>
      <c r="G9" s="4" t="n">
        <f aca="false">Assumptions!G15</f>
        <v>0.01</v>
      </c>
      <c r="H9" s="4" t="n">
        <f aca="false">Assumptions!H15</f>
        <v>0.01</v>
      </c>
      <c r="I9" s="4" t="n">
        <f aca="false">Assumptions!I15</f>
        <v>0.01</v>
      </c>
      <c r="J9" s="4" t="n">
        <f aca="false">Assumptions!J15</f>
        <v>0.01</v>
      </c>
      <c r="K9" s="4" t="n">
        <f aca="false">Assumptions!K15</f>
        <v>0.01</v>
      </c>
      <c r="L9" s="4" t="n">
        <f aca="false">Assumptions!L15</f>
        <v>0.01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-3.8883108</v>
      </c>
      <c r="D10" s="0" t="n">
        <f aca="false">-D6*D9/100</f>
        <v>-3.966077016</v>
      </c>
      <c r="E10" s="0" t="n">
        <f aca="false">-E6*E9/100</f>
        <v>-3.966077016</v>
      </c>
      <c r="F10" s="0" t="n">
        <f aca="false">-F6*F9/100</f>
        <v>-4.00573778616</v>
      </c>
      <c r="G10" s="0" t="n">
        <f aca="false">-G6*G9/100</f>
        <v>-4.0658238529524</v>
      </c>
      <c r="H10" s="0" t="n">
        <f aca="false">-H6*H9/100</f>
        <v>-4.14714033001145</v>
      </c>
      <c r="I10" s="0" t="n">
        <f aca="false">-I6*I9/100</f>
        <v>-4.23008313661168</v>
      </c>
      <c r="J10" s="0" t="n">
        <f aca="false">-J6*J9/100</f>
        <v>-4.31468479934391</v>
      </c>
      <c r="K10" s="0" t="n">
        <f aca="false">-K6*K9/100</f>
        <v>-4.40097849533079</v>
      </c>
      <c r="L10" s="0" t="n">
        <f aca="false">-L6*L9/100</f>
        <v>-4.48899806523741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9716.8886892</v>
      </c>
      <c r="D11" s="0" t="n">
        <f aca="false">D8+D10+D24</f>
        <v>9514.618761384</v>
      </c>
      <c r="E11" s="0" t="n">
        <f aca="false">E8+E10+E24</f>
        <v>9316.314910584</v>
      </c>
      <c r="F11" s="0" t="n">
        <f aca="false">F8+F10+F24</f>
        <v>9409.47805968984</v>
      </c>
      <c r="G11" s="0" t="n">
        <f aca="false">G8+G10+G24</f>
        <v>9753.91142323281</v>
      </c>
      <c r="H11" s="0" t="n">
        <f aca="false">H8+H10+H24</f>
        <v>9948.98965169746</v>
      </c>
      <c r="I11" s="0" t="n">
        <f aca="false">I8+I10+I24</f>
        <v>10147.9694447314</v>
      </c>
      <c r="J11" s="0" t="n">
        <f aca="false">J8+J10+J24</f>
        <v>10350.928833626</v>
      </c>
      <c r="K11" s="0" t="n">
        <f aca="false">K8+K10+K24</f>
        <v>10557.9474102986</v>
      </c>
      <c r="L11" s="0" t="n">
        <f aca="false">L8+L10+L24</f>
        <v>10769.1063585045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-4121.609448</v>
      </c>
      <c r="D12" s="4" t="n">
        <f aca="false">-D6*Assumptions!D17/100</f>
        <v>-4283.36317728</v>
      </c>
      <c r="E12" s="4" t="n">
        <f aca="false">-E6*Assumptions!E17/100</f>
        <v>-4362.6847176</v>
      </c>
      <c r="F12" s="4" t="n">
        <f aca="false">-F6*Assumptions!F17/100</f>
        <v>-4406.311564776</v>
      </c>
      <c r="G12" s="4" t="n">
        <f aca="false">-G6*Assumptions!G17/100</f>
        <v>-4472.40623824764</v>
      </c>
      <c r="H12" s="4" t="n">
        <f aca="false">-H6*Assumptions!H17/100</f>
        <v>-4478.91155641236</v>
      </c>
      <c r="I12" s="4" t="n">
        <f aca="false">-I6*Assumptions!I17/100</f>
        <v>-4483.88812480838</v>
      </c>
      <c r="J12" s="4" t="n">
        <f aca="false">-J6*Assumptions!J17/100</f>
        <v>-4530.41903931111</v>
      </c>
      <c r="K12" s="4" t="n">
        <f aca="false">-K6*Assumptions!K17/100</f>
        <v>-4621.02742009733</v>
      </c>
      <c r="L12" s="4" t="n">
        <f aca="false">-L6*Assumptions!L17/100</f>
        <v>-4713.44796849928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5595.2792412</v>
      </c>
      <c r="D13" s="0" t="n">
        <f aca="false">D11+D12</f>
        <v>5231.255584104</v>
      </c>
      <c r="E13" s="0" t="n">
        <f aca="false">E11+E12</f>
        <v>4953.630192984</v>
      </c>
      <c r="F13" s="0" t="n">
        <f aca="false">F11+F12</f>
        <v>5003.16649491384</v>
      </c>
      <c r="G13" s="0" t="n">
        <f aca="false">G11+G12</f>
        <v>5281.50518498517</v>
      </c>
      <c r="H13" s="0" t="n">
        <f aca="false">H11+H12</f>
        <v>5470.0780952851</v>
      </c>
      <c r="I13" s="0" t="n">
        <f aca="false">I11+I12</f>
        <v>5664.08131992304</v>
      </c>
      <c r="J13" s="0" t="n">
        <f aca="false">J11+J12</f>
        <v>5820.50979431494</v>
      </c>
      <c r="K13" s="0" t="n">
        <f aca="false">K11+K12</f>
        <v>5936.91999020124</v>
      </c>
      <c r="L13" s="0" t="n">
        <f aca="false">L11+L12</f>
        <v>6055.65839000526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42</v>
      </c>
      <c r="F14" s="4" t="n">
        <f aca="false">Assumptions!F19</f>
        <v>42</v>
      </c>
      <c r="G14" s="4" t="n">
        <f aca="false">Assumptions!G19</f>
        <v>42</v>
      </c>
      <c r="H14" s="4" t="n">
        <f aca="false">Assumptions!H19</f>
        <v>42</v>
      </c>
      <c r="I14" s="4" t="n">
        <f aca="false">Assumptions!I19</f>
        <v>42</v>
      </c>
      <c r="J14" s="4" t="n">
        <f aca="false">Assumptions!J19</f>
        <v>42</v>
      </c>
      <c r="K14" s="4" t="n">
        <f aca="false">Assumptions!K19</f>
        <v>42</v>
      </c>
      <c r="L14" s="4" t="n">
        <f aca="false">Assumptions!L19</f>
        <v>42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3245.261959896</v>
      </c>
      <c r="D15" s="0" t="n">
        <f aca="false">D13-MAX(0,D13)*D14/100</f>
        <v>3034.12823878032</v>
      </c>
      <c r="E15" s="0" t="n">
        <f aca="false">E13-MAX(0,E13)*E14/100</f>
        <v>2873.10551193072</v>
      </c>
      <c r="F15" s="0" t="n">
        <f aca="false">F13-MAX(0,F13)*F14/100</f>
        <v>2901.83656705003</v>
      </c>
      <c r="G15" s="0" t="n">
        <f aca="false">G13-MAX(0,G13)*G14/100</f>
        <v>3063.2730072914</v>
      </c>
      <c r="H15" s="0" t="n">
        <f aca="false">H13-MAX(0,H13)*H14/100</f>
        <v>3172.64529526536</v>
      </c>
      <c r="I15" s="0" t="n">
        <f aca="false">I13-MAX(0,I13)*I14/100</f>
        <v>3285.16716555536</v>
      </c>
      <c r="J15" s="0" t="n">
        <f aca="false">J13-MAX(0,J13)*J14/100</f>
        <v>3375.89568070266</v>
      </c>
      <c r="K15" s="0" t="n">
        <f aca="false">K13-MAX(0,K13)*K14/100</f>
        <v>3443.41359431672</v>
      </c>
      <c r="L15" s="0" t="n">
        <f aca="false">L13-MAX(0,L13)*L14/100</f>
        <v>3512.28186620305</v>
      </c>
    </row>
    <row r="16" customFormat="false" ht="15" hidden="false" customHeight="false" outlineLevel="0" collapsed="false">
      <c r="A16" s="0" t="s">
        <v>115</v>
      </c>
      <c r="C16" s="0" t="n">
        <f aca="false">-C12</f>
        <v>4121.609448</v>
      </c>
      <c r="D16" s="0" t="n">
        <f aca="false">-D12</f>
        <v>4283.36317728</v>
      </c>
      <c r="E16" s="0" t="n">
        <f aca="false">-E12</f>
        <v>4362.6847176</v>
      </c>
      <c r="F16" s="0" t="n">
        <f aca="false">-F12</f>
        <v>4406.311564776</v>
      </c>
      <c r="G16" s="0" t="n">
        <f aca="false">-G12</f>
        <v>4472.40623824764</v>
      </c>
      <c r="H16" s="0" t="n">
        <f aca="false">-H12</f>
        <v>4478.91155641236</v>
      </c>
      <c r="I16" s="0" t="n">
        <f aca="false">-I12</f>
        <v>4483.88812480838</v>
      </c>
      <c r="J16" s="0" t="n">
        <f aca="false">-J12</f>
        <v>4530.41903931111</v>
      </c>
      <c r="K16" s="0" t="n">
        <f aca="false">-K12</f>
        <v>4621.02742009733</v>
      </c>
      <c r="L16" s="0" t="n">
        <f aca="false">-L12</f>
        <v>4713.44796849928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-9331.94592</v>
      </c>
      <c r="D17" s="4" t="n">
        <f aca="false">-D6*Assumptions!D18/100</f>
        <v>-7138.9386288</v>
      </c>
      <c r="E17" s="4" t="n">
        <f aca="false">-E6*Assumptions!E18/100</f>
        <v>-5552.5078224</v>
      </c>
      <c r="F17" s="4" t="n">
        <f aca="false">-F6*Assumptions!F18/100</f>
        <v>-4806.885343392</v>
      </c>
      <c r="G17" s="4" t="n">
        <f aca="false">-G6*Assumptions!G18/100</f>
        <v>-4472.40623824764</v>
      </c>
      <c r="H17" s="4" t="n">
        <f aca="false">-H6*Assumptions!H18/100</f>
        <v>-4354.49734651202</v>
      </c>
      <c r="I17" s="4" t="n">
        <f aca="false">-I6*Assumptions!I18/100</f>
        <v>-4441.58729344226</v>
      </c>
      <c r="J17" s="4" t="n">
        <f aca="false">-J6*Assumptions!J18/100</f>
        <v>-4530.41903931111</v>
      </c>
      <c r="K17" s="4" t="n">
        <f aca="false">-K6*Assumptions!K18/100</f>
        <v>-4621.02742009733</v>
      </c>
      <c r="L17" s="4" t="n">
        <f aca="false">-L6*Assumptions!L18/100</f>
        <v>-4713.44796849928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-176.7414</v>
      </c>
      <c r="D18" s="4" t="n">
        <f aca="false">(D6-C6)*Assumptions!$B$23/100</f>
        <v>-38.883108</v>
      </c>
      <c r="E18" s="4" t="n">
        <f aca="false">(E6-D6)*Assumptions!$B$23/100</f>
        <v>-0</v>
      </c>
      <c r="F18" s="4" t="n">
        <f aca="false">(F6-E6)*Assumptions!$B$23/100</f>
        <v>-19.8303850799999</v>
      </c>
      <c r="G18" s="4" t="n">
        <f aca="false">(G6-F6)*Assumptions!$B$23/100</f>
        <v>-30.0430333961998</v>
      </c>
      <c r="H18" s="4" t="n">
        <f aca="false">(H6-G6)*Assumptions!$B$23/100</f>
        <v>-40.6582385295242</v>
      </c>
      <c r="I18" s="4" t="n">
        <f aca="false">(I6-H6)*Assumptions!$B$23/100</f>
        <v>-41.4714033001146</v>
      </c>
      <c r="J18" s="4" t="n">
        <f aca="false">(J6-I6)*Assumptions!$B$23/100</f>
        <v>-42.3008313661168</v>
      </c>
      <c r="K18" s="4" t="n">
        <f aca="false">(K6-J6)*Assumptions!$B$23/100</f>
        <v>-43.1468479934392</v>
      </c>
      <c r="L18" s="4" t="n">
        <f aca="false">(L6-K6)*Assumptions!$B$23/100</f>
        <v>-44.0097849533078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-2141.815912104</v>
      </c>
      <c r="D19" s="0" t="n">
        <f aca="false">D15+D16+D17+D18</f>
        <v>139.66967926032</v>
      </c>
      <c r="E19" s="0" t="n">
        <f aca="false">E15+E16+E17+E18</f>
        <v>1683.28240713072</v>
      </c>
      <c r="F19" s="0" t="n">
        <f aca="false">F15+F16+F17+F18</f>
        <v>2481.43240335403</v>
      </c>
      <c r="G19" s="0" t="n">
        <f aca="false">G15+G16+G17+G18</f>
        <v>3033.2299738952</v>
      </c>
      <c r="H19" s="0" t="n">
        <f aca="false">H15+H16+H17+H18</f>
        <v>3256.40126663618</v>
      </c>
      <c r="I19" s="0" t="n">
        <f aca="false">I15+I16+I17+I18</f>
        <v>3285.99659362136</v>
      </c>
      <c r="J19" s="0" t="n">
        <f aca="false">J15+J16+J17+J18</f>
        <v>3333.59484933655</v>
      </c>
      <c r="K19" s="0" t="n">
        <f aca="false">K15+K16+K17+K18</f>
        <v>3400.26674632328</v>
      </c>
      <c r="L19" s="0" t="n">
        <f aca="false">L15+L16+L17+L18</f>
        <v>3468.27208124974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-1983.16288157778</v>
      </c>
      <c r="D21" s="0" t="n">
        <f aca="false">D19*D20</f>
        <v>119.744238048971</v>
      </c>
      <c r="E21" s="0" t="n">
        <f aca="false">E19*E20</f>
        <v>1336.2438455224</v>
      </c>
      <c r="F21" s="0" t="n">
        <f aca="false">F19*F20</f>
        <v>1823.92689416166</v>
      </c>
      <c r="G21" s="0" t="n">
        <f aca="false">G19*G20</f>
        <v>2064.3653529722</v>
      </c>
      <c r="H21" s="0" t="n">
        <f aca="false">H19*H20</f>
        <v>2052.08517117779</v>
      </c>
      <c r="I21" s="0" t="n">
        <f aca="false">I19*I20</f>
        <v>1917.34745124215</v>
      </c>
      <c r="J21" s="0" t="n">
        <f aca="false">J19*J20</f>
        <v>1801.03757063259</v>
      </c>
      <c r="K21" s="0" t="n">
        <f aca="false">K19*K20</f>
        <v>1700.97992781967</v>
      </c>
      <c r="L21" s="0" t="n">
        <f aca="false">L19*L20</f>
        <v>1606.4810429408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12439.0486129405</v>
      </c>
    </row>
    <row r="31" customFormat="false" ht="15" hidden="false" customHeight="false" outlineLevel="0" collapsed="false">
      <c r="A31" s="0" t="s">
        <v>124</v>
      </c>
      <c r="B31" s="0" t="n">
        <f aca="false">L19</f>
        <v>3468.27208124974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58960.6253812457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41619.2649749969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41619.2649749969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19277.7725152896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31716.82112823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13675.82112823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7.74027238907497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-0.506360179268178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27.5539919430792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35.3476694213261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7.77587361463362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27212.5963298057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-1.970131593245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15</v>
      </c>
      <c r="D5" s="4" t="n">
        <f aca="false">Assumptions!D27</f>
        <v>8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35348.28</v>
      </c>
      <c r="C6" s="0" t="n">
        <f aca="false">B6*(1+C5/100)</f>
        <v>40650.522</v>
      </c>
      <c r="D6" s="0" t="n">
        <f aca="false">C6*(1+D5/100)</f>
        <v>43902.56376</v>
      </c>
      <c r="E6" s="0" t="n">
        <f aca="false">D6*(1+E5/100)</f>
        <v>46536.7175856</v>
      </c>
      <c r="F6" s="0" t="n">
        <f aca="false">E6*(1+F5/100)</f>
        <v>48863.55346488</v>
      </c>
      <c r="G6" s="0" t="n">
        <f aca="false">F6*(1+G5/100)</f>
        <v>50818.0956034752</v>
      </c>
      <c r="H6" s="0" t="n">
        <f aca="false">G6*(1+H5/100)</f>
        <v>52596.7289495968</v>
      </c>
      <c r="I6" s="0" t="n">
        <f aca="false">H6*(1+I5/100)</f>
        <v>54174.6308180847</v>
      </c>
      <c r="J6" s="0" t="n">
        <f aca="false">I6*(1+J5/100)</f>
        <v>55528.9965885368</v>
      </c>
      <c r="K6" s="0" t="n">
        <f aca="false">J6*(1+K5/100)</f>
        <v>56917.2215032503</v>
      </c>
      <c r="L6" s="0" t="n">
        <f aca="false">K6*(1+L5/100)</f>
        <v>58340.1520408315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27</v>
      </c>
      <c r="D7" s="4" t="n">
        <f aca="false">Assumptions!D28</f>
        <v>27.5</v>
      </c>
      <c r="E7" s="4" t="n">
        <f aca="false">Assumptions!E28</f>
        <v>28</v>
      </c>
      <c r="F7" s="4" t="n">
        <f aca="false">Assumptions!F28</f>
        <v>28</v>
      </c>
      <c r="G7" s="4" t="n">
        <f aca="false">Assumptions!G28</f>
        <v>28</v>
      </c>
      <c r="H7" s="4" t="n">
        <f aca="false">Assumptions!H28</f>
        <v>28</v>
      </c>
      <c r="I7" s="4" t="n">
        <f aca="false">Assumptions!I28</f>
        <v>28</v>
      </c>
      <c r="J7" s="4" t="n">
        <f aca="false">Assumptions!J28</f>
        <v>28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10975.64094</v>
      </c>
      <c r="D8" s="0" t="n">
        <f aca="false">D6*D7/100</f>
        <v>12073.205034</v>
      </c>
      <c r="E8" s="0" t="n">
        <f aca="false">E6*E7/100</f>
        <v>13030.280923968</v>
      </c>
      <c r="F8" s="0" t="n">
        <f aca="false">F6*F7/100</f>
        <v>13681.7949701664</v>
      </c>
      <c r="G8" s="0" t="n">
        <f aca="false">G6*G7/100</f>
        <v>14229.0667689731</v>
      </c>
      <c r="H8" s="0" t="n">
        <f aca="false">H6*H7/100</f>
        <v>14727.0841058871</v>
      </c>
      <c r="I8" s="0" t="n">
        <f aca="false">I6*I7/100</f>
        <v>15168.8966290637</v>
      </c>
      <c r="J8" s="0" t="n">
        <f aca="false">J6*J7/100</f>
        <v>15548.1190447903</v>
      </c>
      <c r="K8" s="0" t="n">
        <f aca="false">K6*K7/100</f>
        <v>15936.8220209101</v>
      </c>
      <c r="L8" s="0" t="n">
        <f aca="false">L6*L7/100</f>
        <v>16335.2425714328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0.01</v>
      </c>
      <c r="D9" s="4" t="n">
        <f aca="false">Assumptions!D29</f>
        <v>0.01</v>
      </c>
      <c r="E9" s="4" t="n">
        <f aca="false">Assumptions!E29</f>
        <v>0.01</v>
      </c>
      <c r="F9" s="4" t="n">
        <f aca="false">Assumptions!F29</f>
        <v>0.01</v>
      </c>
      <c r="G9" s="4" t="n">
        <f aca="false">Assumptions!G29</f>
        <v>0.01</v>
      </c>
      <c r="H9" s="4" t="n">
        <f aca="false">Assumptions!H29</f>
        <v>0.01</v>
      </c>
      <c r="I9" s="4" t="n">
        <f aca="false">Assumptions!I29</f>
        <v>0.01</v>
      </c>
      <c r="J9" s="4" t="n">
        <f aca="false">Assumptions!J29</f>
        <v>0.01</v>
      </c>
      <c r="K9" s="4" t="n">
        <f aca="false">Assumptions!K29</f>
        <v>0.01</v>
      </c>
      <c r="L9" s="4" t="n">
        <f aca="false">Assumptions!L29</f>
        <v>0.01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-4.0650522</v>
      </c>
      <c r="D10" s="0" t="n">
        <f aca="false">-D6*D9/100</f>
        <v>-4.390256376</v>
      </c>
      <c r="E10" s="0" t="n">
        <f aca="false">-E6*E9/100</f>
        <v>-4.65367175856</v>
      </c>
      <c r="F10" s="0" t="n">
        <f aca="false">-F6*F9/100</f>
        <v>-4.886355346488</v>
      </c>
      <c r="G10" s="0" t="n">
        <f aca="false">-G6*G9/100</f>
        <v>-5.08180956034752</v>
      </c>
      <c r="H10" s="0" t="n">
        <f aca="false">-H6*H9/100</f>
        <v>-5.25967289495968</v>
      </c>
      <c r="I10" s="0" t="n">
        <f aca="false">-I6*I9/100</f>
        <v>-5.41746308180847</v>
      </c>
      <c r="J10" s="0" t="n">
        <f aca="false">-J6*J9/100</f>
        <v>-5.55289965885368</v>
      </c>
      <c r="K10" s="0" t="n">
        <f aca="false">-K6*K9/100</f>
        <v>-5.69172215032503</v>
      </c>
      <c r="L10" s="0" t="n">
        <f aca="false">-L6*L9/100</f>
        <v>-5.83401520408315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10971.5758878</v>
      </c>
      <c r="D11" s="0" t="n">
        <f aca="false">D8+D10+D24</f>
        <v>12068.814777624</v>
      </c>
      <c r="E11" s="0" t="n">
        <f aca="false">E8+E10+E24</f>
        <v>13025.6272522094</v>
      </c>
      <c r="F11" s="0" t="n">
        <f aca="false">F8+F10+F24</f>
        <v>13676.9086148199</v>
      </c>
      <c r="G11" s="0" t="n">
        <f aca="false">G8+G10+G24</f>
        <v>14223.9849594127</v>
      </c>
      <c r="H11" s="0" t="n">
        <f aca="false">H8+H10+H24</f>
        <v>14721.8244329922</v>
      </c>
      <c r="I11" s="0" t="n">
        <f aca="false">I8+I10+I24</f>
        <v>15163.4791659819</v>
      </c>
      <c r="J11" s="0" t="n">
        <f aca="false">J8+J10+J24</f>
        <v>15542.5661451315</v>
      </c>
      <c r="K11" s="0" t="n">
        <f aca="false">K8+K10+K24</f>
        <v>15931.1302987597</v>
      </c>
      <c r="L11" s="0" t="n">
        <f aca="false">L8+L10+L24</f>
        <v>16329.4085562287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-4268.30481</v>
      </c>
      <c r="D12" s="4" t="n">
        <f aca="false">-D6*Assumptions!D31/100</f>
        <v>-4565.86663104</v>
      </c>
      <c r="E12" s="4" t="n">
        <f aca="false">-E6*Assumptions!E31/100</f>
        <v>-4793.2819113168</v>
      </c>
      <c r="F12" s="4" t="n">
        <f aca="false">-F6*Assumptions!F31/100</f>
        <v>-4984.08245341776</v>
      </c>
      <c r="G12" s="4" t="n">
        <f aca="false">-G6*Assumptions!G31/100</f>
        <v>-5132.627655951</v>
      </c>
      <c r="H12" s="4" t="n">
        <f aca="false">-H6*Assumptions!H31/100</f>
        <v>-5259.67289495968</v>
      </c>
      <c r="I12" s="4" t="n">
        <f aca="false">-I6*Assumptions!I31/100</f>
        <v>-5417.46308180847</v>
      </c>
      <c r="J12" s="4" t="n">
        <f aca="false">-J6*Assumptions!J31/100</f>
        <v>-5552.89965885368</v>
      </c>
      <c r="K12" s="4" t="n">
        <f aca="false">-K6*Assumptions!K31/100</f>
        <v>-5691.72215032503</v>
      </c>
      <c r="L12" s="4" t="n">
        <f aca="false">-L6*Assumptions!L31/100</f>
        <v>-5834.01520408315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6703.2710778</v>
      </c>
      <c r="D13" s="0" t="n">
        <f aca="false">D11+D12</f>
        <v>7502.948146584</v>
      </c>
      <c r="E13" s="0" t="n">
        <f aca="false">E11+E12</f>
        <v>8232.34534089264</v>
      </c>
      <c r="F13" s="0" t="n">
        <f aca="false">F11+F12</f>
        <v>8692.82616140215</v>
      </c>
      <c r="G13" s="0" t="n">
        <f aca="false">G11+G12</f>
        <v>9091.35730346171</v>
      </c>
      <c r="H13" s="0" t="n">
        <f aca="false">H11+H12</f>
        <v>9462.15153803247</v>
      </c>
      <c r="I13" s="0" t="n">
        <f aca="false">I11+I12</f>
        <v>9746.01608417344</v>
      </c>
      <c r="J13" s="0" t="n">
        <f aca="false">J11+J12</f>
        <v>9989.66648627778</v>
      </c>
      <c r="K13" s="0" t="n">
        <f aca="false">K11+K12</f>
        <v>10239.4081484347</v>
      </c>
      <c r="L13" s="0" t="n">
        <f aca="false">L11+L12</f>
        <v>10495.3933521456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41</v>
      </c>
      <c r="D14" s="4" t="n">
        <f aca="false">Assumptions!D33</f>
        <v>41</v>
      </c>
      <c r="E14" s="4" t="n">
        <f aca="false">Assumptions!E33</f>
        <v>40.5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3954.929935902</v>
      </c>
      <c r="D15" s="0" t="n">
        <f aca="false">D13-MAX(0,D13)*D14/100</f>
        <v>4426.73940648456</v>
      </c>
      <c r="E15" s="0" t="n">
        <f aca="false">E13-MAX(0,E13)*E14/100</f>
        <v>4898.24547783112</v>
      </c>
      <c r="F15" s="0" t="n">
        <f aca="false">F13-MAX(0,F13)*F14/100</f>
        <v>5215.69569684129</v>
      </c>
      <c r="G15" s="0" t="n">
        <f aca="false">G13-MAX(0,G13)*G14/100</f>
        <v>5454.81438207703</v>
      </c>
      <c r="H15" s="0" t="n">
        <f aca="false">H13-MAX(0,H13)*H14/100</f>
        <v>5677.29092281948</v>
      </c>
      <c r="I15" s="0" t="n">
        <f aca="false">I13-MAX(0,I13)*I14/100</f>
        <v>5847.60965050407</v>
      </c>
      <c r="J15" s="0" t="n">
        <f aca="false">J13-MAX(0,J13)*J14/100</f>
        <v>5993.79989176667</v>
      </c>
      <c r="K15" s="0" t="n">
        <f aca="false">K13-MAX(0,K13)*K14/100</f>
        <v>6143.64488906083</v>
      </c>
      <c r="L15" s="0" t="n">
        <f aca="false">L13-MAX(0,L13)*L14/100</f>
        <v>6297.23601128735</v>
      </c>
    </row>
    <row r="16" customFormat="false" ht="15" hidden="false" customHeight="false" outlineLevel="0" collapsed="false">
      <c r="A16" s="0" t="s">
        <v>115</v>
      </c>
      <c r="C16" s="0" t="n">
        <f aca="false">-C12</f>
        <v>4268.30481</v>
      </c>
      <c r="D16" s="0" t="n">
        <f aca="false">-D12</f>
        <v>4565.86663104</v>
      </c>
      <c r="E16" s="0" t="n">
        <f aca="false">-E12</f>
        <v>4793.2819113168</v>
      </c>
      <c r="F16" s="0" t="n">
        <f aca="false">-F12</f>
        <v>4984.08245341776</v>
      </c>
      <c r="G16" s="0" t="n">
        <f aca="false">-G12</f>
        <v>5132.627655951</v>
      </c>
      <c r="H16" s="0" t="n">
        <f aca="false">-H12</f>
        <v>5259.67289495968</v>
      </c>
      <c r="I16" s="0" t="n">
        <f aca="false">-I12</f>
        <v>5417.46308180847</v>
      </c>
      <c r="J16" s="0" t="n">
        <f aca="false">-J12</f>
        <v>5552.89965885368</v>
      </c>
      <c r="K16" s="0" t="n">
        <f aca="false">-K12</f>
        <v>5691.72215032503</v>
      </c>
      <c r="L16" s="0" t="n">
        <f aca="false">-L12</f>
        <v>5834.01520408315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-8943.11484</v>
      </c>
      <c r="D17" s="4" t="n">
        <f aca="false">-D6*Assumptions!D32/100</f>
        <v>-7024.4102016</v>
      </c>
      <c r="E17" s="4" t="n">
        <f aca="false">-E6*Assumptions!E32/100</f>
        <v>-6049.773286128</v>
      </c>
      <c r="F17" s="4" t="n">
        <f aca="false">-F6*Assumptions!F32/100</f>
        <v>-5619.3086484612</v>
      </c>
      <c r="G17" s="4" t="n">
        <f aca="false">-G6*Assumptions!G32/100</f>
        <v>-5589.99051638227</v>
      </c>
      <c r="H17" s="4" t="n">
        <f aca="false">-H6*Assumptions!H32/100</f>
        <v>-5522.65653970767</v>
      </c>
      <c r="I17" s="4" t="n">
        <f aca="false">-I6*Assumptions!I32/100</f>
        <v>-5417.46308180847</v>
      </c>
      <c r="J17" s="4" t="n">
        <f aca="false">-J6*Assumptions!J32/100</f>
        <v>-5552.89965885368</v>
      </c>
      <c r="K17" s="4" t="n">
        <f aca="false">-K6*Assumptions!K32/100</f>
        <v>-5691.72215032503</v>
      </c>
      <c r="L17" s="4" t="n">
        <f aca="false">-L6*Assumptions!L32/100</f>
        <v>-5834.01520408315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-719.880094097998</v>
      </c>
      <c r="D19" s="0" t="n">
        <f aca="false">D15+D16+D17+D18</f>
        <v>1968.19583592456</v>
      </c>
      <c r="E19" s="0" t="n">
        <f aca="false">E15+E16+E17+E18</f>
        <v>3641.75410301992</v>
      </c>
      <c r="F19" s="0" t="n">
        <f aca="false">F15+F16+F17+F18</f>
        <v>4580.46950179785</v>
      </c>
      <c r="G19" s="0" t="n">
        <f aca="false">G15+G16+G17+G18</f>
        <v>4997.45152164575</v>
      </c>
      <c r="H19" s="0" t="n">
        <f aca="false">H15+H16+H17+H18</f>
        <v>5414.3072780715</v>
      </c>
      <c r="I19" s="0" t="n">
        <f aca="false">I15+I16+I17+I18</f>
        <v>5847.60965050407</v>
      </c>
      <c r="J19" s="0" t="n">
        <f aca="false">J15+J16+J17+J18</f>
        <v>5993.79989176667</v>
      </c>
      <c r="K19" s="0" t="n">
        <f aca="false">K15+K16+K17+K18</f>
        <v>6143.64488906083</v>
      </c>
      <c r="L19" s="0" t="n">
        <f aca="false">L15+L16+L17+L18</f>
        <v>6297.23601128735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-666.555642683332</v>
      </c>
      <c r="D21" s="0" t="n">
        <f aca="false">D19*D20</f>
        <v>1687.41069609444</v>
      </c>
      <c r="E21" s="0" t="n">
        <f aca="false">E19*E20</f>
        <v>2890.9418208447</v>
      </c>
      <c r="F21" s="0" t="n">
        <f aca="false">F19*F20</f>
        <v>3366.78182364512</v>
      </c>
      <c r="G21" s="0" t="n">
        <f aca="false">G19*G20</f>
        <v>3401.18153362286</v>
      </c>
      <c r="H21" s="0" t="n">
        <f aca="false">H19*H20</f>
        <v>3411.93199725279</v>
      </c>
      <c r="I21" s="0" t="n">
        <f aca="false">I19*I20</f>
        <v>3412.02406631129</v>
      </c>
      <c r="J21" s="0" t="n">
        <f aca="false">J19*J20</f>
        <v>3238.26358145284</v>
      </c>
      <c r="K21" s="0" t="n">
        <f aca="false">K19*K20</f>
        <v>3073.35201017515</v>
      </c>
      <c r="L21" s="0" t="n">
        <f aca="false">L19*L20</f>
        <v>2916.83871336067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26732.1706000765</v>
      </c>
    </row>
    <row r="31" customFormat="false" ht="15" hidden="false" customHeight="false" outlineLevel="0" collapsed="false">
      <c r="A31" s="0" t="s">
        <v>124</v>
      </c>
      <c r="B31" s="0" t="n">
        <f aca="false">L19</f>
        <v>6297.23601128735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117357.580210355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75566.8321354482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75566.8321354482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35002.0645603281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61734.2351604046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43693.2351604046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24.7295967481852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0.577142649756711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33.297459037777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50.3606326948421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24.7769457454768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51637.3352925563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7.29251305424714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69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17</v>
      </c>
      <c r="D5" s="4" t="n">
        <f aca="false">Assumptions!D41</f>
        <v>11</v>
      </c>
      <c r="E5" s="4" t="n">
        <f aca="false">Assumptions!E41</f>
        <v>8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35348.28</v>
      </c>
      <c r="C6" s="0" t="n">
        <f aca="false">B6*(1+C5/100)</f>
        <v>41357.4876</v>
      </c>
      <c r="D6" s="0" t="n">
        <f aca="false">C6*(1+D5/100)</f>
        <v>45906.811236</v>
      </c>
      <c r="E6" s="0" t="n">
        <f aca="false">D6*(1+E5/100)</f>
        <v>49579.35613488</v>
      </c>
      <c r="F6" s="0" t="n">
        <f aca="false">E6*(1+F5/100)</f>
        <v>52554.1175029728</v>
      </c>
      <c r="G6" s="0" t="n">
        <f aca="false">F6*(1+G5/100)</f>
        <v>55181.8233781214</v>
      </c>
      <c r="H6" s="0" t="n">
        <f aca="false">G6*(1+H5/100)</f>
        <v>57389.0963132463</v>
      </c>
      <c r="I6" s="0" t="n">
        <f aca="false">H6*(1+I5/100)</f>
        <v>59397.7146842099</v>
      </c>
      <c r="J6" s="0" t="n">
        <f aca="false">I6*(1+J5/100)</f>
        <v>61179.6461247362</v>
      </c>
      <c r="K6" s="0" t="n">
        <f aca="false">J6*(1+K5/100)</f>
        <v>63015.0355084783</v>
      </c>
      <c r="L6" s="0" t="n">
        <f aca="false">K6*(1+L5/100)</f>
        <v>64905.4865737327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28</v>
      </c>
      <c r="D7" s="4" t="n">
        <f aca="false">Assumptions!D42</f>
        <v>29</v>
      </c>
      <c r="E7" s="4" t="n">
        <f aca="false">Assumptions!E42</f>
        <v>30</v>
      </c>
      <c r="F7" s="4" t="n">
        <f aca="false">Assumptions!F42</f>
        <v>30.5</v>
      </c>
      <c r="G7" s="4" t="n">
        <f aca="false">Assumptions!G42</f>
        <v>31</v>
      </c>
      <c r="H7" s="4" t="n">
        <f aca="false">Assumptions!H42</f>
        <v>31</v>
      </c>
      <c r="I7" s="4" t="n">
        <f aca="false">Assumptions!I42</f>
        <v>31</v>
      </c>
      <c r="J7" s="4" t="n">
        <f aca="false">Assumptions!J42</f>
        <v>31</v>
      </c>
      <c r="K7" s="4" t="n">
        <f aca="false">Assumptions!K42</f>
        <v>31</v>
      </c>
      <c r="L7" s="4" t="n">
        <f aca="false">Assumptions!L42</f>
        <v>31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11580.096528</v>
      </c>
      <c r="D8" s="0" t="n">
        <f aca="false">D6*D7/100</f>
        <v>13312.97525844</v>
      </c>
      <c r="E8" s="0" t="n">
        <f aca="false">E6*E7/100</f>
        <v>14873.806840464</v>
      </c>
      <c r="F8" s="0" t="n">
        <f aca="false">F6*F7/100</f>
        <v>16029.0058384067</v>
      </c>
      <c r="G8" s="0" t="n">
        <f aca="false">G6*G7/100</f>
        <v>17106.3652472176</v>
      </c>
      <c r="H8" s="0" t="n">
        <f aca="false">H6*H7/100</f>
        <v>17790.6198571064</v>
      </c>
      <c r="I8" s="0" t="n">
        <f aca="false">I6*I7/100</f>
        <v>18413.2915521051</v>
      </c>
      <c r="J8" s="0" t="n">
        <f aca="false">J6*J7/100</f>
        <v>18965.6902986682</v>
      </c>
      <c r="K8" s="0" t="n">
        <f aca="false">K6*K7/100</f>
        <v>19534.6610076283</v>
      </c>
      <c r="L8" s="0" t="n">
        <f aca="false">L6*L7/100</f>
        <v>20120.7008378571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0.01</v>
      </c>
      <c r="D9" s="4" t="n">
        <f aca="false">Assumptions!D43</f>
        <v>0.01</v>
      </c>
      <c r="E9" s="4" t="n">
        <f aca="false">Assumptions!E43</f>
        <v>0.01</v>
      </c>
      <c r="F9" s="4" t="n">
        <f aca="false">Assumptions!F43</f>
        <v>0.01</v>
      </c>
      <c r="G9" s="4" t="n">
        <f aca="false">Assumptions!G43</f>
        <v>0.01</v>
      </c>
      <c r="H9" s="4" t="n">
        <f aca="false">Assumptions!H43</f>
        <v>0.01</v>
      </c>
      <c r="I9" s="4" t="n">
        <f aca="false">Assumptions!I43</f>
        <v>0.01</v>
      </c>
      <c r="J9" s="4" t="n">
        <f aca="false">Assumptions!J43</f>
        <v>0.01</v>
      </c>
      <c r="K9" s="4" t="n">
        <f aca="false">Assumptions!K43</f>
        <v>0.01</v>
      </c>
      <c r="L9" s="4" t="n">
        <f aca="false">Assumptions!L43</f>
        <v>0.01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-4.13574876</v>
      </c>
      <c r="D10" s="0" t="n">
        <f aca="false">-D6*D9/100</f>
        <v>-4.5906811236</v>
      </c>
      <c r="E10" s="0" t="n">
        <f aca="false">-E6*E9/100</f>
        <v>-4.957935613488</v>
      </c>
      <c r="F10" s="0" t="n">
        <f aca="false">-F6*F9/100</f>
        <v>-5.25541175029728</v>
      </c>
      <c r="G10" s="0" t="n">
        <f aca="false">-G6*G9/100</f>
        <v>-5.51818233781214</v>
      </c>
      <c r="H10" s="0" t="n">
        <f aca="false">-H6*H9/100</f>
        <v>-5.73890963132463</v>
      </c>
      <c r="I10" s="0" t="n">
        <f aca="false">-I6*I9/100</f>
        <v>-5.93977146842099</v>
      </c>
      <c r="J10" s="0" t="n">
        <f aca="false">-J6*J9/100</f>
        <v>-6.11796461247362</v>
      </c>
      <c r="K10" s="0" t="n">
        <f aca="false">-K6*K9/100</f>
        <v>-6.30150355084783</v>
      </c>
      <c r="L10" s="0" t="n">
        <f aca="false">-L6*L9/100</f>
        <v>-6.49054865737327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11575.96077924</v>
      </c>
      <c r="D11" s="0" t="n">
        <f aca="false">D8+D10+D24</f>
        <v>13308.3845773164</v>
      </c>
      <c r="E11" s="0" t="n">
        <f aca="false">E8+E10+E24</f>
        <v>14868.8489048505</v>
      </c>
      <c r="F11" s="0" t="n">
        <f aca="false">F8+F10+F24</f>
        <v>16023.7504266564</v>
      </c>
      <c r="G11" s="0" t="n">
        <f aca="false">G8+G10+G24</f>
        <v>17100.8470648798</v>
      </c>
      <c r="H11" s="0" t="n">
        <f aca="false">H8+H10+H24</f>
        <v>17784.880947475</v>
      </c>
      <c r="I11" s="0" t="n">
        <f aca="false">I8+I10+I24</f>
        <v>18407.3517806367</v>
      </c>
      <c r="J11" s="0" t="n">
        <f aca="false">J8+J10+J24</f>
        <v>18959.5723340558</v>
      </c>
      <c r="K11" s="0" t="n">
        <f aca="false">K8+K10+K24</f>
        <v>19528.3595040774</v>
      </c>
      <c r="L11" s="0" t="n">
        <f aca="false">L8+L10+L24</f>
        <v>20114.2102891998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-4301.1787104</v>
      </c>
      <c r="D12" s="4" t="n">
        <f aca="false">-D6*Assumptions!D45/100</f>
        <v>-4682.494746072</v>
      </c>
      <c r="E12" s="4" t="n">
        <f aca="false">-E6*Assumptions!E45/100</f>
        <v>-4957.935613488</v>
      </c>
      <c r="F12" s="4" t="n">
        <f aca="false">-F6*Assumptions!F45/100</f>
        <v>-5150.30351529134</v>
      </c>
      <c r="G12" s="4" t="n">
        <f aca="false">-G6*Assumptions!G45/100</f>
        <v>-5297.45504429966</v>
      </c>
      <c r="H12" s="4" t="n">
        <f aca="false">-H6*Assumptions!H45/100</f>
        <v>-5451.9641497584</v>
      </c>
      <c r="I12" s="4" t="n">
        <f aca="false">-I6*Assumptions!I45/100</f>
        <v>-5642.78289499994</v>
      </c>
      <c r="J12" s="4" t="n">
        <f aca="false">-J6*Assumptions!J45/100</f>
        <v>-5812.06638184994</v>
      </c>
      <c r="K12" s="4" t="n">
        <f aca="false">-K6*Assumptions!K45/100</f>
        <v>-5986.42837330544</v>
      </c>
      <c r="L12" s="4" t="n">
        <f aca="false">-L6*Assumptions!L45/100</f>
        <v>-6166.0212245046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7274.78206884</v>
      </c>
      <c r="D13" s="0" t="n">
        <f aca="false">D11+D12</f>
        <v>8625.8898312444</v>
      </c>
      <c r="E13" s="0" t="n">
        <f aca="false">E11+E12</f>
        <v>9910.91329136251</v>
      </c>
      <c r="F13" s="0" t="n">
        <f aca="false">F11+F12</f>
        <v>10873.4469113651</v>
      </c>
      <c r="G13" s="0" t="n">
        <f aca="false">G11+G12</f>
        <v>11803.3920205802</v>
      </c>
      <c r="H13" s="0" t="n">
        <f aca="false">H11+H12</f>
        <v>12332.9167977166</v>
      </c>
      <c r="I13" s="0" t="n">
        <f aca="false">I11+I12</f>
        <v>12764.5688856367</v>
      </c>
      <c r="J13" s="0" t="n">
        <f aca="false">J11+J12</f>
        <v>13147.5059522058</v>
      </c>
      <c r="K13" s="0" t="n">
        <f aca="false">K11+K12</f>
        <v>13541.931130772</v>
      </c>
      <c r="L13" s="0" t="n">
        <f aca="false">L11+L12</f>
        <v>13948.1890646952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40</v>
      </c>
      <c r="D14" s="4" t="n">
        <f aca="false">Assumptions!D47</f>
        <v>39.5</v>
      </c>
      <c r="E14" s="4" t="n">
        <f aca="false">Assumptions!E47</f>
        <v>39</v>
      </c>
      <c r="F14" s="4" t="n">
        <f aca="false">Assumptions!F47</f>
        <v>39</v>
      </c>
      <c r="G14" s="4" t="n">
        <f aca="false">Assumptions!G47</f>
        <v>39</v>
      </c>
      <c r="H14" s="4" t="n">
        <f aca="false">Assumptions!H47</f>
        <v>39</v>
      </c>
      <c r="I14" s="4" t="n">
        <f aca="false">Assumptions!I47</f>
        <v>39</v>
      </c>
      <c r="J14" s="4" t="n">
        <f aca="false">Assumptions!J47</f>
        <v>39</v>
      </c>
      <c r="K14" s="4" t="n">
        <f aca="false">Assumptions!K47</f>
        <v>39</v>
      </c>
      <c r="L14" s="4" t="n">
        <f aca="false">Assumptions!L47</f>
        <v>39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4364.869241304</v>
      </c>
      <c r="D15" s="0" t="n">
        <f aca="false">D13-MAX(0,D13)*D14/100</f>
        <v>5218.66334790286</v>
      </c>
      <c r="E15" s="0" t="n">
        <f aca="false">E13-MAX(0,E13)*E14/100</f>
        <v>6045.65710773113</v>
      </c>
      <c r="F15" s="0" t="n">
        <f aca="false">F13-MAX(0,F13)*F14/100</f>
        <v>6632.8026159327</v>
      </c>
      <c r="G15" s="0" t="n">
        <f aca="false">G13-MAX(0,G13)*G14/100</f>
        <v>7200.06913255391</v>
      </c>
      <c r="H15" s="0" t="n">
        <f aca="false">H13-MAX(0,H13)*H14/100</f>
        <v>7523.07924660715</v>
      </c>
      <c r="I15" s="0" t="n">
        <f aca="false">I13-MAX(0,I13)*I14/100</f>
        <v>7786.38702023839</v>
      </c>
      <c r="J15" s="0" t="n">
        <f aca="false">J13-MAX(0,J13)*J14/100</f>
        <v>8019.97863084555</v>
      </c>
      <c r="K15" s="0" t="n">
        <f aca="false">K13-MAX(0,K13)*K14/100</f>
        <v>8260.57798977091</v>
      </c>
      <c r="L15" s="0" t="n">
        <f aca="false">L13-MAX(0,L13)*L14/100</f>
        <v>8508.39532946404</v>
      </c>
    </row>
    <row r="16" customFormat="false" ht="15" hidden="false" customHeight="false" outlineLevel="0" collapsed="false">
      <c r="A16" s="0" t="s">
        <v>115</v>
      </c>
      <c r="C16" s="0" t="n">
        <f aca="false">-C12</f>
        <v>4301.1787104</v>
      </c>
      <c r="D16" s="0" t="n">
        <f aca="false">-D12</f>
        <v>4682.494746072</v>
      </c>
      <c r="E16" s="0" t="n">
        <f aca="false">-E12</f>
        <v>4957.935613488</v>
      </c>
      <c r="F16" s="0" t="n">
        <f aca="false">-F12</f>
        <v>5150.30351529134</v>
      </c>
      <c r="G16" s="0" t="n">
        <f aca="false">-G12</f>
        <v>5297.45504429966</v>
      </c>
      <c r="H16" s="0" t="n">
        <f aca="false">-H12</f>
        <v>5451.9641497584</v>
      </c>
      <c r="I16" s="0" t="n">
        <f aca="false">-I12</f>
        <v>5642.78289499994</v>
      </c>
      <c r="J16" s="0" t="n">
        <f aca="false">-J12</f>
        <v>5812.06638184994</v>
      </c>
      <c r="K16" s="0" t="n">
        <f aca="false">-K12</f>
        <v>5986.42837330544</v>
      </c>
      <c r="L16" s="0" t="n">
        <f aca="false">-L12</f>
        <v>6166.0212245046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-8685.072396</v>
      </c>
      <c r="D17" s="4" t="n">
        <f aca="false">-D6*Assumptions!D46/100</f>
        <v>-6886.0216854</v>
      </c>
      <c r="E17" s="4" t="n">
        <f aca="false">-E6*Assumptions!E46/100</f>
        <v>-5949.5227361856</v>
      </c>
      <c r="F17" s="4" t="n">
        <f aca="false">-F6*Assumptions!F46/100</f>
        <v>-5780.95292532701</v>
      </c>
      <c r="G17" s="4" t="n">
        <f aca="false">-G6*Assumptions!G46/100</f>
        <v>-5794.09145470275</v>
      </c>
      <c r="H17" s="4" t="n">
        <f aca="false">-H6*Assumptions!H46/100</f>
        <v>-5738.90963132463</v>
      </c>
      <c r="I17" s="4" t="n">
        <f aca="false">-I6*Assumptions!I46/100</f>
        <v>-5642.78289499994</v>
      </c>
      <c r="J17" s="4" t="n">
        <f aca="false">-J6*Assumptions!J46/100</f>
        <v>-5812.06638184994</v>
      </c>
      <c r="K17" s="4" t="n">
        <f aca="false">-K6*Assumptions!K46/100</f>
        <v>-5986.42837330544</v>
      </c>
      <c r="L17" s="4" t="n">
        <f aca="false">-L6*Assumptions!L46/100</f>
        <v>-6166.0212245046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-19.0244442959993</v>
      </c>
      <c r="D19" s="0" t="n">
        <f aca="false">D15+D16+D17+D18</f>
        <v>3015.13640857486</v>
      </c>
      <c r="E19" s="0" t="n">
        <f aca="false">E15+E16+E17+E18</f>
        <v>5054.06998503353</v>
      </c>
      <c r="F19" s="0" t="n">
        <f aca="false">F15+F16+F17+F18</f>
        <v>6002.15320589702</v>
      </c>
      <c r="G19" s="0" t="n">
        <f aca="false">G15+G16+G17+G18</f>
        <v>6703.43272215082</v>
      </c>
      <c r="H19" s="0" t="n">
        <f aca="false">H15+H16+H17+H18</f>
        <v>7236.13376504092</v>
      </c>
      <c r="I19" s="0" t="n">
        <f aca="false">I15+I16+I17+I18</f>
        <v>7786.3870202384</v>
      </c>
      <c r="J19" s="0" t="n">
        <f aca="false">J15+J16+J17+J18</f>
        <v>8019.97863084555</v>
      </c>
      <c r="K19" s="0" t="n">
        <f aca="false">K15+K16+K17+K18</f>
        <v>8260.57798977091</v>
      </c>
      <c r="L19" s="0" t="n">
        <f aca="false">L15+L16+L17+L18</f>
        <v>8508.39532946404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-17.6152261999993</v>
      </c>
      <c r="D21" s="0" t="n">
        <f aca="false">D19*D20</f>
        <v>2584.99349157653</v>
      </c>
      <c r="E21" s="0" t="n">
        <f aca="false">E19*E20</f>
        <v>4012.08370249194</v>
      </c>
      <c r="F21" s="0" t="n">
        <f aca="false">F19*F20</f>
        <v>4411.76178739225</v>
      </c>
      <c r="G21" s="0" t="n">
        <f aca="false">G19*G20</f>
        <v>4562.24367314208</v>
      </c>
      <c r="H21" s="0" t="n">
        <f aca="false">H19*H20</f>
        <v>4559.99171479207</v>
      </c>
      <c r="I21" s="0" t="n">
        <f aca="false">I19*I20</f>
        <v>4543.28204010285</v>
      </c>
      <c r="J21" s="0" t="n">
        <f aca="false">J19*J20</f>
        <v>4332.94490861661</v>
      </c>
      <c r="K21" s="0" t="n">
        <f aca="false">K19*K20</f>
        <v>4132.34560729176</v>
      </c>
      <c r="L21" s="0" t="n">
        <f aca="false">L19*L20</f>
        <v>3941.03331065788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37063.065009864</v>
      </c>
    </row>
    <row r="31" customFormat="false" ht="15" hidden="false" customHeight="false" outlineLevel="0" collapsed="false">
      <c r="A31" s="0" t="s">
        <v>124</v>
      </c>
      <c r="B31" s="0" t="n">
        <f aca="false">L19</f>
        <v>8508.39532946404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175272.943786959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102100.743953569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102100.743953569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47292.3997278946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84355.4647377586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66314.4647377586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37.532811784618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1.39367422095778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35.8657345547129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61.931425367157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37.5881632439253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73030.3932445664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14.4272492894428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7.74027238907497</v>
      </c>
      <c r="C4" s="0" t="n">
        <f aca="false">B4/Assumptions!$B$2-1</f>
        <v>-0.506360179268178</v>
      </c>
      <c r="D4" s="4" t="n">
        <f aca="false">Assumptions!$B$24</f>
        <v>0.3</v>
      </c>
      <c r="E4" s="4" t="n">
        <f aca="false">DCF_Bear!$B$43</f>
        <v>7.77587361463362</v>
      </c>
      <c r="F4" s="4" t="n">
        <f aca="false">DCF_Bear!$B$47</f>
        <v>-1.970131593245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24.7295967481852</v>
      </c>
      <c r="C5" s="0" t="n">
        <f aca="false">B5/Assumptions!$B$2-1</f>
        <v>0.577142649756711</v>
      </c>
      <c r="D5" s="4" t="n">
        <f aca="false">Assumptions!$B$38</f>
        <v>0.5</v>
      </c>
      <c r="E5" s="4" t="n">
        <f aca="false">DCF_Base!$B$43</f>
        <v>24.7769457454768</v>
      </c>
      <c r="F5" s="4" t="n">
        <f aca="false">DCF_Base!$B$47</f>
        <v>7.29251305424714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37.532811784618</v>
      </c>
      <c r="C6" s="0" t="n">
        <f aca="false">B6/Assumptions!$B$2-1</f>
        <v>1.39367422095778</v>
      </c>
      <c r="D6" s="4" t="n">
        <f aca="false">Assumptions!$B$52</f>
        <v>0.2</v>
      </c>
      <c r="E6" s="4" t="n">
        <f aca="false">DCF_Bull!$B$43</f>
        <v>37.5881632439253</v>
      </c>
      <c r="F6" s="4" t="n">
        <f aca="false">DCF_Bull!$B$47</f>
        <v>14.4272492894428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22.1934424477387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22.2388676059136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0.293484999592858</v>
      </c>
    </row>
    <row r="11" customFormat="false" ht="15" hidden="false" customHeight="false" outlineLevel="0" collapsed="false">
      <c r="A11" s="0" t="s">
        <v>151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5.94066690703864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24.7295967481852</v>
      </c>
      <c r="C15" s="3" t="n">
        <v>8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22.1324249907053</v>
      </c>
      <c r="C16" s="3" t="n">
        <v>9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19.763877450759</v>
      </c>
      <c r="C17" s="3" t="n">
        <v>10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17.6013910085254</v>
      </c>
      <c r="C18" s="3" t="n">
        <v>11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14.2356947317349</v>
      </c>
      <c r="C19" s="3" t="n">
        <v>12</v>
      </c>
    </row>
    <row r="20" customFormat="false" ht="15" hidden="false" customHeight="false" outlineLevel="0" collapsed="false">
      <c r="A20" s="0" t="s">
        <v>160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7.29251305424714</v>
      </c>
      <c r="C20" s="3" t="n">
        <v>15</v>
      </c>
    </row>
    <row r="22" customFormat="false" ht="15" hidden="false" customHeight="false" outlineLevel="0" collapsed="false">
      <c r="A22" s="2" t="s">
        <v>161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30.7142299131724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30.7142299131724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30.7142299131724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30.7142299131724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30.7142299131724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27.5807145558811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27.5807145558811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27.5807145558811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27.5807145558811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27.5807145558811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24.7295967481852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24.7295967481852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24.7295967481852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24.7295967481852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24.7295967481852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22.1324249907053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22.1324249907053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22.1324249907053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22.1324249907053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22.1324249907053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19.6830466223425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19.763877450759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19.763877450759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19.763877450759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19.763877450759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2026-10-23T15:11:59Z</dcterms:created>
  <dc:creator>openpyxl</dc:creator>
  <dc:description/>
  <dc:language>en-NZ</dc:language>
  <cp:lastModifiedBy/>
  <dcterms:modified xsi:type="dcterms:W3CDTF">2026-10-23T15:11:59Z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