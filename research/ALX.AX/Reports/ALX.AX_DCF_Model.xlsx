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CC"/>
    </font>
    <font>
      <color rgb="000077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ALX.AX (Atlas Arteria) valuation workbook -- version 1, 2026-09-21. Supersedes nothing (first valuation).</t>
        </is>
      </c>
    </row>
    <row r="2">
      <c r="A2" s="1" t="inlineStr">
        <is>
          <t>Built by the dcf-analyst agent (Claude Fable 5.1) at the research orchestrator's request, from ALX.AX_DCF.json of the same date.</t>
        </is>
      </c>
    </row>
    <row r="3">
      <c r="A3" s="1" t="inlineStr">
        <is>
          <t>MODEL: distribution-based sum-of-parts with finite concession lives. Cash actually received at ALX corporate level (APRR/MAF2 distributions, Skyway distributions + CCPI loan interest) less corporate costs and tax, FY2026-FY2035 (APRR expiry Nov-2035), discounted at COST OF EQUITY. Terminal = explicit PV at end-2035 of the surviving tails (Skyway to 2104, AREA/ADELAC/A79, bull re-concession lump). No Gordon.</t>
        </is>
      </c>
    </row>
    <row r="4">
      <c r="A4" s="1" t="inlineStr">
        <is>
          <t>Why not owner-FCF: consolidated OCF (A$88.2m FY25) excludes the A$516.8m of distributions booked in investing; the dominant stream ends in 9 years. Project debt (TRIP II, Warnow, CCPI, APRR/FE) is non-recourse and already serviced before the flows -- it is NOT subtracted (AFFO rule).</t>
        </is>
      </c>
    </row>
    <row r="5">
      <c r="A5" s="1" t="inlineStr">
        <is>
          <t>DATA VINTAGE: price A$4.44 ASX close 2026-09-21T06:10Z (Yahoo). Balance sheet 31-Dec-2025 (FY2025 annual report, 26-Feb-2026) -- corporate cash A$150.6m, no corporate debt; US$100m OTPP put settlement paid Jul/Aug-2026 applied. Diluted securities 1,453.3m (AR2025 note 18). FY2026 guidance: distribution 40cps; H1-26 OFCF 19.1cps (Analysis JSON; H1-26 filing not in folder). FX spot 2026-09-21: EURAUD 1.6102, AUDUSD 0.7131.</t>
        </is>
      </c>
    </row>
    <row r="6">
      <c r="A6" s="1" t="inlineStr">
        <is>
          <t>DRIVERS: the APRR EUR receipt path and the Skyway US$ path per scenario (Assumptions rows 31-38) are the agent's judgment set 2026-09-21; scenario FX, corporate cost, tail growth and Greenway/Warnow equity are on Assumptions rows 14-27. Cost of equity 8.5% AUD (4.3% ACGB + 0.8 x 5.25%), same for all scenarios -- risk lives in the flows.</t>
        </is>
      </c>
    </row>
    <row r="7">
      <c r="A7" s="1" t="inlineStr">
        <is>
          <t>REFRESH after the next print: corporate cash (H1-26 / FY26 balance sheet), the Sep-2026 APRR distribution, Greenway rate-case outcome (hearing ~Sep/Oct-2026), TST status in the 2027 French budget, any Skyway sale, spot FX. Figures go stale.</t>
        </is>
      </c>
    </row>
    <row r="8">
      <c r="A8" s="1" t="inlineStr">
        <is>
          <t>COLOURS: blue = hardcoded input; yellow fill = key lever; black = formula; green = cross-sheet link.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8" customWidth="1" min="1" max="1"/>
    <col width="40" customWidth="1" min="9" max="9"/>
  </cols>
  <sheetData>
    <row r="1">
      <c r="A1" s="2" t="inlineStr">
        <is>
          <t>Item (A$m)</t>
        </is>
      </c>
      <c r="B1" s="2" t="inlineStr">
        <is>
          <t>FY2019</t>
        </is>
      </c>
      <c r="C1" s="2" t="inlineStr">
        <is>
          <t>FY2020</t>
        </is>
      </c>
      <c r="D1" s="2" t="inlineStr">
        <is>
          <t>FY2021</t>
        </is>
      </c>
      <c r="E1" s="2" t="inlineStr">
        <is>
          <t>FY2022</t>
        </is>
      </c>
      <c r="F1" s="2" t="inlineStr">
        <is>
          <t>FY2023</t>
        </is>
      </c>
      <c r="G1" s="2" t="inlineStr">
        <is>
          <t>FY2024</t>
        </is>
      </c>
      <c r="H1" s="2" t="inlineStr">
        <is>
          <t>FY2025</t>
        </is>
      </c>
      <c r="I1" s="2" t="inlineStr">
        <is>
          <t>Source</t>
        </is>
      </c>
    </row>
    <row r="2">
      <c r="A2" t="inlineStr">
        <is>
          <t>Distributions received from associates (investing)</t>
        </is>
      </c>
      <c r="B2" t="n">
        <v>238.2</v>
      </c>
      <c r="C2" t="n">
        <v>310.9</v>
      </c>
      <c r="D2" t="n">
        <v>307.8</v>
      </c>
      <c r="E2" t="n">
        <v>406.9</v>
      </c>
      <c r="F2" t="n">
        <v>619.6</v>
      </c>
      <c r="G2" t="n">
        <v>618.9</v>
      </c>
      <c r="H2" t="n">
        <v>516.8</v>
      </c>
      <c r="I2" t="inlineStr">
        <is>
          <t>kpis.DistributionsFromAssociates; AR2025 line 6381</t>
        </is>
      </c>
    </row>
    <row r="3">
      <c r="A3" t="inlineStr">
        <is>
          <t xml:space="preserve">  of which MAF2 (APRR)</t>
        </is>
      </c>
      <c r="G3" t="n">
        <v>569.4</v>
      </c>
      <c r="H3" t="n">
        <v>498.2</v>
      </c>
      <c r="I3" t="inlineStr">
        <is>
          <t>AR2025 note 25 line 8686</t>
        </is>
      </c>
    </row>
    <row r="4">
      <c r="A4" t="inlineStr">
        <is>
          <t xml:space="preserve">  of which CCPI (Skyway)</t>
        </is>
      </c>
      <c r="G4" t="n">
        <v>49.4</v>
      </c>
      <c r="H4" t="n">
        <v>18.7</v>
      </c>
      <c r="I4" t="inlineStr">
        <is>
          <t>AR2025 note 25 line 8687</t>
        </is>
      </c>
    </row>
    <row r="5">
      <c r="A5" t="inlineStr">
        <is>
          <t>CCPI shareholder-loan interest</t>
        </is>
      </c>
      <c r="F5" t="n">
        <v>18.1</v>
      </c>
      <c r="G5" t="n">
        <v>17.7</v>
      </c>
      <c r="H5" t="n">
        <v>18.1</v>
      </c>
      <c r="I5" t="inlineStr">
        <is>
          <t>AR2025 line 6114</t>
        </is>
      </c>
    </row>
    <row r="6">
      <c r="A6" t="inlineStr">
        <is>
          <t>Company operating free cash flow</t>
        </is>
      </c>
      <c r="G6" t="n">
        <v>527.1</v>
      </c>
      <c r="H6" t="n">
        <v>505.9</v>
      </c>
      <c r="I6" t="inlineStr">
        <is>
          <t>AR2025 p.23</t>
        </is>
      </c>
    </row>
    <row r="7">
      <c r="A7" t="inlineStr">
        <is>
          <t>Statutory operating cash flow</t>
        </is>
      </c>
      <c r="B7" t="n">
        <v>76.40000000000001</v>
      </c>
      <c r="C7" t="n">
        <v>39.3</v>
      </c>
      <c r="D7" t="n">
        <v>47.5</v>
      </c>
      <c r="E7" t="n">
        <v>73.8</v>
      </c>
      <c r="F7" t="n">
        <v>84.7</v>
      </c>
      <c r="G7" t="n">
        <v>93.2</v>
      </c>
      <c r="H7" t="n">
        <v>88.2</v>
      </c>
      <c r="I7" t="inlineStr">
        <is>
          <t>Metrics.csv</t>
        </is>
      </c>
    </row>
    <row r="8">
      <c r="A8" t="inlineStr">
        <is>
          <t>Distributions paid</t>
        </is>
      </c>
      <c r="B8" t="n">
        <v>151.7</v>
      </c>
      <c r="C8" t="n">
        <v>105.5</v>
      </c>
      <c r="D8" t="n">
        <v>273.3</v>
      </c>
      <c r="E8" t="n">
        <v>388.4</v>
      </c>
      <c r="F8" t="n">
        <v>580.4</v>
      </c>
      <c r="G8" t="n">
        <v>580.4</v>
      </c>
      <c r="H8" t="n">
        <v>580.4</v>
      </c>
      <c r="I8" t="inlineStr">
        <is>
          <t>kpis.DividendsPaid</t>
        </is>
      </c>
    </row>
    <row r="9">
      <c r="A9" t="inlineStr">
        <is>
          <t>Corporate + centralised costs</t>
        </is>
      </c>
      <c r="G9" t="n">
        <v>44.9</v>
      </c>
      <c r="H9" t="n">
        <v>52.6</v>
      </c>
      <c r="I9" t="inlineStr">
        <is>
          <t>Appendix 4E lines 187-191</t>
        </is>
      </c>
    </row>
    <row r="10">
      <c r="A10" t="inlineStr">
        <is>
          <t>Share-based payments</t>
        </is>
      </c>
      <c r="D10" t="n">
        <v>2.5</v>
      </c>
      <c r="E10" t="n">
        <v>3.1</v>
      </c>
      <c r="F10" t="n">
        <v>3.7</v>
      </c>
      <c r="G10" t="n">
        <v>3.4</v>
      </c>
      <c r="H10" t="n">
        <v>3.4</v>
      </c>
      <c r="I10" t="inlineStr">
        <is>
          <t>cash flow statement</t>
        </is>
      </c>
    </row>
    <row r="11">
      <c r="A11" t="inlineStr">
        <is>
          <t>Corporate cash (year end)</t>
        </is>
      </c>
      <c r="G11" t="n">
        <v>225.5</v>
      </c>
      <c r="H11" t="n">
        <v>150.6</v>
      </c>
      <c r="I11" t="inlineStr">
        <is>
          <t>AR2025 p.23</t>
        </is>
      </c>
    </row>
    <row r="12">
      <c r="A12" t="inlineStr">
        <is>
          <t>Proportional EBITDA</t>
        </is>
      </c>
      <c r="G12" t="n">
        <v>1381</v>
      </c>
      <c r="H12" t="n">
        <v>1509.9</v>
      </c>
      <c r="I12" t="inlineStr">
        <is>
          <t>kpis.ProportionalEBITDA</t>
        </is>
      </c>
    </row>
    <row r="14">
      <c r="A14" t="inlineStr">
        <is>
          <t>Balance-sheet snapshot 31-Dec-2025: corporate cash 150.6; corporate debt 0 (A$50m WCF undrawn); TRIP II bonds 1,497.1 and Warnow 197.5 non-recourse (excluded); securities on issue 1,450.8m, diluted 1,453.3m; no buyback.</t>
        </is>
      </c>
    </row>
    <row r="15">
      <c r="A15" t="inlineStr">
        <is>
          <t>Post balance sheet: US$100m OTPP put extinguishment paid 1-Jul and 11-Aug-2026 (Analysis JSON); IFM holds 67.43% after A$5.10 offer closed Jul-2026.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2" t="inlineStr">
        <is>
          <t>Globals</t>
        </is>
      </c>
    </row>
    <row r="3">
      <c r="A3" t="inlineStr">
        <is>
          <t>Price (A$)</t>
        </is>
      </c>
      <c r="B3" s="3" t="n">
        <v>4.44</v>
      </c>
      <c r="C3" t="inlineStr">
        <is>
          <t>ASX close 2026-09-21</t>
        </is>
      </c>
    </row>
    <row r="4">
      <c r="A4" t="inlineStr">
        <is>
          <t>Diluted securities (m)</t>
        </is>
      </c>
      <c r="B4" s="3" t="n">
        <v>1453.289</v>
      </c>
      <c r="C4" t="inlineStr">
        <is>
          <t>AR2025 note 18</t>
        </is>
      </c>
    </row>
    <row r="5">
      <c r="A5" t="inlineStr">
        <is>
          <t>Corporate cash 31-Dec-2025 (A$m)</t>
        </is>
      </c>
      <c r="B5" s="3" t="n">
        <v>150.6</v>
      </c>
      <c r="C5" t="inlineStr">
        <is>
          <t>AR2025 p.23</t>
        </is>
      </c>
    </row>
    <row r="6">
      <c r="A6" t="inlineStr">
        <is>
          <t>OTPP put settlement (A$m, negative)</t>
        </is>
      </c>
      <c r="B6" s="3" t="n">
        <v>-140.2</v>
      </c>
      <c r="C6" t="inlineStr">
        <is>
          <t>US$100m / 0.7131</t>
        </is>
      </c>
    </row>
    <row r="7">
      <c r="A7" t="inlineStr">
        <is>
          <t>Cost of equity</t>
        </is>
      </c>
      <c r="B7" s="4" t="n">
        <v>0.08500000000000001</v>
      </c>
      <c r="C7" t="inlineStr">
        <is>
          <t>AUD: 4.3% + 0.8 x 5.25%</t>
        </is>
      </c>
    </row>
    <row r="8">
      <c r="A8" t="inlineStr">
        <is>
          <t>Hurdle rate</t>
        </is>
      </c>
      <c r="B8" s="3" t="n">
        <v>0.15</v>
      </c>
      <c r="C8" t="inlineStr">
        <is>
          <t>house</t>
        </is>
      </c>
    </row>
    <row r="9">
      <c r="A9" t="inlineStr">
        <is>
          <t>Horizon (years)</t>
        </is>
      </c>
      <c r="B9" s="3" t="n">
        <v>10</v>
      </c>
      <c r="C9" t="inlineStr">
        <is>
          <t>FY2026-35 = APRR expiry</t>
        </is>
      </c>
    </row>
    <row r="10">
      <c r="A10" t="inlineStr">
        <is>
          <t>FY2025 SBC (A$m)</t>
        </is>
      </c>
      <c r="B10" s="3" t="n">
        <v>3.4</v>
      </c>
      <c r="C10" t="inlineStr">
        <is>
          <t>inside corporate costs; memo only</t>
        </is>
      </c>
    </row>
    <row r="12">
      <c r="A12" s="2" t="inlineStr">
        <is>
          <t>Scenario drivers</t>
        </is>
      </c>
    </row>
    <row r="13">
      <c r="C13" s="2" t="inlineStr">
        <is>
          <t>Bear</t>
        </is>
      </c>
      <c r="D13" s="2" t="inlineStr">
        <is>
          <t>Base</t>
        </is>
      </c>
      <c r="E13" s="2" t="inlineStr">
        <is>
          <t>Bull</t>
        </is>
      </c>
    </row>
    <row r="14">
      <c r="A14" t="inlineStr">
        <is>
          <t>EUR/AUD (A$ per EUR)</t>
        </is>
      </c>
      <c r="C14" s="3" t="n">
        <v>1.53</v>
      </c>
      <c r="D14" s="3" t="n">
        <v>1.6102</v>
      </c>
      <c r="E14" s="3" t="n">
        <v>1.7</v>
      </c>
    </row>
    <row r="15">
      <c r="A15" t="inlineStr">
        <is>
          <t>AUD/USD (US$ per A$)</t>
        </is>
      </c>
      <c r="C15" s="3" t="n">
        <v>0.75</v>
      </c>
      <c r="D15" s="3" t="n">
        <v>0.7131</v>
      </c>
      <c r="E15" s="3" t="n">
        <v>0.68</v>
      </c>
    </row>
    <row r="16">
      <c r="A16" t="inlineStr">
        <is>
          <t>Corporate costs FY2026 (A$m)</t>
        </is>
      </c>
      <c r="C16" s="3" t="n">
        <v>46</v>
      </c>
      <c r="D16" s="3" t="n">
        <v>44</v>
      </c>
      <c r="E16" s="3" t="n">
        <v>42</v>
      </c>
    </row>
    <row r="17">
      <c r="A17" t="inlineStr">
        <is>
          <t>Corporate cost growth</t>
        </is>
      </c>
      <c r="C17" s="3" t="n">
        <v>0.03</v>
      </c>
      <c r="D17" s="3" t="n">
        <v>0.025</v>
      </c>
      <c r="E17" s="3" t="n">
        <v>0.02</v>
      </c>
    </row>
    <row r="18">
      <c r="A18" t="inlineStr">
        <is>
          <t>Corporate tax FY2026 (A$m)</t>
        </is>
      </c>
      <c r="C18" s="3" t="n">
        <v>8</v>
      </c>
      <c r="D18" s="3" t="n">
        <v>8</v>
      </c>
      <c r="E18" s="3" t="n">
        <v>8</v>
      </c>
    </row>
    <row r="19">
      <c r="A19" t="inlineStr">
        <is>
          <t>Corporate tax growth</t>
        </is>
      </c>
      <c r="C19" s="3" t="n">
        <v>0.02</v>
      </c>
      <c r="D19" s="3" t="n">
        <v>0.02</v>
      </c>
      <c r="E19" s="3" t="n">
        <v>0.02</v>
      </c>
    </row>
    <row r="20">
      <c r="A20" t="inlineStr">
        <is>
          <t>Skyway tail growth (post-2035)</t>
        </is>
      </c>
      <c r="C20" s="3" t="n">
        <v>0.03</v>
      </c>
      <c r="D20" s="3" t="n">
        <v>0.035</v>
      </c>
      <c r="E20" s="3" t="n">
        <v>0.04</v>
      </c>
    </row>
    <row r="21">
      <c r="A21" t="inlineStr">
        <is>
          <t>Skyway tail years (2036-2104)</t>
        </is>
      </c>
      <c r="C21" s="3" t="n">
        <v>69</v>
      </c>
      <c r="D21" s="3" t="n">
        <v>69</v>
      </c>
      <c r="E21" s="3" t="n">
        <v>69</v>
      </c>
    </row>
    <row r="22">
      <c r="A22" t="inlineStr">
        <is>
          <t>French tail EUR m/yr (AREA/ADELAC/A79)</t>
        </is>
      </c>
      <c r="C22" s="3" t="n">
        <v>5</v>
      </c>
      <c r="D22" s="3" t="n">
        <v>12</v>
      </c>
      <c r="E22" s="3" t="n">
        <v>18</v>
      </c>
    </row>
    <row r="23">
      <c r="A23" t="inlineStr">
        <is>
          <t>French tail years</t>
        </is>
      </c>
      <c r="C23" s="3" t="n">
        <v>25</v>
      </c>
      <c r="D23" s="3" t="n">
        <v>25</v>
      </c>
      <c r="E23" s="3" t="n">
        <v>25</v>
      </c>
    </row>
    <row r="24">
      <c r="A24" t="inlineStr">
        <is>
          <t>French re-concession value at 2035 (A$m)</t>
        </is>
      </c>
      <c r="C24" s="3" t="n">
        <v>0</v>
      </c>
      <c r="D24" s="3" t="n">
        <v>0</v>
      </c>
      <c r="E24" s="3" t="n">
        <v>600</v>
      </c>
    </row>
    <row r="25">
      <c r="A25" t="inlineStr">
        <is>
          <t>Greenway equity today (A$m)</t>
        </is>
      </c>
      <c r="C25" s="3" t="n">
        <v>0</v>
      </c>
      <c r="D25" s="3" t="n">
        <v>150</v>
      </c>
      <c r="E25" s="3" t="n">
        <v>450</v>
      </c>
    </row>
    <row r="26">
      <c r="A26" t="inlineStr">
        <is>
          <t>Warnow equity today (A$m)</t>
        </is>
      </c>
      <c r="C26" s="3" t="n">
        <v>0</v>
      </c>
      <c r="D26" s="3" t="n">
        <v>25</v>
      </c>
      <c r="E26" s="3" t="n">
        <v>50</v>
      </c>
    </row>
    <row r="27">
      <c r="A27" t="inlineStr">
        <is>
          <t>Probability weight</t>
        </is>
      </c>
      <c r="C27" s="3" t="n">
        <v>0.2</v>
      </c>
      <c r="D27" s="3" t="n">
        <v>0.55</v>
      </c>
      <c r="E27" s="3" t="n">
        <v>0.25</v>
      </c>
    </row>
    <row r="28">
      <c r="A28" t="inlineStr">
        <is>
          <t>Weights sum (must be 1)</t>
        </is>
      </c>
      <c r="B28">
        <f>SUM(C27:E27)</f>
        <v/>
      </c>
    </row>
    <row r="30">
      <c r="A30" s="2" t="inlineStr">
        <is>
          <t>APRR-group receipts to ALX, EUR m (driver)</t>
        </is>
      </c>
      <c r="C30" t="inlineStr">
        <is>
          <t>FY2026</t>
        </is>
      </c>
      <c r="D30" t="inlineStr">
        <is>
          <t>FY2027</t>
        </is>
      </c>
      <c r="E30" t="inlineStr">
        <is>
          <t>FY2028</t>
        </is>
      </c>
      <c r="F30" t="inlineStr">
        <is>
          <t>FY2029</t>
        </is>
      </c>
      <c r="G30" t="inlineStr">
        <is>
          <t>FY2030</t>
        </is>
      </c>
      <c r="H30" t="inlineStr">
        <is>
          <t>FY2031</t>
        </is>
      </c>
      <c r="I30" t="inlineStr">
        <is>
          <t>FY2032</t>
        </is>
      </c>
      <c r="J30" t="inlineStr">
        <is>
          <t>FY2033</t>
        </is>
      </c>
      <c r="K30" t="inlineStr">
        <is>
          <t>FY2034</t>
        </is>
      </c>
      <c r="L30" t="inlineStr">
        <is>
          <t>FY2035</t>
        </is>
      </c>
    </row>
    <row r="31">
      <c r="A31" t="inlineStr">
        <is>
          <t>Bear</t>
        </is>
      </c>
      <c r="C31" s="4" t="n">
        <v>275</v>
      </c>
      <c r="D31" s="4" t="n">
        <v>285</v>
      </c>
      <c r="E31" s="4" t="n">
        <v>290</v>
      </c>
      <c r="F31" s="4" t="n">
        <v>290</v>
      </c>
      <c r="G31" s="4" t="n">
        <v>285</v>
      </c>
      <c r="H31" s="4" t="n">
        <v>275</v>
      </c>
      <c r="I31" s="4" t="n">
        <v>260</v>
      </c>
      <c r="J31" s="4" t="n">
        <v>235</v>
      </c>
      <c r="K31" s="4" t="n">
        <v>200</v>
      </c>
      <c r="L31" s="4" t="n">
        <v>150</v>
      </c>
    </row>
    <row r="32">
      <c r="A32" t="inlineStr">
        <is>
          <t>Base</t>
        </is>
      </c>
      <c r="C32" s="4" t="n">
        <v>290</v>
      </c>
      <c r="D32" s="4" t="n">
        <v>315</v>
      </c>
      <c r="E32" s="4" t="n">
        <v>325</v>
      </c>
      <c r="F32" s="4" t="n">
        <v>330</v>
      </c>
      <c r="G32" s="4" t="n">
        <v>330</v>
      </c>
      <c r="H32" s="4" t="n">
        <v>325</v>
      </c>
      <c r="I32" s="4" t="n">
        <v>310</v>
      </c>
      <c r="J32" s="4" t="n">
        <v>290</v>
      </c>
      <c r="K32" s="4" t="n">
        <v>250</v>
      </c>
      <c r="L32" s="4" t="n">
        <v>200</v>
      </c>
    </row>
    <row r="33">
      <c r="A33" t="inlineStr">
        <is>
          <t>Bull</t>
        </is>
      </c>
      <c r="C33" s="4" t="n">
        <v>295</v>
      </c>
      <c r="D33" s="4" t="n">
        <v>335</v>
      </c>
      <c r="E33" s="4" t="n">
        <v>350</v>
      </c>
      <c r="F33" s="4" t="n">
        <v>360</v>
      </c>
      <c r="G33" s="4" t="n">
        <v>365</v>
      </c>
      <c r="H33" s="4" t="n">
        <v>365</v>
      </c>
      <c r="I33" s="4" t="n">
        <v>360</v>
      </c>
      <c r="J33" s="4" t="n">
        <v>345</v>
      </c>
      <c r="K33" s="4" t="n">
        <v>320</v>
      </c>
      <c r="L33" s="4" t="n">
        <v>290</v>
      </c>
    </row>
    <row r="35">
      <c r="A35" s="2" t="inlineStr">
        <is>
          <t>Skyway distributions + CCPI loan interest to ALX, US$ m (driver)</t>
        </is>
      </c>
      <c r="C35" t="inlineStr">
        <is>
          <t>FY2026</t>
        </is>
      </c>
      <c r="D35" t="inlineStr">
        <is>
          <t>FY2027</t>
        </is>
      </c>
      <c r="E35" t="inlineStr">
        <is>
          <t>FY2028</t>
        </is>
      </c>
      <c r="F35" t="inlineStr">
        <is>
          <t>FY2029</t>
        </is>
      </c>
      <c r="G35" t="inlineStr">
        <is>
          <t>FY2030</t>
        </is>
      </c>
      <c r="H35" t="inlineStr">
        <is>
          <t>FY2031</t>
        </is>
      </c>
      <c r="I35" t="inlineStr">
        <is>
          <t>FY2032</t>
        </is>
      </c>
      <c r="J35" t="inlineStr">
        <is>
          <t>FY2033</t>
        </is>
      </c>
      <c r="K35" t="inlineStr">
        <is>
          <t>FY2034</t>
        </is>
      </c>
      <c r="L35" t="inlineStr">
        <is>
          <t>FY2035</t>
        </is>
      </c>
    </row>
    <row r="36">
      <c r="A36" t="inlineStr">
        <is>
          <t>Bear</t>
        </is>
      </c>
      <c r="C36" s="4" t="n">
        <v>24</v>
      </c>
      <c r="D36" s="4" t="n">
        <v>25</v>
      </c>
      <c r="E36" s="4" t="n">
        <v>26</v>
      </c>
      <c r="F36" s="4" t="n">
        <v>27</v>
      </c>
      <c r="G36" s="4" t="n">
        <v>29</v>
      </c>
      <c r="H36" s="4" t="n">
        <v>30</v>
      </c>
      <c r="I36" s="4" t="n">
        <v>32</v>
      </c>
      <c r="J36" s="4" t="n">
        <v>33</v>
      </c>
      <c r="K36" s="4" t="n">
        <v>35</v>
      </c>
      <c r="L36" s="4" t="n">
        <v>37</v>
      </c>
    </row>
    <row r="37">
      <c r="A37" t="inlineStr">
        <is>
          <t>Base</t>
        </is>
      </c>
      <c r="C37" s="4" t="n">
        <v>25</v>
      </c>
      <c r="D37" s="4" t="n">
        <v>27</v>
      </c>
      <c r="E37" s="4" t="n">
        <v>29</v>
      </c>
      <c r="F37" s="4" t="n">
        <v>31</v>
      </c>
      <c r="G37" s="4" t="n">
        <v>33</v>
      </c>
      <c r="H37" s="4" t="n">
        <v>35</v>
      </c>
      <c r="I37" s="4" t="n">
        <v>38</v>
      </c>
      <c r="J37" s="4" t="n">
        <v>41</v>
      </c>
      <c r="K37" s="4" t="n">
        <v>44</v>
      </c>
      <c r="L37" s="4" t="n">
        <v>47</v>
      </c>
    </row>
    <row r="38">
      <c r="A38" t="inlineStr">
        <is>
          <t>Bull</t>
        </is>
      </c>
      <c r="C38" s="4" t="n">
        <v>26</v>
      </c>
      <c r="D38" s="4" t="n">
        <v>28</v>
      </c>
      <c r="E38" s="4" t="n">
        <v>31</v>
      </c>
      <c r="F38" s="4" t="n">
        <v>34</v>
      </c>
      <c r="G38" s="4" t="n">
        <v>37</v>
      </c>
      <c r="H38" s="4" t="n">
        <v>40</v>
      </c>
      <c r="I38" s="4" t="n">
        <v>43</v>
      </c>
      <c r="J38" s="4" t="n">
        <v>47</v>
      </c>
      <c r="K38" s="4" t="n">
        <v>51</v>
      </c>
      <c r="L38" s="4" t="n">
        <v>55</v>
      </c>
    </row>
    <row r="40">
      <c r="A40" s="2" t="inlineStr">
        <is>
          <t>Narratives</t>
        </is>
      </c>
    </row>
    <row r="41">
      <c r="A41" t="inlineStr">
        <is>
          <t>Bear</t>
        </is>
      </c>
      <c r="B41" s="1" t="inlineStr">
        <is>
          <t>TST-style surcharges recur and the long-distance transport tax bites (payout ~EUR285m and falling), traffic flat, APRR deleverages earlier and harder (FY2035 EUR150m); Greenway rate case fails again (equity nil, possible restructuring); Warnow nil; Skyway growth 5%; AUD stronger still (EUR/AUD 1.53, AUD/USD 0.75). 67%-controlled register with thin free float.</t>
        </is>
      </c>
    </row>
    <row r="42">
      <c r="A42" t="inlineStr">
        <is>
          <t>Base</t>
        </is>
      </c>
      <c r="B42" s="1" t="inlineStr">
        <is>
          <t>APRR runs to Nov-2035 expiry with TST rolling off after 2026, tolls +~2%/yr and traffic +~1%; distributions taper from 2032 as APRR/FE deleverages to zero by expiry; no re-concession value. Skyway compounds ~7%/yr on its contractual toll formula and is retained (or sold near this value). Greenway rate case yields a partial increase worth A$150m of equity. FX held at spot.</t>
        </is>
      </c>
    </row>
    <row r="43">
      <c r="A43" t="inlineStr">
        <is>
          <t>Bull</t>
        </is>
      </c>
      <c r="B43" s="1" t="inlineStr">
        <is>
          <t>Stronger French traffic and no further French tax measures; APRR distributions ~EUR360m mid-decade and a slower taper; A$600m of value at 2035 from an APRR extension/new French concession (Ambition France Transports keeps the concession model; A412 and A79 tails larger). Greenway rate case fully granted (A$450m); Skyway grows 8%/yr and its tail 4%; weaker AUD (EUR/AUD 1.70). IFM clean-up is NOT priced — it would be a premium on top.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2" t="inlineStr">
        <is>
          <t>DCF_Bear -- A$m unless stated; column B = FY2025 actual, C..L = FY2026-FY2035</t>
        </is>
      </c>
    </row>
    <row r="3">
      <c r="A3" t="inlineStr">
        <is>
          <t>Year</t>
        </is>
      </c>
      <c r="B3" t="inlineStr">
        <is>
          <t>2025A</t>
        </is>
      </c>
      <c r="C3" t="inlineStr">
        <is>
          <t>2026E</t>
        </is>
      </c>
      <c r="D3" t="inlineStr">
        <is>
          <t>2027E</t>
        </is>
      </c>
      <c r="E3" t="inlineStr">
        <is>
          <t>2028E</t>
        </is>
      </c>
      <c r="F3" t="inlineStr">
        <is>
          <t>2029E</t>
        </is>
      </c>
      <c r="G3" t="inlineStr">
        <is>
          <t>2030E</t>
        </is>
      </c>
      <c r="H3" t="inlineStr">
        <is>
          <t>2031E</t>
        </is>
      </c>
      <c r="I3" t="inlineStr">
        <is>
          <t>2032E</t>
        </is>
      </c>
      <c r="J3" t="inlineStr">
        <is>
          <t>2033E</t>
        </is>
      </c>
      <c r="K3" t="inlineStr">
        <is>
          <t>2034E</t>
        </is>
      </c>
      <c r="L3" t="inlineStr">
        <is>
          <t>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APRR-group receipts (EUR m)</t>
        </is>
      </c>
      <c r="C5" s="5">
        <f>Assumptions!C31</f>
        <v/>
      </c>
      <c r="D5" s="5">
        <f>Assumptions!D31</f>
        <v/>
      </c>
      <c r="E5" s="5">
        <f>Assumptions!E31</f>
        <v/>
      </c>
      <c r="F5" s="5">
        <f>Assumptions!F31</f>
        <v/>
      </c>
      <c r="G5" s="5">
        <f>Assumptions!G31</f>
        <v/>
      </c>
      <c r="H5" s="5">
        <f>Assumptions!H31</f>
        <v/>
      </c>
      <c r="I5" s="5">
        <f>Assumptions!I31</f>
        <v/>
      </c>
      <c r="J5" s="5">
        <f>Assumptions!J31</f>
        <v/>
      </c>
      <c r="K5" s="5">
        <f>Assumptions!K31</f>
        <v/>
      </c>
      <c r="L5" s="5">
        <f>Assumptions!L31</f>
        <v/>
      </c>
    </row>
    <row r="6">
      <c r="A6" t="inlineStr">
        <is>
          <t>EUR/AUD</t>
        </is>
      </c>
      <c r="C6" s="5">
        <f>Assumptions!$C$14</f>
        <v/>
      </c>
      <c r="D6" s="5">
        <f>Assumptions!$C$14</f>
        <v/>
      </c>
      <c r="E6" s="5">
        <f>Assumptions!$C$14</f>
        <v/>
      </c>
      <c r="F6" s="5">
        <f>Assumptions!$C$14</f>
        <v/>
      </c>
      <c r="G6" s="5">
        <f>Assumptions!$C$14</f>
        <v/>
      </c>
      <c r="H6" s="5">
        <f>Assumptions!$C$14</f>
        <v/>
      </c>
      <c r="I6" s="5">
        <f>Assumptions!$C$14</f>
        <v/>
      </c>
      <c r="J6" s="5">
        <f>Assumptions!$C$14</f>
        <v/>
      </c>
      <c r="K6" s="5">
        <f>Assumptions!$C$14</f>
        <v/>
      </c>
      <c r="L6" s="5">
        <f>Assumptions!$C$14</f>
        <v/>
      </c>
    </row>
    <row r="7">
      <c r="A7" t="inlineStr">
        <is>
          <t>APRR receipts (A$m)</t>
        </is>
      </c>
      <c r="B7" s="3" t="n">
        <v>498.2</v>
      </c>
      <c r="C7">
        <f>C5*C6</f>
        <v/>
      </c>
      <c r="D7">
        <f>D5*D6</f>
        <v/>
      </c>
      <c r="E7">
        <f>E5*E6</f>
        <v/>
      </c>
      <c r="F7">
        <f>F5*F6</f>
        <v/>
      </c>
      <c r="G7">
        <f>G5*G6</f>
        <v/>
      </c>
      <c r="H7">
        <f>H5*H6</f>
        <v/>
      </c>
      <c r="I7">
        <f>I5*I6</f>
        <v/>
      </c>
      <c r="J7">
        <f>J5*J6</f>
        <v/>
      </c>
      <c r="K7">
        <f>K5*K6</f>
        <v/>
      </c>
      <c r="L7">
        <f>L5*L6</f>
        <v/>
      </c>
    </row>
    <row r="8">
      <c r="A8" t="inlineStr">
        <is>
          <t>Skyway receipts (US$ m)</t>
        </is>
      </c>
      <c r="C8" s="5">
        <f>Assumptions!C36</f>
        <v/>
      </c>
      <c r="D8" s="5">
        <f>Assumptions!D36</f>
        <v/>
      </c>
      <c r="E8" s="5">
        <f>Assumptions!E36</f>
        <v/>
      </c>
      <c r="F8" s="5">
        <f>Assumptions!F36</f>
        <v/>
      </c>
      <c r="G8" s="5">
        <f>Assumptions!G36</f>
        <v/>
      </c>
      <c r="H8" s="5">
        <f>Assumptions!H36</f>
        <v/>
      </c>
      <c r="I8" s="5">
        <f>Assumptions!I36</f>
        <v/>
      </c>
      <c r="J8" s="5">
        <f>Assumptions!J36</f>
        <v/>
      </c>
      <c r="K8" s="5">
        <f>Assumptions!K36</f>
        <v/>
      </c>
      <c r="L8" s="5">
        <f>Assumptions!L36</f>
        <v/>
      </c>
    </row>
    <row r="9">
      <c r="A9" t="inlineStr">
        <is>
          <t>AUD/USD</t>
        </is>
      </c>
      <c r="C9" s="5">
        <f>Assumptions!$C$15</f>
        <v/>
      </c>
      <c r="D9" s="5">
        <f>Assumptions!$C$15</f>
        <v/>
      </c>
      <c r="E9" s="5">
        <f>Assumptions!$C$15</f>
        <v/>
      </c>
      <c r="F9" s="5">
        <f>Assumptions!$C$15</f>
        <v/>
      </c>
      <c r="G9" s="5">
        <f>Assumptions!$C$15</f>
        <v/>
      </c>
      <c r="H9" s="5">
        <f>Assumptions!$C$15</f>
        <v/>
      </c>
      <c r="I9" s="5">
        <f>Assumptions!$C$15</f>
        <v/>
      </c>
      <c r="J9" s="5">
        <f>Assumptions!$C$15</f>
        <v/>
      </c>
      <c r="K9" s="5">
        <f>Assumptions!$C$15</f>
        <v/>
      </c>
      <c r="L9" s="5">
        <f>Assumptions!$C$15</f>
        <v/>
      </c>
    </row>
    <row r="10">
      <c r="A10" t="inlineStr">
        <is>
          <t>Skyway receipts (A$m)</t>
        </is>
      </c>
      <c r="B10" s="3" t="n">
        <v>36.8</v>
      </c>
      <c r="C10">
        <f>C8/C9</f>
        <v/>
      </c>
      <c r="D10">
        <f>D8/D9</f>
        <v/>
      </c>
      <c r="E10">
        <f>E8/E9</f>
        <v/>
      </c>
      <c r="F10">
        <f>F8/F9</f>
        <v/>
      </c>
      <c r="G10">
        <f>G8/G9</f>
        <v/>
      </c>
      <c r="H10">
        <f>H8/H9</f>
        <v/>
      </c>
      <c r="I10">
        <f>I8/I9</f>
        <v/>
      </c>
      <c r="J10">
        <f>J8/J9</f>
        <v/>
      </c>
      <c r="K10">
        <f>K8/K9</f>
        <v/>
      </c>
      <c r="L10">
        <f>L8/L9</f>
        <v/>
      </c>
    </row>
    <row r="11">
      <c r="A11" t="inlineStr">
        <is>
          <t>Total receipts</t>
        </is>
      </c>
      <c r="B11">
        <f>B7+B10</f>
        <v/>
      </c>
      <c r="C11">
        <f>C7+C10</f>
        <v/>
      </c>
      <c r="D11">
        <f>D7+D10</f>
        <v/>
      </c>
      <c r="E11">
        <f>E7+E10</f>
        <v/>
      </c>
      <c r="F11">
        <f>F7+F10</f>
        <v/>
      </c>
      <c r="G11">
        <f>G7+G10</f>
        <v/>
      </c>
      <c r="H11">
        <f>H7+H10</f>
        <v/>
      </c>
      <c r="I11">
        <f>I7+I10</f>
        <v/>
      </c>
      <c r="J11">
        <f>J7+J10</f>
        <v/>
      </c>
      <c r="K11">
        <f>K7+K10</f>
        <v/>
      </c>
      <c r="L11">
        <f>L7+L10</f>
        <v/>
      </c>
    </row>
    <row r="12">
      <c r="A12" t="inlineStr">
        <is>
          <t>Receipts growth</t>
        </is>
      </c>
      <c r="C12">
        <f>C11/B11-1</f>
        <v/>
      </c>
      <c r="D12">
        <f>D11/C11-1</f>
        <v/>
      </c>
      <c r="E12">
        <f>E11/D11-1</f>
        <v/>
      </c>
      <c r="F12">
        <f>F11/E11-1</f>
        <v/>
      </c>
      <c r="G12">
        <f>G11/F11-1</f>
        <v/>
      </c>
      <c r="H12">
        <f>H11/G11-1</f>
        <v/>
      </c>
      <c r="I12">
        <f>I11/H11-1</f>
        <v/>
      </c>
      <c r="J12">
        <f>J11/I11-1</f>
        <v/>
      </c>
      <c r="K12">
        <f>K11/J11-1</f>
        <v/>
      </c>
      <c r="L12">
        <f>L11/K11-1</f>
        <v/>
      </c>
    </row>
    <row r="13">
      <c r="A13" t="inlineStr">
        <is>
          <t>Corporate cash costs incl. SBC (negative)</t>
        </is>
      </c>
      <c r="B13" s="3" t="n">
        <v>-52.6</v>
      </c>
      <c r="C13">
        <f>-Assumptions!$C$16*(1+Assumptions!$C$17)^(C4-1)</f>
        <v/>
      </c>
      <c r="D13">
        <f>-Assumptions!$C$16*(1+Assumptions!$C$17)^(D4-1)</f>
        <v/>
      </c>
      <c r="E13">
        <f>-Assumptions!$C$16*(1+Assumptions!$C$17)^(E4-1)</f>
        <v/>
      </c>
      <c r="F13">
        <f>-Assumptions!$C$16*(1+Assumptions!$C$17)^(F4-1)</f>
        <v/>
      </c>
      <c r="G13">
        <f>-Assumptions!$C$16*(1+Assumptions!$C$17)^(G4-1)</f>
        <v/>
      </c>
      <c r="H13">
        <f>-Assumptions!$C$16*(1+Assumptions!$C$17)^(H4-1)</f>
        <v/>
      </c>
      <c r="I13">
        <f>-Assumptions!$C$16*(1+Assumptions!$C$17)^(I4-1)</f>
        <v/>
      </c>
      <c r="J13">
        <f>-Assumptions!$C$16*(1+Assumptions!$C$17)^(J4-1)</f>
        <v/>
      </c>
      <c r="K13">
        <f>-Assumptions!$C$16*(1+Assumptions!$C$17)^(K4-1)</f>
        <v/>
      </c>
      <c r="L13">
        <f>-Assumptions!$C$16*(1+Assumptions!$C$17)^(L4-1)</f>
        <v/>
      </c>
    </row>
    <row r="14">
      <c r="A14" t="inlineStr">
        <is>
          <t xml:space="preserve">  memo: SBC inside corporate costs</t>
        </is>
      </c>
      <c r="B14" s="3" t="n">
        <v>3.4</v>
      </c>
      <c r="C14">
        <f>Assumptions!$B$10*(1+Assumptions!$C$17)^(C4-1)</f>
        <v/>
      </c>
      <c r="D14">
        <f>Assumptions!$B$10*(1+Assumptions!$C$17)^(D4-1)</f>
        <v/>
      </c>
      <c r="E14">
        <f>Assumptions!$B$10*(1+Assumptions!$C$17)^(E4-1)</f>
        <v/>
      </c>
      <c r="F14">
        <f>Assumptions!$B$10*(1+Assumptions!$C$17)^(F4-1)</f>
        <v/>
      </c>
      <c r="G14">
        <f>Assumptions!$B$10*(1+Assumptions!$C$17)^(G4-1)</f>
        <v/>
      </c>
      <c r="H14">
        <f>Assumptions!$B$10*(1+Assumptions!$C$17)^(H4-1)</f>
        <v/>
      </c>
      <c r="I14">
        <f>Assumptions!$B$10*(1+Assumptions!$C$17)^(I4-1)</f>
        <v/>
      </c>
      <c r="J14">
        <f>Assumptions!$B$10*(1+Assumptions!$C$17)^(J4-1)</f>
        <v/>
      </c>
      <c r="K14">
        <f>Assumptions!$B$10*(1+Assumptions!$C$17)^(K4-1)</f>
        <v/>
      </c>
      <c r="L14">
        <f>Assumptions!$B$10*(1+Assumptions!$C$17)^(L4-1)</f>
        <v/>
      </c>
    </row>
    <row r="15">
      <c r="A15" t="inlineStr">
        <is>
          <t>Owner EBITDA (receipts less corporate costs)</t>
        </is>
      </c>
      <c r="B15">
        <f>B11+B13</f>
        <v/>
      </c>
      <c r="C15">
        <f>C11+C13</f>
        <v/>
      </c>
      <c r="D15">
        <f>D11+D13</f>
        <v/>
      </c>
      <c r="E15">
        <f>E11+E13</f>
        <v/>
      </c>
      <c r="F15">
        <f>F11+F13</f>
        <v/>
      </c>
      <c r="G15">
        <f>G11+G13</f>
        <v/>
      </c>
      <c r="H15">
        <f>H11+H13</f>
        <v/>
      </c>
      <c r="I15">
        <f>I11+I13</f>
        <v/>
      </c>
      <c r="J15">
        <f>J11+J13</f>
        <v/>
      </c>
      <c r="K15">
        <f>K11+K13</f>
        <v/>
      </c>
      <c r="L15">
        <f>L11+L13</f>
        <v/>
      </c>
    </row>
    <row r="16">
      <c r="A16" t="inlineStr">
        <is>
          <t>Corporate tax (negative)</t>
        </is>
      </c>
      <c r="B16" s="3" t="n">
        <v>-8</v>
      </c>
      <c r="C16">
        <f>-Assumptions!$C$18*(1+Assumptions!$C$19)^(C4-1)</f>
        <v/>
      </c>
      <c r="D16">
        <f>-Assumptions!$C$18*(1+Assumptions!$C$19)^(D4-1)</f>
        <v/>
      </c>
      <c r="E16">
        <f>-Assumptions!$C$18*(1+Assumptions!$C$19)^(E4-1)</f>
        <v/>
      </c>
      <c r="F16">
        <f>-Assumptions!$C$18*(1+Assumptions!$C$19)^(F4-1)</f>
        <v/>
      </c>
      <c r="G16">
        <f>-Assumptions!$C$18*(1+Assumptions!$C$19)^(G4-1)</f>
        <v/>
      </c>
      <c r="H16">
        <f>-Assumptions!$C$18*(1+Assumptions!$C$19)^(H4-1)</f>
        <v/>
      </c>
      <c r="I16">
        <f>-Assumptions!$C$18*(1+Assumptions!$C$19)^(I4-1)</f>
        <v/>
      </c>
      <c r="J16">
        <f>-Assumptions!$C$18*(1+Assumptions!$C$19)^(J4-1)</f>
        <v/>
      </c>
      <c r="K16">
        <f>-Assumptions!$C$18*(1+Assumptions!$C$19)^(K4-1)</f>
        <v/>
      </c>
      <c r="L16">
        <f>-Assumptions!$C$18*(1+Assumptions!$C$19)^(L4-1)</f>
        <v/>
      </c>
    </row>
    <row r="17">
      <c r="A17" t="inlineStr">
        <is>
          <t>Distributable cash = owner FCF</t>
        </is>
      </c>
      <c r="B17">
        <f>B15+B16</f>
        <v/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  <c r="K17">
        <f>K15+K16</f>
        <v/>
      </c>
      <c r="L17">
        <f>L15+L16</f>
        <v/>
      </c>
    </row>
    <row r="18">
      <c r="A18" t="inlineStr">
        <is>
          <t xml:space="preserve">  per security (cents)</t>
        </is>
      </c>
      <c r="B18">
        <f>B17/Assumptions!$B$4*100</f>
        <v/>
      </c>
      <c r="C18">
        <f>C17/Assumptions!$B$4*100</f>
        <v/>
      </c>
      <c r="D18">
        <f>D17/Assumptions!$B$4*100</f>
        <v/>
      </c>
      <c r="E18">
        <f>E17/Assumptions!$B$4*100</f>
        <v/>
      </c>
      <c r="F18">
        <f>F17/Assumptions!$B$4*100</f>
        <v/>
      </c>
      <c r="G18">
        <f>G17/Assumptions!$B$4*100</f>
        <v/>
      </c>
      <c r="H18">
        <f>H17/Assumptions!$B$4*100</f>
        <v/>
      </c>
      <c r="I18">
        <f>I17/Assumptions!$B$4*100</f>
        <v/>
      </c>
      <c r="J18">
        <f>J17/Assumptions!$B$4*100</f>
        <v/>
      </c>
      <c r="K18">
        <f>K17/Assumptions!$B$4*100</f>
        <v/>
      </c>
      <c r="L18">
        <f>L17/Assumptions!$B$4*100</f>
        <v/>
      </c>
    </row>
    <row r="19">
      <c r="A19" t="inlineStr">
        <is>
          <t>Discount factor</t>
        </is>
      </c>
      <c r="C19">
        <f>1/(1+Assumptions!$B$7)^C4</f>
        <v/>
      </c>
      <c r="D19">
        <f>1/(1+Assumptions!$B$7)^D4</f>
        <v/>
      </c>
      <c r="E19">
        <f>1/(1+Assumptions!$B$7)^E4</f>
        <v/>
      </c>
      <c r="F19">
        <f>1/(1+Assumptions!$B$7)^F4</f>
        <v/>
      </c>
      <c r="G19">
        <f>1/(1+Assumptions!$B$7)^G4</f>
        <v/>
      </c>
      <c r="H19">
        <f>1/(1+Assumptions!$B$7)^H4</f>
        <v/>
      </c>
      <c r="I19">
        <f>1/(1+Assumptions!$B$7)^I4</f>
        <v/>
      </c>
      <c r="J19">
        <f>1/(1+Assumptions!$B$7)^J4</f>
        <v/>
      </c>
      <c r="K19">
        <f>1/(1+Assumptions!$B$7)^K4</f>
        <v/>
      </c>
      <c r="L19">
        <f>1/(1+Assumptions!$B$7)^L4</f>
        <v/>
      </c>
    </row>
    <row r="20">
      <c r="A20" t="inlineStr">
        <is>
          <t>PV of distributable cash</t>
        </is>
      </c>
      <c r="C20">
        <f>C17*C19</f>
        <v/>
      </c>
      <c r="D20">
        <f>D17*D19</f>
        <v/>
      </c>
      <c r="E20">
        <f>E17*E19</f>
        <v/>
      </c>
      <c r="F20">
        <f>F17*F19</f>
        <v/>
      </c>
      <c r="G20">
        <f>G17*G19</f>
        <v/>
      </c>
      <c r="H20">
        <f>H17*H19</f>
        <v/>
      </c>
      <c r="I20">
        <f>I17*I19</f>
        <v/>
      </c>
      <c r="J20">
        <f>J17*J19</f>
        <v/>
      </c>
      <c r="K20">
        <f>K17*K19</f>
        <v/>
      </c>
      <c r="L20">
        <f>L17*L19</f>
        <v/>
      </c>
    </row>
    <row r="22">
      <c r="A22" t="inlineStr">
        <is>
          <t>Sum of PV (FY2026-35)</t>
        </is>
      </c>
      <c r="B22">
        <f>SUM(C20:L20)</f>
        <v/>
      </c>
    </row>
    <row r="23">
      <c r="A23" t="inlineStr">
        <is>
          <t>Skyway receipts FY2035 (A$m)</t>
        </is>
      </c>
      <c r="B23">
        <f>L10</f>
        <v/>
      </c>
    </row>
    <row r="24">
      <c r="A24" t="inlineStr">
        <is>
          <t>Skyway tail growth</t>
        </is>
      </c>
      <c r="B24" s="5">
        <f>Assumptions!$C$20</f>
        <v/>
      </c>
    </row>
    <row r="25">
      <c r="A25" t="inlineStr">
        <is>
          <t>Skyway tail years</t>
        </is>
      </c>
      <c r="B25" s="5">
        <f>Assumptions!$C$21</f>
        <v/>
      </c>
    </row>
    <row r="26">
      <c r="A26" t="inlineStr">
        <is>
          <t>Skyway tail value at end-2035</t>
        </is>
      </c>
      <c r="B26">
        <f>B23*(1+B24)/(Assumptions!$B$7-B24)*(1-((1+B24)/(1+Assumptions!$B$7))^B25)</f>
        <v/>
      </c>
    </row>
    <row r="27">
      <c r="A27" t="inlineStr">
        <is>
          <t>French tail EUR m/yr</t>
        </is>
      </c>
      <c r="B27" s="5">
        <f>Assumptions!$C$22</f>
        <v/>
      </c>
    </row>
    <row r="28">
      <c r="A28" t="inlineStr">
        <is>
          <t>French tail A$m/yr</t>
        </is>
      </c>
      <c r="B28">
        <f>B27*Assumptions!$C$14</f>
        <v/>
      </c>
    </row>
    <row r="29">
      <c r="A29" t="inlineStr">
        <is>
          <t>French tail years</t>
        </is>
      </c>
      <c r="B29" s="5">
        <f>Assumptions!$C$23</f>
        <v/>
      </c>
    </row>
    <row r="30">
      <c r="A30" t="inlineStr">
        <is>
          <t>French tail value at end-2035</t>
        </is>
      </c>
      <c r="B30">
        <f>B28/Assumptions!$B$7*(1-(1+Assumptions!$B$7)^-B29)</f>
        <v/>
      </c>
    </row>
    <row r="31">
      <c r="A31" t="inlineStr">
        <is>
          <t>French re-concession lump at 2035</t>
        </is>
      </c>
      <c r="B31" s="5">
        <f>Assumptions!$C$24</f>
        <v/>
      </c>
    </row>
    <row r="32">
      <c r="A32" t="inlineStr">
        <is>
          <t>Terminal (residual) value at end-2035</t>
        </is>
      </c>
      <c r="B32">
        <f>B26+B30+B31</f>
        <v/>
      </c>
    </row>
    <row r="33">
      <c r="A33" t="inlineStr">
        <is>
          <t>Implied multiple of FY2035 distributable cash</t>
        </is>
      </c>
      <c r="B33">
        <f>B32/L17</f>
        <v/>
      </c>
    </row>
    <row r="34">
      <c r="A34" t="inlineStr">
        <is>
          <t>PV of terminal</t>
        </is>
      </c>
      <c r="B34">
        <f>B32*L19</f>
        <v/>
      </c>
    </row>
    <row r="35">
      <c r="A35" t="inlineStr">
        <is>
          <t>Enterprise value (PV of all equity flows)</t>
        </is>
      </c>
      <c r="B35">
        <f>B22+B34</f>
        <v/>
      </c>
    </row>
    <row r="36">
      <c r="A36" t="inlineStr">
        <is>
          <t>Corporate cash 31-Dec-2025</t>
        </is>
      </c>
      <c r="B36" s="5">
        <f>Assumptions!$B$5</f>
        <v/>
      </c>
    </row>
    <row r="37">
      <c r="A37" t="inlineStr">
        <is>
          <t>less OTPP put settlement</t>
        </is>
      </c>
      <c r="B37" s="5">
        <f>Assumptions!$B$6</f>
        <v/>
      </c>
    </row>
    <row r="38">
      <c r="A38" t="inlineStr">
        <is>
          <t>Greenway equity (locked up)</t>
        </is>
      </c>
      <c r="B38" s="5">
        <f>Assumptions!$C$25</f>
        <v/>
      </c>
    </row>
    <row r="39">
      <c r="A39" t="inlineStr">
        <is>
          <t>Warnow equity</t>
        </is>
      </c>
      <c r="B39" s="5">
        <f>Assumptions!$C$26</f>
        <v/>
      </c>
    </row>
    <row r="40">
      <c r="A40" t="inlineStr">
        <is>
          <t>Net cash / bridge</t>
        </is>
      </c>
      <c r="B40">
        <f>SUM(B36:B39)</f>
        <v/>
      </c>
    </row>
    <row r="41">
      <c r="A41" t="inlineStr">
        <is>
          <t>Equity value</t>
        </is>
      </c>
      <c r="B41">
        <f>B35+B40</f>
        <v/>
      </c>
    </row>
    <row r="42">
      <c r="A42" t="inlineStr">
        <is>
          <t>Diluted securities (m)</t>
        </is>
      </c>
      <c r="B42" s="5">
        <f>Assumptions!$B$4</f>
        <v/>
      </c>
    </row>
    <row r="43">
      <c r="A43" t="inlineStr">
        <is>
          <t>VALUE PER SECURITY (A$)</t>
        </is>
      </c>
      <c r="B43" s="6">
        <f>B41/B42</f>
        <v/>
      </c>
    </row>
    <row r="44">
      <c r="A44" t="inlineStr">
        <is>
          <t>Upside vs price</t>
        </is>
      </c>
      <c r="B44">
        <f>B43/Assumptions!$B$3-1</f>
        <v/>
      </c>
    </row>
    <row r="46">
      <c r="A46" t="inlineStr">
        <is>
          <t>Entry price at hurdle</t>
        </is>
      </c>
    </row>
    <row r="47">
      <c r="A47" t="inlineStr">
        <is>
          <t>Skyway tail value at hurdle</t>
        </is>
      </c>
      <c r="B47">
        <f>B23*(1+B24)/(Assumptions!$B$8-B24)*(1-((1+B24)/(1+Assumptions!$B$8))^B25)</f>
        <v/>
      </c>
    </row>
    <row r="48">
      <c r="A48" t="inlineStr">
        <is>
          <t>French tail value at hurdle</t>
        </is>
      </c>
      <c r="B48">
        <f>B28/Assumptions!$B$8*(1-(1+Assumptions!$B$8)^-B29)</f>
        <v/>
      </c>
    </row>
    <row r="49">
      <c r="A49" t="inlineStr">
        <is>
          <t>Terminal at hurdle</t>
        </is>
      </c>
      <c r="B49">
        <f>B47+B48+B31</f>
        <v/>
      </c>
    </row>
    <row r="50">
      <c r="A50" t="inlineStr">
        <is>
          <t>PV of interim cash at hurdle</t>
        </is>
      </c>
      <c r="B50">
        <f>SUMPRODUCT(C17:L17/(1+Assumptions!$B$8)^C4:L4)</f>
        <v/>
      </c>
    </row>
    <row r="51">
      <c r="A51" t="inlineStr">
        <is>
          <t>ENTRY PRICE (A$)</t>
        </is>
      </c>
      <c r="B51" s="7">
        <f>(B50+B49/(1+Assumptions!$B$8)^10+B40)/B42</f>
        <v/>
      </c>
    </row>
    <row r="52">
      <c r="A52" t="inlineStr">
        <is>
          <t>Entry discount vs price</t>
        </is>
      </c>
      <c r="B52">
        <f>B51/Assumptions!$B$3-1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2" t="inlineStr">
        <is>
          <t>DCF_Base -- A$m unless stated; column B = FY2025 actual, C..L = FY2026-FY2035</t>
        </is>
      </c>
    </row>
    <row r="3">
      <c r="A3" t="inlineStr">
        <is>
          <t>Year</t>
        </is>
      </c>
      <c r="B3" t="inlineStr">
        <is>
          <t>2025A</t>
        </is>
      </c>
      <c r="C3" t="inlineStr">
        <is>
          <t>2026E</t>
        </is>
      </c>
      <c r="D3" t="inlineStr">
        <is>
          <t>2027E</t>
        </is>
      </c>
      <c r="E3" t="inlineStr">
        <is>
          <t>2028E</t>
        </is>
      </c>
      <c r="F3" t="inlineStr">
        <is>
          <t>2029E</t>
        </is>
      </c>
      <c r="G3" t="inlineStr">
        <is>
          <t>2030E</t>
        </is>
      </c>
      <c r="H3" t="inlineStr">
        <is>
          <t>2031E</t>
        </is>
      </c>
      <c r="I3" t="inlineStr">
        <is>
          <t>2032E</t>
        </is>
      </c>
      <c r="J3" t="inlineStr">
        <is>
          <t>2033E</t>
        </is>
      </c>
      <c r="K3" t="inlineStr">
        <is>
          <t>2034E</t>
        </is>
      </c>
      <c r="L3" t="inlineStr">
        <is>
          <t>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APRR-group receipts (EUR m)</t>
        </is>
      </c>
      <c r="C5" s="5">
        <f>Assumptions!C32</f>
        <v/>
      </c>
      <c r="D5" s="5">
        <f>Assumptions!D32</f>
        <v/>
      </c>
      <c r="E5" s="5">
        <f>Assumptions!E32</f>
        <v/>
      </c>
      <c r="F5" s="5">
        <f>Assumptions!F32</f>
        <v/>
      </c>
      <c r="G5" s="5">
        <f>Assumptions!G32</f>
        <v/>
      </c>
      <c r="H5" s="5">
        <f>Assumptions!H32</f>
        <v/>
      </c>
      <c r="I5" s="5">
        <f>Assumptions!I32</f>
        <v/>
      </c>
      <c r="J5" s="5">
        <f>Assumptions!J32</f>
        <v/>
      </c>
      <c r="K5" s="5">
        <f>Assumptions!K32</f>
        <v/>
      </c>
      <c r="L5" s="5">
        <f>Assumptions!L32</f>
        <v/>
      </c>
    </row>
    <row r="6">
      <c r="A6" t="inlineStr">
        <is>
          <t>EUR/AUD</t>
        </is>
      </c>
      <c r="C6" s="5">
        <f>Assumptions!$D$14</f>
        <v/>
      </c>
      <c r="D6" s="5">
        <f>Assumptions!$D$14</f>
        <v/>
      </c>
      <c r="E6" s="5">
        <f>Assumptions!$D$14</f>
        <v/>
      </c>
      <c r="F6" s="5">
        <f>Assumptions!$D$14</f>
        <v/>
      </c>
      <c r="G6" s="5">
        <f>Assumptions!$D$14</f>
        <v/>
      </c>
      <c r="H6" s="5">
        <f>Assumptions!$D$14</f>
        <v/>
      </c>
      <c r="I6" s="5">
        <f>Assumptions!$D$14</f>
        <v/>
      </c>
      <c r="J6" s="5">
        <f>Assumptions!$D$14</f>
        <v/>
      </c>
      <c r="K6" s="5">
        <f>Assumptions!$D$14</f>
        <v/>
      </c>
      <c r="L6" s="5">
        <f>Assumptions!$D$14</f>
        <v/>
      </c>
    </row>
    <row r="7">
      <c r="A7" t="inlineStr">
        <is>
          <t>APRR receipts (A$m)</t>
        </is>
      </c>
      <c r="B7" s="3" t="n">
        <v>498.2</v>
      </c>
      <c r="C7">
        <f>C5*C6</f>
        <v/>
      </c>
      <c r="D7">
        <f>D5*D6</f>
        <v/>
      </c>
      <c r="E7">
        <f>E5*E6</f>
        <v/>
      </c>
      <c r="F7">
        <f>F5*F6</f>
        <v/>
      </c>
      <c r="G7">
        <f>G5*G6</f>
        <v/>
      </c>
      <c r="H7">
        <f>H5*H6</f>
        <v/>
      </c>
      <c r="I7">
        <f>I5*I6</f>
        <v/>
      </c>
      <c r="J7">
        <f>J5*J6</f>
        <v/>
      </c>
      <c r="K7">
        <f>K5*K6</f>
        <v/>
      </c>
      <c r="L7">
        <f>L5*L6</f>
        <v/>
      </c>
    </row>
    <row r="8">
      <c r="A8" t="inlineStr">
        <is>
          <t>Skyway receipts (US$ m)</t>
        </is>
      </c>
      <c r="C8" s="5">
        <f>Assumptions!C37</f>
        <v/>
      </c>
      <c r="D8" s="5">
        <f>Assumptions!D37</f>
        <v/>
      </c>
      <c r="E8" s="5">
        <f>Assumptions!E37</f>
        <v/>
      </c>
      <c r="F8" s="5">
        <f>Assumptions!F37</f>
        <v/>
      </c>
      <c r="G8" s="5">
        <f>Assumptions!G37</f>
        <v/>
      </c>
      <c r="H8" s="5">
        <f>Assumptions!H37</f>
        <v/>
      </c>
      <c r="I8" s="5">
        <f>Assumptions!I37</f>
        <v/>
      </c>
      <c r="J8" s="5">
        <f>Assumptions!J37</f>
        <v/>
      </c>
      <c r="K8" s="5">
        <f>Assumptions!K37</f>
        <v/>
      </c>
      <c r="L8" s="5">
        <f>Assumptions!L37</f>
        <v/>
      </c>
    </row>
    <row r="9">
      <c r="A9" t="inlineStr">
        <is>
          <t>AUD/USD</t>
        </is>
      </c>
      <c r="C9" s="5">
        <f>Assumptions!$D$15</f>
        <v/>
      </c>
      <c r="D9" s="5">
        <f>Assumptions!$D$15</f>
        <v/>
      </c>
      <c r="E9" s="5">
        <f>Assumptions!$D$15</f>
        <v/>
      </c>
      <c r="F9" s="5">
        <f>Assumptions!$D$15</f>
        <v/>
      </c>
      <c r="G9" s="5">
        <f>Assumptions!$D$15</f>
        <v/>
      </c>
      <c r="H9" s="5">
        <f>Assumptions!$D$15</f>
        <v/>
      </c>
      <c r="I9" s="5">
        <f>Assumptions!$D$15</f>
        <v/>
      </c>
      <c r="J9" s="5">
        <f>Assumptions!$D$15</f>
        <v/>
      </c>
      <c r="K9" s="5">
        <f>Assumptions!$D$15</f>
        <v/>
      </c>
      <c r="L9" s="5">
        <f>Assumptions!$D$15</f>
        <v/>
      </c>
    </row>
    <row r="10">
      <c r="A10" t="inlineStr">
        <is>
          <t>Skyway receipts (A$m)</t>
        </is>
      </c>
      <c r="B10" s="3" t="n">
        <v>36.8</v>
      </c>
      <c r="C10">
        <f>C8/C9</f>
        <v/>
      </c>
      <c r="D10">
        <f>D8/D9</f>
        <v/>
      </c>
      <c r="E10">
        <f>E8/E9</f>
        <v/>
      </c>
      <c r="F10">
        <f>F8/F9</f>
        <v/>
      </c>
      <c r="G10">
        <f>G8/G9</f>
        <v/>
      </c>
      <c r="H10">
        <f>H8/H9</f>
        <v/>
      </c>
      <c r="I10">
        <f>I8/I9</f>
        <v/>
      </c>
      <c r="J10">
        <f>J8/J9</f>
        <v/>
      </c>
      <c r="K10">
        <f>K8/K9</f>
        <v/>
      </c>
      <c r="L10">
        <f>L8/L9</f>
        <v/>
      </c>
    </row>
    <row r="11">
      <c r="A11" t="inlineStr">
        <is>
          <t>Total receipts</t>
        </is>
      </c>
      <c r="B11">
        <f>B7+B10</f>
        <v/>
      </c>
      <c r="C11">
        <f>C7+C10</f>
        <v/>
      </c>
      <c r="D11">
        <f>D7+D10</f>
        <v/>
      </c>
      <c r="E11">
        <f>E7+E10</f>
        <v/>
      </c>
      <c r="F11">
        <f>F7+F10</f>
        <v/>
      </c>
      <c r="G11">
        <f>G7+G10</f>
        <v/>
      </c>
      <c r="H11">
        <f>H7+H10</f>
        <v/>
      </c>
      <c r="I11">
        <f>I7+I10</f>
        <v/>
      </c>
      <c r="J11">
        <f>J7+J10</f>
        <v/>
      </c>
      <c r="K11">
        <f>K7+K10</f>
        <v/>
      </c>
      <c r="L11">
        <f>L7+L10</f>
        <v/>
      </c>
    </row>
    <row r="12">
      <c r="A12" t="inlineStr">
        <is>
          <t>Receipts growth</t>
        </is>
      </c>
      <c r="C12">
        <f>C11/B11-1</f>
        <v/>
      </c>
      <c r="D12">
        <f>D11/C11-1</f>
        <v/>
      </c>
      <c r="E12">
        <f>E11/D11-1</f>
        <v/>
      </c>
      <c r="F12">
        <f>F11/E11-1</f>
        <v/>
      </c>
      <c r="G12">
        <f>G11/F11-1</f>
        <v/>
      </c>
      <c r="H12">
        <f>H11/G11-1</f>
        <v/>
      </c>
      <c r="I12">
        <f>I11/H11-1</f>
        <v/>
      </c>
      <c r="J12">
        <f>J11/I11-1</f>
        <v/>
      </c>
      <c r="K12">
        <f>K11/J11-1</f>
        <v/>
      </c>
      <c r="L12">
        <f>L11/K11-1</f>
        <v/>
      </c>
    </row>
    <row r="13">
      <c r="A13" t="inlineStr">
        <is>
          <t>Corporate cash costs incl. SBC (negative)</t>
        </is>
      </c>
      <c r="B13" s="3" t="n">
        <v>-52.6</v>
      </c>
      <c r="C13">
        <f>-Assumptions!$D$16*(1+Assumptions!$D$17)^(C4-1)</f>
        <v/>
      </c>
      <c r="D13">
        <f>-Assumptions!$D$16*(1+Assumptions!$D$17)^(D4-1)</f>
        <v/>
      </c>
      <c r="E13">
        <f>-Assumptions!$D$16*(1+Assumptions!$D$17)^(E4-1)</f>
        <v/>
      </c>
      <c r="F13">
        <f>-Assumptions!$D$16*(1+Assumptions!$D$17)^(F4-1)</f>
        <v/>
      </c>
      <c r="G13">
        <f>-Assumptions!$D$16*(1+Assumptions!$D$17)^(G4-1)</f>
        <v/>
      </c>
      <c r="H13">
        <f>-Assumptions!$D$16*(1+Assumptions!$D$17)^(H4-1)</f>
        <v/>
      </c>
      <c r="I13">
        <f>-Assumptions!$D$16*(1+Assumptions!$D$17)^(I4-1)</f>
        <v/>
      </c>
      <c r="J13">
        <f>-Assumptions!$D$16*(1+Assumptions!$D$17)^(J4-1)</f>
        <v/>
      </c>
      <c r="K13">
        <f>-Assumptions!$D$16*(1+Assumptions!$D$17)^(K4-1)</f>
        <v/>
      </c>
      <c r="L13">
        <f>-Assumptions!$D$16*(1+Assumptions!$D$17)^(L4-1)</f>
        <v/>
      </c>
    </row>
    <row r="14">
      <c r="A14" t="inlineStr">
        <is>
          <t xml:space="preserve">  memo: SBC inside corporate costs</t>
        </is>
      </c>
      <c r="B14" s="3" t="n">
        <v>3.4</v>
      </c>
      <c r="C14">
        <f>Assumptions!$B$10*(1+Assumptions!$D$17)^(C4-1)</f>
        <v/>
      </c>
      <c r="D14">
        <f>Assumptions!$B$10*(1+Assumptions!$D$17)^(D4-1)</f>
        <v/>
      </c>
      <c r="E14">
        <f>Assumptions!$B$10*(1+Assumptions!$D$17)^(E4-1)</f>
        <v/>
      </c>
      <c r="F14">
        <f>Assumptions!$B$10*(1+Assumptions!$D$17)^(F4-1)</f>
        <v/>
      </c>
      <c r="G14">
        <f>Assumptions!$B$10*(1+Assumptions!$D$17)^(G4-1)</f>
        <v/>
      </c>
      <c r="H14">
        <f>Assumptions!$B$10*(1+Assumptions!$D$17)^(H4-1)</f>
        <v/>
      </c>
      <c r="I14">
        <f>Assumptions!$B$10*(1+Assumptions!$D$17)^(I4-1)</f>
        <v/>
      </c>
      <c r="J14">
        <f>Assumptions!$B$10*(1+Assumptions!$D$17)^(J4-1)</f>
        <v/>
      </c>
      <c r="K14">
        <f>Assumptions!$B$10*(1+Assumptions!$D$17)^(K4-1)</f>
        <v/>
      </c>
      <c r="L14">
        <f>Assumptions!$B$10*(1+Assumptions!$D$17)^(L4-1)</f>
        <v/>
      </c>
    </row>
    <row r="15">
      <c r="A15" t="inlineStr">
        <is>
          <t>Owner EBITDA (receipts less corporate costs)</t>
        </is>
      </c>
      <c r="B15">
        <f>B11+B13</f>
        <v/>
      </c>
      <c r="C15">
        <f>C11+C13</f>
        <v/>
      </c>
      <c r="D15">
        <f>D11+D13</f>
        <v/>
      </c>
      <c r="E15">
        <f>E11+E13</f>
        <v/>
      </c>
      <c r="F15">
        <f>F11+F13</f>
        <v/>
      </c>
      <c r="G15">
        <f>G11+G13</f>
        <v/>
      </c>
      <c r="H15">
        <f>H11+H13</f>
        <v/>
      </c>
      <c r="I15">
        <f>I11+I13</f>
        <v/>
      </c>
      <c r="J15">
        <f>J11+J13</f>
        <v/>
      </c>
      <c r="K15">
        <f>K11+K13</f>
        <v/>
      </c>
      <c r="L15">
        <f>L11+L13</f>
        <v/>
      </c>
    </row>
    <row r="16">
      <c r="A16" t="inlineStr">
        <is>
          <t>Corporate tax (negative)</t>
        </is>
      </c>
      <c r="B16" s="3" t="n">
        <v>-8</v>
      </c>
      <c r="C16">
        <f>-Assumptions!$D$18*(1+Assumptions!$D$19)^(C4-1)</f>
        <v/>
      </c>
      <c r="D16">
        <f>-Assumptions!$D$18*(1+Assumptions!$D$19)^(D4-1)</f>
        <v/>
      </c>
      <c r="E16">
        <f>-Assumptions!$D$18*(1+Assumptions!$D$19)^(E4-1)</f>
        <v/>
      </c>
      <c r="F16">
        <f>-Assumptions!$D$18*(1+Assumptions!$D$19)^(F4-1)</f>
        <v/>
      </c>
      <c r="G16">
        <f>-Assumptions!$D$18*(1+Assumptions!$D$19)^(G4-1)</f>
        <v/>
      </c>
      <c r="H16">
        <f>-Assumptions!$D$18*(1+Assumptions!$D$19)^(H4-1)</f>
        <v/>
      </c>
      <c r="I16">
        <f>-Assumptions!$D$18*(1+Assumptions!$D$19)^(I4-1)</f>
        <v/>
      </c>
      <c r="J16">
        <f>-Assumptions!$D$18*(1+Assumptions!$D$19)^(J4-1)</f>
        <v/>
      </c>
      <c r="K16">
        <f>-Assumptions!$D$18*(1+Assumptions!$D$19)^(K4-1)</f>
        <v/>
      </c>
      <c r="L16">
        <f>-Assumptions!$D$18*(1+Assumptions!$D$19)^(L4-1)</f>
        <v/>
      </c>
    </row>
    <row r="17">
      <c r="A17" t="inlineStr">
        <is>
          <t>Distributable cash = owner FCF</t>
        </is>
      </c>
      <c r="B17">
        <f>B15+B16</f>
        <v/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  <c r="K17">
        <f>K15+K16</f>
        <v/>
      </c>
      <c r="L17">
        <f>L15+L16</f>
        <v/>
      </c>
    </row>
    <row r="18">
      <c r="A18" t="inlineStr">
        <is>
          <t xml:space="preserve">  per security (cents)</t>
        </is>
      </c>
      <c r="B18">
        <f>B17/Assumptions!$B$4*100</f>
        <v/>
      </c>
      <c r="C18">
        <f>C17/Assumptions!$B$4*100</f>
        <v/>
      </c>
      <c r="D18">
        <f>D17/Assumptions!$B$4*100</f>
        <v/>
      </c>
      <c r="E18">
        <f>E17/Assumptions!$B$4*100</f>
        <v/>
      </c>
      <c r="F18">
        <f>F17/Assumptions!$B$4*100</f>
        <v/>
      </c>
      <c r="G18">
        <f>G17/Assumptions!$B$4*100</f>
        <v/>
      </c>
      <c r="H18">
        <f>H17/Assumptions!$B$4*100</f>
        <v/>
      </c>
      <c r="I18">
        <f>I17/Assumptions!$B$4*100</f>
        <v/>
      </c>
      <c r="J18">
        <f>J17/Assumptions!$B$4*100</f>
        <v/>
      </c>
      <c r="K18">
        <f>K17/Assumptions!$B$4*100</f>
        <v/>
      </c>
      <c r="L18">
        <f>L17/Assumptions!$B$4*100</f>
        <v/>
      </c>
    </row>
    <row r="19">
      <c r="A19" t="inlineStr">
        <is>
          <t>Discount factor</t>
        </is>
      </c>
      <c r="C19">
        <f>1/(1+Assumptions!$B$7)^C4</f>
        <v/>
      </c>
      <c r="D19">
        <f>1/(1+Assumptions!$B$7)^D4</f>
        <v/>
      </c>
      <c r="E19">
        <f>1/(1+Assumptions!$B$7)^E4</f>
        <v/>
      </c>
      <c r="F19">
        <f>1/(1+Assumptions!$B$7)^F4</f>
        <v/>
      </c>
      <c r="G19">
        <f>1/(1+Assumptions!$B$7)^G4</f>
        <v/>
      </c>
      <c r="H19">
        <f>1/(1+Assumptions!$B$7)^H4</f>
        <v/>
      </c>
      <c r="I19">
        <f>1/(1+Assumptions!$B$7)^I4</f>
        <v/>
      </c>
      <c r="J19">
        <f>1/(1+Assumptions!$B$7)^J4</f>
        <v/>
      </c>
      <c r="K19">
        <f>1/(1+Assumptions!$B$7)^K4</f>
        <v/>
      </c>
      <c r="L19">
        <f>1/(1+Assumptions!$B$7)^L4</f>
        <v/>
      </c>
    </row>
    <row r="20">
      <c r="A20" t="inlineStr">
        <is>
          <t>PV of distributable cash</t>
        </is>
      </c>
      <c r="C20">
        <f>C17*C19</f>
        <v/>
      </c>
      <c r="D20">
        <f>D17*D19</f>
        <v/>
      </c>
      <c r="E20">
        <f>E17*E19</f>
        <v/>
      </c>
      <c r="F20">
        <f>F17*F19</f>
        <v/>
      </c>
      <c r="G20">
        <f>G17*G19</f>
        <v/>
      </c>
      <c r="H20">
        <f>H17*H19</f>
        <v/>
      </c>
      <c r="I20">
        <f>I17*I19</f>
        <v/>
      </c>
      <c r="J20">
        <f>J17*J19</f>
        <v/>
      </c>
      <c r="K20">
        <f>K17*K19</f>
        <v/>
      </c>
      <c r="L20">
        <f>L17*L19</f>
        <v/>
      </c>
    </row>
    <row r="22">
      <c r="A22" t="inlineStr">
        <is>
          <t>Sum of PV (FY2026-35)</t>
        </is>
      </c>
      <c r="B22">
        <f>SUM(C20:L20)</f>
        <v/>
      </c>
    </row>
    <row r="23">
      <c r="A23" t="inlineStr">
        <is>
          <t>Skyway receipts FY2035 (A$m)</t>
        </is>
      </c>
      <c r="B23">
        <f>L10</f>
        <v/>
      </c>
    </row>
    <row r="24">
      <c r="A24" t="inlineStr">
        <is>
          <t>Skyway tail growth</t>
        </is>
      </c>
      <c r="B24" s="5">
        <f>Assumptions!$D$20</f>
        <v/>
      </c>
    </row>
    <row r="25">
      <c r="A25" t="inlineStr">
        <is>
          <t>Skyway tail years</t>
        </is>
      </c>
      <c r="B25" s="5">
        <f>Assumptions!$D$21</f>
        <v/>
      </c>
    </row>
    <row r="26">
      <c r="A26" t="inlineStr">
        <is>
          <t>Skyway tail value at end-2035</t>
        </is>
      </c>
      <c r="B26">
        <f>B23*(1+B24)/(Assumptions!$B$7-B24)*(1-((1+B24)/(1+Assumptions!$B$7))^B25)</f>
        <v/>
      </c>
    </row>
    <row r="27">
      <c r="A27" t="inlineStr">
        <is>
          <t>French tail EUR m/yr</t>
        </is>
      </c>
      <c r="B27" s="5">
        <f>Assumptions!$D$22</f>
        <v/>
      </c>
    </row>
    <row r="28">
      <c r="A28" t="inlineStr">
        <is>
          <t>French tail A$m/yr</t>
        </is>
      </c>
      <c r="B28">
        <f>B27*Assumptions!$D$14</f>
        <v/>
      </c>
    </row>
    <row r="29">
      <c r="A29" t="inlineStr">
        <is>
          <t>French tail years</t>
        </is>
      </c>
      <c r="B29" s="5">
        <f>Assumptions!$D$23</f>
        <v/>
      </c>
    </row>
    <row r="30">
      <c r="A30" t="inlineStr">
        <is>
          <t>French tail value at end-2035</t>
        </is>
      </c>
      <c r="B30">
        <f>B28/Assumptions!$B$7*(1-(1+Assumptions!$B$7)^-B29)</f>
        <v/>
      </c>
    </row>
    <row r="31">
      <c r="A31" t="inlineStr">
        <is>
          <t>French re-concession lump at 2035</t>
        </is>
      </c>
      <c r="B31" s="5">
        <f>Assumptions!$D$24</f>
        <v/>
      </c>
    </row>
    <row r="32">
      <c r="A32" t="inlineStr">
        <is>
          <t>Terminal (residual) value at end-2035</t>
        </is>
      </c>
      <c r="B32">
        <f>B26+B30+B31</f>
        <v/>
      </c>
    </row>
    <row r="33">
      <c r="A33" t="inlineStr">
        <is>
          <t>Implied multiple of FY2035 distributable cash</t>
        </is>
      </c>
      <c r="B33">
        <f>B32/L17</f>
        <v/>
      </c>
    </row>
    <row r="34">
      <c r="A34" t="inlineStr">
        <is>
          <t>PV of terminal</t>
        </is>
      </c>
      <c r="B34">
        <f>B32*L19</f>
        <v/>
      </c>
    </row>
    <row r="35">
      <c r="A35" t="inlineStr">
        <is>
          <t>Enterprise value (PV of all equity flows)</t>
        </is>
      </c>
      <c r="B35">
        <f>B22+B34</f>
        <v/>
      </c>
    </row>
    <row r="36">
      <c r="A36" t="inlineStr">
        <is>
          <t>Corporate cash 31-Dec-2025</t>
        </is>
      </c>
      <c r="B36" s="5">
        <f>Assumptions!$B$5</f>
        <v/>
      </c>
    </row>
    <row r="37">
      <c r="A37" t="inlineStr">
        <is>
          <t>less OTPP put settlement</t>
        </is>
      </c>
      <c r="B37" s="5">
        <f>Assumptions!$B$6</f>
        <v/>
      </c>
    </row>
    <row r="38">
      <c r="A38" t="inlineStr">
        <is>
          <t>Greenway equity (locked up)</t>
        </is>
      </c>
      <c r="B38" s="5">
        <f>Assumptions!$D$25</f>
        <v/>
      </c>
    </row>
    <row r="39">
      <c r="A39" t="inlineStr">
        <is>
          <t>Warnow equity</t>
        </is>
      </c>
      <c r="B39" s="5">
        <f>Assumptions!$D$26</f>
        <v/>
      </c>
    </row>
    <row r="40">
      <c r="A40" t="inlineStr">
        <is>
          <t>Net cash / bridge</t>
        </is>
      </c>
      <c r="B40">
        <f>SUM(B36:B39)</f>
        <v/>
      </c>
    </row>
    <row r="41">
      <c r="A41" t="inlineStr">
        <is>
          <t>Equity value</t>
        </is>
      </c>
      <c r="B41">
        <f>B35+B40</f>
        <v/>
      </c>
    </row>
    <row r="42">
      <c r="A42" t="inlineStr">
        <is>
          <t>Diluted securities (m)</t>
        </is>
      </c>
      <c r="B42" s="5">
        <f>Assumptions!$B$4</f>
        <v/>
      </c>
    </row>
    <row r="43">
      <c r="A43" t="inlineStr">
        <is>
          <t>VALUE PER SECURITY (A$)</t>
        </is>
      </c>
      <c r="B43" s="6">
        <f>B41/B42</f>
        <v/>
      </c>
    </row>
    <row r="44">
      <c r="A44" t="inlineStr">
        <is>
          <t>Upside vs price</t>
        </is>
      </c>
      <c r="B44">
        <f>B43/Assumptions!$B$3-1</f>
        <v/>
      </c>
    </row>
    <row r="46">
      <c r="A46" t="inlineStr">
        <is>
          <t>Entry price at hurdle</t>
        </is>
      </c>
    </row>
    <row r="47">
      <c r="A47" t="inlineStr">
        <is>
          <t>Skyway tail value at hurdle</t>
        </is>
      </c>
      <c r="B47">
        <f>B23*(1+B24)/(Assumptions!$B$8-B24)*(1-((1+B24)/(1+Assumptions!$B$8))^B25)</f>
        <v/>
      </c>
    </row>
    <row r="48">
      <c r="A48" t="inlineStr">
        <is>
          <t>French tail value at hurdle</t>
        </is>
      </c>
      <c r="B48">
        <f>B28/Assumptions!$B$8*(1-(1+Assumptions!$B$8)^-B29)</f>
        <v/>
      </c>
    </row>
    <row r="49">
      <c r="A49" t="inlineStr">
        <is>
          <t>Terminal at hurdle</t>
        </is>
      </c>
      <c r="B49">
        <f>B47+B48+B31</f>
        <v/>
      </c>
    </row>
    <row r="50">
      <c r="A50" t="inlineStr">
        <is>
          <t>PV of interim cash at hurdle</t>
        </is>
      </c>
      <c r="B50">
        <f>SUMPRODUCT(C17:L17/(1+Assumptions!$B$8)^C4:L4)</f>
        <v/>
      </c>
    </row>
    <row r="51">
      <c r="A51" t="inlineStr">
        <is>
          <t>ENTRY PRICE (A$)</t>
        </is>
      </c>
      <c r="B51" s="7">
        <f>(B50+B49/(1+Assumptions!$B$8)^10+B40)/B42</f>
        <v/>
      </c>
    </row>
    <row r="52">
      <c r="A52" t="inlineStr">
        <is>
          <t>Entry discount vs price</t>
        </is>
      </c>
      <c r="B52">
        <f>B51/Assumptions!$B$3-1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2" t="inlineStr">
        <is>
          <t>DCF_Bull -- A$m unless stated; column B = FY2025 actual, C..L = FY2026-FY2035</t>
        </is>
      </c>
    </row>
    <row r="3">
      <c r="A3" t="inlineStr">
        <is>
          <t>Year</t>
        </is>
      </c>
      <c r="B3" t="inlineStr">
        <is>
          <t>2025A</t>
        </is>
      </c>
      <c r="C3" t="inlineStr">
        <is>
          <t>2026E</t>
        </is>
      </c>
      <c r="D3" t="inlineStr">
        <is>
          <t>2027E</t>
        </is>
      </c>
      <c r="E3" t="inlineStr">
        <is>
          <t>2028E</t>
        </is>
      </c>
      <c r="F3" t="inlineStr">
        <is>
          <t>2029E</t>
        </is>
      </c>
      <c r="G3" t="inlineStr">
        <is>
          <t>2030E</t>
        </is>
      </c>
      <c r="H3" t="inlineStr">
        <is>
          <t>2031E</t>
        </is>
      </c>
      <c r="I3" t="inlineStr">
        <is>
          <t>2032E</t>
        </is>
      </c>
      <c r="J3" t="inlineStr">
        <is>
          <t>2033E</t>
        </is>
      </c>
      <c r="K3" t="inlineStr">
        <is>
          <t>2034E</t>
        </is>
      </c>
      <c r="L3" t="inlineStr">
        <is>
          <t>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APRR-group receipts (EUR m)</t>
        </is>
      </c>
      <c r="C5" s="5">
        <f>Assumptions!C33</f>
        <v/>
      </c>
      <c r="D5" s="5">
        <f>Assumptions!D33</f>
        <v/>
      </c>
      <c r="E5" s="5">
        <f>Assumptions!E33</f>
        <v/>
      </c>
      <c r="F5" s="5">
        <f>Assumptions!F33</f>
        <v/>
      </c>
      <c r="G5" s="5">
        <f>Assumptions!G33</f>
        <v/>
      </c>
      <c r="H5" s="5">
        <f>Assumptions!H33</f>
        <v/>
      </c>
      <c r="I5" s="5">
        <f>Assumptions!I33</f>
        <v/>
      </c>
      <c r="J5" s="5">
        <f>Assumptions!J33</f>
        <v/>
      </c>
      <c r="K5" s="5">
        <f>Assumptions!K33</f>
        <v/>
      </c>
      <c r="L5" s="5">
        <f>Assumptions!L33</f>
        <v/>
      </c>
    </row>
    <row r="6">
      <c r="A6" t="inlineStr">
        <is>
          <t>EUR/AUD</t>
        </is>
      </c>
      <c r="C6" s="5">
        <f>Assumptions!$E$14</f>
        <v/>
      </c>
      <c r="D6" s="5">
        <f>Assumptions!$E$14</f>
        <v/>
      </c>
      <c r="E6" s="5">
        <f>Assumptions!$E$14</f>
        <v/>
      </c>
      <c r="F6" s="5">
        <f>Assumptions!$E$14</f>
        <v/>
      </c>
      <c r="G6" s="5">
        <f>Assumptions!$E$14</f>
        <v/>
      </c>
      <c r="H6" s="5">
        <f>Assumptions!$E$14</f>
        <v/>
      </c>
      <c r="I6" s="5">
        <f>Assumptions!$E$14</f>
        <v/>
      </c>
      <c r="J6" s="5">
        <f>Assumptions!$E$14</f>
        <v/>
      </c>
      <c r="K6" s="5">
        <f>Assumptions!$E$14</f>
        <v/>
      </c>
      <c r="L6" s="5">
        <f>Assumptions!$E$14</f>
        <v/>
      </c>
    </row>
    <row r="7">
      <c r="A7" t="inlineStr">
        <is>
          <t>APRR receipts (A$m)</t>
        </is>
      </c>
      <c r="B7" s="3" t="n">
        <v>498.2</v>
      </c>
      <c r="C7">
        <f>C5*C6</f>
        <v/>
      </c>
      <c r="D7">
        <f>D5*D6</f>
        <v/>
      </c>
      <c r="E7">
        <f>E5*E6</f>
        <v/>
      </c>
      <c r="F7">
        <f>F5*F6</f>
        <v/>
      </c>
      <c r="G7">
        <f>G5*G6</f>
        <v/>
      </c>
      <c r="H7">
        <f>H5*H6</f>
        <v/>
      </c>
      <c r="I7">
        <f>I5*I6</f>
        <v/>
      </c>
      <c r="J7">
        <f>J5*J6</f>
        <v/>
      </c>
      <c r="K7">
        <f>K5*K6</f>
        <v/>
      </c>
      <c r="L7">
        <f>L5*L6</f>
        <v/>
      </c>
    </row>
    <row r="8">
      <c r="A8" t="inlineStr">
        <is>
          <t>Skyway receipts (US$ m)</t>
        </is>
      </c>
      <c r="C8" s="5">
        <f>Assumptions!C38</f>
        <v/>
      </c>
      <c r="D8" s="5">
        <f>Assumptions!D38</f>
        <v/>
      </c>
      <c r="E8" s="5">
        <f>Assumptions!E38</f>
        <v/>
      </c>
      <c r="F8" s="5">
        <f>Assumptions!F38</f>
        <v/>
      </c>
      <c r="G8" s="5">
        <f>Assumptions!G38</f>
        <v/>
      </c>
      <c r="H8" s="5">
        <f>Assumptions!H38</f>
        <v/>
      </c>
      <c r="I8" s="5">
        <f>Assumptions!I38</f>
        <v/>
      </c>
      <c r="J8" s="5">
        <f>Assumptions!J38</f>
        <v/>
      </c>
      <c r="K8" s="5">
        <f>Assumptions!K38</f>
        <v/>
      </c>
      <c r="L8" s="5">
        <f>Assumptions!L38</f>
        <v/>
      </c>
    </row>
    <row r="9">
      <c r="A9" t="inlineStr">
        <is>
          <t>AUD/USD</t>
        </is>
      </c>
      <c r="C9" s="5">
        <f>Assumptions!$E$15</f>
        <v/>
      </c>
      <c r="D9" s="5">
        <f>Assumptions!$E$15</f>
        <v/>
      </c>
      <c r="E9" s="5">
        <f>Assumptions!$E$15</f>
        <v/>
      </c>
      <c r="F9" s="5">
        <f>Assumptions!$E$15</f>
        <v/>
      </c>
      <c r="G9" s="5">
        <f>Assumptions!$E$15</f>
        <v/>
      </c>
      <c r="H9" s="5">
        <f>Assumptions!$E$15</f>
        <v/>
      </c>
      <c r="I9" s="5">
        <f>Assumptions!$E$15</f>
        <v/>
      </c>
      <c r="J9" s="5">
        <f>Assumptions!$E$15</f>
        <v/>
      </c>
      <c r="K9" s="5">
        <f>Assumptions!$E$15</f>
        <v/>
      </c>
      <c r="L9" s="5">
        <f>Assumptions!$E$15</f>
        <v/>
      </c>
    </row>
    <row r="10">
      <c r="A10" t="inlineStr">
        <is>
          <t>Skyway receipts (A$m)</t>
        </is>
      </c>
      <c r="B10" s="3" t="n">
        <v>36.8</v>
      </c>
      <c r="C10">
        <f>C8/C9</f>
        <v/>
      </c>
      <c r="D10">
        <f>D8/D9</f>
        <v/>
      </c>
      <c r="E10">
        <f>E8/E9</f>
        <v/>
      </c>
      <c r="F10">
        <f>F8/F9</f>
        <v/>
      </c>
      <c r="G10">
        <f>G8/G9</f>
        <v/>
      </c>
      <c r="H10">
        <f>H8/H9</f>
        <v/>
      </c>
      <c r="I10">
        <f>I8/I9</f>
        <v/>
      </c>
      <c r="J10">
        <f>J8/J9</f>
        <v/>
      </c>
      <c r="K10">
        <f>K8/K9</f>
        <v/>
      </c>
      <c r="L10">
        <f>L8/L9</f>
        <v/>
      </c>
    </row>
    <row r="11">
      <c r="A11" t="inlineStr">
        <is>
          <t>Total receipts</t>
        </is>
      </c>
      <c r="B11">
        <f>B7+B10</f>
        <v/>
      </c>
      <c r="C11">
        <f>C7+C10</f>
        <v/>
      </c>
      <c r="D11">
        <f>D7+D10</f>
        <v/>
      </c>
      <c r="E11">
        <f>E7+E10</f>
        <v/>
      </c>
      <c r="F11">
        <f>F7+F10</f>
        <v/>
      </c>
      <c r="G11">
        <f>G7+G10</f>
        <v/>
      </c>
      <c r="H11">
        <f>H7+H10</f>
        <v/>
      </c>
      <c r="I11">
        <f>I7+I10</f>
        <v/>
      </c>
      <c r="J11">
        <f>J7+J10</f>
        <v/>
      </c>
      <c r="K11">
        <f>K7+K10</f>
        <v/>
      </c>
      <c r="L11">
        <f>L7+L10</f>
        <v/>
      </c>
    </row>
    <row r="12">
      <c r="A12" t="inlineStr">
        <is>
          <t>Receipts growth</t>
        </is>
      </c>
      <c r="C12">
        <f>C11/B11-1</f>
        <v/>
      </c>
      <c r="D12">
        <f>D11/C11-1</f>
        <v/>
      </c>
      <c r="E12">
        <f>E11/D11-1</f>
        <v/>
      </c>
      <c r="F12">
        <f>F11/E11-1</f>
        <v/>
      </c>
      <c r="G12">
        <f>G11/F11-1</f>
        <v/>
      </c>
      <c r="H12">
        <f>H11/G11-1</f>
        <v/>
      </c>
      <c r="I12">
        <f>I11/H11-1</f>
        <v/>
      </c>
      <c r="J12">
        <f>J11/I11-1</f>
        <v/>
      </c>
      <c r="K12">
        <f>K11/J11-1</f>
        <v/>
      </c>
      <c r="L12">
        <f>L11/K11-1</f>
        <v/>
      </c>
    </row>
    <row r="13">
      <c r="A13" t="inlineStr">
        <is>
          <t>Corporate cash costs incl. SBC (negative)</t>
        </is>
      </c>
      <c r="B13" s="3" t="n">
        <v>-52.6</v>
      </c>
      <c r="C13">
        <f>-Assumptions!$E$16*(1+Assumptions!$E$17)^(C4-1)</f>
        <v/>
      </c>
      <c r="D13">
        <f>-Assumptions!$E$16*(1+Assumptions!$E$17)^(D4-1)</f>
        <v/>
      </c>
      <c r="E13">
        <f>-Assumptions!$E$16*(1+Assumptions!$E$17)^(E4-1)</f>
        <v/>
      </c>
      <c r="F13">
        <f>-Assumptions!$E$16*(1+Assumptions!$E$17)^(F4-1)</f>
        <v/>
      </c>
      <c r="G13">
        <f>-Assumptions!$E$16*(1+Assumptions!$E$17)^(G4-1)</f>
        <v/>
      </c>
      <c r="H13">
        <f>-Assumptions!$E$16*(1+Assumptions!$E$17)^(H4-1)</f>
        <v/>
      </c>
      <c r="I13">
        <f>-Assumptions!$E$16*(1+Assumptions!$E$17)^(I4-1)</f>
        <v/>
      </c>
      <c r="J13">
        <f>-Assumptions!$E$16*(1+Assumptions!$E$17)^(J4-1)</f>
        <v/>
      </c>
      <c r="K13">
        <f>-Assumptions!$E$16*(1+Assumptions!$E$17)^(K4-1)</f>
        <v/>
      </c>
      <c r="L13">
        <f>-Assumptions!$E$16*(1+Assumptions!$E$17)^(L4-1)</f>
        <v/>
      </c>
    </row>
    <row r="14">
      <c r="A14" t="inlineStr">
        <is>
          <t xml:space="preserve">  memo: SBC inside corporate costs</t>
        </is>
      </c>
      <c r="B14" s="3" t="n">
        <v>3.4</v>
      </c>
      <c r="C14">
        <f>Assumptions!$B$10*(1+Assumptions!$E$17)^(C4-1)</f>
        <v/>
      </c>
      <c r="D14">
        <f>Assumptions!$B$10*(1+Assumptions!$E$17)^(D4-1)</f>
        <v/>
      </c>
      <c r="E14">
        <f>Assumptions!$B$10*(1+Assumptions!$E$17)^(E4-1)</f>
        <v/>
      </c>
      <c r="F14">
        <f>Assumptions!$B$10*(1+Assumptions!$E$17)^(F4-1)</f>
        <v/>
      </c>
      <c r="G14">
        <f>Assumptions!$B$10*(1+Assumptions!$E$17)^(G4-1)</f>
        <v/>
      </c>
      <c r="H14">
        <f>Assumptions!$B$10*(1+Assumptions!$E$17)^(H4-1)</f>
        <v/>
      </c>
      <c r="I14">
        <f>Assumptions!$B$10*(1+Assumptions!$E$17)^(I4-1)</f>
        <v/>
      </c>
      <c r="J14">
        <f>Assumptions!$B$10*(1+Assumptions!$E$17)^(J4-1)</f>
        <v/>
      </c>
      <c r="K14">
        <f>Assumptions!$B$10*(1+Assumptions!$E$17)^(K4-1)</f>
        <v/>
      </c>
      <c r="L14">
        <f>Assumptions!$B$10*(1+Assumptions!$E$17)^(L4-1)</f>
        <v/>
      </c>
    </row>
    <row r="15">
      <c r="A15" t="inlineStr">
        <is>
          <t>Owner EBITDA (receipts less corporate costs)</t>
        </is>
      </c>
      <c r="B15">
        <f>B11+B13</f>
        <v/>
      </c>
      <c r="C15">
        <f>C11+C13</f>
        <v/>
      </c>
      <c r="D15">
        <f>D11+D13</f>
        <v/>
      </c>
      <c r="E15">
        <f>E11+E13</f>
        <v/>
      </c>
      <c r="F15">
        <f>F11+F13</f>
        <v/>
      </c>
      <c r="G15">
        <f>G11+G13</f>
        <v/>
      </c>
      <c r="H15">
        <f>H11+H13</f>
        <v/>
      </c>
      <c r="I15">
        <f>I11+I13</f>
        <v/>
      </c>
      <c r="J15">
        <f>J11+J13</f>
        <v/>
      </c>
      <c r="K15">
        <f>K11+K13</f>
        <v/>
      </c>
      <c r="L15">
        <f>L11+L13</f>
        <v/>
      </c>
    </row>
    <row r="16">
      <c r="A16" t="inlineStr">
        <is>
          <t>Corporate tax (negative)</t>
        </is>
      </c>
      <c r="B16" s="3" t="n">
        <v>-8</v>
      </c>
      <c r="C16">
        <f>-Assumptions!$E$18*(1+Assumptions!$E$19)^(C4-1)</f>
        <v/>
      </c>
      <c r="D16">
        <f>-Assumptions!$E$18*(1+Assumptions!$E$19)^(D4-1)</f>
        <v/>
      </c>
      <c r="E16">
        <f>-Assumptions!$E$18*(1+Assumptions!$E$19)^(E4-1)</f>
        <v/>
      </c>
      <c r="F16">
        <f>-Assumptions!$E$18*(1+Assumptions!$E$19)^(F4-1)</f>
        <v/>
      </c>
      <c r="G16">
        <f>-Assumptions!$E$18*(1+Assumptions!$E$19)^(G4-1)</f>
        <v/>
      </c>
      <c r="H16">
        <f>-Assumptions!$E$18*(1+Assumptions!$E$19)^(H4-1)</f>
        <v/>
      </c>
      <c r="I16">
        <f>-Assumptions!$E$18*(1+Assumptions!$E$19)^(I4-1)</f>
        <v/>
      </c>
      <c r="J16">
        <f>-Assumptions!$E$18*(1+Assumptions!$E$19)^(J4-1)</f>
        <v/>
      </c>
      <c r="K16">
        <f>-Assumptions!$E$18*(1+Assumptions!$E$19)^(K4-1)</f>
        <v/>
      </c>
      <c r="L16">
        <f>-Assumptions!$E$18*(1+Assumptions!$E$19)^(L4-1)</f>
        <v/>
      </c>
    </row>
    <row r="17">
      <c r="A17" t="inlineStr">
        <is>
          <t>Distributable cash = owner FCF</t>
        </is>
      </c>
      <c r="B17">
        <f>B15+B16</f>
        <v/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  <c r="K17">
        <f>K15+K16</f>
        <v/>
      </c>
      <c r="L17">
        <f>L15+L16</f>
        <v/>
      </c>
    </row>
    <row r="18">
      <c r="A18" t="inlineStr">
        <is>
          <t xml:space="preserve">  per security (cents)</t>
        </is>
      </c>
      <c r="B18">
        <f>B17/Assumptions!$B$4*100</f>
        <v/>
      </c>
      <c r="C18">
        <f>C17/Assumptions!$B$4*100</f>
        <v/>
      </c>
      <c r="D18">
        <f>D17/Assumptions!$B$4*100</f>
        <v/>
      </c>
      <c r="E18">
        <f>E17/Assumptions!$B$4*100</f>
        <v/>
      </c>
      <c r="F18">
        <f>F17/Assumptions!$B$4*100</f>
        <v/>
      </c>
      <c r="G18">
        <f>G17/Assumptions!$B$4*100</f>
        <v/>
      </c>
      <c r="H18">
        <f>H17/Assumptions!$B$4*100</f>
        <v/>
      </c>
      <c r="I18">
        <f>I17/Assumptions!$B$4*100</f>
        <v/>
      </c>
      <c r="J18">
        <f>J17/Assumptions!$B$4*100</f>
        <v/>
      </c>
      <c r="K18">
        <f>K17/Assumptions!$B$4*100</f>
        <v/>
      </c>
      <c r="L18">
        <f>L17/Assumptions!$B$4*100</f>
        <v/>
      </c>
    </row>
    <row r="19">
      <c r="A19" t="inlineStr">
        <is>
          <t>Discount factor</t>
        </is>
      </c>
      <c r="C19">
        <f>1/(1+Assumptions!$B$7)^C4</f>
        <v/>
      </c>
      <c r="D19">
        <f>1/(1+Assumptions!$B$7)^D4</f>
        <v/>
      </c>
      <c r="E19">
        <f>1/(1+Assumptions!$B$7)^E4</f>
        <v/>
      </c>
      <c r="F19">
        <f>1/(1+Assumptions!$B$7)^F4</f>
        <v/>
      </c>
      <c r="G19">
        <f>1/(1+Assumptions!$B$7)^G4</f>
        <v/>
      </c>
      <c r="H19">
        <f>1/(1+Assumptions!$B$7)^H4</f>
        <v/>
      </c>
      <c r="I19">
        <f>1/(1+Assumptions!$B$7)^I4</f>
        <v/>
      </c>
      <c r="J19">
        <f>1/(1+Assumptions!$B$7)^J4</f>
        <v/>
      </c>
      <c r="K19">
        <f>1/(1+Assumptions!$B$7)^K4</f>
        <v/>
      </c>
      <c r="L19">
        <f>1/(1+Assumptions!$B$7)^L4</f>
        <v/>
      </c>
    </row>
    <row r="20">
      <c r="A20" t="inlineStr">
        <is>
          <t>PV of distributable cash</t>
        </is>
      </c>
      <c r="C20">
        <f>C17*C19</f>
        <v/>
      </c>
      <c r="D20">
        <f>D17*D19</f>
        <v/>
      </c>
      <c r="E20">
        <f>E17*E19</f>
        <v/>
      </c>
      <c r="F20">
        <f>F17*F19</f>
        <v/>
      </c>
      <c r="G20">
        <f>G17*G19</f>
        <v/>
      </c>
      <c r="H20">
        <f>H17*H19</f>
        <v/>
      </c>
      <c r="I20">
        <f>I17*I19</f>
        <v/>
      </c>
      <c r="J20">
        <f>J17*J19</f>
        <v/>
      </c>
      <c r="K20">
        <f>K17*K19</f>
        <v/>
      </c>
      <c r="L20">
        <f>L17*L19</f>
        <v/>
      </c>
    </row>
    <row r="22">
      <c r="A22" t="inlineStr">
        <is>
          <t>Sum of PV (FY2026-35)</t>
        </is>
      </c>
      <c r="B22">
        <f>SUM(C20:L20)</f>
        <v/>
      </c>
    </row>
    <row r="23">
      <c r="A23" t="inlineStr">
        <is>
          <t>Skyway receipts FY2035 (A$m)</t>
        </is>
      </c>
      <c r="B23">
        <f>L10</f>
        <v/>
      </c>
    </row>
    <row r="24">
      <c r="A24" t="inlineStr">
        <is>
          <t>Skyway tail growth</t>
        </is>
      </c>
      <c r="B24" s="5">
        <f>Assumptions!$E$20</f>
        <v/>
      </c>
    </row>
    <row r="25">
      <c r="A25" t="inlineStr">
        <is>
          <t>Skyway tail years</t>
        </is>
      </c>
      <c r="B25" s="5">
        <f>Assumptions!$E$21</f>
        <v/>
      </c>
    </row>
    <row r="26">
      <c r="A26" t="inlineStr">
        <is>
          <t>Skyway tail value at end-2035</t>
        </is>
      </c>
      <c r="B26">
        <f>B23*(1+B24)/(Assumptions!$B$7-B24)*(1-((1+B24)/(1+Assumptions!$B$7))^B25)</f>
        <v/>
      </c>
    </row>
    <row r="27">
      <c r="A27" t="inlineStr">
        <is>
          <t>French tail EUR m/yr</t>
        </is>
      </c>
      <c r="B27" s="5">
        <f>Assumptions!$E$22</f>
        <v/>
      </c>
    </row>
    <row r="28">
      <c r="A28" t="inlineStr">
        <is>
          <t>French tail A$m/yr</t>
        </is>
      </c>
      <c r="B28">
        <f>B27*Assumptions!$E$14</f>
        <v/>
      </c>
    </row>
    <row r="29">
      <c r="A29" t="inlineStr">
        <is>
          <t>French tail years</t>
        </is>
      </c>
      <c r="B29" s="5">
        <f>Assumptions!$E$23</f>
        <v/>
      </c>
    </row>
    <row r="30">
      <c r="A30" t="inlineStr">
        <is>
          <t>French tail value at end-2035</t>
        </is>
      </c>
      <c r="B30">
        <f>B28/Assumptions!$B$7*(1-(1+Assumptions!$B$7)^-B29)</f>
        <v/>
      </c>
    </row>
    <row r="31">
      <c r="A31" t="inlineStr">
        <is>
          <t>French re-concession lump at 2035</t>
        </is>
      </c>
      <c r="B31" s="5">
        <f>Assumptions!$E$24</f>
        <v/>
      </c>
    </row>
    <row r="32">
      <c r="A32" t="inlineStr">
        <is>
          <t>Terminal (residual) value at end-2035</t>
        </is>
      </c>
      <c r="B32">
        <f>B26+B30+B31</f>
        <v/>
      </c>
    </row>
    <row r="33">
      <c r="A33" t="inlineStr">
        <is>
          <t>Implied multiple of FY2035 distributable cash</t>
        </is>
      </c>
      <c r="B33">
        <f>B32/L17</f>
        <v/>
      </c>
    </row>
    <row r="34">
      <c r="A34" t="inlineStr">
        <is>
          <t>PV of terminal</t>
        </is>
      </c>
      <c r="B34">
        <f>B32*L19</f>
        <v/>
      </c>
    </row>
    <row r="35">
      <c r="A35" t="inlineStr">
        <is>
          <t>Enterprise value (PV of all equity flows)</t>
        </is>
      </c>
      <c r="B35">
        <f>B22+B34</f>
        <v/>
      </c>
    </row>
    <row r="36">
      <c r="A36" t="inlineStr">
        <is>
          <t>Corporate cash 31-Dec-2025</t>
        </is>
      </c>
      <c r="B36" s="5">
        <f>Assumptions!$B$5</f>
        <v/>
      </c>
    </row>
    <row r="37">
      <c r="A37" t="inlineStr">
        <is>
          <t>less OTPP put settlement</t>
        </is>
      </c>
      <c r="B37" s="5">
        <f>Assumptions!$B$6</f>
        <v/>
      </c>
    </row>
    <row r="38">
      <c r="A38" t="inlineStr">
        <is>
          <t>Greenway equity (locked up)</t>
        </is>
      </c>
      <c r="B38" s="5">
        <f>Assumptions!$E$25</f>
        <v/>
      </c>
    </row>
    <row r="39">
      <c r="A39" t="inlineStr">
        <is>
          <t>Warnow equity</t>
        </is>
      </c>
      <c r="B39" s="5">
        <f>Assumptions!$E$26</f>
        <v/>
      </c>
    </row>
    <row r="40">
      <c r="A40" t="inlineStr">
        <is>
          <t>Net cash / bridge</t>
        </is>
      </c>
      <c r="B40">
        <f>SUM(B36:B39)</f>
        <v/>
      </c>
    </row>
    <row r="41">
      <c r="A41" t="inlineStr">
        <is>
          <t>Equity value</t>
        </is>
      </c>
      <c r="B41">
        <f>B35+B40</f>
        <v/>
      </c>
    </row>
    <row r="42">
      <c r="A42" t="inlineStr">
        <is>
          <t>Diluted securities (m)</t>
        </is>
      </c>
      <c r="B42" s="5">
        <f>Assumptions!$B$4</f>
        <v/>
      </c>
    </row>
    <row r="43">
      <c r="A43" t="inlineStr">
        <is>
          <t>VALUE PER SECURITY (A$)</t>
        </is>
      </c>
      <c r="B43" s="6">
        <f>B41/B42</f>
        <v/>
      </c>
    </row>
    <row r="44">
      <c r="A44" t="inlineStr">
        <is>
          <t>Upside vs price</t>
        </is>
      </c>
      <c r="B44">
        <f>B43/Assumptions!$B$3-1</f>
        <v/>
      </c>
    </row>
    <row r="46">
      <c r="A46" t="inlineStr">
        <is>
          <t>Entry price at hurdle</t>
        </is>
      </c>
    </row>
    <row r="47">
      <c r="A47" t="inlineStr">
        <is>
          <t>Skyway tail value at hurdle</t>
        </is>
      </c>
      <c r="B47">
        <f>B23*(1+B24)/(Assumptions!$B$8-B24)*(1-((1+B24)/(1+Assumptions!$B$8))^B25)</f>
        <v/>
      </c>
    </row>
    <row r="48">
      <c r="A48" t="inlineStr">
        <is>
          <t>French tail value at hurdle</t>
        </is>
      </c>
      <c r="B48">
        <f>B28/Assumptions!$B$8*(1-(1+Assumptions!$B$8)^-B29)</f>
        <v/>
      </c>
    </row>
    <row r="49">
      <c r="A49" t="inlineStr">
        <is>
          <t>Terminal at hurdle</t>
        </is>
      </c>
      <c r="B49">
        <f>B47+B48+B31</f>
        <v/>
      </c>
    </row>
    <row r="50">
      <c r="A50" t="inlineStr">
        <is>
          <t>PV of interim cash at hurdle</t>
        </is>
      </c>
      <c r="B50">
        <f>SUMPRODUCT(C17:L17/(1+Assumptions!$B$8)^C4:L4)</f>
        <v/>
      </c>
    </row>
    <row r="51">
      <c r="A51" t="inlineStr">
        <is>
          <t>ENTRY PRICE (A$)</t>
        </is>
      </c>
      <c r="B51" s="7">
        <f>(B50+B49/(1+Assumptions!$B$8)^10+B40)/B42</f>
        <v/>
      </c>
    </row>
    <row r="52">
      <c r="A52" t="inlineStr">
        <is>
          <t>Entry discount vs price</t>
        </is>
      </c>
      <c r="B52">
        <f>B51/Assumptions!$B$3-1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3" max="3"/>
  </cols>
  <sheetData>
    <row r="1">
      <c r="A1" t="inlineStr">
        <is>
          <t>FY2025 bridge (A$m)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Statutory operating cash flow</t>
        </is>
      </c>
      <c r="B2" t="n">
        <v>88.2</v>
      </c>
      <c r="C2" t="inlineStr">
        <is>
          <t>Greenway/Skyway/Warnow ops only</t>
        </is>
      </c>
    </row>
    <row r="3">
      <c r="A3" t="inlineStr">
        <is>
          <t>less capex</t>
        </is>
      </c>
      <c r="B3" t="n">
        <v>-0.6</v>
      </c>
      <c r="C3" t="inlineStr"/>
    </row>
    <row r="4">
      <c r="A4" t="inlineStr">
        <is>
          <t>Equals reported FCF (statutory)</t>
        </is>
      </c>
      <c r="B4">
        <f>B2+B3</f>
        <v/>
      </c>
      <c r="C4" t="inlineStr">
        <is>
          <t>NOT cash generation for this holdco</t>
        </is>
      </c>
    </row>
    <row r="5">
      <c r="A5" t="inlineStr">
        <is>
          <t>Distributions from MAF2 (APRR)</t>
        </is>
      </c>
      <c r="B5" t="n">
        <v>498.2</v>
      </c>
      <c r="C5" t="inlineStr">
        <is>
          <t>investing activities</t>
        </is>
      </c>
    </row>
    <row r="6">
      <c r="A6" t="inlineStr">
        <is>
          <t>Distributions from CCPI (Skyway)</t>
        </is>
      </c>
      <c r="B6" t="n">
        <v>18.7</v>
      </c>
      <c r="C6" t="inlineStr">
        <is>
          <t>investing activities</t>
        </is>
      </c>
    </row>
    <row r="7">
      <c r="A7" t="inlineStr">
        <is>
          <t>CCPI shareholder-loan interest</t>
        </is>
      </c>
      <c r="B7" t="n">
        <v>18.1</v>
      </c>
      <c r="C7" t="inlineStr">
        <is>
          <t>operating</t>
        </is>
      </c>
    </row>
    <row r="8">
      <c r="A8" t="inlineStr">
        <is>
          <t>Equals receipts at ALX level</t>
        </is>
      </c>
      <c r="B8">
        <f>B5+B6+B7</f>
        <v/>
      </c>
      <c r="C8" t="inlineStr">
        <is>
          <t>model revenue base 535.0</t>
        </is>
      </c>
    </row>
    <row r="9">
      <c r="A9" t="inlineStr">
        <is>
          <t>less centralised costs incl. SBC 3.4 and one-offs</t>
        </is>
      </c>
      <c r="B9" t="n">
        <v>-52.6</v>
      </c>
      <c r="C9" t="inlineStr">
        <is>
          <t>Appendix 4E</t>
        </is>
      </c>
    </row>
    <row r="10">
      <c r="A10" t="inlineStr">
        <is>
          <t>less corporate tax</t>
        </is>
      </c>
      <c r="B10" t="n">
        <v>-8</v>
      </c>
      <c r="C10" t="inlineStr"/>
    </row>
    <row r="11">
      <c r="A11" t="inlineStr">
        <is>
          <t>Equals owner FCF (last_fcf)</t>
        </is>
      </c>
      <c r="B11">
        <f>B8+B9+B10</f>
        <v/>
      </c>
      <c r="C11" t="inlineStr">
        <is>
          <t>474.4</t>
        </is>
      </c>
    </row>
    <row r="12">
      <c r="A12" t="inlineStr">
        <is>
          <t>memo: company operating free cash flow</t>
        </is>
      </c>
      <c r="B12" t="n">
        <v>505.9</v>
      </c>
      <c r="C12" t="inlineStr">
        <is>
          <t>includes other finance income 20.2 and Greenway/Warnow net ops; excluded from the model</t>
        </is>
      </c>
    </row>
    <row r="13">
      <c r="A13" t="inlineStr">
        <is>
          <t>memo: distributions paid</t>
        </is>
      </c>
      <c r="B13" t="n">
        <v>-580.4</v>
      </c>
      <c r="C13" t="inlineStr">
        <is>
          <t>40cps -- above 90-110% coverage policy in 2025/26 (TST)</t>
        </is>
      </c>
    </row>
    <row r="14">
      <c r="A14" t="inlineStr">
        <is>
          <t>memo: owner FCF per security (cents)</t>
        </is>
      </c>
      <c r="B14">
        <f>B11/Assumptions!B4*100</f>
        <v/>
      </c>
      <c r="C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Valuation summary (A$ per security)</t>
        </is>
      </c>
    </row>
    <row r="2">
      <c r="A2" t="inlineStr">
        <is>
          <t>Scenario</t>
        </is>
      </c>
      <c r="B2" t="inlineStr">
        <is>
          <t>Value/security</t>
        </is>
      </c>
      <c r="C2" t="inlineStr">
        <is>
          <t>Upside</t>
        </is>
      </c>
      <c r="D2" t="inlineStr">
        <is>
          <t>Weight</t>
        </is>
      </c>
      <c r="E2" t="inlineStr">
        <is>
          <t>Entry price @15%</t>
        </is>
      </c>
      <c r="F2" t="inlineStr">
        <is>
          <t>Street value/security</t>
        </is>
      </c>
    </row>
    <row r="3">
      <c r="A3" t="inlineStr">
        <is>
          <t>Bear</t>
        </is>
      </c>
      <c r="B3" s="5">
        <f>DCF_Bear!B43</f>
        <v/>
      </c>
      <c r="C3">
        <f>DCF_Bear!B44</f>
        <v/>
      </c>
      <c r="D3" s="5">
        <f>Assumptions!C27</f>
        <v/>
      </c>
      <c r="E3" s="5">
        <f>DCF_Bear!B51</f>
        <v/>
      </c>
      <c r="F3">
        <f>(DCF_Bear!B41+SUMPRODUCT(DCF_Bear!C14:L14*DCF_Bear!C19:L19))/DCF_Bear!B42</f>
        <v/>
      </c>
    </row>
    <row r="4">
      <c r="A4" t="inlineStr">
        <is>
          <t>Base</t>
        </is>
      </c>
      <c r="B4" s="5">
        <f>DCF_Base!B43</f>
        <v/>
      </c>
      <c r="C4">
        <f>DCF_Base!B44</f>
        <v/>
      </c>
      <c r="D4" s="5">
        <f>Assumptions!D27</f>
        <v/>
      </c>
      <c r="E4" s="5">
        <f>DCF_Base!B51</f>
        <v/>
      </c>
      <c r="F4">
        <f>(DCF_Base!B41+SUMPRODUCT(DCF_Base!C14:L14*DCF_Base!C19:L19))/DCF_Base!B42</f>
        <v/>
      </c>
    </row>
    <row r="5">
      <c r="A5" t="inlineStr">
        <is>
          <t>Bull</t>
        </is>
      </c>
      <c r="B5" s="5">
        <f>DCF_Bull!B43</f>
        <v/>
      </c>
      <c r="C5">
        <f>DCF_Bull!B44</f>
        <v/>
      </c>
      <c r="D5" s="5">
        <f>Assumptions!E27</f>
        <v/>
      </c>
      <c r="E5" s="5">
        <f>DCF_Bull!B51</f>
        <v/>
      </c>
      <c r="F5">
        <f>(DCF_Bull!B41+SUMPRODUCT(DCF_Bull!C14:L14*DCF_Bull!C19:L19))/DCF_Bull!B42</f>
        <v/>
      </c>
    </row>
    <row r="7">
      <c r="A7" t="inlineStr">
        <is>
          <t>Probability-weighted value</t>
        </is>
      </c>
      <c r="B7" s="6">
        <f>SUMPRODUCT(B3:B5,D3:D5)</f>
        <v/>
      </c>
    </row>
    <row r="8">
      <c r="A8" t="inlineStr">
        <is>
          <t>Margin of safety vs price</t>
        </is>
      </c>
      <c r="B8">
        <f>1-Assumptions!B3/B7</f>
        <v/>
      </c>
    </row>
    <row r="9">
      <c r="A9" t="inlineStr">
        <is>
          <t>Weighted entry price @15%</t>
        </is>
      </c>
      <c r="B9">
        <f>SUMPRODUCT(E3:E5,D3:D5)</f>
        <v/>
      </c>
    </row>
    <row r="10">
      <c r="A10" t="inlineStr">
        <is>
          <t>Street weighted value</t>
        </is>
      </c>
      <c r="B10">
        <f>SUMPRODUCT(F3:F5,D3:D5)</f>
        <v/>
      </c>
    </row>
    <row r="11">
      <c r="A11" t="inlineStr">
        <is>
          <t>Band position</t>
        </is>
      </c>
      <c r="B11" t="inlineStr">
        <is>
          <t>n/a -- SBC 0.6% of receipts, house and street coincide</t>
        </is>
      </c>
    </row>
    <row r="13">
      <c r="A13" s="2" t="inlineStr">
        <is>
          <t>Required-return table (base): residual rebuilt at each rate</t>
        </is>
      </c>
    </row>
    <row r="14">
      <c r="A14" t="inlineStr">
        <is>
          <t>Rate</t>
        </is>
      </c>
      <c r="B14" t="inlineStr">
        <is>
          <t>Value/security</t>
        </is>
      </c>
    </row>
    <row r="15">
      <c r="A15" s="3" t="n">
        <v>0.09</v>
      </c>
      <c r="B15">
        <f>(SUMPRODUCT(DCF_Base!$C$17:$L$17/(1+$A15)^DCF_Base!$C$4:$L$4)+(DCF_Base!$B$23*(1+DCF_Base!$B$24)/($A15-DCF_Base!$B$24)*(1-((1+DCF_Base!$B$24)/(1+$A15))^DCF_Base!$B$25)+DCF_Base!$B$28/$A15*(1-(1+$A15)^-DCF_Base!$B$29)+DCF_Base!$B$31)/(1+$A15)^10+DCF_Base!$B$40)/DCF_Base!$B$42</f>
        <v/>
      </c>
    </row>
    <row r="16">
      <c r="A16" s="3" t="n">
        <v>0.1</v>
      </c>
      <c r="B16">
        <f>(SUMPRODUCT(DCF_Base!$C$17:$L$17/(1+$A16)^DCF_Base!$C$4:$L$4)+(DCF_Base!$B$23*(1+DCF_Base!$B$24)/($A16-DCF_Base!$B$24)*(1-((1+DCF_Base!$B$24)/(1+$A16))^DCF_Base!$B$25)+DCF_Base!$B$28/$A16*(1-(1+$A16)^-DCF_Base!$B$29)+DCF_Base!$B$31)/(1+$A16)^10+DCF_Base!$B$40)/DCF_Base!$B$42</f>
        <v/>
      </c>
    </row>
    <row r="17">
      <c r="A17" s="3" t="n">
        <v>0.11</v>
      </c>
      <c r="B17">
        <f>(SUMPRODUCT(DCF_Base!$C$17:$L$17/(1+$A17)^DCF_Base!$C$4:$L$4)+(DCF_Base!$B$23*(1+DCF_Base!$B$24)/($A17-DCF_Base!$B$24)*(1-((1+DCF_Base!$B$24)/(1+$A17))^DCF_Base!$B$25)+DCF_Base!$B$28/$A17*(1-(1+$A17)^-DCF_Base!$B$29)+DCF_Base!$B$31)/(1+$A17)^10+DCF_Base!$B$40)/DCF_Base!$B$42</f>
        <v/>
      </c>
    </row>
    <row r="18">
      <c r="A18" s="3" t="n">
        <v>0.12</v>
      </c>
      <c r="B18">
        <f>(SUMPRODUCT(DCF_Base!$C$17:$L$17/(1+$A18)^DCF_Base!$C$4:$L$4)+(DCF_Base!$B$23*(1+DCF_Base!$B$24)/($A18-DCF_Base!$B$24)*(1-((1+DCF_Base!$B$24)/(1+$A18))^DCF_Base!$B$25)+DCF_Base!$B$28/$A18*(1-(1+$A18)^-DCF_Base!$B$29)+DCF_Base!$B$31)/(1+$A18)^10+DCF_Base!$B$40)/DCF_Base!$B$42</f>
        <v/>
      </c>
    </row>
    <row r="19">
      <c r="A19" s="3" t="n">
        <v>0.15</v>
      </c>
      <c r="B19">
        <f>(SUMPRODUCT(DCF_Base!$C$17:$L$17/(1+$A19)^DCF_Base!$C$4:$L$4)+(DCF_Base!$B$23*(1+DCF_Base!$B$24)/($A19-DCF_Base!$B$24)*(1-((1+DCF_Base!$B$24)/(1+$A19))^DCF_Base!$B$25)+DCF_Base!$B$28/$A19*(1-(1+$A19)^-DCF_Base!$B$29)+DCF_Base!$B$31)/(1+$A19)^10+DCF_Base!$B$40)/DCF_Base!$B$42</f>
        <v/>
      </c>
      <c r="C19" t="inlineStr">
        <is>
          <t>Must equal DCF_Base!B51 (entry price)</t>
        </is>
      </c>
    </row>
    <row r="20">
      <c r="A20" s="5">
        <f>Assumptions!B7</f>
        <v/>
      </c>
      <c r="B20">
        <f>(SUMPRODUCT(DCF_Base!$C$17:$L$17/(1+$A20)^DCF_Base!$C$4:$L$4)+(DCF_Base!$B$23*(1+DCF_Base!$B$24)/($A20-DCF_Base!$B$24)*(1-((1+DCF_Base!$B$24)/(1+$A20))^DCF_Base!$B$25)+DCF_Base!$B$28/$A20*(1-(1+$A20)^-DCF_Base!$B$29)+DCF_Base!$B$31)/(1+$A20)^10+DCF_Base!$B$40)/DCF_Base!$B$42</f>
        <v/>
      </c>
      <c r="C20" t="inlineStr">
        <is>
          <t>Row at model cost of equity; must equal DCF_Base!B43</t>
        </is>
      </c>
    </row>
    <row r="23">
      <c r="A23" s="2" t="inlineStr">
        <is>
          <t>Sensitivity (base): cost of equity (rows) x Skyway tail growth (cols)</t>
        </is>
      </c>
    </row>
    <row r="24">
      <c r="B24" s="3" t="n">
        <v>0.025</v>
      </c>
      <c r="C24" s="3" t="n">
        <v>0.03</v>
      </c>
      <c r="D24" s="3" t="n">
        <v>0.035</v>
      </c>
      <c r="E24" s="3" t="n">
        <v>0.04</v>
      </c>
      <c r="F24" s="3" t="n">
        <v>0.045</v>
      </c>
    </row>
    <row r="25">
      <c r="A25" s="3" t="n">
        <v>0.065</v>
      </c>
      <c r="B25">
        <f>IF($A25&gt;B$24,(SUMPRODUCT(DCF_Base!$C$17:$L$17/(1+$A25)^DCF_Base!$C$4:$L$4)+(DCF_Base!$B$23*(1+B$24)/($A25-B$24)*(1-((1+B$24)/(1+$A25))^DCF_Base!$B$25)+DCF_Base!$B$28/$A25*(1-(1+$A25)^-DCF_Base!$B$29)+DCF_Base!$B$31)/(1+$A25)^10+DCF_Base!$B$40)/DCF_Base!$B$42,"n/a")</f>
        <v/>
      </c>
      <c r="C25">
        <f>IF($A25&gt;C$24,(SUMPRODUCT(DCF_Base!$C$17:$L$17/(1+$A25)^DCF_Base!$C$4:$L$4)+(DCF_Base!$B$23*(1+C$24)/($A25-C$24)*(1-((1+C$24)/(1+$A25))^DCF_Base!$B$25)+DCF_Base!$B$28/$A25*(1-(1+$A25)^-DCF_Base!$B$29)+DCF_Base!$B$31)/(1+$A25)^10+DCF_Base!$B$40)/DCF_Base!$B$42,"n/a")</f>
        <v/>
      </c>
      <c r="D25">
        <f>IF($A25&gt;D$24,(SUMPRODUCT(DCF_Base!$C$17:$L$17/(1+$A25)^DCF_Base!$C$4:$L$4)+(DCF_Base!$B$23*(1+D$24)/($A25-D$24)*(1-((1+D$24)/(1+$A25))^DCF_Base!$B$25)+DCF_Base!$B$28/$A25*(1-(1+$A25)^-DCF_Base!$B$29)+DCF_Base!$B$31)/(1+$A25)^10+DCF_Base!$B$40)/DCF_Base!$B$42,"n/a")</f>
        <v/>
      </c>
      <c r="E25">
        <f>IF($A25&gt;E$24,(SUMPRODUCT(DCF_Base!$C$17:$L$17/(1+$A25)^DCF_Base!$C$4:$L$4)+(DCF_Base!$B$23*(1+E$24)/($A25-E$24)*(1-((1+E$24)/(1+$A25))^DCF_Base!$B$25)+DCF_Base!$B$28/$A25*(1-(1+$A25)^-DCF_Base!$B$29)+DCF_Base!$B$31)/(1+$A25)^10+DCF_Base!$B$40)/DCF_Base!$B$42,"n/a")</f>
        <v/>
      </c>
      <c r="F25">
        <f>IF($A25&gt;F$24,(SUMPRODUCT(DCF_Base!$C$17:$L$17/(1+$A25)^DCF_Base!$C$4:$L$4)+(DCF_Base!$B$23*(1+F$24)/($A25-F$24)*(1-((1+F$24)/(1+$A25))^DCF_Base!$B$25)+DCF_Base!$B$28/$A25*(1-(1+$A25)^-DCF_Base!$B$29)+DCF_Base!$B$31)/(1+$A25)^10+DCF_Base!$B$40)/DCF_Base!$B$42,"n/a")</f>
        <v/>
      </c>
    </row>
    <row r="26">
      <c r="A26" s="3" t="n">
        <v>0.075</v>
      </c>
      <c r="B26">
        <f>IF($A26&gt;B$24,(SUMPRODUCT(DCF_Base!$C$17:$L$17/(1+$A26)^DCF_Base!$C$4:$L$4)+(DCF_Base!$B$23*(1+B$24)/($A26-B$24)*(1-((1+B$24)/(1+$A26))^DCF_Base!$B$25)+DCF_Base!$B$28/$A26*(1-(1+$A26)^-DCF_Base!$B$29)+DCF_Base!$B$31)/(1+$A26)^10+DCF_Base!$B$40)/DCF_Base!$B$42,"n/a")</f>
        <v/>
      </c>
      <c r="C26">
        <f>IF($A26&gt;C$24,(SUMPRODUCT(DCF_Base!$C$17:$L$17/(1+$A26)^DCF_Base!$C$4:$L$4)+(DCF_Base!$B$23*(1+C$24)/($A26-C$24)*(1-((1+C$24)/(1+$A26))^DCF_Base!$B$25)+DCF_Base!$B$28/$A26*(1-(1+$A26)^-DCF_Base!$B$29)+DCF_Base!$B$31)/(1+$A26)^10+DCF_Base!$B$40)/DCF_Base!$B$42,"n/a")</f>
        <v/>
      </c>
      <c r="D26">
        <f>IF($A26&gt;D$24,(SUMPRODUCT(DCF_Base!$C$17:$L$17/(1+$A26)^DCF_Base!$C$4:$L$4)+(DCF_Base!$B$23*(1+D$24)/($A26-D$24)*(1-((1+D$24)/(1+$A26))^DCF_Base!$B$25)+DCF_Base!$B$28/$A26*(1-(1+$A26)^-DCF_Base!$B$29)+DCF_Base!$B$31)/(1+$A26)^10+DCF_Base!$B$40)/DCF_Base!$B$42,"n/a")</f>
        <v/>
      </c>
      <c r="E26">
        <f>IF($A26&gt;E$24,(SUMPRODUCT(DCF_Base!$C$17:$L$17/(1+$A26)^DCF_Base!$C$4:$L$4)+(DCF_Base!$B$23*(1+E$24)/($A26-E$24)*(1-((1+E$24)/(1+$A26))^DCF_Base!$B$25)+DCF_Base!$B$28/$A26*(1-(1+$A26)^-DCF_Base!$B$29)+DCF_Base!$B$31)/(1+$A26)^10+DCF_Base!$B$40)/DCF_Base!$B$42,"n/a")</f>
        <v/>
      </c>
      <c r="F26">
        <f>IF($A26&gt;F$24,(SUMPRODUCT(DCF_Base!$C$17:$L$17/(1+$A26)^DCF_Base!$C$4:$L$4)+(DCF_Base!$B$23*(1+F$24)/($A26-F$24)*(1-((1+F$24)/(1+$A26))^DCF_Base!$B$25)+DCF_Base!$B$28/$A26*(1-(1+$A26)^-DCF_Base!$B$29)+DCF_Base!$B$31)/(1+$A26)^10+DCF_Base!$B$40)/DCF_Base!$B$42,"n/a")</f>
        <v/>
      </c>
    </row>
    <row r="27">
      <c r="A27" s="3" t="n">
        <v>0.08500000000000001</v>
      </c>
      <c r="B27">
        <f>IF($A27&gt;B$24,(SUMPRODUCT(DCF_Base!$C$17:$L$17/(1+$A27)^DCF_Base!$C$4:$L$4)+(DCF_Base!$B$23*(1+B$24)/($A27-B$24)*(1-((1+B$24)/(1+$A27))^DCF_Base!$B$25)+DCF_Base!$B$28/$A27*(1-(1+$A27)^-DCF_Base!$B$29)+DCF_Base!$B$31)/(1+$A27)^10+DCF_Base!$B$40)/DCF_Base!$B$42,"n/a")</f>
        <v/>
      </c>
      <c r="C27">
        <f>IF($A27&gt;C$24,(SUMPRODUCT(DCF_Base!$C$17:$L$17/(1+$A27)^DCF_Base!$C$4:$L$4)+(DCF_Base!$B$23*(1+C$24)/($A27-C$24)*(1-((1+C$24)/(1+$A27))^DCF_Base!$B$25)+DCF_Base!$B$28/$A27*(1-(1+$A27)^-DCF_Base!$B$29)+DCF_Base!$B$31)/(1+$A27)^10+DCF_Base!$B$40)/DCF_Base!$B$42,"n/a")</f>
        <v/>
      </c>
      <c r="D27" s="7">
        <f>IF($A27&gt;D$24,(SUMPRODUCT(DCF_Base!$C$17:$L$17/(1+$A27)^DCF_Base!$C$4:$L$4)+(DCF_Base!$B$23*(1+D$24)/($A27-D$24)*(1-((1+D$24)/(1+$A27))^DCF_Base!$B$25)+DCF_Base!$B$28/$A27*(1-(1+$A27)^-DCF_Base!$B$29)+DCF_Base!$B$31)/(1+$A27)^10+DCF_Base!$B$40)/DCF_Base!$B$42,"n/a")</f>
        <v/>
      </c>
      <c r="E27">
        <f>IF($A27&gt;E$24,(SUMPRODUCT(DCF_Base!$C$17:$L$17/(1+$A27)^DCF_Base!$C$4:$L$4)+(DCF_Base!$B$23*(1+E$24)/($A27-E$24)*(1-((1+E$24)/(1+$A27))^DCF_Base!$B$25)+DCF_Base!$B$28/$A27*(1-(1+$A27)^-DCF_Base!$B$29)+DCF_Base!$B$31)/(1+$A27)^10+DCF_Base!$B$40)/DCF_Base!$B$42,"n/a")</f>
        <v/>
      </c>
      <c r="F27">
        <f>IF($A27&gt;F$24,(SUMPRODUCT(DCF_Base!$C$17:$L$17/(1+$A27)^DCF_Base!$C$4:$L$4)+(DCF_Base!$B$23*(1+F$24)/($A27-F$24)*(1-((1+F$24)/(1+$A27))^DCF_Base!$B$25)+DCF_Base!$B$28/$A27*(1-(1+$A27)^-DCF_Base!$B$29)+DCF_Base!$B$31)/(1+$A27)^10+DCF_Base!$B$40)/DCF_Base!$B$42,"n/a")</f>
        <v/>
      </c>
    </row>
    <row r="28">
      <c r="A28" s="3" t="n">
        <v>0.095</v>
      </c>
      <c r="B28">
        <f>IF($A28&gt;B$24,(SUMPRODUCT(DCF_Base!$C$17:$L$17/(1+$A28)^DCF_Base!$C$4:$L$4)+(DCF_Base!$B$23*(1+B$24)/($A28-B$24)*(1-((1+B$24)/(1+$A28))^DCF_Base!$B$25)+DCF_Base!$B$28/$A28*(1-(1+$A28)^-DCF_Base!$B$29)+DCF_Base!$B$31)/(1+$A28)^10+DCF_Base!$B$40)/DCF_Base!$B$42,"n/a")</f>
        <v/>
      </c>
      <c r="C28">
        <f>IF($A28&gt;C$24,(SUMPRODUCT(DCF_Base!$C$17:$L$17/(1+$A28)^DCF_Base!$C$4:$L$4)+(DCF_Base!$B$23*(1+C$24)/($A28-C$24)*(1-((1+C$24)/(1+$A28))^DCF_Base!$B$25)+DCF_Base!$B$28/$A28*(1-(1+$A28)^-DCF_Base!$B$29)+DCF_Base!$B$31)/(1+$A28)^10+DCF_Base!$B$40)/DCF_Base!$B$42,"n/a")</f>
        <v/>
      </c>
      <c r="D28">
        <f>IF($A28&gt;D$24,(SUMPRODUCT(DCF_Base!$C$17:$L$17/(1+$A28)^DCF_Base!$C$4:$L$4)+(DCF_Base!$B$23*(1+D$24)/($A28-D$24)*(1-((1+D$24)/(1+$A28))^DCF_Base!$B$25)+DCF_Base!$B$28/$A28*(1-(1+$A28)^-DCF_Base!$B$29)+DCF_Base!$B$31)/(1+$A28)^10+DCF_Base!$B$40)/DCF_Base!$B$42,"n/a")</f>
        <v/>
      </c>
      <c r="E28">
        <f>IF($A28&gt;E$24,(SUMPRODUCT(DCF_Base!$C$17:$L$17/(1+$A28)^DCF_Base!$C$4:$L$4)+(DCF_Base!$B$23*(1+E$24)/($A28-E$24)*(1-((1+E$24)/(1+$A28))^DCF_Base!$B$25)+DCF_Base!$B$28/$A28*(1-(1+$A28)^-DCF_Base!$B$29)+DCF_Base!$B$31)/(1+$A28)^10+DCF_Base!$B$40)/DCF_Base!$B$42,"n/a")</f>
        <v/>
      </c>
      <c r="F28">
        <f>IF($A28&gt;F$24,(SUMPRODUCT(DCF_Base!$C$17:$L$17/(1+$A28)^DCF_Base!$C$4:$L$4)+(DCF_Base!$B$23*(1+F$24)/($A28-F$24)*(1-((1+F$24)/(1+$A28))^DCF_Base!$B$25)+DCF_Base!$B$28/$A28*(1-(1+$A28)^-DCF_Base!$B$29)+DCF_Base!$B$31)/(1+$A28)^10+DCF_Base!$B$40)/DCF_Base!$B$42,"n/a")</f>
        <v/>
      </c>
    </row>
    <row r="29">
      <c r="A29" s="3" t="n">
        <v>0.105</v>
      </c>
      <c r="B29">
        <f>IF($A29&gt;B$24,(SUMPRODUCT(DCF_Base!$C$17:$L$17/(1+$A29)^DCF_Base!$C$4:$L$4)+(DCF_Base!$B$23*(1+B$24)/($A29-B$24)*(1-((1+B$24)/(1+$A29))^DCF_Base!$B$25)+DCF_Base!$B$28/$A29*(1-(1+$A29)^-DCF_Base!$B$29)+DCF_Base!$B$31)/(1+$A29)^10+DCF_Base!$B$40)/DCF_Base!$B$42,"n/a")</f>
        <v/>
      </c>
      <c r="C29">
        <f>IF($A29&gt;C$24,(SUMPRODUCT(DCF_Base!$C$17:$L$17/(1+$A29)^DCF_Base!$C$4:$L$4)+(DCF_Base!$B$23*(1+C$24)/($A29-C$24)*(1-((1+C$24)/(1+$A29))^DCF_Base!$B$25)+DCF_Base!$B$28/$A29*(1-(1+$A29)^-DCF_Base!$B$29)+DCF_Base!$B$31)/(1+$A29)^10+DCF_Base!$B$40)/DCF_Base!$B$42,"n/a")</f>
        <v/>
      </c>
      <c r="D29">
        <f>IF($A29&gt;D$24,(SUMPRODUCT(DCF_Base!$C$17:$L$17/(1+$A29)^DCF_Base!$C$4:$L$4)+(DCF_Base!$B$23*(1+D$24)/($A29-D$24)*(1-((1+D$24)/(1+$A29))^DCF_Base!$B$25)+DCF_Base!$B$28/$A29*(1-(1+$A29)^-DCF_Base!$B$29)+DCF_Base!$B$31)/(1+$A29)^10+DCF_Base!$B$40)/DCF_Base!$B$42,"n/a")</f>
        <v/>
      </c>
      <c r="E29">
        <f>IF($A29&gt;E$24,(SUMPRODUCT(DCF_Base!$C$17:$L$17/(1+$A29)^DCF_Base!$C$4:$L$4)+(DCF_Base!$B$23*(1+E$24)/($A29-E$24)*(1-((1+E$24)/(1+$A29))^DCF_Base!$B$25)+DCF_Base!$B$28/$A29*(1-(1+$A29)^-DCF_Base!$B$29)+DCF_Base!$B$31)/(1+$A29)^10+DCF_Base!$B$40)/DCF_Base!$B$42,"n/a")</f>
        <v/>
      </c>
      <c r="F29">
        <f>IF($A29&gt;F$24,(SUMPRODUCT(DCF_Base!$C$17:$L$17/(1+$A29)^DCF_Base!$C$4:$L$4)+(DCF_Base!$B$23*(1+F$24)/($A29-F$24)*(1-((1+F$24)/(1+$A29))^DCF_Base!$B$25)+DCF_Base!$B$28/$A29*(1-(1+$A29)^-DCF_Base!$B$29)+DCF_Base!$B$31)/(1+$A29)^10+DCF_Base!$B$40)/DCF_Base!$B$42,"n/a")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2026-09-21T09:52:14Z</dcterms:created>
  <dcterms:modified xmlns:dcterms="http://purl.org/dc/terms/" xmlns:xsi="http://www.w3.org/2001/XMLSchema-instance" xsi:type="dcterms:W3CDTF">2026-09-21T09:52:14Z</dcterms:modified>
</cp:coreProperties>
</file>