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<sst xmlns="http://schemas.openxmlformats.org/spreadsheetml/2006/main" count="389" uniqueCount="174">
  <si>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</si>
  <si>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PCAR</t>
  </si>
  <si>
    <t xml:space="preserve">Company</t>
  </si>
  <si>
    <t xml:space="preserve">PACCAR Inc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</si>
  <si>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</si>
  <si>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</si>
  <si>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</si>
  <si>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</si>
  <si>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2026-10-01T20:00:00Z regular close (Yahoo Finance chart API); 52-week range 92.25-139.24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</si>
  <si>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</si>
  <si>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</si>
  <si>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</si>
  <si>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</si>
  <si>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</si>
  <si>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</si>
  <si>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</si>
  <si>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</si>
  <si>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</si>
  <si>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</si>
  <si>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</si>
  <si>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</si>
  <si>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2026-10-02T06:55:33Z</t>
  </si>
  <si>
    <t xml:space="preserve">Drivers file</t>
  </si>
  <si>
    <t xml:space="preserve">PCAR_Drivers.json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</si>
  <si>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</si>
  <si>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</si>
  <si>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</si>
  <si>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PACCAR is a high-quality cyclical: best-in-class residual values, a growing parts annuity that earns most of the profit at the trough, a debt-free industrial balance sheet with $8.7B of cash and securities, and a conservatively capitalised captive lender. The valuation refuses to capitalise either the FY2023-24 pricing peak or the FY2025 trough: it values the industrial business on a mid-cycle margin path at a 9% cost of equity with a 14x owner-FCF terminal cap, adds the cash once, and adds Financial Services at book. On that basis the stock is fully to somewhat richly priced; the market is paying for the up-cycle and for structural margin gains that the bull case, not the base case, delivers.
key_risks_to_valuation: Cycle timing: a deeper or longer 2027 post-EPA27 air pocket than the base -2% (the bear's -12%) is the single largest swing factor in the explicit years.; Mid-cycle margin level: each 1pp on the terminal industrial EBITDA margin is roughly $7-8/share; the base 13.8% sits between the 2018-25 average (13%) and the FY2024 peak (15.7%).; Terminal multiple: the 14x owner-FCF cap binds in every scenario (Gordon at 9%/2.5% would give 15.8x); a buyer paying 12x or 16x moves value by roughly -$7 / +$7 per share.; Financial Services carried at 1.0x book ($11.3/share): a credit-cycle writedown or a view that 6.5% ROE deserves 0.7x book takes ~$3.4/share off; FS also carries used-truck residual-value risk on $1.9B of operating-lease equipment.; Cash treated as fully surplus: PACCAR has historically run with $4-9B of cash through cycles; if $2-3B of it is operating liquidity rather than surplus, value is overstated by $4-6/share.; Tariff and trade policy: the IEEPA ruling, Section 232 truck tariffs and any retaliation against DAF exports can swing Truck margins by 1-2pp in either direction within a year.</t>
  </si>
  <si>
    <t xml:space="preserve">Data sources</t>
  </si>
  <si>
    <t xml:space="preserve">price: Yahoo Finance chart API at inputs.price_as_of; 52-week range 92.25-139.24
financials: SEC EDGAR: 10-Q for the quarter ended 2026-06-30 (accession 0001193125-26-323642, filed 2026-07-29) for the segment balance sheet, H1 segment income, cash flow, diluted shares and 2026 outlook; 10-K FY2025 (accession 0001193125-26-057025, filed 2026-02-18) for the FY2023-25 segment data (revenue, pre-tax income, D&amp;A, capex), investment income, EC litigation charges, SBC and tax; XBRL companyfacts for the quarterly tag history; research/PCAR/Reports/PCAR_Metrics.csv for the consolidated FY2007-Q2 2026 history. Extracted text saved to research/PCAR/Extracted/.
qualitative: research/PCAR/Reports/PCAR_Analysis.json (2026-10-02): market shares, EPA27 pre-buy/air-pocket dynamics, Parts guidance, tariff position, consensus targets.</t>
  </si>
  <si>
    <t xml:space="preserve">Scenario narrative: bear</t>
  </si>
  <si>
    <t xml:space="preserve">The 2026 pre-buy is followed by a 2007/2010-style cliff in 2027 that lands on a renewed freight recession; EPA27 content inflates cost per truck faster than price; tariff policy flips against PACCAR; Financial Services credit costs rise (provision already 124.5 in FY2025 from 31.3 in FY2023). Margins trough near 9.5% and recover only to 12.5% as the scaled global peers compete for volume. Equity value is still well supported by $8.7B of industrial net cash and FS book, so the bear is an earnings story, not a balance-sheet one.</t>
  </si>
  <si>
    <t xml:space="preserve">Scenario narrative: base</t>
  </si>
  <si>
    <t xml:space="preserve">Mid-cycle. The freight recession bottomed in FY2025 (industrial EBITDA margin 11.2%); H2 2026 recovers on EPA27 pre-buy and tariff clarity (Q3 deliveries ~42k), 2027 dips modestly after the regulation change, and FY2028-29 carry a normal replacement up-cycle. Margins mature at 13.8%, a little above the 2018-25 average because Parts (a ~25%-margin annuity on the installed base, 26% of industrial revenue and growing 4-8%) keeps gaining weight. Financial Services is worth its $6.0B book. The $8.7B cash pile is counted once, as cash, with its $346M of investment income stripped from the flows.</t>
  </si>
  <si>
    <t xml:space="preserve">Scenario narrative: bull</t>
  </si>
  <si>
    <t xml:space="preserve">A real multi-year up-cycle: US Class 8 runs at the top of the 230-270k range through the pre-buy, the post-EPA27 dip is shallow because fleets are under-replaced after four weak years, Kenworth/Peterbilt take North American share toward 35% on the Section 232 domestic-manufacturing edge, and DAF rides the European recovery. Industrial margins settle at the FY2024 level (15%) rather than the 2018-25 average, i.e. the market's current optimism about structural margin improvement is right.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</si>
  <si>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</si>
  <si>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</si>
  <si>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</si>
  <si>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</si>
  <si>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</si>
  <si>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</si>
  <si>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</si>
  <si>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</si>
  <si>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</si>
  <si>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</si>
  <si>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</si>
  <si>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</si>
  <si>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</si>
  <si>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</si>
  <si>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</si>
  <si>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</si>
  <si>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</si>
  <si>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</si>
  <si>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</si>
  <si>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</si>
  <si>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</si>
  <si>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</si>
  <si>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</si>
  <si>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</si>
  <si>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</si>
  <si>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</si>
  <si>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</si>
  <si>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</si>
  <si>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</si>
  <si>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</si>
  <si>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</si>
  <si>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</si>
  <si>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</si>
  <si>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</si>
  <si>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</si>
  <si>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</si>
  <si>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</si>
  <si>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</si>
  <si>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</si>
  <si>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</si>
  <si>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</si>
  <si>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</si>
  <si>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</si>
  <si>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</si>
  <si>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</si>
  <si>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</si>
  <si>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</si>
  <si>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</si>
  <si>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</si>
  <si>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</si>
  <si>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</si>
  <si>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</si>
  <si>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</si>
  <si>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</si>
  <si>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</si>
  <si>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</si>
  <si>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</si>
  <si>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</si>
  <si>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</si>
  <si>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</si>
  <si>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</si>
  <si>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</si>
  <si>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</si>
  <si>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</si>
  <si>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</si>
  <si>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</si>
  <si>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</si>
  <si>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</si>
  <si>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</si>
  <si>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</si>
  <si>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</si>
  <si>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</si>
  <si>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</si>
  <si>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</si>
  <si>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</si>
  <si>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</si>
  <si>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</si>
  <si>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</si>
  <si>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</si>
  <si>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</si>
  <si>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</si>
  <si>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</si>
  <si>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</si>
  <si>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</si>
  <si>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PCAR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</si>
  <si>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</si>
  <si>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</si>
  <si>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</si>
  <si>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</si>
  <si>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</si>
  <si>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</si>
  <si>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</si>
  <si>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</si>
  <si>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</si>
  <si>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</si>
  <si>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</si>
  <si>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</si>
  <si>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</si>
  <si>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</si>
  <si>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</si>
  <si>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</si>
  <si>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</si>
  <si>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</si>
  <si>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</si>
  <si>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</si>
  <si>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</si>
  <si>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</si>
  <si>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</si>
  <si>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</si>
  <si>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</si>
  <si>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</si>
  <si>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</si>
  <si>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</si>
  <si>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</si>
  <si>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</si>
  <si>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PCAR owner-FCF component DCF: base case (millions, USD)</t>
  </si>
  <si>
    <t xml:space="preserve">PCAR owner-FCF component DCF: bull case (millions, USD)</t>
  </si>
  <si>
    <t xml:space="preserve">PCAR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</si>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</sst>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109.94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1852.5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I3" s="0" t="n">
        <v>1227.3</v>
      </c>
      <c r="K3" s="0" t="n">
        <v>3.31</v>
      </c>
      <c r="L3" s="0" t="n">
        <v>2055.4</v>
      </c>
      <c r="M3" s="0" t="n">
        <v>425.7</v>
      </c>
      <c r="N3" s="0" t="n">
        <v>1629.7</v>
      </c>
      <c r="O3" s="0" t="n">
        <v>5013.1</v>
      </c>
      <c r="S3" s="0" t="n">
        <v>1858.1</v>
      </c>
      <c r="T3" s="0" t="n">
        <v>373.3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14972.5</v>
      </c>
      <c r="I4" s="0" t="n">
        <v>1017.9</v>
      </c>
      <c r="J4" s="0" t="n">
        <v>6.79846385039239</v>
      </c>
      <c r="K4" s="0" t="n">
        <v>2.79</v>
      </c>
      <c r="L4" s="0" t="n">
        <v>1304.9</v>
      </c>
      <c r="M4" s="0" t="n">
        <v>1550</v>
      </c>
      <c r="N4" s="0" t="n">
        <v>-245.1</v>
      </c>
      <c r="O4" s="0" t="n">
        <v>4846.7</v>
      </c>
      <c r="P4" s="0" t="n">
        <v>16249.8</v>
      </c>
      <c r="S4" s="0" t="n">
        <v>1955.2</v>
      </c>
      <c r="T4" s="0" t="n">
        <v>365.9</v>
      </c>
      <c r="U4" s="0" t="n">
        <v>10.2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8086.5</v>
      </c>
      <c r="I5" s="0" t="n">
        <v>111.9</v>
      </c>
      <c r="J5" s="0" t="n">
        <v>1.38378779447227</v>
      </c>
      <c r="K5" s="0" t="n">
        <v>0.31</v>
      </c>
      <c r="L5" s="0" t="n">
        <v>1373.3</v>
      </c>
      <c r="M5" s="0" t="n">
        <v>971</v>
      </c>
      <c r="N5" s="0" t="n">
        <v>402.3</v>
      </c>
      <c r="O5" s="0" t="n">
        <v>5103.7</v>
      </c>
      <c r="P5" s="0" t="n">
        <v>14569</v>
      </c>
      <c r="S5" s="0" t="n">
        <v>1912</v>
      </c>
      <c r="T5" s="0" t="n">
        <v>364.9</v>
      </c>
      <c r="U5" s="0" t="n">
        <v>9.5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10292.9</v>
      </c>
      <c r="I6" s="0" t="n">
        <v>457.6</v>
      </c>
      <c r="J6" s="0" t="n">
        <v>4.44578301547669</v>
      </c>
      <c r="K6" s="0" t="n">
        <v>1.25</v>
      </c>
      <c r="L6" s="0" t="n">
        <v>1551.4</v>
      </c>
      <c r="M6" s="0" t="n">
        <v>883.8</v>
      </c>
      <c r="N6" s="0" t="n">
        <v>667.6</v>
      </c>
      <c r="O6" s="0" t="n">
        <v>5357.8</v>
      </c>
      <c r="P6" s="0" t="n">
        <v>14234.1</v>
      </c>
      <c r="S6" s="0" t="n">
        <v>2040.8</v>
      </c>
      <c r="T6" s="0" t="n">
        <v>366.2</v>
      </c>
      <c r="U6" s="0" t="n">
        <v>8.5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16355.2</v>
      </c>
      <c r="I7" s="0" t="n">
        <v>1042.3</v>
      </c>
      <c r="J7" s="0" t="n">
        <v>6.37289669340638</v>
      </c>
      <c r="K7" s="0" t="n">
        <v>2.87</v>
      </c>
      <c r="L7" s="0" t="n">
        <v>1592.6</v>
      </c>
      <c r="M7" s="0" t="n">
        <v>1841.6</v>
      </c>
      <c r="N7" s="0" t="n">
        <v>-249</v>
      </c>
      <c r="O7" s="0" t="n">
        <v>5364.4</v>
      </c>
      <c r="P7" s="0" t="n">
        <v>17172.7</v>
      </c>
      <c r="S7" s="0" t="n">
        <v>2106.7</v>
      </c>
      <c r="T7" s="0" t="n">
        <v>364.4</v>
      </c>
      <c r="U7" s="0" t="n">
        <v>13.8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17050.5</v>
      </c>
      <c r="I8" s="0" t="n">
        <v>1111.6</v>
      </c>
      <c r="J8" s="0" t="n">
        <v>6.51945690742207</v>
      </c>
      <c r="K8" s="0" t="n">
        <v>3.13</v>
      </c>
      <c r="L8" s="0" t="n">
        <v>1519</v>
      </c>
      <c r="M8" s="0" t="n">
        <v>1799</v>
      </c>
      <c r="N8" s="0" t="n">
        <v>-280</v>
      </c>
      <c r="O8" s="0" t="n">
        <v>5846.9</v>
      </c>
      <c r="P8" s="0" t="n">
        <v>18627.8</v>
      </c>
      <c r="S8" s="0" t="n">
        <v>1272.4</v>
      </c>
      <c r="T8" s="0" t="n">
        <v>355.8</v>
      </c>
      <c r="U8" s="0" t="n">
        <v>13.9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17123.8</v>
      </c>
      <c r="I9" s="0" t="n">
        <v>1171.3</v>
      </c>
      <c r="J9" s="0" t="n">
        <v>6.84018734159474</v>
      </c>
      <c r="K9" s="0" t="n">
        <v>3.31</v>
      </c>
      <c r="L9" s="0" t="n">
        <v>2375.7</v>
      </c>
      <c r="M9" s="0" t="n">
        <v>1771.7</v>
      </c>
      <c r="N9" s="0" t="n">
        <v>604</v>
      </c>
      <c r="O9" s="0" t="n">
        <v>6634.3</v>
      </c>
      <c r="P9" s="0" t="n">
        <v>20725.5</v>
      </c>
      <c r="S9" s="0" t="n">
        <v>1750.1</v>
      </c>
      <c r="T9" s="0" t="n">
        <v>355.2</v>
      </c>
      <c r="U9" s="0" t="n">
        <v>14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18997</v>
      </c>
      <c r="I10" s="0" t="n">
        <v>1358.8</v>
      </c>
      <c r="J10" s="0" t="n">
        <v>7.15270832236669</v>
      </c>
      <c r="K10" s="0" t="n">
        <v>3.83</v>
      </c>
      <c r="M10" s="0" t="n">
        <v>1462.2</v>
      </c>
      <c r="O10" s="0" t="n">
        <v>6753.2</v>
      </c>
      <c r="P10" s="0" t="n">
        <v>20618.8</v>
      </c>
      <c r="S10" s="0" t="n">
        <v>1737.6</v>
      </c>
      <c r="T10" s="0" t="n">
        <v>356.1</v>
      </c>
      <c r="U10" s="0" t="n">
        <v>16.2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19115.1</v>
      </c>
      <c r="I11" s="0" t="n">
        <v>1604</v>
      </c>
      <c r="J11" s="0" t="n">
        <v>8.39127182175348</v>
      </c>
      <c r="K11" s="0" t="n">
        <v>4.52</v>
      </c>
      <c r="M11" s="0" t="n">
        <v>1747</v>
      </c>
      <c r="O11" s="0" t="n">
        <v>6940.4</v>
      </c>
      <c r="P11" s="0" t="n">
        <v>21109.8</v>
      </c>
      <c r="S11" s="0" t="n">
        <v>2016.4</v>
      </c>
      <c r="T11" s="0" t="n">
        <v>355.6</v>
      </c>
      <c r="U11" s="0" t="n">
        <v>14.6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17033.3</v>
      </c>
      <c r="I12" s="0" t="n">
        <v>521.7</v>
      </c>
      <c r="J12" s="0" t="n">
        <v>3.06282399769863</v>
      </c>
      <c r="K12" s="0" t="n">
        <v>1.49</v>
      </c>
      <c r="L12" s="0" t="n">
        <v>2300.8</v>
      </c>
      <c r="M12" s="0" t="n">
        <v>1992.4</v>
      </c>
      <c r="N12" s="0" t="n">
        <v>308.4</v>
      </c>
      <c r="O12" s="0" t="n">
        <v>6777.6</v>
      </c>
      <c r="P12" s="0" t="n">
        <v>20638.9</v>
      </c>
      <c r="S12" s="0" t="n">
        <v>1915.7</v>
      </c>
      <c r="T12" s="0" t="n">
        <v>351.8</v>
      </c>
      <c r="U12" s="0" t="n">
        <v>13.1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19456.4</v>
      </c>
      <c r="I13" s="0" t="n">
        <v>1675.2</v>
      </c>
      <c r="J13" s="0" t="n">
        <v>8.61002035319998</v>
      </c>
      <c r="K13" s="0" t="n">
        <v>4.76</v>
      </c>
      <c r="L13" s="0" t="n">
        <v>2715.8</v>
      </c>
      <c r="M13" s="0" t="n">
        <v>1855.1</v>
      </c>
      <c r="N13" s="0" t="n">
        <v>860.7</v>
      </c>
      <c r="O13" s="0" t="n">
        <v>8050.5</v>
      </c>
      <c r="P13" s="0" t="n">
        <v>23440.2</v>
      </c>
      <c r="S13" s="0" t="n">
        <v>2364.7</v>
      </c>
      <c r="T13" s="0" t="n">
        <v>352.9</v>
      </c>
      <c r="U13" s="0" t="n">
        <v>12.7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23495.7</v>
      </c>
      <c r="I14" s="0" t="n">
        <v>2195.1</v>
      </c>
      <c r="J14" s="0" t="n">
        <v>9.34256055363322</v>
      </c>
      <c r="K14" s="0" t="n">
        <v>6.25</v>
      </c>
      <c r="L14" s="0" t="n">
        <v>2992.3</v>
      </c>
      <c r="M14" s="0" t="n">
        <v>1931.8</v>
      </c>
      <c r="N14" s="0" t="n">
        <v>1060.5</v>
      </c>
      <c r="O14" s="0" t="n">
        <v>8592.9</v>
      </c>
      <c r="P14" s="0" t="n">
        <v>25482.4</v>
      </c>
      <c r="S14" s="0" t="n">
        <v>3435.9</v>
      </c>
      <c r="T14" s="0" t="n">
        <v>351.8</v>
      </c>
      <c r="U14" s="0" t="n">
        <v>13.2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25599.7</v>
      </c>
      <c r="I15" s="0" t="n">
        <v>2387.9</v>
      </c>
      <c r="J15" s="0" t="n">
        <v>9.32784368566819</v>
      </c>
      <c r="K15" s="0" t="n">
        <v>6.88</v>
      </c>
      <c r="L15" s="0" t="n">
        <v>2860.3</v>
      </c>
      <c r="M15" s="0" t="n">
        <v>2140.7</v>
      </c>
      <c r="N15" s="0" t="n">
        <v>719.6</v>
      </c>
      <c r="O15" s="0" t="n">
        <v>9706.1</v>
      </c>
      <c r="P15" s="0" t="n">
        <v>28361.1</v>
      </c>
      <c r="T15" s="0" t="n">
        <v>347.5</v>
      </c>
      <c r="U15" s="0" t="n">
        <v>15.1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18728.5</v>
      </c>
      <c r="I16" s="0" t="n">
        <v>1301.2</v>
      </c>
      <c r="J16" s="0" t="n">
        <v>6.94770002936701</v>
      </c>
      <c r="K16" s="0" t="n">
        <v>2.5</v>
      </c>
      <c r="L16" s="0" t="n">
        <v>2987.2</v>
      </c>
      <c r="M16" s="0" t="n">
        <v>1657.5</v>
      </c>
      <c r="N16" s="0" t="n">
        <v>1329.7</v>
      </c>
      <c r="O16" s="0" t="n">
        <v>10533.3</v>
      </c>
      <c r="P16" s="0" t="n">
        <v>28450</v>
      </c>
      <c r="T16" s="0" t="n">
        <v>521.2</v>
      </c>
      <c r="U16" s="0" t="n">
        <v>13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23522.3</v>
      </c>
      <c r="I17" s="0" t="n">
        <v>1865.5</v>
      </c>
      <c r="J17" s="0" t="n">
        <v>7.93077207585993</v>
      </c>
      <c r="K17" s="0" t="n">
        <v>3.58</v>
      </c>
      <c r="L17" s="0" t="n">
        <v>2186.7</v>
      </c>
      <c r="M17" s="0" t="n">
        <v>1585.5</v>
      </c>
      <c r="N17" s="0" t="n">
        <v>601.2</v>
      </c>
      <c r="O17" s="0" t="n">
        <v>11594</v>
      </c>
      <c r="P17" s="0" t="n">
        <v>29509.4</v>
      </c>
      <c r="T17" s="0" t="n">
        <v>522.7</v>
      </c>
      <c r="U17" s="0" t="n">
        <v>14.7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28819.7</v>
      </c>
      <c r="C18" s="0" t="n">
        <v>23291</v>
      </c>
      <c r="I18" s="0" t="n">
        <v>3011.6</v>
      </c>
      <c r="J18" s="0" t="n">
        <v>10.4497964933709</v>
      </c>
      <c r="K18" s="0" t="n">
        <v>5.76</v>
      </c>
      <c r="L18" s="0" t="n">
        <v>3027</v>
      </c>
      <c r="M18" s="0" t="n">
        <v>1370.5</v>
      </c>
      <c r="N18" s="0" t="n">
        <v>1656.5</v>
      </c>
      <c r="O18" s="0" t="n">
        <v>13167.1</v>
      </c>
      <c r="P18" s="0" t="n">
        <v>33275.5</v>
      </c>
      <c r="T18" s="0" t="n">
        <v>523.4</v>
      </c>
      <c r="U18" s="0" t="n">
        <v>17.1</v>
      </c>
      <c r="V18" s="0" t="n">
        <v>2.8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35127.4</v>
      </c>
      <c r="C19" s="0" t="n">
        <v>26894.2</v>
      </c>
      <c r="I19" s="0" t="n">
        <v>4600.8</v>
      </c>
      <c r="J19" s="0" t="n">
        <v>13.0974680733558</v>
      </c>
      <c r="K19" s="0" t="n">
        <v>8.78</v>
      </c>
      <c r="L19" s="0" t="n">
        <v>4190</v>
      </c>
      <c r="M19" s="0" t="n">
        <v>1265.9</v>
      </c>
      <c r="N19" s="0" t="n">
        <v>2924.1</v>
      </c>
      <c r="O19" s="0" t="n">
        <v>15878.8</v>
      </c>
      <c r="P19" s="0" t="n">
        <v>40823.4</v>
      </c>
      <c r="T19" s="0" t="n">
        <v>525</v>
      </c>
      <c r="U19" s="0" t="n">
        <v>21.2</v>
      </c>
      <c r="V19" s="0" t="n">
        <v>4.24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33663.8</v>
      </c>
      <c r="C20" s="0" t="n">
        <v>26069.6</v>
      </c>
      <c r="I20" s="0" t="n">
        <v>4162</v>
      </c>
      <c r="J20" s="0" t="n">
        <v>12.3634289652386</v>
      </c>
      <c r="K20" s="0" t="n">
        <v>7.92</v>
      </c>
      <c r="L20" s="0" t="n">
        <v>4640.9</v>
      </c>
      <c r="M20" s="0" t="n">
        <v>1702.7</v>
      </c>
      <c r="N20" s="0" t="n">
        <v>2938.2</v>
      </c>
      <c r="O20" s="0" t="n">
        <v>17506.9</v>
      </c>
      <c r="P20" s="0" t="n">
        <v>43418.9</v>
      </c>
      <c r="T20" s="0" t="n">
        <v>526.6</v>
      </c>
      <c r="U20" s="0" t="n">
        <v>22.9</v>
      </c>
      <c r="V20" s="0" t="n">
        <v>4.17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28444.8</v>
      </c>
      <c r="C21" s="0" t="n">
        <v>22736.7</v>
      </c>
      <c r="I21" s="0" t="n">
        <v>2375.8</v>
      </c>
      <c r="J21" s="0" t="n">
        <v>8.35231747103161</v>
      </c>
      <c r="K21" s="0" t="n">
        <v>4.52</v>
      </c>
      <c r="L21" s="0" t="n">
        <v>4415.8</v>
      </c>
      <c r="M21" s="0" t="n">
        <v>743</v>
      </c>
      <c r="N21" s="0" t="n">
        <v>3672.8</v>
      </c>
      <c r="O21" s="0" t="n">
        <v>19264</v>
      </c>
      <c r="P21" s="0" t="n">
        <v>44336.2</v>
      </c>
      <c r="T21" s="0" t="n">
        <v>526.8</v>
      </c>
      <c r="U21" s="0" t="n">
        <v>24.1</v>
      </c>
      <c r="V21" s="0" t="n">
        <v>2.72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109.94</v>
      </c>
    </row>
    <row r="3" customFormat="false" ht="15" hidden="false" customHeight="false" outlineLevel="0" collapsed="false">
      <c r="A3" s="0" t="s">
        <v>86</v>
      </c>
      <c r="B3" s="3" t="n">
        <v>527.6</v>
      </c>
    </row>
    <row r="4" customFormat="false" ht="15" hidden="false" customHeight="false" outlineLevel="0" collapsed="false">
      <c r="A4" s="0" t="s">
        <v>87</v>
      </c>
      <c r="B4" s="3" t="n">
        <v>-8667.4</v>
      </c>
    </row>
    <row r="5" customFormat="false" ht="15" hidden="false" customHeight="false" outlineLevel="0" collapsed="false">
      <c r="A5" s="0" t="s">
        <v>88</v>
      </c>
      <c r="B5" s="3" t="n">
        <v>5974.4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26235.1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5</v>
      </c>
      <c r="D13" s="3" t="n">
        <v>-12</v>
      </c>
      <c r="E13" s="3" t="n">
        <v>0</v>
      </c>
      <c r="F13" s="3" t="n">
        <v>6</v>
      </c>
      <c r="G13" s="3" t="n">
        <v>5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12</v>
      </c>
      <c r="D14" s="3" t="n">
        <v>9.5</v>
      </c>
      <c r="E14" s="3" t="n">
        <v>10.5</v>
      </c>
      <c r="F14" s="3" t="n">
        <v>11.5</v>
      </c>
      <c r="G14" s="3" t="n">
        <v>12</v>
      </c>
      <c r="H14" s="3" t="n">
        <v>12.3</v>
      </c>
      <c r="I14" s="3" t="n">
        <v>12.5</v>
      </c>
      <c r="J14" s="3" t="n">
        <v>12.5</v>
      </c>
      <c r="K14" s="3" t="n">
        <v>12.5</v>
      </c>
      <c r="L14" s="3" t="n">
        <v>12.5</v>
      </c>
    </row>
    <row r="15" customFormat="false" ht="15" hidden="false" customHeight="false" outlineLevel="0" collapsed="false">
      <c r="A15" s="0" t="s">
        <v>108</v>
      </c>
      <c r="C15" s="3" t="n">
        <v>0.09</v>
      </c>
      <c r="D15" s="3" t="n">
        <v>0.09</v>
      </c>
      <c r="E15" s="3" t="n">
        <v>0.09</v>
      </c>
      <c r="F15" s="3" t="n">
        <v>0.09</v>
      </c>
      <c r="G15" s="3" t="n">
        <v>0.09</v>
      </c>
      <c r="H15" s="3" t="n">
        <v>0.09</v>
      </c>
      <c r="I15" s="3" t="n">
        <v>0.09</v>
      </c>
      <c r="J15" s="3" t="n">
        <v>0.09</v>
      </c>
      <c r="K15" s="3" t="n">
        <v>0.09</v>
      </c>
      <c r="L15" s="3" t="n">
        <v>0.09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1.55</v>
      </c>
      <c r="D17" s="3" t="n">
        <v>1.6</v>
      </c>
      <c r="E17" s="3" t="n">
        <v>1.65</v>
      </c>
      <c r="F17" s="3" t="n">
        <v>1.7</v>
      </c>
      <c r="G17" s="3" t="n">
        <v>1.75</v>
      </c>
      <c r="H17" s="3" t="n">
        <v>1.8</v>
      </c>
      <c r="I17" s="3" t="n">
        <v>1.8</v>
      </c>
      <c r="J17" s="3" t="n">
        <v>1.85</v>
      </c>
      <c r="K17" s="3" t="n">
        <v>1.85</v>
      </c>
      <c r="L17" s="3" t="n">
        <v>1.9</v>
      </c>
    </row>
    <row r="18" customFormat="false" ht="15" hidden="false" customHeight="false" outlineLevel="0" collapsed="false">
      <c r="A18" s="0" t="s">
        <v>111</v>
      </c>
      <c r="C18" s="3" t="n">
        <v>2.6</v>
      </c>
      <c r="D18" s="3" t="n">
        <v>2.6</v>
      </c>
      <c r="E18" s="3" t="n">
        <v>2.5</v>
      </c>
      <c r="F18" s="3" t="n">
        <v>2.5</v>
      </c>
      <c r="G18" s="3" t="n">
        <v>2.4</v>
      </c>
      <c r="H18" s="3" t="n">
        <v>2.3</v>
      </c>
      <c r="I18" s="3" t="n">
        <v>2.2</v>
      </c>
      <c r="J18" s="3" t="n">
        <v>2.2</v>
      </c>
      <c r="K18" s="3" t="n">
        <v>2.1</v>
      </c>
      <c r="L18" s="3" t="n">
        <v>2.1</v>
      </c>
    </row>
    <row r="19" customFormat="false" ht="15" hidden="false" customHeight="false" outlineLevel="0" collapsed="false">
      <c r="A19" s="0" t="s">
        <v>112</v>
      </c>
      <c r="C19" s="3" t="n">
        <v>22</v>
      </c>
      <c r="D19" s="3" t="n">
        <v>22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14</v>
      </c>
    </row>
    <row r="23" customFormat="false" ht="15" hidden="false" customHeight="false" outlineLevel="0" collapsed="false">
      <c r="A23" s="0" t="s">
        <v>116</v>
      </c>
      <c r="B23" s="3" t="n">
        <v>-5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7</v>
      </c>
      <c r="D27" s="3" t="n">
        <v>-2</v>
      </c>
      <c r="E27" s="3" t="n">
        <v>8</v>
      </c>
      <c r="F27" s="3" t="n">
        <v>6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12.4</v>
      </c>
      <c r="D28" s="3" t="n">
        <v>12</v>
      </c>
      <c r="E28" s="3" t="n">
        <v>13</v>
      </c>
      <c r="F28" s="3" t="n">
        <v>13.5</v>
      </c>
      <c r="G28" s="3" t="n">
        <v>13.7</v>
      </c>
      <c r="H28" s="3" t="n">
        <v>13.8</v>
      </c>
      <c r="I28" s="3" t="n">
        <v>13.8</v>
      </c>
      <c r="J28" s="3" t="n">
        <v>13.8</v>
      </c>
      <c r="K28" s="3" t="n">
        <v>13.8</v>
      </c>
      <c r="L28" s="3" t="n">
        <v>13.8</v>
      </c>
    </row>
    <row r="29" customFormat="false" ht="15" hidden="false" customHeight="false" outlineLevel="0" collapsed="false">
      <c r="A29" s="0" t="s">
        <v>108</v>
      </c>
      <c r="C29" s="3" t="n">
        <v>0.09</v>
      </c>
      <c r="D29" s="3" t="n">
        <v>0.09</v>
      </c>
      <c r="E29" s="3" t="n">
        <v>0.09</v>
      </c>
      <c r="F29" s="3" t="n">
        <v>0.09</v>
      </c>
      <c r="G29" s="3" t="n">
        <v>0.09</v>
      </c>
      <c r="H29" s="3" t="n">
        <v>0.09</v>
      </c>
      <c r="I29" s="3" t="n">
        <v>0.09</v>
      </c>
      <c r="J29" s="3" t="n">
        <v>0.09</v>
      </c>
      <c r="K29" s="3" t="n">
        <v>0.09</v>
      </c>
      <c r="L29" s="3" t="n">
        <v>0.09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1.55</v>
      </c>
      <c r="D31" s="3" t="n">
        <v>1.6</v>
      </c>
      <c r="E31" s="3" t="n">
        <v>1.65</v>
      </c>
      <c r="F31" s="3" t="n">
        <v>1.7</v>
      </c>
      <c r="G31" s="3" t="n">
        <v>1.75</v>
      </c>
      <c r="H31" s="3" t="n">
        <v>1.8</v>
      </c>
      <c r="I31" s="3" t="n">
        <v>1.8</v>
      </c>
      <c r="J31" s="3" t="n">
        <v>1.85</v>
      </c>
      <c r="K31" s="3" t="n">
        <v>1.85</v>
      </c>
      <c r="L31" s="3" t="n">
        <v>1.9</v>
      </c>
    </row>
    <row r="32" customFormat="false" ht="15" hidden="false" customHeight="false" outlineLevel="0" collapsed="false">
      <c r="A32" s="0" t="s">
        <v>111</v>
      </c>
      <c r="C32" s="3" t="n">
        <v>2.6</v>
      </c>
      <c r="D32" s="3" t="n">
        <v>2.6</v>
      </c>
      <c r="E32" s="3" t="n">
        <v>2.5</v>
      </c>
      <c r="F32" s="3" t="n">
        <v>2.5</v>
      </c>
      <c r="G32" s="3" t="n">
        <v>2.4</v>
      </c>
      <c r="H32" s="3" t="n">
        <v>2.3</v>
      </c>
      <c r="I32" s="3" t="n">
        <v>2.2</v>
      </c>
      <c r="J32" s="3" t="n">
        <v>2.2</v>
      </c>
      <c r="K32" s="3" t="n">
        <v>2.1</v>
      </c>
      <c r="L32" s="3" t="n">
        <v>2.1</v>
      </c>
    </row>
    <row r="33" customFormat="false" ht="15" hidden="false" customHeight="false" outlineLevel="0" collapsed="false">
      <c r="A33" s="0" t="s">
        <v>112</v>
      </c>
      <c r="C33" s="3" t="n">
        <v>22</v>
      </c>
      <c r="D33" s="3" t="n">
        <v>22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14</v>
      </c>
    </row>
    <row r="37" customFormat="false" ht="15" hidden="false" customHeight="false" outlineLevel="0" collapsed="false">
      <c r="A37" s="0" t="s">
        <v>116</v>
      </c>
      <c r="B37" s="3" t="n">
        <v>-5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12</v>
      </c>
      <c r="D41" s="3" t="n">
        <v>3</v>
      </c>
      <c r="E41" s="3" t="n">
        <v>10</v>
      </c>
      <c r="F41" s="3" t="n">
        <v>7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12.8</v>
      </c>
      <c r="D42" s="3" t="n">
        <v>13</v>
      </c>
      <c r="E42" s="3" t="n">
        <v>14.5</v>
      </c>
      <c r="F42" s="3" t="n">
        <v>15</v>
      </c>
      <c r="G42" s="3" t="n">
        <v>15.2</v>
      </c>
      <c r="H42" s="3" t="n">
        <v>15.2</v>
      </c>
      <c r="I42" s="3" t="n">
        <v>15</v>
      </c>
      <c r="J42" s="3" t="n">
        <v>15</v>
      </c>
      <c r="K42" s="3" t="n">
        <v>15</v>
      </c>
      <c r="L42" s="3" t="n">
        <v>15</v>
      </c>
    </row>
    <row r="43" customFormat="false" ht="15" hidden="false" customHeight="false" outlineLevel="0" collapsed="false">
      <c r="A43" s="0" t="s">
        <v>108</v>
      </c>
      <c r="C43" s="3" t="n">
        <v>0.09</v>
      </c>
      <c r="D43" s="3" t="n">
        <v>0.09</v>
      </c>
      <c r="E43" s="3" t="n">
        <v>0.09</v>
      </c>
      <c r="F43" s="3" t="n">
        <v>0.09</v>
      </c>
      <c r="G43" s="3" t="n">
        <v>0.09</v>
      </c>
      <c r="H43" s="3" t="n">
        <v>0.09</v>
      </c>
      <c r="I43" s="3" t="n">
        <v>0.09</v>
      </c>
      <c r="J43" s="3" t="n">
        <v>0.09</v>
      </c>
      <c r="K43" s="3" t="n">
        <v>0.09</v>
      </c>
      <c r="L43" s="3" t="n">
        <v>0.09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1.55</v>
      </c>
      <c r="D45" s="3" t="n">
        <v>1.6</v>
      </c>
      <c r="E45" s="3" t="n">
        <v>1.65</v>
      </c>
      <c r="F45" s="3" t="n">
        <v>1.7</v>
      </c>
      <c r="G45" s="3" t="n">
        <v>1.75</v>
      </c>
      <c r="H45" s="3" t="n">
        <v>1.8</v>
      </c>
      <c r="I45" s="3" t="n">
        <v>1.8</v>
      </c>
      <c r="J45" s="3" t="n">
        <v>1.85</v>
      </c>
      <c r="K45" s="3" t="n">
        <v>1.85</v>
      </c>
      <c r="L45" s="3" t="n">
        <v>1.9</v>
      </c>
    </row>
    <row r="46" customFormat="false" ht="15" hidden="false" customHeight="false" outlineLevel="0" collapsed="false">
      <c r="A46" s="0" t="s">
        <v>111</v>
      </c>
      <c r="C46" s="3" t="n">
        <v>2.6</v>
      </c>
      <c r="D46" s="3" t="n">
        <v>2.6</v>
      </c>
      <c r="E46" s="3" t="n">
        <v>2.5</v>
      </c>
      <c r="F46" s="3" t="n">
        <v>2.5</v>
      </c>
      <c r="G46" s="3" t="n">
        <v>2.4</v>
      </c>
      <c r="H46" s="3" t="n">
        <v>2.3</v>
      </c>
      <c r="I46" s="3" t="n">
        <v>2.2</v>
      </c>
      <c r="J46" s="3" t="n">
        <v>2.2</v>
      </c>
      <c r="K46" s="3" t="n">
        <v>2.1</v>
      </c>
      <c r="L46" s="3" t="n">
        <v>2.1</v>
      </c>
    </row>
    <row r="47" customFormat="false" ht="15" hidden="false" customHeight="false" outlineLevel="0" collapsed="false">
      <c r="A47" s="0" t="s">
        <v>112</v>
      </c>
      <c r="C47" s="3" t="n">
        <v>22</v>
      </c>
      <c r="D47" s="3" t="n">
        <v>22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14</v>
      </c>
    </row>
    <row r="51" customFormat="false" ht="15" hidden="false" customHeight="false" outlineLevel="0" collapsed="false">
      <c r="A51" s="0" t="s">
        <v>116</v>
      </c>
      <c r="B51" s="3" t="n">
        <v>-5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5</v>
      </c>
      <c r="D5" s="4" t="n">
        <f aca="false">Assumptions!D13</f>
        <v>-12</v>
      </c>
      <c r="E5" s="4" t="n">
        <f aca="false">Assumptions!E13</f>
        <v>0</v>
      </c>
      <c r="F5" s="4" t="n">
        <f aca="false">Assumptions!F13</f>
        <v>6</v>
      </c>
      <c r="G5" s="4" t="n">
        <f aca="false">Assumptions!G13</f>
        <v>5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26235.1</v>
      </c>
      <c r="C6" s="0" t="n">
        <f aca="false">B6*(1+C5/100)</f>
        <v>27546.855</v>
      </c>
      <c r="D6" s="0" t="n">
        <f aca="false">C6*(1+D5/100)</f>
        <v>24241.2324</v>
      </c>
      <c r="E6" s="0" t="n">
        <f aca="false">D6*(1+E5/100)</f>
        <v>24241.2324</v>
      </c>
      <c r="F6" s="0" t="n">
        <f aca="false">E6*(1+F5/100)</f>
        <v>25695.706344</v>
      </c>
      <c r="G6" s="0" t="n">
        <f aca="false">F6*(1+G5/100)</f>
        <v>26980.4916612</v>
      </c>
      <c r="H6" s="0" t="n">
        <f aca="false">G6*(1+H5/100)</f>
        <v>27789.906411036</v>
      </c>
      <c r="I6" s="0" t="n">
        <f aca="false">H6*(1+I5/100)</f>
        <v>28623.6036033671</v>
      </c>
      <c r="J6" s="0" t="n">
        <f aca="false">I6*(1+J5/100)</f>
        <v>29339.1936934513</v>
      </c>
      <c r="K6" s="0" t="n">
        <f aca="false">J6*(1+K5/100)</f>
        <v>30072.6735357875</v>
      </c>
      <c r="L6" s="0" t="n">
        <f aca="false">K6*(1+L5/100)</f>
        <v>30824.4903741822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12</v>
      </c>
      <c r="D7" s="4" t="n">
        <f aca="false">Assumptions!D14</f>
        <v>9.5</v>
      </c>
      <c r="E7" s="4" t="n">
        <f aca="false">Assumptions!E14</f>
        <v>10.5</v>
      </c>
      <c r="F7" s="4" t="n">
        <f aca="false">Assumptions!F14</f>
        <v>11.5</v>
      </c>
      <c r="G7" s="4" t="n">
        <f aca="false">Assumptions!G14</f>
        <v>12</v>
      </c>
      <c r="H7" s="4" t="n">
        <f aca="false">Assumptions!H14</f>
        <v>12.3</v>
      </c>
      <c r="I7" s="4" t="n">
        <f aca="false">Assumptions!I14</f>
        <v>12.5</v>
      </c>
      <c r="J7" s="4" t="n">
        <f aca="false">Assumptions!J14</f>
        <v>12.5</v>
      </c>
      <c r="K7" s="4" t="n">
        <f aca="false">Assumptions!K14</f>
        <v>12.5</v>
      </c>
      <c r="L7" s="4" t="n">
        <f aca="false">Assumptions!L14</f>
        <v>12.5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3305.6226</v>
      </c>
      <c r="D8" s="0" t="n">
        <f aca="false">D6*D7/100</f>
        <v>2302.917078</v>
      </c>
      <c r="E8" s="0" t="n">
        <f aca="false">E6*E7/100</f>
        <v>2545.329402</v>
      </c>
      <c r="F8" s="0" t="n">
        <f aca="false">F6*F7/100</f>
        <v>2955.00622956</v>
      </c>
      <c r="G8" s="0" t="n">
        <f aca="false">G6*G7/100</f>
        <v>3237.658999344</v>
      </c>
      <c r="H8" s="0" t="n">
        <f aca="false">H6*H7/100</f>
        <v>3418.15848855743</v>
      </c>
      <c r="I8" s="0" t="n">
        <f aca="false">I6*I7/100</f>
        <v>3577.95045042089</v>
      </c>
      <c r="J8" s="0" t="n">
        <f aca="false">J6*J7/100</f>
        <v>3667.39921168141</v>
      </c>
      <c r="K8" s="0" t="n">
        <f aca="false">K6*K7/100</f>
        <v>3759.08419197344</v>
      </c>
      <c r="L8" s="0" t="n">
        <f aca="false">L6*L7/100</f>
        <v>3853.06129677278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0.09</v>
      </c>
      <c r="D9" s="4" t="n">
        <f aca="false">Assumptions!D15</f>
        <v>0.09</v>
      </c>
      <c r="E9" s="4" t="n">
        <f aca="false">Assumptions!E15</f>
        <v>0.09</v>
      </c>
      <c r="F9" s="4" t="n">
        <f aca="false">Assumptions!F15</f>
        <v>0.09</v>
      </c>
      <c r="G9" s="4" t="n">
        <f aca="false">Assumptions!G15</f>
        <v>0.09</v>
      </c>
      <c r="H9" s="4" t="n">
        <f aca="false">Assumptions!H15</f>
        <v>0.09</v>
      </c>
      <c r="I9" s="4" t="n">
        <f aca="false">Assumptions!I15</f>
        <v>0.09</v>
      </c>
      <c r="J9" s="4" t="n">
        <f aca="false">Assumptions!J15</f>
        <v>0.09</v>
      </c>
      <c r="K9" s="4" t="n">
        <f aca="false">Assumptions!K15</f>
        <v>0.09</v>
      </c>
      <c r="L9" s="4" t="n">
        <f aca="false">Assumptions!L15</f>
        <v>0.09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-24.7921695</v>
      </c>
      <c r="D10" s="0" t="n">
        <f aca="false">-D6*D9/100</f>
        <v>-21.81710916</v>
      </c>
      <c r="E10" s="0" t="n">
        <f aca="false">-E6*E9/100</f>
        <v>-21.81710916</v>
      </c>
      <c r="F10" s="0" t="n">
        <f aca="false">-F6*F9/100</f>
        <v>-23.1261357096</v>
      </c>
      <c r="G10" s="0" t="n">
        <f aca="false">-G6*G9/100</f>
        <v>-24.28244249508</v>
      </c>
      <c r="H10" s="0" t="n">
        <f aca="false">-H6*H9/100</f>
        <v>-25.0109157699324</v>
      </c>
      <c r="I10" s="0" t="n">
        <f aca="false">-I6*I9/100</f>
        <v>-25.7612432430304</v>
      </c>
      <c r="J10" s="0" t="n">
        <f aca="false">-J6*J9/100</f>
        <v>-26.4052743241061</v>
      </c>
      <c r="K10" s="0" t="n">
        <f aca="false">-K6*K9/100</f>
        <v>-27.0654061822088</v>
      </c>
      <c r="L10" s="0" t="n">
        <f aca="false">-L6*L9/100</f>
        <v>-27.742041336764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3280.8304305</v>
      </c>
      <c r="D11" s="0" t="n">
        <f aca="false">D8+D10+D24</f>
        <v>2281.09996884</v>
      </c>
      <c r="E11" s="0" t="n">
        <f aca="false">E8+E10+E24</f>
        <v>2523.51229284</v>
      </c>
      <c r="F11" s="0" t="n">
        <f aca="false">F8+F10+F24</f>
        <v>2931.8800938504</v>
      </c>
      <c r="G11" s="0" t="n">
        <f aca="false">G8+G10+G24</f>
        <v>3213.37655684892</v>
      </c>
      <c r="H11" s="0" t="n">
        <f aca="false">H8+H10+H24</f>
        <v>3393.1475727875</v>
      </c>
      <c r="I11" s="0" t="n">
        <f aca="false">I8+I10+I24</f>
        <v>3552.18920717785</v>
      </c>
      <c r="J11" s="0" t="n">
        <f aca="false">J8+J10+J24</f>
        <v>3640.9939373573</v>
      </c>
      <c r="K11" s="0" t="n">
        <f aca="false">K8+K10+K24</f>
        <v>3732.01878579123</v>
      </c>
      <c r="L11" s="0" t="n">
        <f aca="false">L8+L10+L24</f>
        <v>3825.31925543601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-426.9762525</v>
      </c>
      <c r="D12" s="4" t="n">
        <f aca="false">-D6*Assumptions!D17/100</f>
        <v>-387.8597184</v>
      </c>
      <c r="E12" s="4" t="n">
        <f aca="false">-E6*Assumptions!E17/100</f>
        <v>-399.9803346</v>
      </c>
      <c r="F12" s="4" t="n">
        <f aca="false">-F6*Assumptions!F17/100</f>
        <v>-436.827007848</v>
      </c>
      <c r="G12" s="4" t="n">
        <f aca="false">-G6*Assumptions!G17/100</f>
        <v>-472.158604071</v>
      </c>
      <c r="H12" s="4" t="n">
        <f aca="false">-H6*Assumptions!H17/100</f>
        <v>-500.218315398648</v>
      </c>
      <c r="I12" s="4" t="n">
        <f aca="false">-I6*Assumptions!I17/100</f>
        <v>-515.224864860608</v>
      </c>
      <c r="J12" s="4" t="n">
        <f aca="false">-J6*Assumptions!J17/100</f>
        <v>-542.775083328848</v>
      </c>
      <c r="K12" s="4" t="n">
        <f aca="false">-K6*Assumptions!K17/100</f>
        <v>-556.344460412069</v>
      </c>
      <c r="L12" s="4" t="n">
        <f aca="false">-L6*Assumptions!L17/100</f>
        <v>-585.665317109462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2853.854178</v>
      </c>
      <c r="D13" s="0" t="n">
        <f aca="false">D11+D12</f>
        <v>1893.24025044</v>
      </c>
      <c r="E13" s="0" t="n">
        <f aca="false">E11+E12</f>
        <v>2123.53195824</v>
      </c>
      <c r="F13" s="0" t="n">
        <f aca="false">F11+F12</f>
        <v>2495.0530860024</v>
      </c>
      <c r="G13" s="0" t="n">
        <f aca="false">G11+G12</f>
        <v>2741.21795277792</v>
      </c>
      <c r="H13" s="0" t="n">
        <f aca="false">H11+H12</f>
        <v>2892.92925738885</v>
      </c>
      <c r="I13" s="0" t="n">
        <f aca="false">I11+I12</f>
        <v>3036.96434231725</v>
      </c>
      <c r="J13" s="0" t="n">
        <f aca="false">J11+J12</f>
        <v>3098.21885402845</v>
      </c>
      <c r="K13" s="0" t="n">
        <f aca="false">K11+K12</f>
        <v>3175.67432537916</v>
      </c>
      <c r="L13" s="0" t="n">
        <f aca="false">L11+L12</f>
        <v>3239.65393832655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22</v>
      </c>
      <c r="D14" s="4" t="n">
        <f aca="false">Assumptions!D19</f>
        <v>22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2226.00625884</v>
      </c>
      <c r="D15" s="0" t="n">
        <f aca="false">D13-MAX(0,D13)*D14/100</f>
        <v>1476.7273953432</v>
      </c>
      <c r="E15" s="0" t="n">
        <f aca="false">E13-MAX(0,E13)*E14/100</f>
        <v>1656.3549274272</v>
      </c>
      <c r="F15" s="0" t="n">
        <f aca="false">F13-MAX(0,F13)*F14/100</f>
        <v>1946.14140708187</v>
      </c>
      <c r="G15" s="0" t="n">
        <f aca="false">G13-MAX(0,G13)*G14/100</f>
        <v>2138.15000316678</v>
      </c>
      <c r="H15" s="0" t="n">
        <f aca="false">H13-MAX(0,H13)*H14/100</f>
        <v>2256.4848207633</v>
      </c>
      <c r="I15" s="0" t="n">
        <f aca="false">I13-MAX(0,I13)*I14/100</f>
        <v>2368.83218700745</v>
      </c>
      <c r="J15" s="0" t="n">
        <f aca="false">J13-MAX(0,J13)*J14/100</f>
        <v>2416.61070614219</v>
      </c>
      <c r="K15" s="0" t="n">
        <f aca="false">K13-MAX(0,K13)*K14/100</f>
        <v>2477.02597379575</v>
      </c>
      <c r="L15" s="0" t="n">
        <f aca="false">L13-MAX(0,L13)*L14/100</f>
        <v>2526.93007189471</v>
      </c>
    </row>
    <row r="16" customFormat="false" ht="15" hidden="false" customHeight="false" outlineLevel="0" collapsed="false">
      <c r="A16" s="0" t="s">
        <v>128</v>
      </c>
      <c r="C16" s="0" t="n">
        <f aca="false">-C12</f>
        <v>426.9762525</v>
      </c>
      <c r="D16" s="0" t="n">
        <f aca="false">-D12</f>
        <v>387.8597184</v>
      </c>
      <c r="E16" s="0" t="n">
        <f aca="false">-E12</f>
        <v>399.9803346</v>
      </c>
      <c r="F16" s="0" t="n">
        <f aca="false">-F12</f>
        <v>436.827007848</v>
      </c>
      <c r="G16" s="0" t="n">
        <f aca="false">-G12</f>
        <v>472.158604071</v>
      </c>
      <c r="H16" s="0" t="n">
        <f aca="false">-H12</f>
        <v>500.218315398648</v>
      </c>
      <c r="I16" s="0" t="n">
        <f aca="false">-I12</f>
        <v>515.224864860608</v>
      </c>
      <c r="J16" s="0" t="n">
        <f aca="false">-J12</f>
        <v>542.775083328848</v>
      </c>
      <c r="K16" s="0" t="n">
        <f aca="false">-K12</f>
        <v>556.344460412069</v>
      </c>
      <c r="L16" s="0" t="n">
        <f aca="false">-L12</f>
        <v>585.665317109462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-716.21823</v>
      </c>
      <c r="D17" s="4" t="n">
        <f aca="false">-D6*Assumptions!D18/100</f>
        <v>-630.2720424</v>
      </c>
      <c r="E17" s="4" t="n">
        <f aca="false">-E6*Assumptions!E18/100</f>
        <v>-606.03081</v>
      </c>
      <c r="F17" s="4" t="n">
        <f aca="false">-F6*Assumptions!F18/100</f>
        <v>-642.3926586</v>
      </c>
      <c r="G17" s="4" t="n">
        <f aca="false">-G6*Assumptions!G18/100</f>
        <v>-647.5317998688</v>
      </c>
      <c r="H17" s="4" t="n">
        <f aca="false">-H6*Assumptions!H18/100</f>
        <v>-639.167847453828</v>
      </c>
      <c r="I17" s="4" t="n">
        <f aca="false">-I6*Assumptions!I18/100</f>
        <v>-629.719279274076</v>
      </c>
      <c r="J17" s="4" t="n">
        <f aca="false">-J6*Assumptions!J18/100</f>
        <v>-645.462261255928</v>
      </c>
      <c r="K17" s="4" t="n">
        <f aca="false">-K6*Assumptions!K18/100</f>
        <v>-631.526144251538</v>
      </c>
      <c r="L17" s="4" t="n">
        <f aca="false">-L6*Assumptions!L18/100</f>
        <v>-647.314297857827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-65.5877500000001</v>
      </c>
      <c r="D18" s="4" t="n">
        <f aca="false">(D6-C6)*Assumptions!$B$23/100</f>
        <v>165.28113</v>
      </c>
      <c r="E18" s="4" t="n">
        <f aca="false">(E6-D6)*Assumptions!$B$23/100</f>
        <v>-0</v>
      </c>
      <c r="F18" s="4" t="n">
        <f aca="false">(F6-E6)*Assumptions!$B$23/100</f>
        <v>-72.7236972000001</v>
      </c>
      <c r="G18" s="4" t="n">
        <f aca="false">(G6-F6)*Assumptions!$B$23/100</f>
        <v>-64.23926586</v>
      </c>
      <c r="H18" s="4" t="n">
        <f aca="false">(H6-G6)*Assumptions!$B$23/100</f>
        <v>-40.4707374918</v>
      </c>
      <c r="I18" s="4" t="n">
        <f aca="false">(I6-H6)*Assumptions!$B$23/100</f>
        <v>-41.6848596165541</v>
      </c>
      <c r="J18" s="4" t="n">
        <f aca="false">(J6-I6)*Assumptions!$B$23/100</f>
        <v>-35.7795045042087</v>
      </c>
      <c r="K18" s="4" t="n">
        <f aca="false">(K6-J6)*Assumptions!$B$23/100</f>
        <v>-36.6739921168139</v>
      </c>
      <c r="L18" s="4" t="n">
        <f aca="false">(L6-K6)*Assumptions!$B$23/100</f>
        <v>-37.5908419197343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1871.17653134</v>
      </c>
      <c r="D19" s="0" t="n">
        <f aca="false">D15+D16+D17+D18</f>
        <v>1399.5962013432</v>
      </c>
      <c r="E19" s="0" t="n">
        <f aca="false">E15+E16+E17+E18</f>
        <v>1450.3044520272</v>
      </c>
      <c r="F19" s="0" t="n">
        <f aca="false">F15+F16+F17+F18</f>
        <v>1667.85205912987</v>
      </c>
      <c r="G19" s="0" t="n">
        <f aca="false">G15+G16+G17+G18</f>
        <v>1898.53754150898</v>
      </c>
      <c r="H19" s="0" t="n">
        <f aca="false">H15+H16+H17+H18</f>
        <v>2077.06455121632</v>
      </c>
      <c r="I19" s="0" t="n">
        <f aca="false">I15+I16+I17+I18</f>
        <v>2212.65291297743</v>
      </c>
      <c r="J19" s="0" t="n">
        <f aca="false">J15+J16+J17+J18</f>
        <v>2278.1440237109</v>
      </c>
      <c r="K19" s="0" t="n">
        <f aca="false">K15+K16+K17+K18</f>
        <v>2365.17029783947</v>
      </c>
      <c r="L19" s="0" t="n">
        <f aca="false">L15+L16+L17+L18</f>
        <v>2427.69024922661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1716.67571682569</v>
      </c>
      <c r="D21" s="0" t="n">
        <f aca="false">D19*D20</f>
        <v>1178.01212132245</v>
      </c>
      <c r="E21" s="0" t="n">
        <f aca="false">E19*E20</f>
        <v>1119.90113891442</v>
      </c>
      <c r="F21" s="0" t="n">
        <f aca="false">F19*F20</f>
        <v>1181.5484470146</v>
      </c>
      <c r="G21" s="0" t="n">
        <f aca="false">G19*G20</f>
        <v>1233.91913629238</v>
      </c>
      <c r="H21" s="0" t="n">
        <f aca="false">H19*H20</f>
        <v>1238.48572770933</v>
      </c>
      <c r="I21" s="0" t="n">
        <f aca="false">I19*I20</f>
        <v>1210.39691535097</v>
      </c>
      <c r="J21" s="0" t="n">
        <f aca="false">J19*J20</f>
        <v>1143.32366573854</v>
      </c>
      <c r="K21" s="0" t="n">
        <f aca="false">K19*K20</f>
        <v>1088.99010841213</v>
      </c>
      <c r="L21" s="0" t="n">
        <f aca="false">L19*L20</f>
        <v>1025.48259706861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12136.7355746491</v>
      </c>
    </row>
    <row r="31" customFormat="false" ht="15" hidden="false" customHeight="false" outlineLevel="0" collapsed="false">
      <c r="A31" s="0" t="s">
        <v>137</v>
      </c>
      <c r="B31" s="0" t="n">
        <f aca="false">L19</f>
        <v>2427.69024922661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38282.8077762658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33987.6634891726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33987.6634891726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14356.7563589605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26493.4919336097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41135.2919336097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77.9668156436877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-0.29082394357206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156.557598142256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184.792331040707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78.6138018627608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19907.0600436582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54.673939745345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7</v>
      </c>
      <c r="D5" s="4" t="n">
        <f aca="false">Assumptions!D27</f>
        <v>-2</v>
      </c>
      <c r="E5" s="4" t="n">
        <f aca="false">Assumptions!E27</f>
        <v>8</v>
      </c>
      <c r="F5" s="4" t="n">
        <f aca="false">Assumptions!F27</f>
        <v>6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26235.1</v>
      </c>
      <c r="C6" s="0" t="n">
        <f aca="false">B6*(1+C5/100)</f>
        <v>28071.557</v>
      </c>
      <c r="D6" s="0" t="n">
        <f aca="false">C6*(1+D5/100)</f>
        <v>27510.12586</v>
      </c>
      <c r="E6" s="0" t="n">
        <f aca="false">D6*(1+E5/100)</f>
        <v>29710.9359288</v>
      </c>
      <c r="F6" s="0" t="n">
        <f aca="false">E6*(1+F5/100)</f>
        <v>31493.592084528</v>
      </c>
      <c r="G6" s="0" t="n">
        <f aca="false">F6*(1+G5/100)</f>
        <v>32753.3357679091</v>
      </c>
      <c r="H6" s="0" t="n">
        <f aca="false">G6*(1+H5/100)</f>
        <v>33899.7025197859</v>
      </c>
      <c r="I6" s="0" t="n">
        <f aca="false">H6*(1+I5/100)</f>
        <v>34916.6935953795</v>
      </c>
      <c r="J6" s="0" t="n">
        <f aca="false">I6*(1+J5/100)</f>
        <v>35964.1944032409</v>
      </c>
      <c r="K6" s="0" t="n">
        <f aca="false">J6*(1+K5/100)</f>
        <v>36863.2992633219</v>
      </c>
      <c r="L6" s="0" t="n">
        <f aca="false">K6*(1+L5/100)</f>
        <v>37784.881744905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12.4</v>
      </c>
      <c r="D7" s="4" t="n">
        <f aca="false">Assumptions!D28</f>
        <v>12</v>
      </c>
      <c r="E7" s="4" t="n">
        <f aca="false">Assumptions!E28</f>
        <v>13</v>
      </c>
      <c r="F7" s="4" t="n">
        <f aca="false">Assumptions!F28</f>
        <v>13.5</v>
      </c>
      <c r="G7" s="4" t="n">
        <f aca="false">Assumptions!G28</f>
        <v>13.7</v>
      </c>
      <c r="H7" s="4" t="n">
        <f aca="false">Assumptions!H28</f>
        <v>13.8</v>
      </c>
      <c r="I7" s="4" t="n">
        <f aca="false">Assumptions!I28</f>
        <v>13.8</v>
      </c>
      <c r="J7" s="4" t="n">
        <f aca="false">Assumptions!J28</f>
        <v>13.8</v>
      </c>
      <c r="K7" s="4" t="n">
        <f aca="false">Assumptions!K28</f>
        <v>13.8</v>
      </c>
      <c r="L7" s="4" t="n">
        <f aca="false">Assumptions!L28</f>
        <v>13.8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3480.873068</v>
      </c>
      <c r="D8" s="0" t="n">
        <f aca="false">D6*D7/100</f>
        <v>3301.2151032</v>
      </c>
      <c r="E8" s="0" t="n">
        <f aca="false">E6*E7/100</f>
        <v>3862.421670744</v>
      </c>
      <c r="F8" s="0" t="n">
        <f aca="false">F6*F7/100</f>
        <v>4251.63493141128</v>
      </c>
      <c r="G8" s="0" t="n">
        <f aca="false">G6*G7/100</f>
        <v>4487.20700020355</v>
      </c>
      <c r="H8" s="0" t="n">
        <f aca="false">H6*H7/100</f>
        <v>4678.15894773046</v>
      </c>
      <c r="I8" s="0" t="n">
        <f aca="false">I6*I7/100</f>
        <v>4818.50371616237</v>
      </c>
      <c r="J8" s="0" t="n">
        <f aca="false">J6*J7/100</f>
        <v>4963.05882764725</v>
      </c>
      <c r="K8" s="0" t="n">
        <f aca="false">K6*K7/100</f>
        <v>5087.13529833843</v>
      </c>
      <c r="L8" s="0" t="n">
        <f aca="false">L6*L7/100</f>
        <v>5214.31368079689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0.09</v>
      </c>
      <c r="D9" s="4" t="n">
        <f aca="false">Assumptions!D29</f>
        <v>0.09</v>
      </c>
      <c r="E9" s="4" t="n">
        <f aca="false">Assumptions!E29</f>
        <v>0.09</v>
      </c>
      <c r="F9" s="4" t="n">
        <f aca="false">Assumptions!F29</f>
        <v>0.09</v>
      </c>
      <c r="G9" s="4" t="n">
        <f aca="false">Assumptions!G29</f>
        <v>0.09</v>
      </c>
      <c r="H9" s="4" t="n">
        <f aca="false">Assumptions!H29</f>
        <v>0.09</v>
      </c>
      <c r="I9" s="4" t="n">
        <f aca="false">Assumptions!I29</f>
        <v>0.09</v>
      </c>
      <c r="J9" s="4" t="n">
        <f aca="false">Assumptions!J29</f>
        <v>0.09</v>
      </c>
      <c r="K9" s="4" t="n">
        <f aca="false">Assumptions!K29</f>
        <v>0.09</v>
      </c>
      <c r="L9" s="4" t="n">
        <f aca="false">Assumptions!L29</f>
        <v>0.09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-25.2644013</v>
      </c>
      <c r="D10" s="0" t="n">
        <f aca="false">-D6*D9/100</f>
        <v>-24.759113274</v>
      </c>
      <c r="E10" s="0" t="n">
        <f aca="false">-E6*E9/100</f>
        <v>-26.73984233592</v>
      </c>
      <c r="F10" s="0" t="n">
        <f aca="false">-F6*F9/100</f>
        <v>-28.3442328760752</v>
      </c>
      <c r="G10" s="0" t="n">
        <f aca="false">-G6*G9/100</f>
        <v>-29.4780021911182</v>
      </c>
      <c r="H10" s="0" t="n">
        <f aca="false">-H6*H9/100</f>
        <v>-30.5097322678073</v>
      </c>
      <c r="I10" s="0" t="n">
        <f aca="false">-I6*I9/100</f>
        <v>-31.4250242358416</v>
      </c>
      <c r="J10" s="0" t="n">
        <f aca="false">-J6*J9/100</f>
        <v>-32.3677749629168</v>
      </c>
      <c r="K10" s="0" t="n">
        <f aca="false">-K6*K9/100</f>
        <v>-33.1769693369897</v>
      </c>
      <c r="L10" s="0" t="n">
        <f aca="false">-L6*L9/100</f>
        <v>-34.0063935704145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3455.6086667</v>
      </c>
      <c r="D11" s="0" t="n">
        <f aca="false">D8+D10+D24</f>
        <v>3276.455989926</v>
      </c>
      <c r="E11" s="0" t="n">
        <f aca="false">E8+E10+E24</f>
        <v>3835.68182840808</v>
      </c>
      <c r="F11" s="0" t="n">
        <f aca="false">F8+F10+F24</f>
        <v>4223.29069853521</v>
      </c>
      <c r="G11" s="0" t="n">
        <f aca="false">G8+G10+G24</f>
        <v>4457.72899801243</v>
      </c>
      <c r="H11" s="0" t="n">
        <f aca="false">H8+H10+H24</f>
        <v>4647.64921546265</v>
      </c>
      <c r="I11" s="0" t="n">
        <f aca="false">I8+I10+I24</f>
        <v>4787.07869192653</v>
      </c>
      <c r="J11" s="0" t="n">
        <f aca="false">J8+J10+J24</f>
        <v>4930.69105268433</v>
      </c>
      <c r="K11" s="0" t="n">
        <f aca="false">K8+K10+K24</f>
        <v>5053.95832900144</v>
      </c>
      <c r="L11" s="0" t="n">
        <f aca="false">L8+L10+L24</f>
        <v>5180.30728722647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-435.1091335</v>
      </c>
      <c r="D12" s="4" t="n">
        <f aca="false">-D6*Assumptions!D31/100</f>
        <v>-440.16201376</v>
      </c>
      <c r="E12" s="4" t="n">
        <f aca="false">-E6*Assumptions!E31/100</f>
        <v>-490.2304428252</v>
      </c>
      <c r="F12" s="4" t="n">
        <f aca="false">-F6*Assumptions!F31/100</f>
        <v>-535.391065436976</v>
      </c>
      <c r="G12" s="4" t="n">
        <f aca="false">-G6*Assumptions!G31/100</f>
        <v>-573.18337593841</v>
      </c>
      <c r="H12" s="4" t="n">
        <f aca="false">-H6*Assumptions!H31/100</f>
        <v>-610.194645356147</v>
      </c>
      <c r="I12" s="4" t="n">
        <f aca="false">-I6*Assumptions!I31/100</f>
        <v>-628.500484716831</v>
      </c>
      <c r="J12" s="4" t="n">
        <f aca="false">-J6*Assumptions!J31/100</f>
        <v>-665.337596459957</v>
      </c>
      <c r="K12" s="4" t="n">
        <f aca="false">-K6*Assumptions!K31/100</f>
        <v>-681.971036371456</v>
      </c>
      <c r="L12" s="4" t="n">
        <f aca="false">-L6*Assumptions!L31/100</f>
        <v>-717.912753153194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3020.4995332</v>
      </c>
      <c r="D13" s="0" t="n">
        <f aca="false">D11+D12</f>
        <v>2836.293976166</v>
      </c>
      <c r="E13" s="0" t="n">
        <f aca="false">E11+E12</f>
        <v>3345.45138558288</v>
      </c>
      <c r="F13" s="0" t="n">
        <f aca="false">F11+F12</f>
        <v>3687.89963309823</v>
      </c>
      <c r="G13" s="0" t="n">
        <f aca="false">G11+G12</f>
        <v>3884.54562207402</v>
      </c>
      <c r="H13" s="0" t="n">
        <f aca="false">H11+H12</f>
        <v>4037.45457010651</v>
      </c>
      <c r="I13" s="0" t="n">
        <f aca="false">I11+I12</f>
        <v>4158.5782072097</v>
      </c>
      <c r="J13" s="0" t="n">
        <f aca="false">J11+J12</f>
        <v>4265.35345622437</v>
      </c>
      <c r="K13" s="0" t="n">
        <f aca="false">K11+K12</f>
        <v>4371.98729262998</v>
      </c>
      <c r="L13" s="0" t="n">
        <f aca="false">L11+L12</f>
        <v>4462.39453407328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2355.989635896</v>
      </c>
      <c r="D15" s="0" t="n">
        <f aca="false">D13-MAX(0,D13)*D14/100</f>
        <v>2212.30930140948</v>
      </c>
      <c r="E15" s="0" t="n">
        <f aca="false">E13-MAX(0,E13)*E14/100</f>
        <v>2609.45208075465</v>
      </c>
      <c r="F15" s="0" t="n">
        <f aca="false">F13-MAX(0,F13)*F14/100</f>
        <v>2876.56171381662</v>
      </c>
      <c r="G15" s="0" t="n">
        <f aca="false">G13-MAX(0,G13)*G14/100</f>
        <v>3029.94558521774</v>
      </c>
      <c r="H15" s="0" t="n">
        <f aca="false">H13-MAX(0,H13)*H14/100</f>
        <v>3149.21456468308</v>
      </c>
      <c r="I15" s="0" t="n">
        <f aca="false">I13-MAX(0,I13)*I14/100</f>
        <v>3243.69100162357</v>
      </c>
      <c r="J15" s="0" t="n">
        <f aca="false">J13-MAX(0,J13)*J14/100</f>
        <v>3326.97569585501</v>
      </c>
      <c r="K15" s="0" t="n">
        <f aca="false">K13-MAX(0,K13)*K14/100</f>
        <v>3410.15008825138</v>
      </c>
      <c r="L15" s="0" t="n">
        <f aca="false">L13-MAX(0,L13)*L14/100</f>
        <v>3480.66773657716</v>
      </c>
    </row>
    <row r="16" customFormat="false" ht="15" hidden="false" customHeight="false" outlineLevel="0" collapsed="false">
      <c r="A16" s="0" t="s">
        <v>128</v>
      </c>
      <c r="C16" s="0" t="n">
        <f aca="false">-C12</f>
        <v>435.1091335</v>
      </c>
      <c r="D16" s="0" t="n">
        <f aca="false">-D12</f>
        <v>440.16201376</v>
      </c>
      <c r="E16" s="0" t="n">
        <f aca="false">-E12</f>
        <v>490.2304428252</v>
      </c>
      <c r="F16" s="0" t="n">
        <f aca="false">-F12</f>
        <v>535.391065436976</v>
      </c>
      <c r="G16" s="0" t="n">
        <f aca="false">-G12</f>
        <v>573.18337593841</v>
      </c>
      <c r="H16" s="0" t="n">
        <f aca="false">-H12</f>
        <v>610.194645356147</v>
      </c>
      <c r="I16" s="0" t="n">
        <f aca="false">-I12</f>
        <v>628.500484716831</v>
      </c>
      <c r="J16" s="0" t="n">
        <f aca="false">-J12</f>
        <v>665.337596459957</v>
      </c>
      <c r="K16" s="0" t="n">
        <f aca="false">-K12</f>
        <v>681.971036371456</v>
      </c>
      <c r="L16" s="0" t="n">
        <f aca="false">-L12</f>
        <v>717.912753153194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-729.860482</v>
      </c>
      <c r="D17" s="4" t="n">
        <f aca="false">-D6*Assumptions!D32/100</f>
        <v>-715.26327236</v>
      </c>
      <c r="E17" s="4" t="n">
        <f aca="false">-E6*Assumptions!E32/100</f>
        <v>-742.77339822</v>
      </c>
      <c r="F17" s="4" t="n">
        <f aca="false">-F6*Assumptions!F32/100</f>
        <v>-787.3398021132</v>
      </c>
      <c r="G17" s="4" t="n">
        <f aca="false">-G6*Assumptions!G32/100</f>
        <v>-786.080058429819</v>
      </c>
      <c r="H17" s="4" t="n">
        <f aca="false">-H6*Assumptions!H32/100</f>
        <v>-779.693157955077</v>
      </c>
      <c r="I17" s="4" t="n">
        <f aca="false">-I6*Assumptions!I32/100</f>
        <v>-768.167259098349</v>
      </c>
      <c r="J17" s="4" t="n">
        <f aca="false">-J6*Assumptions!J32/100</f>
        <v>-791.2122768713</v>
      </c>
      <c r="K17" s="4" t="n">
        <f aca="false">-K6*Assumptions!K32/100</f>
        <v>-774.129284529761</v>
      </c>
      <c r="L17" s="4" t="n">
        <f aca="false">-L6*Assumptions!L32/100</f>
        <v>-793.482516643004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-91.8228500000001</v>
      </c>
      <c r="D18" s="4" t="n">
        <f aca="false">(D6-C6)*Assumptions!$B$37/100</f>
        <v>28.071557</v>
      </c>
      <c r="E18" s="4" t="n">
        <f aca="false">(E6-D6)*Assumptions!$B$37/100</f>
        <v>-110.04050344</v>
      </c>
      <c r="F18" s="4" t="n">
        <f aca="false">(F6-E6)*Assumptions!$B$37/100</f>
        <v>-89.1328077864</v>
      </c>
      <c r="G18" s="4" t="n">
        <f aca="false">(G6-F6)*Assumptions!$B$37/100</f>
        <v>-62.9871841690561</v>
      </c>
      <c r="H18" s="4" t="n">
        <f aca="false">(H6-G6)*Assumptions!$B$37/100</f>
        <v>-57.3183375938408</v>
      </c>
      <c r="I18" s="4" t="n">
        <f aca="false">(I6-H6)*Assumptions!$B$37/100</f>
        <v>-50.8495537796789</v>
      </c>
      <c r="J18" s="4" t="n">
        <f aca="false">(J6-I6)*Assumptions!$B$37/100</f>
        <v>-52.3750403930695</v>
      </c>
      <c r="K18" s="4" t="n">
        <f aca="false">(K6-J6)*Assumptions!$B$37/100</f>
        <v>-44.9552430040509</v>
      </c>
      <c r="L18" s="4" t="n">
        <f aca="false">(L6-K6)*Assumptions!$B$37/100</f>
        <v>-46.0791240791521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1969.415437396</v>
      </c>
      <c r="D19" s="0" t="n">
        <f aca="false">D15+D16+D17+D18</f>
        <v>1965.27959980948</v>
      </c>
      <c r="E19" s="0" t="n">
        <f aca="false">E15+E16+E17+E18</f>
        <v>2246.86862191985</v>
      </c>
      <c r="F19" s="0" t="n">
        <f aca="false">F15+F16+F17+F18</f>
        <v>2535.480169354</v>
      </c>
      <c r="G19" s="0" t="n">
        <f aca="false">G15+G16+G17+G18</f>
        <v>2754.06171855727</v>
      </c>
      <c r="H19" s="0" t="n">
        <f aca="false">H15+H16+H17+H18</f>
        <v>2922.3977144903</v>
      </c>
      <c r="I19" s="0" t="n">
        <f aca="false">I15+I16+I17+I18</f>
        <v>3053.17467346237</v>
      </c>
      <c r="J19" s="0" t="n">
        <f aca="false">J15+J16+J17+J18</f>
        <v>3148.7259750506</v>
      </c>
      <c r="K19" s="0" t="n">
        <f aca="false">K15+K16+K17+K18</f>
        <v>3273.03659708903</v>
      </c>
      <c r="L19" s="0" t="n">
        <f aca="false">L15+L16+L17+L18</f>
        <v>3359.01884900819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1806.80315357431</v>
      </c>
      <c r="D21" s="0" t="n">
        <f aca="false">D19*D20</f>
        <v>1654.13652033455</v>
      </c>
      <c r="E21" s="0" t="n">
        <f aca="false">E19*E20</f>
        <v>1734.99483171407</v>
      </c>
      <c r="F21" s="0" t="n">
        <f aca="false">F19*F20</f>
        <v>1796.19807412622</v>
      </c>
      <c r="G21" s="0" t="n">
        <f aca="false">G19*G20</f>
        <v>1789.95115069313</v>
      </c>
      <c r="H21" s="0" t="n">
        <f aca="false">H19*H20</f>
        <v>1742.53027329706</v>
      </c>
      <c r="I21" s="0" t="n">
        <f aca="false">I19*I20</f>
        <v>1670.19110187223</v>
      </c>
      <c r="J21" s="0" t="n">
        <f aca="false">J19*J20</f>
        <v>1580.23939080765</v>
      </c>
      <c r="K21" s="0" t="n">
        <f aca="false">K19*K20</f>
        <v>1506.99697267329</v>
      </c>
      <c r="L21" s="0" t="n">
        <f aca="false">L19*L20</f>
        <v>1418.88586238738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16700.9273314799</v>
      </c>
    </row>
    <row r="31" customFormat="false" ht="15" hidden="false" customHeight="false" outlineLevel="0" collapsed="false">
      <c r="A31" s="0" t="s">
        <v>137</v>
      </c>
      <c r="B31" s="0" t="n">
        <f aca="false">L19</f>
        <v>3359.01884900819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52969.1433882061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47026.2638861147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47026.2638861147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19864.4020734233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36565.3294049032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51207.1294049032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97.0567274543275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-0.117184578367041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185.171194786277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226.51976694436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97.8370363279641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27543.9545618672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64.7201446558635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12</v>
      </c>
      <c r="D5" s="4" t="n">
        <f aca="false">Assumptions!D41</f>
        <v>3</v>
      </c>
      <c r="E5" s="4" t="n">
        <f aca="false">Assumptions!E41</f>
        <v>10</v>
      </c>
      <c r="F5" s="4" t="n">
        <f aca="false">Assumptions!F41</f>
        <v>7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26235.1</v>
      </c>
      <c r="C6" s="0" t="n">
        <f aca="false">B6*(1+C5/100)</f>
        <v>29383.312</v>
      </c>
      <c r="D6" s="0" t="n">
        <f aca="false">C6*(1+D5/100)</f>
        <v>30264.81136</v>
      </c>
      <c r="E6" s="0" t="n">
        <f aca="false">D6*(1+E5/100)</f>
        <v>33291.292496</v>
      </c>
      <c r="F6" s="0" t="n">
        <f aca="false">E6*(1+F5/100)</f>
        <v>35621.68297072</v>
      </c>
      <c r="G6" s="0" t="n">
        <f aca="false">F6*(1+G5/100)</f>
        <v>37402.767119256</v>
      </c>
      <c r="H6" s="0" t="n">
        <f aca="false">G6*(1+H5/100)</f>
        <v>38898.8778040263</v>
      </c>
      <c r="I6" s="0" t="n">
        <f aca="false">H6*(1+I5/100)</f>
        <v>40260.3385271672</v>
      </c>
      <c r="J6" s="0" t="n">
        <f aca="false">I6*(1+J5/100)</f>
        <v>41468.1486829822</v>
      </c>
      <c r="K6" s="0" t="n">
        <f aca="false">J6*(1+K5/100)</f>
        <v>42712.1931434716</v>
      </c>
      <c r="L6" s="0" t="n">
        <f aca="false">K6*(1+L5/100)</f>
        <v>43993.5589377758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12.8</v>
      </c>
      <c r="D7" s="4" t="n">
        <f aca="false">Assumptions!D42</f>
        <v>13</v>
      </c>
      <c r="E7" s="4" t="n">
        <f aca="false">Assumptions!E42</f>
        <v>14.5</v>
      </c>
      <c r="F7" s="4" t="n">
        <f aca="false">Assumptions!F42</f>
        <v>15</v>
      </c>
      <c r="G7" s="4" t="n">
        <f aca="false">Assumptions!G42</f>
        <v>15.2</v>
      </c>
      <c r="H7" s="4" t="n">
        <f aca="false">Assumptions!H42</f>
        <v>15.2</v>
      </c>
      <c r="I7" s="4" t="n">
        <f aca="false">Assumptions!I42</f>
        <v>15</v>
      </c>
      <c r="J7" s="4" t="n">
        <f aca="false">Assumptions!J42</f>
        <v>15</v>
      </c>
      <c r="K7" s="4" t="n">
        <f aca="false">Assumptions!K42</f>
        <v>15</v>
      </c>
      <c r="L7" s="4" t="n">
        <f aca="false">Assumptions!L42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3761.063936</v>
      </c>
      <c r="D8" s="0" t="n">
        <f aca="false">D6*D7/100</f>
        <v>3934.4254768</v>
      </c>
      <c r="E8" s="0" t="n">
        <f aca="false">E6*E7/100</f>
        <v>4827.23741192</v>
      </c>
      <c r="F8" s="0" t="n">
        <f aca="false">F6*F7/100</f>
        <v>5343.252445608</v>
      </c>
      <c r="G8" s="0" t="n">
        <f aca="false">G6*G7/100</f>
        <v>5685.22060212691</v>
      </c>
      <c r="H8" s="0" t="n">
        <f aca="false">H6*H7/100</f>
        <v>5912.62942621199</v>
      </c>
      <c r="I8" s="0" t="n">
        <f aca="false">I6*I7/100</f>
        <v>6039.05077907507</v>
      </c>
      <c r="J8" s="0" t="n">
        <f aca="false">J6*J7/100</f>
        <v>6220.22230244733</v>
      </c>
      <c r="K8" s="0" t="n">
        <f aca="false">K6*K7/100</f>
        <v>6406.82897152075</v>
      </c>
      <c r="L8" s="0" t="n">
        <f aca="false">L6*L7/100</f>
        <v>6599.03384066637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0.09</v>
      </c>
      <c r="D9" s="4" t="n">
        <f aca="false">Assumptions!D43</f>
        <v>0.09</v>
      </c>
      <c r="E9" s="4" t="n">
        <f aca="false">Assumptions!E43</f>
        <v>0.09</v>
      </c>
      <c r="F9" s="4" t="n">
        <f aca="false">Assumptions!F43</f>
        <v>0.09</v>
      </c>
      <c r="G9" s="4" t="n">
        <f aca="false">Assumptions!G43</f>
        <v>0.09</v>
      </c>
      <c r="H9" s="4" t="n">
        <f aca="false">Assumptions!H43</f>
        <v>0.09</v>
      </c>
      <c r="I9" s="4" t="n">
        <f aca="false">Assumptions!I43</f>
        <v>0.09</v>
      </c>
      <c r="J9" s="4" t="n">
        <f aca="false">Assumptions!J43</f>
        <v>0.09</v>
      </c>
      <c r="K9" s="4" t="n">
        <f aca="false">Assumptions!K43</f>
        <v>0.09</v>
      </c>
      <c r="L9" s="4" t="n">
        <f aca="false">Assumptions!L43</f>
        <v>0.09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-26.4449808</v>
      </c>
      <c r="D10" s="0" t="n">
        <f aca="false">-D6*D9/100</f>
        <v>-27.238330224</v>
      </c>
      <c r="E10" s="0" t="n">
        <f aca="false">-E6*E9/100</f>
        <v>-29.9621632464</v>
      </c>
      <c r="F10" s="0" t="n">
        <f aca="false">-F6*F9/100</f>
        <v>-32.059514673648</v>
      </c>
      <c r="G10" s="0" t="n">
        <f aca="false">-G6*G9/100</f>
        <v>-33.6624904073304</v>
      </c>
      <c r="H10" s="0" t="n">
        <f aca="false">-H6*H9/100</f>
        <v>-35.0089900236236</v>
      </c>
      <c r="I10" s="0" t="n">
        <f aca="false">-I6*I9/100</f>
        <v>-36.2343046744504</v>
      </c>
      <c r="J10" s="0" t="n">
        <f aca="false">-J6*J9/100</f>
        <v>-37.321333814684</v>
      </c>
      <c r="K10" s="0" t="n">
        <f aca="false">-K6*K9/100</f>
        <v>-38.4409738291245</v>
      </c>
      <c r="L10" s="0" t="n">
        <f aca="false">-L6*L9/100</f>
        <v>-39.5942030439982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3734.6189552</v>
      </c>
      <c r="D11" s="0" t="n">
        <f aca="false">D8+D10+D24</f>
        <v>3907.187146576</v>
      </c>
      <c r="E11" s="0" t="n">
        <f aca="false">E8+E10+E24</f>
        <v>4797.2752486736</v>
      </c>
      <c r="F11" s="0" t="n">
        <f aca="false">F8+F10+F24</f>
        <v>5311.19293093435</v>
      </c>
      <c r="G11" s="0" t="n">
        <f aca="false">G8+G10+G24</f>
        <v>5651.55811171958</v>
      </c>
      <c r="H11" s="0" t="n">
        <f aca="false">H8+H10+H24</f>
        <v>5877.62043618837</v>
      </c>
      <c r="I11" s="0" t="n">
        <f aca="false">I8+I10+I24</f>
        <v>6002.81647440062</v>
      </c>
      <c r="J11" s="0" t="n">
        <f aca="false">J8+J10+J24</f>
        <v>6182.90096863264</v>
      </c>
      <c r="K11" s="0" t="n">
        <f aca="false">K8+K10+K24</f>
        <v>6368.38799769162</v>
      </c>
      <c r="L11" s="0" t="n">
        <f aca="false">L8+L10+L24</f>
        <v>6559.43963762237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-455.441336</v>
      </c>
      <c r="D12" s="4" t="n">
        <f aca="false">-D6*Assumptions!D45/100</f>
        <v>-484.23698176</v>
      </c>
      <c r="E12" s="4" t="n">
        <f aca="false">-E6*Assumptions!E45/100</f>
        <v>-549.306326184</v>
      </c>
      <c r="F12" s="4" t="n">
        <f aca="false">-F6*Assumptions!F45/100</f>
        <v>-605.56861050224</v>
      </c>
      <c r="G12" s="4" t="n">
        <f aca="false">-G6*Assumptions!G45/100</f>
        <v>-654.54842458698</v>
      </c>
      <c r="H12" s="4" t="n">
        <f aca="false">-H6*Assumptions!H45/100</f>
        <v>-700.179800472472</v>
      </c>
      <c r="I12" s="4" t="n">
        <f aca="false">-I6*Assumptions!I45/100</f>
        <v>-724.686093489009</v>
      </c>
      <c r="J12" s="4" t="n">
        <f aca="false">-J6*Assumptions!J45/100</f>
        <v>-767.16075063517</v>
      </c>
      <c r="K12" s="4" t="n">
        <f aca="false">-K6*Assumptions!K45/100</f>
        <v>-790.175573154225</v>
      </c>
      <c r="L12" s="4" t="n">
        <f aca="false">-L6*Assumptions!L45/100</f>
        <v>-835.87761981774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3279.1776192</v>
      </c>
      <c r="D13" s="0" t="n">
        <f aca="false">D11+D12</f>
        <v>3422.950164816</v>
      </c>
      <c r="E13" s="0" t="n">
        <f aca="false">E11+E12</f>
        <v>4247.9689224896</v>
      </c>
      <c r="F13" s="0" t="n">
        <f aca="false">F11+F12</f>
        <v>4705.62432043211</v>
      </c>
      <c r="G13" s="0" t="n">
        <f aca="false">G11+G12</f>
        <v>4997.0096871326</v>
      </c>
      <c r="H13" s="0" t="n">
        <f aca="false">H11+H12</f>
        <v>5177.44063571589</v>
      </c>
      <c r="I13" s="0" t="n">
        <f aca="false">I11+I12</f>
        <v>5278.13038091161</v>
      </c>
      <c r="J13" s="0" t="n">
        <f aca="false">J11+J12</f>
        <v>5415.74021799747</v>
      </c>
      <c r="K13" s="0" t="n">
        <f aca="false">K11+K12</f>
        <v>5578.2124245374</v>
      </c>
      <c r="L13" s="0" t="n">
        <f aca="false">L11+L12</f>
        <v>5723.56201780463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2557.758542976</v>
      </c>
      <c r="D15" s="0" t="n">
        <f aca="false">D13-MAX(0,D13)*D14/100</f>
        <v>2669.90112855648</v>
      </c>
      <c r="E15" s="0" t="n">
        <f aca="false">E13-MAX(0,E13)*E14/100</f>
        <v>3313.41575954189</v>
      </c>
      <c r="F15" s="0" t="n">
        <f aca="false">F13-MAX(0,F13)*F14/100</f>
        <v>3670.38696993705</v>
      </c>
      <c r="G15" s="0" t="n">
        <f aca="false">G13-MAX(0,G13)*G14/100</f>
        <v>3897.66755596343</v>
      </c>
      <c r="H15" s="0" t="n">
        <f aca="false">H13-MAX(0,H13)*H14/100</f>
        <v>4038.4036958584</v>
      </c>
      <c r="I15" s="0" t="n">
        <f aca="false">I13-MAX(0,I13)*I14/100</f>
        <v>4116.94169711106</v>
      </c>
      <c r="J15" s="0" t="n">
        <f aca="false">J13-MAX(0,J13)*J14/100</f>
        <v>4224.27737003803</v>
      </c>
      <c r="K15" s="0" t="n">
        <f aca="false">K13-MAX(0,K13)*K14/100</f>
        <v>4351.00569113917</v>
      </c>
      <c r="L15" s="0" t="n">
        <f aca="false">L13-MAX(0,L13)*L14/100</f>
        <v>4464.37837388761</v>
      </c>
    </row>
    <row r="16" customFormat="false" ht="15" hidden="false" customHeight="false" outlineLevel="0" collapsed="false">
      <c r="A16" s="0" t="s">
        <v>128</v>
      </c>
      <c r="C16" s="0" t="n">
        <f aca="false">-C12</f>
        <v>455.441336</v>
      </c>
      <c r="D16" s="0" t="n">
        <f aca="false">-D12</f>
        <v>484.23698176</v>
      </c>
      <c r="E16" s="0" t="n">
        <f aca="false">-E12</f>
        <v>549.306326184</v>
      </c>
      <c r="F16" s="0" t="n">
        <f aca="false">-F12</f>
        <v>605.56861050224</v>
      </c>
      <c r="G16" s="0" t="n">
        <f aca="false">-G12</f>
        <v>654.54842458698</v>
      </c>
      <c r="H16" s="0" t="n">
        <f aca="false">-H12</f>
        <v>700.179800472472</v>
      </c>
      <c r="I16" s="0" t="n">
        <f aca="false">-I12</f>
        <v>724.686093489009</v>
      </c>
      <c r="J16" s="0" t="n">
        <f aca="false">-J12</f>
        <v>767.16075063517</v>
      </c>
      <c r="K16" s="0" t="n">
        <f aca="false">-K12</f>
        <v>790.175573154225</v>
      </c>
      <c r="L16" s="0" t="n">
        <f aca="false">-L12</f>
        <v>835.87761981774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-763.966112</v>
      </c>
      <c r="D17" s="4" t="n">
        <f aca="false">-D6*Assumptions!D46/100</f>
        <v>-786.88509536</v>
      </c>
      <c r="E17" s="4" t="n">
        <f aca="false">-E6*Assumptions!E46/100</f>
        <v>-832.2823124</v>
      </c>
      <c r="F17" s="4" t="n">
        <f aca="false">-F6*Assumptions!F46/100</f>
        <v>-890.542074268</v>
      </c>
      <c r="G17" s="4" t="n">
        <f aca="false">-G6*Assumptions!G46/100</f>
        <v>-897.666410862144</v>
      </c>
      <c r="H17" s="4" t="n">
        <f aca="false">-H6*Assumptions!H46/100</f>
        <v>-894.674189492604</v>
      </c>
      <c r="I17" s="4" t="n">
        <f aca="false">-I6*Assumptions!I46/100</f>
        <v>-885.727447597678</v>
      </c>
      <c r="J17" s="4" t="n">
        <f aca="false">-J6*Assumptions!J46/100</f>
        <v>-912.299271025608</v>
      </c>
      <c r="K17" s="4" t="n">
        <f aca="false">-K6*Assumptions!K46/100</f>
        <v>-896.956056012905</v>
      </c>
      <c r="L17" s="4" t="n">
        <f aca="false">-L6*Assumptions!L46/100</f>
        <v>-923.864737693292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-157.4106</v>
      </c>
      <c r="D18" s="4" t="n">
        <f aca="false">(D6-C6)*Assumptions!$B$51/100</f>
        <v>-44.0749680000001</v>
      </c>
      <c r="E18" s="4" t="n">
        <f aca="false">(E6-D6)*Assumptions!$B$51/100</f>
        <v>-151.3240568</v>
      </c>
      <c r="F18" s="4" t="n">
        <f aca="false">(F6-E6)*Assumptions!$B$51/100</f>
        <v>-116.519523736</v>
      </c>
      <c r="G18" s="4" t="n">
        <f aca="false">(G6-F6)*Assumptions!$B$51/100</f>
        <v>-89.0542074268</v>
      </c>
      <c r="H18" s="4" t="n">
        <f aca="false">(H6-G6)*Assumptions!$B$51/100</f>
        <v>-74.805534238512</v>
      </c>
      <c r="I18" s="4" t="n">
        <f aca="false">(I6-H6)*Assumptions!$B$51/100</f>
        <v>-68.0730361570459</v>
      </c>
      <c r="J18" s="4" t="n">
        <f aca="false">(J6-I6)*Assumptions!$B$51/100</f>
        <v>-60.3905077907508</v>
      </c>
      <c r="K18" s="4" t="n">
        <f aca="false">(K6-J6)*Assumptions!$B$51/100</f>
        <v>-62.2022230244733</v>
      </c>
      <c r="L18" s="4" t="n">
        <f aca="false">(L6-K6)*Assumptions!$B$51/100</f>
        <v>-64.0682897152074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2091.823166976</v>
      </c>
      <c r="D19" s="0" t="n">
        <f aca="false">D15+D16+D17+D18</f>
        <v>2323.17804695648</v>
      </c>
      <c r="E19" s="0" t="n">
        <f aca="false">E15+E16+E17+E18</f>
        <v>2879.11571652589</v>
      </c>
      <c r="F19" s="0" t="n">
        <f aca="false">F15+F16+F17+F18</f>
        <v>3268.89398243529</v>
      </c>
      <c r="G19" s="0" t="n">
        <f aca="false">G15+G16+G17+G18</f>
        <v>3565.49536226147</v>
      </c>
      <c r="H19" s="0" t="n">
        <f aca="false">H15+H16+H17+H18</f>
        <v>3769.10377259975</v>
      </c>
      <c r="I19" s="0" t="n">
        <f aca="false">I15+I16+I17+I18</f>
        <v>3887.82730684535</v>
      </c>
      <c r="J19" s="0" t="n">
        <f aca="false">J15+J16+J17+J18</f>
        <v>4018.74834185684</v>
      </c>
      <c r="K19" s="0" t="n">
        <f aca="false">K15+K16+K17+K18</f>
        <v>4182.02298525602</v>
      </c>
      <c r="L19" s="0" t="n">
        <f aca="false">L15+L16+L17+L18</f>
        <v>4312.32296629685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1919.10382291376</v>
      </c>
      <c r="D21" s="0" t="n">
        <f aca="false">D19*D20</f>
        <v>1955.37248291935</v>
      </c>
      <c r="E21" s="0" t="n">
        <f aca="false">E19*E20</f>
        <v>2223.20559348547</v>
      </c>
      <c r="F21" s="0" t="n">
        <f aca="false">F19*F20</f>
        <v>2315.76690945647</v>
      </c>
      <c r="G21" s="0" t="n">
        <f aca="false">G19*G20</f>
        <v>2317.32734363492</v>
      </c>
      <c r="H21" s="0" t="n">
        <f aca="false">H19*H20</f>
        <v>2247.39343121842</v>
      </c>
      <c r="I21" s="0" t="n">
        <f aca="false">I19*I20</f>
        <v>2126.77467488137</v>
      </c>
      <c r="J21" s="0" t="n">
        <f aca="false">J19*J20</f>
        <v>2016.8742792688</v>
      </c>
      <c r="K21" s="0" t="n">
        <f aca="false">K19*K20</f>
        <v>1925.51955698756</v>
      </c>
      <c r="L21" s="0" t="n">
        <f aca="false">L19*L20</f>
        <v>1821.57182378826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20868.9099185544</v>
      </c>
    </row>
    <row r="31" customFormat="false" ht="15" hidden="false" customHeight="false" outlineLevel="0" collapsed="false">
      <c r="A31" s="0" t="s">
        <v>137</v>
      </c>
      <c r="B31" s="0" t="n">
        <f aca="false">L19</f>
        <v>4312.32296629685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68002.0160069888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60372.521528156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60372.521528156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25502.0055330357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46370.9154515901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61012.7154515901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115.641992895356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0.0518645888244176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208.764525692473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263.740688270957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116.537567599609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35361.0483236342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74.2085383428174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77.9668156436877</v>
      </c>
      <c r="C4" s="0" t="n">
        <f aca="false">B4/Assumptions!$B$2-1</f>
        <v>-0.29082394357206</v>
      </c>
      <c r="D4" s="4" t="n">
        <f aca="false">Assumptions!$B$24</f>
        <v>0.25</v>
      </c>
      <c r="E4" s="4" t="n">
        <f aca="false">DCF_Bear!$B$43</f>
        <v>78.6138018627608</v>
      </c>
      <c r="F4" s="4" t="n">
        <f aca="false">DCF_Bear!$B$47</f>
        <v>54.673939745345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97.0567274543275</v>
      </c>
      <c r="C5" s="0" t="n">
        <f aca="false">B5/Assumptions!$B$2-1</f>
        <v>-0.117184578367041</v>
      </c>
      <c r="D5" s="4" t="n">
        <f aca="false">Assumptions!$B$38</f>
        <v>0.5</v>
      </c>
      <c r="E5" s="4" t="n">
        <f aca="false">DCF_Base!$B$43</f>
        <v>97.8370363279641</v>
      </c>
      <c r="F5" s="4" t="n">
        <f aca="false">DCF_Base!$B$47</f>
        <v>64.7201446558635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115.641992895356</v>
      </c>
      <c r="C6" s="0" t="n">
        <f aca="false">B6/Assumptions!$B$2-1</f>
        <v>0.0518645888244176</v>
      </c>
      <c r="D6" s="4" t="n">
        <f aca="false">Assumptions!$B$52</f>
        <v>0.25</v>
      </c>
      <c r="E6" s="4" t="n">
        <f aca="false">DCF_Bull!$B$43</f>
        <v>116.537567599609</v>
      </c>
      <c r="F6" s="4" t="n">
        <f aca="false">DCF_Bull!$B$47</f>
        <v>74.2085383428174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96.9305658619248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97.7063605295744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-0.134213950185814</v>
      </c>
    </row>
    <row r="11" customFormat="false" ht="15" hidden="false" customHeight="false" outlineLevel="0" collapsed="false">
      <c r="A11" s="0" t="s">
        <v>164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64.5806918499724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97.0567274543275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91.4588683329845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83.5594503333546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77.3397144573269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64.7201446558635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108.047498056772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108.047498056772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108.047498056772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108.047498056772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108.047498056772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102.296499022325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102.296499022325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102.296499022325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102.296499022325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102.296499022325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95.8017108967446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97.0567274543275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97.0567274543275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97.0567274543275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97.0567274543275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87.2234793902838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89.2088179571748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91.4588683329845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92.2770684696426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92.2770684696426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80.4772680914131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81.9327430389966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83.5594503333546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85.3894960395074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87.4635478398138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2026-10-02T06:55:33Z</dcterms:created>
  <dc:creator>openpyxl</dc:creator>
  <dc:description/>
  <dc:language>en-NZ</dc:language>
  <cp:lastModifiedBy/>
  <dcterms:modified xsi:type="dcterms:W3CDTF">2026-10-02T06:55:33Z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