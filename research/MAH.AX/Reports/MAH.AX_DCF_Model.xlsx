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<sst xmlns="http://schemas.openxmlformats.org/spreadsheetml/2006/main" count="363" uniqueCount="166">
  <si>
    <t xml:space="preserve">Ticker</t>
  </si>
  <si>
    <t xml:space="preserve">MAH.AX</t>
  </si>
  <si>
    <t xml:space="preserve">Company</t>
  </si>
  <si>
    <t xml:space="preserve">Macmahon Holdings Limited</t>
  </si>
  <si>
    <t xml:space="preserve">Valuation date</t>
  </si>
  <si>
    <t xml:space="preserve">2026-09-23</t>
  </si>
  <si>
    <t xml:space="preserve">Current price</t>
  </si>
  <si>
    <t xml:space="preserve">Price as of</t>
  </si>
  <si>
    <t xml:space="preserve">2026-09-23T06:10:05Z (ASX regular close; not an after-hours print)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</si>
  <si>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</si>
  <si>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</si>
  <si>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</si>
  <si>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</si>
  <si>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</si>
  <si>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</si>
  <si>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</si>
  <si>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</si>
  <si>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</si>
  <si>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</si>
  <si>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</si>
  <si>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</si>
  <si>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2026-09-23T08:53:04Z</t>
  </si>
  <si>
    <t xml:space="preserve">Drivers file</t>
  </si>
  <si>
    <t xml:space="preserve">MAH.AX_Drivers.json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</si>
  <si>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</si>
  <si>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</si>
  <si>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</si>
  <si>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Macmahon is a fleet-heavy contract miner diversifying into civil and underground work. Reported FCF flatters it by A$60-85m a year because IFRS-16 puts equipment lease principal in financing; on an owner basis the business converted only ~A$167m of cumulative cash to shareholders over FY22-26. The valuation therefore rests on normalised capital intensity, not on the FY26 trough, and on a terminal multiple appropriate to a cyclical contractor (10-14x owner FCF). A 10% AUD WACC is applied once; cycle risk is carried in the bear scenario and its 25% weight.
key_risks_to_valuation: Customer concentration: two customers = A$760m (29%) of FY26 revenue; AMNT (Batu Hijau) is also a 44.27% shareholder, which cuts both ways -- contract security versus governance.; Capital intensity: FY26 capex + lease principal of 8.0% of revenue is a cyclical low; every 1pp of normalised capex is ~A$26-37m/yr of owner FCF, roughly 30% of the base-case FCF stream.; Commodity cycle: surface mining revenue follows gold, copper and lithium (Greenbushes) volumes; the FY21 fleet build shows how fast capital demand rises in an upswing.; Margin: civil infrastructure is lower-margin and carries fixed-price project risk (Decmil legacy); the base assumes margin holds at the seven-year floor.; Cash tax: FY24-25 benefited from carried-forward losses now exhausted; 30% statutory is the run-rate.; Guidance vintage: no numeric FY27 guidance in the extracted filings; the August-2026 results presentation range is the first thing to check on refresh.</t>
  </si>
  <si>
    <t xml:space="preserve">Data sources</t>
  </si>
  <si>
    <t xml:space="preserve">price: Yahoo Finance chart API at inputs.price_as_of; 52-week range 0.395-1.145 AUD
financials: MAH.AX_Metrics.csv / MAH.AX.duckdb core_metrics and kpis (FY2016-FY2026 annual + half-years), anchored to MAH.AX_Annual_FY2026.txt: cash flow statement (lines 7778-7804), note 18 borrowings roll-forward (9655-9700: interest-bearing loans 325,961k / lease liabilities 94,777k), note 4 lease interest 6,342k (8240), diluted shares (8523), major customers (7999)
qualitative: MAH.AX_Analysis.json not yet written at build time; narrative drawn from the FY2026 annual report (Chair/CEO letters, financial review, outlook) and the H1-FY2026 results presentation (FY26 guidance and FY28 targets, line 630)</t>
  </si>
  <si>
    <t xml:space="preserve">Scenario narrative: bear</t>
  </si>
  <si>
    <t xml:space="preserve">A commodity-price downturn or the loss/downsizing of a major surface contract (two customers are 29% of revenue) removes ~8% of revenue over FY28-29. Fixed fleet costs and idle equipment compress EBITDA margin to 12.5% and hold D&amp;A at ~9% while capex is cut; margin only partially recovers to 13.5%. Revenue growth resumes at 2-2.5%. The terminal cap falls to 10x, the multiple this stock carried through most of the last decade. The balance sheet survives (net debt ex-leases is near zero, A$550m facility to 2030), so this is an earnings and multiple bear, not a solvency bear.</t>
  </si>
  <si>
    <t xml:space="preserve">Scenario narrative: base</t>
  </si>
  <si>
    <t xml:space="preserve">Macmahon works through its A$5.9bn order book (about 2.25 years of revenue) at mid-single-digit growth: 5% in FY27-28 as civil and underground work ramps toward the FY28 targets, decelerating to 2.5% by FY33. EBITDA margin holds at 14.5-14.7%, the low end of its seven-year 14.7-18.3% band, because civil infrastructure carries lower margins than surface mining. The FY26 capital-intensity trough (capex + lease principal 8.0% of revenue) is normalised to 9.5%, still well below the 12% seven-year average, giving management credit for the stated strategy of reducing capital intensity. Cash tax at the 30% statutory rate; single 10% AUD WACC; terminal value capped at 12x owner FCF, a cyclical-contractor multiple. The result is an owner-FCF margin of roughly 3.5% of revenue, which is what the business has actually delivered in its best years.</t>
  </si>
  <si>
    <t xml:space="preserve">Scenario narrative: bull</t>
  </si>
  <si>
    <t xml:space="preserve">The civil business reaches $1bn and underground $750m+ ahead of the FY28 target, Indonesia scales to 20% of group revenue, and the Batu Hijau relationship (AMNT is both the largest customer and a 44% shareholder) keeps extending. Growth runs 8% for two years, EBITDA margin recovers to the underlying 15.5%, and the lower-capital-intensity mix holds capex + lease principal at 8.5-9.0% of revenue permanently. The terminal cap is lifted to 14x owner FCF to reflect a business the market would treat as a diversified services company rather than a fleet-heavy mining contractor. This is the re-rating thesis the current price is paying for.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</si>
  <si>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</si>
  <si>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</si>
  <si>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</si>
  <si>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</si>
  <si>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</si>
  <si>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</si>
  <si>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</si>
  <si>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</si>
  <si>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</si>
  <si>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</si>
  <si>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</si>
  <si>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</si>
  <si>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</si>
  <si>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</si>
  <si>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</si>
  <si>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</si>
  <si>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</si>
  <si>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</si>
  <si>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</si>
  <si>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</si>
  <si>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</si>
  <si>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</si>
  <si>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</si>
  <si>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</si>
  <si>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</si>
  <si>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</si>
  <si>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</si>
  <si>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OrderBook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</si>
  <si>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</si>
  <si>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</si>
  <si>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</si>
  <si>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</si>
  <si>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</si>
  <si>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</si>
  <si>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</si>
  <si>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</si>
  <si>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</si>
  <si>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</si>
  <si>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</si>
  <si>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</si>
  <si>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</si>
  <si>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</si>
  <si>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</si>
  <si>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</si>
  <si>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</si>
  <si>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</si>
  <si>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</si>
  <si>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</si>
  <si>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</si>
  <si>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</si>
  <si>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</si>
  <si>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</si>
  <si>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</si>
  <si>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</si>
  <si>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</si>
  <si>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</si>
  <si>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</si>
  <si>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</si>
  <si>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</si>
  <si>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</si>
  <si>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</si>
  <si>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</si>
  <si>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</si>
  <si>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</si>
  <si>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</si>
  <si>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</si>
  <si>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</si>
  <si>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</si>
  <si>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</si>
  <si>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</si>
  <si>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</si>
  <si>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</si>
  <si>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</si>
  <si>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</si>
  <si>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</si>
  <si>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</si>
  <si>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MAH.AX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</si>
  <si>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</si>
  <si>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</si>
  <si>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</si>
  <si>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</si>
  <si>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</si>
  <si>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</si>
  <si>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</si>
  <si>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</si>
  <si>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</si>
  <si>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</si>
  <si>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</si>
  <si>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</si>
  <si>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</si>
  <si>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</si>
  <si>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</si>
  <si>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</si>
  <si>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</si>
  <si>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</si>
  <si>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</si>
  <si>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</si>
  <si>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</si>
  <si>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</si>
  <si>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</si>
  <si>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</si>
  <si>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</si>
  <si>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</si>
  <si>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</si>
  <si>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</si>
  <si>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</si>
  <si>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</si>
  <si>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MAH.AX owner-FCF component DCF: base case (millions, AUD)</t>
  </si>
  <si>
    <t xml:space="preserve">MAH.AX owner-FCF component DCF: bull case (millions, AUD)</t>
  </si>
  <si>
    <t xml:space="preserve">MAH.AX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</si>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</sst>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1.085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347.4</v>
      </c>
      <c r="I2" s="0" t="n">
        <v>1.726</v>
      </c>
      <c r="J2" s="0" t="n">
        <v>0.5</v>
      </c>
      <c r="K2" s="0" t="n">
        <v>0.0014</v>
      </c>
      <c r="L2" s="0" t="n">
        <v>9.066</v>
      </c>
      <c r="M2" s="0" t="n">
        <v>23.532</v>
      </c>
      <c r="N2" s="0" t="n">
        <v>-14.466</v>
      </c>
      <c r="O2" s="0" t="n">
        <v>207.375</v>
      </c>
      <c r="P2" s="0" t="n">
        <v>300.065</v>
      </c>
      <c r="Q2" s="0" t="n">
        <v>92.69</v>
      </c>
      <c r="R2" s="0" t="n">
        <v>0.204</v>
      </c>
      <c r="S2" s="0" t="n">
        <v>56.699</v>
      </c>
      <c r="T2" s="0" t="n">
        <v>1256.553965</v>
      </c>
      <c r="U2" s="0" t="n">
        <v>-0.038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359.645</v>
      </c>
      <c r="I3" s="0" t="n">
        <v>-22.806</v>
      </c>
      <c r="J3" s="0" t="n">
        <v>-6.3</v>
      </c>
      <c r="K3" s="0" t="n">
        <v>-0.0192</v>
      </c>
      <c r="L3" s="0" t="n">
        <v>30.215</v>
      </c>
      <c r="M3" s="0" t="n">
        <v>34.917</v>
      </c>
      <c r="N3" s="0" t="n">
        <v>-4.702</v>
      </c>
      <c r="O3" s="0" t="n">
        <v>184.991</v>
      </c>
      <c r="P3" s="0" t="n">
        <v>294.963</v>
      </c>
      <c r="Q3" s="0" t="n">
        <v>109.972</v>
      </c>
      <c r="R3" s="0" t="n">
        <v>8.848</v>
      </c>
      <c r="S3" s="0" t="n">
        <v>62.925</v>
      </c>
      <c r="T3" s="0" t="n">
        <v>1189.689643</v>
      </c>
      <c r="U3" s="0" t="n">
        <v>0.927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710.263</v>
      </c>
      <c r="F4" s="0" t="n">
        <v>39.039</v>
      </c>
      <c r="G4" s="0" t="n">
        <v>5.5</v>
      </c>
      <c r="H4" s="0" t="n">
        <v>116.767</v>
      </c>
      <c r="I4" s="0" t="n">
        <v>33.231</v>
      </c>
      <c r="J4" s="0" t="n">
        <v>4.7</v>
      </c>
      <c r="K4" s="0" t="n">
        <v>0.0162</v>
      </c>
      <c r="L4" s="0" t="n">
        <v>105.754</v>
      </c>
      <c r="M4" s="0" t="n">
        <v>44.1</v>
      </c>
      <c r="N4" s="0" t="n">
        <v>61.654</v>
      </c>
      <c r="O4" s="0" t="n">
        <v>409.834</v>
      </c>
      <c r="P4" s="0" t="n">
        <v>723.349</v>
      </c>
      <c r="Q4" s="0" t="n">
        <v>313.515</v>
      </c>
      <c r="R4" s="0" t="n">
        <v>106.272</v>
      </c>
      <c r="S4" s="0" t="n">
        <v>109.622</v>
      </c>
      <c r="T4" s="0" t="n">
        <v>2059.041429</v>
      </c>
      <c r="AA4" s="0" t="s">
        <v>17</v>
      </c>
      <c r="AB4" s="0" t="s">
        <v>14</v>
      </c>
      <c r="AC4" s="0" t="n">
        <v>5000</v>
      </c>
    </row>
    <row r="5" customFormat="false" ht="15" hidden="false" customHeight="false" outlineLevel="0" collapsed="false">
      <c r="A5" s="0" t="s">
        <v>67</v>
      </c>
      <c r="B5" s="0" t="n">
        <v>1102.984</v>
      </c>
      <c r="F5" s="0" t="n">
        <v>60.6</v>
      </c>
      <c r="G5" s="0" t="n">
        <v>5.5</v>
      </c>
      <c r="H5" s="0" t="n">
        <v>166.849</v>
      </c>
      <c r="I5" s="0" t="n">
        <v>46.092</v>
      </c>
      <c r="J5" s="0" t="n">
        <v>4.2</v>
      </c>
      <c r="K5" s="0" t="n">
        <v>0.0219</v>
      </c>
      <c r="L5" s="0" t="n">
        <v>92.507</v>
      </c>
      <c r="M5" s="0" t="n">
        <v>56.666</v>
      </c>
      <c r="N5" s="0" t="n">
        <v>35.841</v>
      </c>
      <c r="O5" s="0" t="n">
        <v>447.618</v>
      </c>
      <c r="P5" s="0" t="n">
        <v>824.905</v>
      </c>
      <c r="Q5" s="0" t="n">
        <v>377.287</v>
      </c>
      <c r="R5" s="0" t="n">
        <v>165.848</v>
      </c>
      <c r="S5" s="0" t="n">
        <v>113.165</v>
      </c>
      <c r="T5" s="0" t="n">
        <v>2171.554206</v>
      </c>
      <c r="U5" s="0" t="n">
        <v>2.634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1380.374</v>
      </c>
      <c r="F6" s="0" t="n">
        <v>83.975</v>
      </c>
      <c r="G6" s="0" t="n">
        <v>6.1</v>
      </c>
      <c r="H6" s="0" t="n">
        <v>231.42</v>
      </c>
      <c r="I6" s="0" t="n">
        <v>64.948</v>
      </c>
      <c r="J6" s="0" t="n">
        <v>4.7</v>
      </c>
      <c r="K6" s="0" t="n">
        <v>0.031</v>
      </c>
      <c r="L6" s="0" t="n">
        <v>193.693</v>
      </c>
      <c r="M6" s="0" t="n">
        <v>81.463</v>
      </c>
      <c r="N6" s="0" t="n">
        <v>112.23</v>
      </c>
      <c r="O6" s="0" t="n">
        <v>497.831</v>
      </c>
      <c r="P6" s="0" t="n">
        <v>923.022</v>
      </c>
      <c r="Q6" s="0" t="n">
        <v>425.191</v>
      </c>
      <c r="R6" s="0" t="n">
        <v>202.75</v>
      </c>
      <c r="S6" s="0" t="n">
        <v>141.837</v>
      </c>
      <c r="T6" s="0" t="n">
        <v>2172.554931</v>
      </c>
      <c r="U6" s="0" t="n">
        <v>2.591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1351.485</v>
      </c>
      <c r="F7" s="0" t="n">
        <v>91.014</v>
      </c>
      <c r="G7" s="0" t="n">
        <v>6.7</v>
      </c>
      <c r="H7" s="0" t="n">
        <v>246.68</v>
      </c>
      <c r="I7" s="0" t="n">
        <v>77.233</v>
      </c>
      <c r="J7" s="0" t="n">
        <v>5.7</v>
      </c>
      <c r="K7" s="0" t="n">
        <v>0.0368</v>
      </c>
      <c r="L7" s="0" t="n">
        <v>239.535</v>
      </c>
      <c r="M7" s="0" t="n">
        <v>210.29</v>
      </c>
      <c r="N7" s="0" t="n">
        <v>29.245</v>
      </c>
      <c r="O7" s="0" t="n">
        <v>545.927</v>
      </c>
      <c r="P7" s="0" t="n">
        <v>1153.547</v>
      </c>
      <c r="Q7" s="0" t="n">
        <v>607.62</v>
      </c>
      <c r="R7" s="0" t="n">
        <v>312.432</v>
      </c>
      <c r="S7" s="0" t="n">
        <v>182.079</v>
      </c>
      <c r="T7" s="0" t="n">
        <v>2125.843112</v>
      </c>
      <c r="U7" s="0" t="n">
        <v>0.926</v>
      </c>
      <c r="AA7" s="0" t="s">
        <v>17</v>
      </c>
      <c r="AB7" s="0" t="s">
        <v>14</v>
      </c>
      <c r="AC7" s="0" t="n">
        <v>5000</v>
      </c>
    </row>
    <row r="8" customFormat="false" ht="15" hidden="false" customHeight="false" outlineLevel="0" collapsed="false">
      <c r="A8" s="0" t="s">
        <v>70</v>
      </c>
      <c r="B8" s="0" t="n">
        <v>1698.046</v>
      </c>
      <c r="F8" s="0" t="n">
        <v>65.972</v>
      </c>
      <c r="G8" s="0" t="n">
        <v>3.9</v>
      </c>
      <c r="H8" s="0" t="n">
        <v>263.839</v>
      </c>
      <c r="I8" s="0" t="n">
        <v>27.398</v>
      </c>
      <c r="J8" s="0" t="n">
        <v>1.6</v>
      </c>
      <c r="K8" s="0" t="n">
        <v>0.013</v>
      </c>
      <c r="L8" s="0" t="n">
        <v>227.907</v>
      </c>
      <c r="M8" s="0" t="n">
        <v>162.912</v>
      </c>
      <c r="N8" s="0" t="n">
        <v>64.995</v>
      </c>
      <c r="O8" s="0" t="n">
        <v>559.5</v>
      </c>
      <c r="P8" s="0" t="n">
        <v>1338.278</v>
      </c>
      <c r="Q8" s="0" t="n">
        <v>778.778</v>
      </c>
      <c r="R8" s="0" t="n">
        <v>413.47</v>
      </c>
      <c r="S8" s="0" t="n">
        <v>197.958</v>
      </c>
      <c r="T8" s="0" t="n">
        <v>2106.681426</v>
      </c>
      <c r="U8" s="0" t="n">
        <v>0.103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1906.15</v>
      </c>
      <c r="F9" s="0" t="n">
        <v>106.681</v>
      </c>
      <c r="G9" s="0" t="n">
        <v>5.6</v>
      </c>
      <c r="H9" s="0" t="n">
        <v>303.834</v>
      </c>
      <c r="I9" s="0" t="n">
        <v>57.67</v>
      </c>
      <c r="J9" s="0" t="n">
        <v>3</v>
      </c>
      <c r="K9" s="0" t="n">
        <v>0.0275</v>
      </c>
      <c r="L9" s="0" t="n">
        <v>266.854</v>
      </c>
      <c r="M9" s="0" t="n">
        <v>193.258</v>
      </c>
      <c r="N9" s="0" t="n">
        <v>73.596</v>
      </c>
      <c r="O9" s="0" t="n">
        <v>608.849</v>
      </c>
      <c r="P9" s="0" t="n">
        <v>1464.715</v>
      </c>
      <c r="Q9" s="0" t="n">
        <v>855.866</v>
      </c>
      <c r="R9" s="0" t="n">
        <v>420.108</v>
      </c>
      <c r="S9" s="0" t="n">
        <v>218.162</v>
      </c>
      <c r="T9" s="0" t="n">
        <v>2104.472312</v>
      </c>
      <c r="U9" s="0" t="n">
        <v>0.898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2031.261</v>
      </c>
      <c r="F10" s="0" t="n">
        <v>101.283</v>
      </c>
      <c r="G10" s="0" t="n">
        <v>5</v>
      </c>
      <c r="H10" s="0" t="n">
        <v>313.073</v>
      </c>
      <c r="I10" s="0" t="n">
        <v>53.226</v>
      </c>
      <c r="J10" s="0" t="n">
        <v>2.6</v>
      </c>
      <c r="K10" s="0" t="n">
        <v>0.0253</v>
      </c>
      <c r="L10" s="0" t="n">
        <v>270.818</v>
      </c>
      <c r="M10" s="0" t="n">
        <v>150.033</v>
      </c>
      <c r="N10" s="0" t="n">
        <v>120.785</v>
      </c>
      <c r="O10" s="0" t="n">
        <v>633.515</v>
      </c>
      <c r="P10" s="0" t="n">
        <v>1451.35</v>
      </c>
      <c r="Q10" s="0" t="n">
        <v>817.835</v>
      </c>
      <c r="R10" s="0" t="n">
        <v>341.165</v>
      </c>
      <c r="S10" s="0" t="n">
        <v>194.578</v>
      </c>
      <c r="T10" s="0" t="n">
        <v>2142.57917</v>
      </c>
      <c r="U10" s="0" t="n">
        <v>2.055</v>
      </c>
      <c r="AA10" s="0" t="s">
        <v>17</v>
      </c>
      <c r="AB10" s="0" t="s">
        <v>14</v>
      </c>
      <c r="AC10" s="0" t="n">
        <v>4600</v>
      </c>
    </row>
    <row r="11" customFormat="false" ht="15" hidden="false" customHeight="false" outlineLevel="0" collapsed="false">
      <c r="A11" s="0" t="s">
        <v>73</v>
      </c>
      <c r="B11" s="0" t="n">
        <v>2427.458</v>
      </c>
      <c r="F11" s="0" t="n">
        <v>142.651</v>
      </c>
      <c r="G11" s="0" t="n">
        <v>5.9</v>
      </c>
      <c r="H11" s="0" t="n">
        <v>364.595</v>
      </c>
      <c r="I11" s="0" t="n">
        <v>73.944</v>
      </c>
      <c r="J11" s="0" t="n">
        <v>3</v>
      </c>
      <c r="K11" s="0" t="n">
        <v>0.0347</v>
      </c>
      <c r="L11" s="0" t="n">
        <v>334.003</v>
      </c>
      <c r="M11" s="0" t="n">
        <v>178.538</v>
      </c>
      <c r="N11" s="0" t="n">
        <v>155.465</v>
      </c>
      <c r="O11" s="0" t="n">
        <v>692.342</v>
      </c>
      <c r="P11" s="0" t="n">
        <v>1760.593</v>
      </c>
      <c r="Q11" s="0" t="n">
        <v>1068.251</v>
      </c>
      <c r="R11" s="0" t="n">
        <v>426.347</v>
      </c>
      <c r="S11" s="0" t="n">
        <v>263.893</v>
      </c>
      <c r="T11" s="0" t="n">
        <v>2151.17759</v>
      </c>
      <c r="U11" s="0" t="n">
        <v>7.199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74</v>
      </c>
      <c r="B12" s="0" t="n">
        <v>2619.243</v>
      </c>
      <c r="F12" s="0" t="n">
        <v>176.055</v>
      </c>
      <c r="G12" s="0" t="n">
        <v>6.7</v>
      </c>
      <c r="H12" s="0" t="n">
        <v>385.601</v>
      </c>
      <c r="I12" s="0" t="n">
        <v>101.135</v>
      </c>
      <c r="J12" s="0" t="n">
        <v>3.9</v>
      </c>
      <c r="K12" s="0" t="n">
        <v>0.0472</v>
      </c>
      <c r="L12" s="0" t="n">
        <v>300.758</v>
      </c>
      <c r="M12" s="0" t="n">
        <v>145.79</v>
      </c>
      <c r="N12" s="0" t="n">
        <v>154.968</v>
      </c>
      <c r="O12" s="0" t="n">
        <v>740.112</v>
      </c>
      <c r="P12" s="0" t="n">
        <v>1759.469</v>
      </c>
      <c r="Q12" s="0" t="n">
        <v>1019.357</v>
      </c>
      <c r="R12" s="0" t="n">
        <v>420.738</v>
      </c>
      <c r="S12" s="0" t="n">
        <v>309.653</v>
      </c>
      <c r="T12" s="0" t="n">
        <v>2175.731992</v>
      </c>
      <c r="U12" s="0" t="n">
        <v>4.993</v>
      </c>
      <c r="AA12" s="0" t="s">
        <v>17</v>
      </c>
      <c r="AB12" s="0" t="s">
        <v>14</v>
      </c>
      <c r="AC12" s="0" t="n">
        <v>5900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1.085</v>
      </c>
    </row>
    <row r="3" customFormat="false" ht="15" hidden="false" customHeight="false" outlineLevel="0" collapsed="false">
      <c r="A3" s="0" t="s">
        <v>78</v>
      </c>
      <c r="B3" s="3" t="n">
        <v>2175.732</v>
      </c>
    </row>
    <row r="4" customFormat="false" ht="15" hidden="false" customHeight="false" outlineLevel="0" collapsed="false">
      <c r="A4" s="0" t="s">
        <v>79</v>
      </c>
      <c r="B4" s="3" t="n">
        <v>16.308</v>
      </c>
    </row>
    <row r="5" customFormat="false" ht="15" hidden="false" customHeight="false" outlineLevel="0" collapsed="false">
      <c r="A5" s="0" t="s">
        <v>80</v>
      </c>
      <c r="B5" s="3" t="n">
        <v>0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2619.243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2</v>
      </c>
      <c r="D13" s="3" t="n">
        <v>-4</v>
      </c>
      <c r="E13" s="3" t="n">
        <v>-4</v>
      </c>
      <c r="F13" s="3" t="n">
        <v>0</v>
      </c>
      <c r="G13" s="3" t="n">
        <v>2</v>
      </c>
      <c r="H13" s="3" t="n">
        <v>2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99</v>
      </c>
      <c r="C14" s="3" t="n">
        <v>14.2</v>
      </c>
      <c r="D14" s="3" t="n">
        <v>13</v>
      </c>
      <c r="E14" s="3" t="n">
        <v>12.5</v>
      </c>
      <c r="F14" s="3" t="n">
        <v>12.5</v>
      </c>
      <c r="G14" s="3" t="n">
        <v>13</v>
      </c>
      <c r="H14" s="3" t="n">
        <v>13</v>
      </c>
      <c r="I14" s="3" t="n">
        <v>13.5</v>
      </c>
      <c r="J14" s="3" t="n">
        <v>13.5</v>
      </c>
      <c r="K14" s="3" t="n">
        <v>13.5</v>
      </c>
      <c r="L14" s="3" t="n">
        <v>13.5</v>
      </c>
    </row>
    <row r="15" customFormat="false" ht="15" hidden="false" customHeight="false" outlineLevel="0" collapsed="false">
      <c r="A15" s="0" t="s">
        <v>100</v>
      </c>
      <c r="C15" s="3" t="n">
        <v>0.2</v>
      </c>
      <c r="D15" s="3" t="n">
        <v>0.2</v>
      </c>
      <c r="E15" s="3" t="n">
        <v>0.2</v>
      </c>
      <c r="F15" s="3" t="n">
        <v>0.2</v>
      </c>
      <c r="G15" s="3" t="n">
        <v>0.2</v>
      </c>
      <c r="H15" s="3" t="n">
        <v>0.2</v>
      </c>
      <c r="I15" s="3" t="n">
        <v>0.2</v>
      </c>
      <c r="J15" s="3" t="n">
        <v>0.2</v>
      </c>
      <c r="K15" s="3" t="n">
        <v>0.2</v>
      </c>
      <c r="L15" s="3" t="n">
        <v>0.2</v>
      </c>
    </row>
    <row r="16" customFormat="false" ht="15" hidden="false" customHeight="false" outlineLevel="0" collapsed="false">
      <c r="A16" s="0" t="s">
        <v>101</v>
      </c>
      <c r="C16" s="3" t="n">
        <v>0.24</v>
      </c>
      <c r="D16" s="3" t="n">
        <v>0.24</v>
      </c>
      <c r="E16" s="3" t="n">
        <v>0.24</v>
      </c>
      <c r="F16" s="3" t="n">
        <v>0.24</v>
      </c>
      <c r="G16" s="3" t="n">
        <v>0.24</v>
      </c>
      <c r="H16" s="3" t="n">
        <v>0.24</v>
      </c>
      <c r="I16" s="3" t="n">
        <v>0.24</v>
      </c>
      <c r="J16" s="3" t="n">
        <v>0.24</v>
      </c>
      <c r="K16" s="3" t="n">
        <v>0.24</v>
      </c>
      <c r="L16" s="3" t="n">
        <v>0.24</v>
      </c>
    </row>
    <row r="17" customFormat="false" ht="15" hidden="false" customHeight="false" outlineLevel="0" collapsed="false">
      <c r="A17" s="0" t="s">
        <v>102</v>
      </c>
      <c r="C17" s="3" t="n">
        <v>8.2</v>
      </c>
      <c r="D17" s="3" t="n">
        <v>8.8</v>
      </c>
      <c r="E17" s="3" t="n">
        <v>9.2</v>
      </c>
      <c r="F17" s="3" t="n">
        <v>9</v>
      </c>
      <c r="G17" s="3" t="n">
        <v>8.8</v>
      </c>
      <c r="H17" s="3" t="n">
        <v>8.8</v>
      </c>
      <c r="I17" s="3" t="n">
        <v>8.8</v>
      </c>
      <c r="J17" s="3" t="n">
        <v>8.8</v>
      </c>
      <c r="K17" s="3" t="n">
        <v>8.8</v>
      </c>
      <c r="L17" s="3" t="n">
        <v>8.8</v>
      </c>
    </row>
    <row r="18" customFormat="false" ht="15" hidden="false" customHeight="false" outlineLevel="0" collapsed="false">
      <c r="A18" s="0" t="s">
        <v>103</v>
      </c>
      <c r="C18" s="3" t="n">
        <v>9.5</v>
      </c>
      <c r="D18" s="3" t="n">
        <v>9</v>
      </c>
      <c r="E18" s="3" t="n">
        <v>8.5</v>
      </c>
      <c r="F18" s="3" t="n">
        <v>9</v>
      </c>
      <c r="G18" s="3" t="n">
        <v>9.5</v>
      </c>
      <c r="H18" s="3" t="n">
        <v>9.5</v>
      </c>
      <c r="I18" s="3" t="n">
        <v>9.5</v>
      </c>
      <c r="J18" s="3" t="n">
        <v>9.5</v>
      </c>
      <c r="K18" s="3" t="n">
        <v>9.5</v>
      </c>
      <c r="L18" s="3" t="n">
        <v>9.5</v>
      </c>
    </row>
    <row r="19" customFormat="false" ht="15" hidden="false" customHeight="false" outlineLevel="0" collapsed="false">
      <c r="A19" s="0" t="s">
        <v>104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105</v>
      </c>
      <c r="B20" s="3" t="n">
        <v>10</v>
      </c>
    </row>
    <row r="21" customFormat="false" ht="15" hidden="false" customHeight="false" outlineLevel="0" collapsed="false">
      <c r="A21" s="0" t="s">
        <v>106</v>
      </c>
      <c r="B21" s="3" t="n">
        <v>2.5</v>
      </c>
    </row>
    <row r="22" customFormat="false" ht="15" hidden="false" customHeight="false" outlineLevel="0" collapsed="false">
      <c r="A22" s="0" t="s">
        <v>107</v>
      </c>
      <c r="B22" s="3" t="n">
        <v>10</v>
      </c>
    </row>
    <row r="23" customFormat="false" ht="15" hidden="false" customHeight="false" outlineLevel="0" collapsed="false">
      <c r="A23" s="0" t="s">
        <v>108</v>
      </c>
      <c r="B23" s="3" t="n">
        <v>-3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5</v>
      </c>
      <c r="D27" s="3" t="n">
        <v>5</v>
      </c>
      <c r="E27" s="3" t="n">
        <v>4</v>
      </c>
      <c r="F27" s="3" t="n">
        <v>4</v>
      </c>
      <c r="G27" s="3" t="n">
        <v>3.5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14.7</v>
      </c>
      <c r="D28" s="3" t="n">
        <v>14.6</v>
      </c>
      <c r="E28" s="3" t="n">
        <v>14.5</v>
      </c>
      <c r="F28" s="3" t="n">
        <v>14.5</v>
      </c>
      <c r="G28" s="3" t="n">
        <v>14.5</v>
      </c>
      <c r="H28" s="3" t="n">
        <v>14.5</v>
      </c>
      <c r="I28" s="3" t="n">
        <v>14.5</v>
      </c>
      <c r="J28" s="3" t="n">
        <v>14.5</v>
      </c>
      <c r="K28" s="3" t="n">
        <v>14.5</v>
      </c>
      <c r="L28" s="3" t="n">
        <v>14.5</v>
      </c>
    </row>
    <row r="29" customFormat="false" ht="15" hidden="false" customHeight="false" outlineLevel="0" collapsed="false">
      <c r="A29" s="0" t="s">
        <v>100</v>
      </c>
      <c r="C29" s="3" t="n">
        <v>0.2</v>
      </c>
      <c r="D29" s="3" t="n">
        <v>0.2</v>
      </c>
      <c r="E29" s="3" t="n">
        <v>0.2</v>
      </c>
      <c r="F29" s="3" t="n">
        <v>0.2</v>
      </c>
      <c r="G29" s="3" t="n">
        <v>0.2</v>
      </c>
      <c r="H29" s="3" t="n">
        <v>0.2</v>
      </c>
      <c r="I29" s="3" t="n">
        <v>0.2</v>
      </c>
      <c r="J29" s="3" t="n">
        <v>0.2</v>
      </c>
      <c r="K29" s="3" t="n">
        <v>0.2</v>
      </c>
      <c r="L29" s="3" t="n">
        <v>0.2</v>
      </c>
    </row>
    <row r="30" customFormat="false" ht="15" hidden="false" customHeight="false" outlineLevel="0" collapsed="false">
      <c r="A30" s="0" t="s">
        <v>101</v>
      </c>
      <c r="C30" s="3" t="n">
        <v>0.24</v>
      </c>
      <c r="D30" s="3" t="n">
        <v>0.24</v>
      </c>
      <c r="E30" s="3" t="n">
        <v>0.24</v>
      </c>
      <c r="F30" s="3" t="n">
        <v>0.24</v>
      </c>
      <c r="G30" s="3" t="n">
        <v>0.24</v>
      </c>
      <c r="H30" s="3" t="n">
        <v>0.24</v>
      </c>
      <c r="I30" s="3" t="n">
        <v>0.24</v>
      </c>
      <c r="J30" s="3" t="n">
        <v>0.24</v>
      </c>
      <c r="K30" s="3" t="n">
        <v>0.24</v>
      </c>
      <c r="L30" s="3" t="n">
        <v>0.24</v>
      </c>
    </row>
    <row r="31" customFormat="false" ht="15" hidden="false" customHeight="false" outlineLevel="0" collapsed="false">
      <c r="A31" s="0" t="s">
        <v>102</v>
      </c>
      <c r="C31" s="3" t="n">
        <v>8</v>
      </c>
      <c r="D31" s="3" t="n">
        <v>8.2</v>
      </c>
      <c r="E31" s="3" t="n">
        <v>8.4</v>
      </c>
      <c r="F31" s="3" t="n">
        <v>8.5</v>
      </c>
      <c r="G31" s="3" t="n">
        <v>8.5</v>
      </c>
      <c r="H31" s="3" t="n">
        <v>8.5</v>
      </c>
      <c r="I31" s="3" t="n">
        <v>8.5</v>
      </c>
      <c r="J31" s="3" t="n">
        <v>8.5</v>
      </c>
      <c r="K31" s="3" t="n">
        <v>8.5</v>
      </c>
      <c r="L31" s="3" t="n">
        <v>8.5</v>
      </c>
    </row>
    <row r="32" customFormat="false" ht="15" hidden="false" customHeight="false" outlineLevel="0" collapsed="false">
      <c r="A32" s="0" t="s">
        <v>103</v>
      </c>
      <c r="C32" s="3" t="n">
        <v>9</v>
      </c>
      <c r="D32" s="3" t="n">
        <v>9.5</v>
      </c>
      <c r="E32" s="3" t="n">
        <v>9.5</v>
      </c>
      <c r="F32" s="3" t="n">
        <v>9.5</v>
      </c>
      <c r="G32" s="3" t="n">
        <v>9.5</v>
      </c>
      <c r="H32" s="3" t="n">
        <v>9.4</v>
      </c>
      <c r="I32" s="3" t="n">
        <v>9.3</v>
      </c>
      <c r="J32" s="3" t="n">
        <v>9.2</v>
      </c>
      <c r="K32" s="3" t="n">
        <v>9.2</v>
      </c>
      <c r="L32" s="3" t="n">
        <v>9.2</v>
      </c>
    </row>
    <row r="33" customFormat="false" ht="15" hidden="false" customHeight="false" outlineLevel="0" collapsed="false">
      <c r="A33" s="0" t="s">
        <v>104</v>
      </c>
      <c r="C33" s="3" t="n">
        <v>30</v>
      </c>
      <c r="D33" s="3" t="n">
        <v>30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105</v>
      </c>
      <c r="B34" s="3" t="n">
        <v>10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12</v>
      </c>
    </row>
    <row r="37" customFormat="false" ht="15" hidden="false" customHeight="false" outlineLevel="0" collapsed="false">
      <c r="A37" s="0" t="s">
        <v>108</v>
      </c>
      <c r="B37" s="3" t="n">
        <v>-3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8</v>
      </c>
      <c r="D41" s="3" t="n">
        <v>8</v>
      </c>
      <c r="E41" s="3" t="n">
        <v>7</v>
      </c>
      <c r="F41" s="3" t="n">
        <v>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14.9</v>
      </c>
      <c r="D42" s="3" t="n">
        <v>15.2</v>
      </c>
      <c r="E42" s="3" t="n">
        <v>15.5</v>
      </c>
      <c r="F42" s="3" t="n">
        <v>15.5</v>
      </c>
      <c r="G42" s="3" t="n">
        <v>15.5</v>
      </c>
      <c r="H42" s="3" t="n">
        <v>15.5</v>
      </c>
      <c r="I42" s="3" t="n">
        <v>15.5</v>
      </c>
      <c r="J42" s="3" t="n">
        <v>15.5</v>
      </c>
      <c r="K42" s="3" t="n">
        <v>15.5</v>
      </c>
      <c r="L42" s="3" t="n">
        <v>15.5</v>
      </c>
    </row>
    <row r="43" customFormat="false" ht="15" hidden="false" customHeight="false" outlineLevel="0" collapsed="false">
      <c r="A43" s="0" t="s">
        <v>100</v>
      </c>
      <c r="C43" s="3" t="n">
        <v>0.2</v>
      </c>
      <c r="D43" s="3" t="n">
        <v>0.2</v>
      </c>
      <c r="E43" s="3" t="n">
        <v>0.2</v>
      </c>
      <c r="F43" s="3" t="n">
        <v>0.2</v>
      </c>
      <c r="G43" s="3" t="n">
        <v>0.2</v>
      </c>
      <c r="H43" s="3" t="n">
        <v>0.2</v>
      </c>
      <c r="I43" s="3" t="n">
        <v>0.2</v>
      </c>
      <c r="J43" s="3" t="n">
        <v>0.2</v>
      </c>
      <c r="K43" s="3" t="n">
        <v>0.2</v>
      </c>
      <c r="L43" s="3" t="n">
        <v>0.2</v>
      </c>
    </row>
    <row r="44" customFormat="false" ht="15" hidden="false" customHeight="false" outlineLevel="0" collapsed="false">
      <c r="A44" s="0" t="s">
        <v>101</v>
      </c>
      <c r="C44" s="3" t="n">
        <v>0.24</v>
      </c>
      <c r="D44" s="3" t="n">
        <v>0.24</v>
      </c>
      <c r="E44" s="3" t="n">
        <v>0.24</v>
      </c>
      <c r="F44" s="3" t="n">
        <v>0.24</v>
      </c>
      <c r="G44" s="3" t="n">
        <v>0.24</v>
      </c>
      <c r="H44" s="3" t="n">
        <v>0.24</v>
      </c>
      <c r="I44" s="3" t="n">
        <v>0.24</v>
      </c>
      <c r="J44" s="3" t="n">
        <v>0.24</v>
      </c>
      <c r="K44" s="3" t="n">
        <v>0.24</v>
      </c>
      <c r="L44" s="3" t="n">
        <v>0.24</v>
      </c>
    </row>
    <row r="45" customFormat="false" ht="15" hidden="false" customHeight="false" outlineLevel="0" collapsed="false">
      <c r="A45" s="0" t="s">
        <v>102</v>
      </c>
      <c r="C45" s="3" t="n">
        <v>8</v>
      </c>
      <c r="D45" s="3" t="n">
        <v>8</v>
      </c>
      <c r="E45" s="3" t="n">
        <v>8</v>
      </c>
      <c r="F45" s="3" t="n">
        <v>8</v>
      </c>
      <c r="G45" s="3" t="n">
        <v>8</v>
      </c>
      <c r="H45" s="3" t="n">
        <v>8</v>
      </c>
      <c r="I45" s="3" t="n">
        <v>8</v>
      </c>
      <c r="J45" s="3" t="n">
        <v>8</v>
      </c>
      <c r="K45" s="3" t="n">
        <v>8</v>
      </c>
      <c r="L45" s="3" t="n">
        <v>8</v>
      </c>
    </row>
    <row r="46" customFormat="false" ht="15" hidden="false" customHeight="false" outlineLevel="0" collapsed="false">
      <c r="A46" s="0" t="s">
        <v>103</v>
      </c>
      <c r="C46" s="3" t="n">
        <v>9</v>
      </c>
      <c r="D46" s="3" t="n">
        <v>9</v>
      </c>
      <c r="E46" s="3" t="n">
        <v>9</v>
      </c>
      <c r="F46" s="3" t="n">
        <v>8.8</v>
      </c>
      <c r="G46" s="3" t="n">
        <v>8.8</v>
      </c>
      <c r="H46" s="3" t="n">
        <v>8.6</v>
      </c>
      <c r="I46" s="3" t="n">
        <v>8.6</v>
      </c>
      <c r="J46" s="3" t="n">
        <v>8.5</v>
      </c>
      <c r="K46" s="3" t="n">
        <v>8.5</v>
      </c>
      <c r="L46" s="3" t="n">
        <v>8.5</v>
      </c>
    </row>
    <row r="47" customFormat="false" ht="15" hidden="false" customHeight="false" outlineLevel="0" collapsed="false">
      <c r="A47" s="0" t="s">
        <v>104</v>
      </c>
      <c r="C47" s="3" t="n">
        <v>30</v>
      </c>
      <c r="D47" s="3" t="n">
        <v>30</v>
      </c>
      <c r="E47" s="3" t="n">
        <v>30</v>
      </c>
      <c r="F47" s="3" t="n">
        <v>30</v>
      </c>
      <c r="G47" s="3" t="n">
        <v>30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105</v>
      </c>
      <c r="B48" s="3" t="n">
        <v>10</v>
      </c>
    </row>
    <row r="49" customFormat="false" ht="15" hidden="false" customHeight="false" outlineLevel="0" collapsed="false">
      <c r="A49" s="0" t="s">
        <v>106</v>
      </c>
      <c r="B49" s="3" t="n">
        <v>2.5</v>
      </c>
    </row>
    <row r="50" customFormat="false" ht="15" hidden="false" customHeight="false" outlineLevel="0" collapsed="false">
      <c r="A50" s="0" t="s">
        <v>107</v>
      </c>
      <c r="B50" s="3" t="n">
        <v>14</v>
      </c>
    </row>
    <row r="51" customFormat="false" ht="15" hidden="false" customHeight="false" outlineLevel="0" collapsed="false">
      <c r="A51" s="0" t="s">
        <v>108</v>
      </c>
      <c r="B51" s="3" t="n">
        <v>-3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2</v>
      </c>
      <c r="D5" s="4" t="n">
        <f aca="false">Assumptions!D13</f>
        <v>-4</v>
      </c>
      <c r="E5" s="4" t="n">
        <f aca="false">Assumptions!E13</f>
        <v>-4</v>
      </c>
      <c r="F5" s="4" t="n">
        <f aca="false">Assumptions!F13</f>
        <v>0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2619.243</v>
      </c>
      <c r="C6" s="0" t="n">
        <f aca="false">B6*(1+C5/100)</f>
        <v>2671.62786</v>
      </c>
      <c r="D6" s="0" t="n">
        <f aca="false">C6*(1+D5/100)</f>
        <v>2564.7627456</v>
      </c>
      <c r="E6" s="0" t="n">
        <f aca="false">D6*(1+E5/100)</f>
        <v>2462.172235776</v>
      </c>
      <c r="F6" s="0" t="n">
        <f aca="false">E6*(1+F5/100)</f>
        <v>2462.172235776</v>
      </c>
      <c r="G6" s="0" t="n">
        <f aca="false">F6*(1+G5/100)</f>
        <v>2511.41568049152</v>
      </c>
      <c r="H6" s="0" t="n">
        <f aca="false">G6*(1+H5/100)</f>
        <v>2561.64399410135</v>
      </c>
      <c r="I6" s="0" t="n">
        <f aca="false">H6*(1+I5/100)</f>
        <v>2625.68509395388</v>
      </c>
      <c r="J6" s="0" t="n">
        <f aca="false">I6*(1+J5/100)</f>
        <v>2691.32722130273</v>
      </c>
      <c r="K6" s="0" t="n">
        <f aca="false">J6*(1+K5/100)</f>
        <v>2758.6104018353</v>
      </c>
      <c r="L6" s="0" t="n">
        <f aca="false">K6*(1+L5/100)</f>
        <v>2827.57566188118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14.2</v>
      </c>
      <c r="D7" s="4" t="n">
        <f aca="false">Assumptions!D14</f>
        <v>13</v>
      </c>
      <c r="E7" s="4" t="n">
        <f aca="false">Assumptions!E14</f>
        <v>12.5</v>
      </c>
      <c r="F7" s="4" t="n">
        <f aca="false">Assumptions!F14</f>
        <v>12.5</v>
      </c>
      <c r="G7" s="4" t="n">
        <f aca="false">Assumptions!G14</f>
        <v>13</v>
      </c>
      <c r="H7" s="4" t="n">
        <f aca="false">Assumptions!H14</f>
        <v>13</v>
      </c>
      <c r="I7" s="4" t="n">
        <f aca="false">Assumptions!I14</f>
        <v>13.5</v>
      </c>
      <c r="J7" s="4" t="n">
        <f aca="false">Assumptions!J14</f>
        <v>13.5</v>
      </c>
      <c r="K7" s="4" t="n">
        <f aca="false">Assumptions!K14</f>
        <v>13.5</v>
      </c>
      <c r="L7" s="4" t="n">
        <f aca="false">Assumptions!L14</f>
        <v>13.5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379.37115612</v>
      </c>
      <c r="D8" s="0" t="n">
        <f aca="false">D6*D7/100</f>
        <v>333.419156928</v>
      </c>
      <c r="E8" s="0" t="n">
        <f aca="false">E6*E7/100</f>
        <v>307.771529472</v>
      </c>
      <c r="F8" s="0" t="n">
        <f aca="false">F6*F7/100</f>
        <v>307.771529472</v>
      </c>
      <c r="G8" s="0" t="n">
        <f aca="false">G6*G7/100</f>
        <v>326.484038463898</v>
      </c>
      <c r="H8" s="0" t="n">
        <f aca="false">H6*H7/100</f>
        <v>333.013719233176</v>
      </c>
      <c r="I8" s="0" t="n">
        <f aca="false">I6*I7/100</f>
        <v>354.467487683774</v>
      </c>
      <c r="J8" s="0" t="n">
        <f aca="false">J6*J7/100</f>
        <v>363.329174875869</v>
      </c>
      <c r="K8" s="0" t="n">
        <f aca="false">K6*K7/100</f>
        <v>372.412404247765</v>
      </c>
      <c r="L8" s="0" t="n">
        <f aca="false">L6*L7/100</f>
        <v>381.72271435396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0.2</v>
      </c>
      <c r="D9" s="4" t="n">
        <f aca="false">Assumptions!D15</f>
        <v>0.2</v>
      </c>
      <c r="E9" s="4" t="n">
        <f aca="false">Assumptions!E15</f>
        <v>0.2</v>
      </c>
      <c r="F9" s="4" t="n">
        <f aca="false">Assumptions!F15</f>
        <v>0.2</v>
      </c>
      <c r="G9" s="4" t="n">
        <f aca="false">Assumptions!G15</f>
        <v>0.2</v>
      </c>
      <c r="H9" s="4" t="n">
        <f aca="false">Assumptions!H15</f>
        <v>0.2</v>
      </c>
      <c r="I9" s="4" t="n">
        <f aca="false">Assumptions!I15</f>
        <v>0.2</v>
      </c>
      <c r="J9" s="4" t="n">
        <f aca="false">Assumptions!J15</f>
        <v>0.2</v>
      </c>
      <c r="K9" s="4" t="n">
        <f aca="false">Assumptions!K15</f>
        <v>0.2</v>
      </c>
      <c r="L9" s="4" t="n">
        <f aca="false">Assumptions!L15</f>
        <v>0.2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-5.34325572</v>
      </c>
      <c r="D10" s="0" t="n">
        <f aca="false">-D6*D9/100</f>
        <v>-5.1295254912</v>
      </c>
      <c r="E10" s="0" t="n">
        <f aca="false">-E6*E9/100</f>
        <v>-4.924344471552</v>
      </c>
      <c r="F10" s="0" t="n">
        <f aca="false">-F6*F9/100</f>
        <v>-4.924344471552</v>
      </c>
      <c r="G10" s="0" t="n">
        <f aca="false">-G6*G9/100</f>
        <v>-5.02283136098304</v>
      </c>
      <c r="H10" s="0" t="n">
        <f aca="false">-H6*H9/100</f>
        <v>-5.1232879882027</v>
      </c>
      <c r="I10" s="0" t="n">
        <f aca="false">-I6*I9/100</f>
        <v>-5.25137018790777</v>
      </c>
      <c r="J10" s="0" t="n">
        <f aca="false">-J6*J9/100</f>
        <v>-5.38265444260546</v>
      </c>
      <c r="K10" s="0" t="n">
        <f aca="false">-K6*K9/100</f>
        <v>-5.5172208036706</v>
      </c>
      <c r="L10" s="0" t="n">
        <f aca="false">-L6*L9/100</f>
        <v>-5.65515132376236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367.615993536</v>
      </c>
      <c r="D11" s="0" t="n">
        <f aca="false">D8+D10+D24</f>
        <v>322.13420084736</v>
      </c>
      <c r="E11" s="0" t="n">
        <f aca="false">E8+E10+E24</f>
        <v>296.937971634586</v>
      </c>
      <c r="F11" s="0" t="n">
        <f aca="false">F8+F10+F24</f>
        <v>296.937971634586</v>
      </c>
      <c r="G11" s="0" t="n">
        <f aca="false">G8+G10+G24</f>
        <v>315.433809469735</v>
      </c>
      <c r="H11" s="0" t="n">
        <f aca="false">H8+H10+H24</f>
        <v>321.74248565913</v>
      </c>
      <c r="I11" s="0" t="n">
        <f aca="false">I8+I10+I24</f>
        <v>342.914473270377</v>
      </c>
      <c r="J11" s="0" t="n">
        <f aca="false">J8+J10+J24</f>
        <v>351.487335102137</v>
      </c>
      <c r="K11" s="0" t="n">
        <f aca="false">K8+K10+K24</f>
        <v>360.27451847969</v>
      </c>
      <c r="L11" s="0" t="n">
        <f aca="false">L8+L10+L24</f>
        <v>369.281381441682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-219.07348452</v>
      </c>
      <c r="D12" s="4" t="n">
        <f aca="false">-D6*Assumptions!D17/100</f>
        <v>-225.6991216128</v>
      </c>
      <c r="E12" s="4" t="n">
        <f aca="false">-E6*Assumptions!E17/100</f>
        <v>-226.519845691392</v>
      </c>
      <c r="F12" s="4" t="n">
        <f aca="false">-F6*Assumptions!F17/100</f>
        <v>-221.59550121984</v>
      </c>
      <c r="G12" s="4" t="n">
        <f aca="false">-G6*Assumptions!G17/100</f>
        <v>-221.004579883254</v>
      </c>
      <c r="H12" s="4" t="n">
        <f aca="false">-H6*Assumptions!H17/100</f>
        <v>-225.424671480919</v>
      </c>
      <c r="I12" s="4" t="n">
        <f aca="false">-I6*Assumptions!I17/100</f>
        <v>-231.060288267942</v>
      </c>
      <c r="J12" s="4" t="n">
        <f aca="false">-J6*Assumptions!J17/100</f>
        <v>-236.83679547464</v>
      </c>
      <c r="K12" s="4" t="n">
        <f aca="false">-K6*Assumptions!K17/100</f>
        <v>-242.757715361506</v>
      </c>
      <c r="L12" s="4" t="n">
        <f aca="false">-L6*Assumptions!L17/100</f>
        <v>-248.826658245544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148.542509016</v>
      </c>
      <c r="D13" s="0" t="n">
        <f aca="false">D11+D12</f>
        <v>96.43507923456</v>
      </c>
      <c r="E13" s="0" t="n">
        <f aca="false">E11+E12</f>
        <v>70.4181259431936</v>
      </c>
      <c r="F13" s="0" t="n">
        <f aca="false">F11+F12</f>
        <v>75.3424704147456</v>
      </c>
      <c r="G13" s="0" t="n">
        <f aca="false">G11+G12</f>
        <v>94.4292295864811</v>
      </c>
      <c r="H13" s="0" t="n">
        <f aca="false">H11+H12</f>
        <v>96.3178141782108</v>
      </c>
      <c r="I13" s="0" t="n">
        <f aca="false">I11+I12</f>
        <v>111.854185002435</v>
      </c>
      <c r="J13" s="0" t="n">
        <f aca="false">J11+J12</f>
        <v>114.650539627496</v>
      </c>
      <c r="K13" s="0" t="n">
        <f aca="false">K11+K12</f>
        <v>117.516803118184</v>
      </c>
      <c r="L13" s="0" t="n">
        <f aca="false">L11+L12</f>
        <v>120.454723196138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103.9797563112</v>
      </c>
      <c r="D15" s="0" t="n">
        <f aca="false">D13-MAX(0,D13)*D14/100</f>
        <v>67.504555464192</v>
      </c>
      <c r="E15" s="0" t="n">
        <f aca="false">E13-MAX(0,E13)*E14/100</f>
        <v>49.2926881602356</v>
      </c>
      <c r="F15" s="0" t="n">
        <f aca="false">F13-MAX(0,F13)*F14/100</f>
        <v>52.7397292903219</v>
      </c>
      <c r="G15" s="0" t="n">
        <f aca="false">G13-MAX(0,G13)*G14/100</f>
        <v>66.1004607105368</v>
      </c>
      <c r="H15" s="0" t="n">
        <f aca="false">H13-MAX(0,H13)*H14/100</f>
        <v>67.4224699247476</v>
      </c>
      <c r="I15" s="0" t="n">
        <f aca="false">I13-MAX(0,I13)*I14/100</f>
        <v>78.2979295017048</v>
      </c>
      <c r="J15" s="0" t="n">
        <f aca="false">J13-MAX(0,J13)*J14/100</f>
        <v>80.2553777392474</v>
      </c>
      <c r="K15" s="0" t="n">
        <f aca="false">K13-MAX(0,K13)*K14/100</f>
        <v>82.2617621827286</v>
      </c>
      <c r="L15" s="0" t="n">
        <f aca="false">L13-MAX(0,L13)*L14/100</f>
        <v>84.3183062372969</v>
      </c>
    </row>
    <row r="16" customFormat="false" ht="15" hidden="false" customHeight="false" outlineLevel="0" collapsed="false">
      <c r="A16" s="0" t="s">
        <v>120</v>
      </c>
      <c r="C16" s="0" t="n">
        <f aca="false">-C12</f>
        <v>219.07348452</v>
      </c>
      <c r="D16" s="0" t="n">
        <f aca="false">-D12</f>
        <v>225.6991216128</v>
      </c>
      <c r="E16" s="0" t="n">
        <f aca="false">-E12</f>
        <v>226.519845691392</v>
      </c>
      <c r="F16" s="0" t="n">
        <f aca="false">-F12</f>
        <v>221.59550121984</v>
      </c>
      <c r="G16" s="0" t="n">
        <f aca="false">-G12</f>
        <v>221.004579883254</v>
      </c>
      <c r="H16" s="0" t="n">
        <f aca="false">-H12</f>
        <v>225.424671480919</v>
      </c>
      <c r="I16" s="0" t="n">
        <f aca="false">-I12</f>
        <v>231.060288267942</v>
      </c>
      <c r="J16" s="0" t="n">
        <f aca="false">-J12</f>
        <v>236.83679547464</v>
      </c>
      <c r="K16" s="0" t="n">
        <f aca="false">-K12</f>
        <v>242.757715361506</v>
      </c>
      <c r="L16" s="0" t="n">
        <f aca="false">-L12</f>
        <v>248.826658245544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-253.8046467</v>
      </c>
      <c r="D17" s="4" t="n">
        <f aca="false">-D6*Assumptions!D18/100</f>
        <v>-230.828647104</v>
      </c>
      <c r="E17" s="4" t="n">
        <f aca="false">-E6*Assumptions!E18/100</f>
        <v>-209.28464004096</v>
      </c>
      <c r="F17" s="4" t="n">
        <f aca="false">-F6*Assumptions!F18/100</f>
        <v>-221.59550121984</v>
      </c>
      <c r="G17" s="4" t="n">
        <f aca="false">-G6*Assumptions!G18/100</f>
        <v>-238.584489646694</v>
      </c>
      <c r="H17" s="4" t="n">
        <f aca="false">-H6*Assumptions!H18/100</f>
        <v>-243.356179439628</v>
      </c>
      <c r="I17" s="4" t="n">
        <f aca="false">-I6*Assumptions!I18/100</f>
        <v>-249.440083925619</v>
      </c>
      <c r="J17" s="4" t="n">
        <f aca="false">-J6*Assumptions!J18/100</f>
        <v>-255.676086023759</v>
      </c>
      <c r="K17" s="4" t="n">
        <f aca="false">-K6*Assumptions!K18/100</f>
        <v>-262.067988174353</v>
      </c>
      <c r="L17" s="4" t="n">
        <f aca="false">-L6*Assumptions!L18/100</f>
        <v>-268.619687878712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-1.5715458</v>
      </c>
      <c r="D18" s="4" t="n">
        <f aca="false">(D6-C6)*Assumptions!$B$23/100</f>
        <v>3.205953432</v>
      </c>
      <c r="E18" s="4" t="n">
        <f aca="false">(E6-D6)*Assumptions!$B$23/100</f>
        <v>3.07771529472</v>
      </c>
      <c r="F18" s="4" t="n">
        <f aca="false">(F6-E6)*Assumptions!$B$23/100</f>
        <v>-0</v>
      </c>
      <c r="G18" s="4" t="n">
        <f aca="false">(G6-F6)*Assumptions!$B$23/100</f>
        <v>-1.4773033414656</v>
      </c>
      <c r="H18" s="4" t="n">
        <f aca="false">(H6-G6)*Assumptions!$B$23/100</f>
        <v>-1.50684940829491</v>
      </c>
      <c r="I18" s="4" t="n">
        <f aca="false">(I6-H6)*Assumptions!$B$23/100</f>
        <v>-1.92123299557601</v>
      </c>
      <c r="J18" s="4" t="n">
        <f aca="false">(J6-I6)*Assumptions!$B$23/100</f>
        <v>-1.9692638204654</v>
      </c>
      <c r="K18" s="4" t="n">
        <f aca="false">(K6-J6)*Assumptions!$B$23/100</f>
        <v>-2.01849541597705</v>
      </c>
      <c r="L18" s="4" t="n">
        <f aca="false">(L6-K6)*Assumptions!$B$23/100</f>
        <v>-2.06895780137646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67.6770483312</v>
      </c>
      <c r="D19" s="0" t="n">
        <f aca="false">D15+D16+D17+D18</f>
        <v>65.580983404992</v>
      </c>
      <c r="E19" s="0" t="n">
        <f aca="false">E15+E16+E17+E18</f>
        <v>69.6056091053875</v>
      </c>
      <c r="F19" s="0" t="n">
        <f aca="false">F15+F16+F17+F18</f>
        <v>52.7397292903219</v>
      </c>
      <c r="G19" s="0" t="n">
        <f aca="false">G15+G16+G17+G18</f>
        <v>47.0432476056306</v>
      </c>
      <c r="H19" s="0" t="n">
        <f aca="false">H15+H16+H17+H18</f>
        <v>47.9841125577432</v>
      </c>
      <c r="I19" s="0" t="n">
        <f aca="false">I15+I16+I17+I18</f>
        <v>57.9969008484516</v>
      </c>
      <c r="J19" s="0" t="n">
        <f aca="false">J15+J16+J17+J18</f>
        <v>59.4468233696629</v>
      </c>
      <c r="K19" s="0" t="n">
        <f aca="false">K15+K16+K17+K18</f>
        <v>60.9329939539045</v>
      </c>
      <c r="L19" s="0" t="n">
        <f aca="false">L15+L16+L17+L18</f>
        <v>62.4563188027521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61.524589392</v>
      </c>
      <c r="D21" s="0" t="n">
        <f aca="false">D19*D20</f>
        <v>54.1991598388364</v>
      </c>
      <c r="E21" s="0" t="n">
        <f aca="false">E19*E20</f>
        <v>52.2957243466473</v>
      </c>
      <c r="F21" s="0" t="n">
        <f aca="false">F19*F20</f>
        <v>36.0219447376012</v>
      </c>
      <c r="G21" s="0" t="n">
        <f aca="false">G19*G20</f>
        <v>29.2101555442876</v>
      </c>
      <c r="H21" s="0" t="n">
        <f aca="false">H19*H20</f>
        <v>27.0857805956121</v>
      </c>
      <c r="I21" s="0" t="n">
        <f aca="false">I19*I20</f>
        <v>29.7615805026043</v>
      </c>
      <c r="J21" s="0" t="n">
        <f aca="false">J19*J20</f>
        <v>27.7323818319722</v>
      </c>
      <c r="K21" s="0" t="n">
        <f aca="false">K19*K20</f>
        <v>25.8415376161559</v>
      </c>
      <c r="L21" s="0" t="n">
        <f aca="false">L19*L20</f>
        <v>24.0796145968725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0.24</v>
      </c>
      <c r="D23" s="4" t="n">
        <f aca="false">Assumptions!D16</f>
        <v>0.24</v>
      </c>
      <c r="E23" s="4" t="n">
        <f aca="false">Assumptions!E16</f>
        <v>0.24</v>
      </c>
      <c r="F23" s="4" t="n">
        <f aca="false">Assumptions!F16</f>
        <v>0.24</v>
      </c>
      <c r="G23" s="4" t="n">
        <f aca="false">Assumptions!G16</f>
        <v>0.24</v>
      </c>
      <c r="H23" s="4" t="n">
        <f aca="false">Assumptions!H16</f>
        <v>0.24</v>
      </c>
      <c r="I23" s="4" t="n">
        <f aca="false">Assumptions!I16</f>
        <v>0.24</v>
      </c>
      <c r="J23" s="4" t="n">
        <f aca="false">Assumptions!J16</f>
        <v>0.24</v>
      </c>
      <c r="K23" s="4" t="n">
        <f aca="false">Assumptions!K16</f>
        <v>0.24</v>
      </c>
      <c r="L23" s="4" t="n">
        <f aca="false">Assumptions!L16</f>
        <v>0.24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-6.411906864</v>
      </c>
      <c r="D24" s="0" t="n">
        <f aca="false">-D6*D23/100</f>
        <v>-6.15543058944</v>
      </c>
      <c r="E24" s="0" t="n">
        <f aca="false">-E6*E23/100</f>
        <v>-5.9092133658624</v>
      </c>
      <c r="F24" s="0" t="n">
        <f aca="false">-F6*F23/100</f>
        <v>-5.9092133658624</v>
      </c>
      <c r="G24" s="0" t="n">
        <f aca="false">-G6*G23/100</f>
        <v>-6.02739763317965</v>
      </c>
      <c r="H24" s="0" t="n">
        <f aca="false">-H6*H23/100</f>
        <v>-6.14794558584324</v>
      </c>
      <c r="I24" s="0" t="n">
        <f aca="false">-I6*I23/100</f>
        <v>-6.30164422548932</v>
      </c>
      <c r="J24" s="0" t="n">
        <f aca="false">-J6*J23/100</f>
        <v>-6.45918533112655</v>
      </c>
      <c r="K24" s="0" t="n">
        <f aca="false">-K6*K23/100</f>
        <v>-6.62066496440472</v>
      </c>
      <c r="L24" s="0" t="n">
        <f aca="false">-L6*L23/100</f>
        <v>-6.78618158851484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367.752469002589</v>
      </c>
    </row>
    <row r="31" customFormat="false" ht="15" hidden="false" customHeight="false" outlineLevel="0" collapsed="false">
      <c r="A31" s="0" t="s">
        <v>129</v>
      </c>
      <c r="B31" s="0" t="n">
        <f aca="false">L19</f>
        <v>62.4563188027521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853.569690304279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624.563188027521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624.563188027521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240.796145968725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608.548614971315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592.240614971315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0.272202925255185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-0.749121727875405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31.8966315970654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29.7975104623298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0.300558504921888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512.141814182567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0.189717360313375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5</v>
      </c>
      <c r="D5" s="4" t="n">
        <f aca="false">Assumptions!D27</f>
        <v>5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2619.243</v>
      </c>
      <c r="C6" s="0" t="n">
        <f aca="false">B6*(1+C5/100)</f>
        <v>2750.20515</v>
      </c>
      <c r="D6" s="0" t="n">
        <f aca="false">C6*(1+D5/100)</f>
        <v>2887.7154075</v>
      </c>
      <c r="E6" s="0" t="n">
        <f aca="false">D6*(1+E5/100)</f>
        <v>3003.2240238</v>
      </c>
      <c r="F6" s="0" t="n">
        <f aca="false">E6*(1+F5/100)</f>
        <v>3123.352984752</v>
      </c>
      <c r="G6" s="0" t="n">
        <f aca="false">F6*(1+G5/100)</f>
        <v>3232.67033921832</v>
      </c>
      <c r="H6" s="0" t="n">
        <f aca="false">G6*(1+H5/100)</f>
        <v>3329.65044939487</v>
      </c>
      <c r="I6" s="0" t="n">
        <f aca="false">H6*(1+I5/100)</f>
        <v>3412.89171062974</v>
      </c>
      <c r="J6" s="0" t="n">
        <f aca="false">I6*(1+J5/100)</f>
        <v>3498.21400339548</v>
      </c>
      <c r="K6" s="0" t="n">
        <f aca="false">J6*(1+K5/100)</f>
        <v>3585.66935348037</v>
      </c>
      <c r="L6" s="0" t="n">
        <f aca="false">K6*(1+L5/100)</f>
        <v>3675.31108731738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14.7</v>
      </c>
      <c r="D7" s="4" t="n">
        <f aca="false">Assumptions!D28</f>
        <v>14.6</v>
      </c>
      <c r="E7" s="4" t="n">
        <f aca="false">Assumptions!E28</f>
        <v>14.5</v>
      </c>
      <c r="F7" s="4" t="n">
        <f aca="false">Assumptions!F28</f>
        <v>14.5</v>
      </c>
      <c r="G7" s="4" t="n">
        <f aca="false">Assumptions!G28</f>
        <v>14.5</v>
      </c>
      <c r="H7" s="4" t="n">
        <f aca="false">Assumptions!H28</f>
        <v>14.5</v>
      </c>
      <c r="I7" s="4" t="n">
        <f aca="false">Assumptions!I28</f>
        <v>14.5</v>
      </c>
      <c r="J7" s="4" t="n">
        <f aca="false">Assumptions!J28</f>
        <v>14.5</v>
      </c>
      <c r="K7" s="4" t="n">
        <f aca="false">Assumptions!K28</f>
        <v>14.5</v>
      </c>
      <c r="L7" s="4" t="n">
        <f aca="false">Assumptions!L28</f>
        <v>14.5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404.28015705</v>
      </c>
      <c r="D8" s="0" t="n">
        <f aca="false">D6*D7/100</f>
        <v>421.606449495</v>
      </c>
      <c r="E8" s="0" t="n">
        <f aca="false">E6*E7/100</f>
        <v>435.467483451</v>
      </c>
      <c r="F8" s="0" t="n">
        <f aca="false">F6*F7/100</f>
        <v>452.88618278904</v>
      </c>
      <c r="G8" s="0" t="n">
        <f aca="false">G6*G7/100</f>
        <v>468.737199186656</v>
      </c>
      <c r="H8" s="0" t="n">
        <f aca="false">H6*H7/100</f>
        <v>482.799315162256</v>
      </c>
      <c r="I8" s="0" t="n">
        <f aca="false">I6*I7/100</f>
        <v>494.869298041312</v>
      </c>
      <c r="J8" s="0" t="n">
        <f aca="false">J6*J7/100</f>
        <v>507.241030492345</v>
      </c>
      <c r="K8" s="0" t="n">
        <f aca="false">K6*K7/100</f>
        <v>519.922056254654</v>
      </c>
      <c r="L8" s="0" t="n">
        <f aca="false">L6*L7/100</f>
        <v>532.92010766102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0.2</v>
      </c>
      <c r="D9" s="4" t="n">
        <f aca="false">Assumptions!D29</f>
        <v>0.2</v>
      </c>
      <c r="E9" s="4" t="n">
        <f aca="false">Assumptions!E29</f>
        <v>0.2</v>
      </c>
      <c r="F9" s="4" t="n">
        <f aca="false">Assumptions!F29</f>
        <v>0.2</v>
      </c>
      <c r="G9" s="4" t="n">
        <f aca="false">Assumptions!G29</f>
        <v>0.2</v>
      </c>
      <c r="H9" s="4" t="n">
        <f aca="false">Assumptions!H29</f>
        <v>0.2</v>
      </c>
      <c r="I9" s="4" t="n">
        <f aca="false">Assumptions!I29</f>
        <v>0.2</v>
      </c>
      <c r="J9" s="4" t="n">
        <f aca="false">Assumptions!J29</f>
        <v>0.2</v>
      </c>
      <c r="K9" s="4" t="n">
        <f aca="false">Assumptions!K29</f>
        <v>0.2</v>
      </c>
      <c r="L9" s="4" t="n">
        <f aca="false">Assumptions!L29</f>
        <v>0.2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-5.5004103</v>
      </c>
      <c r="D10" s="0" t="n">
        <f aca="false">-D6*D9/100</f>
        <v>-5.775430815</v>
      </c>
      <c r="E10" s="0" t="n">
        <f aca="false">-E6*E9/100</f>
        <v>-6.0064480476</v>
      </c>
      <c r="F10" s="0" t="n">
        <f aca="false">-F6*F9/100</f>
        <v>-6.246705969504</v>
      </c>
      <c r="G10" s="0" t="n">
        <f aca="false">-G6*G9/100</f>
        <v>-6.46534067843664</v>
      </c>
      <c r="H10" s="0" t="n">
        <f aca="false">-H6*H9/100</f>
        <v>-6.65930089878974</v>
      </c>
      <c r="I10" s="0" t="n">
        <f aca="false">-I6*I9/100</f>
        <v>-6.82578342125948</v>
      </c>
      <c r="J10" s="0" t="n">
        <f aca="false">-J6*J9/100</f>
        <v>-6.99642800679097</v>
      </c>
      <c r="K10" s="0" t="n">
        <f aca="false">-K6*K9/100</f>
        <v>-7.17133870696074</v>
      </c>
      <c r="L10" s="0" t="n">
        <f aca="false">-L6*L9/100</f>
        <v>-7.35062217463476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392.17925439</v>
      </c>
      <c r="D11" s="0" t="n">
        <f aca="false">D8+D10+D24</f>
        <v>408.900501702</v>
      </c>
      <c r="E11" s="0" t="n">
        <f aca="false">E8+E10+E24</f>
        <v>422.25329774628</v>
      </c>
      <c r="F11" s="0" t="n">
        <f aca="false">F8+F10+F24</f>
        <v>439.143429656131</v>
      </c>
      <c r="G11" s="0" t="n">
        <f aca="false">G8+G10+G24</f>
        <v>454.513449694096</v>
      </c>
      <c r="H11" s="0" t="n">
        <f aca="false">H8+H10+H24</f>
        <v>468.148853184919</v>
      </c>
      <c r="I11" s="0" t="n">
        <f aca="false">I8+I10+I24</f>
        <v>479.852574514542</v>
      </c>
      <c r="J11" s="0" t="n">
        <f aca="false">J8+J10+J24</f>
        <v>491.848888877405</v>
      </c>
      <c r="K11" s="0" t="n">
        <f aca="false">K8+K10+K24</f>
        <v>504.14511109934</v>
      </c>
      <c r="L11" s="0" t="n">
        <f aca="false">L8+L10+L24</f>
        <v>516.748738876824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-220.016412</v>
      </c>
      <c r="D12" s="4" t="n">
        <f aca="false">-D6*Assumptions!D31/100</f>
        <v>-236.792663415</v>
      </c>
      <c r="E12" s="4" t="n">
        <f aca="false">-E6*Assumptions!E31/100</f>
        <v>-252.2708179992</v>
      </c>
      <c r="F12" s="4" t="n">
        <f aca="false">-F6*Assumptions!F31/100</f>
        <v>-265.48500370392</v>
      </c>
      <c r="G12" s="4" t="n">
        <f aca="false">-G6*Assumptions!G31/100</f>
        <v>-274.776978833557</v>
      </c>
      <c r="H12" s="4" t="n">
        <f aca="false">-H6*Assumptions!H31/100</f>
        <v>-283.020288198564</v>
      </c>
      <c r="I12" s="4" t="n">
        <f aca="false">-I6*Assumptions!I31/100</f>
        <v>-290.095795403528</v>
      </c>
      <c r="J12" s="4" t="n">
        <f aca="false">-J6*Assumptions!J31/100</f>
        <v>-297.348190288616</v>
      </c>
      <c r="K12" s="4" t="n">
        <f aca="false">-K6*Assumptions!K31/100</f>
        <v>-304.781895045832</v>
      </c>
      <c r="L12" s="4" t="n">
        <f aca="false">-L6*Assumptions!L31/100</f>
        <v>-312.401442421977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172.16284239</v>
      </c>
      <c r="D13" s="0" t="n">
        <f aca="false">D11+D12</f>
        <v>172.107838287</v>
      </c>
      <c r="E13" s="0" t="n">
        <f aca="false">E11+E12</f>
        <v>169.98247974708</v>
      </c>
      <c r="F13" s="0" t="n">
        <f aca="false">F11+F12</f>
        <v>173.658425952211</v>
      </c>
      <c r="G13" s="0" t="n">
        <f aca="false">G11+G12</f>
        <v>179.736470860539</v>
      </c>
      <c r="H13" s="0" t="n">
        <f aca="false">H11+H12</f>
        <v>185.128564986355</v>
      </c>
      <c r="I13" s="0" t="n">
        <f aca="false">I11+I12</f>
        <v>189.756779111014</v>
      </c>
      <c r="J13" s="0" t="n">
        <f aca="false">J11+J12</f>
        <v>194.500698588789</v>
      </c>
      <c r="K13" s="0" t="n">
        <f aca="false">K11+K12</f>
        <v>199.363216053509</v>
      </c>
      <c r="L13" s="0" t="n">
        <f aca="false">L11+L12</f>
        <v>204.347296454846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30</v>
      </c>
      <c r="D14" s="4" t="n">
        <f aca="false">Assumptions!D33</f>
        <v>30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120.513989673</v>
      </c>
      <c r="D15" s="0" t="n">
        <f aca="false">D13-MAX(0,D13)*D14/100</f>
        <v>120.4754868009</v>
      </c>
      <c r="E15" s="0" t="n">
        <f aca="false">E13-MAX(0,E13)*E14/100</f>
        <v>118.987735822956</v>
      </c>
      <c r="F15" s="0" t="n">
        <f aca="false">F13-MAX(0,F13)*F14/100</f>
        <v>121.560898166548</v>
      </c>
      <c r="G15" s="0" t="n">
        <f aca="false">G13-MAX(0,G13)*G14/100</f>
        <v>125.815529602377</v>
      </c>
      <c r="H15" s="0" t="n">
        <f aca="false">H13-MAX(0,H13)*H14/100</f>
        <v>129.589995490448</v>
      </c>
      <c r="I15" s="0" t="n">
        <f aca="false">I13-MAX(0,I13)*I14/100</f>
        <v>132.82974537771</v>
      </c>
      <c r="J15" s="0" t="n">
        <f aca="false">J13-MAX(0,J13)*J14/100</f>
        <v>136.150489012152</v>
      </c>
      <c r="K15" s="0" t="n">
        <f aca="false">K13-MAX(0,K13)*K14/100</f>
        <v>139.554251237456</v>
      </c>
      <c r="L15" s="0" t="n">
        <f aca="false">L13-MAX(0,L13)*L14/100</f>
        <v>143.043107518392</v>
      </c>
    </row>
    <row r="16" customFormat="false" ht="15" hidden="false" customHeight="false" outlineLevel="0" collapsed="false">
      <c r="A16" s="0" t="s">
        <v>120</v>
      </c>
      <c r="C16" s="0" t="n">
        <f aca="false">-C12</f>
        <v>220.016412</v>
      </c>
      <c r="D16" s="0" t="n">
        <f aca="false">-D12</f>
        <v>236.792663415</v>
      </c>
      <c r="E16" s="0" t="n">
        <f aca="false">-E12</f>
        <v>252.2708179992</v>
      </c>
      <c r="F16" s="0" t="n">
        <f aca="false">-F12</f>
        <v>265.48500370392</v>
      </c>
      <c r="G16" s="0" t="n">
        <f aca="false">-G12</f>
        <v>274.776978833557</v>
      </c>
      <c r="H16" s="0" t="n">
        <f aca="false">-H12</f>
        <v>283.020288198564</v>
      </c>
      <c r="I16" s="0" t="n">
        <f aca="false">-I12</f>
        <v>290.095795403528</v>
      </c>
      <c r="J16" s="0" t="n">
        <f aca="false">-J12</f>
        <v>297.348190288616</v>
      </c>
      <c r="K16" s="0" t="n">
        <f aca="false">-K12</f>
        <v>304.781895045832</v>
      </c>
      <c r="L16" s="0" t="n">
        <f aca="false">-L12</f>
        <v>312.401442421977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-247.5184635</v>
      </c>
      <c r="D17" s="4" t="n">
        <f aca="false">-D6*Assumptions!D32/100</f>
        <v>-274.3329637125</v>
      </c>
      <c r="E17" s="4" t="n">
        <f aca="false">-E6*Assumptions!E32/100</f>
        <v>-285.306282261</v>
      </c>
      <c r="F17" s="4" t="n">
        <f aca="false">-F6*Assumptions!F32/100</f>
        <v>-296.71853355144</v>
      </c>
      <c r="G17" s="4" t="n">
        <f aca="false">-G6*Assumptions!G32/100</f>
        <v>-307.10368222574</v>
      </c>
      <c r="H17" s="4" t="n">
        <f aca="false">-H6*Assumptions!H32/100</f>
        <v>-312.987142243118</v>
      </c>
      <c r="I17" s="4" t="n">
        <f aca="false">-I6*Assumptions!I32/100</f>
        <v>-317.398929088566</v>
      </c>
      <c r="J17" s="4" t="n">
        <f aca="false">-J6*Assumptions!J32/100</f>
        <v>-321.835688312385</v>
      </c>
      <c r="K17" s="4" t="n">
        <f aca="false">-K6*Assumptions!K32/100</f>
        <v>-329.881580520194</v>
      </c>
      <c r="L17" s="4" t="n">
        <f aca="false">-L6*Assumptions!L32/100</f>
        <v>-338.128620033199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-3.92886450000001</v>
      </c>
      <c r="D18" s="4" t="n">
        <f aca="false">(D6-C6)*Assumptions!$B$37/100</f>
        <v>-4.125307725</v>
      </c>
      <c r="E18" s="4" t="n">
        <f aca="false">(E6-D6)*Assumptions!$B$37/100</f>
        <v>-3.465258489</v>
      </c>
      <c r="F18" s="4" t="n">
        <f aca="false">(F6-E6)*Assumptions!$B$37/100</f>
        <v>-3.60386882856</v>
      </c>
      <c r="G18" s="4" t="n">
        <f aca="false">(G6-F6)*Assumptions!$B$37/100</f>
        <v>-3.27952063398959</v>
      </c>
      <c r="H18" s="4" t="n">
        <f aca="false">(H6-G6)*Assumptions!$B$37/100</f>
        <v>-2.90940330529649</v>
      </c>
      <c r="I18" s="4" t="n">
        <f aca="false">(I6-H6)*Assumptions!$B$37/100</f>
        <v>-2.49723783704614</v>
      </c>
      <c r="J18" s="4" t="n">
        <f aca="false">(J6-I6)*Assumptions!$B$37/100</f>
        <v>-2.5596687829723</v>
      </c>
      <c r="K18" s="4" t="n">
        <f aca="false">(K6-J6)*Assumptions!$B$37/100</f>
        <v>-2.62366050254661</v>
      </c>
      <c r="L18" s="4" t="n">
        <f aca="false">(L6-K6)*Assumptions!$B$37/100</f>
        <v>-2.68925201511026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89.083073673</v>
      </c>
      <c r="D19" s="0" t="n">
        <f aca="false">D15+D16+D17+D18</f>
        <v>78.8098787784</v>
      </c>
      <c r="E19" s="0" t="n">
        <f aca="false">E15+E16+E17+E18</f>
        <v>82.4870130721561</v>
      </c>
      <c r="F19" s="0" t="n">
        <f aca="false">F15+F16+F17+F18</f>
        <v>86.7234994904679</v>
      </c>
      <c r="G19" s="0" t="n">
        <f aca="false">G15+G16+G17+G18</f>
        <v>90.2093055762042</v>
      </c>
      <c r="H19" s="0" t="n">
        <f aca="false">H15+H16+H17+H18</f>
        <v>96.713738140598</v>
      </c>
      <c r="I19" s="0" t="n">
        <f aca="false">I15+I16+I17+I18</f>
        <v>103.029373855625</v>
      </c>
      <c r="J19" s="0" t="n">
        <f aca="false">J15+J16+J17+J18</f>
        <v>109.103322205412</v>
      </c>
      <c r="K19" s="0" t="n">
        <f aca="false">K15+K16+K17+K18</f>
        <v>111.830905260547</v>
      </c>
      <c r="L19" s="0" t="n">
        <f aca="false">L15+L16+L17+L18</f>
        <v>114.62667789206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80.98461243</v>
      </c>
      <c r="D21" s="0" t="n">
        <f aca="false">D19*D20</f>
        <v>65.1321312218182</v>
      </c>
      <c r="E21" s="0" t="n">
        <f aca="false">E19*E20</f>
        <v>61.9737138032728</v>
      </c>
      <c r="F21" s="0" t="n">
        <f aca="false">F19*F20</f>
        <v>59.2333170483354</v>
      </c>
      <c r="G21" s="0" t="n">
        <f aca="false">G19*G20</f>
        <v>56.0128813706243</v>
      </c>
      <c r="H21" s="0" t="n">
        <f aca="false">H19*H20</f>
        <v>54.5923838584153</v>
      </c>
      <c r="I21" s="0" t="n">
        <f aca="false">I19*I20</f>
        <v>52.8703596102407</v>
      </c>
      <c r="J21" s="0" t="n">
        <f aca="false">J19*J20</f>
        <v>50.897505014225</v>
      </c>
      <c r="K21" s="0" t="n">
        <f aca="false">K19*K20</f>
        <v>47.4272205814369</v>
      </c>
      <c r="L21" s="0" t="n">
        <f aca="false">L19*L20</f>
        <v>44.1935464508844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0.24</v>
      </c>
      <c r="D23" s="4" t="n">
        <f aca="false">Assumptions!D30</f>
        <v>0.24</v>
      </c>
      <c r="E23" s="4" t="n">
        <f aca="false">Assumptions!E30</f>
        <v>0.24</v>
      </c>
      <c r="F23" s="4" t="n">
        <f aca="false">Assumptions!F30</f>
        <v>0.24</v>
      </c>
      <c r="G23" s="4" t="n">
        <f aca="false">Assumptions!G30</f>
        <v>0.24</v>
      </c>
      <c r="H23" s="4" t="n">
        <f aca="false">Assumptions!H30</f>
        <v>0.24</v>
      </c>
      <c r="I23" s="4" t="n">
        <f aca="false">Assumptions!I30</f>
        <v>0.24</v>
      </c>
      <c r="J23" s="4" t="n">
        <f aca="false">Assumptions!J30</f>
        <v>0.24</v>
      </c>
      <c r="K23" s="4" t="n">
        <f aca="false">Assumptions!K30</f>
        <v>0.24</v>
      </c>
      <c r="L23" s="4" t="n">
        <f aca="false">Assumptions!L30</f>
        <v>0.24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-6.60049236</v>
      </c>
      <c r="D24" s="0" t="n">
        <f aca="false">-D6*D23/100</f>
        <v>-6.930516978</v>
      </c>
      <c r="E24" s="0" t="n">
        <f aca="false">-E6*E23/100</f>
        <v>-7.20773765712</v>
      </c>
      <c r="F24" s="0" t="n">
        <f aca="false">-F6*F23/100</f>
        <v>-7.4960471634048</v>
      </c>
      <c r="G24" s="0" t="n">
        <f aca="false">-G6*G23/100</f>
        <v>-7.75840881412397</v>
      </c>
      <c r="H24" s="0" t="n">
        <f aca="false">-H6*H23/100</f>
        <v>-7.99116107854769</v>
      </c>
      <c r="I24" s="0" t="n">
        <f aca="false">-I6*I23/100</f>
        <v>-8.19094010551138</v>
      </c>
      <c r="J24" s="0" t="n">
        <f aca="false">-J6*J23/100</f>
        <v>-8.39571360814916</v>
      </c>
      <c r="K24" s="0" t="n">
        <f aca="false">-K6*K23/100</f>
        <v>-8.60560644835289</v>
      </c>
      <c r="L24" s="0" t="n">
        <f aca="false">-L6*L23/100</f>
        <v>-8.82074660956171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573.317671389253</v>
      </c>
    </row>
    <row r="31" customFormat="false" ht="15" hidden="false" customHeight="false" outlineLevel="0" collapsed="false">
      <c r="A31" s="0" t="s">
        <v>129</v>
      </c>
      <c r="B31" s="0" t="n">
        <f aca="false">L19</f>
        <v>114.62667789206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1566.56459785816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1375.52013470473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1375.52013470473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530.322557410612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1103.64022879986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1087.33222879986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0.49975467052002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-0.539396617032239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38.9681656988089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38.731101718352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0.535466452769471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939.938758714896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0.311660861349366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8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2619.243</v>
      </c>
      <c r="C6" s="0" t="n">
        <f aca="false">B6*(1+C5/100)</f>
        <v>2828.78244</v>
      </c>
      <c r="D6" s="0" t="n">
        <f aca="false">C6*(1+D5/100)</f>
        <v>3055.0850352</v>
      </c>
      <c r="E6" s="0" t="n">
        <f aca="false">D6*(1+E5/100)</f>
        <v>3268.940987664</v>
      </c>
      <c r="F6" s="0" t="n">
        <f aca="false">E6*(1+F5/100)</f>
        <v>3432.3880370472</v>
      </c>
      <c r="G6" s="0" t="n">
        <f aca="false">F6*(1+G5/100)</f>
        <v>3569.68355852909</v>
      </c>
      <c r="H6" s="0" t="n">
        <f aca="false">G6*(1+H5/100)</f>
        <v>3694.62248307761</v>
      </c>
      <c r="I6" s="0" t="n">
        <f aca="false">H6*(1+I5/100)</f>
        <v>3805.46115756993</v>
      </c>
      <c r="J6" s="0" t="n">
        <f aca="false">I6*(1+J5/100)</f>
        <v>3919.62499229703</v>
      </c>
      <c r="K6" s="0" t="n">
        <f aca="false">J6*(1+K5/100)</f>
        <v>4037.21374206594</v>
      </c>
      <c r="L6" s="0" t="n">
        <f aca="false">K6*(1+L5/100)</f>
        <v>4158.33015432792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14.9</v>
      </c>
      <c r="D7" s="4" t="n">
        <f aca="false">Assumptions!D42</f>
        <v>15.2</v>
      </c>
      <c r="E7" s="4" t="n">
        <f aca="false">Assumptions!E42</f>
        <v>15.5</v>
      </c>
      <c r="F7" s="4" t="n">
        <f aca="false">Assumptions!F42</f>
        <v>15.5</v>
      </c>
      <c r="G7" s="4" t="n">
        <f aca="false">Assumptions!G42</f>
        <v>15.5</v>
      </c>
      <c r="H7" s="4" t="n">
        <f aca="false">Assumptions!H42</f>
        <v>15.5</v>
      </c>
      <c r="I7" s="4" t="n">
        <f aca="false">Assumptions!I42</f>
        <v>15.5</v>
      </c>
      <c r="J7" s="4" t="n">
        <f aca="false">Assumptions!J42</f>
        <v>15.5</v>
      </c>
      <c r="K7" s="4" t="n">
        <f aca="false">Assumptions!K42</f>
        <v>15.5</v>
      </c>
      <c r="L7" s="4" t="n">
        <f aca="false">Assumptions!L42</f>
        <v>15.5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421.48858356</v>
      </c>
      <c r="D8" s="0" t="n">
        <f aca="false">D6*D7/100</f>
        <v>464.3729253504</v>
      </c>
      <c r="E8" s="0" t="n">
        <f aca="false">E6*E7/100</f>
        <v>506.68585308792</v>
      </c>
      <c r="F8" s="0" t="n">
        <f aca="false">F6*F7/100</f>
        <v>532.020145742316</v>
      </c>
      <c r="G8" s="0" t="n">
        <f aca="false">G6*G7/100</f>
        <v>553.300951572009</v>
      </c>
      <c r="H8" s="0" t="n">
        <f aca="false">H6*H7/100</f>
        <v>572.666484877029</v>
      </c>
      <c r="I8" s="0" t="n">
        <f aca="false">I6*I7/100</f>
        <v>589.84647942334</v>
      </c>
      <c r="J8" s="0" t="n">
        <f aca="false">J6*J7/100</f>
        <v>607.54187380604</v>
      </c>
      <c r="K8" s="0" t="n">
        <f aca="false">K6*K7/100</f>
        <v>625.768130020221</v>
      </c>
      <c r="L8" s="0" t="n">
        <f aca="false">L6*L7/100</f>
        <v>644.541173920828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0.2</v>
      </c>
      <c r="D9" s="4" t="n">
        <f aca="false">Assumptions!D43</f>
        <v>0.2</v>
      </c>
      <c r="E9" s="4" t="n">
        <f aca="false">Assumptions!E43</f>
        <v>0.2</v>
      </c>
      <c r="F9" s="4" t="n">
        <f aca="false">Assumptions!F43</f>
        <v>0.2</v>
      </c>
      <c r="G9" s="4" t="n">
        <f aca="false">Assumptions!G43</f>
        <v>0.2</v>
      </c>
      <c r="H9" s="4" t="n">
        <f aca="false">Assumptions!H43</f>
        <v>0.2</v>
      </c>
      <c r="I9" s="4" t="n">
        <f aca="false">Assumptions!I43</f>
        <v>0.2</v>
      </c>
      <c r="J9" s="4" t="n">
        <f aca="false">Assumptions!J43</f>
        <v>0.2</v>
      </c>
      <c r="K9" s="4" t="n">
        <f aca="false">Assumptions!K43</f>
        <v>0.2</v>
      </c>
      <c r="L9" s="4" t="n">
        <f aca="false">Assumptions!L43</f>
        <v>0.2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-5.65756488</v>
      </c>
      <c r="D10" s="0" t="n">
        <f aca="false">-D6*D9/100</f>
        <v>-6.1101700704</v>
      </c>
      <c r="E10" s="0" t="n">
        <f aca="false">-E6*E9/100</f>
        <v>-6.537881975328</v>
      </c>
      <c r="F10" s="0" t="n">
        <f aca="false">-F6*F9/100</f>
        <v>-6.8647760740944</v>
      </c>
      <c r="G10" s="0" t="n">
        <f aca="false">-G6*G9/100</f>
        <v>-7.13936711705818</v>
      </c>
      <c r="H10" s="0" t="n">
        <f aca="false">-H6*H9/100</f>
        <v>-7.38924496615521</v>
      </c>
      <c r="I10" s="0" t="n">
        <f aca="false">-I6*I9/100</f>
        <v>-7.61092231513987</v>
      </c>
      <c r="J10" s="0" t="n">
        <f aca="false">-J6*J9/100</f>
        <v>-7.83924998459407</v>
      </c>
      <c r="K10" s="0" t="n">
        <f aca="false">-K6*K9/100</f>
        <v>-8.07442748413189</v>
      </c>
      <c r="L10" s="0" t="n">
        <f aca="false">-L6*L9/100</f>
        <v>-8.31666030865584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409.041940824</v>
      </c>
      <c r="D11" s="0" t="n">
        <f aca="false">D8+D10+D24</f>
        <v>450.93055119552</v>
      </c>
      <c r="E11" s="0" t="n">
        <f aca="false">E8+E10+E24</f>
        <v>492.302512742199</v>
      </c>
      <c r="F11" s="0" t="n">
        <f aca="false">F8+F10+F24</f>
        <v>516.917638379308</v>
      </c>
      <c r="G11" s="0" t="n">
        <f aca="false">G8+G10+G24</f>
        <v>537.594343914481</v>
      </c>
      <c r="H11" s="0" t="n">
        <f aca="false">H8+H10+H24</f>
        <v>556.410145951488</v>
      </c>
      <c r="I11" s="0" t="n">
        <f aca="false">I8+I10+I24</f>
        <v>573.102450330032</v>
      </c>
      <c r="J11" s="0" t="n">
        <f aca="false">J8+J10+J24</f>
        <v>590.295523839933</v>
      </c>
      <c r="K11" s="0" t="n">
        <f aca="false">K8+K10+K24</f>
        <v>608.004389555131</v>
      </c>
      <c r="L11" s="0" t="n">
        <f aca="false">L8+L10+L24</f>
        <v>626.244521241785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-226.3025952</v>
      </c>
      <c r="D12" s="4" t="n">
        <f aca="false">-D6*Assumptions!D45/100</f>
        <v>-244.406802816</v>
      </c>
      <c r="E12" s="4" t="n">
        <f aca="false">-E6*Assumptions!E45/100</f>
        <v>-261.51527901312</v>
      </c>
      <c r="F12" s="4" t="n">
        <f aca="false">-F6*Assumptions!F45/100</f>
        <v>-274.591042963776</v>
      </c>
      <c r="G12" s="4" t="n">
        <f aca="false">-G6*Assumptions!G45/100</f>
        <v>-285.574684682327</v>
      </c>
      <c r="H12" s="4" t="n">
        <f aca="false">-H6*Assumptions!H45/100</f>
        <v>-295.569798646209</v>
      </c>
      <c r="I12" s="4" t="n">
        <f aca="false">-I6*Assumptions!I45/100</f>
        <v>-304.436892605595</v>
      </c>
      <c r="J12" s="4" t="n">
        <f aca="false">-J6*Assumptions!J45/100</f>
        <v>-313.569999383763</v>
      </c>
      <c r="K12" s="4" t="n">
        <f aca="false">-K6*Assumptions!K45/100</f>
        <v>-322.977099365276</v>
      </c>
      <c r="L12" s="4" t="n">
        <f aca="false">-L6*Assumptions!L45/100</f>
        <v>-332.666412346234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182.739345624</v>
      </c>
      <c r="D13" s="0" t="n">
        <f aca="false">D11+D12</f>
        <v>206.52374837952</v>
      </c>
      <c r="E13" s="0" t="n">
        <f aca="false">E11+E12</f>
        <v>230.787233729078</v>
      </c>
      <c r="F13" s="0" t="n">
        <f aca="false">F11+F12</f>
        <v>242.326595415532</v>
      </c>
      <c r="G13" s="0" t="n">
        <f aca="false">G11+G12</f>
        <v>252.019659232154</v>
      </c>
      <c r="H13" s="0" t="n">
        <f aca="false">H11+H12</f>
        <v>260.840347305279</v>
      </c>
      <c r="I13" s="0" t="n">
        <f aca="false">I11+I12</f>
        <v>268.665557724437</v>
      </c>
      <c r="J13" s="0" t="n">
        <f aca="false">J11+J12</f>
        <v>276.725524456171</v>
      </c>
      <c r="K13" s="0" t="n">
        <f aca="false">K11+K12</f>
        <v>285.027290189856</v>
      </c>
      <c r="L13" s="0" t="n">
        <f aca="false">L11+L12</f>
        <v>293.578108895551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30</v>
      </c>
      <c r="D14" s="4" t="n">
        <f aca="false">Assumptions!D47</f>
        <v>30</v>
      </c>
      <c r="E14" s="4" t="n">
        <f aca="false">Assumptions!E47</f>
        <v>30</v>
      </c>
      <c r="F14" s="4" t="n">
        <f aca="false">Assumptions!F47</f>
        <v>30</v>
      </c>
      <c r="G14" s="4" t="n">
        <f aca="false">Assumptions!G47</f>
        <v>30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127.9175419368</v>
      </c>
      <c r="D15" s="0" t="n">
        <f aca="false">D13-MAX(0,D13)*D14/100</f>
        <v>144.566623865664</v>
      </c>
      <c r="E15" s="0" t="n">
        <f aca="false">E13-MAX(0,E13)*E14/100</f>
        <v>161.551063610355</v>
      </c>
      <c r="F15" s="0" t="n">
        <f aca="false">F13-MAX(0,F13)*F14/100</f>
        <v>169.628616790873</v>
      </c>
      <c r="G15" s="0" t="n">
        <f aca="false">G13-MAX(0,G13)*G14/100</f>
        <v>176.413761462508</v>
      </c>
      <c r="H15" s="0" t="n">
        <f aca="false">H13-MAX(0,H13)*H14/100</f>
        <v>182.588243113695</v>
      </c>
      <c r="I15" s="0" t="n">
        <f aca="false">I13-MAX(0,I13)*I14/100</f>
        <v>188.065890407106</v>
      </c>
      <c r="J15" s="0" t="n">
        <f aca="false">J13-MAX(0,J13)*J14/100</f>
        <v>193.707867119319</v>
      </c>
      <c r="K15" s="0" t="n">
        <f aca="false">K13-MAX(0,K13)*K14/100</f>
        <v>199.519103132899</v>
      </c>
      <c r="L15" s="0" t="n">
        <f aca="false">L13-MAX(0,L13)*L14/100</f>
        <v>205.504676226886</v>
      </c>
    </row>
    <row r="16" customFormat="false" ht="15" hidden="false" customHeight="false" outlineLevel="0" collapsed="false">
      <c r="A16" s="0" t="s">
        <v>120</v>
      </c>
      <c r="C16" s="0" t="n">
        <f aca="false">-C12</f>
        <v>226.3025952</v>
      </c>
      <c r="D16" s="0" t="n">
        <f aca="false">-D12</f>
        <v>244.406802816</v>
      </c>
      <c r="E16" s="0" t="n">
        <f aca="false">-E12</f>
        <v>261.51527901312</v>
      </c>
      <c r="F16" s="0" t="n">
        <f aca="false">-F12</f>
        <v>274.591042963776</v>
      </c>
      <c r="G16" s="0" t="n">
        <f aca="false">-G12</f>
        <v>285.574684682327</v>
      </c>
      <c r="H16" s="0" t="n">
        <f aca="false">-H12</f>
        <v>295.569798646209</v>
      </c>
      <c r="I16" s="0" t="n">
        <f aca="false">-I12</f>
        <v>304.436892605595</v>
      </c>
      <c r="J16" s="0" t="n">
        <f aca="false">-J12</f>
        <v>313.569999383763</v>
      </c>
      <c r="K16" s="0" t="n">
        <f aca="false">-K12</f>
        <v>322.977099365276</v>
      </c>
      <c r="L16" s="0" t="n">
        <f aca="false">-L12</f>
        <v>332.666412346234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-254.5904196</v>
      </c>
      <c r="D17" s="4" t="n">
        <f aca="false">-D6*Assumptions!D46/100</f>
        <v>-274.957653168</v>
      </c>
      <c r="E17" s="4" t="n">
        <f aca="false">-E6*Assumptions!E46/100</f>
        <v>-294.20468888976</v>
      </c>
      <c r="F17" s="4" t="n">
        <f aca="false">-F6*Assumptions!F46/100</f>
        <v>-302.050147260154</v>
      </c>
      <c r="G17" s="4" t="n">
        <f aca="false">-G6*Assumptions!G46/100</f>
        <v>-314.13215315056</v>
      </c>
      <c r="H17" s="4" t="n">
        <f aca="false">-H6*Assumptions!H46/100</f>
        <v>-317.737533544674</v>
      </c>
      <c r="I17" s="4" t="n">
        <f aca="false">-I6*Assumptions!I46/100</f>
        <v>-327.269659551014</v>
      </c>
      <c r="J17" s="4" t="n">
        <f aca="false">-J6*Assumptions!J46/100</f>
        <v>-333.168124345248</v>
      </c>
      <c r="K17" s="4" t="n">
        <f aca="false">-K6*Assumptions!K46/100</f>
        <v>-343.163168075605</v>
      </c>
      <c r="L17" s="4" t="n">
        <f aca="false">-L6*Assumptions!L46/100</f>
        <v>-353.458063117873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-6.2861832</v>
      </c>
      <c r="D18" s="4" t="n">
        <f aca="false">(D6-C6)*Assumptions!$B$51/100</f>
        <v>-6.78907785600001</v>
      </c>
      <c r="E18" s="4" t="n">
        <f aca="false">(E6-D6)*Assumptions!$B$51/100</f>
        <v>-6.41567857392</v>
      </c>
      <c r="F18" s="4" t="n">
        <f aca="false">(F6-E6)*Assumptions!$B$51/100</f>
        <v>-4.903411481496</v>
      </c>
      <c r="G18" s="4" t="n">
        <f aca="false">(G6-F6)*Assumptions!$B$51/100</f>
        <v>-4.11886564445664</v>
      </c>
      <c r="H18" s="4" t="n">
        <f aca="false">(H6-G6)*Assumptions!$B$51/100</f>
        <v>-3.74816773645553</v>
      </c>
      <c r="I18" s="4" t="n">
        <f aca="false">(I6-H6)*Assumptions!$B$51/100</f>
        <v>-3.32516023476985</v>
      </c>
      <c r="J18" s="4" t="n">
        <f aca="false">(J6-I6)*Assumptions!$B$51/100</f>
        <v>-3.42491504181295</v>
      </c>
      <c r="K18" s="4" t="n">
        <f aca="false">(K6-J6)*Assumptions!$B$51/100</f>
        <v>-3.52766249306733</v>
      </c>
      <c r="L18" s="4" t="n">
        <f aca="false">(L6-K6)*Assumptions!$B$51/100</f>
        <v>-3.63349236785934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93.3435343368</v>
      </c>
      <c r="D19" s="0" t="n">
        <f aca="false">D15+D16+D17+D18</f>
        <v>107.226695657664</v>
      </c>
      <c r="E19" s="0" t="n">
        <f aca="false">E15+E16+E17+E18</f>
        <v>122.445975159795</v>
      </c>
      <c r="F19" s="0" t="n">
        <f aca="false">F15+F16+F17+F18</f>
        <v>137.266101012999</v>
      </c>
      <c r="G19" s="0" t="n">
        <f aca="false">G15+G16+G17+G18</f>
        <v>143.737427349818</v>
      </c>
      <c r="H19" s="0" t="n">
        <f aca="false">H15+H16+H17+H18</f>
        <v>156.672340478774</v>
      </c>
      <c r="I19" s="0" t="n">
        <f aca="false">I15+I16+I17+I18</f>
        <v>161.907963226917</v>
      </c>
      <c r="J19" s="0" t="n">
        <f aca="false">J15+J16+J17+J18</f>
        <v>170.684827116021</v>
      </c>
      <c r="K19" s="0" t="n">
        <f aca="false">K15+K16+K17+K18</f>
        <v>175.805371929502</v>
      </c>
      <c r="L19" s="0" t="n">
        <f aca="false">L15+L16+L17+L18</f>
        <v>181.079533087387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84.857758488</v>
      </c>
      <c r="D21" s="0" t="n">
        <f aca="false">D19*D20</f>
        <v>88.6171038493091</v>
      </c>
      <c r="E21" s="0" t="n">
        <f aca="false">E19*E20</f>
        <v>91.9954734483809</v>
      </c>
      <c r="F21" s="0" t="n">
        <f aca="false">F19*F20</f>
        <v>93.7545939573792</v>
      </c>
      <c r="G21" s="0" t="n">
        <f aca="false">G19*G20</f>
        <v>89.2496335631683</v>
      </c>
      <c r="H21" s="0" t="n">
        <f aca="false">H19*H20</f>
        <v>88.4374517607771</v>
      </c>
      <c r="I21" s="0" t="n">
        <f aca="false">I19*I20</f>
        <v>83.084385736091</v>
      </c>
      <c r="J21" s="0" t="n">
        <f aca="false">J19*J20</f>
        <v>79.6257315394463</v>
      </c>
      <c r="K21" s="0" t="n">
        <f aca="false">K19*K20</f>
        <v>74.5586395323906</v>
      </c>
      <c r="L21" s="0" t="n">
        <f aca="false">L19*L20</f>
        <v>69.8139988348748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0.24</v>
      </c>
      <c r="D23" s="4" t="n">
        <f aca="false">Assumptions!D44</f>
        <v>0.24</v>
      </c>
      <c r="E23" s="4" t="n">
        <f aca="false">Assumptions!E44</f>
        <v>0.24</v>
      </c>
      <c r="F23" s="4" t="n">
        <f aca="false">Assumptions!F44</f>
        <v>0.24</v>
      </c>
      <c r="G23" s="4" t="n">
        <f aca="false">Assumptions!G44</f>
        <v>0.24</v>
      </c>
      <c r="H23" s="4" t="n">
        <f aca="false">Assumptions!H44</f>
        <v>0.24</v>
      </c>
      <c r="I23" s="4" t="n">
        <f aca="false">Assumptions!I44</f>
        <v>0.24</v>
      </c>
      <c r="J23" s="4" t="n">
        <f aca="false">Assumptions!J44</f>
        <v>0.24</v>
      </c>
      <c r="K23" s="4" t="n">
        <f aca="false">Assumptions!K44</f>
        <v>0.24</v>
      </c>
      <c r="L23" s="4" t="n">
        <f aca="false">Assumptions!L44</f>
        <v>0.24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-6.789077856</v>
      </c>
      <c r="D24" s="0" t="n">
        <f aca="false">-D6*D23/100</f>
        <v>-7.33220408448</v>
      </c>
      <c r="E24" s="0" t="n">
        <f aca="false">-E6*E23/100</f>
        <v>-7.8454583703936</v>
      </c>
      <c r="F24" s="0" t="n">
        <f aca="false">-F6*F23/100</f>
        <v>-8.23773128891328</v>
      </c>
      <c r="G24" s="0" t="n">
        <f aca="false">-G6*G23/100</f>
        <v>-8.56724054046981</v>
      </c>
      <c r="H24" s="0" t="n">
        <f aca="false">-H6*H23/100</f>
        <v>-8.86709395938625</v>
      </c>
      <c r="I24" s="0" t="n">
        <f aca="false">-I6*I23/100</f>
        <v>-9.13310677816784</v>
      </c>
      <c r="J24" s="0" t="n">
        <f aca="false">-J6*J23/100</f>
        <v>-9.40709998151288</v>
      </c>
      <c r="K24" s="0" t="n">
        <f aca="false">-K6*K23/100</f>
        <v>-9.68931298095826</v>
      </c>
      <c r="L24" s="0" t="n">
        <f aca="false">-L6*L23/100</f>
        <v>-9.97999237038701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843.994770709817</v>
      </c>
    </row>
    <row r="31" customFormat="false" ht="15" hidden="false" customHeight="false" outlineLevel="0" collapsed="false">
      <c r="A31" s="0" t="s">
        <v>129</v>
      </c>
      <c r="B31" s="0" t="n">
        <f aca="false">L19</f>
        <v>181.079533087387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2474.75361886095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2535.11346322342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2474.75361886095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954.124650743289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1798.11942145311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1781.81142145311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0.818948023678057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-0.245209194766768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42.5911840590681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43.8212451570517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0.858664509539422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1484.85217131657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0.469984531574567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0.272202925255185</v>
      </c>
      <c r="C4" s="0" t="n">
        <f aca="false">B4/Assumptions!$B$2-1</f>
        <v>-0.749121727875405</v>
      </c>
      <c r="D4" s="4" t="n">
        <f aca="false">Assumptions!$B$24</f>
        <v>0.25</v>
      </c>
      <c r="E4" s="4" t="n">
        <f aca="false">DCF_Bear!$B$43</f>
        <v>0.300558504921888</v>
      </c>
      <c r="F4" s="4" t="n">
        <f aca="false">DCF_Bear!$B$47</f>
        <v>0.189717360313375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0.49975467052002</v>
      </c>
      <c r="C5" s="0" t="n">
        <f aca="false">B5/Assumptions!$B$2-1</f>
        <v>-0.539396617032239</v>
      </c>
      <c r="D5" s="4" t="n">
        <f aca="false">Assumptions!$B$38</f>
        <v>0.5</v>
      </c>
      <c r="E5" s="4" t="n">
        <f aca="false">DCF_Base!$B$43</f>
        <v>0.535466452769471</v>
      </c>
      <c r="F5" s="4" t="n">
        <f aca="false">DCF_Base!$B$47</f>
        <v>0.311660861349366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0.818948023678057</v>
      </c>
      <c r="C6" s="0" t="n">
        <f aca="false">B6/Assumptions!$B$2-1</f>
        <v>-0.245209194766768</v>
      </c>
      <c r="D6" s="4" t="n">
        <f aca="false">Assumptions!$B$52</f>
        <v>0.25</v>
      </c>
      <c r="E6" s="4" t="n">
        <f aca="false">DCF_Bull!$B$43</f>
        <v>0.858664509539422</v>
      </c>
      <c r="F6" s="4" t="n">
        <f aca="false">DCF_Bull!$B$47</f>
        <v>0.469984531574567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0.522665072493321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0.557538980000063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-1.0758991887943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1612.48041217624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0.320755903646669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0.535563046912552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0.49975467052002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0.467008766542665</v>
      </c>
      <c r="C17" s="3" t="n">
        <v>11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0.416493391383404</v>
      </c>
      <c r="C18" s="3" t="n">
        <v>12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0.311660861349366</v>
      </c>
      <c r="C19" s="3" t="n">
        <v>15</v>
      </c>
    </row>
    <row r="21" customFormat="false" ht="15" hidden="false" customHeight="false" outlineLevel="0" collapsed="false">
      <c r="A21" s="2" t="s">
        <v>165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0.574767793250424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0.574767793250424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0.574767793250424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0.574767793250424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0.574767793250424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0.535563046912552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0.535563046912552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0.535563046912552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0.535563046912552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0.535563046912552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0.498559844879977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0.49975467052002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0.49975467052002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0.49975467052002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0.49975467052002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0.442594879746802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0.454639063899428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0.467008766542665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0.467008766542665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0.467008766542665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0.397447329186543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0.406494208730052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0.416493391383404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0.427603594331573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0.437027427189395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2026-09-23T08:53:04Z</dcterms:created>
  <dc:creator>openpyxl</dc:creator>
  <dc:description/>
  <dc:language>en-NZ</dc:language>
  <cp:lastModifiedBy/>
  <dcterms:modified xsi:type="dcterms:W3CDTF">2026-09-23T08:53:04Z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