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Base Case" sheetId="2" r:id="rId2"/>
    <sheet name="Bull Case" sheetId="3" r:id="rId3"/>
    <sheet name="Bear Case" sheetId="4" r:id="rId4"/>
    <sheet name="Sensitivity" sheetId="5" r:id="rId5"/>
    <sheet name="Historical" sheetId="6" r:id="rId6"/>
  </sheets>
  <calcPr calcId="124519" fullCalcOnLoad="1"/>
</workbook>
</file>

<file path=xl/sharedStrings.xml><?xml version="1.0" encoding="utf-8"?>
<sst xmlns="http://schemas.openxmlformats.org/spreadsheetml/2006/main" count="200" uniqueCount="88">
  <si>
    <t>NU (Nu Holdings) - DCF Valuation Summary</t>
  </si>
  <si>
    <t>Distributable-Earnings Bank Model | Discounted at Cost of Equity | net_debt = 0</t>
  </si>
  <si>
    <t>Current Price</t>
  </si>
  <si>
    <t>Shares Outstanding (M)</t>
  </si>
  <si>
    <t>Base Year TTM Net Income (M)</t>
  </si>
  <si>
    <t>Bear</t>
  </si>
  <si>
    <t>Base</t>
  </si>
  <si>
    <t>Bull</t>
  </si>
  <si>
    <t>Intrinsic Value / Share</t>
  </si>
  <si>
    <t>Upside / (Downside)</t>
  </si>
  <si>
    <t>Entry Price (15% IRR)</t>
  </si>
  <si>
    <t>Terminal Value % of Equity Value</t>
  </si>
  <si>
    <t>Implied Exit P/E (Yr5 NI)</t>
  </si>
  <si>
    <t>PROBABILITY-WEIGHTED VALUATION</t>
  </si>
  <si>
    <t>Weight - Bear</t>
  </si>
  <si>
    <t>Weight - Base</t>
  </si>
  <si>
    <t>Weight - Bull</t>
  </si>
  <si>
    <t>Weighted Intrinsic Value</t>
  </si>
  <si>
    <t>Weighted Upside / (Downside)</t>
  </si>
  <si>
    <t>Note: current TTM P/E is ~21.7x. All three scenarios imply exit P/E multiples</t>
  </si>
  <si>
    <t>well below today's multiple (7-10x), so the model does NOT assume multiple expansion.</t>
  </si>
  <si>
    <t>NU DCF - Base Case (Distributable Earnings Model)</t>
  </si>
  <si>
    <t>Gray cells are INPUTS - adjust to see valuation change. Bank equity model: net_debt=0, discount at Cost of Equity.</t>
  </si>
  <si>
    <t>KEY INPUTS</t>
  </si>
  <si>
    <t>Current Stock Price</t>
  </si>
  <si>
    <t>Net Debt (M) [bank: 0]</t>
  </si>
  <si>
    <t>Base Year Net Income - TTM (M)</t>
  </si>
  <si>
    <t>Cost of Equity (CoE)</t>
  </si>
  <si>
    <t>Terminal Growth Rate</t>
  </si>
  <si>
    <t>Terminal (Mature) ROE</t>
  </si>
  <si>
    <t>Exit P/E Cap (on Yr5 NI)</t>
  </si>
  <si>
    <t>GROWTH &amp; ROE ASSUMPTIONS</t>
  </si>
  <si>
    <t>Year 1</t>
  </si>
  <si>
    <t>Year 2</t>
  </si>
  <si>
    <t>Year 3</t>
  </si>
  <si>
    <t>Year 4</t>
  </si>
  <si>
    <t>Year 5</t>
  </si>
  <si>
    <t>NI Growth Rate</t>
  </si>
  <si>
    <t>ROE (period)</t>
  </si>
  <si>
    <t>PROJECTIONS (Net Income &amp; Distributable Earnings, $M)</t>
  </si>
  <si>
    <t>Net Income</t>
  </si>
  <si>
    <t>Retention Ratio (=Growth/ROE, capped 0-100%)</t>
  </si>
  <si>
    <t>Payout Ratio</t>
  </si>
  <si>
    <t>Distributable Earnings</t>
  </si>
  <si>
    <t>Discount Factor (at CoE)</t>
  </si>
  <si>
    <t>PV of Distributable Earnings</t>
  </si>
  <si>
    <t>VALUATION</t>
  </si>
  <si>
    <t>Sum of PV of Distributable Earnings</t>
  </si>
  <si>
    <t>Terminal Retention (=TermG/TermROE)</t>
  </si>
  <si>
    <t>Terminal Payout Ratio</t>
  </si>
  <si>
    <t>Net Income Year 6 (=NI Yr5 * (1+TermG))</t>
  </si>
  <si>
    <t>Terminal Distributable Earnings (Yr6)</t>
  </si>
  <si>
    <t>Gordon Terminal Value</t>
  </si>
  <si>
    <t>Exit P/E Cap Value (=ExitPE x NI Yr5)</t>
  </si>
  <si>
    <t>Terminal Value (=MIN(Gordon, Exit P/E Cap))</t>
  </si>
  <si>
    <t>PV of Terminal Value</t>
  </si>
  <si>
    <t>Equity Value (=SumPV + PVTerminal - NetDebt)</t>
  </si>
  <si>
    <t>INTRINSIC VALUE / SHARE</t>
  </si>
  <si>
    <t>Upside / (Downside) vs Current Price</t>
  </si>
  <si>
    <t>Implied Exit P/E (on Yr5 NI)</t>
  </si>
  <si>
    <t>ENTRY PRICE (15% IRR Target)</t>
  </si>
  <si>
    <t>Hurdle Rate</t>
  </si>
  <si>
    <t>PV of Yrs 1-5 Distributable @ Hurdle</t>
  </si>
  <si>
    <t>PV of Terminal Value @ Hurdle</t>
  </si>
  <si>
    <t>Less: Net Debt</t>
  </si>
  <si>
    <t>Discount of Entry Price vs Current</t>
  </si>
  <si>
    <t>NU DCF - Bull Case (Distributable Earnings Model)</t>
  </si>
  <si>
    <t>NU DCF - Bear Case (Distributable Earnings Model)</t>
  </si>
  <si>
    <t>Sensitivity Analysis - Base Case</t>
  </si>
  <si>
    <t>Intrinsic Value by Cost of Equity &amp; Terminal Growth</t>
  </si>
  <si>
    <t>CoE \ Term G</t>
  </si>
  <si>
    <t>Note: matrix computed with base-case growth path, ROE path and exit P/E cap;</t>
  </si>
  <si>
    <t>only Cost of Equity and Terminal Growth are varied (matches DCF JSON sensitivity block).</t>
  </si>
  <si>
    <t>Historical Growth Rates (Hypergrowth Era - Decelerated in Model)</t>
  </si>
  <si>
    <t>Metric</t>
  </si>
  <si>
    <t>CAGR / Growth</t>
  </si>
  <si>
    <t>Revenue 3yr CAGR (FY22-FY25)</t>
  </si>
  <si>
    <t>Revenue 5yr CAGR (FY20-FY25)</t>
  </si>
  <si>
    <t>Equity 3yr CAGR (FY22-FY25)</t>
  </si>
  <si>
    <t>Equity 5yr CAGR (FY20-FY25)</t>
  </si>
  <si>
    <t>EPS 2yr CAGR since profitability (FY23-FY25)</t>
  </si>
  <si>
    <t>Net Income 2yr CAGR (FY23-FY25)</t>
  </si>
  <si>
    <t>Growth Rate Source:</t>
  </si>
  <si>
    <t>net_income_growth_path (decelerating: 35% -&gt; 28% -&gt; 22% -&gt; 18% -&gt; 15%), not a single historical CAGR</t>
  </si>
  <si>
    <t>Growth Divergence Warning:</t>
  </si>
  <si>
    <t>Revenue 3yr CAGR (48.8%), equity 3yr CAGR (32.2%) and net income 2yr CAGR (66.9%) all reflect NU's hypergrowth 2022-2025 era and diverge sharply from each other and from any sustainable long-run rate. All historical CAGRs are decelerated aggressively in the projection (base case starts at 35% net income growth in Y1, well below trailing rates, and falls to 15% by Y5, then further to 3.75% terminal growth) per analyst consensus of ~30% near-term EPS growth fading over time.</t>
  </si>
  <si>
    <t>FCF Note:</t>
  </si>
  <si>
    <t>Not applicable/meaningful - NU is a deposit-funded bank; operating cash flow is dominated by deposit inflows and loan growth, not owner FCF. Distributable earnings used instead (see valuation_philosophy).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</si>
</sst>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,##0.0"/>
    <numFmt numFmtId="166" formatCode="0.0%"/>
  </numFmts>
  <fonts count="9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984E3"/>
      <name val="Calibri"/>
      <family val="2"/>
      <scheme val="minor"/>
    </font>
    <font>
      <b/>
      <sz val="16"/>
      <color rgb="FF00B894"/>
      <name val="Calibri"/>
      <family val="2"/>
      <scheme val="minor"/>
    </font>
    <font>
      <b/>
      <sz val="16"/>
      <color rgb="FFD6303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D3436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D630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1" xfId="0" applyNumberFormat="1" applyBorder="1"/>
    <xf numFmtId="165" fontId="0" fillId="0" borderId="1" xfId="0" applyNumberFormat="1" applyBorder="1"/>
    <xf numFmtId="0" fontId="4" fillId="2" borderId="1" xfId="0" applyFont="1" applyFill="1" applyBorder="1"/>
    <xf numFmtId="166" fontId="0" fillId="0" borderId="1" xfId="0" applyNumberFormat="1" applyBorder="1"/>
    <xf numFmtId="0" fontId="5" fillId="0" borderId="2" xfId="0" applyFont="1" applyBorder="1"/>
    <xf numFmtId="166" fontId="0" fillId="3" borderId="1" xfId="0" applyNumberFormat="1" applyFill="1" applyBorder="1"/>
    <xf numFmtId="164" fontId="4" fillId="4" borderId="1" xfId="0" applyNumberFormat="1" applyFont="1" applyFill="1" applyBorder="1"/>
    <xf numFmtId="0" fontId="6" fillId="0" borderId="0" xfId="0" applyFont="1"/>
    <xf numFmtId="165" fontId="0" fillId="3" borderId="1" xfId="0" applyNumberFormat="1" applyFill="1" applyBorder="1"/>
    <xf numFmtId="164" fontId="4" fillId="5" borderId="1" xfId="0" applyNumberFormat="1" applyFont="1" applyFill="1" applyBorder="1"/>
    <xf numFmtId="0" fontId="7" fillId="0" borderId="0" xfId="0" applyFont="1"/>
    <xf numFmtId="0" fontId="8" fillId="0" borderId="0" xfId="0" applyFont="1"/>
    <xf numFmtId="164" fontId="4" fillId="6" borderId="1" xfId="0" applyNumberFormat="1" applyFont="1" applyFill="1" applyBorder="1"/>
    <xf numFmtId="166" fontId="4" fillId="2" borderId="0" xfId="0" applyNumberFormat="1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0.7109375" customWidth="1"/>
    <col min="2" max="5" width="16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4">
        <v>14.09</v>
      </c>
    </row>
    <row r="5" spans="1:4">
      <c r="A5" s="3" t="s">
        <v>3</v>
      </c>
      <c r="B5" s="5">
        <v>4910.3</v>
      </c>
    </row>
    <row r="6" spans="1:4">
      <c r="A6" s="3" t="s">
        <v>4</v>
      </c>
      <c r="B6" s="5">
        <v>3183.8</v>
      </c>
    </row>
    <row r="8" spans="1:4">
      <c r="A8" s="6"/>
      <c r="B8" s="6" t="s">
        <v>5</v>
      </c>
      <c r="C8" s="6" t="s">
        <v>6</v>
      </c>
      <c r="D8" s="6" t="s">
        <v>7</v>
      </c>
    </row>
    <row r="9" spans="1:4">
      <c r="A9" t="s">
        <v>8</v>
      </c>
      <c r="B9" s="4">
        <f>'Bear Case'!B40</f>
        <v>0</v>
      </c>
      <c r="C9" s="4">
        <f>'Base Case'!B40</f>
        <v>0</v>
      </c>
      <c r="D9" s="4">
        <f>'Bull Case'!B40</f>
        <v>0</v>
      </c>
    </row>
    <row r="10" spans="1:4">
      <c r="A10" t="s">
        <v>9</v>
      </c>
      <c r="B10" s="7">
        <f>'Bear Case'!B41</f>
        <v>0</v>
      </c>
      <c r="C10" s="7">
        <f>'Base Case'!B41</f>
        <v>0</v>
      </c>
      <c r="D10" s="7">
        <f>'Bull Case'!B41</f>
        <v>0</v>
      </c>
    </row>
    <row r="11" spans="1:4">
      <c r="A11" t="s">
        <v>10</v>
      </c>
      <c r="B11" s="4">
        <f>'Bear Case'!B50</f>
        <v>0</v>
      </c>
      <c r="C11" s="4">
        <f>'Base Case'!B50</f>
        <v>0</v>
      </c>
      <c r="D11" s="4">
        <f>'Bull Case'!B50</f>
        <v>0</v>
      </c>
    </row>
    <row r="12" spans="1:4">
      <c r="A12" t="s">
        <v>11</v>
      </c>
      <c r="B12" s="7">
        <f>'Bear Case'!B42</f>
        <v>0</v>
      </c>
      <c r="C12" s="7">
        <f>'Base Case'!B42</f>
        <v>0</v>
      </c>
      <c r="D12" s="7">
        <f>'Bull Case'!B42</f>
        <v>0</v>
      </c>
    </row>
    <row r="13" spans="1:4">
      <c r="A13" t="s">
        <v>12</v>
      </c>
      <c r="B13" s="5">
        <f>'Bear Case'!B43</f>
        <v>0</v>
      </c>
      <c r="C13" s="5">
        <f>'Base Case'!B43</f>
        <v>0</v>
      </c>
      <c r="D13" s="5">
        <f>'Bull Case'!B43</f>
        <v>0</v>
      </c>
    </row>
    <row r="15" spans="1:4">
      <c r="A15" s="8" t="s">
        <v>13</v>
      </c>
    </row>
    <row r="16" spans="1:4">
      <c r="A16" t="s">
        <v>14</v>
      </c>
      <c r="B16" s="9">
        <v>0.25</v>
      </c>
    </row>
    <row r="17" spans="1:2">
      <c r="A17" t="s">
        <v>15</v>
      </c>
      <c r="B17" s="9">
        <v>0.5</v>
      </c>
    </row>
    <row r="18" spans="1:2">
      <c r="A18" t="s">
        <v>16</v>
      </c>
      <c r="B18" s="9">
        <v>0.25</v>
      </c>
    </row>
    <row r="19" spans="1:2">
      <c r="A19" s="3" t="s">
        <v>17</v>
      </c>
      <c r="B19" s="10">
        <f>B9*B16+C9*B17+D9*B18</f>
        <v>0</v>
      </c>
    </row>
    <row r="20" spans="1:2">
      <c r="A20" s="3" t="s">
        <v>18</v>
      </c>
      <c r="B20" s="7">
        <f>(B19-B4)/B4</f>
        <v>0</v>
      </c>
    </row>
    <row r="22" spans="1:2">
      <c r="A22" t="s">
        <v>19</v>
      </c>
    </row>
    <row r="23" spans="1:2">
      <c r="A2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cols>
    <col min="1" max="1" width="32.7109375" customWidth="1"/>
    <col min="2" max="8" width="13.7109375" customWidth="1"/>
  </cols>
  <sheetData>
    <row r="1" spans="1:6">
      <c r="A1" s="11" t="s">
        <v>21</v>
      </c>
    </row>
    <row r="2" spans="1:6">
      <c r="A2" s="2" t="s">
        <v>22</v>
      </c>
    </row>
    <row r="4" spans="1:6">
      <c r="A4" s="8" t="s">
        <v>23</v>
      </c>
    </row>
    <row r="5" spans="1:6">
      <c r="A5" t="s">
        <v>24</v>
      </c>
      <c r="B5" s="12">
        <v>14.09</v>
      </c>
    </row>
    <row r="6" spans="1:6">
      <c r="A6" t="s">
        <v>3</v>
      </c>
      <c r="B6" s="12">
        <v>4910.3</v>
      </c>
    </row>
    <row r="7" spans="1:6">
      <c r="A7" t="s">
        <v>25</v>
      </c>
      <c r="B7" s="12">
        <v>0</v>
      </c>
    </row>
    <row r="8" spans="1:6">
      <c r="A8" t="s">
        <v>26</v>
      </c>
      <c r="B8" s="12">
        <v>3183.8</v>
      </c>
    </row>
    <row r="10" spans="1:6">
      <c r="A10" t="s">
        <v>27</v>
      </c>
      <c r="B10" s="9">
        <v>0.135</v>
      </c>
    </row>
    <row r="11" spans="1:6">
      <c r="A11" t="s">
        <v>28</v>
      </c>
      <c r="B11" s="9">
        <v>0.0375</v>
      </c>
    </row>
    <row r="12" spans="1:6">
      <c r="A12" t="s">
        <v>29</v>
      </c>
      <c r="B12" s="9">
        <v>0.22</v>
      </c>
    </row>
    <row r="13" spans="1:6">
      <c r="A13" t="s">
        <v>30</v>
      </c>
      <c r="B13" s="12">
        <v>18</v>
      </c>
    </row>
    <row r="15" spans="1:6">
      <c r="A15" s="8" t="s">
        <v>31</v>
      </c>
    </row>
    <row r="16" spans="1:6">
      <c r="A16" s="6"/>
      <c r="B16" s="6" t="s">
        <v>32</v>
      </c>
      <c r="C16" s="6" t="s">
        <v>33</v>
      </c>
      <c r="D16" s="6" t="s">
        <v>34</v>
      </c>
      <c r="E16" s="6" t="s">
        <v>35</v>
      </c>
      <c r="F16" s="6" t="s">
        <v>36</v>
      </c>
    </row>
    <row r="17" spans="1:6">
      <c r="A17" t="s">
        <v>37</v>
      </c>
      <c r="B17" s="9">
        <v>0.35</v>
      </c>
      <c r="C17" s="9">
        <v>0.28</v>
      </c>
      <c r="D17" s="9">
        <v>0.22</v>
      </c>
      <c r="E17" s="9">
        <v>0.18</v>
      </c>
      <c r="F17" s="9">
        <v>0.15</v>
      </c>
    </row>
    <row r="18" spans="1:6">
      <c r="A18" t="s">
        <v>38</v>
      </c>
      <c r="B18" s="9">
        <v>0.28</v>
      </c>
      <c r="C18" s="9">
        <v>0.27</v>
      </c>
      <c r="D18" s="9">
        <v>0.26</v>
      </c>
      <c r="E18" s="9">
        <v>0.255</v>
      </c>
      <c r="F18" s="9">
        <v>0.25</v>
      </c>
    </row>
    <row r="20" spans="1:6">
      <c r="A20" s="8" t="s">
        <v>39</v>
      </c>
    </row>
    <row r="21" spans="1:6">
      <c r="A21" s="6"/>
      <c r="B21" s="6" t="s">
        <v>32</v>
      </c>
      <c r="C21" s="6" t="s">
        <v>33</v>
      </c>
      <c r="D21" s="6" t="s">
        <v>34</v>
      </c>
      <c r="E21" s="6" t="s">
        <v>35</v>
      </c>
      <c r="F21" s="6" t="s">
        <v>36</v>
      </c>
    </row>
    <row r="22" spans="1:6">
      <c r="A22" t="s">
        <v>40</v>
      </c>
      <c r="B22" s="5">
        <f>B8*(1+B17)</f>
        <v>0</v>
      </c>
      <c r="C22" s="5">
        <f>B22*(1+C17)</f>
        <v>0</v>
      </c>
      <c r="D22" s="5">
        <f>C22*(1+D17)</f>
        <v>0</v>
      </c>
      <c r="E22" s="5">
        <f>D22*(1+E17)</f>
        <v>0</v>
      </c>
      <c r="F22" s="5">
        <f>E22*(1+F17)</f>
        <v>0</v>
      </c>
    </row>
    <row r="23" spans="1:6">
      <c r="A23" t="s">
        <v>41</v>
      </c>
      <c r="B23" s="7">
        <f>MIN(1,MAX(0,B17/B18))</f>
        <v>0</v>
      </c>
      <c r="C23" s="7">
        <f>MIN(1,MAX(0,C17/C18))</f>
        <v>0</v>
      </c>
      <c r="D23" s="7">
        <f>MIN(1,MAX(0,D17/D18))</f>
        <v>0</v>
      </c>
      <c r="E23" s="7">
        <f>MIN(1,MAX(0,E17/E18))</f>
        <v>0</v>
      </c>
      <c r="F23" s="7">
        <f>MIN(1,MAX(0,F17/F18))</f>
        <v>0</v>
      </c>
    </row>
    <row r="24" spans="1:6">
      <c r="A24" t="s">
        <v>42</v>
      </c>
      <c r="B24" s="7">
        <f>1-B23</f>
        <v>0</v>
      </c>
      <c r="C24" s="7">
        <f>1-C23</f>
        <v>0</v>
      </c>
      <c r="D24" s="7">
        <f>1-D23</f>
        <v>0</v>
      </c>
      <c r="E24" s="7">
        <f>1-E23</f>
        <v>0</v>
      </c>
      <c r="F24" s="7">
        <f>1-F23</f>
        <v>0</v>
      </c>
    </row>
    <row r="25" spans="1:6">
      <c r="A25" t="s">
        <v>43</v>
      </c>
      <c r="B25" s="5">
        <f>B22*B24</f>
        <v>0</v>
      </c>
      <c r="C25" s="5">
        <f>C22*C24</f>
        <v>0</v>
      </c>
      <c r="D25" s="5">
        <f>D22*D24</f>
        <v>0</v>
      </c>
      <c r="E25" s="5">
        <f>E22*E24</f>
        <v>0</v>
      </c>
      <c r="F25" s="5">
        <f>F22*F24</f>
        <v>0</v>
      </c>
    </row>
    <row r="26" spans="1:6">
      <c r="A26" t="s">
        <v>44</v>
      </c>
      <c r="B26" s="5">
        <f>1/(1+$B$10)^1</f>
        <v>0</v>
      </c>
      <c r="C26" s="5">
        <f>1/(1+$B$10)^2</f>
        <v>0</v>
      </c>
      <c r="D26" s="5">
        <f>1/(1+$B$10)^3</f>
        <v>0</v>
      </c>
      <c r="E26" s="5">
        <f>1/(1+$B$10)^4</f>
        <v>0</v>
      </c>
      <c r="F26" s="5">
        <f>1/(1+$B$10)^5</f>
        <v>0</v>
      </c>
    </row>
    <row r="27" spans="1:6">
      <c r="A27" t="s">
        <v>45</v>
      </c>
      <c r="B27" s="5">
        <f>B25*B26</f>
        <v>0</v>
      </c>
      <c r="C27" s="5">
        <f>C25*C26</f>
        <v>0</v>
      </c>
      <c r="D27" s="5">
        <f>D25*D26</f>
        <v>0</v>
      </c>
      <c r="E27" s="5">
        <f>E25*E26</f>
        <v>0</v>
      </c>
      <c r="F27" s="5">
        <f>F25*F26</f>
        <v>0</v>
      </c>
    </row>
    <row r="29" spans="1:6">
      <c r="A29" s="8" t="s">
        <v>46</v>
      </c>
    </row>
    <row r="30" spans="1:6">
      <c r="A30" t="s">
        <v>47</v>
      </c>
      <c r="B30" s="5">
        <f>SUM(B27:F27)</f>
        <v>0</v>
      </c>
    </row>
    <row r="31" spans="1:6">
      <c r="A31" t="s">
        <v>48</v>
      </c>
      <c r="B31" s="7">
        <f>MIN(1,MAX(0,B11/B12))</f>
        <v>0</v>
      </c>
    </row>
    <row r="32" spans="1:6">
      <c r="A32" t="s">
        <v>49</v>
      </c>
      <c r="B32" s="7">
        <f>1-B31</f>
        <v>0</v>
      </c>
    </row>
    <row r="33" spans="1:2">
      <c r="A33" t="s">
        <v>50</v>
      </c>
      <c r="B33" s="5">
        <f>F22*(1+B11)</f>
        <v>0</v>
      </c>
    </row>
    <row r="34" spans="1:2">
      <c r="A34" t="s">
        <v>51</v>
      </c>
      <c r="B34" s="5">
        <f>B33*B32</f>
        <v>0</v>
      </c>
    </row>
    <row r="35" spans="1:2">
      <c r="A35" t="s">
        <v>52</v>
      </c>
      <c r="B35" s="5">
        <f>B34/(B10-B11)</f>
        <v>0</v>
      </c>
    </row>
    <row r="36" spans="1:2">
      <c r="A36" t="s">
        <v>53</v>
      </c>
      <c r="B36" s="5">
        <f>B13*F22</f>
        <v>0</v>
      </c>
    </row>
    <row r="37" spans="1:2">
      <c r="A37" t="s">
        <v>54</v>
      </c>
      <c r="B37" s="5">
        <f>MIN(B35,B36)</f>
        <v>0</v>
      </c>
    </row>
    <row r="38" spans="1:2">
      <c r="A38" t="s">
        <v>55</v>
      </c>
      <c r="B38" s="5">
        <f>B37*F26</f>
        <v>0</v>
      </c>
    </row>
    <row r="39" spans="1:2">
      <c r="A39" t="s">
        <v>56</v>
      </c>
      <c r="B39" s="5">
        <f>B30+B38-B7</f>
        <v>0</v>
      </c>
    </row>
    <row r="40" spans="1:2">
      <c r="A40" s="3" t="s">
        <v>57</v>
      </c>
      <c r="B40" s="13">
        <f>B39/B6</f>
        <v>0</v>
      </c>
    </row>
    <row r="41" spans="1:2">
      <c r="A41" t="s">
        <v>58</v>
      </c>
      <c r="B41" s="7">
        <f>(B40-B5)/B5</f>
        <v>0</v>
      </c>
    </row>
    <row r="42" spans="1:2">
      <c r="A42" t="s">
        <v>11</v>
      </c>
      <c r="B42" s="7">
        <f>B38/B39</f>
        <v>0</v>
      </c>
    </row>
    <row r="43" spans="1:2">
      <c r="A43" t="s">
        <v>59</v>
      </c>
      <c r="B43" s="5">
        <f>B37/F22</f>
        <v>0</v>
      </c>
    </row>
    <row r="45" spans="1:2">
      <c r="A45" s="8" t="s">
        <v>60</v>
      </c>
    </row>
    <row r="46" spans="1:2">
      <c r="A46" t="s">
        <v>61</v>
      </c>
      <c r="B46" s="9">
        <v>0.15</v>
      </c>
    </row>
    <row r="47" spans="1:2">
      <c r="A47" t="s">
        <v>62</v>
      </c>
      <c r="B47" s="5">
        <f>NPV(B46,B25:F25)</f>
        <v>0</v>
      </c>
    </row>
    <row r="48" spans="1:2">
      <c r="A48" t="s">
        <v>63</v>
      </c>
      <c r="B48" s="5">
        <f>B37/(1+B46)^5</f>
        <v>0</v>
      </c>
    </row>
    <row r="49" spans="1:2">
      <c r="A49" t="s">
        <v>64</v>
      </c>
      <c r="B49" s="5">
        <f>B7</f>
        <v>0</v>
      </c>
    </row>
    <row r="50" spans="1:2">
      <c r="A50" t="s">
        <v>10</v>
      </c>
      <c r="B50" s="13">
        <f>(B47+B48-B49)/B6</f>
        <v>0</v>
      </c>
    </row>
    <row r="51" spans="1:2">
      <c r="A51" t="s">
        <v>65</v>
      </c>
      <c r="B51" s="7">
        <f>(B5-B50)/B5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cols>
    <col min="1" max="1" width="32.7109375" customWidth="1"/>
    <col min="2" max="8" width="13.7109375" customWidth="1"/>
  </cols>
  <sheetData>
    <row r="1" spans="1:6">
      <c r="A1" s="14" t="s">
        <v>66</v>
      </c>
    </row>
    <row r="2" spans="1:6">
      <c r="A2" s="2" t="s">
        <v>22</v>
      </c>
    </row>
    <row r="4" spans="1:6">
      <c r="A4" s="8" t="s">
        <v>23</v>
      </c>
    </row>
    <row r="5" spans="1:6">
      <c r="A5" t="s">
        <v>24</v>
      </c>
      <c r="B5" s="12">
        <v>14.09</v>
      </c>
    </row>
    <row r="6" spans="1:6">
      <c r="A6" t="s">
        <v>3</v>
      </c>
      <c r="B6" s="12">
        <v>4910.3</v>
      </c>
    </row>
    <row r="7" spans="1:6">
      <c r="A7" t="s">
        <v>25</v>
      </c>
      <c r="B7" s="12">
        <v>0</v>
      </c>
    </row>
    <row r="8" spans="1:6">
      <c r="A8" t="s">
        <v>26</v>
      </c>
      <c r="B8" s="12">
        <v>3183.8</v>
      </c>
    </row>
    <row r="10" spans="1:6">
      <c r="A10" t="s">
        <v>27</v>
      </c>
      <c r="B10" s="9">
        <v>0.125</v>
      </c>
    </row>
    <row r="11" spans="1:6">
      <c r="A11" t="s">
        <v>28</v>
      </c>
      <c r="B11" s="9">
        <v>0.04</v>
      </c>
    </row>
    <row r="12" spans="1:6">
      <c r="A12" t="s">
        <v>29</v>
      </c>
      <c r="B12" s="9">
        <v>0.25</v>
      </c>
    </row>
    <row r="13" spans="1:6">
      <c r="A13" t="s">
        <v>30</v>
      </c>
      <c r="B13" s="12">
        <v>24</v>
      </c>
    </row>
    <row r="15" spans="1:6">
      <c r="A15" s="8" t="s">
        <v>31</v>
      </c>
    </row>
    <row r="16" spans="1:6">
      <c r="A16" s="6"/>
      <c r="B16" s="6" t="s">
        <v>32</v>
      </c>
      <c r="C16" s="6" t="s">
        <v>33</v>
      </c>
      <c r="D16" s="6" t="s">
        <v>34</v>
      </c>
      <c r="E16" s="6" t="s">
        <v>35</v>
      </c>
      <c r="F16" s="6" t="s">
        <v>36</v>
      </c>
    </row>
    <row r="17" spans="1:6">
      <c r="A17" t="s">
        <v>37</v>
      </c>
      <c r="B17" s="9">
        <v>0.42</v>
      </c>
      <c r="C17" s="9">
        <v>0.35</v>
      </c>
      <c r="D17" s="9">
        <v>0.29</v>
      </c>
      <c r="E17" s="9">
        <v>0.25</v>
      </c>
      <c r="F17" s="9">
        <v>0.22</v>
      </c>
    </row>
    <row r="18" spans="1:6">
      <c r="A18" t="s">
        <v>38</v>
      </c>
      <c r="B18" s="9">
        <v>0.3</v>
      </c>
      <c r="C18" s="9">
        <v>0.295</v>
      </c>
      <c r="D18" s="9">
        <v>0.29</v>
      </c>
      <c r="E18" s="9">
        <v>0.285</v>
      </c>
      <c r="F18" s="9">
        <v>0.28</v>
      </c>
    </row>
    <row r="20" spans="1:6">
      <c r="A20" s="8" t="s">
        <v>39</v>
      </c>
    </row>
    <row r="21" spans="1:6">
      <c r="A21" s="6"/>
      <c r="B21" s="6" t="s">
        <v>32</v>
      </c>
      <c r="C21" s="6" t="s">
        <v>33</v>
      </c>
      <c r="D21" s="6" t="s">
        <v>34</v>
      </c>
      <c r="E21" s="6" t="s">
        <v>35</v>
      </c>
      <c r="F21" s="6" t="s">
        <v>36</v>
      </c>
    </row>
    <row r="22" spans="1:6">
      <c r="A22" t="s">
        <v>40</v>
      </c>
      <c r="B22" s="5">
        <f>B8*(1+B17)</f>
        <v>0</v>
      </c>
      <c r="C22" s="5">
        <f>B22*(1+C17)</f>
        <v>0</v>
      </c>
      <c r="D22" s="5">
        <f>C22*(1+D17)</f>
        <v>0</v>
      </c>
      <c r="E22" s="5">
        <f>D22*(1+E17)</f>
        <v>0</v>
      </c>
      <c r="F22" s="5">
        <f>E22*(1+F17)</f>
        <v>0</v>
      </c>
    </row>
    <row r="23" spans="1:6">
      <c r="A23" t="s">
        <v>41</v>
      </c>
      <c r="B23" s="7">
        <f>MIN(1,MAX(0,B17/B18))</f>
        <v>0</v>
      </c>
      <c r="C23" s="7">
        <f>MIN(1,MAX(0,C17/C18))</f>
        <v>0</v>
      </c>
      <c r="D23" s="7">
        <f>MIN(1,MAX(0,D17/D18))</f>
        <v>0</v>
      </c>
      <c r="E23" s="7">
        <f>MIN(1,MAX(0,E17/E18))</f>
        <v>0</v>
      </c>
      <c r="F23" s="7">
        <f>MIN(1,MAX(0,F17/F18))</f>
        <v>0</v>
      </c>
    </row>
    <row r="24" spans="1:6">
      <c r="A24" t="s">
        <v>42</v>
      </c>
      <c r="B24" s="7">
        <f>1-B23</f>
        <v>0</v>
      </c>
      <c r="C24" s="7">
        <f>1-C23</f>
        <v>0</v>
      </c>
      <c r="D24" s="7">
        <f>1-D23</f>
        <v>0</v>
      </c>
      <c r="E24" s="7">
        <f>1-E23</f>
        <v>0</v>
      </c>
      <c r="F24" s="7">
        <f>1-F23</f>
        <v>0</v>
      </c>
    </row>
    <row r="25" spans="1:6">
      <c r="A25" t="s">
        <v>43</v>
      </c>
      <c r="B25" s="5">
        <f>B22*B24</f>
        <v>0</v>
      </c>
      <c r="C25" s="5">
        <f>C22*C24</f>
        <v>0</v>
      </c>
      <c r="D25" s="5">
        <f>D22*D24</f>
        <v>0</v>
      </c>
      <c r="E25" s="5">
        <f>E22*E24</f>
        <v>0</v>
      </c>
      <c r="F25" s="5">
        <f>F22*F24</f>
        <v>0</v>
      </c>
    </row>
    <row r="26" spans="1:6">
      <c r="A26" t="s">
        <v>44</v>
      </c>
      <c r="B26" s="5">
        <f>1/(1+$B$10)^1</f>
        <v>0</v>
      </c>
      <c r="C26" s="5">
        <f>1/(1+$B$10)^2</f>
        <v>0</v>
      </c>
      <c r="D26" s="5">
        <f>1/(1+$B$10)^3</f>
        <v>0</v>
      </c>
      <c r="E26" s="5">
        <f>1/(1+$B$10)^4</f>
        <v>0</v>
      </c>
      <c r="F26" s="5">
        <f>1/(1+$B$10)^5</f>
        <v>0</v>
      </c>
    </row>
    <row r="27" spans="1:6">
      <c r="A27" t="s">
        <v>45</v>
      </c>
      <c r="B27" s="5">
        <f>B25*B26</f>
        <v>0</v>
      </c>
      <c r="C27" s="5">
        <f>C25*C26</f>
        <v>0</v>
      </c>
      <c r="D27" s="5">
        <f>D25*D26</f>
        <v>0</v>
      </c>
      <c r="E27" s="5">
        <f>E25*E26</f>
        <v>0</v>
      </c>
      <c r="F27" s="5">
        <f>F25*F26</f>
        <v>0</v>
      </c>
    </row>
    <row r="29" spans="1:6">
      <c r="A29" s="8" t="s">
        <v>46</v>
      </c>
    </row>
    <row r="30" spans="1:6">
      <c r="A30" t="s">
        <v>47</v>
      </c>
      <c r="B30" s="5">
        <f>SUM(B27:F27)</f>
        <v>0</v>
      </c>
    </row>
    <row r="31" spans="1:6">
      <c r="A31" t="s">
        <v>48</v>
      </c>
      <c r="B31" s="7">
        <f>MIN(1,MAX(0,B11/B12))</f>
        <v>0</v>
      </c>
    </row>
    <row r="32" spans="1:6">
      <c r="A32" t="s">
        <v>49</v>
      </c>
      <c r="B32" s="7">
        <f>1-B31</f>
        <v>0</v>
      </c>
    </row>
    <row r="33" spans="1:2">
      <c r="A33" t="s">
        <v>50</v>
      </c>
      <c r="B33" s="5">
        <f>F22*(1+B11)</f>
        <v>0</v>
      </c>
    </row>
    <row r="34" spans="1:2">
      <c r="A34" t="s">
        <v>51</v>
      </c>
      <c r="B34" s="5">
        <f>B33*B32</f>
        <v>0</v>
      </c>
    </row>
    <row r="35" spans="1:2">
      <c r="A35" t="s">
        <v>52</v>
      </c>
      <c r="B35" s="5">
        <f>B34/(B10-B11)</f>
        <v>0</v>
      </c>
    </row>
    <row r="36" spans="1:2">
      <c r="A36" t="s">
        <v>53</v>
      </c>
      <c r="B36" s="5">
        <f>B13*F22</f>
        <v>0</v>
      </c>
    </row>
    <row r="37" spans="1:2">
      <c r="A37" t="s">
        <v>54</v>
      </c>
      <c r="B37" s="5">
        <f>MIN(B35,B36)</f>
        <v>0</v>
      </c>
    </row>
    <row r="38" spans="1:2">
      <c r="A38" t="s">
        <v>55</v>
      </c>
      <c r="B38" s="5">
        <f>B37*F26</f>
        <v>0</v>
      </c>
    </row>
    <row r="39" spans="1:2">
      <c r="A39" t="s">
        <v>56</v>
      </c>
      <c r="B39" s="5">
        <f>B30+B38-B7</f>
        <v>0</v>
      </c>
    </row>
    <row r="40" spans="1:2">
      <c r="A40" s="3" t="s">
        <v>57</v>
      </c>
      <c r="B40" s="10">
        <f>B39/B6</f>
        <v>0</v>
      </c>
    </row>
    <row r="41" spans="1:2">
      <c r="A41" t="s">
        <v>58</v>
      </c>
      <c r="B41" s="7">
        <f>(B40-B5)/B5</f>
        <v>0</v>
      </c>
    </row>
    <row r="42" spans="1:2">
      <c r="A42" t="s">
        <v>11</v>
      </c>
      <c r="B42" s="7">
        <f>B38/B39</f>
        <v>0</v>
      </c>
    </row>
    <row r="43" spans="1:2">
      <c r="A43" t="s">
        <v>59</v>
      </c>
      <c r="B43" s="5">
        <f>B37/F22</f>
        <v>0</v>
      </c>
    </row>
    <row r="45" spans="1:2">
      <c r="A45" s="8" t="s">
        <v>60</v>
      </c>
    </row>
    <row r="46" spans="1:2">
      <c r="A46" t="s">
        <v>61</v>
      </c>
      <c r="B46" s="9">
        <v>0.15</v>
      </c>
    </row>
    <row r="47" spans="1:2">
      <c r="A47" t="s">
        <v>62</v>
      </c>
      <c r="B47" s="5">
        <f>NPV(B46,B25:F25)</f>
        <v>0</v>
      </c>
    </row>
    <row r="48" spans="1:2">
      <c r="A48" t="s">
        <v>63</v>
      </c>
      <c r="B48" s="5">
        <f>B37/(1+B46)^5</f>
        <v>0</v>
      </c>
    </row>
    <row r="49" spans="1:2">
      <c r="A49" t="s">
        <v>64</v>
      </c>
      <c r="B49" s="5">
        <f>B7</f>
        <v>0</v>
      </c>
    </row>
    <row r="50" spans="1:2">
      <c r="A50" t="s">
        <v>10</v>
      </c>
      <c r="B50" s="10">
        <f>(B47+B48-B49)/B6</f>
        <v>0</v>
      </c>
    </row>
    <row r="51" spans="1:2">
      <c r="A51" t="s">
        <v>65</v>
      </c>
      <c r="B51" s="7">
        <f>(B5-B50)/B5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cols>
    <col min="1" max="1" width="32.7109375" customWidth="1"/>
    <col min="2" max="8" width="13.7109375" customWidth="1"/>
  </cols>
  <sheetData>
    <row r="1" spans="1:6">
      <c r="A1" s="15" t="s">
        <v>67</v>
      </c>
    </row>
    <row r="2" spans="1:6">
      <c r="A2" s="2" t="s">
        <v>22</v>
      </c>
    </row>
    <row r="4" spans="1:6">
      <c r="A4" s="8" t="s">
        <v>23</v>
      </c>
    </row>
    <row r="5" spans="1:6">
      <c r="A5" t="s">
        <v>24</v>
      </c>
      <c r="B5" s="12">
        <v>14.09</v>
      </c>
    </row>
    <row r="6" spans="1:6">
      <c r="A6" t="s">
        <v>3</v>
      </c>
      <c r="B6" s="12">
        <v>4910.3</v>
      </c>
    </row>
    <row r="7" spans="1:6">
      <c r="A7" t="s">
        <v>25</v>
      </c>
      <c r="B7" s="12">
        <v>0</v>
      </c>
    </row>
    <row r="8" spans="1:6">
      <c r="A8" t="s">
        <v>26</v>
      </c>
      <c r="B8" s="12">
        <v>3183.8</v>
      </c>
    </row>
    <row r="10" spans="1:6">
      <c r="A10" t="s">
        <v>27</v>
      </c>
      <c r="B10" s="9">
        <v>0.15</v>
      </c>
    </row>
    <row r="11" spans="1:6">
      <c r="A11" t="s">
        <v>28</v>
      </c>
      <c r="B11" s="9">
        <v>0.03</v>
      </c>
    </row>
    <row r="12" spans="1:6">
      <c r="A12" t="s">
        <v>29</v>
      </c>
      <c r="B12" s="9">
        <v>0.18</v>
      </c>
    </row>
    <row r="13" spans="1:6">
      <c r="A13" t="s">
        <v>30</v>
      </c>
      <c r="B13" s="12">
        <v>12</v>
      </c>
    </row>
    <row r="15" spans="1:6">
      <c r="A15" s="8" t="s">
        <v>31</v>
      </c>
    </row>
    <row r="16" spans="1:6">
      <c r="A16" s="6"/>
      <c r="B16" s="6" t="s">
        <v>32</v>
      </c>
      <c r="C16" s="6" t="s">
        <v>33</v>
      </c>
      <c r="D16" s="6" t="s">
        <v>34</v>
      </c>
      <c r="E16" s="6" t="s">
        <v>35</v>
      </c>
      <c r="F16" s="6" t="s">
        <v>36</v>
      </c>
    </row>
    <row r="17" spans="1:6">
      <c r="A17" t="s">
        <v>37</v>
      </c>
      <c r="B17" s="9">
        <v>-0.05</v>
      </c>
      <c r="C17" s="9">
        <v>0.05</v>
      </c>
      <c r="D17" s="9">
        <v>0.1</v>
      </c>
      <c r="E17" s="9">
        <v>0.14</v>
      </c>
      <c r="F17" s="9">
        <v>0.16</v>
      </c>
    </row>
    <row r="18" spans="1:6">
      <c r="A18" t="s">
        <v>38</v>
      </c>
      <c r="B18" s="9">
        <v>0.22</v>
      </c>
      <c r="C18" s="9">
        <v>0.2</v>
      </c>
      <c r="D18" s="9">
        <v>0.21</v>
      </c>
      <c r="E18" s="9">
        <v>0.22</v>
      </c>
      <c r="F18" s="9">
        <v>0.23</v>
      </c>
    </row>
    <row r="20" spans="1:6">
      <c r="A20" s="8" t="s">
        <v>39</v>
      </c>
    </row>
    <row r="21" spans="1:6">
      <c r="A21" s="6"/>
      <c r="B21" s="6" t="s">
        <v>32</v>
      </c>
      <c r="C21" s="6" t="s">
        <v>33</v>
      </c>
      <c r="D21" s="6" t="s">
        <v>34</v>
      </c>
      <c r="E21" s="6" t="s">
        <v>35</v>
      </c>
      <c r="F21" s="6" t="s">
        <v>36</v>
      </c>
    </row>
    <row r="22" spans="1:6">
      <c r="A22" t="s">
        <v>40</v>
      </c>
      <c r="B22" s="5">
        <f>B8*(1+B17)</f>
        <v>0</v>
      </c>
      <c r="C22" s="5">
        <f>B22*(1+C17)</f>
        <v>0</v>
      </c>
      <c r="D22" s="5">
        <f>C22*(1+D17)</f>
        <v>0</v>
      </c>
      <c r="E22" s="5">
        <f>D22*(1+E17)</f>
        <v>0</v>
      </c>
      <c r="F22" s="5">
        <f>E22*(1+F17)</f>
        <v>0</v>
      </c>
    </row>
    <row r="23" spans="1:6">
      <c r="A23" t="s">
        <v>41</v>
      </c>
      <c r="B23" s="7">
        <f>MIN(1,MAX(0,B17/B18))</f>
        <v>0</v>
      </c>
      <c r="C23" s="7">
        <f>MIN(1,MAX(0,C17/C18))</f>
        <v>0</v>
      </c>
      <c r="D23" s="7">
        <f>MIN(1,MAX(0,D17/D18))</f>
        <v>0</v>
      </c>
      <c r="E23" s="7">
        <f>MIN(1,MAX(0,E17/E18))</f>
        <v>0</v>
      </c>
      <c r="F23" s="7">
        <f>MIN(1,MAX(0,F17/F18))</f>
        <v>0</v>
      </c>
    </row>
    <row r="24" spans="1:6">
      <c r="A24" t="s">
        <v>42</v>
      </c>
      <c r="B24" s="7">
        <f>1-B23</f>
        <v>0</v>
      </c>
      <c r="C24" s="7">
        <f>1-C23</f>
        <v>0</v>
      </c>
      <c r="D24" s="7">
        <f>1-D23</f>
        <v>0</v>
      </c>
      <c r="E24" s="7">
        <f>1-E23</f>
        <v>0</v>
      </c>
      <c r="F24" s="7">
        <f>1-F23</f>
        <v>0</v>
      </c>
    </row>
    <row r="25" spans="1:6">
      <c r="A25" t="s">
        <v>43</v>
      </c>
      <c r="B25" s="5">
        <f>B22*B24</f>
        <v>0</v>
      </c>
      <c r="C25" s="5">
        <f>C22*C24</f>
        <v>0</v>
      </c>
      <c r="D25" s="5">
        <f>D22*D24</f>
        <v>0</v>
      </c>
      <c r="E25" s="5">
        <f>E22*E24</f>
        <v>0</v>
      </c>
      <c r="F25" s="5">
        <f>F22*F24</f>
        <v>0</v>
      </c>
    </row>
    <row r="26" spans="1:6">
      <c r="A26" t="s">
        <v>44</v>
      </c>
      <c r="B26" s="5">
        <f>1/(1+$B$10)^1</f>
        <v>0</v>
      </c>
      <c r="C26" s="5">
        <f>1/(1+$B$10)^2</f>
        <v>0</v>
      </c>
      <c r="D26" s="5">
        <f>1/(1+$B$10)^3</f>
        <v>0</v>
      </c>
      <c r="E26" s="5">
        <f>1/(1+$B$10)^4</f>
        <v>0</v>
      </c>
      <c r="F26" s="5">
        <f>1/(1+$B$10)^5</f>
        <v>0</v>
      </c>
    </row>
    <row r="27" spans="1:6">
      <c r="A27" t="s">
        <v>45</v>
      </c>
      <c r="B27" s="5">
        <f>B25*B26</f>
        <v>0</v>
      </c>
      <c r="C27" s="5">
        <f>C25*C26</f>
        <v>0</v>
      </c>
      <c r="D27" s="5">
        <f>D25*D26</f>
        <v>0</v>
      </c>
      <c r="E27" s="5">
        <f>E25*E26</f>
        <v>0</v>
      </c>
      <c r="F27" s="5">
        <f>F25*F26</f>
        <v>0</v>
      </c>
    </row>
    <row r="29" spans="1:6">
      <c r="A29" s="8" t="s">
        <v>46</v>
      </c>
    </row>
    <row r="30" spans="1:6">
      <c r="A30" t="s">
        <v>47</v>
      </c>
      <c r="B30" s="5">
        <f>SUM(B27:F27)</f>
        <v>0</v>
      </c>
    </row>
    <row r="31" spans="1:6">
      <c r="A31" t="s">
        <v>48</v>
      </c>
      <c r="B31" s="7">
        <f>MIN(1,MAX(0,B11/B12))</f>
        <v>0</v>
      </c>
    </row>
    <row r="32" spans="1:6">
      <c r="A32" t="s">
        <v>49</v>
      </c>
      <c r="B32" s="7">
        <f>1-B31</f>
        <v>0</v>
      </c>
    </row>
    <row r="33" spans="1:2">
      <c r="A33" t="s">
        <v>50</v>
      </c>
      <c r="B33" s="5">
        <f>F22*(1+B11)</f>
        <v>0</v>
      </c>
    </row>
    <row r="34" spans="1:2">
      <c r="A34" t="s">
        <v>51</v>
      </c>
      <c r="B34" s="5">
        <f>B33*B32</f>
        <v>0</v>
      </c>
    </row>
    <row r="35" spans="1:2">
      <c r="A35" t="s">
        <v>52</v>
      </c>
      <c r="B35" s="5">
        <f>B34/(B10-B11)</f>
        <v>0</v>
      </c>
    </row>
    <row r="36" spans="1:2">
      <c r="A36" t="s">
        <v>53</v>
      </c>
      <c r="B36" s="5">
        <f>B13*F22</f>
        <v>0</v>
      </c>
    </row>
    <row r="37" spans="1:2">
      <c r="A37" t="s">
        <v>54</v>
      </c>
      <c r="B37" s="5">
        <f>MIN(B35,B36)</f>
        <v>0</v>
      </c>
    </row>
    <row r="38" spans="1:2">
      <c r="A38" t="s">
        <v>55</v>
      </c>
      <c r="B38" s="5">
        <f>B37*F26</f>
        <v>0</v>
      </c>
    </row>
    <row r="39" spans="1:2">
      <c r="A39" t="s">
        <v>56</v>
      </c>
      <c r="B39" s="5">
        <f>B30+B38-B7</f>
        <v>0</v>
      </c>
    </row>
    <row r="40" spans="1:2">
      <c r="A40" s="3" t="s">
        <v>57</v>
      </c>
      <c r="B40" s="16">
        <f>B39/B6</f>
        <v>0</v>
      </c>
    </row>
    <row r="41" spans="1:2">
      <c r="A41" t="s">
        <v>58</v>
      </c>
      <c r="B41" s="7">
        <f>(B40-B5)/B5</f>
        <v>0</v>
      </c>
    </row>
    <row r="42" spans="1:2">
      <c r="A42" t="s">
        <v>11</v>
      </c>
      <c r="B42" s="7">
        <f>B38/B39</f>
        <v>0</v>
      </c>
    </row>
    <row r="43" spans="1:2">
      <c r="A43" t="s">
        <v>59</v>
      </c>
      <c r="B43" s="5">
        <f>B37/F22</f>
        <v>0</v>
      </c>
    </row>
    <row r="45" spans="1:2">
      <c r="A45" s="8" t="s">
        <v>60</v>
      </c>
    </row>
    <row r="46" spans="1:2">
      <c r="A46" t="s">
        <v>61</v>
      </c>
      <c r="B46" s="9">
        <v>0.15</v>
      </c>
    </row>
    <row r="47" spans="1:2">
      <c r="A47" t="s">
        <v>62</v>
      </c>
      <c r="B47" s="5">
        <f>NPV(B46,B25:F25)</f>
        <v>0</v>
      </c>
    </row>
    <row r="48" spans="1:2">
      <c r="A48" t="s">
        <v>63</v>
      </c>
      <c r="B48" s="5">
        <f>B37/(1+B46)^5</f>
        <v>0</v>
      </c>
    </row>
    <row r="49" spans="1:2">
      <c r="A49" t="s">
        <v>64</v>
      </c>
      <c r="B49" s="5">
        <f>B7</f>
        <v>0</v>
      </c>
    </row>
    <row r="50" spans="1:2">
      <c r="A50" t="s">
        <v>10</v>
      </c>
      <c r="B50" s="16">
        <f>(B47+B48-B49)/B6</f>
        <v>0</v>
      </c>
    </row>
    <row r="51" spans="1:2">
      <c r="A51" t="s">
        <v>65</v>
      </c>
      <c r="B51" s="7">
        <f>(B5-B50)/B5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68</v>
      </c>
    </row>
    <row r="2" spans="1:6">
      <c r="A2" t="s">
        <v>69</v>
      </c>
    </row>
    <row r="4" spans="1:6">
      <c r="A4" s="6" t="s">
        <v>70</v>
      </c>
      <c r="B4" s="17">
        <v>0.025</v>
      </c>
      <c r="C4" s="17">
        <v>0.03</v>
      </c>
      <c r="D4" s="17">
        <v>0.035</v>
      </c>
      <c r="E4" s="17">
        <v>0.04</v>
      </c>
      <c r="F4" s="17">
        <v>0.045</v>
      </c>
    </row>
    <row r="5" spans="1:6">
      <c r="A5" s="17">
        <v>0.115</v>
      </c>
      <c r="B5" s="4">
        <v>11.75</v>
      </c>
      <c r="C5" s="4">
        <v>12.15</v>
      </c>
      <c r="D5" s="4">
        <v>12.6</v>
      </c>
      <c r="E5" s="4">
        <v>13.1</v>
      </c>
      <c r="F5" s="4">
        <v>13.67</v>
      </c>
    </row>
    <row r="6" spans="1:6">
      <c r="A6" s="17">
        <v>0.125</v>
      </c>
      <c r="B6" s="4">
        <v>10.21</v>
      </c>
      <c r="C6" s="4">
        <v>10.49</v>
      </c>
      <c r="D6" s="4">
        <v>10.81</v>
      </c>
      <c r="E6" s="4">
        <v>11.16</v>
      </c>
      <c r="F6" s="4">
        <v>11.55</v>
      </c>
    </row>
    <row r="7" spans="1:6">
      <c r="A7" s="17">
        <v>0.135</v>
      </c>
      <c r="B7" s="4">
        <v>8.960000000000001</v>
      </c>
      <c r="C7" s="4">
        <v>9.17</v>
      </c>
      <c r="D7" s="4">
        <v>9.390000000000001</v>
      </c>
      <c r="E7" s="4">
        <v>9.640000000000001</v>
      </c>
      <c r="F7" s="4">
        <v>9.92</v>
      </c>
    </row>
    <row r="8" spans="1:6">
      <c r="A8" s="17">
        <v>0.145</v>
      </c>
      <c r="B8" s="4">
        <v>7.93</v>
      </c>
      <c r="C8" s="4">
        <v>8.08</v>
      </c>
      <c r="D8" s="4">
        <v>8.25</v>
      </c>
      <c r="E8" s="4">
        <v>8.43</v>
      </c>
      <c r="F8" s="4">
        <v>8.630000000000001</v>
      </c>
    </row>
    <row r="9" spans="1:6">
      <c r="A9" s="17">
        <v>0.155</v>
      </c>
      <c r="B9" s="4">
        <v>7.07</v>
      </c>
      <c r="C9" s="4">
        <v>7.19</v>
      </c>
      <c r="D9" s="4">
        <v>7.31</v>
      </c>
      <c r="E9" s="4">
        <v>7.44</v>
      </c>
      <c r="F9" s="4">
        <v>7.58</v>
      </c>
    </row>
    <row r="11" spans="1:6">
      <c r="A11" s="18" t="s">
        <v>71</v>
      </c>
    </row>
    <row r="12" spans="1:6">
      <c r="A12" s="18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8.7109375" customWidth="1"/>
    <col min="2" max="3" width="15.7109375" customWidth="1"/>
  </cols>
  <sheetData>
    <row r="1" spans="1:2">
      <c r="A1" s="1" t="s">
        <v>73</v>
      </c>
    </row>
    <row r="3" spans="1:2">
      <c r="A3" s="6" t="s">
        <v>74</v>
      </c>
      <c r="B3" s="6" t="s">
        <v>75</v>
      </c>
    </row>
    <row r="4" spans="1:2">
      <c r="A4" t="s">
        <v>76</v>
      </c>
      <c r="B4" s="7">
        <v>0.488</v>
      </c>
    </row>
    <row r="5" spans="1:2">
      <c r="A5" t="s">
        <v>77</v>
      </c>
      <c r="B5" s="7">
        <v>0.845</v>
      </c>
    </row>
    <row r="6" spans="1:2">
      <c r="A6" t="s">
        <v>78</v>
      </c>
      <c r="B6" s="7">
        <v>0.322</v>
      </c>
    </row>
    <row r="7" spans="1:2">
      <c r="A7" t="s">
        <v>79</v>
      </c>
      <c r="B7" s="7">
        <v>0.915</v>
      </c>
    </row>
    <row r="8" spans="1:2">
      <c r="A8" t="s">
        <v>80</v>
      </c>
      <c r="B8" s="7">
        <v>0.66</v>
      </c>
    </row>
    <row r="9" spans="1:2">
      <c r="A9" t="s">
        <v>81</v>
      </c>
      <c r="B9" s="7">
        <v>0.669</v>
      </c>
    </row>
    <row r="11" spans="1:2">
      <c r="A11" s="3" t="s">
        <v>82</v>
      </c>
    </row>
    <row r="12" spans="1:2">
      <c r="A12" s="18" t="s">
        <v>83</v>
      </c>
    </row>
    <row r="14" spans="1:2">
      <c r="A14" s="3" t="s">
        <v>84</v>
      </c>
    </row>
    <row r="15" spans="1:2" ht="90" customHeight="1">
      <c r="A15" s="18" t="s">
        <v>85</v>
      </c>
    </row>
    <row r="17" spans="1:1">
      <c r="A17" s="3" t="s">
        <v>86</v>
      </c>
    </row>
    <row r="18" spans="1:1" ht="60" customHeight="1">
      <c r="A18" s="1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Base Case</vt:lpstr>
      <vt:lpstr>Bull Case</vt:lpstr>
      <vt:lpstr>Bear Case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2026-07-27T05:48:53Z</dcterms:created>
  <dcterms:modified xsi:type="dcterms:W3CDTF">2026-07-27T05:48:53Z</dcterms:modified>
</cp:coreProperties>
</file>