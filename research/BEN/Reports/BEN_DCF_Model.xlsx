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<sst xmlns="http://schemas.openxmlformats.org/spreadsheetml/2006/main" count="390" uniqueCount="175">
  <si>
    <t xml:space="preserve">Ticker</t>
  </si>
  <si>
    <t xml:space="preserve">BEN</t>
  </si>
  <si>
    <t xml:space="preserve">Company</t>
  </si>
  <si>
    <t xml:space="preserve">Franklin Templeton, Inc. (formerly Franklin Resources, Inc.)</t>
  </si>
  <si>
    <t xml:space="preserve">Valuation date</t>
  </si>
  <si>
    <t xml:space="preserve">2026-09-26</t>
  </si>
  <si>
    <t xml:space="preserve">Current price</t>
  </si>
  <si>
    <t xml:space="preserve">Price as of</t>
  </si>
  <si>
    <t xml:space="preserve">2026-09-25T20:00:02Z regular close (Yahoo Finance chart API); 52-week range 21.11-36.28</t>
  </si>
  <si>
    <t xml:space="preserve">Balance sheet date</t>
  </si>
  <si>
    <t xml:space="preserve">2025-09-30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</si>
  <si>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</si>
  <si>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</si>
  <si>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</si>
  <si>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</si>
  <si>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</si>
  <si>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</si>
  <si>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</si>
  <si>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</si>
  <si>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</si>
  <si>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</si>
  <si>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2026-09-25T23:22:11Z</t>
  </si>
  <si>
    <t xml:space="preserve">Drivers file</t>
  </si>
  <si>
    <t xml:space="preserve">BEN_Drivers.json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</si>
  <si>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</si>
  <si>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</si>
  <si>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</si>
  <si>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Franklin Templeton is valued as an operating company on an owner-FCF DCF, not a bank/insurer/REIT model, because its AUM-based management fees translate into genuine distributable free cash flow with no deposit funding or post-interest AFFO complication. The build strips the company's non-operating investment income (dividend/interest/gains on its seed-capital and CLO-sponsor portfolio) from the FCF base and restores the matching $2,374.0M investment asset in the equity bridge, so that income stream is valued once, at its own balance-sheet value, rather than capitalized twice inside a growing FCF stream. Consolidated Investment Products (CLOs and seed vehicles Franklin must consolidate under VIE rules) are excluded entirely from both the flows and the balance sheet -- they are non-recourse structures substantially funded by third-party debt and redeemable non-controlling interests, not Franklin's economic assets. FY2025 is used as the base year despite being a trough (Western Asset scandal outflows, Putnam integration costs, intangible impairments) because it is the last complete, audited fiscal year; the base case explicitly models recovery from that trough rather than extrapolating either the depressed margin or the flattering record-AUM headline from the unaudited FY2026 interim quarters. A sanity-check pass (scripts/sanity_check.py) tripped on an implied P/E of 63.4x against a 10-year average of 19.2x; the fix raised WACC to 10.5% (+1.0pp for regulatory single-point-of-failure risk) and capped the growth path to taper to the through-cycle revenue CAGR (1.94%, FY2007-2025) by the outer projection years, rather than sustaining a rate above it in perpetuity. See inputs.notes for the full fix record.
key_risks_to_valuation: A second reputational/redemption shock at another affiliate, echoing the Western Asset trade-allocation scandal, given the multi-boutique model's reliance on affiliate-level trust; Structural active-to-passive fee compression continuing to erode the effective fee rate even as AUM grows, capping margin recovery below the base case's ~22% target; AUM's direct exposure to equity/credit market levels -- a market drawdown mechanically cuts fee revenue with a largely fixed compensation/distribution cost base; Further intangible impairments on legacy or acquired affiliates (Putnam, Western Asset) if their AUM bases continue to shrink, which would repeat the FY2024-25 pattern this model treats as a one-off; Integration execution risk across the recent serial acquisitions (Putnam 2024, Lexington 2022, Benefit Street Partners 2019) consuming more management attention and cost than guided</t>
  </si>
  <si>
    <t xml:space="preserve">Data sources</t>
  </si>
  <si>
    <t xml:space="preserve">price: Yahoo Finance chart API at inputs.price_as_of
financials: SEC EDGAR XBRL companyfacts API (CIK 0000038777) and FY2025 10-K (accession 0000038777-25-000238, filed 2025-11-10) MD&amp;A and financial statements; research/BEN/Reports/BEN_Metrics.csv cross-checked
qualitative: research/BEN/Reports/BEN_Analysis.json</t>
  </si>
  <si>
    <t xml:space="preserve">Scenario narrative: bear</t>
  </si>
  <si>
    <t xml:space="preserve">A fresh redemption wave or market drawdown reaccelerates AUM/fee pressure, the fixed cost base cannot flex down fast enough, a further impairment on a legacy affiliate occurs, and the market never re-rates the stock above a discounted, single-digit terminal multiple.</t>
  </si>
  <si>
    <t xml:space="preserve">Scenario narrative: base</t>
  </si>
  <si>
    <t xml:space="preserve">AUM stabilizes and grows mid-single-digits as Western Asset outflows continue to ease without fully resolving, alternatives/ETF/SMA platforms keep taking share of the mix, and margin recovers gradually from the FY2025 trough toward a ~22% mid-cycle EBITDA margin as integration costs and impairments roll off.</t>
  </si>
  <si>
    <t xml:space="preserve">Scenario narrative: bull</t>
  </si>
  <si>
    <t xml:space="preserve">Western Asset fully stabilizes, alternatives/ETF/Canvas/digital-assets growth accelerates well beyond plan, institutional pipeline converts, and operating leverage pushes margin into the high-20s%, closer to management's own long-run target.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</si>
  <si>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</si>
  <si>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</si>
  <si>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</si>
  <si>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</si>
  <si>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</si>
  <si>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</si>
  <si>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</si>
  <si>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</si>
  <si>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</si>
  <si>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</si>
  <si>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</si>
  <si>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</si>
  <si>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</si>
  <si>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</si>
  <si>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</si>
  <si>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</si>
  <si>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</si>
  <si>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</si>
  <si>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</si>
  <si>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</si>
  <si>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</si>
  <si>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</si>
  <si>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</si>
  <si>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</si>
  <si>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</si>
  <si>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</si>
  <si>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</si>
  <si>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</si>
  <si>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</si>
  <si>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</si>
  <si>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</si>
  <si>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</si>
  <si>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</si>
  <si>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</si>
  <si>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</si>
  <si>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</si>
  <si>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</si>
  <si>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</si>
  <si>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</si>
  <si>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</si>
  <si>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</si>
  <si>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</si>
  <si>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</si>
  <si>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</si>
  <si>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</si>
  <si>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</si>
  <si>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</si>
  <si>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</si>
  <si>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</si>
  <si>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</si>
  <si>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</si>
  <si>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</si>
  <si>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</si>
  <si>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</si>
  <si>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</si>
  <si>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</si>
  <si>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</si>
  <si>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</si>
  <si>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</si>
  <si>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</si>
  <si>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</si>
  <si>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</si>
  <si>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</si>
  <si>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</si>
  <si>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</si>
  <si>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</si>
  <si>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</si>
  <si>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</si>
  <si>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</si>
  <si>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</si>
  <si>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</si>
  <si>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</si>
  <si>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</si>
  <si>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</si>
  <si>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</si>
  <si>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</si>
  <si>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</si>
  <si>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</si>
  <si>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</si>
  <si>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</si>
  <si>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</si>
  <si>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</si>
  <si>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</si>
  <si>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</si>
  <si>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BEN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</si>
  <si>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</si>
  <si>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</si>
  <si>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</si>
  <si>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</si>
  <si>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</si>
  <si>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</si>
  <si>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</si>
  <si>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</si>
  <si>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</si>
  <si>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</si>
  <si>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</si>
  <si>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</si>
  <si>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</si>
  <si>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</si>
  <si>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</si>
  <si>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</si>
  <si>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</si>
  <si>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</si>
  <si>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</si>
  <si>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</si>
  <si>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</si>
  <si>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</si>
  <si>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</si>
  <si>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</si>
  <si>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</si>
  <si>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</si>
  <si>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</si>
  <si>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</si>
  <si>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</si>
  <si>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</si>
  <si>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BEN owner-FCF component DCF: base case (millions, USD)</t>
  </si>
  <si>
    <t xml:space="preserve">BEN owner-FCF component DCF: bull case (millions, USD)</t>
  </si>
  <si>
    <t xml:space="preserve">BEN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</si>
  <si>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</si>
  <si>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</si>
  <si>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</si>
  <si>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</si>
  <si>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</si>
  <si>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</si>
  <si>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</si>
  <si>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</si>
  <si>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</si>
  <si>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</si>
  <si>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</si>
  <si>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</si>
  <si>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</si>
  <si>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</si>
  <si>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</si>
  <si>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</si>
  <si>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10.5%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</si>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</sst>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33.02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6684.728</v>
      </c>
      <c r="S2" s="0" t="n">
        <v>3310.545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6205.769</v>
      </c>
      <c r="F3" s="0" t="n">
        <v>2067.547</v>
      </c>
      <c r="G3" s="0" t="n">
        <v>33.3165317626228</v>
      </c>
      <c r="H3" s="0" t="n">
        <v>2266.166</v>
      </c>
      <c r="I3" s="0" t="n">
        <v>1772.938</v>
      </c>
      <c r="J3" s="0" t="n">
        <v>28.5691910220957</v>
      </c>
      <c r="K3" s="0" t="n">
        <v>7.11</v>
      </c>
      <c r="L3" s="0" t="n">
        <v>1673.633</v>
      </c>
      <c r="M3" s="0" t="n">
        <v>94.144</v>
      </c>
      <c r="N3" s="0" t="n">
        <v>1579.489</v>
      </c>
      <c r="O3" s="0" t="n">
        <v>7332.275</v>
      </c>
      <c r="S3" s="0" t="n">
        <v>3304.495</v>
      </c>
      <c r="U3" s="0" t="n">
        <v>90.145</v>
      </c>
      <c r="V3" s="0" t="n">
        <v>0.6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6032.386</v>
      </c>
      <c r="F4" s="0" t="n">
        <v>2099.002</v>
      </c>
      <c r="G4" s="0" t="n">
        <v>34.7955518761565</v>
      </c>
      <c r="H4" s="0" t="n">
        <v>2314.224</v>
      </c>
      <c r="I4" s="0" t="n">
        <v>1599.819</v>
      </c>
      <c r="J4" s="0" t="n">
        <v>26.5205011748254</v>
      </c>
      <c r="K4" s="0" t="n">
        <v>6.68</v>
      </c>
      <c r="L4" s="0" t="n">
        <v>1409.241</v>
      </c>
      <c r="M4" s="0" t="n">
        <v>63.498</v>
      </c>
      <c r="N4" s="0" t="n">
        <v>1345.743</v>
      </c>
      <c r="O4" s="0" t="n">
        <v>7074.364</v>
      </c>
      <c r="P4" s="0" t="n">
        <v>9176.52</v>
      </c>
      <c r="Q4" s="0" t="n">
        <v>2024.994</v>
      </c>
      <c r="R4" s="0" t="n">
        <v>118.433</v>
      </c>
      <c r="S4" s="0" t="n">
        <v>2314.818</v>
      </c>
      <c r="T4" s="0" t="n">
        <v>232.777979</v>
      </c>
      <c r="U4" s="0" t="n">
        <v>80.705</v>
      </c>
      <c r="V4" s="0" t="n">
        <v>0.8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4194.087</v>
      </c>
      <c r="F5" s="0" t="n">
        <v>1202.594</v>
      </c>
      <c r="G5" s="0" t="n">
        <v>28.6735587506888</v>
      </c>
      <c r="H5" s="0" t="n">
        <v>1383.866</v>
      </c>
      <c r="I5" s="0" t="n">
        <v>904.291</v>
      </c>
      <c r="J5" s="0" t="n">
        <v>21.5610930340739</v>
      </c>
      <c r="K5" s="0" t="n">
        <v>3.87</v>
      </c>
      <c r="L5" s="0" t="n">
        <v>641.402</v>
      </c>
      <c r="M5" s="0" t="n">
        <v>45.183</v>
      </c>
      <c r="N5" s="0" t="n">
        <v>596.219</v>
      </c>
      <c r="O5" s="0" t="n">
        <v>7634.435</v>
      </c>
      <c r="P5" s="0" t="n">
        <v>9468.463</v>
      </c>
      <c r="Q5" s="0" t="n">
        <v>1768.902</v>
      </c>
      <c r="R5" s="0" t="n">
        <v>0</v>
      </c>
      <c r="S5" s="0" t="n">
        <v>2982.539</v>
      </c>
      <c r="T5" s="0" t="n">
        <v>231.451</v>
      </c>
      <c r="U5" s="0" t="n">
        <v>84.443</v>
      </c>
      <c r="V5" s="0" t="n">
        <v>0.84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5853</v>
      </c>
      <c r="F6" s="0" t="n">
        <v>1958.7</v>
      </c>
      <c r="G6" s="0" t="n">
        <v>33.4648898001025</v>
      </c>
      <c r="H6" s="0" t="n">
        <v>2226.1</v>
      </c>
      <c r="I6" s="0" t="n">
        <v>1451.5</v>
      </c>
      <c r="J6" s="0" t="n">
        <v>24.7992482487613</v>
      </c>
      <c r="K6" s="0" t="n">
        <v>6.36</v>
      </c>
      <c r="L6" s="0" t="n">
        <v>1651</v>
      </c>
      <c r="M6" s="0" t="n">
        <v>-57.4</v>
      </c>
      <c r="N6" s="0" t="n">
        <v>1593.6</v>
      </c>
      <c r="O6" s="0" t="n">
        <v>7730.446</v>
      </c>
      <c r="P6" s="0" t="n">
        <v>10708.088</v>
      </c>
      <c r="Q6" s="0" t="n">
        <v>2958.109</v>
      </c>
      <c r="R6" s="0" t="n">
        <v>928.9</v>
      </c>
      <c r="S6" s="0" t="n">
        <v>3985.312</v>
      </c>
      <c r="T6" s="0" t="n">
        <v>227.4</v>
      </c>
      <c r="U6" s="0" t="n">
        <v>81.7</v>
      </c>
      <c r="V6" s="0" t="n">
        <v>3.88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7140</v>
      </c>
      <c r="F7" s="0" t="n">
        <v>2659.8</v>
      </c>
      <c r="G7" s="0" t="n">
        <v>37.2521008403361</v>
      </c>
      <c r="H7" s="0" t="n">
        <v>2748.2</v>
      </c>
      <c r="I7" s="0" t="n">
        <v>1923.6</v>
      </c>
      <c r="J7" s="0" t="n">
        <v>26.9411764705882</v>
      </c>
      <c r="K7" s="0" t="n">
        <v>2.89</v>
      </c>
      <c r="L7" s="0" t="n">
        <v>1621.8</v>
      </c>
      <c r="M7" s="0" t="n">
        <v>131.7</v>
      </c>
      <c r="N7" s="0" t="n">
        <v>1490.1</v>
      </c>
      <c r="O7" s="0" t="n">
        <v>9103.9</v>
      </c>
      <c r="P7" s="0" t="n">
        <v>13775.8</v>
      </c>
      <c r="Q7" s="0" t="n">
        <v>4653.3</v>
      </c>
      <c r="R7" s="0" t="n">
        <v>1935.261</v>
      </c>
      <c r="S7" s="0" t="n">
        <v>5198.6</v>
      </c>
      <c r="T7" s="0" t="n">
        <v>666.3</v>
      </c>
      <c r="U7" s="0" t="n">
        <v>88.7</v>
      </c>
      <c r="V7" s="0" t="n">
        <v>0.33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7101</v>
      </c>
      <c r="F8" s="0" t="n">
        <v>2515.2</v>
      </c>
      <c r="G8" s="0" t="n">
        <v>35.4203633291086</v>
      </c>
      <c r="H8" s="0" t="n">
        <v>2597.3</v>
      </c>
      <c r="I8" s="0" t="n">
        <v>1931.4</v>
      </c>
      <c r="J8" s="0" t="n">
        <v>27.1989860583017</v>
      </c>
      <c r="K8" s="0" t="n">
        <v>2.99</v>
      </c>
      <c r="L8" s="0" t="n">
        <v>1066.2</v>
      </c>
      <c r="M8" s="0" t="n">
        <v>78.4</v>
      </c>
      <c r="N8" s="0" t="n">
        <v>987.8</v>
      </c>
      <c r="O8" s="0" t="n">
        <v>9760.5</v>
      </c>
      <c r="P8" s="0" t="n">
        <v>14751.5</v>
      </c>
      <c r="Q8" s="0" t="n">
        <v>4964.3</v>
      </c>
      <c r="R8" s="0" t="n">
        <v>1566.1</v>
      </c>
      <c r="S8" s="0" t="n">
        <v>6051.4</v>
      </c>
      <c r="T8" s="0" t="n">
        <v>643.3</v>
      </c>
      <c r="U8" s="0" t="n">
        <v>101.3</v>
      </c>
      <c r="V8" s="0" t="n">
        <v>1.03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7985</v>
      </c>
      <c r="F9" s="0" t="n">
        <v>2921.3</v>
      </c>
      <c r="G9" s="0" t="n">
        <v>36.5848465873513</v>
      </c>
      <c r="H9" s="0" t="n">
        <v>3014.8</v>
      </c>
      <c r="I9" s="0" t="n">
        <v>2170.7</v>
      </c>
      <c r="J9" s="0" t="n">
        <v>27.184721352536</v>
      </c>
      <c r="K9" s="0" t="n">
        <v>3.37</v>
      </c>
      <c r="L9" s="0" t="n">
        <v>2035.7</v>
      </c>
      <c r="M9" s="0" t="n">
        <v>62.2</v>
      </c>
      <c r="N9" s="0" t="n">
        <v>1973.5</v>
      </c>
      <c r="O9" s="0" t="n">
        <v>10685.5</v>
      </c>
      <c r="P9" s="0" t="n">
        <v>15390.3</v>
      </c>
      <c r="Q9" s="0" t="n">
        <v>4583</v>
      </c>
      <c r="R9" s="0" t="n">
        <v>1197.7</v>
      </c>
      <c r="S9" s="0" t="n">
        <v>6323.1</v>
      </c>
      <c r="T9" s="0" t="n">
        <v>634.1</v>
      </c>
      <c r="U9" s="0" t="n">
        <v>113.4</v>
      </c>
      <c r="V9" s="0" t="n">
        <v>1.39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8491.4</v>
      </c>
      <c r="F10" s="0" t="n">
        <v>3221.2</v>
      </c>
      <c r="G10" s="0" t="n">
        <v>37.934851732341</v>
      </c>
      <c r="H10" s="0" t="n">
        <v>3315.8</v>
      </c>
      <c r="I10" s="0" t="n">
        <v>2411.7</v>
      </c>
      <c r="J10" s="0" t="n">
        <v>28.4016769908378</v>
      </c>
      <c r="K10" s="0" t="n">
        <v>3.79</v>
      </c>
      <c r="L10" s="0" t="n">
        <v>2138</v>
      </c>
      <c r="M10" s="0" t="n">
        <v>53.1</v>
      </c>
      <c r="N10" s="0" t="n">
        <v>2084.9</v>
      </c>
      <c r="O10" s="0" t="n">
        <v>12212.4</v>
      </c>
      <c r="P10" s="0" t="n">
        <v>16357.1</v>
      </c>
      <c r="Q10" s="0" t="n">
        <v>3909.9</v>
      </c>
      <c r="R10" s="0" t="n">
        <v>1198.2</v>
      </c>
      <c r="S10" s="0" t="n">
        <v>7596</v>
      </c>
      <c r="T10" s="0" t="n">
        <v>625.2</v>
      </c>
      <c r="U10" s="0" t="n">
        <v>127.7</v>
      </c>
      <c r="V10" s="0" t="n">
        <v>0.48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7948.7</v>
      </c>
      <c r="F11" s="0" t="n">
        <v>3027.6</v>
      </c>
      <c r="G11" s="0" t="n">
        <v>38.0892472983004</v>
      </c>
      <c r="H11" s="0" t="n">
        <v>3125</v>
      </c>
      <c r="I11" s="0" t="n">
        <v>2104.7</v>
      </c>
      <c r="J11" s="0" t="n">
        <v>26.4785436612276</v>
      </c>
      <c r="K11" s="0" t="n">
        <v>3.29</v>
      </c>
      <c r="L11" s="0" t="n">
        <v>2252</v>
      </c>
      <c r="M11" s="0" t="n">
        <v>68.8</v>
      </c>
      <c r="N11" s="0" t="n">
        <v>2183.2</v>
      </c>
      <c r="O11" s="0" t="n">
        <v>12495.8</v>
      </c>
      <c r="P11" s="0" t="n">
        <v>16335.7</v>
      </c>
      <c r="Q11" s="0" t="n">
        <v>3780.3</v>
      </c>
      <c r="R11" s="0" t="n">
        <v>1348</v>
      </c>
      <c r="S11" s="0" t="n">
        <v>8368.1</v>
      </c>
      <c r="T11" s="0" t="n">
        <v>614.9</v>
      </c>
      <c r="U11" s="0" t="n">
        <v>140</v>
      </c>
      <c r="V11" s="0" t="n">
        <v>1.1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6618</v>
      </c>
      <c r="F12" s="0" t="n">
        <v>2365.7</v>
      </c>
      <c r="G12" s="0" t="n">
        <v>35.7464490782714</v>
      </c>
      <c r="H12" s="0" t="n">
        <v>2452.8</v>
      </c>
      <c r="I12" s="0" t="n">
        <v>1757.7</v>
      </c>
      <c r="J12" s="0" t="n">
        <v>26.5593834995467</v>
      </c>
      <c r="K12" s="0" t="n">
        <v>2.94</v>
      </c>
      <c r="L12" s="0" t="n">
        <v>1727.7</v>
      </c>
      <c r="M12" s="0" t="n">
        <v>97.6</v>
      </c>
      <c r="N12" s="0" t="n">
        <v>1630.1</v>
      </c>
      <c r="O12" s="0" t="n">
        <v>12528.2</v>
      </c>
      <c r="P12" s="0" t="n">
        <v>16098.8</v>
      </c>
      <c r="Q12" s="0" t="n">
        <v>3509.5</v>
      </c>
      <c r="R12" s="0" t="n">
        <v>1401.2</v>
      </c>
      <c r="S12" s="0" t="n">
        <v>8483.3</v>
      </c>
      <c r="T12" s="0" t="n">
        <v>583.8</v>
      </c>
      <c r="U12" s="0" t="n">
        <v>131.5</v>
      </c>
      <c r="V12" s="0" t="n">
        <v>0.72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6392.2</v>
      </c>
      <c r="F13" s="0" t="n">
        <v>2264.3</v>
      </c>
      <c r="G13" s="0" t="n">
        <v>35.4228591095398</v>
      </c>
      <c r="H13" s="0" t="n">
        <v>2345.8</v>
      </c>
      <c r="I13" s="0" t="n">
        <v>1789.7</v>
      </c>
      <c r="J13" s="0" t="n">
        <v>27.9981852883201</v>
      </c>
      <c r="K13" s="0" t="n">
        <v>3.01</v>
      </c>
      <c r="L13" s="0" t="n">
        <v>1135.4</v>
      </c>
      <c r="M13" s="0" t="n">
        <v>74.9</v>
      </c>
      <c r="N13" s="0" t="n">
        <v>1060.5</v>
      </c>
      <c r="O13" s="0" t="n">
        <v>12935.8</v>
      </c>
      <c r="P13" s="0" t="n">
        <v>17534</v>
      </c>
      <c r="Q13" s="0" t="n">
        <v>2656.3</v>
      </c>
      <c r="R13" s="0" t="n">
        <v>1044.2</v>
      </c>
      <c r="S13" s="0" t="n">
        <v>8749.7</v>
      </c>
      <c r="T13" s="0" t="n">
        <v>559.1</v>
      </c>
      <c r="U13" s="0" t="n">
        <v>123.4</v>
      </c>
      <c r="V13" s="0" t="n">
        <v>0.8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6204.5</v>
      </c>
      <c r="F14" s="0" t="n">
        <v>2028.2</v>
      </c>
      <c r="G14" s="0" t="n">
        <v>32.6891772100895</v>
      </c>
      <c r="H14" s="0" t="n">
        <v>2107.1</v>
      </c>
      <c r="I14" s="0" t="n">
        <v>764.4</v>
      </c>
      <c r="J14" s="0" t="n">
        <v>12.3200902570715</v>
      </c>
      <c r="K14" s="0" t="n">
        <v>1.39</v>
      </c>
      <c r="L14" s="0" t="n">
        <v>2229.7</v>
      </c>
      <c r="M14" s="0" t="n">
        <v>106.5</v>
      </c>
      <c r="N14" s="0" t="n">
        <v>2123.2</v>
      </c>
      <c r="O14" s="0" t="n">
        <v>10207.9</v>
      </c>
      <c r="P14" s="0" t="n">
        <v>14383.5</v>
      </c>
      <c r="Q14" s="0" t="n">
        <v>3132</v>
      </c>
      <c r="R14" s="0" t="n">
        <v>695.9</v>
      </c>
      <c r="S14" s="0" t="n">
        <v>6910.6</v>
      </c>
      <c r="T14" s="0" t="n">
        <v>538</v>
      </c>
      <c r="U14" s="0" t="n">
        <v>117.8</v>
      </c>
      <c r="V14" s="0" t="n">
        <v>3.92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5669.4</v>
      </c>
      <c r="F15" s="0" t="n">
        <v>1466.9</v>
      </c>
      <c r="G15" s="0" t="n">
        <v>25.8739901929658</v>
      </c>
      <c r="H15" s="0" t="n">
        <v>1550.1</v>
      </c>
      <c r="I15" s="0" t="n">
        <v>1205.5</v>
      </c>
      <c r="J15" s="0" t="n">
        <v>21.2632730094895</v>
      </c>
      <c r="K15" s="0" t="n">
        <v>2.35</v>
      </c>
      <c r="L15" s="0" t="n">
        <v>268.5</v>
      </c>
      <c r="M15" s="0" t="n">
        <v>233.7</v>
      </c>
      <c r="N15" s="0" t="n">
        <v>34.8</v>
      </c>
      <c r="O15" s="0" t="n">
        <v>10541.5</v>
      </c>
      <c r="P15" s="0" t="n">
        <v>14532.2</v>
      </c>
      <c r="Q15" s="0" t="n">
        <v>3161.3</v>
      </c>
      <c r="R15" s="0" t="n">
        <v>696.9</v>
      </c>
      <c r="S15" s="0" t="n">
        <v>6206.6</v>
      </c>
      <c r="T15" s="0" t="n">
        <v>504.3</v>
      </c>
      <c r="U15" s="0" t="n">
        <v>113.2</v>
      </c>
      <c r="V15" s="0" t="n">
        <v>1.04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5566.5</v>
      </c>
      <c r="F16" s="0" t="n">
        <v>1048.9</v>
      </c>
      <c r="G16" s="0" t="n">
        <v>18.8430791341058</v>
      </c>
      <c r="H16" s="0" t="n">
        <v>1144.1</v>
      </c>
      <c r="I16" s="0" t="n">
        <v>798.9</v>
      </c>
      <c r="J16" s="0" t="n">
        <v>14.3519267043924</v>
      </c>
      <c r="K16" s="0" t="n">
        <v>1.59</v>
      </c>
      <c r="L16" s="0" t="n">
        <v>1083.3</v>
      </c>
      <c r="M16" s="0" t="n">
        <v>103.7</v>
      </c>
      <c r="N16" s="0" t="n">
        <v>979.6</v>
      </c>
      <c r="O16" s="0" t="n">
        <v>10869.1</v>
      </c>
      <c r="P16" s="0" t="n">
        <v>21684.5</v>
      </c>
      <c r="Q16" s="0" t="n">
        <v>10273.5</v>
      </c>
      <c r="R16" s="0" t="n">
        <v>3017.1</v>
      </c>
      <c r="S16" s="0" t="n">
        <v>3989.8</v>
      </c>
      <c r="T16" s="0" t="n">
        <v>495.116677</v>
      </c>
      <c r="U16" s="0" t="n">
        <v>125</v>
      </c>
      <c r="V16" s="0" t="n">
        <v>1.08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8425.5</v>
      </c>
      <c r="F17" s="0" t="n">
        <v>1875</v>
      </c>
      <c r="G17" s="0" t="n">
        <v>22.2538721737582</v>
      </c>
      <c r="H17" s="0" t="n">
        <v>1999.4</v>
      </c>
      <c r="I17" s="0" t="n">
        <v>2094.6</v>
      </c>
      <c r="J17" s="0" t="n">
        <v>24.8602456827488</v>
      </c>
      <c r="K17" s="0" t="n">
        <v>3.58</v>
      </c>
      <c r="L17" s="0" t="n">
        <v>1245.4</v>
      </c>
      <c r="M17" s="0" t="n">
        <v>79.3</v>
      </c>
      <c r="N17" s="0" t="n">
        <v>1166.1</v>
      </c>
      <c r="O17" s="0" t="n">
        <v>11810.6</v>
      </c>
      <c r="P17" s="0" t="n">
        <v>24168.4</v>
      </c>
      <c r="Q17" s="0" t="n">
        <v>11424.8</v>
      </c>
      <c r="R17" s="0" t="n">
        <v>3399.4</v>
      </c>
      <c r="S17" s="0" t="n">
        <v>4647.2</v>
      </c>
      <c r="T17" s="0" t="n">
        <v>501.807677</v>
      </c>
      <c r="U17" s="0" t="n">
        <v>202.3</v>
      </c>
      <c r="V17" s="0" t="n">
        <v>1.12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8275.3</v>
      </c>
      <c r="F18" s="0" t="n">
        <v>1773.9</v>
      </c>
      <c r="G18" s="0" t="n">
        <v>21.4360808671589</v>
      </c>
      <c r="H18" s="0" t="n">
        <v>1882</v>
      </c>
      <c r="I18" s="0" t="n">
        <v>1333.2</v>
      </c>
      <c r="J18" s="0" t="n">
        <v>16.1105941778546</v>
      </c>
      <c r="K18" s="0" t="n">
        <v>2.53</v>
      </c>
      <c r="L18" s="0" t="n">
        <v>1956.7</v>
      </c>
      <c r="M18" s="0" t="n">
        <v>90.3</v>
      </c>
      <c r="N18" s="0" t="n">
        <v>1866.4</v>
      </c>
      <c r="O18" s="0" t="n">
        <v>12298.9</v>
      </c>
      <c r="P18" s="0" t="n">
        <v>28060.6</v>
      </c>
      <c r="Q18" s="0" t="n">
        <v>14235.9</v>
      </c>
      <c r="R18" s="0" t="n">
        <v>3376.4</v>
      </c>
      <c r="T18" s="0" t="n">
        <v>499.575175</v>
      </c>
      <c r="U18" s="0" t="n">
        <v>221.7</v>
      </c>
      <c r="V18" s="0" t="n">
        <v>1.16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7849.4</v>
      </c>
      <c r="F19" s="0" t="n">
        <v>1102.3</v>
      </c>
      <c r="G19" s="0" t="n">
        <v>14.043111575407</v>
      </c>
      <c r="H19" s="0" t="n">
        <v>1210.5</v>
      </c>
      <c r="I19" s="0" t="n">
        <v>1025.7</v>
      </c>
      <c r="J19" s="0" t="n">
        <v>13.0672408082146</v>
      </c>
      <c r="K19" s="0" t="n">
        <v>1.72</v>
      </c>
      <c r="L19" s="0" t="n">
        <v>1089.2</v>
      </c>
      <c r="M19" s="0" t="n">
        <v>148.8</v>
      </c>
      <c r="N19" s="0" t="n">
        <v>940.4</v>
      </c>
      <c r="O19" s="0" t="n">
        <v>12547.8</v>
      </c>
      <c r="P19" s="0" t="n">
        <v>30121.2</v>
      </c>
      <c r="Q19" s="0" t="n">
        <v>16547.3</v>
      </c>
      <c r="R19" s="0" t="n">
        <v>3052.8</v>
      </c>
      <c r="T19" s="0" t="n">
        <v>495.937891</v>
      </c>
      <c r="U19" s="0" t="n">
        <v>215.8</v>
      </c>
      <c r="V19" s="0" t="n">
        <v>1.2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8478</v>
      </c>
      <c r="F20" s="0" t="n">
        <v>407.6</v>
      </c>
      <c r="G20" s="0" t="n">
        <v>4.80773767397971</v>
      </c>
      <c r="H20" s="0" t="n">
        <v>537.5</v>
      </c>
      <c r="I20" s="0" t="n">
        <v>607.9</v>
      </c>
      <c r="J20" s="0" t="n">
        <v>7.17032318943147</v>
      </c>
      <c r="K20" s="0" t="n">
        <v>0.85</v>
      </c>
      <c r="L20" s="0" t="n">
        <v>971.3</v>
      </c>
      <c r="M20" s="0" t="n">
        <v>177.1</v>
      </c>
      <c r="N20" s="0" t="n">
        <v>794.2</v>
      </c>
      <c r="O20" s="0" t="n">
        <v>13243</v>
      </c>
      <c r="P20" s="0" t="n">
        <v>32464.5</v>
      </c>
      <c r="Q20" s="0" t="n">
        <v>17899.7</v>
      </c>
      <c r="R20" s="0" t="n">
        <v>2780.3</v>
      </c>
      <c r="T20" s="0" t="n">
        <v>523.596548</v>
      </c>
      <c r="U20" s="0" t="n">
        <v>259.9</v>
      </c>
      <c r="V20" s="0" t="n">
        <v>1.24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8770.7</v>
      </c>
      <c r="F21" s="0" t="n">
        <v>604.1</v>
      </c>
      <c r="G21" s="0" t="n">
        <v>6.88770565633302</v>
      </c>
      <c r="H21" s="0" t="n">
        <v>745.5</v>
      </c>
      <c r="I21" s="0" t="n">
        <v>548.9</v>
      </c>
      <c r="J21" s="0" t="n">
        <v>6.25833741890613</v>
      </c>
      <c r="K21" s="0" t="n">
        <v>0.91</v>
      </c>
      <c r="L21" s="0" t="n">
        <v>1066.1</v>
      </c>
      <c r="M21" s="0" t="n">
        <v>154.5</v>
      </c>
      <c r="N21" s="0" t="n">
        <v>911.6</v>
      </c>
      <c r="O21" s="0" t="n">
        <v>13006.8</v>
      </c>
      <c r="P21" s="0" t="n">
        <v>32368.3</v>
      </c>
      <c r="Q21" s="0" t="n">
        <v>18179.5</v>
      </c>
      <c r="R21" s="0" t="n">
        <v>2362</v>
      </c>
      <c r="T21" s="0" t="n">
        <v>520.951796</v>
      </c>
      <c r="U21" s="0" t="n">
        <v>226.6</v>
      </c>
      <c r="V21" s="0" t="n">
        <v>1.28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33.02</v>
      </c>
    </row>
    <row r="3" customFormat="false" ht="15" hidden="false" customHeight="false" outlineLevel="0" collapsed="false">
      <c r="A3" s="0" t="s">
        <v>86</v>
      </c>
      <c r="B3" s="3" t="n">
        <v>520.952</v>
      </c>
    </row>
    <row r="4" customFormat="false" ht="15" hidden="false" customHeight="false" outlineLevel="0" collapsed="false">
      <c r="A4" s="0" t="s">
        <v>87</v>
      </c>
      <c r="B4" s="3" t="n">
        <v>-726.1</v>
      </c>
    </row>
    <row r="5" customFormat="false" ht="15" hidden="false" customHeight="false" outlineLevel="0" collapsed="false">
      <c r="A5" s="0" t="s">
        <v>88</v>
      </c>
      <c r="B5" s="3" t="n">
        <v>2374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8770.7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-3</v>
      </c>
      <c r="D13" s="3" t="n">
        <v>-2</v>
      </c>
      <c r="E13" s="3" t="n">
        <v>0</v>
      </c>
      <c r="F13" s="3" t="n">
        <v>0.5</v>
      </c>
      <c r="G13" s="3" t="n">
        <v>1</v>
      </c>
      <c r="H13" s="3" t="n">
        <v>1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107</v>
      </c>
      <c r="C14" s="3" t="n">
        <v>13</v>
      </c>
      <c r="D14" s="3" t="n">
        <v>12.5</v>
      </c>
      <c r="E14" s="3" t="n">
        <v>13.5</v>
      </c>
      <c r="F14" s="3" t="n">
        <v>14.5</v>
      </c>
      <c r="G14" s="3" t="n">
        <v>15.5</v>
      </c>
      <c r="H14" s="3" t="n">
        <v>16</v>
      </c>
      <c r="I14" s="3" t="n">
        <v>16.5</v>
      </c>
      <c r="J14" s="3" t="n">
        <v>17</v>
      </c>
      <c r="K14" s="3" t="n">
        <v>17</v>
      </c>
      <c r="L14" s="3" t="n">
        <v>17</v>
      </c>
    </row>
    <row r="15" customFormat="false" ht="15" hidden="false" customHeight="false" outlineLevel="0" collapsed="false">
      <c r="A15" s="0" t="s">
        <v>108</v>
      </c>
      <c r="C15" s="3" t="n">
        <v>2.6</v>
      </c>
      <c r="D15" s="3" t="n">
        <v>2.6</v>
      </c>
      <c r="E15" s="3" t="n">
        <v>2.5</v>
      </c>
      <c r="F15" s="3" t="n">
        <v>2.4</v>
      </c>
      <c r="G15" s="3" t="n">
        <v>2.3</v>
      </c>
      <c r="H15" s="3" t="n">
        <v>2.3</v>
      </c>
      <c r="I15" s="3" t="n">
        <v>2.2</v>
      </c>
      <c r="J15" s="3" t="n">
        <v>2.2</v>
      </c>
      <c r="K15" s="3" t="n">
        <v>2.2</v>
      </c>
      <c r="L15" s="3" t="n">
        <v>2.2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6.3</v>
      </c>
      <c r="D17" s="3" t="n">
        <v>6.1</v>
      </c>
      <c r="E17" s="3" t="n">
        <v>5.9</v>
      </c>
      <c r="F17" s="3" t="n">
        <v>5.7</v>
      </c>
      <c r="G17" s="3" t="n">
        <v>5.5</v>
      </c>
      <c r="H17" s="3" t="n">
        <v>5.3</v>
      </c>
      <c r="I17" s="3" t="n">
        <v>5.2</v>
      </c>
      <c r="J17" s="3" t="n">
        <v>5.1</v>
      </c>
      <c r="K17" s="3" t="n">
        <v>5</v>
      </c>
      <c r="L17" s="3" t="n">
        <v>5</v>
      </c>
    </row>
    <row r="18" customFormat="false" ht="15" hidden="false" customHeight="false" outlineLevel="0" collapsed="false">
      <c r="A18" s="0" t="s">
        <v>111</v>
      </c>
      <c r="C18" s="3" t="n">
        <v>1.9</v>
      </c>
      <c r="D18" s="3" t="n">
        <v>1.9</v>
      </c>
      <c r="E18" s="3" t="n">
        <v>1.8</v>
      </c>
      <c r="F18" s="3" t="n">
        <v>1.8</v>
      </c>
      <c r="G18" s="3" t="n">
        <v>1.7</v>
      </c>
      <c r="H18" s="3" t="n">
        <v>1.7</v>
      </c>
      <c r="I18" s="3" t="n">
        <v>1.7</v>
      </c>
      <c r="J18" s="3" t="n">
        <v>1.7</v>
      </c>
      <c r="K18" s="3" t="n">
        <v>1.7</v>
      </c>
      <c r="L18" s="3" t="n">
        <v>1.7</v>
      </c>
    </row>
    <row r="19" customFormat="false" ht="15" hidden="false" customHeight="false" outlineLevel="0" collapsed="false">
      <c r="A19" s="0" t="s">
        <v>112</v>
      </c>
      <c r="C19" s="3" t="n">
        <v>27</v>
      </c>
      <c r="D19" s="3" t="n">
        <v>27</v>
      </c>
      <c r="E19" s="3" t="n">
        <v>27</v>
      </c>
      <c r="F19" s="3" t="n">
        <v>27</v>
      </c>
      <c r="G19" s="3" t="n">
        <v>26</v>
      </c>
      <c r="H19" s="3" t="n">
        <v>26</v>
      </c>
      <c r="I19" s="3" t="n">
        <v>26</v>
      </c>
      <c r="J19" s="3" t="n">
        <v>26</v>
      </c>
      <c r="K19" s="3" t="n">
        <v>26</v>
      </c>
      <c r="L19" s="3" t="n">
        <v>26</v>
      </c>
    </row>
    <row r="20" customFormat="false" ht="15" hidden="false" customHeight="false" outlineLevel="0" collapsed="false">
      <c r="A20" s="0" t="s">
        <v>113</v>
      </c>
      <c r="B20" s="3" t="n">
        <v>10.5</v>
      </c>
    </row>
    <row r="21" customFormat="false" ht="15" hidden="false" customHeight="false" outlineLevel="0" collapsed="false">
      <c r="A21" s="0" t="s">
        <v>114</v>
      </c>
      <c r="B21" s="3" t="n">
        <v>2</v>
      </c>
    </row>
    <row r="22" customFormat="false" ht="15" hidden="false" customHeight="false" outlineLevel="0" collapsed="false">
      <c r="A22" s="0" t="s">
        <v>115</v>
      </c>
      <c r="B22" s="3" t="n">
        <v>9</v>
      </c>
    </row>
    <row r="23" customFormat="false" ht="15" hidden="false" customHeight="false" outlineLevel="0" collapsed="false">
      <c r="A23" s="0" t="s">
        <v>116</v>
      </c>
      <c r="B23" s="3" t="n">
        <v>0</v>
      </c>
    </row>
    <row r="24" customFormat="false" ht="15" hidden="false" customHeight="false" outlineLevel="0" collapsed="false">
      <c r="A24" s="0" t="s">
        <v>117</v>
      </c>
      <c r="B24" s="3" t="n">
        <v>0.25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3</v>
      </c>
      <c r="D27" s="3" t="n">
        <v>3</v>
      </c>
      <c r="E27" s="3" t="n">
        <v>2.5</v>
      </c>
      <c r="F27" s="3" t="n">
        <v>2.5</v>
      </c>
      <c r="G27" s="3" t="n">
        <v>2</v>
      </c>
      <c r="H27" s="3" t="n">
        <v>2</v>
      </c>
      <c r="I27" s="3" t="n">
        <v>2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107</v>
      </c>
      <c r="C28" s="3" t="n">
        <v>16.5</v>
      </c>
      <c r="D28" s="3" t="n">
        <v>18</v>
      </c>
      <c r="E28" s="3" t="n">
        <v>19.5</v>
      </c>
      <c r="F28" s="3" t="n">
        <v>20.5</v>
      </c>
      <c r="G28" s="3" t="n">
        <v>21</v>
      </c>
      <c r="H28" s="3" t="n">
        <v>21.5</v>
      </c>
      <c r="I28" s="3" t="n">
        <v>21.5</v>
      </c>
      <c r="J28" s="3" t="n">
        <v>22</v>
      </c>
      <c r="K28" s="3" t="n">
        <v>22</v>
      </c>
      <c r="L28" s="3" t="n">
        <v>22</v>
      </c>
    </row>
    <row r="29" customFormat="false" ht="15" hidden="false" customHeight="false" outlineLevel="0" collapsed="false">
      <c r="A29" s="0" t="s">
        <v>108</v>
      </c>
      <c r="C29" s="3" t="n">
        <v>2.4</v>
      </c>
      <c r="D29" s="3" t="n">
        <v>2.3</v>
      </c>
      <c r="E29" s="3" t="n">
        <v>2.2</v>
      </c>
      <c r="F29" s="3" t="n">
        <v>2.1</v>
      </c>
      <c r="G29" s="3" t="n">
        <v>2.1</v>
      </c>
      <c r="H29" s="3" t="n">
        <v>2</v>
      </c>
      <c r="I29" s="3" t="n">
        <v>2</v>
      </c>
      <c r="J29" s="3" t="n">
        <v>2</v>
      </c>
      <c r="K29" s="3" t="n">
        <v>2</v>
      </c>
      <c r="L29" s="3" t="n">
        <v>2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6</v>
      </c>
      <c r="D31" s="3" t="n">
        <v>5.8</v>
      </c>
      <c r="E31" s="3" t="n">
        <v>5.6</v>
      </c>
      <c r="F31" s="3" t="n">
        <v>5.4</v>
      </c>
      <c r="G31" s="3" t="n">
        <v>5.2</v>
      </c>
      <c r="H31" s="3" t="n">
        <v>5</v>
      </c>
      <c r="I31" s="3" t="n">
        <v>5</v>
      </c>
      <c r="J31" s="3" t="n">
        <v>5</v>
      </c>
      <c r="K31" s="3" t="n">
        <v>5</v>
      </c>
      <c r="L31" s="3" t="n">
        <v>5</v>
      </c>
    </row>
    <row r="32" customFormat="false" ht="15" hidden="false" customHeight="false" outlineLevel="0" collapsed="false">
      <c r="A32" s="0" t="s">
        <v>111</v>
      </c>
      <c r="C32" s="3" t="n">
        <v>1.8</v>
      </c>
      <c r="D32" s="3" t="n">
        <v>1.8</v>
      </c>
      <c r="E32" s="3" t="n">
        <v>1.7</v>
      </c>
      <c r="F32" s="3" t="n">
        <v>1.7</v>
      </c>
      <c r="G32" s="3" t="n">
        <v>1.6</v>
      </c>
      <c r="H32" s="3" t="n">
        <v>1.6</v>
      </c>
      <c r="I32" s="3" t="n">
        <v>1.6</v>
      </c>
      <c r="J32" s="3" t="n">
        <v>1.6</v>
      </c>
      <c r="K32" s="3" t="n">
        <v>1.6</v>
      </c>
      <c r="L32" s="3" t="n">
        <v>1.6</v>
      </c>
    </row>
    <row r="33" customFormat="false" ht="15" hidden="false" customHeight="false" outlineLevel="0" collapsed="false">
      <c r="A33" s="0" t="s">
        <v>112</v>
      </c>
      <c r="C33" s="3" t="n">
        <v>26</v>
      </c>
      <c r="D33" s="3" t="n">
        <v>26</v>
      </c>
      <c r="E33" s="3" t="n">
        <v>26</v>
      </c>
      <c r="F33" s="3" t="n">
        <v>26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113</v>
      </c>
      <c r="B34" s="3" t="n">
        <v>10.5</v>
      </c>
    </row>
    <row r="35" customFormat="false" ht="15" hidden="false" customHeight="false" outlineLevel="0" collapsed="false">
      <c r="A35" s="0" t="s">
        <v>114</v>
      </c>
      <c r="B35" s="3" t="n">
        <v>3</v>
      </c>
    </row>
    <row r="36" customFormat="false" ht="15" hidden="false" customHeight="false" outlineLevel="0" collapsed="false">
      <c r="A36" s="0" t="s">
        <v>115</v>
      </c>
      <c r="B36" s="3" t="n">
        <v>12</v>
      </c>
    </row>
    <row r="37" customFormat="false" ht="15" hidden="false" customHeight="false" outlineLevel="0" collapsed="false">
      <c r="A37" s="0" t="s">
        <v>116</v>
      </c>
      <c r="B37" s="3" t="n">
        <v>0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5.5</v>
      </c>
      <c r="D41" s="3" t="n">
        <v>6</v>
      </c>
      <c r="E41" s="3" t="n">
        <v>5.5</v>
      </c>
      <c r="F41" s="3" t="n">
        <v>5</v>
      </c>
      <c r="G41" s="3" t="n">
        <v>4</v>
      </c>
      <c r="H41" s="3" t="n">
        <v>3.5</v>
      </c>
      <c r="I41" s="3" t="n">
        <v>3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107</v>
      </c>
      <c r="C42" s="3" t="n">
        <v>18</v>
      </c>
      <c r="D42" s="3" t="n">
        <v>20.5</v>
      </c>
      <c r="E42" s="3" t="n">
        <v>23</v>
      </c>
      <c r="F42" s="3" t="n">
        <v>24.5</v>
      </c>
      <c r="G42" s="3" t="n">
        <v>25.5</v>
      </c>
      <c r="H42" s="3" t="n">
        <v>26</v>
      </c>
      <c r="I42" s="3" t="n">
        <v>26.5</v>
      </c>
      <c r="J42" s="3" t="n">
        <v>27</v>
      </c>
      <c r="K42" s="3" t="n">
        <v>27</v>
      </c>
      <c r="L42" s="3" t="n">
        <v>27</v>
      </c>
    </row>
    <row r="43" customFormat="false" ht="15" hidden="false" customHeight="false" outlineLevel="0" collapsed="false">
      <c r="A43" s="0" t="s">
        <v>108</v>
      </c>
      <c r="C43" s="3" t="n">
        <v>2.3</v>
      </c>
      <c r="D43" s="3" t="n">
        <v>2.1</v>
      </c>
      <c r="E43" s="3" t="n">
        <v>2</v>
      </c>
      <c r="F43" s="3" t="n">
        <v>1.9</v>
      </c>
      <c r="G43" s="3" t="n">
        <v>1.8</v>
      </c>
      <c r="H43" s="3" t="n">
        <v>1.8</v>
      </c>
      <c r="I43" s="3" t="n">
        <v>1.7</v>
      </c>
      <c r="J43" s="3" t="n">
        <v>1.7</v>
      </c>
      <c r="K43" s="3" t="n">
        <v>1.7</v>
      </c>
      <c r="L43" s="3" t="n">
        <v>1.7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5.8</v>
      </c>
      <c r="D45" s="3" t="n">
        <v>5.5</v>
      </c>
      <c r="E45" s="3" t="n">
        <v>5.2</v>
      </c>
      <c r="F45" s="3" t="n">
        <v>5</v>
      </c>
      <c r="G45" s="3" t="n">
        <v>4.8</v>
      </c>
      <c r="H45" s="3" t="n">
        <v>4.6</v>
      </c>
      <c r="I45" s="3" t="n">
        <v>4.5</v>
      </c>
      <c r="J45" s="3" t="n">
        <v>4.5</v>
      </c>
      <c r="K45" s="3" t="n">
        <v>4.5</v>
      </c>
      <c r="L45" s="3" t="n">
        <v>4.5</v>
      </c>
    </row>
    <row r="46" customFormat="false" ht="15" hidden="false" customHeight="false" outlineLevel="0" collapsed="false">
      <c r="A46" s="0" t="s">
        <v>111</v>
      </c>
      <c r="C46" s="3" t="n">
        <v>1.7</v>
      </c>
      <c r="D46" s="3" t="n">
        <v>1.7</v>
      </c>
      <c r="E46" s="3" t="n">
        <v>1.6</v>
      </c>
      <c r="F46" s="3" t="n">
        <v>1.6</v>
      </c>
      <c r="G46" s="3" t="n">
        <v>1.5</v>
      </c>
      <c r="H46" s="3" t="n">
        <v>1.5</v>
      </c>
      <c r="I46" s="3" t="n">
        <v>1.5</v>
      </c>
      <c r="J46" s="3" t="n">
        <v>1.5</v>
      </c>
      <c r="K46" s="3" t="n">
        <v>1.5</v>
      </c>
      <c r="L46" s="3" t="n">
        <v>1.5</v>
      </c>
    </row>
    <row r="47" customFormat="false" ht="15" hidden="false" customHeight="false" outlineLevel="0" collapsed="false">
      <c r="A47" s="0" t="s">
        <v>112</v>
      </c>
      <c r="C47" s="3" t="n">
        <v>25</v>
      </c>
      <c r="D47" s="3" t="n">
        <v>25</v>
      </c>
      <c r="E47" s="3" t="n">
        <v>25</v>
      </c>
      <c r="F47" s="3" t="n">
        <v>24</v>
      </c>
      <c r="G47" s="3" t="n">
        <v>24</v>
      </c>
      <c r="H47" s="3" t="n">
        <v>24</v>
      </c>
      <c r="I47" s="3" t="n">
        <v>24</v>
      </c>
      <c r="J47" s="3" t="n">
        <v>24</v>
      </c>
      <c r="K47" s="3" t="n">
        <v>24</v>
      </c>
      <c r="L47" s="3" t="n">
        <v>24</v>
      </c>
    </row>
    <row r="48" customFormat="false" ht="15" hidden="false" customHeight="false" outlineLevel="0" collapsed="false">
      <c r="A48" s="0" t="s">
        <v>113</v>
      </c>
      <c r="B48" s="3" t="n">
        <v>10.5</v>
      </c>
    </row>
    <row r="49" customFormat="false" ht="15" hidden="false" customHeight="false" outlineLevel="0" collapsed="false">
      <c r="A49" s="0" t="s">
        <v>114</v>
      </c>
      <c r="B49" s="3" t="n">
        <v>3.5</v>
      </c>
    </row>
    <row r="50" customFormat="false" ht="15" hidden="false" customHeight="false" outlineLevel="0" collapsed="false">
      <c r="A50" s="0" t="s">
        <v>115</v>
      </c>
      <c r="B50" s="3" t="n">
        <v>14</v>
      </c>
    </row>
    <row r="51" customFormat="false" ht="15" hidden="false" customHeight="false" outlineLevel="0" collapsed="false">
      <c r="A51" s="0" t="s">
        <v>116</v>
      </c>
      <c r="B51" s="3" t="n">
        <v>0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-3</v>
      </c>
      <c r="D5" s="4" t="n">
        <f aca="false">Assumptions!D13</f>
        <v>-2</v>
      </c>
      <c r="E5" s="4" t="n">
        <f aca="false">Assumptions!E13</f>
        <v>0</v>
      </c>
      <c r="F5" s="4" t="n">
        <f aca="false">Assumptions!F13</f>
        <v>0.5</v>
      </c>
      <c r="G5" s="4" t="n">
        <f aca="false">Assumptions!G13</f>
        <v>1</v>
      </c>
      <c r="H5" s="4" t="n">
        <f aca="false">Assumptions!H13</f>
        <v>1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37</v>
      </c>
      <c r="B6" s="3" t="n">
        <v>8770.7</v>
      </c>
      <c r="C6" s="0" t="n">
        <f aca="false">B6*(1+C5/100)</f>
        <v>8507.579</v>
      </c>
      <c r="D6" s="0" t="n">
        <f aca="false">C6*(1+D5/100)</f>
        <v>8337.42742</v>
      </c>
      <c r="E6" s="0" t="n">
        <f aca="false">D6*(1+E5/100)</f>
        <v>8337.42742</v>
      </c>
      <c r="F6" s="0" t="n">
        <f aca="false">E6*(1+F5/100)</f>
        <v>8379.1145571</v>
      </c>
      <c r="G6" s="0" t="n">
        <f aca="false">F6*(1+G5/100)</f>
        <v>8462.905702671</v>
      </c>
      <c r="H6" s="0" t="n">
        <f aca="false">G6*(1+H5/100)</f>
        <v>8547.53475969771</v>
      </c>
      <c r="I6" s="0" t="n">
        <f aca="false">H6*(1+I5/100)</f>
        <v>8675.74778109317</v>
      </c>
      <c r="J6" s="0" t="n">
        <f aca="false">I6*(1+J5/100)</f>
        <v>8805.88399780957</v>
      </c>
      <c r="K6" s="0" t="n">
        <f aca="false">J6*(1+K5/100)</f>
        <v>8937.97225777671</v>
      </c>
      <c r="L6" s="0" t="n">
        <f aca="false">K6*(1+L5/100)</f>
        <v>9072.04184164336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13</v>
      </c>
      <c r="D7" s="4" t="n">
        <f aca="false">Assumptions!D14</f>
        <v>12.5</v>
      </c>
      <c r="E7" s="4" t="n">
        <f aca="false">Assumptions!E14</f>
        <v>13.5</v>
      </c>
      <c r="F7" s="4" t="n">
        <f aca="false">Assumptions!F14</f>
        <v>14.5</v>
      </c>
      <c r="G7" s="4" t="n">
        <f aca="false">Assumptions!G14</f>
        <v>15.5</v>
      </c>
      <c r="H7" s="4" t="n">
        <f aca="false">Assumptions!H14</f>
        <v>16</v>
      </c>
      <c r="I7" s="4" t="n">
        <f aca="false">Assumptions!I14</f>
        <v>16.5</v>
      </c>
      <c r="J7" s="4" t="n">
        <f aca="false">Assumptions!J14</f>
        <v>17</v>
      </c>
      <c r="K7" s="4" t="n">
        <f aca="false">Assumptions!K14</f>
        <v>17</v>
      </c>
      <c r="L7" s="4" t="n">
        <f aca="false">Assumptions!L14</f>
        <v>17</v>
      </c>
    </row>
    <row r="8" customFormat="false" ht="15" hidden="false" customHeight="false" outlineLevel="0" collapsed="false">
      <c r="A8" s="0" t="s">
        <v>43</v>
      </c>
      <c r="C8" s="0" t="n">
        <f aca="false">C6*C7/100</f>
        <v>1105.98527</v>
      </c>
      <c r="D8" s="0" t="n">
        <f aca="false">D6*D7/100</f>
        <v>1042.1784275</v>
      </c>
      <c r="E8" s="0" t="n">
        <f aca="false">E6*E7/100</f>
        <v>1125.5527017</v>
      </c>
      <c r="F8" s="0" t="n">
        <f aca="false">F6*F7/100</f>
        <v>1214.9716107795</v>
      </c>
      <c r="G8" s="0" t="n">
        <f aca="false">G6*G7/100</f>
        <v>1311.75038391401</v>
      </c>
      <c r="H8" s="0" t="n">
        <f aca="false">H6*H7/100</f>
        <v>1367.60556155163</v>
      </c>
      <c r="I8" s="0" t="n">
        <f aca="false">I6*I7/100</f>
        <v>1431.49838388037</v>
      </c>
      <c r="J8" s="0" t="n">
        <f aca="false">J6*J7/100</f>
        <v>1497.00027962763</v>
      </c>
      <c r="K8" s="0" t="n">
        <f aca="false">K6*K7/100</f>
        <v>1519.45528382204</v>
      </c>
      <c r="L8" s="0" t="n">
        <f aca="false">L6*L7/100</f>
        <v>1542.24711307937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2.6</v>
      </c>
      <c r="D9" s="4" t="n">
        <f aca="false">Assumptions!D15</f>
        <v>2.6</v>
      </c>
      <c r="E9" s="4" t="n">
        <f aca="false">Assumptions!E15</f>
        <v>2.5</v>
      </c>
      <c r="F9" s="4" t="n">
        <f aca="false">Assumptions!F15</f>
        <v>2.4</v>
      </c>
      <c r="G9" s="4" t="n">
        <f aca="false">Assumptions!G15</f>
        <v>2.3</v>
      </c>
      <c r="H9" s="4" t="n">
        <f aca="false">Assumptions!H15</f>
        <v>2.3</v>
      </c>
      <c r="I9" s="4" t="n">
        <f aca="false">Assumptions!I15</f>
        <v>2.2</v>
      </c>
      <c r="J9" s="4" t="n">
        <f aca="false">Assumptions!J15</f>
        <v>2.2</v>
      </c>
      <c r="K9" s="4" t="n">
        <f aca="false">Assumptions!K15</f>
        <v>2.2</v>
      </c>
      <c r="L9" s="4" t="n">
        <f aca="false">Assumptions!L15</f>
        <v>2.2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-221.197054</v>
      </c>
      <c r="D10" s="0" t="n">
        <f aca="false">-D6*D9/100</f>
        <v>-216.77311292</v>
      </c>
      <c r="E10" s="0" t="n">
        <f aca="false">-E6*E9/100</f>
        <v>-208.4356855</v>
      </c>
      <c r="F10" s="0" t="n">
        <f aca="false">-F6*F9/100</f>
        <v>-201.0987493704</v>
      </c>
      <c r="G10" s="0" t="n">
        <f aca="false">-G6*G9/100</f>
        <v>-194.646831161433</v>
      </c>
      <c r="H10" s="0" t="n">
        <f aca="false">-H6*H9/100</f>
        <v>-196.593299473047</v>
      </c>
      <c r="I10" s="0" t="n">
        <f aca="false">-I6*I9/100</f>
        <v>-190.86645118405</v>
      </c>
      <c r="J10" s="0" t="n">
        <f aca="false">-J6*J9/100</f>
        <v>-193.729447951811</v>
      </c>
      <c r="K10" s="0" t="n">
        <f aca="false">-K6*K9/100</f>
        <v>-196.635389671088</v>
      </c>
      <c r="L10" s="0" t="n">
        <f aca="false">-L6*L9/100</f>
        <v>-199.584920516154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884.788216</v>
      </c>
      <c r="D11" s="0" t="n">
        <f aca="false">D8+D10+D24</f>
        <v>825.40531458</v>
      </c>
      <c r="E11" s="0" t="n">
        <f aca="false">E8+E10+E24</f>
        <v>917.1170162</v>
      </c>
      <c r="F11" s="0" t="n">
        <f aca="false">F8+F10+F24</f>
        <v>1013.8728614091</v>
      </c>
      <c r="G11" s="0" t="n">
        <f aca="false">G8+G10+G24</f>
        <v>1117.10355275257</v>
      </c>
      <c r="H11" s="0" t="n">
        <f aca="false">H8+H10+H24</f>
        <v>1171.01226207859</v>
      </c>
      <c r="I11" s="0" t="n">
        <f aca="false">I8+I10+I24</f>
        <v>1240.63193269632</v>
      </c>
      <c r="J11" s="0" t="n">
        <f aca="false">J8+J10+J24</f>
        <v>1303.27083167582</v>
      </c>
      <c r="K11" s="0" t="n">
        <f aca="false">K8+K10+K24</f>
        <v>1322.81989415095</v>
      </c>
      <c r="L11" s="0" t="n">
        <f aca="false">L8+L10+L24</f>
        <v>1342.66219256322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-535.977477</v>
      </c>
      <c r="D12" s="4" t="n">
        <f aca="false">-D6*Assumptions!D17/100</f>
        <v>-508.58307262</v>
      </c>
      <c r="E12" s="4" t="n">
        <f aca="false">-E6*Assumptions!E17/100</f>
        <v>-491.90821778</v>
      </c>
      <c r="F12" s="4" t="n">
        <f aca="false">-F6*Assumptions!F17/100</f>
        <v>-477.6095297547</v>
      </c>
      <c r="G12" s="4" t="n">
        <f aca="false">-G6*Assumptions!G17/100</f>
        <v>-465.459813646905</v>
      </c>
      <c r="H12" s="4" t="n">
        <f aca="false">-H6*Assumptions!H17/100</f>
        <v>-453.019342263979</v>
      </c>
      <c r="I12" s="4" t="n">
        <f aca="false">-I6*Assumptions!I17/100</f>
        <v>-451.138884616845</v>
      </c>
      <c r="J12" s="4" t="n">
        <f aca="false">-J6*Assumptions!J17/100</f>
        <v>-449.100083888288</v>
      </c>
      <c r="K12" s="4" t="n">
        <f aca="false">-K6*Assumptions!K17/100</f>
        <v>-446.898612888836</v>
      </c>
      <c r="L12" s="4" t="n">
        <f aca="false">-L6*Assumptions!L17/100</f>
        <v>-453.602092082168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348.810739</v>
      </c>
      <c r="D13" s="0" t="n">
        <f aca="false">D11+D12</f>
        <v>316.82224196</v>
      </c>
      <c r="E13" s="0" t="n">
        <f aca="false">E11+E12</f>
        <v>425.20879842</v>
      </c>
      <c r="F13" s="0" t="n">
        <f aca="false">F11+F12</f>
        <v>536.2633316544</v>
      </c>
      <c r="G13" s="0" t="n">
        <f aca="false">G11+G12</f>
        <v>651.643739105667</v>
      </c>
      <c r="H13" s="0" t="n">
        <f aca="false">H11+H12</f>
        <v>717.992919814608</v>
      </c>
      <c r="I13" s="0" t="n">
        <f aca="false">I11+I12</f>
        <v>789.493048079479</v>
      </c>
      <c r="J13" s="0" t="n">
        <f aca="false">J11+J12</f>
        <v>854.170747787529</v>
      </c>
      <c r="K13" s="0" t="n">
        <f aca="false">K11+K12</f>
        <v>875.921281262118</v>
      </c>
      <c r="L13" s="0" t="n">
        <f aca="false">L11+L12</f>
        <v>889.06010048105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27</v>
      </c>
      <c r="D14" s="4" t="n">
        <f aca="false">Assumptions!D19</f>
        <v>27</v>
      </c>
      <c r="E14" s="4" t="n">
        <f aca="false">Assumptions!E19</f>
        <v>27</v>
      </c>
      <c r="F14" s="4" t="n">
        <f aca="false">Assumptions!F19</f>
        <v>27</v>
      </c>
      <c r="G14" s="4" t="n">
        <f aca="false">Assumptions!G19</f>
        <v>26</v>
      </c>
      <c r="H14" s="4" t="n">
        <f aca="false">Assumptions!H19</f>
        <v>26</v>
      </c>
      <c r="I14" s="4" t="n">
        <f aca="false">Assumptions!I19</f>
        <v>26</v>
      </c>
      <c r="J14" s="4" t="n">
        <f aca="false">Assumptions!J19</f>
        <v>26</v>
      </c>
      <c r="K14" s="4" t="n">
        <f aca="false">Assumptions!K19</f>
        <v>26</v>
      </c>
      <c r="L14" s="4" t="n">
        <f aca="false">Assumptions!L19</f>
        <v>26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254.63183947</v>
      </c>
      <c r="D15" s="0" t="n">
        <f aca="false">D13-MAX(0,D13)*D14/100</f>
        <v>231.2802366308</v>
      </c>
      <c r="E15" s="0" t="n">
        <f aca="false">E13-MAX(0,E13)*E14/100</f>
        <v>310.4024228466</v>
      </c>
      <c r="F15" s="0" t="n">
        <f aca="false">F13-MAX(0,F13)*F14/100</f>
        <v>391.472232107712</v>
      </c>
      <c r="G15" s="0" t="n">
        <f aca="false">G13-MAX(0,G13)*G14/100</f>
        <v>482.216366938194</v>
      </c>
      <c r="H15" s="0" t="n">
        <f aca="false">H13-MAX(0,H13)*H14/100</f>
        <v>531.31476066281</v>
      </c>
      <c r="I15" s="0" t="n">
        <f aca="false">I13-MAX(0,I13)*I14/100</f>
        <v>584.224855578814</v>
      </c>
      <c r="J15" s="0" t="n">
        <f aca="false">J13-MAX(0,J13)*J14/100</f>
        <v>632.086353362771</v>
      </c>
      <c r="K15" s="0" t="n">
        <f aca="false">K13-MAX(0,K13)*K14/100</f>
        <v>648.181748133967</v>
      </c>
      <c r="L15" s="0" t="n">
        <f aca="false">L13-MAX(0,L13)*L14/100</f>
        <v>657.904474355977</v>
      </c>
    </row>
    <row r="16" customFormat="false" ht="15" hidden="false" customHeight="false" outlineLevel="0" collapsed="false">
      <c r="A16" s="0" t="s">
        <v>128</v>
      </c>
      <c r="C16" s="0" t="n">
        <f aca="false">-C12</f>
        <v>535.977477</v>
      </c>
      <c r="D16" s="0" t="n">
        <f aca="false">-D12</f>
        <v>508.58307262</v>
      </c>
      <c r="E16" s="0" t="n">
        <f aca="false">-E12</f>
        <v>491.90821778</v>
      </c>
      <c r="F16" s="0" t="n">
        <f aca="false">-F12</f>
        <v>477.6095297547</v>
      </c>
      <c r="G16" s="0" t="n">
        <f aca="false">-G12</f>
        <v>465.459813646905</v>
      </c>
      <c r="H16" s="0" t="n">
        <f aca="false">-H12</f>
        <v>453.019342263979</v>
      </c>
      <c r="I16" s="0" t="n">
        <f aca="false">-I12</f>
        <v>451.138884616845</v>
      </c>
      <c r="J16" s="0" t="n">
        <f aca="false">-J12</f>
        <v>449.100083888288</v>
      </c>
      <c r="K16" s="0" t="n">
        <f aca="false">-K12</f>
        <v>446.898612888836</v>
      </c>
      <c r="L16" s="0" t="n">
        <f aca="false">-L12</f>
        <v>453.602092082168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-161.644001</v>
      </c>
      <c r="D17" s="4" t="n">
        <f aca="false">-D6*Assumptions!D18/100</f>
        <v>-158.41112098</v>
      </c>
      <c r="E17" s="4" t="n">
        <f aca="false">-E6*Assumptions!E18/100</f>
        <v>-150.07369356</v>
      </c>
      <c r="F17" s="4" t="n">
        <f aca="false">-F6*Assumptions!F18/100</f>
        <v>-150.8240620278</v>
      </c>
      <c r="G17" s="4" t="n">
        <f aca="false">-G6*Assumptions!G18/100</f>
        <v>-143.869396945407</v>
      </c>
      <c r="H17" s="4" t="n">
        <f aca="false">-H6*Assumptions!H18/100</f>
        <v>-145.308090914861</v>
      </c>
      <c r="I17" s="4" t="n">
        <f aca="false">-I6*Assumptions!I18/100</f>
        <v>-147.487712278584</v>
      </c>
      <c r="J17" s="4" t="n">
        <f aca="false">-J6*Assumptions!J18/100</f>
        <v>-149.700027962763</v>
      </c>
      <c r="K17" s="4" t="n">
        <f aca="false">-K6*Assumptions!K18/100</f>
        <v>-151.945528382204</v>
      </c>
      <c r="L17" s="4" t="n">
        <f aca="false">-L6*Assumptions!L18/100</f>
        <v>-154.224711307937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-0</v>
      </c>
      <c r="D18" s="4" t="n">
        <f aca="false">(D6-C6)*Assumptions!$B$23/100</f>
        <v>-0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628.96531547</v>
      </c>
      <c r="D19" s="0" t="n">
        <f aca="false">D15+D16+D17+D18</f>
        <v>581.4521882708</v>
      </c>
      <c r="E19" s="0" t="n">
        <f aca="false">E15+E16+E17+E18</f>
        <v>652.2369470666</v>
      </c>
      <c r="F19" s="0" t="n">
        <f aca="false">F15+F16+F17+F18</f>
        <v>718.257699834612</v>
      </c>
      <c r="G19" s="0" t="n">
        <f aca="false">G15+G16+G17+G18</f>
        <v>803.806783639692</v>
      </c>
      <c r="H19" s="0" t="n">
        <f aca="false">H15+H16+H17+H18</f>
        <v>839.026012011927</v>
      </c>
      <c r="I19" s="0" t="n">
        <f aca="false">I15+I16+I17+I18</f>
        <v>887.876027917075</v>
      </c>
      <c r="J19" s="0" t="n">
        <f aca="false">J15+J16+J17+J18</f>
        <v>931.486409288297</v>
      </c>
      <c r="K19" s="0" t="n">
        <f aca="false">K15+K16+K17+K18</f>
        <v>943.134832640599</v>
      </c>
      <c r="L19" s="0" t="n">
        <f aca="false">L15+L16+L17+L18</f>
        <v>957.281855130208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569.199380515837</v>
      </c>
      <c r="D21" s="0" t="n">
        <f aca="false">D19*D20</f>
        <v>476.200068197457</v>
      </c>
      <c r="E21" s="0" t="n">
        <f aca="false">E19*E20</f>
        <v>483.413263940753</v>
      </c>
      <c r="F21" s="0" t="n">
        <f aca="false">F19*F20</f>
        <v>481.760488245027</v>
      </c>
      <c r="G21" s="0" t="n">
        <f aca="false">G19*G20</f>
        <v>487.910626466131</v>
      </c>
      <c r="H21" s="0" t="n">
        <f aca="false">H19*H20</f>
        <v>460.894745784581</v>
      </c>
      <c r="I21" s="0" t="n">
        <f aca="false">I19*I20</f>
        <v>441.383794929397</v>
      </c>
      <c r="J21" s="0" t="n">
        <f aca="false">J19*J20</f>
        <v>419.062016639116</v>
      </c>
      <c r="K21" s="0" t="n">
        <f aca="false">K19*K20</f>
        <v>383.984136423294</v>
      </c>
      <c r="L21" s="0" t="n">
        <f aca="false">L19*L20</f>
        <v>352.709410379768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10.5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9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4556.51793152136</v>
      </c>
    </row>
    <row r="31" customFormat="false" ht="15" hidden="false" customHeight="false" outlineLevel="0" collapsed="false">
      <c r="A31" s="0" t="s">
        <v>137</v>
      </c>
      <c r="B31" s="0" t="n">
        <f aca="false">L19</f>
        <v>957.281855130208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11487.3822615625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8615.53669617187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8615.53669617187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3174.38469341791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7730.90262493927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10831.0026249393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20.7907880667303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-0.370357720571463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1228.8584303352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882.442042648396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24.843561590939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7510.98070948317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16.6775274011097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3</v>
      </c>
      <c r="D5" s="4" t="n">
        <f aca="false">Assumptions!D27</f>
        <v>3</v>
      </c>
      <c r="E5" s="4" t="n">
        <f aca="false">Assumptions!E27</f>
        <v>2.5</v>
      </c>
      <c r="F5" s="4" t="n">
        <f aca="false">Assumptions!F27</f>
        <v>2.5</v>
      </c>
      <c r="G5" s="4" t="n">
        <f aca="false">Assumptions!G27</f>
        <v>2</v>
      </c>
      <c r="H5" s="4" t="n">
        <f aca="false">Assumptions!H27</f>
        <v>2</v>
      </c>
      <c r="I5" s="4" t="n">
        <f aca="false">Assumptions!I27</f>
        <v>2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37</v>
      </c>
      <c r="B6" s="3" t="n">
        <v>8770.7</v>
      </c>
      <c r="C6" s="0" t="n">
        <f aca="false">B6*(1+C5/100)</f>
        <v>9033.821</v>
      </c>
      <c r="D6" s="0" t="n">
        <f aca="false">C6*(1+D5/100)</f>
        <v>9304.83563</v>
      </c>
      <c r="E6" s="0" t="n">
        <f aca="false">D6*(1+E5/100)</f>
        <v>9537.45652075</v>
      </c>
      <c r="F6" s="0" t="n">
        <f aca="false">E6*(1+F5/100)</f>
        <v>9775.89293376875</v>
      </c>
      <c r="G6" s="0" t="n">
        <f aca="false">F6*(1+G5/100)</f>
        <v>9971.41079244413</v>
      </c>
      <c r="H6" s="0" t="n">
        <f aca="false">G6*(1+H5/100)</f>
        <v>10170.839008293</v>
      </c>
      <c r="I6" s="0" t="n">
        <f aca="false">H6*(1+I5/100)</f>
        <v>10374.2557884589</v>
      </c>
      <c r="J6" s="0" t="n">
        <f aca="false">I6*(1+J5/100)</f>
        <v>10581.740904228</v>
      </c>
      <c r="K6" s="0" t="n">
        <f aca="false">J6*(1+K5/100)</f>
        <v>10793.3757223126</v>
      </c>
      <c r="L6" s="0" t="n">
        <f aca="false">K6*(1+L5/100)</f>
        <v>11009.2432367589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16.5</v>
      </c>
      <c r="D7" s="4" t="n">
        <f aca="false">Assumptions!D28</f>
        <v>18</v>
      </c>
      <c r="E7" s="4" t="n">
        <f aca="false">Assumptions!E28</f>
        <v>19.5</v>
      </c>
      <c r="F7" s="4" t="n">
        <f aca="false">Assumptions!F28</f>
        <v>20.5</v>
      </c>
      <c r="G7" s="4" t="n">
        <f aca="false">Assumptions!G28</f>
        <v>21</v>
      </c>
      <c r="H7" s="4" t="n">
        <f aca="false">Assumptions!H28</f>
        <v>21.5</v>
      </c>
      <c r="I7" s="4" t="n">
        <f aca="false">Assumptions!I28</f>
        <v>21.5</v>
      </c>
      <c r="J7" s="4" t="n">
        <f aca="false">Assumptions!J28</f>
        <v>22</v>
      </c>
      <c r="K7" s="4" t="n">
        <f aca="false">Assumptions!K28</f>
        <v>22</v>
      </c>
      <c r="L7" s="4" t="n">
        <f aca="false">Assumptions!L28</f>
        <v>22</v>
      </c>
    </row>
    <row r="8" customFormat="false" ht="15" hidden="false" customHeight="false" outlineLevel="0" collapsed="false">
      <c r="A8" s="0" t="s">
        <v>43</v>
      </c>
      <c r="C8" s="0" t="n">
        <f aca="false">C6*C7/100</f>
        <v>1490.580465</v>
      </c>
      <c r="D8" s="0" t="n">
        <f aca="false">D6*D7/100</f>
        <v>1674.8704134</v>
      </c>
      <c r="E8" s="0" t="n">
        <f aca="false">E6*E7/100</f>
        <v>1859.80402154625</v>
      </c>
      <c r="F8" s="0" t="n">
        <f aca="false">F6*F7/100</f>
        <v>2004.05805142259</v>
      </c>
      <c r="G8" s="0" t="n">
        <f aca="false">G6*G7/100</f>
        <v>2093.99626641327</v>
      </c>
      <c r="H8" s="0" t="n">
        <f aca="false">H6*H7/100</f>
        <v>2186.730386783</v>
      </c>
      <c r="I8" s="0" t="n">
        <f aca="false">I6*I7/100</f>
        <v>2230.46499451866</v>
      </c>
      <c r="J8" s="0" t="n">
        <f aca="false">J6*J7/100</f>
        <v>2327.98299893017</v>
      </c>
      <c r="K8" s="0" t="n">
        <f aca="false">K6*K7/100</f>
        <v>2374.54265890877</v>
      </c>
      <c r="L8" s="0" t="n">
        <f aca="false">L6*L7/100</f>
        <v>2422.03351208695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2.4</v>
      </c>
      <c r="D9" s="4" t="n">
        <f aca="false">Assumptions!D29</f>
        <v>2.3</v>
      </c>
      <c r="E9" s="4" t="n">
        <f aca="false">Assumptions!E29</f>
        <v>2.2</v>
      </c>
      <c r="F9" s="4" t="n">
        <f aca="false">Assumptions!F29</f>
        <v>2.1</v>
      </c>
      <c r="G9" s="4" t="n">
        <f aca="false">Assumptions!G29</f>
        <v>2.1</v>
      </c>
      <c r="H9" s="4" t="n">
        <f aca="false">Assumptions!H29</f>
        <v>2</v>
      </c>
      <c r="I9" s="4" t="n">
        <f aca="false">Assumptions!I29</f>
        <v>2</v>
      </c>
      <c r="J9" s="4" t="n">
        <f aca="false">Assumptions!J29</f>
        <v>2</v>
      </c>
      <c r="K9" s="4" t="n">
        <f aca="false">Assumptions!K29</f>
        <v>2</v>
      </c>
      <c r="L9" s="4" t="n">
        <f aca="false">Assumptions!L29</f>
        <v>2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-216.811704</v>
      </c>
      <c r="D10" s="0" t="n">
        <f aca="false">-D6*D9/100</f>
        <v>-214.01121949</v>
      </c>
      <c r="E10" s="0" t="n">
        <f aca="false">-E6*E9/100</f>
        <v>-209.8240434565</v>
      </c>
      <c r="F10" s="0" t="n">
        <f aca="false">-F6*F9/100</f>
        <v>-205.293751609144</v>
      </c>
      <c r="G10" s="0" t="n">
        <f aca="false">-G6*G9/100</f>
        <v>-209.399626641327</v>
      </c>
      <c r="H10" s="0" t="n">
        <f aca="false">-H6*H9/100</f>
        <v>-203.41678016586</v>
      </c>
      <c r="I10" s="0" t="n">
        <f aca="false">-I6*I9/100</f>
        <v>-207.485115769177</v>
      </c>
      <c r="J10" s="0" t="n">
        <f aca="false">-J6*J9/100</f>
        <v>-211.634818084561</v>
      </c>
      <c r="K10" s="0" t="n">
        <f aca="false">-K6*K9/100</f>
        <v>-215.867514446252</v>
      </c>
      <c r="L10" s="0" t="n">
        <f aca="false">-L6*L9/100</f>
        <v>-220.184864735177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1273.768761</v>
      </c>
      <c r="D11" s="0" t="n">
        <f aca="false">D8+D10+D24</f>
        <v>1460.85919391</v>
      </c>
      <c r="E11" s="0" t="n">
        <f aca="false">E8+E10+E24</f>
        <v>1649.97997808975</v>
      </c>
      <c r="F11" s="0" t="n">
        <f aca="false">F8+F10+F24</f>
        <v>1798.76429981345</v>
      </c>
      <c r="G11" s="0" t="n">
        <f aca="false">G8+G10+G24</f>
        <v>1884.59663977194</v>
      </c>
      <c r="H11" s="0" t="n">
        <f aca="false">H8+H10+H24</f>
        <v>1983.31360661714</v>
      </c>
      <c r="I11" s="0" t="n">
        <f aca="false">I8+I10+I24</f>
        <v>2022.97987874948</v>
      </c>
      <c r="J11" s="0" t="n">
        <f aca="false">J8+J10+J24</f>
        <v>2116.34818084561</v>
      </c>
      <c r="K11" s="0" t="n">
        <f aca="false">K8+K10+K24</f>
        <v>2158.67514446252</v>
      </c>
      <c r="L11" s="0" t="n">
        <f aca="false">L8+L10+L24</f>
        <v>2201.84864735177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-542.02926</v>
      </c>
      <c r="D12" s="4" t="n">
        <f aca="false">-D6*Assumptions!D31/100</f>
        <v>-539.68046654</v>
      </c>
      <c r="E12" s="4" t="n">
        <f aca="false">-E6*Assumptions!E31/100</f>
        <v>-534.097565162</v>
      </c>
      <c r="F12" s="4" t="n">
        <f aca="false">-F6*Assumptions!F31/100</f>
        <v>-527.898218423513</v>
      </c>
      <c r="G12" s="4" t="n">
        <f aca="false">-G6*Assumptions!G31/100</f>
        <v>-518.513361207095</v>
      </c>
      <c r="H12" s="4" t="n">
        <f aca="false">-H6*Assumptions!H31/100</f>
        <v>-508.54195041465</v>
      </c>
      <c r="I12" s="4" t="n">
        <f aca="false">-I6*Assumptions!I31/100</f>
        <v>-518.712789422943</v>
      </c>
      <c r="J12" s="4" t="n">
        <f aca="false">-J6*Assumptions!J31/100</f>
        <v>-529.087045211402</v>
      </c>
      <c r="K12" s="4" t="n">
        <f aca="false">-K6*Assumptions!K31/100</f>
        <v>-539.66878611563</v>
      </c>
      <c r="L12" s="4" t="n">
        <f aca="false">-L6*Assumptions!L31/100</f>
        <v>-550.462161837943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731.739501</v>
      </c>
      <c r="D13" s="0" t="n">
        <f aca="false">D11+D12</f>
        <v>921.17872737</v>
      </c>
      <c r="E13" s="0" t="n">
        <f aca="false">E11+E12</f>
        <v>1115.88241292775</v>
      </c>
      <c r="F13" s="0" t="n">
        <f aca="false">F11+F12</f>
        <v>1270.86608138994</v>
      </c>
      <c r="G13" s="0" t="n">
        <f aca="false">G11+G12</f>
        <v>1366.08327856485</v>
      </c>
      <c r="H13" s="0" t="n">
        <f aca="false">H11+H12</f>
        <v>1474.77165620249</v>
      </c>
      <c r="I13" s="0" t="n">
        <f aca="false">I11+I12</f>
        <v>1504.26708932654</v>
      </c>
      <c r="J13" s="0" t="n">
        <f aca="false">J11+J12</f>
        <v>1587.26113563421</v>
      </c>
      <c r="K13" s="0" t="n">
        <f aca="false">K11+K12</f>
        <v>1619.00635834689</v>
      </c>
      <c r="L13" s="0" t="n">
        <f aca="false">L11+L12</f>
        <v>1651.38648551383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26</v>
      </c>
      <c r="D14" s="4" t="n">
        <f aca="false">Assumptions!D33</f>
        <v>26</v>
      </c>
      <c r="E14" s="4" t="n">
        <f aca="false">Assumptions!E33</f>
        <v>26</v>
      </c>
      <c r="F14" s="4" t="n">
        <f aca="false">Assumptions!F33</f>
        <v>26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541.48723074</v>
      </c>
      <c r="D15" s="0" t="n">
        <f aca="false">D13-MAX(0,D13)*D14/100</f>
        <v>681.6722582538</v>
      </c>
      <c r="E15" s="0" t="n">
        <f aca="false">E13-MAX(0,E13)*E14/100</f>
        <v>825.752985566535</v>
      </c>
      <c r="F15" s="0" t="n">
        <f aca="false">F13-MAX(0,F13)*F14/100</f>
        <v>940.440900228554</v>
      </c>
      <c r="G15" s="0" t="n">
        <f aca="false">G13-MAX(0,G13)*G14/100</f>
        <v>1024.56245892363</v>
      </c>
      <c r="H15" s="0" t="n">
        <f aca="false">H13-MAX(0,H13)*H14/100</f>
        <v>1106.07874215186</v>
      </c>
      <c r="I15" s="0" t="n">
        <f aca="false">I13-MAX(0,I13)*I14/100</f>
        <v>1128.2003169949</v>
      </c>
      <c r="J15" s="0" t="n">
        <f aca="false">J13-MAX(0,J13)*J14/100</f>
        <v>1190.44585172566</v>
      </c>
      <c r="K15" s="0" t="n">
        <f aca="false">K13-MAX(0,K13)*K14/100</f>
        <v>1214.25476876017</v>
      </c>
      <c r="L15" s="0" t="n">
        <f aca="false">L13-MAX(0,L13)*L14/100</f>
        <v>1238.53986413537</v>
      </c>
    </row>
    <row r="16" customFormat="false" ht="15" hidden="false" customHeight="false" outlineLevel="0" collapsed="false">
      <c r="A16" s="0" t="s">
        <v>128</v>
      </c>
      <c r="C16" s="0" t="n">
        <f aca="false">-C12</f>
        <v>542.02926</v>
      </c>
      <c r="D16" s="0" t="n">
        <f aca="false">-D12</f>
        <v>539.68046654</v>
      </c>
      <c r="E16" s="0" t="n">
        <f aca="false">-E12</f>
        <v>534.097565162</v>
      </c>
      <c r="F16" s="0" t="n">
        <f aca="false">-F12</f>
        <v>527.898218423513</v>
      </c>
      <c r="G16" s="0" t="n">
        <f aca="false">-G12</f>
        <v>518.513361207095</v>
      </c>
      <c r="H16" s="0" t="n">
        <f aca="false">-H12</f>
        <v>508.54195041465</v>
      </c>
      <c r="I16" s="0" t="n">
        <f aca="false">-I12</f>
        <v>518.712789422943</v>
      </c>
      <c r="J16" s="0" t="n">
        <f aca="false">-J12</f>
        <v>529.087045211402</v>
      </c>
      <c r="K16" s="0" t="n">
        <f aca="false">-K12</f>
        <v>539.66878611563</v>
      </c>
      <c r="L16" s="0" t="n">
        <f aca="false">-L12</f>
        <v>550.462161837943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-162.608778</v>
      </c>
      <c r="D17" s="4" t="n">
        <f aca="false">-D6*Assumptions!D32/100</f>
        <v>-167.48704134</v>
      </c>
      <c r="E17" s="4" t="n">
        <f aca="false">-E6*Assumptions!E32/100</f>
        <v>-162.13676085275</v>
      </c>
      <c r="F17" s="4" t="n">
        <f aca="false">-F6*Assumptions!F32/100</f>
        <v>-166.190179874069</v>
      </c>
      <c r="G17" s="4" t="n">
        <f aca="false">-G6*Assumptions!G32/100</f>
        <v>-159.542572679106</v>
      </c>
      <c r="H17" s="4" t="n">
        <f aca="false">-H6*Assumptions!H32/100</f>
        <v>-162.733424132688</v>
      </c>
      <c r="I17" s="4" t="n">
        <f aca="false">-I6*Assumptions!I32/100</f>
        <v>-165.988092615342</v>
      </c>
      <c r="J17" s="4" t="n">
        <f aca="false">-J6*Assumptions!J32/100</f>
        <v>-169.307854467649</v>
      </c>
      <c r="K17" s="4" t="n">
        <f aca="false">-K6*Assumptions!K32/100</f>
        <v>-172.694011557002</v>
      </c>
      <c r="L17" s="4" t="n">
        <f aca="false">-L6*Assumptions!L32/100</f>
        <v>-176.147891788142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920.90771274</v>
      </c>
      <c r="D19" s="0" t="n">
        <f aca="false">D15+D16+D17+D18</f>
        <v>1053.8656834538</v>
      </c>
      <c r="E19" s="0" t="n">
        <f aca="false">E15+E16+E17+E18</f>
        <v>1197.71378987578</v>
      </c>
      <c r="F19" s="0" t="n">
        <f aca="false">F15+F16+F17+F18</f>
        <v>1302.148938778</v>
      </c>
      <c r="G19" s="0" t="n">
        <f aca="false">G15+G16+G17+G18</f>
        <v>1383.53324745162</v>
      </c>
      <c r="H19" s="0" t="n">
        <f aca="false">H15+H16+H17+H18</f>
        <v>1451.88726843383</v>
      </c>
      <c r="I19" s="0" t="n">
        <f aca="false">I15+I16+I17+I18</f>
        <v>1480.9250138025</v>
      </c>
      <c r="J19" s="0" t="n">
        <f aca="false">J15+J16+J17+J18</f>
        <v>1550.22504246941</v>
      </c>
      <c r="K19" s="0" t="n">
        <f aca="false">K15+K16+K17+K18</f>
        <v>1581.2295433188</v>
      </c>
      <c r="L19" s="0" t="n">
        <f aca="false">L15+L16+L17+L18</f>
        <v>1612.85413418517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833.400645013575</v>
      </c>
      <c r="D21" s="0" t="n">
        <f aca="false">D19*D20</f>
        <v>863.099185892017</v>
      </c>
      <c r="E21" s="0" t="n">
        <f aca="false">E19*E20</f>
        <v>887.699991597657</v>
      </c>
      <c r="F21" s="0" t="n">
        <f aca="false">F19*F20</f>
        <v>873.396705190743</v>
      </c>
      <c r="G21" s="0" t="n">
        <f aca="false">G19*G20</f>
        <v>839.804524221868</v>
      </c>
      <c r="H21" s="0" t="n">
        <f aca="false">H19*H20</f>
        <v>797.552404708003</v>
      </c>
      <c r="I21" s="0" t="n">
        <f aca="false">I19*I20</f>
        <v>736.202219730464</v>
      </c>
      <c r="J21" s="0" t="n">
        <f aca="false">J19*J20</f>
        <v>697.423414946063</v>
      </c>
      <c r="K21" s="0" t="n">
        <f aca="false">K19*K20</f>
        <v>643.775459950212</v>
      </c>
      <c r="L21" s="0" t="n">
        <f aca="false">L19*L20</f>
        <v>594.254270723273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10.5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7766.60882197388</v>
      </c>
    </row>
    <row r="31" customFormat="false" ht="15" hidden="false" customHeight="false" outlineLevel="0" collapsed="false">
      <c r="A31" s="0" t="s">
        <v>137</v>
      </c>
      <c r="B31" s="0" t="n">
        <f aca="false">L19</f>
        <v>1612.85413418517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22149.8634428097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19354.2496102221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19354.2496102221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7131.05124867927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14897.6600706532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17997.7600706532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34.547827958532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0.0462697746375522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1270.91080386614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1114.14225045729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39.1260867123585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13843.6646517561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24.7219395534695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5.5</v>
      </c>
      <c r="D5" s="4" t="n">
        <f aca="false">Assumptions!D41</f>
        <v>6</v>
      </c>
      <c r="E5" s="4" t="n">
        <f aca="false">Assumptions!E41</f>
        <v>5.5</v>
      </c>
      <c r="F5" s="4" t="n">
        <f aca="false">Assumptions!F41</f>
        <v>5</v>
      </c>
      <c r="G5" s="4" t="n">
        <f aca="false">Assumptions!G41</f>
        <v>4</v>
      </c>
      <c r="H5" s="4" t="n">
        <f aca="false">Assumptions!H41</f>
        <v>3.5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8770.7</v>
      </c>
      <c r="C6" s="0" t="n">
        <f aca="false">B6*(1+C5/100)</f>
        <v>9253.0885</v>
      </c>
      <c r="D6" s="0" t="n">
        <f aca="false">C6*(1+D5/100)</f>
        <v>9808.27381</v>
      </c>
      <c r="E6" s="0" t="n">
        <f aca="false">D6*(1+E5/100)</f>
        <v>10347.72886955</v>
      </c>
      <c r="F6" s="0" t="n">
        <f aca="false">E6*(1+F5/100)</f>
        <v>10865.1153130275</v>
      </c>
      <c r="G6" s="0" t="n">
        <f aca="false">F6*(1+G5/100)</f>
        <v>11299.7199255486</v>
      </c>
      <c r="H6" s="0" t="n">
        <f aca="false">G6*(1+H5/100)</f>
        <v>11695.2101229428</v>
      </c>
      <c r="I6" s="0" t="n">
        <f aca="false">H6*(1+I5/100)</f>
        <v>12046.0664266311</v>
      </c>
      <c r="J6" s="0" t="n">
        <f aca="false">I6*(1+J5/100)</f>
        <v>12407.44841943</v>
      </c>
      <c r="K6" s="0" t="n">
        <f aca="false">J6*(1+K5/100)</f>
        <v>12779.6718720129</v>
      </c>
      <c r="L6" s="0" t="n">
        <f aca="false">K6*(1+L5/100)</f>
        <v>13163.0620281733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18</v>
      </c>
      <c r="D7" s="4" t="n">
        <f aca="false">Assumptions!D42</f>
        <v>20.5</v>
      </c>
      <c r="E7" s="4" t="n">
        <f aca="false">Assumptions!E42</f>
        <v>23</v>
      </c>
      <c r="F7" s="4" t="n">
        <f aca="false">Assumptions!F42</f>
        <v>24.5</v>
      </c>
      <c r="G7" s="4" t="n">
        <f aca="false">Assumptions!G42</f>
        <v>25.5</v>
      </c>
      <c r="H7" s="4" t="n">
        <f aca="false">Assumptions!H42</f>
        <v>26</v>
      </c>
      <c r="I7" s="4" t="n">
        <f aca="false">Assumptions!I42</f>
        <v>26.5</v>
      </c>
      <c r="J7" s="4" t="n">
        <f aca="false">Assumptions!J42</f>
        <v>27</v>
      </c>
      <c r="K7" s="4" t="n">
        <f aca="false">Assumptions!K42</f>
        <v>27</v>
      </c>
      <c r="L7" s="4" t="n">
        <f aca="false">Assumptions!L42</f>
        <v>27</v>
      </c>
    </row>
    <row r="8" customFormat="false" ht="15" hidden="false" customHeight="false" outlineLevel="0" collapsed="false">
      <c r="A8" s="0" t="s">
        <v>43</v>
      </c>
      <c r="C8" s="0" t="n">
        <f aca="false">C6*C7/100</f>
        <v>1665.55593</v>
      </c>
      <c r="D8" s="0" t="n">
        <f aca="false">D6*D7/100</f>
        <v>2010.69613105</v>
      </c>
      <c r="E8" s="0" t="n">
        <f aca="false">E6*E7/100</f>
        <v>2379.9776399965</v>
      </c>
      <c r="F8" s="0" t="n">
        <f aca="false">F6*F7/100</f>
        <v>2661.95325169174</v>
      </c>
      <c r="G8" s="0" t="n">
        <f aca="false">G6*G7/100</f>
        <v>2881.42858101489</v>
      </c>
      <c r="H8" s="0" t="n">
        <f aca="false">H6*H7/100</f>
        <v>3040.75463196513</v>
      </c>
      <c r="I8" s="0" t="n">
        <f aca="false">I6*I7/100</f>
        <v>3192.20760305724</v>
      </c>
      <c r="J8" s="0" t="n">
        <f aca="false">J6*J7/100</f>
        <v>3350.01107324611</v>
      </c>
      <c r="K8" s="0" t="n">
        <f aca="false">K6*K7/100</f>
        <v>3450.51140544349</v>
      </c>
      <c r="L8" s="0" t="n">
        <f aca="false">L6*L7/100</f>
        <v>3554.02674760679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2.3</v>
      </c>
      <c r="D9" s="4" t="n">
        <f aca="false">Assumptions!D43</f>
        <v>2.1</v>
      </c>
      <c r="E9" s="4" t="n">
        <f aca="false">Assumptions!E43</f>
        <v>2</v>
      </c>
      <c r="F9" s="4" t="n">
        <f aca="false">Assumptions!F43</f>
        <v>1.9</v>
      </c>
      <c r="G9" s="4" t="n">
        <f aca="false">Assumptions!G43</f>
        <v>1.8</v>
      </c>
      <c r="H9" s="4" t="n">
        <f aca="false">Assumptions!H43</f>
        <v>1.8</v>
      </c>
      <c r="I9" s="4" t="n">
        <f aca="false">Assumptions!I43</f>
        <v>1.7</v>
      </c>
      <c r="J9" s="4" t="n">
        <f aca="false">Assumptions!J43</f>
        <v>1.7</v>
      </c>
      <c r="K9" s="4" t="n">
        <f aca="false">Assumptions!K43</f>
        <v>1.7</v>
      </c>
      <c r="L9" s="4" t="n">
        <f aca="false">Assumptions!L43</f>
        <v>1.7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-212.8210355</v>
      </c>
      <c r="D10" s="0" t="n">
        <f aca="false">-D6*D9/100</f>
        <v>-205.97375001</v>
      </c>
      <c r="E10" s="0" t="n">
        <f aca="false">-E6*E9/100</f>
        <v>-206.954577391</v>
      </c>
      <c r="F10" s="0" t="n">
        <f aca="false">-F6*F9/100</f>
        <v>-206.437190947522</v>
      </c>
      <c r="G10" s="0" t="n">
        <f aca="false">-G6*G9/100</f>
        <v>-203.394958659875</v>
      </c>
      <c r="H10" s="0" t="n">
        <f aca="false">-H6*H9/100</f>
        <v>-210.51378221297</v>
      </c>
      <c r="I10" s="0" t="n">
        <f aca="false">-I6*I9/100</f>
        <v>-204.783129252728</v>
      </c>
      <c r="J10" s="0" t="n">
        <f aca="false">-J6*J9/100</f>
        <v>-210.92662313031</v>
      </c>
      <c r="K10" s="0" t="n">
        <f aca="false">-K6*K9/100</f>
        <v>-217.25442182422</v>
      </c>
      <c r="L10" s="0" t="n">
        <f aca="false">-L6*L9/100</f>
        <v>-223.772054478946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1452.7348945</v>
      </c>
      <c r="D11" s="0" t="n">
        <f aca="false">D8+D10+D24</f>
        <v>1804.72238104</v>
      </c>
      <c r="E11" s="0" t="n">
        <f aca="false">E8+E10+E24</f>
        <v>2173.0230626055</v>
      </c>
      <c r="F11" s="0" t="n">
        <f aca="false">F8+F10+F24</f>
        <v>2455.51606074422</v>
      </c>
      <c r="G11" s="0" t="n">
        <f aca="false">G8+G10+G24</f>
        <v>2678.03362235502</v>
      </c>
      <c r="H11" s="0" t="n">
        <f aca="false">H8+H10+H24</f>
        <v>2830.24084975216</v>
      </c>
      <c r="I11" s="0" t="n">
        <f aca="false">I8+I10+I24</f>
        <v>2987.42447380451</v>
      </c>
      <c r="J11" s="0" t="n">
        <f aca="false">J8+J10+J24</f>
        <v>3139.08445011579</v>
      </c>
      <c r="K11" s="0" t="n">
        <f aca="false">K8+K10+K24</f>
        <v>3233.25698361927</v>
      </c>
      <c r="L11" s="0" t="n">
        <f aca="false">L8+L10+L24</f>
        <v>3330.25469312785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-536.679133</v>
      </c>
      <c r="D12" s="4" t="n">
        <f aca="false">-D6*Assumptions!D45/100</f>
        <v>-539.45505955</v>
      </c>
      <c r="E12" s="4" t="n">
        <f aca="false">-E6*Assumptions!E45/100</f>
        <v>-538.0819012166</v>
      </c>
      <c r="F12" s="4" t="n">
        <f aca="false">-F6*Assumptions!F45/100</f>
        <v>-543.255765651375</v>
      </c>
      <c r="G12" s="4" t="n">
        <f aca="false">-G6*Assumptions!G45/100</f>
        <v>-542.386556426333</v>
      </c>
      <c r="H12" s="4" t="n">
        <f aca="false">-H6*Assumptions!H45/100</f>
        <v>-537.979665655369</v>
      </c>
      <c r="I12" s="4" t="n">
        <f aca="false">-I6*Assumptions!I45/100</f>
        <v>-542.072989198399</v>
      </c>
      <c r="J12" s="4" t="n">
        <f aca="false">-J6*Assumptions!J45/100</f>
        <v>-558.335178874351</v>
      </c>
      <c r="K12" s="4" t="n">
        <f aca="false">-K6*Assumptions!K45/100</f>
        <v>-575.085234240581</v>
      </c>
      <c r="L12" s="4" t="n">
        <f aca="false">-L6*Assumptions!L45/100</f>
        <v>-592.337791267799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916.0557615</v>
      </c>
      <c r="D13" s="0" t="n">
        <f aca="false">D11+D12</f>
        <v>1265.26732149</v>
      </c>
      <c r="E13" s="0" t="n">
        <f aca="false">E11+E12</f>
        <v>1634.9411613889</v>
      </c>
      <c r="F13" s="0" t="n">
        <f aca="false">F11+F12</f>
        <v>1912.26029509284</v>
      </c>
      <c r="G13" s="0" t="n">
        <f aca="false">G11+G12</f>
        <v>2135.64706592869</v>
      </c>
      <c r="H13" s="0" t="n">
        <f aca="false">H11+H12</f>
        <v>2292.26118409679</v>
      </c>
      <c r="I13" s="0" t="n">
        <f aca="false">I11+I12</f>
        <v>2445.35148460611</v>
      </c>
      <c r="J13" s="0" t="n">
        <f aca="false">J11+J12</f>
        <v>2580.74927124144</v>
      </c>
      <c r="K13" s="0" t="n">
        <f aca="false">K11+K12</f>
        <v>2658.17174937869</v>
      </c>
      <c r="L13" s="0" t="n">
        <f aca="false">L11+L12</f>
        <v>2737.91690186005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25</v>
      </c>
      <c r="D14" s="4" t="n">
        <f aca="false">Assumptions!D47</f>
        <v>25</v>
      </c>
      <c r="E14" s="4" t="n">
        <f aca="false">Assumptions!E47</f>
        <v>25</v>
      </c>
      <c r="F14" s="4" t="n">
        <f aca="false">Assumptions!F47</f>
        <v>24</v>
      </c>
      <c r="G14" s="4" t="n">
        <f aca="false">Assumptions!G47</f>
        <v>24</v>
      </c>
      <c r="H14" s="4" t="n">
        <f aca="false">Assumptions!H47</f>
        <v>24</v>
      </c>
      <c r="I14" s="4" t="n">
        <f aca="false">Assumptions!I47</f>
        <v>24</v>
      </c>
      <c r="J14" s="4" t="n">
        <f aca="false">Assumptions!J47</f>
        <v>24</v>
      </c>
      <c r="K14" s="4" t="n">
        <f aca="false">Assumptions!K47</f>
        <v>24</v>
      </c>
      <c r="L14" s="4" t="n">
        <f aca="false">Assumptions!L47</f>
        <v>24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687.041821125</v>
      </c>
      <c r="D15" s="0" t="n">
        <f aca="false">D13-MAX(0,D13)*D14/100</f>
        <v>948.9504911175</v>
      </c>
      <c r="E15" s="0" t="n">
        <f aca="false">E13-MAX(0,E13)*E14/100</f>
        <v>1226.20587104168</v>
      </c>
      <c r="F15" s="0" t="n">
        <f aca="false">F13-MAX(0,F13)*F14/100</f>
        <v>1453.31782427056</v>
      </c>
      <c r="G15" s="0" t="n">
        <f aca="false">G13-MAX(0,G13)*G14/100</f>
        <v>1623.0917701058</v>
      </c>
      <c r="H15" s="0" t="n">
        <f aca="false">H13-MAX(0,H13)*H14/100</f>
        <v>1742.11849991356</v>
      </c>
      <c r="I15" s="0" t="n">
        <f aca="false">I13-MAX(0,I13)*I14/100</f>
        <v>1858.46712830064</v>
      </c>
      <c r="J15" s="0" t="n">
        <f aca="false">J13-MAX(0,J13)*J14/100</f>
        <v>1961.3694461435</v>
      </c>
      <c r="K15" s="0" t="n">
        <f aca="false">K13-MAX(0,K13)*K14/100</f>
        <v>2020.2105295278</v>
      </c>
      <c r="L15" s="0" t="n">
        <f aca="false">L13-MAX(0,L13)*L14/100</f>
        <v>2080.81684541364</v>
      </c>
    </row>
    <row r="16" customFormat="false" ht="15" hidden="false" customHeight="false" outlineLevel="0" collapsed="false">
      <c r="A16" s="0" t="s">
        <v>128</v>
      </c>
      <c r="C16" s="0" t="n">
        <f aca="false">-C12</f>
        <v>536.679133</v>
      </c>
      <c r="D16" s="0" t="n">
        <f aca="false">-D12</f>
        <v>539.45505955</v>
      </c>
      <c r="E16" s="0" t="n">
        <f aca="false">-E12</f>
        <v>538.0819012166</v>
      </c>
      <c r="F16" s="0" t="n">
        <f aca="false">-F12</f>
        <v>543.255765651375</v>
      </c>
      <c r="G16" s="0" t="n">
        <f aca="false">-G12</f>
        <v>542.386556426333</v>
      </c>
      <c r="H16" s="0" t="n">
        <f aca="false">-H12</f>
        <v>537.979665655369</v>
      </c>
      <c r="I16" s="0" t="n">
        <f aca="false">-I12</f>
        <v>542.072989198399</v>
      </c>
      <c r="J16" s="0" t="n">
        <f aca="false">-J12</f>
        <v>558.335178874351</v>
      </c>
      <c r="K16" s="0" t="n">
        <f aca="false">-K12</f>
        <v>575.085234240581</v>
      </c>
      <c r="L16" s="0" t="n">
        <f aca="false">-L12</f>
        <v>592.337791267799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-157.3025045</v>
      </c>
      <c r="D17" s="4" t="n">
        <f aca="false">-D6*Assumptions!D46/100</f>
        <v>-166.74065477</v>
      </c>
      <c r="E17" s="4" t="n">
        <f aca="false">-E6*Assumptions!E46/100</f>
        <v>-165.5636619128</v>
      </c>
      <c r="F17" s="4" t="n">
        <f aca="false">-F6*Assumptions!F46/100</f>
        <v>-173.84184500844</v>
      </c>
      <c r="G17" s="4" t="n">
        <f aca="false">-G6*Assumptions!G46/100</f>
        <v>-169.495798883229</v>
      </c>
      <c r="H17" s="4" t="n">
        <f aca="false">-H6*Assumptions!H46/100</f>
        <v>-175.428151844142</v>
      </c>
      <c r="I17" s="4" t="n">
        <f aca="false">-I6*Assumptions!I46/100</f>
        <v>-180.690996399466</v>
      </c>
      <c r="J17" s="4" t="n">
        <f aca="false">-J6*Assumptions!J46/100</f>
        <v>-186.11172629145</v>
      </c>
      <c r="K17" s="4" t="n">
        <f aca="false">-K6*Assumptions!K46/100</f>
        <v>-191.695078080194</v>
      </c>
      <c r="L17" s="4" t="n">
        <f aca="false">-L6*Assumptions!L46/100</f>
        <v>-197.4459304226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1066.418449625</v>
      </c>
      <c r="D19" s="0" t="n">
        <f aca="false">D15+D16+D17+D18</f>
        <v>1321.6648958975</v>
      </c>
      <c r="E19" s="0" t="n">
        <f aca="false">E15+E16+E17+E18</f>
        <v>1598.72411034547</v>
      </c>
      <c r="F19" s="0" t="n">
        <f aca="false">F15+F16+F17+F18</f>
        <v>1822.73174491349</v>
      </c>
      <c r="G19" s="0" t="n">
        <f aca="false">G15+G16+G17+G18</f>
        <v>1995.9825276489</v>
      </c>
      <c r="H19" s="0" t="n">
        <f aca="false">H15+H16+H17+H18</f>
        <v>2104.67001372479</v>
      </c>
      <c r="I19" s="0" t="n">
        <f aca="false">I15+I16+I17+I18</f>
        <v>2219.84912109958</v>
      </c>
      <c r="J19" s="0" t="n">
        <f aca="false">J15+J16+J17+J18</f>
        <v>2333.5928987264</v>
      </c>
      <c r="K19" s="0" t="n">
        <f aca="false">K15+K16+K17+K18</f>
        <v>2403.60068568819</v>
      </c>
      <c r="L19" s="0" t="n">
        <f aca="false">L15+L16+L17+L18</f>
        <v>2475.70870625884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965.08456979638</v>
      </c>
      <c r="D21" s="0" t="n">
        <f aca="false">D19*D20</f>
        <v>1082.42246956246</v>
      </c>
      <c r="E21" s="0" t="n">
        <f aca="false">E19*E20</f>
        <v>1184.91361735748</v>
      </c>
      <c r="F21" s="0" t="n">
        <f aca="false">F19*F20</f>
        <v>1222.56974839453</v>
      </c>
      <c r="G21" s="0" t="n">
        <f aca="false">G19*G20</f>
        <v>1211.56116781065</v>
      </c>
      <c r="H21" s="0" t="n">
        <f aca="false">H19*H20</f>
        <v>1156.13978237701</v>
      </c>
      <c r="I21" s="0" t="n">
        <f aca="false">I19*I20</f>
        <v>1103.53855542221</v>
      </c>
      <c r="J21" s="0" t="n">
        <f aca="false">J19*J20</f>
        <v>1049.84907606133</v>
      </c>
      <c r="K21" s="0" t="n">
        <f aca="false">K19*K20</f>
        <v>978.592351441784</v>
      </c>
      <c r="L21" s="0" t="n">
        <f aca="false">L19*L20</f>
        <v>912.172056095056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10.5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10866.8433943189</v>
      </c>
    </row>
    <row r="31" customFormat="false" ht="15" hidden="false" customHeight="false" outlineLevel="0" collapsed="false">
      <c r="A31" s="0" t="s">
        <v>137</v>
      </c>
      <c r="B31" s="0" t="n">
        <f aca="false">L19</f>
        <v>2475.70870625884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36605.1215853985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34659.9218876237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34659.9218876237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12770.4087853308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23637.2521796497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26737.3521796497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51.3240225196365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0.554331390661311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1259.83521498392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1219.06083482656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56.0824187822681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22281.3783563295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33.4437674972868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20.7907880667303</v>
      </c>
      <c r="C4" s="0" t="n">
        <f aca="false">B4/Assumptions!$B$2-1</f>
        <v>-0.370357720571463</v>
      </c>
      <c r="D4" s="4" t="n">
        <f aca="false">Assumptions!$B$24</f>
        <v>0.25</v>
      </c>
      <c r="E4" s="4" t="n">
        <f aca="false">DCF_Bear!$B$43</f>
        <v>24.843561590939</v>
      </c>
      <c r="F4" s="4" t="n">
        <f aca="false">DCF_Bear!$B$47</f>
        <v>16.6775274011097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34.547827958532</v>
      </c>
      <c r="C5" s="0" t="n">
        <f aca="false">B5/Assumptions!$B$2-1</f>
        <v>0.0462697746375522</v>
      </c>
      <c r="D5" s="4" t="n">
        <f aca="false">Assumptions!$B$38</f>
        <v>0.5</v>
      </c>
      <c r="E5" s="4" t="n">
        <f aca="false">DCF_Base!$B$43</f>
        <v>39.1260867123585</v>
      </c>
      <c r="F5" s="4" t="n">
        <f aca="false">DCF_Base!$B$47</f>
        <v>24.7219395534695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51.3240225196365</v>
      </c>
      <c r="C6" s="0" t="n">
        <f aca="false">B6/Assumptions!$B$2-1</f>
        <v>0.554331390661311</v>
      </c>
      <c r="D6" s="4" t="n">
        <f aca="false">Assumptions!$B$52</f>
        <v>0.25</v>
      </c>
      <c r="E6" s="4" t="n">
        <f aca="false">DCF_Bull!$B$43</f>
        <v>56.0824187822681</v>
      </c>
      <c r="F6" s="4" t="n">
        <f aca="false">DCF_Bull!$B$47</f>
        <v>33.4437674972868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35.3026166258577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39.794538449481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0.0646585676650879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-50.816036331114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24.8912935013338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37.6563047527113</v>
      </c>
      <c r="C15" s="3" t="n">
        <v>9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35.5379714494912</v>
      </c>
      <c r="C16" s="3" t="n">
        <v>10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34.547827958532</v>
      </c>
      <c r="C17" s="3" t="n">
        <v>10.5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33.6006452328253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31.2729553645223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24.7219395534695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8.5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38.789415855993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38.789415855993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38.789415855993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38.789415855993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38.789415855993</v>
      </c>
    </row>
    <row r="25" customFormat="false" ht="15" hidden="false" customHeight="false" outlineLevel="0" collapsed="false">
      <c r="A25" s="3" t="n">
        <v>9.5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36.5733336337192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36.5733336337192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36.5733336337192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36.5733336337192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36.5733336337192</v>
      </c>
    </row>
    <row r="26" customFormat="false" ht="15" hidden="false" customHeight="false" outlineLevel="0" collapsed="false">
      <c r="A26" s="3" t="n">
        <v>10.5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34.547827958532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34.547827958532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34.547827958532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34.547827958532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34.547827958532</v>
      </c>
    </row>
    <row r="27" customFormat="false" ht="15" hidden="false" customHeight="false" outlineLevel="0" collapsed="false">
      <c r="A27" s="3" t="n">
        <v>11.5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31.3775305511481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32.0572465076817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32.694289713581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32.694289713581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32.694289713581</v>
      </c>
    </row>
    <row r="28" customFormat="false" ht="15" hidden="false" customHeight="false" outlineLevel="0" collapsed="false">
      <c r="A28" s="3" t="n">
        <v>12.5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28.8169187936792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29.3276652773376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29.8921745487496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30.5194070725407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30.9961037906219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2026-09-25T23:22:11Z</dcterms:created>
  <dc:creator>openpyxl</dc:creator>
  <dc:description/>
  <dc:language>en-NZ</dc:language>
  <cp:lastModifiedBy/>
  <dcterms:modified xsi:type="dcterms:W3CDTF">2026-09-25T23:22:11Z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