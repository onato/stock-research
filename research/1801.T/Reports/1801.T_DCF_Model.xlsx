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<sst xmlns="http://schemas.openxmlformats.org/spreadsheetml/2006/main" count="406" uniqueCount="181">
  <si>
    <t xml:space="preserve">Ticker</t>
  </si>
  <si>
    <t xml:space="preserve">1801.T</t>
  </si>
  <si>
    <t xml:space="preserve">Company</t>
  </si>
  <si>
    <t xml:space="preserve">Taisei Corporation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</si>
  <si>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</si>
  <si>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</si>
  <si>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</si>
  <si>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</si>
  <si>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2026-10-26T01:02:09Z (10:02 JST, intraday regular session; 52-week range 10,835-20,680)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</si>
  <si>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</si>
  <si>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</si>
  <si>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</si>
  <si>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</si>
  <si>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</si>
  <si>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</si>
  <si>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</si>
  <si>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</si>
  <si>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</si>
  <si>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</si>
  <si>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</si>
  <si>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</si>
  <si>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2026-10-26T01:23:35Z</t>
  </si>
  <si>
    <t xml:space="preserve">Drivers file</t>
  </si>
  <si>
    <t xml:space="preserve">1801.T_Drivers.json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</si>
  <si>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</si>
  <si>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</si>
  <si>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</si>
  <si>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Japanese general contractor is valued on normalised, not peak, cash margins. FY2026 operating income of Y188bn (9.0%) is the best since FY2018 and sits on top of a 2.2% trough two years earlier; management's own FY2027 guide (7.8%) already concedes some fade. The DCF therefore anchors year 1 on guidance, fades margins to a stated mid-cycle level per scenario, charges working capital against growth, treats SBC as zero (visible), carries the Toyo acquisition debt in net debt, adds the Y405bn cross-shareholding book once (its income is excluded from the flows), deducts NCI once, and caps the terminal value at 12x FCF so Gordon cannot assume a multiple the market has never paid a contractor.
key_risks_to_valuation: Mid-cycle margin judgment: each 1pp of terminal EBITDA margin is worth roughly Y1,200-1,500/share; the base 7.5% is above the 20-year average and below the last ten years' average; Working-capital seasonality and lumpiness: owner FCF swung from +68bn to -83bn over FY2024-26; the -10% capture is an average, and any single year can deviate by Y100bn; Cross-shareholding value (~Y2,500/share) depends on equity-market levels and on management continuing to monetise rather than hoard; Toyo Construction integration, goodwill (Y73.6bn) impairment risk and the higher interest bill as BOJ normalises; non-recourse SPC debt is included in net debt; Capex intensity: real-estate-for-lease development can run well above the 1.8-2.5% modelled (FY2024: 6.9% of sales); Order intake already falling; a sharper domestic private-capex downturn than the bear path would push value toward the bear case</t>
  </si>
  <si>
    <t xml:space="preserve">Data sources</t>
  </si>
  <si>
    <t xml:space="preserve">price: Yahoo Finance chart API at inputs.price_as_of (intraday Tokyo session); 52-week range 10,835-20,680
financials: 1801.T_Metrics.csv / metrics_normalized (FY2002-FY2026 annual plus interims, millions JPY); FY2026 kessan tanshin 2026-05-14 (BS lines 520-599, P&amp;L 614-674, CF 888-969, segment 1223-1251, Toyo business-combination note 1090-1140); Q1 FY2027 tanshin 2026-08-06 (BS, share counts lines 71-72, guidance line 56); FY2026 yuho 2026-06-16 (securities note lines 6787-6843)
qualitative: 1801.T_Analysis.json (2026-10-26): business model, Big-5 competitive position, Toyo acquisition, FY2027 guidance commentary, bull/bear points</t>
  </si>
  <si>
    <t xml:space="preserve">Scenario narrative: bear</t>
  </si>
  <si>
    <t xml:space="preserve">Peak-cycle margins. The FY2025-26 repricing windfall proves transient: input-cost re-acceleration and wage inflation compress margins faster than the backlog reprices, orders keep falling after the Q1 FY2027 -24.5%, sales contract in FY2028-29 and margins revert to the two-decade average; Toyo integration disappoints while the acquisition debt stays. FCF stays positive, so this is a de-rating case, not a solvency case.</t>
  </si>
  <si>
    <t xml:space="preserve">Scenario narrative: base</t>
  </si>
  <si>
    <t xml:space="preserve">Guidance year then mid-cycle. FY2027 follows management (Y2,420bn sales, Y188bn operating income); orders guided at Y2.33tn are below sales, so growth fades to 1-3% and the margin glides from the FY2026 repricing peak (EBITDA 9.8%) to 7.5% by FY2032. The Toyo acquisition adds scale and marine capability but was debt-funded; its leverage sits in net debt rather than the flows. Buybacks are value-neutral; cross-holdings (~Y405bn after tax) are added in the bridge.</t>
  </si>
  <si>
    <t xml:space="preserve">Scenario narrative: bull</t>
  </si>
  <si>
    <t xml:space="preserve">Pricing discipline holds. The Big-5 oligopoly plus a 30%-smaller skilled workforce keep contract margins near FY2026 levels (EBITDA ~9% fading only to 8.5%); data-centre and fab construction, Tokyo/Osaka redevelopment and Toyo's offshore-wind pipeline keep sales growing 2-5% beyond the guidance year; continued cross-holding sales fund buybacks.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</si>
  <si>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</si>
  <si>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</si>
  <si>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</si>
  <si>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</si>
  <si>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</si>
  <si>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</si>
  <si>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</si>
  <si>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</si>
  <si>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</si>
  <si>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</si>
  <si>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</si>
  <si>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</si>
  <si>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</si>
  <si>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</si>
  <si>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</si>
  <si>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</si>
  <si>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</si>
  <si>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</si>
  <si>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</si>
  <si>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</si>
  <si>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</si>
  <si>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</si>
  <si>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</si>
  <si>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</si>
  <si>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</si>
  <si>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</si>
  <si>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</si>
  <si>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OrderIntake</t>
  </si>
  <si>
    <t xml:space="preserve">FY2002</t>
  </si>
  <si>
    <t xml:space="preserve">FY2003</t>
  </si>
  <si>
    <t xml:space="preserve">FY2004</t>
  </si>
  <si>
    <t xml:space="preserve">FY2005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</si>
  <si>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</si>
  <si>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</si>
  <si>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</si>
  <si>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</si>
  <si>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</si>
  <si>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</si>
  <si>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</si>
  <si>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</si>
  <si>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</si>
  <si>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</si>
  <si>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</si>
  <si>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</si>
  <si>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</si>
  <si>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</si>
  <si>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</si>
  <si>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</si>
  <si>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</si>
  <si>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</si>
  <si>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</si>
  <si>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</si>
  <si>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</si>
  <si>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</si>
  <si>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</si>
  <si>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</si>
  <si>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</si>
  <si>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</si>
  <si>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</si>
  <si>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</si>
  <si>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</si>
  <si>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</si>
  <si>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</si>
  <si>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</si>
  <si>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</si>
  <si>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</si>
  <si>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</si>
  <si>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</si>
  <si>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</si>
  <si>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</si>
  <si>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</si>
  <si>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</si>
  <si>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</si>
  <si>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</si>
  <si>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</si>
  <si>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</si>
  <si>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</si>
  <si>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</si>
  <si>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</si>
  <si>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</si>
  <si>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</si>
  <si>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</si>
  <si>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</si>
  <si>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</si>
  <si>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</si>
  <si>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</si>
  <si>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</si>
  <si>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</si>
  <si>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</si>
  <si>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</si>
  <si>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1801.T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</si>
  <si>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</si>
  <si>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</si>
  <si>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</si>
  <si>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</si>
  <si>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</si>
  <si>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</si>
  <si>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</si>
  <si>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</si>
  <si>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</si>
  <si>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</si>
  <si>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</si>
  <si>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</si>
  <si>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</si>
  <si>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</si>
  <si>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</si>
  <si>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</si>
  <si>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</si>
  <si>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</si>
  <si>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</si>
  <si>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</si>
  <si>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</si>
  <si>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</si>
  <si>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</si>
  <si>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</si>
  <si>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</si>
  <si>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</si>
  <si>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</si>
  <si>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</si>
  <si>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</si>
  <si>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</si>
  <si>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1801.T owner-FCF component DCF: base case (millions, JPY)</t>
  </si>
  <si>
    <t xml:space="preserve">1801.T owner-FCF component DCF: bull case (millions, JPY)</t>
  </si>
  <si>
    <t xml:space="preserve">1801.T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</si>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</sst>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11355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1673834</v>
      </c>
      <c r="F2" s="0" t="n">
        <v>55525</v>
      </c>
      <c r="G2" s="0" t="n">
        <v>3.3</v>
      </c>
      <c r="I2" s="0" t="n">
        <v>-30997</v>
      </c>
      <c r="J2" s="0" t="n">
        <v>-1.9</v>
      </c>
      <c r="K2" s="0" t="n">
        <v>-160.65</v>
      </c>
      <c r="L2" s="0" t="n">
        <v>50280</v>
      </c>
      <c r="O2" s="0" t="n">
        <v>177930</v>
      </c>
      <c r="P2" s="0" t="n">
        <v>1966083</v>
      </c>
      <c r="S2" s="0" t="n">
        <v>119538</v>
      </c>
      <c r="T2" s="0" t="n">
        <v>192.959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1644638</v>
      </c>
      <c r="F3" s="0" t="n">
        <v>49490</v>
      </c>
      <c r="G3" s="0" t="n">
        <v>3</v>
      </c>
      <c r="I3" s="0" t="n">
        <v>14999</v>
      </c>
      <c r="J3" s="0" t="n">
        <v>0.9</v>
      </c>
      <c r="K3" s="0" t="n">
        <v>77.6</v>
      </c>
      <c r="L3" s="0" t="n">
        <v>27297</v>
      </c>
      <c r="O3" s="0" t="n">
        <v>174537</v>
      </c>
      <c r="P3" s="0" t="n">
        <v>1893487</v>
      </c>
      <c r="S3" s="0" t="n">
        <v>128891</v>
      </c>
      <c r="T3" s="0" t="n">
        <v>192.944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1598511</v>
      </c>
      <c r="F4" s="0" t="n">
        <v>59898</v>
      </c>
      <c r="G4" s="0" t="n">
        <v>3.7</v>
      </c>
      <c r="I4" s="0" t="n">
        <v>10353</v>
      </c>
      <c r="J4" s="0" t="n">
        <v>0.6</v>
      </c>
      <c r="K4" s="0" t="n">
        <v>54</v>
      </c>
      <c r="L4" s="0" t="n">
        <v>80359</v>
      </c>
      <c r="O4" s="0" t="n">
        <v>204242</v>
      </c>
      <c r="P4" s="0" t="n">
        <v>1772142</v>
      </c>
      <c r="S4" s="0" t="n">
        <v>129555</v>
      </c>
      <c r="T4" s="0" t="n">
        <v>191.477</v>
      </c>
      <c r="AA4" s="0" t="s">
        <v>17</v>
      </c>
      <c r="AB4" s="0" t="s">
        <v>14</v>
      </c>
      <c r="AC4" s="0" t="n">
        <v>1539300</v>
      </c>
    </row>
    <row r="5" customFormat="false" ht="15" hidden="false" customHeight="false" outlineLevel="0" collapsed="false">
      <c r="A5" s="0" t="s">
        <v>67</v>
      </c>
      <c r="B5" s="0" t="n">
        <v>1707952</v>
      </c>
      <c r="F5" s="0" t="n">
        <v>48956</v>
      </c>
      <c r="G5" s="0" t="n">
        <v>2.9</v>
      </c>
      <c r="I5" s="0" t="n">
        <v>19098</v>
      </c>
      <c r="J5" s="0" t="n">
        <v>1.1</v>
      </c>
      <c r="K5" s="0" t="n">
        <v>98.8</v>
      </c>
      <c r="L5" s="0" t="n">
        <v>58784</v>
      </c>
      <c r="O5" s="0" t="n">
        <v>257748</v>
      </c>
      <c r="P5" s="0" t="n">
        <v>1815332</v>
      </c>
      <c r="S5" s="0" t="n">
        <v>153728</v>
      </c>
      <c r="T5" s="0" t="n">
        <v>192.972</v>
      </c>
      <c r="AA5" s="0" t="s">
        <v>17</v>
      </c>
      <c r="AB5" s="0" t="s">
        <v>14</v>
      </c>
      <c r="AC5" s="0" t="n">
        <v>1805400</v>
      </c>
    </row>
    <row r="6" customFormat="false" ht="15" hidden="false" customHeight="false" outlineLevel="0" collapsed="false">
      <c r="A6" s="0" t="s">
        <v>68</v>
      </c>
      <c r="B6" s="0" t="n">
        <v>1743993</v>
      </c>
      <c r="F6" s="0" t="n">
        <v>55173</v>
      </c>
      <c r="G6" s="0" t="n">
        <v>3.2</v>
      </c>
      <c r="I6" s="0" t="n">
        <v>28362</v>
      </c>
      <c r="J6" s="0" t="n">
        <v>1.6</v>
      </c>
      <c r="K6" s="0" t="n">
        <v>132.85</v>
      </c>
      <c r="L6" s="0" t="n">
        <v>29216</v>
      </c>
      <c r="O6" s="0" t="n">
        <v>345151</v>
      </c>
      <c r="P6" s="0" t="n">
        <v>1847183</v>
      </c>
      <c r="S6" s="0" t="n">
        <v>121947</v>
      </c>
      <c r="T6" s="0" t="n">
        <v>212.889</v>
      </c>
      <c r="AA6" s="0" t="s">
        <v>17</v>
      </c>
      <c r="AB6" s="0" t="s">
        <v>14</v>
      </c>
      <c r="AC6" s="0" t="n">
        <v>1774000</v>
      </c>
    </row>
    <row r="7" customFormat="false" ht="15" hidden="false" customHeight="false" outlineLevel="0" collapsed="false">
      <c r="A7" s="0" t="s">
        <v>69</v>
      </c>
      <c r="B7" s="0" t="n">
        <v>1873324</v>
      </c>
      <c r="F7" s="0" t="n">
        <v>57672</v>
      </c>
      <c r="G7" s="0" t="n">
        <v>3.1</v>
      </c>
      <c r="I7" s="0" t="n">
        <v>26222</v>
      </c>
      <c r="J7" s="0" t="n">
        <v>1.4</v>
      </c>
      <c r="K7" s="0" t="n">
        <v>123.2</v>
      </c>
      <c r="L7" s="0" t="n">
        <v>47266</v>
      </c>
      <c r="O7" s="0" t="n">
        <v>389252</v>
      </c>
      <c r="P7" s="0" t="n">
        <v>1989318</v>
      </c>
      <c r="Q7" s="0" t="n">
        <v>1567587</v>
      </c>
      <c r="S7" s="0" t="n">
        <v>154741</v>
      </c>
      <c r="T7" s="0" t="n">
        <v>212.841</v>
      </c>
      <c r="AA7" s="0" t="s">
        <v>17</v>
      </c>
      <c r="AB7" s="0" t="s">
        <v>14</v>
      </c>
      <c r="AC7" s="0" t="n">
        <v>1875100</v>
      </c>
    </row>
    <row r="8" customFormat="false" ht="15" hidden="false" customHeight="false" outlineLevel="0" collapsed="false">
      <c r="A8" s="0" t="s">
        <v>70</v>
      </c>
      <c r="B8" s="0" t="n">
        <v>1711713</v>
      </c>
      <c r="F8" s="0" t="n">
        <v>48856</v>
      </c>
      <c r="G8" s="0" t="n">
        <v>2.9</v>
      </c>
      <c r="I8" s="0" t="n">
        <v>24446</v>
      </c>
      <c r="J8" s="0" t="n">
        <v>1.4</v>
      </c>
      <c r="K8" s="0" t="n">
        <v>114.85</v>
      </c>
      <c r="L8" s="0" t="n">
        <v>-65114</v>
      </c>
      <c r="M8" s="0" t="n">
        <v>9117</v>
      </c>
      <c r="N8" s="0" t="n">
        <v>-74231</v>
      </c>
      <c r="O8" s="0" t="n">
        <v>338571</v>
      </c>
      <c r="P8" s="0" t="n">
        <v>1739483</v>
      </c>
      <c r="Q8" s="0" t="n">
        <v>1365495</v>
      </c>
      <c r="S8" s="0" t="n">
        <v>92736</v>
      </c>
      <c r="T8" s="0" t="n">
        <v>212.852</v>
      </c>
      <c r="AA8" s="0" t="s">
        <v>17</v>
      </c>
      <c r="AB8" s="0" t="s">
        <v>14</v>
      </c>
      <c r="AC8" s="0" t="n">
        <v>1753700</v>
      </c>
    </row>
    <row r="9" customFormat="false" ht="15" hidden="false" customHeight="false" outlineLevel="0" collapsed="false">
      <c r="A9" s="0" t="s">
        <v>71</v>
      </c>
      <c r="B9" s="0" t="n">
        <v>1641182</v>
      </c>
      <c r="D9" s="0" t="n">
        <v>95263</v>
      </c>
      <c r="E9" s="0" t="n">
        <v>5.8</v>
      </c>
      <c r="F9" s="0" t="n">
        <v>-655</v>
      </c>
      <c r="G9" s="0" t="n">
        <v>0</v>
      </c>
      <c r="H9" s="0" t="n">
        <v>9849</v>
      </c>
      <c r="I9" s="0" t="n">
        <v>-24400</v>
      </c>
      <c r="J9" s="0" t="n">
        <v>-1.5</v>
      </c>
      <c r="K9" s="0" t="n">
        <v>-114.65</v>
      </c>
      <c r="L9" s="0" t="n">
        <v>7189</v>
      </c>
      <c r="M9" s="0" t="n">
        <v>5385</v>
      </c>
      <c r="N9" s="0" t="n">
        <v>1804</v>
      </c>
      <c r="O9" s="0" t="n">
        <v>255303</v>
      </c>
      <c r="P9" s="0" t="n">
        <v>1671482</v>
      </c>
      <c r="Q9" s="0" t="n">
        <v>1386769</v>
      </c>
      <c r="R9" s="0" t="n">
        <v>571503</v>
      </c>
      <c r="S9" s="0" t="n">
        <v>148348</v>
      </c>
      <c r="T9" s="0" t="n">
        <v>212.822</v>
      </c>
      <c r="AA9" s="0" t="s">
        <v>17</v>
      </c>
      <c r="AB9" s="0" t="s">
        <v>14</v>
      </c>
      <c r="AC9" s="0" t="n">
        <v>1524600</v>
      </c>
    </row>
    <row r="10" customFormat="false" ht="15" hidden="false" customHeight="false" outlineLevel="0" collapsed="false">
      <c r="A10" s="0" t="s">
        <v>72</v>
      </c>
      <c r="B10" s="0" t="n">
        <v>1441975</v>
      </c>
      <c r="D10" s="0" t="n">
        <v>123382</v>
      </c>
      <c r="E10" s="0" t="n">
        <v>8.6</v>
      </c>
      <c r="F10" s="0" t="n">
        <v>35627</v>
      </c>
      <c r="G10" s="0" t="n">
        <v>2.5</v>
      </c>
      <c r="H10" s="0" t="n">
        <v>44798</v>
      </c>
      <c r="I10" s="0" t="n">
        <v>21222</v>
      </c>
      <c r="J10" s="0" t="n">
        <v>1.5</v>
      </c>
      <c r="K10" s="0" t="n">
        <v>98.7</v>
      </c>
      <c r="L10" s="0" t="n">
        <v>16002</v>
      </c>
      <c r="M10" s="0" t="n">
        <v>6255</v>
      </c>
      <c r="N10" s="0" t="n">
        <v>9747</v>
      </c>
      <c r="O10" s="0" t="n">
        <v>285753</v>
      </c>
      <c r="P10" s="0" t="n">
        <v>1501290</v>
      </c>
      <c r="Q10" s="0" t="n">
        <v>1204111</v>
      </c>
      <c r="R10" s="0" t="n">
        <v>510746</v>
      </c>
      <c r="S10" s="0" t="n">
        <v>155929</v>
      </c>
      <c r="T10" s="0" t="n">
        <v>215.015</v>
      </c>
      <c r="AA10" s="0" t="s">
        <v>17</v>
      </c>
      <c r="AB10" s="0" t="s">
        <v>14</v>
      </c>
      <c r="AC10" s="0" t="n">
        <v>1244400</v>
      </c>
    </row>
    <row r="11" customFormat="false" ht="15" hidden="false" customHeight="false" outlineLevel="0" collapsed="false">
      <c r="A11" s="0" t="s">
        <v>73</v>
      </c>
      <c r="B11" s="0" t="n">
        <v>1218118</v>
      </c>
      <c r="D11" s="0" t="n">
        <v>118097</v>
      </c>
      <c r="E11" s="0" t="n">
        <v>9.7</v>
      </c>
      <c r="F11" s="0" t="n">
        <v>36294</v>
      </c>
      <c r="G11" s="0" t="n">
        <v>3</v>
      </c>
      <c r="H11" s="0" t="n">
        <v>44814</v>
      </c>
      <c r="I11" s="0" t="n">
        <v>10883</v>
      </c>
      <c r="J11" s="0" t="n">
        <v>0.9</v>
      </c>
      <c r="K11" s="0" t="n">
        <v>47.9</v>
      </c>
      <c r="L11" s="0" t="n">
        <v>118894</v>
      </c>
      <c r="M11" s="0" t="n">
        <v>5537</v>
      </c>
      <c r="N11" s="0" t="n">
        <v>113357</v>
      </c>
      <c r="O11" s="0" t="n">
        <v>289389</v>
      </c>
      <c r="P11" s="0" t="n">
        <v>1395493</v>
      </c>
      <c r="Q11" s="0" t="n">
        <v>1104895</v>
      </c>
      <c r="R11" s="0" t="n">
        <v>452032</v>
      </c>
      <c r="S11" s="0" t="n">
        <v>203674</v>
      </c>
      <c r="T11" s="0" t="n">
        <v>227.136</v>
      </c>
      <c r="AA11" s="0" t="s">
        <v>17</v>
      </c>
      <c r="AB11" s="0" t="s">
        <v>14</v>
      </c>
      <c r="AC11" s="0" t="n">
        <v>1254100</v>
      </c>
    </row>
    <row r="12" customFormat="false" ht="15" hidden="false" customHeight="false" outlineLevel="0" collapsed="false">
      <c r="A12" s="0" t="s">
        <v>74</v>
      </c>
      <c r="B12" s="0" t="n">
        <v>1323503</v>
      </c>
      <c r="D12" s="0" t="n">
        <v>117490</v>
      </c>
      <c r="E12" s="0" t="n">
        <v>8.9</v>
      </c>
      <c r="F12" s="0" t="n">
        <v>36485</v>
      </c>
      <c r="G12" s="0" t="n">
        <v>2.8</v>
      </c>
      <c r="H12" s="0" t="n">
        <v>44487</v>
      </c>
      <c r="I12" s="0" t="n">
        <v>1181</v>
      </c>
      <c r="J12" s="0" t="n">
        <v>0.1</v>
      </c>
      <c r="K12" s="0" t="n">
        <v>5.2</v>
      </c>
      <c r="L12" s="0" t="n">
        <v>105100</v>
      </c>
      <c r="M12" s="0" t="n">
        <v>6721</v>
      </c>
      <c r="N12" s="0" t="n">
        <v>98379</v>
      </c>
      <c r="O12" s="0" t="n">
        <v>291268</v>
      </c>
      <c r="P12" s="0" t="n">
        <v>1494695</v>
      </c>
      <c r="Q12" s="0" t="n">
        <v>1202094</v>
      </c>
      <c r="R12" s="0" t="n">
        <v>399248</v>
      </c>
      <c r="S12" s="0" t="n">
        <v>241163</v>
      </c>
      <c r="T12" s="0" t="n">
        <v>227.915</v>
      </c>
      <c r="AA12" s="0" t="s">
        <v>17</v>
      </c>
      <c r="AB12" s="0" t="s">
        <v>14</v>
      </c>
      <c r="AC12" s="0" t="n">
        <v>1379600</v>
      </c>
    </row>
    <row r="13" customFormat="false" ht="15" hidden="false" customHeight="false" outlineLevel="0" collapsed="false">
      <c r="A13" s="0" t="s">
        <v>75</v>
      </c>
      <c r="B13" s="0" t="n">
        <v>1416495</v>
      </c>
      <c r="D13" s="0" t="n">
        <v>111819</v>
      </c>
      <c r="E13" s="0" t="n">
        <v>7.9</v>
      </c>
      <c r="F13" s="0" t="n">
        <v>35606</v>
      </c>
      <c r="G13" s="0" t="n">
        <v>2.5</v>
      </c>
      <c r="H13" s="0" t="n">
        <v>42471</v>
      </c>
      <c r="I13" s="0" t="n">
        <v>20050</v>
      </c>
      <c r="J13" s="0" t="n">
        <v>1.4</v>
      </c>
      <c r="K13" s="0" t="n">
        <v>88</v>
      </c>
      <c r="L13" s="0" t="n">
        <v>73081</v>
      </c>
      <c r="M13" s="0" t="n">
        <v>6283</v>
      </c>
      <c r="N13" s="0" t="n">
        <v>66798</v>
      </c>
      <c r="O13" s="0" t="n">
        <v>341530</v>
      </c>
      <c r="P13" s="0" t="n">
        <v>1543094</v>
      </c>
      <c r="Q13" s="0" t="n">
        <v>1199794</v>
      </c>
      <c r="R13" s="0" t="n">
        <v>379072</v>
      </c>
      <c r="S13" s="0" t="n">
        <v>265772</v>
      </c>
      <c r="T13" s="0" t="n">
        <v>227.843</v>
      </c>
      <c r="AA13" s="0" t="s">
        <v>17</v>
      </c>
      <c r="AB13" s="0" t="s">
        <v>14</v>
      </c>
      <c r="AC13" s="0" t="n">
        <v>1404400</v>
      </c>
    </row>
    <row r="14" customFormat="false" ht="15" hidden="false" customHeight="false" outlineLevel="0" collapsed="false">
      <c r="A14" s="0" t="s">
        <v>76</v>
      </c>
      <c r="B14" s="0" t="n">
        <v>1533473</v>
      </c>
      <c r="D14" s="0" t="n">
        <v>131026</v>
      </c>
      <c r="E14" s="0" t="n">
        <v>8.5</v>
      </c>
      <c r="F14" s="0" t="n">
        <v>53773</v>
      </c>
      <c r="G14" s="0" t="n">
        <v>3.5</v>
      </c>
      <c r="H14" s="0" t="n">
        <v>61180</v>
      </c>
      <c r="I14" s="0" t="n">
        <v>32089</v>
      </c>
      <c r="J14" s="0" t="n">
        <v>2.1</v>
      </c>
      <c r="K14" s="0" t="n">
        <v>140.85</v>
      </c>
      <c r="L14" s="0" t="n">
        <v>138749</v>
      </c>
      <c r="M14" s="0" t="n">
        <v>12193</v>
      </c>
      <c r="N14" s="0" t="n">
        <v>126556</v>
      </c>
      <c r="O14" s="0" t="n">
        <v>382042</v>
      </c>
      <c r="P14" s="0" t="n">
        <v>1599065</v>
      </c>
      <c r="Q14" s="0" t="n">
        <v>1214899</v>
      </c>
      <c r="R14" s="0" t="n">
        <v>316493</v>
      </c>
      <c r="S14" s="0" t="n">
        <v>354372</v>
      </c>
      <c r="T14" s="0" t="n">
        <v>227.804</v>
      </c>
      <c r="AA14" s="0" t="s">
        <v>17</v>
      </c>
      <c r="AB14" s="0" t="s">
        <v>14</v>
      </c>
      <c r="AC14" s="0" t="n">
        <v>1645900</v>
      </c>
    </row>
    <row r="15" customFormat="false" ht="15" hidden="false" customHeight="false" outlineLevel="0" collapsed="false">
      <c r="A15" s="0" t="s">
        <v>77</v>
      </c>
      <c r="B15" s="0" t="n">
        <v>1573270</v>
      </c>
      <c r="D15" s="0" t="n">
        <v>147975</v>
      </c>
      <c r="E15" s="0" t="n">
        <v>9.4</v>
      </c>
      <c r="F15" s="0" t="n">
        <v>70417</v>
      </c>
      <c r="G15" s="0" t="n">
        <v>4.5</v>
      </c>
      <c r="H15" s="0" t="n">
        <v>78705</v>
      </c>
      <c r="I15" s="0" t="n">
        <v>38177</v>
      </c>
      <c r="J15" s="0" t="n">
        <v>2.4</v>
      </c>
      <c r="K15" s="0" t="n">
        <v>167.6</v>
      </c>
      <c r="L15" s="0" t="n">
        <v>24078</v>
      </c>
      <c r="M15" s="0" t="n">
        <v>7031</v>
      </c>
      <c r="N15" s="0" t="n">
        <v>17047</v>
      </c>
      <c r="O15" s="0" t="n">
        <v>489752</v>
      </c>
      <c r="P15" s="0" t="n">
        <v>1735248</v>
      </c>
      <c r="Q15" s="0" t="n">
        <v>1243134</v>
      </c>
      <c r="R15" s="0" t="n">
        <v>273289</v>
      </c>
      <c r="S15" s="0" t="n">
        <v>337166</v>
      </c>
      <c r="T15" s="0" t="n">
        <v>227.811</v>
      </c>
      <c r="AA15" s="0" t="s">
        <v>17</v>
      </c>
      <c r="AB15" s="0" t="s">
        <v>14</v>
      </c>
      <c r="AC15" s="0" t="n">
        <v>1765700</v>
      </c>
    </row>
    <row r="16" customFormat="false" ht="15" hidden="false" customHeight="false" outlineLevel="0" collapsed="false">
      <c r="A16" s="0" t="s">
        <v>78</v>
      </c>
      <c r="B16" s="0" t="n">
        <v>1545889</v>
      </c>
      <c r="D16" s="0" t="n">
        <v>197586</v>
      </c>
      <c r="E16" s="0" t="n">
        <v>12.8</v>
      </c>
      <c r="F16" s="0" t="n">
        <v>117468</v>
      </c>
      <c r="G16" s="0" t="n">
        <v>7.6</v>
      </c>
      <c r="I16" s="0" t="n">
        <v>77045</v>
      </c>
      <c r="J16" s="0" t="n">
        <v>5</v>
      </c>
      <c r="K16" s="0" t="n">
        <v>329.25</v>
      </c>
      <c r="L16" s="0" t="n">
        <v>95360</v>
      </c>
      <c r="M16" s="0" t="n">
        <v>10221</v>
      </c>
      <c r="N16" s="0" t="n">
        <v>85139</v>
      </c>
      <c r="O16" s="0" t="n">
        <v>517875</v>
      </c>
      <c r="P16" s="0" t="n">
        <v>1660821</v>
      </c>
      <c r="Q16" s="0" t="n">
        <v>1139544</v>
      </c>
      <c r="S16" s="0" t="n">
        <v>371730</v>
      </c>
      <c r="T16" s="0" t="n">
        <v>233.987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79</v>
      </c>
      <c r="B17" s="0" t="n">
        <v>1487252</v>
      </c>
      <c r="D17" s="0" t="n">
        <v>226284</v>
      </c>
      <c r="E17" s="0" t="n">
        <v>15.2</v>
      </c>
      <c r="F17" s="0" t="n">
        <v>140822</v>
      </c>
      <c r="G17" s="0" t="n">
        <v>9.5</v>
      </c>
      <c r="I17" s="0" t="n">
        <v>90566</v>
      </c>
      <c r="J17" s="0" t="n">
        <v>6.1</v>
      </c>
      <c r="K17" s="0" t="n">
        <v>392.85</v>
      </c>
      <c r="L17" s="0" t="n">
        <v>218158</v>
      </c>
      <c r="M17" s="0" t="n">
        <v>7226</v>
      </c>
      <c r="N17" s="0" t="n">
        <v>210932</v>
      </c>
      <c r="O17" s="0" t="n">
        <v>568779</v>
      </c>
      <c r="P17" s="0" t="n">
        <v>1760078</v>
      </c>
      <c r="Q17" s="0" t="n">
        <v>1189265</v>
      </c>
      <c r="R17" s="0" t="n">
        <v>164975</v>
      </c>
      <c r="S17" s="0" t="n">
        <v>534787</v>
      </c>
      <c r="T17" s="0" t="n">
        <v>230.524</v>
      </c>
      <c r="AA17" s="0" t="s">
        <v>17</v>
      </c>
      <c r="AB17" s="0" t="s">
        <v>14</v>
      </c>
      <c r="AC17" s="0" t="n">
        <v>1655000</v>
      </c>
    </row>
    <row r="18" customFormat="false" ht="15" hidden="false" customHeight="false" outlineLevel="0" collapsed="false">
      <c r="A18" s="0" t="s">
        <v>80</v>
      </c>
      <c r="B18" s="0" t="n">
        <v>1585497</v>
      </c>
      <c r="D18" s="0" t="n">
        <v>266618</v>
      </c>
      <c r="E18" s="0" t="n">
        <v>16.8</v>
      </c>
      <c r="F18" s="0" t="n">
        <v>181859</v>
      </c>
      <c r="G18" s="0" t="n">
        <v>11.5</v>
      </c>
      <c r="H18" s="0" t="n">
        <v>188908</v>
      </c>
      <c r="I18" s="0" t="n">
        <v>126788</v>
      </c>
      <c r="J18" s="0" t="n">
        <v>8</v>
      </c>
      <c r="K18" s="0" t="n">
        <v>561.36</v>
      </c>
      <c r="L18" s="0" t="n">
        <v>207020</v>
      </c>
      <c r="M18" s="0" t="n">
        <v>9354</v>
      </c>
      <c r="N18" s="0" t="n">
        <v>197666</v>
      </c>
      <c r="O18" s="0" t="n">
        <v>667152</v>
      </c>
      <c r="P18" s="0" t="n">
        <v>1930825</v>
      </c>
      <c r="Q18" s="0" t="n">
        <v>1261806</v>
      </c>
      <c r="R18" s="0" t="n">
        <v>247378</v>
      </c>
      <c r="S18" s="0" t="n">
        <v>687346</v>
      </c>
      <c r="T18" s="0" t="n">
        <v>225.86</v>
      </c>
      <c r="AA18" s="0" t="s">
        <v>17</v>
      </c>
      <c r="AB18" s="0" t="s">
        <v>14</v>
      </c>
      <c r="AC18" s="0" t="n">
        <v>1743500</v>
      </c>
    </row>
    <row r="19" customFormat="false" ht="15" hidden="false" customHeight="false" outlineLevel="0" collapsed="false">
      <c r="A19" s="0" t="s">
        <v>81</v>
      </c>
      <c r="B19" s="0" t="n">
        <v>1650877</v>
      </c>
      <c r="D19" s="0" t="n">
        <v>241459</v>
      </c>
      <c r="E19" s="0" t="n">
        <v>14.6</v>
      </c>
      <c r="F19" s="0" t="n">
        <v>153323</v>
      </c>
      <c r="G19" s="0" t="n">
        <v>9.3</v>
      </c>
      <c r="H19" s="0" t="n">
        <v>161178</v>
      </c>
      <c r="I19" s="0" t="n">
        <v>112571</v>
      </c>
      <c r="J19" s="0" t="n">
        <v>6.8</v>
      </c>
      <c r="K19" s="0" t="n">
        <v>511.9</v>
      </c>
      <c r="L19" s="0" t="n">
        <v>-71028</v>
      </c>
      <c r="M19" s="0" t="n">
        <v>46645</v>
      </c>
      <c r="N19" s="0" t="n">
        <v>-117673</v>
      </c>
      <c r="O19" s="0" t="n">
        <v>720423</v>
      </c>
      <c r="P19" s="0" t="n">
        <v>1846176</v>
      </c>
      <c r="Q19" s="0" t="n">
        <v>1123786</v>
      </c>
      <c r="R19" s="0" t="n">
        <v>217423</v>
      </c>
      <c r="S19" s="0" t="n">
        <v>437584</v>
      </c>
      <c r="T19" s="0" t="n">
        <v>219.91</v>
      </c>
      <c r="AA19" s="0" t="s">
        <v>17</v>
      </c>
      <c r="AB19" s="0" t="s">
        <v>14</v>
      </c>
      <c r="AC19" s="0" t="n">
        <v>1693900</v>
      </c>
    </row>
    <row r="20" customFormat="false" ht="15" hidden="false" customHeight="false" outlineLevel="0" collapsed="false">
      <c r="A20" s="0" t="s">
        <v>82</v>
      </c>
      <c r="B20" s="0" t="n">
        <v>1751330</v>
      </c>
      <c r="D20" s="0" t="n">
        <v>258677</v>
      </c>
      <c r="E20" s="0" t="n">
        <v>14.8</v>
      </c>
      <c r="F20" s="0" t="n">
        <v>167755</v>
      </c>
      <c r="G20" s="0" t="n">
        <v>9.6</v>
      </c>
      <c r="H20" s="0" t="n">
        <v>177640</v>
      </c>
      <c r="I20" s="0" t="n">
        <v>122087</v>
      </c>
      <c r="J20" s="0" t="n">
        <v>7</v>
      </c>
      <c r="K20" s="0" t="n">
        <v>573.14</v>
      </c>
      <c r="L20" s="0" t="n">
        <v>77475</v>
      </c>
      <c r="M20" s="0" t="n">
        <v>12991</v>
      </c>
      <c r="N20" s="0" t="n">
        <v>64484</v>
      </c>
      <c r="O20" s="0" t="n">
        <v>750157</v>
      </c>
      <c r="P20" s="0" t="n">
        <v>1889995</v>
      </c>
      <c r="Q20" s="0" t="n">
        <v>1136080</v>
      </c>
      <c r="R20" s="0" t="n">
        <v>208145</v>
      </c>
      <c r="S20" s="0" t="n">
        <v>482655</v>
      </c>
      <c r="T20" s="0" t="n">
        <v>213.017</v>
      </c>
      <c r="AA20" s="0" t="s">
        <v>17</v>
      </c>
      <c r="AB20" s="0" t="s">
        <v>14</v>
      </c>
      <c r="AC20" s="0" t="n">
        <v>1680100</v>
      </c>
    </row>
    <row r="21" customFormat="false" ht="15" hidden="false" customHeight="false" outlineLevel="0" collapsed="false">
      <c r="A21" s="0" t="s">
        <v>83</v>
      </c>
      <c r="B21" s="0" t="n">
        <v>1480141</v>
      </c>
      <c r="D21" s="0" t="n">
        <v>218798</v>
      </c>
      <c r="E21" s="0" t="n">
        <v>14.8</v>
      </c>
      <c r="F21" s="0" t="n">
        <v>130516</v>
      </c>
      <c r="G21" s="0" t="n">
        <v>8.8</v>
      </c>
      <c r="H21" s="0" t="n">
        <v>140975</v>
      </c>
      <c r="I21" s="0" t="n">
        <v>92554</v>
      </c>
      <c r="J21" s="0" t="n">
        <v>6.3</v>
      </c>
      <c r="K21" s="0" t="n">
        <v>442.66</v>
      </c>
      <c r="L21" s="0" t="n">
        <v>67494</v>
      </c>
      <c r="M21" s="0" t="n">
        <v>12725</v>
      </c>
      <c r="N21" s="0" t="n">
        <v>54769</v>
      </c>
      <c r="O21" s="0" t="n">
        <v>840844</v>
      </c>
      <c r="P21" s="0" t="n">
        <v>1870622</v>
      </c>
      <c r="Q21" s="0" t="n">
        <v>1026202</v>
      </c>
      <c r="R21" s="0" t="n">
        <v>219017</v>
      </c>
      <c r="S21" s="0" t="n">
        <v>494274</v>
      </c>
      <c r="T21" s="0" t="n">
        <v>209.089</v>
      </c>
      <c r="AA21" s="0" t="s">
        <v>17</v>
      </c>
      <c r="AB21" s="0" t="s">
        <v>14</v>
      </c>
      <c r="AC21" s="0" t="n">
        <v>1650600</v>
      </c>
    </row>
    <row r="22" customFormat="false" ht="15" hidden="false" customHeight="false" outlineLevel="0" collapsed="false">
      <c r="A22" s="0" t="s">
        <v>84</v>
      </c>
      <c r="B22" s="0" t="n">
        <v>1543240</v>
      </c>
      <c r="D22" s="0" t="n">
        <v>187736</v>
      </c>
      <c r="E22" s="0" t="n">
        <v>12.2</v>
      </c>
      <c r="F22" s="0" t="n">
        <v>96077</v>
      </c>
      <c r="G22" s="0" t="n">
        <v>6.2</v>
      </c>
      <c r="H22" s="0" t="n">
        <v>106984</v>
      </c>
      <c r="I22" s="0" t="n">
        <v>71436</v>
      </c>
      <c r="J22" s="0" t="n">
        <v>4.6</v>
      </c>
      <c r="K22" s="0" t="n">
        <v>350.88</v>
      </c>
      <c r="L22" s="0" t="n">
        <v>80507</v>
      </c>
      <c r="M22" s="0" t="n">
        <v>13230</v>
      </c>
      <c r="N22" s="0" t="n">
        <v>67277</v>
      </c>
      <c r="O22" s="0" t="n">
        <v>868886</v>
      </c>
      <c r="P22" s="0" t="n">
        <v>1956200</v>
      </c>
      <c r="Q22" s="0" t="n">
        <v>1083365</v>
      </c>
      <c r="R22" s="0" t="n">
        <v>224323</v>
      </c>
      <c r="S22" s="0" t="n">
        <v>496760</v>
      </c>
      <c r="T22" s="0" t="n">
        <v>203.591</v>
      </c>
      <c r="AA22" s="0" t="s">
        <v>17</v>
      </c>
      <c r="AB22" s="0" t="s">
        <v>14</v>
      </c>
      <c r="AC22" s="0" t="n">
        <v>1589700</v>
      </c>
    </row>
    <row r="23" customFormat="false" ht="15" hidden="false" customHeight="false" outlineLevel="0" collapsed="false">
      <c r="A23" s="0" t="s">
        <v>85</v>
      </c>
      <c r="B23" s="0" t="n">
        <v>1642712</v>
      </c>
      <c r="D23" s="0" t="n">
        <v>147773</v>
      </c>
      <c r="E23" s="0" t="n">
        <v>9</v>
      </c>
      <c r="F23" s="0" t="n">
        <v>54740</v>
      </c>
      <c r="G23" s="0" t="n">
        <v>3.3</v>
      </c>
      <c r="H23" s="0" t="n">
        <v>66218</v>
      </c>
      <c r="I23" s="0" t="n">
        <v>47124</v>
      </c>
      <c r="J23" s="0" t="n">
        <v>2.9</v>
      </c>
      <c r="K23" s="0" t="n">
        <v>241.24</v>
      </c>
      <c r="L23" s="0" t="n">
        <v>30101</v>
      </c>
      <c r="M23" s="0" t="n">
        <v>16163</v>
      </c>
      <c r="N23" s="0" t="n">
        <v>13938</v>
      </c>
      <c r="O23" s="0" t="n">
        <v>829187</v>
      </c>
      <c r="P23" s="0" t="n">
        <v>2016717</v>
      </c>
      <c r="Q23" s="0" t="n">
        <v>1182773</v>
      </c>
      <c r="R23" s="0" t="n">
        <v>201699</v>
      </c>
      <c r="S23" s="0" t="n">
        <v>415863</v>
      </c>
      <c r="T23" s="0" t="n">
        <v>195.347</v>
      </c>
      <c r="AA23" s="0" t="s">
        <v>17</v>
      </c>
      <c r="AB23" s="0" t="s">
        <v>14</v>
      </c>
      <c r="AC23" s="0" t="n">
        <v>1810400</v>
      </c>
    </row>
    <row r="24" customFormat="false" ht="15" hidden="false" customHeight="false" outlineLevel="0" collapsed="false">
      <c r="A24" s="0" t="s">
        <v>86</v>
      </c>
      <c r="B24" s="0" t="n">
        <v>1765023</v>
      </c>
      <c r="D24" s="0" t="n">
        <v>127400</v>
      </c>
      <c r="E24" s="0" t="n">
        <v>7.2</v>
      </c>
      <c r="F24" s="0" t="n">
        <v>26480</v>
      </c>
      <c r="G24" s="0" t="n">
        <v>1.5</v>
      </c>
      <c r="H24" s="0" t="n">
        <v>39590</v>
      </c>
      <c r="I24" s="0" t="n">
        <v>40272</v>
      </c>
      <c r="J24" s="0" t="n">
        <v>2.3</v>
      </c>
      <c r="K24" s="0" t="n">
        <v>215.75</v>
      </c>
      <c r="L24" s="0" t="n">
        <v>40611</v>
      </c>
      <c r="M24" s="0" t="n">
        <v>122308</v>
      </c>
      <c r="N24" s="0" t="n">
        <v>-81697</v>
      </c>
      <c r="O24" s="0" t="n">
        <v>929334</v>
      </c>
      <c r="P24" s="0" t="n">
        <v>2583641</v>
      </c>
      <c r="Q24" s="0" t="n">
        <v>1622641</v>
      </c>
      <c r="R24" s="0" t="n">
        <v>376264</v>
      </c>
      <c r="S24" s="0" t="n">
        <v>430754</v>
      </c>
      <c r="T24" s="0" t="n">
        <v>186.667</v>
      </c>
      <c r="AA24" s="0" t="s">
        <v>17</v>
      </c>
      <c r="AB24" s="0" t="s">
        <v>14</v>
      </c>
      <c r="AC24" s="0" t="n">
        <v>1962400</v>
      </c>
    </row>
    <row r="25" customFormat="false" ht="15" hidden="false" customHeight="false" outlineLevel="0" collapsed="false">
      <c r="A25" s="0" t="s">
        <v>87</v>
      </c>
      <c r="B25" s="0" t="n">
        <v>2154223</v>
      </c>
      <c r="D25" s="0" t="n">
        <v>231139</v>
      </c>
      <c r="E25" s="0" t="n">
        <v>10.7</v>
      </c>
      <c r="F25" s="0" t="n">
        <v>120160</v>
      </c>
      <c r="G25" s="0" t="n">
        <v>5.6</v>
      </c>
      <c r="H25" s="0" t="n">
        <v>136551</v>
      </c>
      <c r="I25" s="0" t="n">
        <v>123824</v>
      </c>
      <c r="J25" s="0" t="n">
        <v>5.7</v>
      </c>
      <c r="K25" s="0" t="n">
        <v>682.78</v>
      </c>
      <c r="L25" s="0" t="n">
        <v>-13841</v>
      </c>
      <c r="M25" s="0" t="n">
        <v>31939</v>
      </c>
      <c r="N25" s="0" t="n">
        <v>-45780</v>
      </c>
      <c r="O25" s="0" t="n">
        <v>866188</v>
      </c>
      <c r="P25" s="0" t="n">
        <v>2428837</v>
      </c>
      <c r="Q25" s="0" t="n">
        <v>1528138</v>
      </c>
      <c r="R25" s="0" t="n">
        <v>315520</v>
      </c>
      <c r="S25" s="0" t="n">
        <v>295963</v>
      </c>
      <c r="T25" s="0" t="n">
        <v>181.354</v>
      </c>
      <c r="AA25" s="0" t="s">
        <v>17</v>
      </c>
      <c r="AB25" s="0" t="s">
        <v>14</v>
      </c>
      <c r="AC25" s="0" t="n">
        <v>2437500</v>
      </c>
    </row>
    <row r="26" customFormat="false" ht="15" hidden="false" customHeight="false" outlineLevel="0" collapsed="false">
      <c r="A26" s="0" t="s">
        <v>88</v>
      </c>
      <c r="B26" s="0" t="n">
        <v>2089091</v>
      </c>
      <c r="D26" s="0" t="n">
        <v>330055</v>
      </c>
      <c r="E26" s="0" t="n">
        <v>15.8</v>
      </c>
      <c r="F26" s="0" t="n">
        <v>187973</v>
      </c>
      <c r="G26" s="0" t="n">
        <v>9</v>
      </c>
      <c r="H26" s="0" t="n">
        <v>204739</v>
      </c>
      <c r="I26" s="0" t="n">
        <v>170004</v>
      </c>
      <c r="J26" s="0" t="n">
        <v>8.1</v>
      </c>
      <c r="K26" s="0" t="n">
        <v>1025.53</v>
      </c>
      <c r="L26" s="0" t="n">
        <v>147287</v>
      </c>
      <c r="M26" s="0" t="n">
        <v>77579</v>
      </c>
      <c r="N26" s="0" t="n">
        <v>69708</v>
      </c>
      <c r="O26" s="0" t="n">
        <v>948075</v>
      </c>
      <c r="P26" s="0" t="n">
        <v>2714550</v>
      </c>
      <c r="Q26" s="0" t="n">
        <v>1724619</v>
      </c>
      <c r="R26" s="0" t="n">
        <v>463480</v>
      </c>
      <c r="S26" s="0" t="n">
        <v>272974</v>
      </c>
      <c r="T26" s="0" t="n">
        <v>165.772</v>
      </c>
      <c r="AA26" s="0" t="s">
        <v>17</v>
      </c>
      <c r="AB26" s="0" t="s">
        <v>14</v>
      </c>
      <c r="AC26" s="0" t="n">
        <v>2436200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89</v>
      </c>
      <c r="B1" s="2" t="s">
        <v>90</v>
      </c>
    </row>
    <row r="2" customFormat="false" ht="15" hidden="false" customHeight="false" outlineLevel="0" collapsed="false">
      <c r="A2" s="0" t="s">
        <v>91</v>
      </c>
      <c r="B2" s="3" t="n">
        <v>11355</v>
      </c>
    </row>
    <row r="3" customFormat="false" ht="15" hidden="false" customHeight="false" outlineLevel="0" collapsed="false">
      <c r="A3" s="0" t="s">
        <v>92</v>
      </c>
      <c r="B3" s="3" t="n">
        <v>163.009</v>
      </c>
    </row>
    <row r="4" customFormat="false" ht="15" hidden="false" customHeight="false" outlineLevel="0" collapsed="false">
      <c r="A4" s="0" t="s">
        <v>93</v>
      </c>
      <c r="B4" s="3" t="n">
        <v>207281</v>
      </c>
    </row>
    <row r="5" customFormat="false" ht="15" hidden="false" customHeight="false" outlineLevel="0" collapsed="false">
      <c r="A5" s="0" t="s">
        <v>94</v>
      </c>
      <c r="B5" s="3" t="n">
        <v>363277</v>
      </c>
    </row>
    <row r="6" customFormat="false" ht="15" hidden="false" customHeight="false" outlineLevel="0" collapsed="false">
      <c r="A6" s="0" t="s">
        <v>95</v>
      </c>
      <c r="B6" s="3" t="n">
        <v>15</v>
      </c>
    </row>
    <row r="7" customFormat="false" ht="15" hidden="false" customHeight="false" outlineLevel="0" collapsed="false">
      <c r="A7" s="0" t="s">
        <v>96</v>
      </c>
      <c r="B7" s="3" t="n">
        <v>2089091</v>
      </c>
    </row>
    <row r="8" customFormat="false" ht="15" hidden="false" customHeight="false" outlineLevel="0" collapsed="false">
      <c r="A8" s="0" t="s">
        <v>97</v>
      </c>
      <c r="B8" s="3" t="s">
        <v>88</v>
      </c>
    </row>
    <row r="9" customFormat="false" ht="15" hidden="false" customHeight="false" outlineLevel="0" collapsed="false">
      <c r="A9" s="0" t="s">
        <v>98</v>
      </c>
      <c r="B9" s="3" t="s">
        <v>99</v>
      </c>
    </row>
    <row r="10" customFormat="false" ht="15" hidden="false" customHeight="false" outlineLevel="0" collapsed="false">
      <c r="A10" s="0" t="s">
        <v>100</v>
      </c>
      <c r="B10" s="3" t="n">
        <v>1</v>
      </c>
    </row>
    <row r="12" customFormat="false" ht="15" hidden="false" customHeight="false" outlineLevel="0" collapsed="false">
      <c r="A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  <c r="L12" s="2" t="s">
        <v>111</v>
      </c>
    </row>
    <row r="13" customFormat="false" ht="15" hidden="false" customHeight="false" outlineLevel="0" collapsed="false">
      <c r="A13" s="0" t="s">
        <v>112</v>
      </c>
      <c r="C13" s="3" t="n">
        <v>14</v>
      </c>
      <c r="D13" s="3" t="n">
        <v>-3</v>
      </c>
      <c r="E13" s="3" t="n">
        <v>-2</v>
      </c>
      <c r="F13" s="3" t="n">
        <v>0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113</v>
      </c>
      <c r="C14" s="3" t="n">
        <v>8.2</v>
      </c>
      <c r="D14" s="3" t="n">
        <v>6.8</v>
      </c>
      <c r="E14" s="3" t="n">
        <v>5.8</v>
      </c>
      <c r="F14" s="3" t="n">
        <v>5.5</v>
      </c>
      <c r="G14" s="3" t="n">
        <v>5.5</v>
      </c>
      <c r="H14" s="3" t="n">
        <v>5.5</v>
      </c>
      <c r="I14" s="3" t="n">
        <v>5.5</v>
      </c>
      <c r="J14" s="3" t="n">
        <v>5.5</v>
      </c>
      <c r="K14" s="3" t="n">
        <v>5.5</v>
      </c>
      <c r="L14" s="3" t="n">
        <v>5.5</v>
      </c>
    </row>
    <row r="15" customFormat="false" ht="15" hidden="false" customHeight="false" outlineLevel="0" collapsed="false">
      <c r="A15" s="0" t="s">
        <v>114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116</v>
      </c>
      <c r="C17" s="3" t="n">
        <v>0.9</v>
      </c>
      <c r="D17" s="3" t="n">
        <v>0.95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117</v>
      </c>
      <c r="C18" s="3" t="n">
        <v>2.5</v>
      </c>
      <c r="D18" s="3" t="n">
        <v>2.2</v>
      </c>
      <c r="E18" s="3" t="n">
        <v>2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118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119</v>
      </c>
      <c r="B20" s="3" t="n">
        <v>7</v>
      </c>
    </row>
    <row r="21" customFormat="false" ht="15" hidden="false" customHeight="false" outlineLevel="0" collapsed="false">
      <c r="A21" s="0" t="s">
        <v>120</v>
      </c>
      <c r="B21" s="3" t="n">
        <v>0.5</v>
      </c>
    </row>
    <row r="22" customFormat="false" ht="15" hidden="false" customHeight="false" outlineLevel="0" collapsed="false">
      <c r="A22" s="0" t="s">
        <v>121</v>
      </c>
      <c r="B22" s="3" t="n">
        <v>12</v>
      </c>
    </row>
    <row r="23" customFormat="false" ht="15" hidden="false" customHeight="false" outlineLevel="0" collapsed="false">
      <c r="A23" s="0" t="s">
        <v>122</v>
      </c>
      <c r="B23" s="3" t="n">
        <v>-10</v>
      </c>
    </row>
    <row r="24" customFormat="false" ht="15" hidden="false" customHeight="false" outlineLevel="0" collapsed="false">
      <c r="A24" s="0" t="s">
        <v>123</v>
      </c>
      <c r="B24" s="3" t="n">
        <v>0.25</v>
      </c>
    </row>
    <row r="26" customFormat="false" ht="15" hidden="false" customHeight="false" outlineLevel="0" collapsed="false">
      <c r="A26" s="2" t="s">
        <v>124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106</v>
      </c>
      <c r="H26" s="2" t="s">
        <v>107</v>
      </c>
      <c r="I26" s="2" t="s">
        <v>108</v>
      </c>
      <c r="J26" s="2" t="s">
        <v>109</v>
      </c>
      <c r="K26" s="2" t="s">
        <v>110</v>
      </c>
      <c r="L26" s="2" t="s">
        <v>111</v>
      </c>
    </row>
    <row r="27" customFormat="false" ht="15" hidden="false" customHeight="false" outlineLevel="0" collapsed="false">
      <c r="A27" s="0" t="s">
        <v>112</v>
      </c>
      <c r="C27" s="3" t="n">
        <v>15.8</v>
      </c>
      <c r="D27" s="3" t="n">
        <v>3</v>
      </c>
      <c r="E27" s="3" t="n">
        <v>2</v>
      </c>
      <c r="F27" s="3" t="n">
        <v>2</v>
      </c>
      <c r="G27" s="3" t="n">
        <v>1.5</v>
      </c>
      <c r="H27" s="3" t="n">
        <v>1.5</v>
      </c>
      <c r="I27" s="3" t="n">
        <v>1.5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113</v>
      </c>
      <c r="C28" s="3" t="n">
        <v>8.7</v>
      </c>
      <c r="D28" s="3" t="n">
        <v>8.4</v>
      </c>
      <c r="E28" s="3" t="n">
        <v>8.1</v>
      </c>
      <c r="F28" s="3" t="n">
        <v>7.9</v>
      </c>
      <c r="G28" s="3" t="n">
        <v>7.7</v>
      </c>
      <c r="H28" s="3" t="n">
        <v>7.5</v>
      </c>
      <c r="I28" s="3" t="n">
        <v>7.5</v>
      </c>
      <c r="J28" s="3" t="n">
        <v>7.5</v>
      </c>
      <c r="K28" s="3" t="n">
        <v>7.5</v>
      </c>
      <c r="L28" s="3" t="n">
        <v>7.5</v>
      </c>
    </row>
    <row r="29" customFormat="false" ht="15" hidden="false" customHeight="false" outlineLevel="0" collapsed="false">
      <c r="A29" s="0" t="s">
        <v>114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115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116</v>
      </c>
      <c r="C31" s="3" t="n">
        <v>0.9</v>
      </c>
      <c r="D31" s="3" t="n">
        <v>0.9</v>
      </c>
      <c r="E31" s="3" t="n">
        <v>0.95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</row>
    <row r="32" customFormat="false" ht="15" hidden="false" customHeight="false" outlineLevel="0" collapsed="false">
      <c r="A32" s="0" t="s">
        <v>117</v>
      </c>
      <c r="C32" s="3" t="n">
        <v>2.5</v>
      </c>
      <c r="D32" s="3" t="n">
        <v>2.5</v>
      </c>
      <c r="E32" s="3" t="n">
        <v>2.2</v>
      </c>
      <c r="F32" s="3" t="n">
        <v>2</v>
      </c>
      <c r="G32" s="3" t="n">
        <v>2</v>
      </c>
      <c r="H32" s="3" t="n">
        <v>1.8</v>
      </c>
      <c r="I32" s="3" t="n">
        <v>1.8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118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119</v>
      </c>
      <c r="B34" s="3" t="n">
        <v>7</v>
      </c>
    </row>
    <row r="35" customFormat="false" ht="15" hidden="false" customHeight="false" outlineLevel="0" collapsed="false">
      <c r="A35" s="0" t="s">
        <v>120</v>
      </c>
      <c r="B35" s="3" t="n">
        <v>1</v>
      </c>
    </row>
    <row r="36" customFormat="false" ht="15" hidden="false" customHeight="false" outlineLevel="0" collapsed="false">
      <c r="A36" s="0" t="s">
        <v>121</v>
      </c>
      <c r="B36" s="3" t="n">
        <v>12</v>
      </c>
    </row>
    <row r="37" customFormat="false" ht="15" hidden="false" customHeight="false" outlineLevel="0" collapsed="false">
      <c r="A37" s="0" t="s">
        <v>122</v>
      </c>
      <c r="B37" s="3" t="n">
        <v>-10</v>
      </c>
    </row>
    <row r="38" customFormat="false" ht="15" hidden="false" customHeight="false" outlineLevel="0" collapsed="false">
      <c r="A38" s="0" t="s">
        <v>123</v>
      </c>
      <c r="B38" s="3" t="n">
        <v>0.5</v>
      </c>
    </row>
    <row r="40" customFormat="false" ht="15" hidden="false" customHeight="false" outlineLevel="0" collapsed="false">
      <c r="A40" s="2" t="s">
        <v>125</v>
      </c>
      <c r="C40" s="2" t="s">
        <v>102</v>
      </c>
      <c r="D40" s="2" t="s">
        <v>103</v>
      </c>
      <c r="E40" s="2" t="s">
        <v>104</v>
      </c>
      <c r="F40" s="2" t="s">
        <v>105</v>
      </c>
      <c r="G40" s="2" t="s">
        <v>106</v>
      </c>
      <c r="H40" s="2" t="s">
        <v>107</v>
      </c>
      <c r="I40" s="2" t="s">
        <v>108</v>
      </c>
      <c r="J40" s="2" t="s">
        <v>109</v>
      </c>
      <c r="K40" s="2" t="s">
        <v>110</v>
      </c>
      <c r="L40" s="2" t="s">
        <v>111</v>
      </c>
    </row>
    <row r="41" customFormat="false" ht="15" hidden="false" customHeight="false" outlineLevel="0" collapsed="false">
      <c r="A41" s="0" t="s">
        <v>112</v>
      </c>
      <c r="C41" s="3" t="n">
        <v>17</v>
      </c>
      <c r="D41" s="3" t="n">
        <v>5</v>
      </c>
      <c r="E41" s="3" t="n">
        <v>4</v>
      </c>
      <c r="F41" s="3" t="n">
        <v>3</v>
      </c>
      <c r="G41" s="3" t="n">
        <v>3</v>
      </c>
      <c r="H41" s="3" t="n">
        <v>2.5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113</v>
      </c>
      <c r="C42" s="3" t="n">
        <v>9</v>
      </c>
      <c r="D42" s="3" t="n">
        <v>9</v>
      </c>
      <c r="E42" s="3" t="n">
        <v>9</v>
      </c>
      <c r="F42" s="3" t="n">
        <v>8.8</v>
      </c>
      <c r="G42" s="3" t="n">
        <v>8.6</v>
      </c>
      <c r="H42" s="3" t="n">
        <v>8.5</v>
      </c>
      <c r="I42" s="3" t="n">
        <v>8.5</v>
      </c>
      <c r="J42" s="3" t="n">
        <v>8.5</v>
      </c>
      <c r="K42" s="3" t="n">
        <v>8.5</v>
      </c>
      <c r="L42" s="3" t="n">
        <v>8.5</v>
      </c>
    </row>
    <row r="43" customFormat="false" ht="15" hidden="false" customHeight="false" outlineLevel="0" collapsed="false">
      <c r="A43" s="0" t="s">
        <v>114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115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116</v>
      </c>
      <c r="C45" s="3" t="n">
        <v>0.9</v>
      </c>
      <c r="D45" s="3" t="n">
        <v>0.9</v>
      </c>
      <c r="E45" s="3" t="n">
        <v>0.95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117</v>
      </c>
      <c r="C46" s="3" t="n">
        <v>2.5</v>
      </c>
      <c r="D46" s="3" t="n">
        <v>2.5</v>
      </c>
      <c r="E46" s="3" t="n">
        <v>2.2</v>
      </c>
      <c r="F46" s="3" t="n">
        <v>2</v>
      </c>
      <c r="G46" s="3" t="n">
        <v>2</v>
      </c>
      <c r="H46" s="3" t="n">
        <v>1.8</v>
      </c>
      <c r="I46" s="3" t="n">
        <v>1.8</v>
      </c>
      <c r="J46" s="3" t="n">
        <v>1.8</v>
      </c>
      <c r="K46" s="3" t="n">
        <v>1.8</v>
      </c>
      <c r="L46" s="3" t="n">
        <v>1.8</v>
      </c>
    </row>
    <row r="47" customFormat="false" ht="15" hidden="false" customHeight="false" outlineLevel="0" collapsed="false">
      <c r="A47" s="0" t="s">
        <v>118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119</v>
      </c>
      <c r="B48" s="3" t="n">
        <v>7</v>
      </c>
    </row>
    <row r="49" customFormat="false" ht="15" hidden="false" customHeight="false" outlineLevel="0" collapsed="false">
      <c r="A49" s="0" t="s">
        <v>120</v>
      </c>
      <c r="B49" s="3" t="n">
        <v>1.5</v>
      </c>
    </row>
    <row r="50" customFormat="false" ht="15" hidden="false" customHeight="false" outlineLevel="0" collapsed="false">
      <c r="A50" s="0" t="s">
        <v>121</v>
      </c>
      <c r="B50" s="3" t="n">
        <v>12</v>
      </c>
    </row>
    <row r="51" customFormat="false" ht="15" hidden="false" customHeight="false" outlineLevel="0" collapsed="false">
      <c r="A51" s="0" t="s">
        <v>122</v>
      </c>
      <c r="B51" s="3" t="n">
        <v>-10</v>
      </c>
    </row>
    <row r="52" customFormat="false" ht="15" hidden="false" customHeight="false" outlineLevel="0" collapsed="false">
      <c r="A52" s="0" t="s">
        <v>123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126</v>
      </c>
    </row>
    <row r="3" customFormat="false" ht="15" hidden="false" customHeight="false" outlineLevel="0" collapsed="false">
      <c r="A3" s="0" t="s">
        <v>127</v>
      </c>
      <c r="B3" s="0" t="s">
        <v>88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</row>
    <row r="4" customFormat="false" ht="15" hidden="false" customHeight="false" outlineLevel="0" collapsed="false">
      <c r="A4" s="0" t="s">
        <v>128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112</v>
      </c>
      <c r="C5" s="4" t="n">
        <f aca="false">Assumptions!C13</f>
        <v>14</v>
      </c>
      <c r="D5" s="4" t="n">
        <f aca="false">Assumptions!D13</f>
        <v>-3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2089091</v>
      </c>
      <c r="C6" s="0" t="n">
        <f aca="false">B6*(1+C5/100)</f>
        <v>2381563.74</v>
      </c>
      <c r="D6" s="0" t="n">
        <f aca="false">C6*(1+D5/100)</f>
        <v>2310116.8278</v>
      </c>
      <c r="E6" s="0" t="n">
        <f aca="false">D6*(1+E5/100)</f>
        <v>2263914.491244</v>
      </c>
      <c r="F6" s="0" t="n">
        <f aca="false">E6*(1+F5/100)</f>
        <v>2263914.491244</v>
      </c>
      <c r="G6" s="0" t="n">
        <f aca="false">F6*(1+G5/100)</f>
        <v>2275234.06370022</v>
      </c>
      <c r="H6" s="0" t="n">
        <f aca="false">G6*(1+H5/100)</f>
        <v>2297986.40433722</v>
      </c>
      <c r="I6" s="0" t="n">
        <f aca="false">H6*(1+I5/100)</f>
        <v>2320966.26838059</v>
      </c>
      <c r="J6" s="0" t="n">
        <f aca="false">I6*(1+J5/100)</f>
        <v>2344175.9310644</v>
      </c>
      <c r="K6" s="0" t="n">
        <f aca="false">J6*(1+K5/100)</f>
        <v>2367617.69037504</v>
      </c>
      <c r="L6" s="0" t="n">
        <f aca="false">K6*(1+L5/100)</f>
        <v>2391293.86727879</v>
      </c>
    </row>
    <row r="7" customFormat="false" ht="15" hidden="false" customHeight="false" outlineLevel="0" collapsed="false">
      <c r="A7" s="0" t="s">
        <v>113</v>
      </c>
      <c r="C7" s="4" t="n">
        <f aca="false">Assumptions!C14</f>
        <v>8.2</v>
      </c>
      <c r="D7" s="4" t="n">
        <f aca="false">Assumptions!D14</f>
        <v>6.8</v>
      </c>
      <c r="E7" s="4" t="n">
        <f aca="false">Assumptions!E14</f>
        <v>5.8</v>
      </c>
      <c r="F7" s="4" t="n">
        <f aca="false">Assumptions!F14</f>
        <v>5.5</v>
      </c>
      <c r="G7" s="4" t="n">
        <f aca="false">Assumptions!G14</f>
        <v>5.5</v>
      </c>
      <c r="H7" s="4" t="n">
        <f aca="false">Assumptions!H14</f>
        <v>5.5</v>
      </c>
      <c r="I7" s="4" t="n">
        <f aca="false">Assumptions!I14</f>
        <v>5.5</v>
      </c>
      <c r="J7" s="4" t="n">
        <f aca="false">Assumptions!J14</f>
        <v>5.5</v>
      </c>
      <c r="K7" s="4" t="n">
        <f aca="false">Assumptions!K14</f>
        <v>5.5</v>
      </c>
      <c r="L7" s="4" t="n">
        <f aca="false">Assumptions!L14</f>
        <v>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195288.22668</v>
      </c>
      <c r="D8" s="0" t="n">
        <f aca="false">D6*D7/100</f>
        <v>157087.9442904</v>
      </c>
      <c r="E8" s="0" t="n">
        <f aca="false">E6*E7/100</f>
        <v>131307.040492152</v>
      </c>
      <c r="F8" s="0" t="n">
        <f aca="false">F6*F7/100</f>
        <v>124515.29701842</v>
      </c>
      <c r="G8" s="0" t="n">
        <f aca="false">G6*G7/100</f>
        <v>125137.873503512</v>
      </c>
      <c r="H8" s="0" t="n">
        <f aca="false">H6*H7/100</f>
        <v>126389.252238547</v>
      </c>
      <c r="I8" s="0" t="n">
        <f aca="false">I6*I7/100</f>
        <v>127653.144760933</v>
      </c>
      <c r="J8" s="0" t="n">
        <f aca="false">J6*J7/100</f>
        <v>128929.676208542</v>
      </c>
      <c r="K8" s="0" t="n">
        <f aca="false">K6*K7/100</f>
        <v>130218.972970627</v>
      </c>
      <c r="L8" s="0" t="n">
        <f aca="false">L6*L7/100</f>
        <v>131521.162700334</v>
      </c>
    </row>
    <row r="9" customFormat="false" ht="15" hidden="false" customHeight="false" outlineLevel="0" collapsed="false">
      <c r="A9" s="0" t="s">
        <v>114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130</v>
      </c>
      <c r="C11" s="0" t="n">
        <f aca="false">C8+C10+C24</f>
        <v>195288.22668</v>
      </c>
      <c r="D11" s="0" t="n">
        <f aca="false">D8+D10+D24</f>
        <v>157087.9442904</v>
      </c>
      <c r="E11" s="0" t="n">
        <f aca="false">E8+E10+E24</f>
        <v>131307.040492152</v>
      </c>
      <c r="F11" s="0" t="n">
        <f aca="false">F8+F10+F24</f>
        <v>124515.29701842</v>
      </c>
      <c r="G11" s="0" t="n">
        <f aca="false">G8+G10+G24</f>
        <v>125137.873503512</v>
      </c>
      <c r="H11" s="0" t="n">
        <f aca="false">H8+H10+H24</f>
        <v>126389.252238547</v>
      </c>
      <c r="I11" s="0" t="n">
        <f aca="false">I8+I10+I24</f>
        <v>127653.144760933</v>
      </c>
      <c r="J11" s="0" t="n">
        <f aca="false">J8+J10+J24</f>
        <v>128929.676208542</v>
      </c>
      <c r="K11" s="0" t="n">
        <f aca="false">K8+K10+K24</f>
        <v>130218.972970627</v>
      </c>
      <c r="L11" s="0" t="n">
        <f aca="false">L8+L10+L24</f>
        <v>131521.162700334</v>
      </c>
    </row>
    <row r="12" customFormat="false" ht="15" hidden="false" customHeight="false" outlineLevel="0" collapsed="false">
      <c r="A12" s="0" t="s">
        <v>131</v>
      </c>
      <c r="C12" s="4" t="n">
        <f aca="false">-C6*Assumptions!C17/100</f>
        <v>-21434.07366</v>
      </c>
      <c r="D12" s="4" t="n">
        <f aca="false">-D6*Assumptions!D17/100</f>
        <v>-21946.1098641</v>
      </c>
      <c r="E12" s="4" t="n">
        <f aca="false">-E6*Assumptions!E17/100</f>
        <v>-22639.14491244</v>
      </c>
      <c r="F12" s="4" t="n">
        <f aca="false">-F6*Assumptions!F17/100</f>
        <v>-22639.14491244</v>
      </c>
      <c r="G12" s="4" t="n">
        <f aca="false">-G6*Assumptions!G17/100</f>
        <v>-22752.3406370022</v>
      </c>
      <c r="H12" s="4" t="n">
        <f aca="false">-H6*Assumptions!H17/100</f>
        <v>-22979.8640433722</v>
      </c>
      <c r="I12" s="4" t="n">
        <f aca="false">-I6*Assumptions!I17/100</f>
        <v>-23209.6626838059</v>
      </c>
      <c r="J12" s="4" t="n">
        <f aca="false">-J6*Assumptions!J17/100</f>
        <v>-23441.759310644</v>
      </c>
      <c r="K12" s="4" t="n">
        <f aca="false">-K6*Assumptions!K17/100</f>
        <v>-23676.1769037504</v>
      </c>
      <c r="L12" s="4" t="n">
        <f aca="false">-L6*Assumptions!L17/100</f>
        <v>-23912.9386727879</v>
      </c>
    </row>
    <row r="13" customFormat="false" ht="15" hidden="false" customHeight="false" outlineLevel="0" collapsed="false">
      <c r="A13" s="0" t="s">
        <v>132</v>
      </c>
      <c r="C13" s="0" t="n">
        <f aca="false">C11+C12</f>
        <v>173854.15302</v>
      </c>
      <c r="D13" s="0" t="n">
        <f aca="false">D11+D12</f>
        <v>135141.8344263</v>
      </c>
      <c r="E13" s="0" t="n">
        <f aca="false">E11+E12</f>
        <v>108667.895579712</v>
      </c>
      <c r="F13" s="0" t="n">
        <f aca="false">F11+F12</f>
        <v>101876.15210598</v>
      </c>
      <c r="G13" s="0" t="n">
        <f aca="false">G11+G12</f>
        <v>102385.53286651</v>
      </c>
      <c r="H13" s="0" t="n">
        <f aca="false">H11+H12</f>
        <v>103409.388195175</v>
      </c>
      <c r="I13" s="0" t="n">
        <f aca="false">I11+I12</f>
        <v>104443.482077127</v>
      </c>
      <c r="J13" s="0" t="n">
        <f aca="false">J11+J12</f>
        <v>105487.916897898</v>
      </c>
      <c r="K13" s="0" t="n">
        <f aca="false">K11+K12</f>
        <v>106542.796066877</v>
      </c>
      <c r="L13" s="0" t="n">
        <f aca="false">L11+L12</f>
        <v>107608.224027546</v>
      </c>
    </row>
    <row r="14" customFormat="false" ht="15" hidden="false" customHeight="false" outlineLevel="0" collapsed="false">
      <c r="A14" s="0" t="s">
        <v>118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133</v>
      </c>
      <c r="C15" s="0" t="n">
        <f aca="false">C13-MAX(0,C13)*C14/100</f>
        <v>121697.907114</v>
      </c>
      <c r="D15" s="0" t="n">
        <f aca="false">D13-MAX(0,D13)*D14/100</f>
        <v>94599.28409841</v>
      </c>
      <c r="E15" s="0" t="n">
        <f aca="false">E13-MAX(0,E13)*E14/100</f>
        <v>76067.5269057984</v>
      </c>
      <c r="F15" s="0" t="n">
        <f aca="false">F13-MAX(0,F13)*F14/100</f>
        <v>71313.306474186</v>
      </c>
      <c r="G15" s="0" t="n">
        <f aca="false">G13-MAX(0,G13)*G14/100</f>
        <v>71669.8730065569</v>
      </c>
      <c r="H15" s="0" t="n">
        <f aca="false">H13-MAX(0,H13)*H14/100</f>
        <v>72386.5717366225</v>
      </c>
      <c r="I15" s="0" t="n">
        <f aca="false">I13-MAX(0,I13)*I14/100</f>
        <v>73110.4374539887</v>
      </c>
      <c r="J15" s="0" t="n">
        <f aca="false">J13-MAX(0,J13)*J14/100</f>
        <v>73841.5418285286</v>
      </c>
      <c r="K15" s="0" t="n">
        <f aca="false">K13-MAX(0,K13)*K14/100</f>
        <v>74579.9572468139</v>
      </c>
      <c r="L15" s="0" t="n">
        <f aca="false">L13-MAX(0,L13)*L14/100</f>
        <v>75325.756819282</v>
      </c>
    </row>
    <row r="16" customFormat="false" ht="15" hidden="false" customHeight="false" outlineLevel="0" collapsed="false">
      <c r="A16" s="0" t="s">
        <v>134</v>
      </c>
      <c r="C16" s="0" t="n">
        <f aca="false">-C12</f>
        <v>21434.07366</v>
      </c>
      <c r="D16" s="0" t="n">
        <f aca="false">-D12</f>
        <v>21946.1098641</v>
      </c>
      <c r="E16" s="0" t="n">
        <f aca="false">-E12</f>
        <v>22639.14491244</v>
      </c>
      <c r="F16" s="0" t="n">
        <f aca="false">-F12</f>
        <v>22639.14491244</v>
      </c>
      <c r="G16" s="0" t="n">
        <f aca="false">-G12</f>
        <v>22752.3406370022</v>
      </c>
      <c r="H16" s="0" t="n">
        <f aca="false">-H12</f>
        <v>22979.8640433722</v>
      </c>
      <c r="I16" s="0" t="n">
        <f aca="false">-I12</f>
        <v>23209.6626838059</v>
      </c>
      <c r="J16" s="0" t="n">
        <f aca="false">-J12</f>
        <v>23441.759310644</v>
      </c>
      <c r="K16" s="0" t="n">
        <f aca="false">-K12</f>
        <v>23676.1769037504</v>
      </c>
      <c r="L16" s="0" t="n">
        <f aca="false">-L12</f>
        <v>23912.9386727879</v>
      </c>
    </row>
    <row r="17" customFormat="false" ht="15" hidden="false" customHeight="false" outlineLevel="0" collapsed="false">
      <c r="A17" s="0" t="s">
        <v>135</v>
      </c>
      <c r="C17" s="4" t="n">
        <f aca="false">-C6*Assumptions!C18/100</f>
        <v>-59539.0935</v>
      </c>
      <c r="D17" s="4" t="n">
        <f aca="false">-D6*Assumptions!D18/100</f>
        <v>-50822.5702116</v>
      </c>
      <c r="E17" s="4" t="n">
        <f aca="false">-E6*Assumptions!E18/100</f>
        <v>-45278.28982488</v>
      </c>
      <c r="F17" s="4" t="n">
        <f aca="false">-F6*Assumptions!F18/100</f>
        <v>-40750.460842392</v>
      </c>
      <c r="G17" s="4" t="n">
        <f aca="false">-G6*Assumptions!G18/100</f>
        <v>-40954.213146604</v>
      </c>
      <c r="H17" s="4" t="n">
        <f aca="false">-H6*Assumptions!H18/100</f>
        <v>-41363.75527807</v>
      </c>
      <c r="I17" s="4" t="n">
        <f aca="false">-I6*Assumptions!I18/100</f>
        <v>-41777.3928308507</v>
      </c>
      <c r="J17" s="4" t="n">
        <f aca="false">-J6*Assumptions!J18/100</f>
        <v>-42195.1667591592</v>
      </c>
      <c r="K17" s="4" t="n">
        <f aca="false">-K6*Assumptions!K18/100</f>
        <v>-42617.1184267508</v>
      </c>
      <c r="L17" s="4" t="n">
        <f aca="false">-L6*Assumptions!L18/100</f>
        <v>-43043.2896110183</v>
      </c>
    </row>
    <row r="18" customFormat="false" ht="15" hidden="false" customHeight="false" outlineLevel="0" collapsed="false">
      <c r="A18" s="0" t="s">
        <v>136</v>
      </c>
      <c r="C18" s="4" t="n">
        <f aca="false">(C6-B6)*Assumptions!$B$23/100</f>
        <v>-29247.274</v>
      </c>
      <c r="D18" s="4" t="n">
        <f aca="false">(D6-C6)*Assumptions!$B$23/100</f>
        <v>7144.69122000001</v>
      </c>
      <c r="E18" s="4" t="n">
        <f aca="false">(E6-D6)*Assumptions!$B$23/100</f>
        <v>4620.23365560002</v>
      </c>
      <c r="F18" s="4" t="n">
        <f aca="false">(F6-E6)*Assumptions!$B$23/100</f>
        <v>-0</v>
      </c>
      <c r="G18" s="4" t="n">
        <f aca="false">(G6-F6)*Assumptions!$B$23/100</f>
        <v>-1131.95724562197</v>
      </c>
      <c r="H18" s="4" t="n">
        <f aca="false">(H6-G6)*Assumptions!$B$23/100</f>
        <v>-2275.23406370021</v>
      </c>
      <c r="I18" s="4" t="n">
        <f aca="false">(I6-H6)*Assumptions!$B$23/100</f>
        <v>-2297.98640433722</v>
      </c>
      <c r="J18" s="4" t="n">
        <f aca="false">(J6-I6)*Assumptions!$B$23/100</f>
        <v>-2320.96626838059</v>
      </c>
      <c r="K18" s="4" t="n">
        <f aca="false">(K6-J6)*Assumptions!$B$23/100</f>
        <v>-2344.17593106441</v>
      </c>
      <c r="L18" s="4" t="n">
        <f aca="false">(L6-K6)*Assumptions!$B$23/100</f>
        <v>-2367.61769037503</v>
      </c>
    </row>
    <row r="19" customFormat="false" ht="15" hidden="false" customHeight="false" outlineLevel="0" collapsed="false">
      <c r="A19" s="0" t="s">
        <v>137</v>
      </c>
      <c r="C19" s="0" t="n">
        <f aca="false">C15+C16+C17+C18</f>
        <v>54345.613274</v>
      </c>
      <c r="D19" s="0" t="n">
        <f aca="false">D15+D16+D17+D18</f>
        <v>72867.51497091</v>
      </c>
      <c r="E19" s="0" t="n">
        <f aca="false">E15+E16+E17+E18</f>
        <v>58048.6156489584</v>
      </c>
      <c r="F19" s="0" t="n">
        <f aca="false">F15+F16+F17+F18</f>
        <v>53201.990544234</v>
      </c>
      <c r="G19" s="0" t="n">
        <f aca="false">G15+G16+G17+G18</f>
        <v>52336.0432513332</v>
      </c>
      <c r="H19" s="0" t="n">
        <f aca="false">H15+H16+H17+H18</f>
        <v>51727.4464382245</v>
      </c>
      <c r="I19" s="0" t="n">
        <f aca="false">I15+I16+I17+I18</f>
        <v>52244.7209026067</v>
      </c>
      <c r="J19" s="0" t="n">
        <f aca="false">J15+J16+J17+J18</f>
        <v>52767.1681116328</v>
      </c>
      <c r="K19" s="0" t="n">
        <f aca="false">K15+K16+K17+K18</f>
        <v>53294.8397927491</v>
      </c>
      <c r="L19" s="0" t="n">
        <f aca="false">L15+L16+L17+L18</f>
        <v>53827.7881906766</v>
      </c>
    </row>
    <row r="20" customFormat="false" ht="15" hidden="false" customHeight="false" outlineLevel="0" collapsed="false">
      <c r="A20" s="0" t="s">
        <v>138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139</v>
      </c>
      <c r="C21" s="0" t="n">
        <f aca="false">C19*C20</f>
        <v>50790.2927794393</v>
      </c>
      <c r="D21" s="0" t="n">
        <f aca="false">D19*D20</f>
        <v>63645.3096086208</v>
      </c>
      <c r="E21" s="0" t="n">
        <f aca="false">E19*E20</f>
        <v>47384.9617106978</v>
      </c>
      <c r="F21" s="0" t="n">
        <f aca="false">F19*F20</f>
        <v>40587.5438575938</v>
      </c>
      <c r="G21" s="0" t="n">
        <f aca="false">G19*G20</f>
        <v>37314.8755270601</v>
      </c>
      <c r="H21" s="0" t="n">
        <f aca="false">H19*H20</f>
        <v>34468.1816919961</v>
      </c>
      <c r="I21" s="0" t="n">
        <f aca="false">I19*I20</f>
        <v>32535.3864569308</v>
      </c>
      <c r="J21" s="0" t="n">
        <f aca="false">J19*J20</f>
        <v>30710.9722630842</v>
      </c>
      <c r="K21" s="0" t="n">
        <f aca="false">K19*K20</f>
        <v>28988.8616688926</v>
      </c>
      <c r="L21" s="0" t="n">
        <f aca="false">L19*L20</f>
        <v>27363.318023908</v>
      </c>
    </row>
    <row r="23" customFormat="false" ht="15" hidden="false" customHeight="false" outlineLevel="0" collapsed="false">
      <c r="A23" s="0" t="s">
        <v>115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140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0" t="s">
        <v>119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120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121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142</v>
      </c>
      <c r="B30" s="0" t="n">
        <f aca="false">SUM(C21:L21)</f>
        <v>393789.703588224</v>
      </c>
    </row>
    <row r="31" customFormat="false" ht="15" hidden="false" customHeight="false" outlineLevel="0" collapsed="false">
      <c r="A31" s="0" t="s">
        <v>143</v>
      </c>
      <c r="B31" s="0" t="n">
        <f aca="false">L19</f>
        <v>53827.7881906766</v>
      </c>
    </row>
    <row r="32" customFormat="false" ht="15" hidden="false" customHeight="false" outlineLevel="0" collapsed="false">
      <c r="A32" s="0" t="s">
        <v>144</v>
      </c>
      <c r="B32" s="0" t="n">
        <f aca="false">IF(B27&gt;B28,B31*(1+B28/100)/((B27-B28)/100),B31*B29)</f>
        <v>832260.417409693</v>
      </c>
    </row>
    <row r="33" customFormat="false" ht="15" hidden="false" customHeight="false" outlineLevel="0" collapsed="false">
      <c r="A33" s="0" t="s">
        <v>145</v>
      </c>
      <c r="B33" s="0" t="n">
        <f aca="false">B31*B29</f>
        <v>645933.45828812</v>
      </c>
    </row>
    <row r="34" customFormat="false" ht="15" hidden="false" customHeight="false" outlineLevel="0" collapsed="false">
      <c r="A34" s="0" t="s">
        <v>146</v>
      </c>
      <c r="B34" s="0" t="n">
        <f aca="false">MAX(0,MIN(B32,B33))</f>
        <v>645933.45828812</v>
      </c>
    </row>
    <row r="35" customFormat="false" ht="15" hidden="false" customHeight="false" outlineLevel="0" collapsed="false">
      <c r="A35" s="0" t="s">
        <v>147</v>
      </c>
      <c r="B35" s="0" t="n">
        <f aca="false">B34/(1+B27/100)^L4</f>
        <v>328359.816286896</v>
      </c>
    </row>
    <row r="36" customFormat="false" ht="15" hidden="false" customHeight="false" outlineLevel="0" collapsed="false">
      <c r="A36" s="0" t="s">
        <v>148</v>
      </c>
      <c r="B36" s="0" t="n">
        <f aca="false">B30+B35</f>
        <v>722149.519875119</v>
      </c>
    </row>
    <row r="37" customFormat="false" ht="15" hidden="false" customHeight="false" outlineLevel="0" collapsed="false">
      <c r="A37" s="0" t="s">
        <v>149</v>
      </c>
      <c r="B37" s="0" t="n">
        <f aca="false">B36+Assumptions!$B$5-Assumptions!$B$4</f>
        <v>878145.519875119</v>
      </c>
    </row>
    <row r="38" customFormat="false" ht="15" hidden="false" customHeight="false" outlineLevel="0" collapsed="false">
      <c r="A38" s="0" t="s">
        <v>150</v>
      </c>
      <c r="B38" s="0" t="n">
        <f aca="false">B37/Assumptions!$B$3*Assumptions!$B$10</f>
        <v>5387.09838030489</v>
      </c>
    </row>
    <row r="39" customFormat="false" ht="15" hidden="false" customHeight="false" outlineLevel="0" collapsed="false">
      <c r="A39" s="0" t="s">
        <v>151</v>
      </c>
      <c r="B39" s="4" t="n">
        <f aca="false">B38/Assumptions!$B$2-1</f>
        <v>-0.525574779365488</v>
      </c>
    </row>
    <row r="41" customFormat="false" ht="15" hidden="false" customHeight="false" outlineLevel="0" collapsed="false">
      <c r="A41" s="0" t="s">
        <v>152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154</v>
      </c>
      <c r="B43" s="0" t="n">
        <f aca="false">(B37+B41+B42)/Assumptions!$B$3*Assumptions!$B$10</f>
        <v>5387.09838030489</v>
      </c>
    </row>
    <row r="45" customFormat="false" ht="15" hidden="false" customHeight="false" outlineLevel="0" collapsed="false">
      <c r="A45" s="0" t="s">
        <v>95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155</v>
      </c>
      <c r="B46" s="0" t="n">
        <f aca="false">MAX(0,MIN(IF(B45&gt;B28,B31*(1+B28/100)/((B45-B28)/100),B31*B29),B31*B29))</f>
        <v>373082.256080207</v>
      </c>
    </row>
    <row r="47" customFormat="false" ht="15" hidden="false" customHeight="false" outlineLevel="0" collapsed="false">
      <c r="A47" s="0" t="s">
        <v>156</v>
      </c>
      <c r="B47" s="0" t="n">
        <f aca="false">(SUMPRODUCT(C19:L19/(1+B45/100)^C4:L4)+B46/(1+B45/100)^L4+Assumptions!$B$5-Assumptions!$B$4)/Assumptions!$B$3*Assumptions!$B$10</f>
        <v>3269.06433787628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0" t="s">
        <v>127</v>
      </c>
      <c r="B3" s="0" t="s">
        <v>88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</row>
    <row r="4" customFormat="false" ht="15" hidden="false" customHeight="false" outlineLevel="0" collapsed="false">
      <c r="A4" s="0" t="s">
        <v>128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112</v>
      </c>
      <c r="C5" s="4" t="n">
        <f aca="false">Assumptions!C27</f>
        <v>15.8</v>
      </c>
      <c r="D5" s="4" t="n">
        <f aca="false">Assumptions!D27</f>
        <v>3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2089091</v>
      </c>
      <c r="C6" s="0" t="n">
        <f aca="false">B6*(1+C5/100)</f>
        <v>2419167.378</v>
      </c>
      <c r="D6" s="0" t="n">
        <f aca="false">C6*(1+D5/100)</f>
        <v>2491742.39934</v>
      </c>
      <c r="E6" s="0" t="n">
        <f aca="false">D6*(1+E5/100)</f>
        <v>2541577.2473268</v>
      </c>
      <c r="F6" s="0" t="n">
        <f aca="false">E6*(1+F5/100)</f>
        <v>2592408.79227334</v>
      </c>
      <c r="G6" s="0" t="n">
        <f aca="false">F6*(1+G5/100)</f>
        <v>2631294.92415744</v>
      </c>
      <c r="H6" s="0" t="n">
        <f aca="false">G6*(1+H5/100)</f>
        <v>2670764.3480198</v>
      </c>
      <c r="I6" s="0" t="n">
        <f aca="false">H6*(1+I5/100)</f>
        <v>2710825.81324009</v>
      </c>
      <c r="J6" s="0" t="n">
        <f aca="false">I6*(1+J5/100)</f>
        <v>2737934.0713725</v>
      </c>
      <c r="K6" s="0" t="n">
        <f aca="false">J6*(1+K5/100)</f>
        <v>2765313.41208622</v>
      </c>
      <c r="L6" s="0" t="n">
        <f aca="false">K6*(1+L5/100)</f>
        <v>2792966.54620708</v>
      </c>
    </row>
    <row r="7" customFormat="false" ht="15" hidden="false" customHeight="false" outlineLevel="0" collapsed="false">
      <c r="A7" s="0" t="s">
        <v>113</v>
      </c>
      <c r="C7" s="4" t="n">
        <f aca="false">Assumptions!C28</f>
        <v>8.7</v>
      </c>
      <c r="D7" s="4" t="n">
        <f aca="false">Assumptions!D28</f>
        <v>8.4</v>
      </c>
      <c r="E7" s="4" t="n">
        <f aca="false">Assumptions!E28</f>
        <v>8.1</v>
      </c>
      <c r="F7" s="4" t="n">
        <f aca="false">Assumptions!F28</f>
        <v>7.9</v>
      </c>
      <c r="G7" s="4" t="n">
        <f aca="false">Assumptions!G28</f>
        <v>7.7</v>
      </c>
      <c r="H7" s="4" t="n">
        <f aca="false">Assumptions!H28</f>
        <v>7.5</v>
      </c>
      <c r="I7" s="4" t="n">
        <f aca="false">Assumptions!I28</f>
        <v>7.5</v>
      </c>
      <c r="J7" s="4" t="n">
        <f aca="false">Assumptions!J28</f>
        <v>7.5</v>
      </c>
      <c r="K7" s="4" t="n">
        <f aca="false">Assumptions!K28</f>
        <v>7.5</v>
      </c>
      <c r="L7" s="4" t="n">
        <f aca="false">Assumptions!L28</f>
        <v>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210467.561886</v>
      </c>
      <c r="D8" s="0" t="n">
        <f aca="false">D6*D7/100</f>
        <v>209306.36154456</v>
      </c>
      <c r="E8" s="0" t="n">
        <f aca="false">E6*E7/100</f>
        <v>205867.757033471</v>
      </c>
      <c r="F8" s="0" t="n">
        <f aca="false">F6*F7/100</f>
        <v>204800.294589594</v>
      </c>
      <c r="G8" s="0" t="n">
        <f aca="false">G6*G7/100</f>
        <v>202609.709160123</v>
      </c>
      <c r="H8" s="0" t="n">
        <f aca="false">H6*H7/100</f>
        <v>200307.326101485</v>
      </c>
      <c r="I8" s="0" t="n">
        <f aca="false">I6*I7/100</f>
        <v>203311.935993007</v>
      </c>
      <c r="J8" s="0" t="n">
        <f aca="false">J6*J7/100</f>
        <v>205345.055352937</v>
      </c>
      <c r="K8" s="0" t="n">
        <f aca="false">K6*K7/100</f>
        <v>207398.505906467</v>
      </c>
      <c r="L8" s="0" t="n">
        <f aca="false">L6*L7/100</f>
        <v>209472.490965531</v>
      </c>
    </row>
    <row r="9" customFormat="false" ht="15" hidden="false" customHeight="false" outlineLevel="0" collapsed="false">
      <c r="A9" s="0" t="s">
        <v>114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130</v>
      </c>
      <c r="C11" s="0" t="n">
        <f aca="false">C8+C10+C24</f>
        <v>210467.561886</v>
      </c>
      <c r="D11" s="0" t="n">
        <f aca="false">D8+D10+D24</f>
        <v>209306.36154456</v>
      </c>
      <c r="E11" s="0" t="n">
        <f aca="false">E8+E10+E24</f>
        <v>205867.757033471</v>
      </c>
      <c r="F11" s="0" t="n">
        <f aca="false">F8+F10+F24</f>
        <v>204800.294589594</v>
      </c>
      <c r="G11" s="0" t="n">
        <f aca="false">G8+G10+G24</f>
        <v>202609.709160123</v>
      </c>
      <c r="H11" s="0" t="n">
        <f aca="false">H8+H10+H24</f>
        <v>200307.326101485</v>
      </c>
      <c r="I11" s="0" t="n">
        <f aca="false">I8+I10+I24</f>
        <v>203311.935993007</v>
      </c>
      <c r="J11" s="0" t="n">
        <f aca="false">J8+J10+J24</f>
        <v>205345.055352937</v>
      </c>
      <c r="K11" s="0" t="n">
        <f aca="false">K8+K10+K24</f>
        <v>207398.505906467</v>
      </c>
      <c r="L11" s="0" t="n">
        <f aca="false">L8+L10+L24</f>
        <v>209472.490965531</v>
      </c>
    </row>
    <row r="12" customFormat="false" ht="15" hidden="false" customHeight="false" outlineLevel="0" collapsed="false">
      <c r="A12" s="0" t="s">
        <v>131</v>
      </c>
      <c r="C12" s="4" t="n">
        <f aca="false">-C6*Assumptions!C31/100</f>
        <v>-21772.506402</v>
      </c>
      <c r="D12" s="4" t="n">
        <f aca="false">-D6*Assumptions!D31/100</f>
        <v>-22425.68159406</v>
      </c>
      <c r="E12" s="4" t="n">
        <f aca="false">-E6*Assumptions!E31/100</f>
        <v>-24144.9838496046</v>
      </c>
      <c r="F12" s="4" t="n">
        <f aca="false">-F6*Assumptions!F31/100</f>
        <v>-25924.0879227334</v>
      </c>
      <c r="G12" s="4" t="n">
        <f aca="false">-G6*Assumptions!G31/100</f>
        <v>-26312.9492415744</v>
      </c>
      <c r="H12" s="4" t="n">
        <f aca="false">-H6*Assumptions!H31/100</f>
        <v>-26707.643480198</v>
      </c>
      <c r="I12" s="4" t="n">
        <f aca="false">-I6*Assumptions!I31/100</f>
        <v>-27108.2581324009</v>
      </c>
      <c r="J12" s="4" t="n">
        <f aca="false">-J6*Assumptions!J31/100</f>
        <v>-27379.340713725</v>
      </c>
      <c r="K12" s="4" t="n">
        <f aca="false">-K6*Assumptions!K31/100</f>
        <v>-27653.1341208622</v>
      </c>
      <c r="L12" s="4" t="n">
        <f aca="false">-L6*Assumptions!L31/100</f>
        <v>-27929.6654620708</v>
      </c>
    </row>
    <row r="13" customFormat="false" ht="15" hidden="false" customHeight="false" outlineLevel="0" collapsed="false">
      <c r="A13" s="0" t="s">
        <v>132</v>
      </c>
      <c r="C13" s="0" t="n">
        <f aca="false">C11+C12</f>
        <v>188695.055484</v>
      </c>
      <c r="D13" s="0" t="n">
        <f aca="false">D11+D12</f>
        <v>186880.6799505</v>
      </c>
      <c r="E13" s="0" t="n">
        <f aca="false">E11+E12</f>
        <v>181722.773183866</v>
      </c>
      <c r="F13" s="0" t="n">
        <f aca="false">F11+F12</f>
        <v>178876.20666686</v>
      </c>
      <c r="G13" s="0" t="n">
        <f aca="false">G11+G12</f>
        <v>176296.759918548</v>
      </c>
      <c r="H13" s="0" t="n">
        <f aca="false">H11+H12</f>
        <v>173599.682621287</v>
      </c>
      <c r="I13" s="0" t="n">
        <f aca="false">I11+I12</f>
        <v>176203.677860606</v>
      </c>
      <c r="J13" s="0" t="n">
        <f aca="false">J11+J12</f>
        <v>177965.714639212</v>
      </c>
      <c r="K13" s="0" t="n">
        <f aca="false">K11+K12</f>
        <v>179745.371785604</v>
      </c>
      <c r="L13" s="0" t="n">
        <f aca="false">L11+L12</f>
        <v>181542.82550346</v>
      </c>
    </row>
    <row r="14" customFormat="false" ht="15" hidden="false" customHeight="false" outlineLevel="0" collapsed="false">
      <c r="A14" s="0" t="s">
        <v>118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133</v>
      </c>
      <c r="C15" s="0" t="n">
        <f aca="false">C13-MAX(0,C13)*C14/100</f>
        <v>132086.5388388</v>
      </c>
      <c r="D15" s="0" t="n">
        <f aca="false">D13-MAX(0,D13)*D14/100</f>
        <v>130816.47596535</v>
      </c>
      <c r="E15" s="0" t="n">
        <f aca="false">E13-MAX(0,E13)*E14/100</f>
        <v>127205.941228706</v>
      </c>
      <c r="F15" s="0" t="n">
        <f aca="false">F13-MAX(0,F13)*F14/100</f>
        <v>125213.344666802</v>
      </c>
      <c r="G15" s="0" t="n">
        <f aca="false">G13-MAX(0,G13)*G14/100</f>
        <v>123407.731942984</v>
      </c>
      <c r="H15" s="0" t="n">
        <f aca="false">H13-MAX(0,H13)*H14/100</f>
        <v>121519.777834901</v>
      </c>
      <c r="I15" s="0" t="n">
        <f aca="false">I13-MAX(0,I13)*I14/100</f>
        <v>123342.574502424</v>
      </c>
      <c r="J15" s="0" t="n">
        <f aca="false">J13-MAX(0,J13)*J14/100</f>
        <v>124576.000247449</v>
      </c>
      <c r="K15" s="0" t="n">
        <f aca="false">K13-MAX(0,K13)*K14/100</f>
        <v>125821.760249923</v>
      </c>
      <c r="L15" s="0" t="n">
        <f aca="false">L13-MAX(0,L13)*L14/100</f>
        <v>127079.977852422</v>
      </c>
    </row>
    <row r="16" customFormat="false" ht="15" hidden="false" customHeight="false" outlineLevel="0" collapsed="false">
      <c r="A16" s="0" t="s">
        <v>134</v>
      </c>
      <c r="C16" s="0" t="n">
        <f aca="false">-C12</f>
        <v>21772.506402</v>
      </c>
      <c r="D16" s="0" t="n">
        <f aca="false">-D12</f>
        <v>22425.68159406</v>
      </c>
      <c r="E16" s="0" t="n">
        <f aca="false">-E12</f>
        <v>24144.9838496046</v>
      </c>
      <c r="F16" s="0" t="n">
        <f aca="false">-F12</f>
        <v>25924.0879227334</v>
      </c>
      <c r="G16" s="0" t="n">
        <f aca="false">-G12</f>
        <v>26312.9492415744</v>
      </c>
      <c r="H16" s="0" t="n">
        <f aca="false">-H12</f>
        <v>26707.643480198</v>
      </c>
      <c r="I16" s="0" t="n">
        <f aca="false">-I12</f>
        <v>27108.2581324009</v>
      </c>
      <c r="J16" s="0" t="n">
        <f aca="false">-J12</f>
        <v>27379.340713725</v>
      </c>
      <c r="K16" s="0" t="n">
        <f aca="false">-K12</f>
        <v>27653.1341208622</v>
      </c>
      <c r="L16" s="0" t="n">
        <f aca="false">-L12</f>
        <v>27929.6654620708</v>
      </c>
    </row>
    <row r="17" customFormat="false" ht="15" hidden="false" customHeight="false" outlineLevel="0" collapsed="false">
      <c r="A17" s="0" t="s">
        <v>135</v>
      </c>
      <c r="C17" s="4" t="n">
        <f aca="false">-C6*Assumptions!C32/100</f>
        <v>-60479.18445</v>
      </c>
      <c r="D17" s="4" t="n">
        <f aca="false">-D6*Assumptions!D32/100</f>
        <v>-62293.5599835</v>
      </c>
      <c r="E17" s="4" t="n">
        <f aca="false">-E6*Assumptions!E32/100</f>
        <v>-55914.6994411896</v>
      </c>
      <c r="F17" s="4" t="n">
        <f aca="false">-F6*Assumptions!F32/100</f>
        <v>-51848.1758454667</v>
      </c>
      <c r="G17" s="4" t="n">
        <f aca="false">-G6*Assumptions!G32/100</f>
        <v>-52625.8984831487</v>
      </c>
      <c r="H17" s="4" t="n">
        <f aca="false">-H6*Assumptions!H32/100</f>
        <v>-48073.7582643564</v>
      </c>
      <c r="I17" s="4" t="n">
        <f aca="false">-I6*Assumptions!I32/100</f>
        <v>-48794.8646383217</v>
      </c>
      <c r="J17" s="4" t="n">
        <f aca="false">-J6*Assumptions!J32/100</f>
        <v>-49282.8132847049</v>
      </c>
      <c r="K17" s="4" t="n">
        <f aca="false">-K6*Assumptions!K32/100</f>
        <v>-49775.641417552</v>
      </c>
      <c r="L17" s="4" t="n">
        <f aca="false">-L6*Assumptions!L32/100</f>
        <v>-50273.3978317275</v>
      </c>
    </row>
    <row r="18" customFormat="false" ht="15" hidden="false" customHeight="false" outlineLevel="0" collapsed="false">
      <c r="A18" s="0" t="s">
        <v>136</v>
      </c>
      <c r="C18" s="4" t="n">
        <f aca="false">(C6-B6)*Assumptions!$B$37/100</f>
        <v>-33007.6378</v>
      </c>
      <c r="D18" s="4" t="n">
        <f aca="false">(D6-C6)*Assumptions!$B$37/100</f>
        <v>-7257.502134</v>
      </c>
      <c r="E18" s="4" t="n">
        <f aca="false">(E6-D6)*Assumptions!$B$37/100</f>
        <v>-4983.48479868001</v>
      </c>
      <c r="F18" s="4" t="n">
        <f aca="false">(F6-E6)*Assumptions!$B$37/100</f>
        <v>-5083.1544946536</v>
      </c>
      <c r="G18" s="4" t="n">
        <f aca="false">(G6-F6)*Assumptions!$B$37/100</f>
        <v>-3888.61318840999</v>
      </c>
      <c r="H18" s="4" t="n">
        <f aca="false">(H6-G6)*Assumptions!$B$37/100</f>
        <v>-3946.94238623614</v>
      </c>
      <c r="I18" s="4" t="n">
        <f aca="false">(I6-H6)*Assumptions!$B$37/100</f>
        <v>-4006.14652202968</v>
      </c>
      <c r="J18" s="4" t="n">
        <f aca="false">(J6-I6)*Assumptions!$B$37/100</f>
        <v>-2710.82581324009</v>
      </c>
      <c r="K18" s="4" t="n">
        <f aca="false">(K6-J6)*Assumptions!$B$37/100</f>
        <v>-2737.9340713725</v>
      </c>
      <c r="L18" s="4" t="n">
        <f aca="false">(L6-K6)*Assumptions!$B$37/100</f>
        <v>-2765.3134120862</v>
      </c>
    </row>
    <row r="19" customFormat="false" ht="15" hidden="false" customHeight="false" outlineLevel="0" collapsed="false">
      <c r="A19" s="0" t="s">
        <v>137</v>
      </c>
      <c r="C19" s="0" t="n">
        <f aca="false">C15+C16+C17+C18</f>
        <v>60372.2229908</v>
      </c>
      <c r="D19" s="0" t="n">
        <f aca="false">D15+D16+D17+D18</f>
        <v>83691.09544191</v>
      </c>
      <c r="E19" s="0" t="n">
        <f aca="false">E15+E16+E17+E18</f>
        <v>90452.7408384413</v>
      </c>
      <c r="F19" s="0" t="n">
        <f aca="false">F15+F16+F17+F18</f>
        <v>94206.1022494152</v>
      </c>
      <c r="G19" s="0" t="n">
        <f aca="false">G15+G16+G17+G18</f>
        <v>93206.1695129994</v>
      </c>
      <c r="H19" s="0" t="n">
        <f aca="false">H15+H16+H17+H18</f>
        <v>96206.7206645063</v>
      </c>
      <c r="I19" s="0" t="n">
        <f aca="false">I15+I16+I17+I18</f>
        <v>97649.8214744738</v>
      </c>
      <c r="J19" s="0" t="n">
        <f aca="false">J15+J16+J17+J18</f>
        <v>99961.7018632285</v>
      </c>
      <c r="K19" s="0" t="n">
        <f aca="false">K15+K16+K17+K18</f>
        <v>100961.318881861</v>
      </c>
      <c r="L19" s="0" t="n">
        <f aca="false">L15+L16+L17+L18</f>
        <v>101970.932070679</v>
      </c>
    </row>
    <row r="20" customFormat="false" ht="15" hidden="false" customHeight="false" outlineLevel="0" collapsed="false">
      <c r="A20" s="0" t="s">
        <v>138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139</v>
      </c>
      <c r="C21" s="0" t="n">
        <f aca="false">C19*C20</f>
        <v>56422.6383091589</v>
      </c>
      <c r="D21" s="0" t="n">
        <f aca="false">D19*D20</f>
        <v>73099.0439705738</v>
      </c>
      <c r="E21" s="0" t="n">
        <f aca="false">E19*E20</f>
        <v>73836.3803053781</v>
      </c>
      <c r="F21" s="0" t="n">
        <f aca="false">F19*F20</f>
        <v>71869.3843517384</v>
      </c>
      <c r="G21" s="0" t="n">
        <f aca="false">G19*G20</f>
        <v>66454.7107053806</v>
      </c>
      <c r="H21" s="0" t="n">
        <f aca="false">H19*H20</f>
        <v>64106.6001936811</v>
      </c>
      <c r="I21" s="0" t="n">
        <f aca="false">I19*I20</f>
        <v>60811.401118305</v>
      </c>
      <c r="J21" s="0" t="n">
        <f aca="false">J19*J20</f>
        <v>58178.6205922149</v>
      </c>
      <c r="K21" s="0" t="n">
        <f aca="false">K19*K20</f>
        <v>54916.2680356421</v>
      </c>
      <c r="L21" s="0" t="n">
        <f aca="false">L19*L20</f>
        <v>51836.8511364472</v>
      </c>
    </row>
    <row r="23" customFormat="false" ht="15" hidden="false" customHeight="false" outlineLevel="0" collapsed="false">
      <c r="A23" s="0" t="s">
        <v>115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140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0" t="s">
        <v>119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120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121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142</v>
      </c>
      <c r="B30" s="0" t="n">
        <f aca="false">SUM(C21:L21)</f>
        <v>631531.89871852</v>
      </c>
    </row>
    <row r="31" customFormat="false" ht="15" hidden="false" customHeight="false" outlineLevel="0" collapsed="false">
      <c r="A31" s="0" t="s">
        <v>143</v>
      </c>
      <c r="B31" s="0" t="n">
        <f aca="false">L19</f>
        <v>101970.932070679</v>
      </c>
    </row>
    <row r="32" customFormat="false" ht="15" hidden="false" customHeight="false" outlineLevel="0" collapsed="false">
      <c r="A32" s="0" t="s">
        <v>144</v>
      </c>
      <c r="B32" s="0" t="n">
        <f aca="false">IF(B27&gt;B28,B31*(1+B28/100)/((B27-B28)/100),B31*B29)</f>
        <v>1716510.68985644</v>
      </c>
    </row>
    <row r="33" customFormat="false" ht="15" hidden="false" customHeight="false" outlineLevel="0" collapsed="false">
      <c r="A33" s="0" t="s">
        <v>145</v>
      </c>
      <c r="B33" s="0" t="n">
        <f aca="false">B31*B29</f>
        <v>1223651.18484815</v>
      </c>
    </row>
    <row r="34" customFormat="false" ht="15" hidden="false" customHeight="false" outlineLevel="0" collapsed="false">
      <c r="A34" s="0" t="s">
        <v>146</v>
      </c>
      <c r="B34" s="0" t="n">
        <f aca="false">MAX(0,MIN(B32,B33))</f>
        <v>1223651.18484815</v>
      </c>
    </row>
    <row r="35" customFormat="false" ht="15" hidden="false" customHeight="false" outlineLevel="0" collapsed="false">
      <c r="A35" s="0" t="s">
        <v>147</v>
      </c>
      <c r="B35" s="0" t="n">
        <f aca="false">B34/(1+B27/100)^L4</f>
        <v>622042.213637367</v>
      </c>
    </row>
    <row r="36" customFormat="false" ht="15" hidden="false" customHeight="false" outlineLevel="0" collapsed="false">
      <c r="A36" s="0" t="s">
        <v>148</v>
      </c>
      <c r="B36" s="0" t="n">
        <f aca="false">B30+B35</f>
        <v>1253574.11235589</v>
      </c>
    </row>
    <row r="37" customFormat="false" ht="15" hidden="false" customHeight="false" outlineLevel="0" collapsed="false">
      <c r="A37" s="0" t="s">
        <v>149</v>
      </c>
      <c r="B37" s="0" t="n">
        <f aca="false">B36+Assumptions!$B$5-Assumptions!$B$4</f>
        <v>1409570.11235589</v>
      </c>
    </row>
    <row r="38" customFormat="false" ht="15" hidden="false" customHeight="false" outlineLevel="0" collapsed="false">
      <c r="A38" s="0" t="s">
        <v>150</v>
      </c>
      <c r="B38" s="0" t="n">
        <f aca="false">B37/Assumptions!$B$3*Assumptions!$B$10</f>
        <v>8647.19194864018</v>
      </c>
    </row>
    <row r="39" customFormat="false" ht="15" hidden="false" customHeight="false" outlineLevel="0" collapsed="false">
      <c r="A39" s="0" t="s">
        <v>151</v>
      </c>
      <c r="B39" s="4" t="n">
        <f aca="false">B38/Assumptions!$B$2-1</f>
        <v>-0.238468344461455</v>
      </c>
    </row>
    <row r="41" customFormat="false" ht="15" hidden="false" customHeight="false" outlineLevel="0" collapsed="false">
      <c r="A41" s="0" t="s">
        <v>152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154</v>
      </c>
      <c r="B43" s="0" t="n">
        <f aca="false">(B37+B41+B42)/Assumptions!$B$3*Assumptions!$B$10</f>
        <v>8647.19194864018</v>
      </c>
    </row>
    <row r="45" customFormat="false" ht="15" hidden="false" customHeight="false" outlineLevel="0" collapsed="false">
      <c r="A45" s="0" t="s">
        <v>95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155</v>
      </c>
      <c r="B46" s="0" t="n">
        <f aca="false">MAX(0,MIN(IF(B45&gt;B28,B31*(1+B28/100)/((B45-B28)/100),B31*B29),B31*B29))</f>
        <v>735647.438509901</v>
      </c>
    </row>
    <row r="47" customFormat="false" ht="15" hidden="false" customHeight="false" outlineLevel="0" collapsed="false">
      <c r="A47" s="0" t="s">
        <v>156</v>
      </c>
      <c r="B47" s="0" t="n">
        <f aca="false">(SUMPRODUCT(C19:L19/(1+B45/100)^C4:L4)+B46/(1+B45/100)^L4+Assumptions!$B$5-Assumptions!$B$4)/Assumptions!$B$3*Assumptions!$B$10</f>
        <v>4773.84333219478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0" t="s">
        <v>127</v>
      </c>
      <c r="B3" s="0" t="s">
        <v>88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</row>
    <row r="4" customFormat="false" ht="15" hidden="false" customHeight="false" outlineLevel="0" collapsed="false">
      <c r="A4" s="0" t="s">
        <v>128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112</v>
      </c>
      <c r="C5" s="4" t="n">
        <f aca="false">Assumptions!C41</f>
        <v>17</v>
      </c>
      <c r="D5" s="4" t="n">
        <f aca="false">Assumptions!D41</f>
        <v>5</v>
      </c>
      <c r="E5" s="4" t="n">
        <f aca="false">Assumptions!E41</f>
        <v>4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2089091</v>
      </c>
      <c r="C6" s="0" t="n">
        <f aca="false">B6*(1+C5/100)</f>
        <v>2444236.47</v>
      </c>
      <c r="D6" s="0" t="n">
        <f aca="false">C6*(1+D5/100)</f>
        <v>2566448.2935</v>
      </c>
      <c r="E6" s="0" t="n">
        <f aca="false">D6*(1+E5/100)</f>
        <v>2669106.22524</v>
      </c>
      <c r="F6" s="0" t="n">
        <f aca="false">E6*(1+F5/100)</f>
        <v>2749179.4119972</v>
      </c>
      <c r="G6" s="0" t="n">
        <f aca="false">F6*(1+G5/100)</f>
        <v>2831654.79435712</v>
      </c>
      <c r="H6" s="0" t="n">
        <f aca="false">G6*(1+H5/100)</f>
        <v>2902446.16421604</v>
      </c>
      <c r="I6" s="0" t="n">
        <f aca="false">H6*(1+I5/100)</f>
        <v>2960495.08750036</v>
      </c>
      <c r="J6" s="0" t="n">
        <f aca="false">I6*(1+J5/100)</f>
        <v>3019704.98925037</v>
      </c>
      <c r="K6" s="0" t="n">
        <f aca="false">J6*(1+K5/100)</f>
        <v>3080099.08903538</v>
      </c>
      <c r="L6" s="0" t="n">
        <f aca="false">K6*(1+L5/100)</f>
        <v>3141701.07081609</v>
      </c>
    </row>
    <row r="7" customFormat="false" ht="15" hidden="false" customHeight="false" outlineLevel="0" collapsed="false">
      <c r="A7" s="0" t="s">
        <v>113</v>
      </c>
      <c r="C7" s="4" t="n">
        <f aca="false">Assumptions!C42</f>
        <v>9</v>
      </c>
      <c r="D7" s="4" t="n">
        <f aca="false">Assumptions!D42</f>
        <v>9</v>
      </c>
      <c r="E7" s="4" t="n">
        <f aca="false">Assumptions!E42</f>
        <v>9</v>
      </c>
      <c r="F7" s="4" t="n">
        <f aca="false">Assumptions!F42</f>
        <v>8.8</v>
      </c>
      <c r="G7" s="4" t="n">
        <f aca="false">Assumptions!G42</f>
        <v>8.6</v>
      </c>
      <c r="H7" s="4" t="n">
        <f aca="false">Assumptions!H42</f>
        <v>8.5</v>
      </c>
      <c r="I7" s="4" t="n">
        <f aca="false">Assumptions!I42</f>
        <v>8.5</v>
      </c>
      <c r="J7" s="4" t="n">
        <f aca="false">Assumptions!J42</f>
        <v>8.5</v>
      </c>
      <c r="K7" s="4" t="n">
        <f aca="false">Assumptions!K42</f>
        <v>8.5</v>
      </c>
      <c r="L7" s="4" t="n">
        <f aca="false">Assumptions!L42</f>
        <v>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219981.2823</v>
      </c>
      <c r="D8" s="0" t="n">
        <f aca="false">D6*D7/100</f>
        <v>230980.346415</v>
      </c>
      <c r="E8" s="0" t="n">
        <f aca="false">E6*E7/100</f>
        <v>240219.5602716</v>
      </c>
      <c r="F8" s="0" t="n">
        <f aca="false">F6*F7/100</f>
        <v>241927.788255754</v>
      </c>
      <c r="G8" s="0" t="n">
        <f aca="false">G6*G7/100</f>
        <v>243522.312314712</v>
      </c>
      <c r="H8" s="0" t="n">
        <f aca="false">H6*H7/100</f>
        <v>246707.923958364</v>
      </c>
      <c r="I8" s="0" t="n">
        <f aca="false">I6*I7/100</f>
        <v>251642.082437531</v>
      </c>
      <c r="J8" s="0" t="n">
        <f aca="false">J6*J7/100</f>
        <v>256674.924086282</v>
      </c>
      <c r="K8" s="0" t="n">
        <f aca="false">K6*K7/100</f>
        <v>261808.422568007</v>
      </c>
      <c r="L8" s="0" t="n">
        <f aca="false">L6*L7/100</f>
        <v>267044.591019367</v>
      </c>
    </row>
    <row r="9" customFormat="false" ht="15" hidden="false" customHeight="false" outlineLevel="0" collapsed="false">
      <c r="A9" s="0" t="s">
        <v>114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130</v>
      </c>
      <c r="C11" s="0" t="n">
        <f aca="false">C8+C10+C24</f>
        <v>219981.2823</v>
      </c>
      <c r="D11" s="0" t="n">
        <f aca="false">D8+D10+D24</f>
        <v>230980.346415</v>
      </c>
      <c r="E11" s="0" t="n">
        <f aca="false">E8+E10+E24</f>
        <v>240219.5602716</v>
      </c>
      <c r="F11" s="0" t="n">
        <f aca="false">F8+F10+F24</f>
        <v>241927.788255754</v>
      </c>
      <c r="G11" s="0" t="n">
        <f aca="false">G8+G10+G24</f>
        <v>243522.312314712</v>
      </c>
      <c r="H11" s="0" t="n">
        <f aca="false">H8+H10+H24</f>
        <v>246707.923958364</v>
      </c>
      <c r="I11" s="0" t="n">
        <f aca="false">I8+I10+I24</f>
        <v>251642.082437531</v>
      </c>
      <c r="J11" s="0" t="n">
        <f aca="false">J8+J10+J24</f>
        <v>256674.924086282</v>
      </c>
      <c r="K11" s="0" t="n">
        <f aca="false">K8+K10+K24</f>
        <v>261808.422568007</v>
      </c>
      <c r="L11" s="0" t="n">
        <f aca="false">L8+L10+L24</f>
        <v>267044.591019367</v>
      </c>
    </row>
    <row r="12" customFormat="false" ht="15" hidden="false" customHeight="false" outlineLevel="0" collapsed="false">
      <c r="A12" s="0" t="s">
        <v>131</v>
      </c>
      <c r="C12" s="4" t="n">
        <f aca="false">-C6*Assumptions!C45/100</f>
        <v>-21998.12823</v>
      </c>
      <c r="D12" s="4" t="n">
        <f aca="false">-D6*Assumptions!D45/100</f>
        <v>-23098.0346415</v>
      </c>
      <c r="E12" s="4" t="n">
        <f aca="false">-E6*Assumptions!E45/100</f>
        <v>-25356.50913978</v>
      </c>
      <c r="F12" s="4" t="n">
        <f aca="false">-F6*Assumptions!F45/100</f>
        <v>-27491.794119972</v>
      </c>
      <c r="G12" s="4" t="n">
        <f aca="false">-G6*Assumptions!G45/100</f>
        <v>-28316.5479435712</v>
      </c>
      <c r="H12" s="4" t="n">
        <f aca="false">-H6*Assumptions!H45/100</f>
        <v>-29024.4616421604</v>
      </c>
      <c r="I12" s="4" t="n">
        <f aca="false">-I6*Assumptions!I45/100</f>
        <v>-29604.9508750036</v>
      </c>
      <c r="J12" s="4" t="n">
        <f aca="false">-J6*Assumptions!J45/100</f>
        <v>-30197.0498925037</v>
      </c>
      <c r="K12" s="4" t="n">
        <f aca="false">-K6*Assumptions!K45/100</f>
        <v>-30800.9908903538</v>
      </c>
      <c r="L12" s="4" t="n">
        <f aca="false">-L6*Assumptions!L45/100</f>
        <v>-31417.0107081609</v>
      </c>
    </row>
    <row r="13" customFormat="false" ht="15" hidden="false" customHeight="false" outlineLevel="0" collapsed="false">
      <c r="A13" s="0" t="s">
        <v>132</v>
      </c>
      <c r="C13" s="0" t="n">
        <f aca="false">C11+C12</f>
        <v>197983.15407</v>
      </c>
      <c r="D13" s="0" t="n">
        <f aca="false">D11+D12</f>
        <v>207882.3117735</v>
      </c>
      <c r="E13" s="0" t="n">
        <f aca="false">E11+E12</f>
        <v>214863.05113182</v>
      </c>
      <c r="F13" s="0" t="n">
        <f aca="false">F11+F12</f>
        <v>214435.994135782</v>
      </c>
      <c r="G13" s="0" t="n">
        <f aca="false">G11+G12</f>
        <v>215205.764371141</v>
      </c>
      <c r="H13" s="0" t="n">
        <f aca="false">H11+H12</f>
        <v>217683.462316203</v>
      </c>
      <c r="I13" s="0" t="n">
        <f aca="false">I11+I12</f>
        <v>222037.131562527</v>
      </c>
      <c r="J13" s="0" t="n">
        <f aca="false">J11+J12</f>
        <v>226477.874193778</v>
      </c>
      <c r="K13" s="0" t="n">
        <f aca="false">K11+K12</f>
        <v>231007.431677653</v>
      </c>
      <c r="L13" s="0" t="n">
        <f aca="false">L11+L12</f>
        <v>235627.580311206</v>
      </c>
    </row>
    <row r="14" customFormat="false" ht="15" hidden="false" customHeight="false" outlineLevel="0" collapsed="false">
      <c r="A14" s="0" t="s">
        <v>118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133</v>
      </c>
      <c r="C15" s="0" t="n">
        <f aca="false">C13-MAX(0,C13)*C14/100</f>
        <v>138588.207849</v>
      </c>
      <c r="D15" s="0" t="n">
        <f aca="false">D13-MAX(0,D13)*D14/100</f>
        <v>145517.61824145</v>
      </c>
      <c r="E15" s="0" t="n">
        <f aca="false">E13-MAX(0,E13)*E14/100</f>
        <v>150404.135792274</v>
      </c>
      <c r="F15" s="0" t="n">
        <f aca="false">F13-MAX(0,F13)*F14/100</f>
        <v>150105.195895047</v>
      </c>
      <c r="G15" s="0" t="n">
        <f aca="false">G13-MAX(0,G13)*G14/100</f>
        <v>150644.035059799</v>
      </c>
      <c r="H15" s="0" t="n">
        <f aca="false">H13-MAX(0,H13)*H14/100</f>
        <v>152378.423621342</v>
      </c>
      <c r="I15" s="0" t="n">
        <f aca="false">I13-MAX(0,I13)*I14/100</f>
        <v>155425.992093769</v>
      </c>
      <c r="J15" s="0" t="n">
        <f aca="false">J13-MAX(0,J13)*J14/100</f>
        <v>158534.511935645</v>
      </c>
      <c r="K15" s="0" t="n">
        <f aca="false">K13-MAX(0,K13)*K14/100</f>
        <v>161705.202174357</v>
      </c>
      <c r="L15" s="0" t="n">
        <f aca="false">L13-MAX(0,L13)*L14/100</f>
        <v>164939.306217845</v>
      </c>
    </row>
    <row r="16" customFormat="false" ht="15" hidden="false" customHeight="false" outlineLevel="0" collapsed="false">
      <c r="A16" s="0" t="s">
        <v>134</v>
      </c>
      <c r="C16" s="0" t="n">
        <f aca="false">-C12</f>
        <v>21998.12823</v>
      </c>
      <c r="D16" s="0" t="n">
        <f aca="false">-D12</f>
        <v>23098.0346415</v>
      </c>
      <c r="E16" s="0" t="n">
        <f aca="false">-E12</f>
        <v>25356.50913978</v>
      </c>
      <c r="F16" s="0" t="n">
        <f aca="false">-F12</f>
        <v>27491.794119972</v>
      </c>
      <c r="G16" s="0" t="n">
        <f aca="false">-G12</f>
        <v>28316.5479435712</v>
      </c>
      <c r="H16" s="0" t="n">
        <f aca="false">-H12</f>
        <v>29024.4616421604</v>
      </c>
      <c r="I16" s="0" t="n">
        <f aca="false">-I12</f>
        <v>29604.9508750036</v>
      </c>
      <c r="J16" s="0" t="n">
        <f aca="false">-J12</f>
        <v>30197.0498925037</v>
      </c>
      <c r="K16" s="0" t="n">
        <f aca="false">-K12</f>
        <v>30800.9908903538</v>
      </c>
      <c r="L16" s="0" t="n">
        <f aca="false">-L12</f>
        <v>31417.0107081609</v>
      </c>
    </row>
    <row r="17" customFormat="false" ht="15" hidden="false" customHeight="false" outlineLevel="0" collapsed="false">
      <c r="A17" s="0" t="s">
        <v>135</v>
      </c>
      <c r="C17" s="4" t="n">
        <f aca="false">-C6*Assumptions!C46/100</f>
        <v>-61105.91175</v>
      </c>
      <c r="D17" s="4" t="n">
        <f aca="false">-D6*Assumptions!D46/100</f>
        <v>-64161.2073375</v>
      </c>
      <c r="E17" s="4" t="n">
        <f aca="false">-E6*Assumptions!E46/100</f>
        <v>-58720.33695528</v>
      </c>
      <c r="F17" s="4" t="n">
        <f aca="false">-F6*Assumptions!F46/100</f>
        <v>-54983.588239944</v>
      </c>
      <c r="G17" s="4" t="n">
        <f aca="false">-G6*Assumptions!G46/100</f>
        <v>-56633.0958871423</v>
      </c>
      <c r="H17" s="4" t="n">
        <f aca="false">-H6*Assumptions!H46/100</f>
        <v>-52244.0309558888</v>
      </c>
      <c r="I17" s="4" t="n">
        <f aca="false">-I6*Assumptions!I46/100</f>
        <v>-53288.9115750066</v>
      </c>
      <c r="J17" s="4" t="n">
        <f aca="false">-J6*Assumptions!J46/100</f>
        <v>-54354.6898065067</v>
      </c>
      <c r="K17" s="4" t="n">
        <f aca="false">-K6*Assumptions!K46/100</f>
        <v>-55441.7836026368</v>
      </c>
      <c r="L17" s="4" t="n">
        <f aca="false">-L6*Assumptions!L46/100</f>
        <v>-56550.6192746896</v>
      </c>
    </row>
    <row r="18" customFormat="false" ht="15" hidden="false" customHeight="false" outlineLevel="0" collapsed="false">
      <c r="A18" s="0" t="s">
        <v>136</v>
      </c>
      <c r="C18" s="4" t="n">
        <f aca="false">(C6-B6)*Assumptions!$B$51/100</f>
        <v>-35514.547</v>
      </c>
      <c r="D18" s="4" t="n">
        <f aca="false">(D6-C6)*Assumptions!$B$51/100</f>
        <v>-12221.18235</v>
      </c>
      <c r="E18" s="4" t="n">
        <f aca="false">(E6-D6)*Assumptions!$B$51/100</f>
        <v>-10265.793174</v>
      </c>
      <c r="F18" s="4" t="n">
        <f aca="false">(F6-E6)*Assumptions!$B$51/100</f>
        <v>-8007.31867571999</v>
      </c>
      <c r="G18" s="4" t="n">
        <f aca="false">(G6-F6)*Assumptions!$B$51/100</f>
        <v>-8247.53823599159</v>
      </c>
      <c r="H18" s="4" t="n">
        <f aca="false">(H6-G6)*Assumptions!$B$51/100</f>
        <v>-7079.13698589276</v>
      </c>
      <c r="I18" s="4" t="n">
        <f aca="false">(I6-H6)*Assumptions!$B$51/100</f>
        <v>-5804.89232843211</v>
      </c>
      <c r="J18" s="4" t="n">
        <f aca="false">(J6-I6)*Assumptions!$B$51/100</f>
        <v>-5920.99017500072</v>
      </c>
      <c r="K18" s="4" t="n">
        <f aca="false">(K6-J6)*Assumptions!$B$51/100</f>
        <v>-6039.40997850075</v>
      </c>
      <c r="L18" s="4" t="n">
        <f aca="false">(L6-K6)*Assumptions!$B$51/100</f>
        <v>-6160.19817807078</v>
      </c>
    </row>
    <row r="19" customFormat="false" ht="15" hidden="false" customHeight="false" outlineLevel="0" collapsed="false">
      <c r="A19" s="0" t="s">
        <v>137</v>
      </c>
      <c r="C19" s="0" t="n">
        <f aca="false">C15+C16+C17+C18</f>
        <v>63965.877329</v>
      </c>
      <c r="D19" s="0" t="n">
        <f aca="false">D15+D16+D17+D18</f>
        <v>92233.26319545</v>
      </c>
      <c r="E19" s="0" t="n">
        <f aca="false">E15+E16+E17+E18</f>
        <v>106774.514802774</v>
      </c>
      <c r="F19" s="0" t="n">
        <f aca="false">F15+F16+F17+F18</f>
        <v>114606.083099355</v>
      </c>
      <c r="G19" s="0" t="n">
        <f aca="false">G15+G16+G17+G18</f>
        <v>114079.948880236</v>
      </c>
      <c r="H19" s="0" t="n">
        <f aca="false">H15+H16+H17+H18</f>
        <v>122079.717321721</v>
      </c>
      <c r="I19" s="0" t="n">
        <f aca="false">I15+I16+I17+I18</f>
        <v>125937.139065334</v>
      </c>
      <c r="J19" s="0" t="n">
        <f aca="false">J15+J16+J17+J18</f>
        <v>128455.881846641</v>
      </c>
      <c r="K19" s="0" t="n">
        <f aca="false">K15+K16+K17+K18</f>
        <v>131024.999483574</v>
      </c>
      <c r="L19" s="0" t="n">
        <f aca="false">L15+L16+L17+L18</f>
        <v>133645.499473245</v>
      </c>
    </row>
    <row r="20" customFormat="false" ht="15" hidden="false" customHeight="false" outlineLevel="0" collapsed="false">
      <c r="A20" s="0" t="s">
        <v>138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139</v>
      </c>
      <c r="C21" s="0" t="n">
        <f aca="false">C19*C20</f>
        <v>59781.1937654206</v>
      </c>
      <c r="D21" s="0" t="n">
        <f aca="false">D19*D20</f>
        <v>80560.1041099223</v>
      </c>
      <c r="E21" s="0" t="n">
        <f aca="false">E19*E20</f>
        <v>87159.8097395553</v>
      </c>
      <c r="F21" s="0" t="n">
        <f aca="false">F19*F20</f>
        <v>87432.4320680188</v>
      </c>
      <c r="G21" s="0" t="n">
        <f aca="false">G19*G20</f>
        <v>81337.4269078115</v>
      </c>
      <c r="H21" s="0" t="n">
        <f aca="false">H19*H20</f>
        <v>81346.8703230469</v>
      </c>
      <c r="I21" s="0" t="n">
        <f aca="false">I19*I20</f>
        <v>78427.3208466206</v>
      </c>
      <c r="J21" s="0" t="n">
        <f aca="false">J19*J20</f>
        <v>74762.4927696758</v>
      </c>
      <c r="K21" s="0" t="n">
        <f aca="false">K19*K20</f>
        <v>71268.9183411862</v>
      </c>
      <c r="L21" s="0" t="n">
        <f aca="false">L19*L20</f>
        <v>67938.5950542149</v>
      </c>
    </row>
    <row r="23" customFormat="false" ht="15" hidden="false" customHeight="false" outlineLevel="0" collapsed="false">
      <c r="A23" s="0" t="s">
        <v>115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140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0" t="s">
        <v>119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120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121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142</v>
      </c>
      <c r="B30" s="0" t="n">
        <f aca="false">SUM(C21:L21)</f>
        <v>770015.163925473</v>
      </c>
    </row>
    <row r="31" customFormat="false" ht="15" hidden="false" customHeight="false" outlineLevel="0" collapsed="false">
      <c r="A31" s="0" t="s">
        <v>143</v>
      </c>
      <c r="B31" s="0" t="n">
        <f aca="false">L19</f>
        <v>133645.499473245</v>
      </c>
    </row>
    <row r="32" customFormat="false" ht="15" hidden="false" customHeight="false" outlineLevel="0" collapsed="false">
      <c r="A32" s="0" t="s">
        <v>144</v>
      </c>
      <c r="B32" s="0" t="n">
        <f aca="false">IF(B27&gt;B28,B31*(1+B28/100)/((B27-B28)/100),B31*B29)</f>
        <v>2466366.94482443</v>
      </c>
    </row>
    <row r="33" customFormat="false" ht="15" hidden="false" customHeight="false" outlineLevel="0" collapsed="false">
      <c r="A33" s="0" t="s">
        <v>145</v>
      </c>
      <c r="B33" s="0" t="n">
        <f aca="false">B31*B29</f>
        <v>1603745.99367894</v>
      </c>
    </row>
    <row r="34" customFormat="false" ht="15" hidden="false" customHeight="false" outlineLevel="0" collapsed="false">
      <c r="A34" s="0" t="s">
        <v>146</v>
      </c>
      <c r="B34" s="0" t="n">
        <f aca="false">MAX(0,MIN(B32,B33))</f>
        <v>1603745.99367894</v>
      </c>
    </row>
    <row r="35" customFormat="false" ht="15" hidden="false" customHeight="false" outlineLevel="0" collapsed="false">
      <c r="A35" s="0" t="s">
        <v>147</v>
      </c>
      <c r="B35" s="0" t="n">
        <f aca="false">B34/(1+B27/100)^L4</f>
        <v>815263.140650579</v>
      </c>
    </row>
    <row r="36" customFormat="false" ht="15" hidden="false" customHeight="false" outlineLevel="0" collapsed="false">
      <c r="A36" s="0" t="s">
        <v>148</v>
      </c>
      <c r="B36" s="0" t="n">
        <f aca="false">B30+B35</f>
        <v>1585278.30457605</v>
      </c>
    </row>
    <row r="37" customFormat="false" ht="15" hidden="false" customHeight="false" outlineLevel="0" collapsed="false">
      <c r="A37" s="0" t="s">
        <v>149</v>
      </c>
      <c r="B37" s="0" t="n">
        <f aca="false">B36+Assumptions!$B$5-Assumptions!$B$4</f>
        <v>1741274.30457605</v>
      </c>
    </row>
    <row r="38" customFormat="false" ht="15" hidden="false" customHeight="false" outlineLevel="0" collapsed="false">
      <c r="A38" s="0" t="s">
        <v>150</v>
      </c>
      <c r="B38" s="0" t="n">
        <f aca="false">B37/Assumptions!$B$3*Assumptions!$B$10</f>
        <v>10682.0746374498</v>
      </c>
    </row>
    <row r="39" customFormat="false" ht="15" hidden="false" customHeight="false" outlineLevel="0" collapsed="false">
      <c r="A39" s="0" t="s">
        <v>151</v>
      </c>
      <c r="B39" s="4" t="n">
        <f aca="false">B38/Assumptions!$B$2-1</f>
        <v>-0.0592624713826699</v>
      </c>
    </row>
    <row r="41" customFormat="false" ht="15" hidden="false" customHeight="false" outlineLevel="0" collapsed="false">
      <c r="A41" s="0" t="s">
        <v>152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154</v>
      </c>
      <c r="B43" s="0" t="n">
        <f aca="false">(B37+B41+B42)/Assumptions!$B$3*Assumptions!$B$10</f>
        <v>10682.0746374498</v>
      </c>
    </row>
    <row r="45" customFormat="false" ht="15" hidden="false" customHeight="false" outlineLevel="0" collapsed="false">
      <c r="A45" s="0" t="s">
        <v>95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155</v>
      </c>
      <c r="B46" s="0" t="n">
        <f aca="false">MAX(0,MIN(IF(B45&gt;B28,B31*(1+B28/100)/((B45-B28)/100),B31*B29),B31*B29))</f>
        <v>1004816.16270625</v>
      </c>
    </row>
    <row r="47" customFormat="false" ht="15" hidden="false" customHeight="false" outlineLevel="0" collapsed="false">
      <c r="A47" s="0" t="s">
        <v>156</v>
      </c>
      <c r="B47" s="0" t="n">
        <f aca="false">(SUMPRODUCT(C19:L19/(1+B45/100)^C4:L4)+B46/(1+B45/100)^L4+Assumptions!$B$5-Assumptions!$B$4)/Assumptions!$B$3*Assumptions!$B$10</f>
        <v>5733.31220068583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159</v>
      </c>
    </row>
    <row r="3" customFormat="false" ht="15" hidden="false" customHeight="false" outlineLevel="0" collapsed="false">
      <c r="A3" s="2" t="s">
        <v>160</v>
      </c>
      <c r="B3" s="2" t="s">
        <v>161</v>
      </c>
      <c r="C3" s="2" t="s">
        <v>151</v>
      </c>
      <c r="D3" s="2" t="s">
        <v>162</v>
      </c>
      <c r="E3" s="2" t="s">
        <v>154</v>
      </c>
      <c r="F3" s="2" t="s">
        <v>163</v>
      </c>
    </row>
    <row r="4" customFormat="false" ht="15" hidden="false" customHeight="false" outlineLevel="0" collapsed="false">
      <c r="A4" s="0" t="s">
        <v>164</v>
      </c>
      <c r="B4" s="4" t="n">
        <f aca="false">DCF_Bear!$B$38</f>
        <v>5387.09838030489</v>
      </c>
      <c r="C4" s="0" t="n">
        <f aca="false">B4/Assumptions!$B$2-1</f>
        <v>-0.525574779365488</v>
      </c>
      <c r="D4" s="4" t="n">
        <f aca="false">Assumptions!$B$24</f>
        <v>0.25</v>
      </c>
      <c r="E4" s="4" t="n">
        <f aca="false">DCF_Bear!$B$43</f>
        <v>5387.09838030489</v>
      </c>
      <c r="F4" s="4" t="n">
        <f aca="false">DCF_Bear!$B$47</f>
        <v>3269.06433787628</v>
      </c>
    </row>
    <row r="5" customFormat="false" ht="15" hidden="false" customHeight="false" outlineLevel="0" collapsed="false">
      <c r="A5" s="0" t="s">
        <v>165</v>
      </c>
      <c r="B5" s="4" t="n">
        <f aca="false">DCF_Base!$B$38</f>
        <v>8647.19194864018</v>
      </c>
      <c r="C5" s="0" t="n">
        <f aca="false">B5/Assumptions!$B$2-1</f>
        <v>-0.238468344461455</v>
      </c>
      <c r="D5" s="4" t="n">
        <f aca="false">Assumptions!$B$38</f>
        <v>0.5</v>
      </c>
      <c r="E5" s="4" t="n">
        <f aca="false">DCF_Base!$B$43</f>
        <v>8647.19194864018</v>
      </c>
      <c r="F5" s="4" t="n">
        <f aca="false">DCF_Base!$B$47</f>
        <v>4773.84333219478</v>
      </c>
    </row>
    <row r="6" customFormat="false" ht="15" hidden="false" customHeight="false" outlineLevel="0" collapsed="false">
      <c r="A6" s="0" t="s">
        <v>166</v>
      </c>
      <c r="B6" s="4" t="n">
        <f aca="false">DCF_Bull!$B$38</f>
        <v>10682.0746374498</v>
      </c>
      <c r="C6" s="0" t="n">
        <f aca="false">B6/Assumptions!$B$2-1</f>
        <v>-0.0592624713826699</v>
      </c>
      <c r="D6" s="4" t="n">
        <f aca="false">Assumptions!$B$52</f>
        <v>0.25</v>
      </c>
      <c r="E6" s="4" t="n">
        <f aca="false">DCF_Bull!$B$43</f>
        <v>10682.0746374498</v>
      </c>
      <c r="F6" s="4" t="n">
        <f aca="false">DCF_Bull!$B$47</f>
        <v>5733.31220068583</v>
      </c>
    </row>
    <row r="8" customFormat="false" ht="15" hidden="false" customHeight="false" outlineLevel="0" collapsed="false">
      <c r="A8" s="0" t="s">
        <v>167</v>
      </c>
      <c r="B8" s="0" t="n">
        <f aca="false">SUMPRODUCT(B4:B6,D4:D6)</f>
        <v>8340.88922875876</v>
      </c>
    </row>
    <row r="9" customFormat="false" ht="15" hidden="false" customHeight="false" outlineLevel="0" collapsed="false">
      <c r="A9" s="0" t="s">
        <v>168</v>
      </c>
      <c r="B9" s="0" t="n">
        <f aca="false">SUMPRODUCT(E4:E6,D4:D6)</f>
        <v>8340.88922875876</v>
      </c>
    </row>
    <row r="10" customFormat="false" ht="15" hidden="false" customHeight="false" outlineLevel="0" collapsed="false">
      <c r="A10" s="0" t="s">
        <v>169</v>
      </c>
      <c r="B10" s="0" t="n">
        <f aca="false">1-Assumptions!$B$2/B8</f>
        <v>-0.361365639630942</v>
      </c>
    </row>
    <row r="11" customFormat="false" ht="15" hidden="false" customHeight="false" outlineLevel="0" collapsed="false">
      <c r="A11" s="0" t="s">
        <v>170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171</v>
      </c>
      <c r="B12" s="0" t="n">
        <f aca="false">SUMPRODUCT(F4:F6,D4:D6)</f>
        <v>4637.51580073792</v>
      </c>
    </row>
    <row r="14" customFormat="false" ht="15" hidden="false" customHeight="false" outlineLevel="0" collapsed="false">
      <c r="A14" s="2" t="s">
        <v>172</v>
      </c>
      <c r="C14" s="0" t="s">
        <v>173</v>
      </c>
    </row>
    <row r="15" customFormat="false" ht="15" hidden="false" customHeight="false" outlineLevel="0" collapsed="false">
      <c r="A15" s="0" t="s">
        <v>174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8647.19194864018</v>
      </c>
      <c r="C15" s="3" t="n">
        <v>7</v>
      </c>
    </row>
    <row r="16" customFormat="false" ht="15" hidden="false" customHeight="false" outlineLevel="0" collapsed="false">
      <c r="A16" s="0" t="s">
        <v>175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7646.07364055038</v>
      </c>
      <c r="C16" s="3" t="n">
        <v>9</v>
      </c>
    </row>
    <row r="17" customFormat="false" ht="15" hidden="false" customHeight="false" outlineLevel="0" collapsed="false">
      <c r="A17" s="0" t="s">
        <v>176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7021.67091844551</v>
      </c>
      <c r="C17" s="3" t="n">
        <v>10</v>
      </c>
    </row>
    <row r="18" customFormat="false" ht="15" hidden="false" customHeight="false" outlineLevel="0" collapsed="false">
      <c r="A18" s="0" t="s">
        <v>177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6390.83039470011</v>
      </c>
      <c r="C18" s="3" t="n">
        <v>11</v>
      </c>
    </row>
    <row r="19" customFormat="false" ht="15" hidden="false" customHeight="false" outlineLevel="0" collapsed="false">
      <c r="A19" s="0" t="s">
        <v>178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5875.38016090182</v>
      </c>
      <c r="C19" s="3" t="n">
        <v>12</v>
      </c>
    </row>
    <row r="20" customFormat="false" ht="15" hidden="false" customHeight="false" outlineLevel="0" collapsed="false">
      <c r="A20" s="0" t="s">
        <v>179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4773.84333219478</v>
      </c>
      <c r="C20" s="3" t="n">
        <v>15</v>
      </c>
    </row>
    <row r="22" customFormat="false" ht="15" hidden="false" customHeight="false" outlineLevel="0" collapsed="false">
      <c r="A22" s="2" t="s">
        <v>180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9851.09778793255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9851.09778793255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9851.09778793255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9851.09778793255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9851.09778793255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9221.03609442793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9221.03609442793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9221.03609442793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9221.03609442793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9221.03609442793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8647.19194864018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8647.19194864018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8647.19194864018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8647.19194864018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8647.19194864018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8123.88760642622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8123.88760642622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8123.88760642622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8123.88760642622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8123.88760642622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7411.1929560026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7599.44291641222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7646.07364055038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7646.07364055038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7646.07364055038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2026-10-26T01:23:35Z</dcterms:created>
  <dc:creator>openpyxl</dc:creator>
  <dc:description/>
  <dc:language>en-NZ</dc:language>
  <cp:lastModifiedBy/>
  <dcterms:modified xsi:type="dcterms:W3CDTF">2026-10-26T01:23:35Z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