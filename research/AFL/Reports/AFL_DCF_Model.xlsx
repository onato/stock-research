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Bull-Bear 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AFL - Aflac Incorporated — Book Value Compounding Model (Base Case)</t>
        </is>
      </c>
    </row>
    <row r="2">
      <c r="A2" s="2" t="inlineStr">
        <is>
          <t>Gray cells are INPUTS - adjust to see valuation change. Insurer model: BVPS compounding + exit P/B, NOT free-cash-flow DCF.</t>
        </is>
      </c>
    </row>
    <row r="4">
      <c r="A4" s="3" t="inlineStr">
        <is>
          <t>KEY INPUTS</t>
        </is>
      </c>
    </row>
    <row r="5">
      <c r="A5" t="inlineStr">
        <is>
          <t>Current Stock Price</t>
        </is>
      </c>
      <c r="B5" s="4" t="n">
        <v>114.01</v>
      </c>
    </row>
    <row r="6">
      <c r="A6" t="inlineStr">
        <is>
          <t>Shares Outstanding (M)</t>
        </is>
      </c>
      <c r="B6" s="4" t="n">
        <v>505.578</v>
      </c>
    </row>
    <row r="7">
      <c r="A7" t="inlineStr">
        <is>
          <t>Cash &amp; Equivalents (US$M)</t>
        </is>
      </c>
      <c r="B7" s="4" t="n">
        <v>6120</v>
      </c>
    </row>
    <row r="8">
      <c r="A8" t="inlineStr">
        <is>
          <t>Total Debt (US$M, N/A - insurer, not netted)</t>
        </is>
      </c>
      <c r="B8" s="4" t="n">
        <v>0</v>
      </c>
    </row>
    <row r="9">
      <c r="A9" t="inlineStr">
        <is>
          <t>Net Debt (US$M, held at zero)</t>
        </is>
      </c>
      <c r="B9" s="4" t="n">
        <v>0</v>
      </c>
    </row>
    <row r="10">
      <c r="A10" t="inlineStr">
        <is>
          <t>Starting BVPS (Q2 2026)</t>
        </is>
      </c>
      <c r="B10" s="4" t="n">
        <v>59.96</v>
      </c>
    </row>
    <row r="11">
      <c r="A11" t="inlineStr">
        <is>
          <t>Annual Dividend per Share (Year 1, current run-rate)</t>
        </is>
      </c>
      <c r="B11" s="4" t="n">
        <v>2.44</v>
      </c>
    </row>
    <row r="13">
      <c r="A13" t="inlineStr">
        <is>
          <t>Cost of Equity (Base)</t>
        </is>
      </c>
      <c r="B13" s="4" t="n">
        <v>0.09</v>
      </c>
    </row>
    <row r="14">
      <c r="A14" t="inlineStr">
        <is>
          <t>Exit Price-to-Book (Base)</t>
        </is>
      </c>
      <c r="B14" s="4" t="n">
        <v>2</v>
      </c>
    </row>
    <row r="16">
      <c r="A16" s="3" t="inlineStr">
        <is>
          <t>GROWTH ASSUMPTIONS (BVPS growth rate; NET of dividend already — dividend NOT subtracted again in compounding, see note row 45)</t>
        </is>
      </c>
    </row>
    <row r="17">
      <c r="B17" t="inlineStr">
        <is>
          <t>Year 1</t>
        </is>
      </c>
      <c r="C17" t="inlineStr">
        <is>
          <t>Year 2</t>
        </is>
      </c>
      <c r="D17" t="inlineStr">
        <is>
          <t>Year 3</t>
        </is>
      </c>
      <c r="E17" t="inlineStr">
        <is>
          <t>Year 4</t>
        </is>
      </c>
      <c r="F17" t="inlineStr">
        <is>
          <t>Year 5</t>
        </is>
      </c>
    </row>
    <row r="18">
      <c r="A18" t="inlineStr">
        <is>
          <t>BVPS Growth Rate</t>
        </is>
      </c>
      <c r="B18" s="4" t="n">
        <v>0.11</v>
      </c>
      <c r="C18" s="4" t="n">
        <v>0.1</v>
      </c>
      <c r="D18" s="4" t="n">
        <v>0.09</v>
      </c>
      <c r="E18" s="4" t="n">
        <v>0.08500000000000001</v>
      </c>
      <c r="F18" s="4" t="n">
        <v>0.08</v>
      </c>
    </row>
    <row r="20">
      <c r="A20" s="3" t="inlineStr">
        <is>
          <t>PROJECTIONS</t>
        </is>
      </c>
    </row>
    <row r="21">
      <c r="B21" t="inlineStr">
        <is>
          <t>Base Yr</t>
        </is>
      </c>
      <c r="C21" t="inlineStr">
        <is>
          <t>Year 1</t>
        </is>
      </c>
      <c r="D21" t="inlineStr">
        <is>
          <t>Year 2</t>
        </is>
      </c>
      <c r="E21" t="inlineStr">
        <is>
          <t>Year 3</t>
        </is>
      </c>
      <c r="F21" t="inlineStr">
        <is>
          <t>Year 4</t>
        </is>
      </c>
      <c r="G21" t="inlineStr">
        <is>
          <t>Year 5</t>
        </is>
      </c>
    </row>
    <row r="22">
      <c r="A22" t="inlineStr">
        <is>
          <t>Book Value per Share</t>
        </is>
      </c>
      <c r="B22">
        <f>B10</f>
        <v/>
      </c>
      <c r="C22">
        <f>B22*(1+B18)</f>
        <v/>
      </c>
      <c r="D22">
        <f>C22*(1+C18)</f>
        <v/>
      </c>
      <c r="E22">
        <f>D22*(1+D18)</f>
        <v/>
      </c>
      <c r="F22">
        <f>E22*(1+E18)</f>
        <v/>
      </c>
      <c r="G22">
        <f>F22*(1+F18)</f>
        <v/>
      </c>
    </row>
    <row r="23">
      <c r="A23" t="inlineStr">
        <is>
          <t>Dividend per Share</t>
        </is>
      </c>
      <c r="C23" s="4" t="n">
        <v>2.44</v>
      </c>
      <c r="D23" s="4" t="n">
        <v>2.63</v>
      </c>
      <c r="E23" s="4" t="n">
        <v>2.83</v>
      </c>
      <c r="F23" s="4" t="n">
        <v>3.03</v>
      </c>
      <c r="G23" s="4" t="n">
        <v>3.23</v>
      </c>
    </row>
    <row r="24">
      <c r="A24" t="inlineStr">
        <is>
          <t>Discount Factor (Cost of Equity)</t>
        </is>
      </c>
      <c r="C24">
        <f>1/(1+$B$13)^1</f>
        <v/>
      </c>
      <c r="D24">
        <f>1/(1+$B$13)^2</f>
        <v/>
      </c>
      <c r="E24">
        <f>1/(1+$B$13)^3</f>
        <v/>
      </c>
      <c r="F24">
        <f>1/(1+$B$13)^4</f>
        <v/>
      </c>
      <c r="G24">
        <f>1/(1+$B$13)^5</f>
        <v/>
      </c>
    </row>
    <row r="25">
      <c r="A25" t="inlineStr">
        <is>
          <t>PV of Dividend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</row>
    <row r="27">
      <c r="A27" s="3" t="inlineStr">
        <is>
          <t>VALUATION</t>
        </is>
      </c>
    </row>
    <row r="28">
      <c r="A28" t="inlineStr">
        <is>
          <t>Sum of PV of Dividends</t>
        </is>
      </c>
      <c r="B28">
        <f>SUM(C25:G25)</f>
        <v/>
      </c>
    </row>
    <row r="29">
      <c r="A29" t="inlineStr">
        <is>
          <t>Terminal BVPS (Year 5)</t>
        </is>
      </c>
      <c r="B29">
        <f>G22</f>
        <v/>
      </c>
    </row>
    <row r="30">
      <c r="A30" t="inlineStr">
        <is>
          <t>Exit Price-to-Book Multiple</t>
        </is>
      </c>
      <c r="B30">
        <f>B14</f>
        <v/>
      </c>
    </row>
    <row r="31">
      <c r="A31" t="inlineStr">
        <is>
          <t>Terminal Value per Share</t>
        </is>
      </c>
      <c r="B31">
        <f>B29*B30</f>
        <v/>
      </c>
    </row>
    <row r="32">
      <c r="A32" t="inlineStr">
        <is>
          <t>PV of Terminal Value</t>
        </is>
      </c>
      <c r="B32">
        <f>B31*G24</f>
        <v/>
      </c>
    </row>
    <row r="33">
      <c r="A33" s="3" t="inlineStr">
        <is>
          <t>INTRINSIC VALUE / SHARE</t>
        </is>
      </c>
      <c r="B33" s="3">
        <f>B28+B32</f>
        <v/>
      </c>
    </row>
    <row r="34">
      <c r="A34" t="inlineStr">
        <is>
          <t>Upside / (Downside) vs Current Price</t>
        </is>
      </c>
      <c r="B34">
        <f>(B33-B5)/B5</f>
        <v/>
      </c>
    </row>
    <row r="36">
      <c r="A36" s="3" t="inlineStr">
        <is>
          <t>ENTRY PRICE (15% CAGR Target)</t>
        </is>
      </c>
    </row>
    <row r="37">
      <c r="A37" t="inlineStr">
        <is>
          <t>Target CAGR</t>
        </is>
      </c>
      <c r="B37" s="4" t="n">
        <v>0.15</v>
      </c>
    </row>
    <row r="38">
      <c r="A38" t="inlineStr">
        <is>
          <t>Reinvested Dividends FV (at target CAGR, to Yr 5)</t>
        </is>
      </c>
      <c r="B38">
        <f>C23*(1+$B$37)^4+D23*(1+$B$37)^3+E23*(1+$B$37)^2+F23*(1+$B$37)^1+G23*(1+$B$37)^0</f>
        <v/>
      </c>
    </row>
    <row r="39">
      <c r="A39" t="inlineStr">
        <is>
          <t>Total Year-5 Value (Terminal Value + Reinvested Divs)</t>
        </is>
      </c>
      <c r="B39">
        <f>B31+B38</f>
        <v/>
      </c>
    </row>
    <row r="40">
      <c r="A40" t="inlineStr">
        <is>
          <t>Entry Price (15% CAGR)</t>
        </is>
      </c>
      <c r="B40">
        <f>B39/(1+$B$37)^5</f>
        <v/>
      </c>
    </row>
    <row r="41">
      <c r="A41" t="inlineStr">
        <is>
          <t>Current Price vs Entry Price</t>
        </is>
      </c>
      <c r="B41">
        <f>(B5-B40)/B5</f>
        <v/>
      </c>
    </row>
    <row r="43">
      <c r="A43" s="5" t="inlineStr">
        <is>
          <t>Note: unlike FRFHF, the dividend is NOT subtracted from the compounding BVPS path — bvps_growth_rates</t>
        </is>
      </c>
    </row>
    <row r="44">
      <c r="A44" s="5" t="inlineStr">
        <is>
          <t>are calibrated from HISTORICAL BVPS CAGRs, which are already net-of-dividend (reported equity falls by the</t>
        </is>
      </c>
    </row>
    <row r="45">
      <c r="A45" s="5" t="inlineStr">
        <is>
          <t>dividend paid). Subtracting it again would double-count ~4%/yr of drag. Dividend is discounted separately.</t>
        </is>
      </c>
    </row>
    <row r="46">
      <c r="A46" s="5" t="inlineStr">
        <is>
          <t>Discounting uses COST OF EQUITY (equity-holder view), not WACC — net debt held at zero (insurer funding, not leverage).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Bull / Bear Scenario Detail</t>
        </is>
      </c>
    </row>
    <row r="3">
      <c r="A3" s="3" t="inlineStr">
        <is>
          <t>BULL CASE</t>
        </is>
      </c>
    </row>
    <row r="4">
      <c r="A4" t="inlineStr">
        <is>
          <t>Cost of Equity</t>
        </is>
      </c>
      <c r="B4" s="4" t="n">
        <v>0.08500000000000001</v>
      </c>
    </row>
    <row r="5">
      <c r="A5" t="inlineStr">
        <is>
          <t>Exit Price-to-Book</t>
        </is>
      </c>
      <c r="B5" s="4" t="n">
        <v>2.3</v>
      </c>
    </row>
    <row r="6">
      <c r="B6" t="inlineStr">
        <is>
          <t>Year 1</t>
        </is>
      </c>
      <c r="C6" t="inlineStr">
        <is>
          <t>Year 2</t>
        </is>
      </c>
      <c r="D6" t="inlineStr">
        <is>
          <t>Year 3</t>
        </is>
      </c>
      <c r="E6" t="inlineStr">
        <is>
          <t>Year 4</t>
        </is>
      </c>
      <c r="F6" t="inlineStr">
        <is>
          <t>Year 5</t>
        </is>
      </c>
    </row>
    <row r="7">
      <c r="A7" t="inlineStr">
        <is>
          <t>BVPS Growth Rate</t>
        </is>
      </c>
      <c r="B7" s="4" t="n">
        <v>0.14</v>
      </c>
      <c r="C7" s="4" t="n">
        <v>0.13</v>
      </c>
      <c r="D7" s="4" t="n">
        <v>0.12</v>
      </c>
      <c r="E7" s="4" t="n">
        <v>0.11</v>
      </c>
      <c r="F7" s="4" t="n">
        <v>0.1</v>
      </c>
    </row>
    <row r="8">
      <c r="A8" t="inlineStr">
        <is>
          <t>BVPS</t>
        </is>
      </c>
      <c r="B8">
        <f>'DCF Model'!$B$10</f>
        <v/>
      </c>
      <c r="C8">
        <f>B8*(1+B7)</f>
        <v/>
      </c>
      <c r="D8">
        <f>C8*(1+C7)</f>
        <v/>
      </c>
      <c r="E8">
        <f>D8*(1+D7)</f>
        <v/>
      </c>
      <c r="F8">
        <f>E8*(1+E7)</f>
        <v/>
      </c>
      <c r="G8">
        <f>F8*(1+F7)</f>
        <v/>
      </c>
    </row>
    <row r="9">
      <c r="A9" t="inlineStr">
        <is>
          <t>Dividend per Share</t>
        </is>
      </c>
      <c r="C9" s="4" t="n">
        <v>2.44</v>
      </c>
      <c r="D9" s="4" t="n">
        <v>2.68</v>
      </c>
      <c r="E9" s="4" t="n">
        <v>2.93</v>
      </c>
      <c r="F9" s="4" t="n">
        <v>3.18</v>
      </c>
      <c r="G9" s="4" t="n">
        <v>3.43</v>
      </c>
    </row>
    <row r="10">
      <c r="A10" t="inlineStr">
        <is>
          <t>Discount Factor</t>
        </is>
      </c>
      <c r="C10">
        <f>1/(1+B4)^1</f>
        <v/>
      </c>
      <c r="D10">
        <f>1/(1+B4)^2</f>
        <v/>
      </c>
      <c r="E10">
        <f>1/(1+B4)^3</f>
        <v/>
      </c>
      <c r="F10">
        <f>1/(1+B4)^4</f>
        <v/>
      </c>
      <c r="G10">
        <f>1/(1+B4)^5</f>
        <v/>
      </c>
    </row>
    <row r="11">
      <c r="A11" t="inlineStr">
        <is>
          <t>PV of Dividend</t>
        </is>
      </c>
      <c r="C11">
        <f>C9*C10</f>
        <v/>
      </c>
      <c r="D11">
        <f>D9*D10</f>
        <v/>
      </c>
      <c r="E11">
        <f>E9*E10</f>
        <v/>
      </c>
      <c r="F11">
        <f>F9*F10</f>
        <v/>
      </c>
      <c r="G11">
        <f>G9*G10</f>
        <v/>
      </c>
    </row>
    <row r="13">
      <c r="A13" t="inlineStr">
        <is>
          <t>Sum PV of Dividends</t>
        </is>
      </c>
      <c r="B13">
        <f>SUM(C11:G11)</f>
        <v/>
      </c>
    </row>
    <row r="14">
      <c r="A14" t="inlineStr">
        <is>
          <t>Terminal BVPS (Yr 5)</t>
        </is>
      </c>
      <c r="B14">
        <f>G8</f>
        <v/>
      </c>
    </row>
    <row r="15">
      <c r="A15" t="inlineStr">
        <is>
          <t>Terminal Value per Share</t>
        </is>
      </c>
      <c r="B15">
        <f>B14*B5</f>
        <v/>
      </c>
    </row>
    <row r="16">
      <c r="A16" t="inlineStr">
        <is>
          <t>PV of Terminal Value</t>
        </is>
      </c>
      <c r="B16">
        <f>B15*G10</f>
        <v/>
      </c>
    </row>
    <row r="17">
      <c r="A17" s="3" t="inlineStr">
        <is>
          <t>INTRINSIC VALUE / SHARE</t>
        </is>
      </c>
      <c r="B17" s="3">
        <f>B13+B16</f>
        <v/>
      </c>
    </row>
    <row r="18">
      <c r="A18" t="inlineStr">
        <is>
          <t>Upside / (Downside)</t>
        </is>
      </c>
      <c r="B18">
        <f>(B17-'DCF Model'!$B$5)/'DCF Model'!$B$5</f>
        <v/>
      </c>
    </row>
    <row r="20">
      <c r="A20" s="3" t="inlineStr">
        <is>
          <t>BEAR CASE</t>
        </is>
      </c>
    </row>
    <row r="21">
      <c r="A21" t="inlineStr">
        <is>
          <t>Cost of Equity</t>
        </is>
      </c>
      <c r="B21" s="4" t="n">
        <v>0.1</v>
      </c>
    </row>
    <row r="22">
      <c r="A22" t="inlineStr">
        <is>
          <t>Exit Price-to-Book</t>
        </is>
      </c>
      <c r="B22" s="4" t="n">
        <v>1.5</v>
      </c>
    </row>
    <row r="23">
      <c r="B23" t="inlineStr">
        <is>
          <t>Year 1</t>
        </is>
      </c>
      <c r="C23" t="inlineStr">
        <is>
          <t>Year 2</t>
        </is>
      </c>
      <c r="D23" t="inlineStr">
        <is>
          <t>Year 3</t>
        </is>
      </c>
      <c r="E23" t="inlineStr">
        <is>
          <t>Year 4</t>
        </is>
      </c>
      <c r="F23" t="inlineStr">
        <is>
          <t>Year 5</t>
        </is>
      </c>
    </row>
    <row r="24">
      <c r="A24" t="inlineStr">
        <is>
          <t>BVPS Growth Rate</t>
        </is>
      </c>
      <c r="B24" s="4" t="n">
        <v>0.05</v>
      </c>
      <c r="C24" s="4" t="n">
        <v>0.045</v>
      </c>
      <c r="D24" s="4" t="n">
        <v>0.04</v>
      </c>
      <c r="E24" s="4" t="n">
        <v>0.04</v>
      </c>
      <c r="F24" s="4" t="n">
        <v>0.04</v>
      </c>
    </row>
    <row r="25">
      <c r="A25" t="inlineStr">
        <is>
          <t>BVPS</t>
        </is>
      </c>
      <c r="B25">
        <f>'DCF Model'!$B$10</f>
        <v/>
      </c>
      <c r="C25">
        <f>B25*(1+B24)</f>
        <v/>
      </c>
      <c r="D25">
        <f>C25*(1+C24)</f>
        <v/>
      </c>
      <c r="E25">
        <f>D25*(1+D24)</f>
        <v/>
      </c>
      <c r="F25">
        <f>E25*(1+E24)</f>
        <v/>
      </c>
      <c r="G25">
        <f>F25*(1+F24)</f>
        <v/>
      </c>
    </row>
    <row r="26">
      <c r="A26" t="inlineStr">
        <is>
          <t>Dividend per Share</t>
        </is>
      </c>
      <c r="C26" s="4" t="n">
        <v>2.44</v>
      </c>
      <c r="D26" s="4" t="n">
        <v>2.52</v>
      </c>
      <c r="E26" s="4" t="n">
        <v>2.6</v>
      </c>
      <c r="F26" s="4" t="n">
        <v>2.68</v>
      </c>
      <c r="G26" s="4" t="n">
        <v>2.76</v>
      </c>
    </row>
    <row r="27">
      <c r="A27" t="inlineStr">
        <is>
          <t>Discount Factor</t>
        </is>
      </c>
      <c r="C27">
        <f>1/(1+B21)^1</f>
        <v/>
      </c>
      <c r="D27">
        <f>1/(1+B21)^2</f>
        <v/>
      </c>
      <c r="E27">
        <f>1/(1+B21)^3</f>
        <v/>
      </c>
      <c r="F27">
        <f>1/(1+B21)^4</f>
        <v/>
      </c>
      <c r="G27">
        <f>1/(1+B21)^5</f>
        <v/>
      </c>
    </row>
    <row r="28">
      <c r="A28" t="inlineStr">
        <is>
          <t>PV of Dividend</t>
        </is>
      </c>
      <c r="C28">
        <f>C26*C27</f>
        <v/>
      </c>
      <c r="D28">
        <f>D26*D27</f>
        <v/>
      </c>
      <c r="E28">
        <f>E26*E27</f>
        <v/>
      </c>
      <c r="F28">
        <f>F26*F27</f>
        <v/>
      </c>
      <c r="G28">
        <f>G26*G27</f>
        <v/>
      </c>
    </row>
    <row r="30">
      <c r="A30" t="inlineStr">
        <is>
          <t>Sum PV of Dividends</t>
        </is>
      </c>
      <c r="B30">
        <f>SUM(C28:G28)</f>
        <v/>
      </c>
    </row>
    <row r="31">
      <c r="A31" t="inlineStr">
        <is>
          <t>Terminal BVPS (Yr 5)</t>
        </is>
      </c>
      <c r="B31">
        <f>G25</f>
        <v/>
      </c>
    </row>
    <row r="32">
      <c r="A32" t="inlineStr">
        <is>
          <t>Terminal Value per Share</t>
        </is>
      </c>
      <c r="B32">
        <f>B31*B22</f>
        <v/>
      </c>
    </row>
    <row r="33">
      <c r="A33" t="inlineStr">
        <is>
          <t>PV of Terminal Value</t>
        </is>
      </c>
      <c r="B33">
        <f>B32*G27</f>
        <v/>
      </c>
    </row>
    <row r="34">
      <c r="A34" s="3" t="inlineStr">
        <is>
          <t>INTRINSIC VALUE / SHARE</t>
        </is>
      </c>
      <c r="B34" s="3">
        <f>B30+B33</f>
        <v/>
      </c>
    </row>
    <row r="35">
      <c r="A35" t="inlineStr">
        <is>
          <t>Upside / (Downside)</t>
        </is>
      </c>
      <c r="B35">
        <f>(B34-'DCF Model'!$B$5)/'DCF Model'!$B$5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Analysis</t>
        </is>
      </c>
    </row>
    <row r="2">
      <c r="A2" s="2" t="inlineStr">
        <is>
          <t>Intrinsic Value/Share by BVPS Growth Rate (avg, base 5yr path shifted uniformly) &amp; Exit Price-to-Book</t>
        </is>
      </c>
    </row>
    <row r="4">
      <c r="A4" t="inlineStr">
        <is>
          <t>Growth \ Exit P/B</t>
        </is>
      </c>
      <c r="B4" t="n">
        <v>1.6</v>
      </c>
      <c r="C4" t="n">
        <v>1.8</v>
      </c>
      <c r="D4" t="n">
        <v>2</v>
      </c>
      <c r="E4" t="n">
        <v>2.2</v>
      </c>
      <c r="F4" t="n">
        <v>2.4</v>
      </c>
    </row>
    <row r="5">
      <c r="A5" t="n">
        <v>0.053</v>
      </c>
      <c r="B5">
        <f>('DCF Model'!$C$23*(1/(1+0.09)^1)+'DCF Model'!$D$23*(1/(1+0.09)^2)+'DCF Model'!$E$23*(1/(1+0.09)^3)+'DCF Model'!$F$23*(1/(1+0.09)^4)+'DCF Model'!$G$23*(1/(1+0.09)^5))+(((('DCF Model'!$B$10*(1+0.07)*(1+0.060000000000000005))*(1+0.049999999999999996))*(1+0.045000000000000005))*(1+0.04))*1.6*(1/(1+0.09)^5)</f>
        <v/>
      </c>
      <c r="C5">
        <f>('DCF Model'!$C$23*(1/(1+0.09)^1)+'DCF Model'!$D$23*(1/(1+0.09)^2)+'DCF Model'!$E$23*(1/(1+0.09)^3)+'DCF Model'!$F$23*(1/(1+0.09)^4)+'DCF Model'!$G$23*(1/(1+0.09)^5))+(((('DCF Model'!$B$10*(1+0.07)*(1+0.060000000000000005))*(1+0.049999999999999996))*(1+0.045000000000000005))*(1+0.04))*1.8*(1/(1+0.09)^5)</f>
        <v/>
      </c>
      <c r="D5">
        <f>('DCF Model'!$C$23*(1/(1+0.09)^1)+'DCF Model'!$D$23*(1/(1+0.09)^2)+'DCF Model'!$E$23*(1/(1+0.09)^3)+'DCF Model'!$F$23*(1/(1+0.09)^4)+'DCF Model'!$G$23*(1/(1+0.09)^5))+(((('DCF Model'!$B$10*(1+0.07)*(1+0.060000000000000005))*(1+0.049999999999999996))*(1+0.045000000000000005))*(1+0.04))*2.0*(1/(1+0.09)^5)</f>
        <v/>
      </c>
      <c r="E5">
        <f>('DCF Model'!$C$23*(1/(1+0.09)^1)+'DCF Model'!$D$23*(1/(1+0.09)^2)+'DCF Model'!$E$23*(1/(1+0.09)^3)+'DCF Model'!$F$23*(1/(1+0.09)^4)+'DCF Model'!$G$23*(1/(1+0.09)^5))+(((('DCF Model'!$B$10*(1+0.07)*(1+0.060000000000000005))*(1+0.049999999999999996))*(1+0.045000000000000005))*(1+0.04))*2.2*(1/(1+0.09)^5)</f>
        <v/>
      </c>
      <c r="F5">
        <f>('DCF Model'!$C$23*(1/(1+0.09)^1)+'DCF Model'!$D$23*(1/(1+0.09)^2)+'DCF Model'!$E$23*(1/(1+0.09)^3)+'DCF Model'!$F$23*(1/(1+0.09)^4)+'DCF Model'!$G$23*(1/(1+0.09)^5))+(((('DCF Model'!$B$10*(1+0.07)*(1+0.060000000000000005))*(1+0.049999999999999996))*(1+0.045000000000000005))*(1+0.04))*2.4*(1/(1+0.09)^5)</f>
        <v/>
      </c>
    </row>
    <row r="6">
      <c r="A6" t="n">
        <v>0.073</v>
      </c>
      <c r="B6">
        <f>('DCF Model'!$C$23*(1/(1+0.09)^1)+'DCF Model'!$D$23*(1/(1+0.09)^2)+'DCF Model'!$E$23*(1/(1+0.09)^3)+'DCF Model'!$F$23*(1/(1+0.09)^4)+'DCF Model'!$G$23*(1/(1+0.09)^5))+(((('DCF Model'!$B$10*(1+0.09)*(1+0.08))*(1+0.06999999999999999))*(1+0.065))*(1+0.06))*1.6*(1/(1+0.09)^5)</f>
        <v/>
      </c>
      <c r="C6">
        <f>('DCF Model'!$C$23*(1/(1+0.09)^1)+'DCF Model'!$D$23*(1/(1+0.09)^2)+'DCF Model'!$E$23*(1/(1+0.09)^3)+'DCF Model'!$F$23*(1/(1+0.09)^4)+'DCF Model'!$G$23*(1/(1+0.09)^5))+(((('DCF Model'!$B$10*(1+0.09)*(1+0.08))*(1+0.06999999999999999))*(1+0.065))*(1+0.06))*1.8*(1/(1+0.09)^5)</f>
        <v/>
      </c>
      <c r="D6">
        <f>('DCF Model'!$C$23*(1/(1+0.09)^1)+'DCF Model'!$D$23*(1/(1+0.09)^2)+'DCF Model'!$E$23*(1/(1+0.09)^3)+'DCF Model'!$F$23*(1/(1+0.09)^4)+'DCF Model'!$G$23*(1/(1+0.09)^5))+(((('DCF Model'!$B$10*(1+0.09)*(1+0.08))*(1+0.06999999999999999))*(1+0.065))*(1+0.06))*2.0*(1/(1+0.09)^5)</f>
        <v/>
      </c>
      <c r="E6">
        <f>('DCF Model'!$C$23*(1/(1+0.09)^1)+'DCF Model'!$D$23*(1/(1+0.09)^2)+'DCF Model'!$E$23*(1/(1+0.09)^3)+'DCF Model'!$F$23*(1/(1+0.09)^4)+'DCF Model'!$G$23*(1/(1+0.09)^5))+(((('DCF Model'!$B$10*(1+0.09)*(1+0.08))*(1+0.06999999999999999))*(1+0.065))*(1+0.06))*2.2*(1/(1+0.09)^5)</f>
        <v/>
      </c>
      <c r="F6">
        <f>('DCF Model'!$C$23*(1/(1+0.09)^1)+'DCF Model'!$D$23*(1/(1+0.09)^2)+'DCF Model'!$E$23*(1/(1+0.09)^3)+'DCF Model'!$F$23*(1/(1+0.09)^4)+'DCF Model'!$G$23*(1/(1+0.09)^5))+(((('DCF Model'!$B$10*(1+0.09)*(1+0.08))*(1+0.06999999999999999))*(1+0.065))*(1+0.06))*2.4*(1/(1+0.09)^5)</f>
        <v/>
      </c>
    </row>
    <row r="7">
      <c r="A7" t="n">
        <v>0.09300000000000001</v>
      </c>
      <c r="B7">
        <f>('DCF Model'!$C$23*(1/(1+0.09)^1)+'DCF Model'!$D$23*(1/(1+0.09)^2)+'DCF Model'!$E$23*(1/(1+0.09)^3)+'DCF Model'!$F$23*(1/(1+0.09)^4)+'DCF Model'!$G$23*(1/(1+0.09)^5))+(((('DCF Model'!$B$10*(1+0.11)*(1+0.1))*(1+0.09))*(1+0.085))*(1+0.08))*1.6*(1/(1+0.09)^5)</f>
        <v/>
      </c>
      <c r="C7">
        <f>('DCF Model'!$C$23*(1/(1+0.09)^1)+'DCF Model'!$D$23*(1/(1+0.09)^2)+'DCF Model'!$E$23*(1/(1+0.09)^3)+'DCF Model'!$F$23*(1/(1+0.09)^4)+'DCF Model'!$G$23*(1/(1+0.09)^5))+(((('DCF Model'!$B$10*(1+0.11)*(1+0.1))*(1+0.09))*(1+0.085))*(1+0.08))*1.8*(1/(1+0.09)^5)</f>
        <v/>
      </c>
      <c r="D7">
        <f>('DCF Model'!$C$23*(1/(1+0.09)^1)+'DCF Model'!$D$23*(1/(1+0.09)^2)+'DCF Model'!$E$23*(1/(1+0.09)^3)+'DCF Model'!$F$23*(1/(1+0.09)^4)+'DCF Model'!$G$23*(1/(1+0.09)^5))+(((('DCF Model'!$B$10*(1+0.11)*(1+0.1))*(1+0.09))*(1+0.085))*(1+0.08))*2.0*(1/(1+0.09)^5)</f>
        <v/>
      </c>
      <c r="E7">
        <f>('DCF Model'!$C$23*(1/(1+0.09)^1)+'DCF Model'!$D$23*(1/(1+0.09)^2)+'DCF Model'!$E$23*(1/(1+0.09)^3)+'DCF Model'!$F$23*(1/(1+0.09)^4)+'DCF Model'!$G$23*(1/(1+0.09)^5))+(((('DCF Model'!$B$10*(1+0.11)*(1+0.1))*(1+0.09))*(1+0.085))*(1+0.08))*2.2*(1/(1+0.09)^5)</f>
        <v/>
      </c>
      <c r="F7">
        <f>('DCF Model'!$C$23*(1/(1+0.09)^1)+'DCF Model'!$D$23*(1/(1+0.09)^2)+'DCF Model'!$E$23*(1/(1+0.09)^3)+'DCF Model'!$F$23*(1/(1+0.09)^4)+'DCF Model'!$G$23*(1/(1+0.09)^5))+(((('DCF Model'!$B$10*(1+0.11)*(1+0.1))*(1+0.09))*(1+0.085))*(1+0.08))*2.4*(1/(1+0.09)^5)</f>
        <v/>
      </c>
    </row>
    <row r="8">
      <c r="A8" t="n">
        <v>0.113</v>
      </c>
      <c r="B8">
        <f>('DCF Model'!$C$23*(1/(1+0.09)^1)+'DCF Model'!$D$23*(1/(1+0.09)^2)+'DCF Model'!$E$23*(1/(1+0.09)^3)+'DCF Model'!$F$23*(1/(1+0.09)^4)+'DCF Model'!$G$23*(1/(1+0.09)^5))+(((('DCF Model'!$B$10*(1+0.13)*(1+0.12000000000000001))*(1+0.11))*(1+0.10500000000000001))*(1+0.1))*1.6*(1/(1+0.09)^5)</f>
        <v/>
      </c>
      <c r="C8">
        <f>('DCF Model'!$C$23*(1/(1+0.09)^1)+'DCF Model'!$D$23*(1/(1+0.09)^2)+'DCF Model'!$E$23*(1/(1+0.09)^3)+'DCF Model'!$F$23*(1/(1+0.09)^4)+'DCF Model'!$G$23*(1/(1+0.09)^5))+(((('DCF Model'!$B$10*(1+0.13)*(1+0.12000000000000001))*(1+0.11))*(1+0.10500000000000001))*(1+0.1))*1.8*(1/(1+0.09)^5)</f>
        <v/>
      </c>
      <c r="D8">
        <f>('DCF Model'!$C$23*(1/(1+0.09)^1)+'DCF Model'!$D$23*(1/(1+0.09)^2)+'DCF Model'!$E$23*(1/(1+0.09)^3)+'DCF Model'!$F$23*(1/(1+0.09)^4)+'DCF Model'!$G$23*(1/(1+0.09)^5))+(((('DCF Model'!$B$10*(1+0.13)*(1+0.12000000000000001))*(1+0.11))*(1+0.10500000000000001))*(1+0.1))*2.0*(1/(1+0.09)^5)</f>
        <v/>
      </c>
      <c r="E8">
        <f>('DCF Model'!$C$23*(1/(1+0.09)^1)+'DCF Model'!$D$23*(1/(1+0.09)^2)+'DCF Model'!$E$23*(1/(1+0.09)^3)+'DCF Model'!$F$23*(1/(1+0.09)^4)+'DCF Model'!$G$23*(1/(1+0.09)^5))+(((('DCF Model'!$B$10*(1+0.13)*(1+0.12000000000000001))*(1+0.11))*(1+0.10500000000000001))*(1+0.1))*2.2*(1/(1+0.09)^5)</f>
        <v/>
      </c>
      <c r="F8">
        <f>('DCF Model'!$C$23*(1/(1+0.09)^1)+'DCF Model'!$D$23*(1/(1+0.09)^2)+'DCF Model'!$E$23*(1/(1+0.09)^3)+'DCF Model'!$F$23*(1/(1+0.09)^4)+'DCF Model'!$G$23*(1/(1+0.09)^5))+(((('DCF Model'!$B$10*(1+0.13)*(1+0.12000000000000001))*(1+0.11))*(1+0.10500000000000001))*(1+0.1))*2.4*(1/(1+0.09)^5)</f>
        <v/>
      </c>
    </row>
    <row r="9">
      <c r="A9" t="n">
        <v>0.133</v>
      </c>
      <c r="B9">
        <f>('DCF Model'!$C$23*(1/(1+0.09)^1)+'DCF Model'!$D$23*(1/(1+0.09)^2)+'DCF Model'!$E$23*(1/(1+0.09)^3)+'DCF Model'!$F$23*(1/(1+0.09)^4)+'DCF Model'!$G$23*(1/(1+0.09)^5))+(((('DCF Model'!$B$10*(1+0.15)*(1+0.14))*(1+0.13))*(1+0.125))*(1+0.12))*1.6*(1/(1+0.09)^5)</f>
        <v/>
      </c>
      <c r="C9">
        <f>('DCF Model'!$C$23*(1/(1+0.09)^1)+'DCF Model'!$D$23*(1/(1+0.09)^2)+'DCF Model'!$E$23*(1/(1+0.09)^3)+'DCF Model'!$F$23*(1/(1+0.09)^4)+'DCF Model'!$G$23*(1/(1+0.09)^5))+(((('DCF Model'!$B$10*(1+0.15)*(1+0.14))*(1+0.13))*(1+0.125))*(1+0.12))*1.8*(1/(1+0.09)^5)</f>
        <v/>
      </c>
      <c r="D9">
        <f>('DCF Model'!$C$23*(1/(1+0.09)^1)+'DCF Model'!$D$23*(1/(1+0.09)^2)+'DCF Model'!$E$23*(1/(1+0.09)^3)+'DCF Model'!$F$23*(1/(1+0.09)^4)+'DCF Model'!$G$23*(1/(1+0.09)^5))+(((('DCF Model'!$B$10*(1+0.15)*(1+0.14))*(1+0.13))*(1+0.125))*(1+0.12))*2.0*(1/(1+0.09)^5)</f>
        <v/>
      </c>
      <c r="E9">
        <f>('DCF Model'!$C$23*(1/(1+0.09)^1)+'DCF Model'!$D$23*(1/(1+0.09)^2)+'DCF Model'!$E$23*(1/(1+0.09)^3)+'DCF Model'!$F$23*(1/(1+0.09)^4)+'DCF Model'!$G$23*(1/(1+0.09)^5))+(((('DCF Model'!$B$10*(1+0.15)*(1+0.14))*(1+0.13))*(1+0.125))*(1+0.12))*2.2*(1/(1+0.09)^5)</f>
        <v/>
      </c>
      <c r="F9">
        <f>('DCF Model'!$C$23*(1/(1+0.09)^1)+'DCF Model'!$D$23*(1/(1+0.09)^2)+'DCF Model'!$E$23*(1/(1+0.09)^3)+'DCF Model'!$F$23*(1/(1+0.09)^4)+'DCF Model'!$G$23*(1/(1+0.09)^5))+(((('DCF Model'!$B$10*(1+0.15)*(1+0.14))*(1+0.13))*(1+0.125))*(1+0.12))*2.4*(1/(1+0.09)^5)</f>
        <v/>
      </c>
    </row>
    <row r="11">
      <c r="A11" s="5" t="inlineStr">
        <is>
          <t>Note: Cost of equity held at base case (9.0%). Rows = average annual BVPS growth rate over the 5-yr</t>
        </is>
      </c>
    </row>
    <row r="12">
      <c r="A12" s="5" t="inlineStr">
        <is>
          <t>path (base path shifted uniformly -4pp to +4pp). Columns = exit price-to-book multiple applied to Year-5 BVPS.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Historical Growth Rates</t>
        </is>
      </c>
    </row>
    <row r="3">
      <c r="A3" s="3" t="inlineStr">
        <is>
          <t>Metric</t>
        </is>
      </c>
      <c r="B3" s="3" t="inlineStr">
        <is>
          <t>3-Year CAGR</t>
        </is>
      </c>
      <c r="C3" s="3" t="inlineStr">
        <is>
          <t>5-Year CAGR / Other</t>
        </is>
      </c>
    </row>
    <row r="4">
      <c r="A4" t="inlineStr">
        <is>
          <t>BVPS</t>
        </is>
      </c>
      <c r="B4" t="n">
        <v>0.2041</v>
      </c>
      <c r="C4" t="n">
        <v>0.033</v>
      </c>
    </row>
    <row r="5">
      <c r="A5" t="inlineStr">
        <is>
          <t>BVPS (8yr, post-split FY2017-25)</t>
        </is>
      </c>
      <c r="C5" t="n">
        <v>0.07539999999999999</v>
      </c>
    </row>
    <row r="6">
      <c r="A6" t="inlineStr">
        <is>
          <t>EPS (misleading - see warning)</t>
        </is>
      </c>
      <c r="B6" t="n">
        <v>-0.0053</v>
      </c>
      <c r="C6" t="n">
        <v>0.0045</v>
      </c>
    </row>
    <row r="7">
      <c r="A7" t="inlineStr">
        <is>
          <t>Revenue (misleading - FX translation, see warning)</t>
        </is>
      </c>
      <c r="B7" t="n">
        <v>-0.0357</v>
      </c>
      <c r="C7" t="n">
        <v>-0.0497</v>
      </c>
    </row>
    <row r="8">
      <c r="A8" t="inlineStr">
        <is>
          <t>Shareholders' Equity (total)</t>
        </is>
      </c>
      <c r="B8" t="n">
        <v>0.1355</v>
      </c>
      <c r="C8" t="n">
        <v>-0.0255</v>
      </c>
    </row>
    <row r="10">
      <c r="A10" t="inlineStr">
        <is>
          <t>Selected Growth Rate (base anchor, Year 1):</t>
        </is>
      </c>
      <c r="B10" t="n">
        <v>0.11</v>
      </c>
    </row>
    <row r="11">
      <c r="A11" t="inlineStr">
        <is>
          <t>Source:</t>
        </is>
      </c>
      <c r="B11" t="inlineStr">
        <is>
          <t>blend: bvps_8yr_cagr_post_split (structural) + buyback pace, faded from 3yr run-rate</t>
        </is>
      </c>
    </row>
    <row r="13">
      <c r="A13" s="3" t="inlineStr">
        <is>
          <t>Growth Divergence Warning:</t>
        </is>
      </c>
    </row>
    <row r="14" ht="90" customHeight="1">
      <c r="A14" s="6" t="inlineStr">
        <is>
          <t>BVPS CAGRs are dominated by AOCI (rate mark-to-market on the JGB/USD book): the 3yr figure (20.4%) is inflated by recovery from the 2021-22 rate-shock AOCI trough; the 5yr figure (3.3%) is depressed by an artificially high FY2020 AOCI-peak base. Revenue CAGRs are negative almost entirely on USD/JPY translation, not business decline. EPS CAGRs are near-zero because FY2025 GAAP EPS was depressed ~29% YoY by net investment losses/CECL allowances against a record management-adjusted EPS of $7.49. The 8yr post-split BVPS CAGR (7.5%) spans a full rate cycle and is the most defensible structural anchor, blended with the ~5-6%/yr buyback-driven share count decline.</t>
        </is>
      </c>
    </row>
    <row r="17">
      <c r="A17" s="3" t="inlineStr">
        <is>
          <t>BVPS by Fiscal Year (post-split only)</t>
        </is>
      </c>
    </row>
    <row r="18">
      <c r="A18" s="3" t="inlineStr">
        <is>
          <t>Period</t>
        </is>
      </c>
      <c r="B18" s="3" t="inlineStr">
        <is>
          <t>BVPS (US$)</t>
        </is>
      </c>
    </row>
    <row r="19">
      <c r="A19" t="inlineStr">
        <is>
          <t>FY2017</t>
        </is>
      </c>
      <c r="B19" t="n">
        <v>30.83</v>
      </c>
    </row>
    <row r="20">
      <c r="A20" t="inlineStr">
        <is>
          <t>FY2018</t>
        </is>
      </c>
      <c r="B20" t="n">
        <v>30.29</v>
      </c>
    </row>
    <row r="21">
      <c r="A21" t="inlineStr">
        <is>
          <t>FY2019</t>
        </is>
      </c>
      <c r="B21" t="n">
        <v>38.8</v>
      </c>
    </row>
    <row r="22">
      <c r="A22" t="inlineStr">
        <is>
          <t>FY2020</t>
        </is>
      </c>
      <c r="B22" t="n">
        <v>46.86</v>
      </c>
    </row>
    <row r="23">
      <c r="A23" t="inlineStr">
        <is>
          <t>FY2021</t>
        </is>
      </c>
      <c r="B23" t="n">
        <v>25.17</v>
      </c>
    </row>
    <row r="24">
      <c r="A24" t="inlineStr">
        <is>
          <t>FY2022</t>
        </is>
      </c>
      <c r="B24" t="n">
        <v>31.58</v>
      </c>
    </row>
    <row r="25">
      <c r="A25" t="inlineStr">
        <is>
          <t>FY2023</t>
        </is>
      </c>
      <c r="B25" t="n">
        <v>36.72</v>
      </c>
    </row>
    <row r="26">
      <c r="A26" t="inlineStr">
        <is>
          <t>FY2024</t>
        </is>
      </c>
      <c r="B26" t="n">
        <v>46.19</v>
      </c>
    </row>
    <row r="27">
      <c r="A27" t="inlineStr">
        <is>
          <t>FY2025</t>
        </is>
      </c>
      <c r="B27" t="n">
        <v>55.13</v>
      </c>
    </row>
    <row r="28">
      <c r="A28" t="inlineStr">
        <is>
          <t>Q2 2026</t>
        </is>
      </c>
      <c r="B28" t="n">
        <v>59.96</v>
      </c>
    </row>
  </sheetData>
  <mergeCells count="1">
    <mergeCell ref="A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Sanity Check — Historical P/B Cross-Reference</t>
        </is>
      </c>
    </row>
    <row r="3">
      <c r="A3" t="inlineStr">
        <is>
          <t>Base Intrinsic Value / Share</t>
        </is>
      </c>
      <c r="B3">
        <f>'DCF Model'!B33</f>
        <v/>
      </c>
    </row>
    <row r="4">
      <c r="A4" t="inlineStr">
        <is>
          <t>Implied P/B (Base IV / Q2-2026 BVPS)</t>
        </is>
      </c>
      <c r="B4">
        <f>B3/'DCF Model'!B10</f>
        <v/>
      </c>
    </row>
    <row r="5">
      <c r="A5" t="inlineStr">
        <is>
          <t>Normalized EPS Estimate (mid-cycle)</t>
        </is>
      </c>
      <c r="B5" t="n">
        <v>8</v>
      </c>
    </row>
    <row r="6">
      <c r="A6" t="inlineStr">
        <is>
          <t>Implied P/E (Base IV / Normalized EPS)</t>
        </is>
      </c>
      <c r="B6">
        <f>B3/B5</f>
        <v/>
      </c>
    </row>
    <row r="8">
      <c r="A8" s="3" t="inlineStr">
        <is>
          <t>Historical Post-2022 P/B Range (AOCI-stabilized)</t>
        </is>
      </c>
    </row>
    <row r="9">
      <c r="A9" t="inlineStr">
        <is>
          <t>Min (FY2022 year-end)</t>
        </is>
      </c>
      <c r="B9" t="n">
        <v>2.05</v>
      </c>
    </row>
    <row r="10">
      <c r="A10" t="inlineStr">
        <is>
          <t>Average (FY2022-25 year-end)</t>
        </is>
      </c>
      <c r="B10" t="n">
        <v>2.2</v>
      </c>
    </row>
    <row r="11">
      <c r="A11" t="inlineStr">
        <is>
          <t>Max (FY2024 year-end)</t>
        </is>
      </c>
      <c r="B11" t="n">
        <v>2.37</v>
      </c>
    </row>
    <row r="12">
      <c r="A12" t="inlineStr">
        <is>
          <t>Current (Q2 2026)</t>
        </is>
      </c>
      <c r="B12" t="n">
        <v>1.9</v>
      </c>
    </row>
    <row r="14">
      <c r="A14" t="inlineStr">
        <is>
          <t>Sanity Check Passed:</t>
        </is>
      </c>
      <c r="B14" s="3" t="inlineStr">
        <is>
          <t>YES</t>
        </is>
      </c>
    </row>
    <row r="16">
      <c r="A16" s="3" t="inlineStr">
        <is>
          <t>Diagnosis:</t>
        </is>
      </c>
    </row>
    <row r="17" ht="100" customHeight="1">
      <c r="A17" s="6" t="inlineStr">
        <is>
          <t>Base-case intrinsic value of $132.43 implies a P/B of 2.21x on Q2-2026 BVPS ($59.96) - inside the post-2022 (AOCI-stabilized) trading range of 2.05x-2.37x - and roughly 16.6x a normalized ~$8.00/share earnings estimate (management's own record FY2025 adjusted EPS was $7.49). Current price ($114.01, 1.90x BVPS) sits slightly below the post-2022 P/B range, consistent with the model's modest +16% base-case upside. Pre-2022 P/B figures (as low as 1.02x FY2020, as high as 2.43x FY2021) were excluded from the historical band because they were mechanically distorted by the near-zero-to-rising-rate AOCI shock on the JGB portfolio, not by a change in franchise value.</t>
        </is>
      </c>
    </row>
  </sheetData>
  <mergeCells count="1"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2026-09-25T07:04:25Z</dcterms:created>
  <dcterms:modified xmlns:dcterms="http://purl.org/dc/terms/" xmlns:xsi="http://www.w3.org/2001/XMLSchema-instance" xsi:type="dcterms:W3CDTF">2026-09-25T07:05:47Z</dcterms:modified>
</cp:coreProperties>
</file>