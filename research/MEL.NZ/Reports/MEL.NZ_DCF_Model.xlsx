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<sst xmlns="http://schemas.openxmlformats.org/spreadsheetml/2006/main" count="152" uniqueCount="138">
  <si>
    <t>MEL.NZ (Meridian Energy) DCF Valuation Model</t>
  </si>
  <si>
    <t>Gray cells are INPUTS - adjust to see valuation change. 10-year component-built EBITDAF -&gt; owner FCF model.</t>
  </si>
  <si>
    <t>KEY INPUTS</t>
  </si>
  <si>
    <t>Current Stock Price (NZ$)</t>
  </si>
  <si>
    <t>Shares Outstanding (M, current)</t>
  </si>
  <si>
    <t>Cash &amp; Equivalents (NZ$M)</t>
  </si>
  <si>
    <t>Total Debt (NZ$M)</t>
  </si>
  <si>
    <t>Net Debt (NZ$M)</t>
  </si>
  <si>
    <t>Mid-Cycle EBITDAF, Year 0 base (NZ$M)</t>
  </si>
  <si>
    <t>8yr mean FY2018-25; FY2025=611 is a dry-year trough, H1-26 annualized ~1012 is a peak</t>
  </si>
  <si>
    <t>Annual Dilution Rate (DRP)</t>
  </si>
  <si>
    <t>WACC</t>
  </si>
  <si>
    <t>Terminal Growth Rate</t>
  </si>
  <si>
    <t>Terminal Cap Multiple (EV/EBITDAF)</t>
  </si>
  <si>
    <t>Cash Tax Rate (NZ corporate)</t>
  </si>
  <si>
    <t>Working Capital Capture % of EBITDAF change</t>
  </si>
  <si>
    <t>SBC (flat, NZ$M/yr - immaterial)</t>
  </si>
  <si>
    <t>GROWTH ASSUMPTIONS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</si>
  <si>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</si>
  <si>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</si>
  <si>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</si>
  <si>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</si>
  <si>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</si>
  <si>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</si>
  <si>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</si>
  <si>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</si>
  <si>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</si>
  <si>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</si>
  <si>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Base EBITDAF Growth Rate</t>
  </si>
  <si>
    <t>Pipeline EBITDAF Addition (NZ$M)</t>
  </si>
  <si>
    <t>Ruakaka solar / Te Rahui JV / Mt Munro / Te Rere Hau GWh x ~$70/MWh net margin (derived from disclosed $59-139/MWh long-run price band)</t>
  </si>
  <si>
    <t>Maintenance Capex (NZ$M)</t>
  </si>
  <si>
    <t>Growth Capex (NZ$M)</t>
  </si>
  <si>
    <t>D&amp;A (NZ$M)</t>
  </si>
  <si>
    <t>PROJECTIONS (FORMULAS)</t>
  </si>
  <si>
    <t>Base EBITDAF</t>
  </si>
  <si>
    <t>Total EBITDAF</t>
  </si>
  <si>
    <t>EBIT</t>
  </si>
  <si>
    <t>NOPAT (after tax)</t>
  </si>
  <si>
    <t>Total Capex</t>
  </si>
  <si>
    <t>Working Capital (use of cash)</t>
  </si>
  <si>
    <t>Owner FCF</t>
  </si>
  <si>
    <t>Discount Factor</t>
  </si>
  <si>
    <t>PV of Owner FCF</t>
  </si>
  <si>
    <t>Shares Outstanding (M)</t>
  </si>
  <si>
    <t>VALUATION</t>
  </si>
  <si>
    <t>Sum of PV of Owner FCF</t>
  </si>
  <si>
    <t>Terminal FCF (Year 10 x (1+g))</t>
  </si>
  <si>
    <t>Gordon Terminal Value</t>
  </si>
  <si>
    <t>Cap Terminal Value (mult x Yr10 EBITDAF)</t>
  </si>
  <si>
    <t>Terminal Value Used (MIN of the two)</t>
  </si>
  <si>
    <t>PV of Terminal Value</t>
  </si>
  <si>
    <t>Enterprise Value</t>
  </si>
  <si>
    <t>Less: Net Debt</t>
  </si>
  <si>
    <t>Equity Value</t>
  </si>
  <si>
    <t>INTRINSIC VALUE/SHARE</t>
  </si>
  <si>
    <t>Terminal Value % of Enterprise Value</t>
  </si>
  <si>
    <t>Implied Exit Multiple (EV/EBITDAF)</t>
  </si>
  <si>
    <t>ENTRY PRICE (15% IRR Target)</t>
  </si>
  <si>
    <t>PV of Yrs 1-10 FCF @15%</t>
  </si>
  <si>
    <t>PV of Terminal Value @15% (Gordon TV discounted)</t>
  </si>
  <si>
    <t>Entry Price (15% IRR)</t>
  </si>
  <si>
    <t>Upside to Intrinsic Value</t>
  </si>
  <si>
    <t>Upside to Entry Price</t>
  </si>
  <si>
    <t>DIVIDEND CROSS-CHECK</t>
  </si>
  <si>
    <t>FY2025 DPS (cents)</t>
  </si>
  <si>
    <t>Current Yield</t>
  </si>
  <si>
    <t>Cost of Equity (DDM discount rate)</t>
  </si>
  <si>
    <t>Simple DDM Value</t>
  </si>
  <si>
    <t>Sensitivity Analysis</t>
  </si>
  <si>
    <t>Intrinsic Value by WACC &amp; Terminal Growth (base scenario, static computed values)</t>
  </si>
  <si>
    <t>WACC \ Term G</t>
  </si>
  <si>
    <t>Note: matrix values are pre-computed from the Python DCF model (base scenario assumptions),</t>
  </si>
  <si>
    <t>held here as static reference values rather than live formulas due to the MIN(Gordon,Cap) terminal value logic.</t>
  </si>
  <si>
    <t>FCF Quality &amp; Historical Reconciliation</t>
  </si>
  <si>
    <t>FY</t>
  </si>
  <si>
    <t>FY2019</t>
  </si>
  <si>
    <t>FY2020</t>
  </si>
  <si>
    <t>FY2021</t>
  </si>
  <si>
    <t>FY2022</t>
  </si>
  <si>
    <t>FY2023</t>
  </si>
  <si>
    <t>FY2024</t>
  </si>
  <si>
    <t>FY2025</t>
  </si>
  <si>
    <t>Revenue</t>
  </si>
  <si>
    <t>EBITDAF (headline)</t>
  </si>
  <si>
    <t>Reported FCF</t>
  </si>
  <si>
    <t>SBC</t>
  </si>
  <si>
    <t>n/a</t>
  </si>
  <si>
    <t>Owner FCF (Reported FCF - SBC)</t>
  </si>
  <si>
    <t>Capex</t>
  </si>
  <si>
    <t>D&amp;A</t>
  </si>
  <si>
    <t>D&amp;A / EBITDAF %</t>
  </si>
  <si>
    <t>Reported FCF / EBITDAF %</t>
  </si>
  <si>
    <t>Key observations:</t>
  </si>
  <si>
    <t>- FY2025 EBITDAF (611) is a dry-year trough (2024 winter dry-year/gas crisis); H1 FY2026 EBITDAF 506 (2H not yet reported) is a hydrology PEAK</t>
  </si>
  <si>
    <t>- FY2025 D&amp;A/EBITDAF ratio (73.2%) is a major outlier vs the 36-42% historical norm; DCF anchors D&amp;A off FY2024 (normal year), not FY2025</t>
  </si>
  <si>
    <t>- Reported FCF/EBITDAF conversion fell from ~65% (FY2019-20, low capex) to ~20-40% (FY2023-25, growth capex supercycle: Ruakaka/Te Rahui/Mt Munro/Te Rere Hau)</t>
  </si>
  <si>
    <t>- SBC is immaterial (~$1-2m/yr, &lt;0.3% of EBITDAF) - applied for completeness only, does not drive the valuation</t>
  </si>
  <si>
    <t>- Equity/book value CAGR (FY2023 5,987 -&gt; FY2024 8,246 -&gt; FY2025 8,920) is dominated by NON-CASH asset revaluations (+2,269 FY24, +1,518 FY25 to the revaluation reserve) and was explicitly rejected as a DCF growth driver</t>
  </si>
  <si>
    <t>Model Provenance &amp; Methodology Notes</t>
  </si>
  <si>
    <t>Built by</t>
  </si>
  <si>
    <t>Claude DCF valuation agent, Stocks/Research pipeline</t>
  </si>
  <si>
    <t>Valuation date</t>
  </si>
  <si>
    <t>2026-08-13</t>
  </si>
  <si>
    <t>Share price date/source</t>
  </si>
  <si>
    <t>NZ$5.52, Yahoo Finance MEL.NZ, 13-Aug-2026 17:00 NZST (verified fresh, not stale)</t>
  </si>
  <si>
    <t>Shares outstanding basis</t>
  </si>
  <si>
    <t>H1 FY2026 (period end, 31-Dec-2025) actual: 2,629.2m, used as 2,630m</t>
  </si>
  <si>
    <t>Net debt basis</t>
  </si>
  <si>
    <t>H1 FY2026: Total Debt 1,866 - Cash 183 = Net Debt 1,683 (NZ$m). Note: MEL disclosed a slightly different Dec-2025 net debt of 1,655 in the interim MD&amp;A on a different netting basis; balance-sheet-derived 1,683 used for consistency with the Metrics CSV.</t>
  </si>
  <si>
    <t>Latest filing used</t>
  </si>
  <si>
    <t>H1 FY2026 interim results (25-Feb-2026) + FY2025 Annual Report. FY2026 FULL-YEAR results are due 26-Aug-2026 and were NOT yet released as of this valuation - do not treat FY2026 actuals as known.</t>
  </si>
  <si>
    <t>Guidance used</t>
  </si>
  <si>
    <t>FY2026 opex $311-316m, capex $330-360m (H1 FY26 Interim Results, 25-Feb-2026)</t>
  </si>
  <si>
    <t>Methodology - growth driver</t>
  </si>
  <si>
    <t>REJECTED trailing equity/revenue/EPS/FCF CAGRs (all distorted by hydrology cycle, growth-capex cycle, or non-cash revaluations). Used a mid-cycle EBITDAF anchor ($760m, FY2018-25 8yr mean) plus an explicit, disclosed committed-renewable-pipeline build (Ruakaka solar, Te Rahui solar JV, Mt Munro wind, Te Rere Hau wind) converted to incremental GWh x a per-MWh net margin derived from Meridian own disclosed $59-139/MWh long-run wholesale price band (FY2025 10-K Level 3 fair-value note), net of opex.</t>
  </si>
  <si>
    <t>Methodology - capex</t>
  </si>
  <si>
    <t>Split into maintenance/stay-in-business (~$130m/yr, escalated 2.5%/yr, based on the H1 FY26 disclosed 38% stay-in-business share of $86m total) and growth capex following the disclosed committed pipeline spend profile ($1,320m FY2027-31), tapering to an ongoing replacement run-rate (~$100m/yr) after FY2031.</t>
  </si>
  <si>
    <t>Methodology - D&amp;A</t>
  </si>
  <si>
    <t>Anchored to FY2024 (a normal, non-outlier year) D&amp;A of $334m, NOT FY2025s $447m, which is a D&amp;A/EBITDAF outlier (73.2% vs 36-42% historical norm) driven by the dry-year EBITDAF trough combining with an expanding depreciable asset base.</t>
  </si>
  <si>
    <t>Methodology - horizon</t>
  </si>
  <si>
    <t>10-year explicit build. A 5yr horizon would capitalize an immature, capex-suppressed FCF margin (owner FCF/EBITDAF only 24-57% through FY2027-31) in perpetuity; margins do not mature to their ~60% steady-state until FY2033+ once the committed pipeline is fully commissioned and growth capex tapers.</t>
  </si>
  <si>
    <t>Methodology - terminal value</t>
  </si>
  <si>
    <t>MIN(Gordon growth TV, cap multiple x terminal EBITDAF). Cap multiples: bear 13.2x (10yr min), base 18.2x (10yr median ex-FY2025 outlier), bull 21.0x (10yr max ex-outlier), all from the FY2017-2025 June-close EV/EBITDAF history supplied.</t>
  </si>
  <si>
    <t>WACC construction</t>
  </si>
  <si>
    <t>Base 7.5% (range 7.0-8.5%): NZ risk-free ~4.3-4.5% + moderate ERP, low beta (~0.65, large-cap liquid majority-Crown-owned quasi-utility, explicitly NO small-cap illiquidity premium), plus additive loadings for hydrology volatility, NZAS/Tiwai single-counterparty concentration, and the live Energy Competition Task Force regulatory review.</t>
  </si>
  <si>
    <t>Key finding / sanity check</t>
  </si>
  <si>
    <t>Base intrinsic value ($2.85) implies EV/EBITDAF ~11.8x and P/B ~0.84x, BELOW the historical 13.2-21.0x EV/EBITDAF and 1.47-2.62x P/B trading ranges. This is presented as a genuine finding (market pays a persistent renewable-scarcity/infrastructure premium above DCF) rather than corrected upward - see valuation_philosophy in the JSON.</t>
  </si>
  <si>
    <t>CORRECTION LOG (2026-08-13)</t>
  </si>
  <si>
    <t>An earlier iteration credited the committed renewable pipeline (Ruakaka/Te Rahui/Mt Munro/Te Rere Hau, $1,437m committed capex, 1,532 GWh/yr) at $40/MWh net margin, implying steady-state pipeline EBITDAF of only $61.3m -- a 4.3% return on capital, BELOW the models own 7.5% WACC, i.e. an implausible value-destroying-FID assumption. Corrected to $70/MWh base (7.5% return, ~at WACC), $95/MWh bull (10.1%), $50/MWh bear (5.3%, deliberate downside), derived from Meridians own FY2025 10-K disclosure of a $59-139/MWh long-run wholesale price band, net of low wind/solar opex. Base IV moved $2.68 -&gt; $2.85 (+6%); the correction was NOT pushed further to close the gap to the $5.52 market price.</t>
  </si>
  <si>
    <t>Dividend cross-check</t>
  </si>
  <si>
    <t>Simple DDM ($3.73) using FY2025 21.0cps DPS grown at 2.25% terminal rate, discounted at 8% cost of equity - sits between the DCF and market price; the gap to the DCF reflects that the current dividend is partly debt-funded through the capex supercycle.</t>
  </si>
  <si>
    <t>What to refresh after 26-Aug-2026</t>
  </si>
  <si>
    <t>Re-run once FY2026 full-year results are published: update EBITDAF/FCF/net debt/D&amp;A actuals, check whether FY2026 growth capex landed within the $330-360m guided range, and re-anchor the mid-cycle EBITDAF mean if FY2026 proves to be another trough or a genuine new normal.</t>
  </si>
  <si>
    <t>Cell colour convention</t>
  </si>
  <si>
    <t>Gray cells = editable inputs. White cells with borders = formulas (Excel formulas throughout DCF Model sheet, live-linked to inputs). Green cells = key output results (Intrinsic Value, Entry Price).</t>
  </si>
  <si>
    <t>Staleness warning</t>
  </si>
  <si>
    <t>All figures (price, EBITDAF, net debt, pipeline capex/GWh estimates) will go stale. Re-verify against the live Yahoo Finance price and the FY2026 Annual Report / subsequent interim results before relying on this model.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</si>
</sst>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"/>
    <numFmt numFmtId="166" formatCode="0.00%"/>
    <numFmt numFmtId="167" formatCode="&quot;$&quot;#,##0.00"/>
    <numFmt numFmtId="168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4" fillId="4" borderId="2" xfId="0" applyNumberFormat="1" applyFont="1" applyFill="1" applyBorder="1"/>
    <xf numFmtId="168" fontId="0" fillId="0" borderId="2" xfId="0" applyNumberFormat="1" applyBorder="1"/>
    <xf numFmtId="167" fontId="0" fillId="0" borderId="2" xfId="0" applyNumberFormat="1" applyBorder="1"/>
    <xf numFmtId="166" fontId="4" fillId="3" borderId="0" xfId="0" applyNumberFormat="1" applyFont="1" applyFill="1"/>
    <xf numFmtId="168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5.52</v>
      </c>
    </row>
    <row r="6" spans="1:3">
      <c r="A6" t="s">
        <v>4</v>
      </c>
      <c r="B6" s="4">
        <v>2630</v>
      </c>
    </row>
    <row r="7" spans="1:3">
      <c r="A7" t="s">
        <v>5</v>
      </c>
      <c r="B7" s="4">
        <v>183</v>
      </c>
    </row>
    <row r="8" spans="1:3">
      <c r="A8" t="s">
        <v>6</v>
      </c>
      <c r="B8" s="4">
        <v>1866</v>
      </c>
    </row>
    <row r="9" spans="1:3">
      <c r="A9" t="s">
        <v>7</v>
      </c>
      <c r="B9" s="5">
        <f>B8-B7</f>
        <v>0</v>
      </c>
    </row>
    <row r="10" spans="1:3">
      <c r="A10" t="s">
        <v>8</v>
      </c>
      <c r="B10" s="4">
        <v>760</v>
      </c>
      <c r="C10" s="2" t="s">
        <v>9</v>
      </c>
    </row>
    <row r="11" spans="1:3">
      <c r="A11" t="s">
        <v>10</v>
      </c>
      <c r="B11" s="6">
        <v>0.0025</v>
      </c>
    </row>
    <row r="13" spans="1:3">
      <c r="A13" t="s">
        <v>11</v>
      </c>
      <c r="B13" s="6">
        <v>0.075</v>
      </c>
    </row>
    <row r="14" spans="1:3">
      <c r="A14" t="s">
        <v>12</v>
      </c>
      <c r="B14" s="6">
        <v>0.0225</v>
      </c>
    </row>
    <row r="15" spans="1:3">
      <c r="A15" t="s">
        <v>13</v>
      </c>
      <c r="B15" s="4">
        <v>18.2</v>
      </c>
    </row>
    <row r="16" spans="1:3">
      <c r="A16" t="s">
        <v>14</v>
      </c>
      <c r="B16" s="6">
        <v>0.28</v>
      </c>
    </row>
    <row r="17" spans="1:11">
      <c r="A17" t="s">
        <v>15</v>
      </c>
      <c r="B17" s="6">
        <v>0.05</v>
      </c>
    </row>
    <row r="18" spans="1:11">
      <c r="A18" t="s">
        <v>16</v>
      </c>
      <c r="B18" s="4">
        <v>2</v>
      </c>
    </row>
    <row r="20" spans="1:11">
      <c r="A20" s="3" t="s">
        <v>17</v>
      </c>
    </row>
    <row r="21" spans="1:11">
      <c r="A21" s="7"/>
      <c r="B21" s="7" t="s">
        <v>18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7" t="s">
        <v>25</v>
      </c>
      <c r="J21" s="7" t="s">
        <v>26</v>
      </c>
      <c r="K21" s="7" t="s">
        <v>27</v>
      </c>
    </row>
    <row r="22" spans="1:11">
      <c r="A22" t="s">
        <v>28</v>
      </c>
      <c r="B22" s="6">
        <v>0.03</v>
      </c>
      <c r="C22" s="6">
        <v>0.03</v>
      </c>
      <c r="D22" s="6">
        <v>0.028</v>
      </c>
      <c r="E22" s="6">
        <v>0.026</v>
      </c>
      <c r="F22" s="6">
        <v>0.025</v>
      </c>
      <c r="G22" s="6">
        <v>0.025</v>
      </c>
      <c r="H22" s="6">
        <v>0.025</v>
      </c>
      <c r="I22" s="6">
        <v>0.025</v>
      </c>
      <c r="J22" s="6">
        <v>0.025</v>
      </c>
      <c r="K22" s="6">
        <v>0.025</v>
      </c>
    </row>
    <row r="23" spans="1:11">
      <c r="A23" t="s">
        <v>29</v>
      </c>
      <c r="B23" s="4">
        <v>8.1</v>
      </c>
      <c r="C23" s="4">
        <v>29.5</v>
      </c>
      <c r="D23" s="4">
        <v>42.1</v>
      </c>
      <c r="E23" s="4">
        <v>81</v>
      </c>
      <c r="F23" s="4">
        <v>107.2</v>
      </c>
      <c r="G23" s="4">
        <v>107.2</v>
      </c>
      <c r="H23" s="4">
        <v>107.2</v>
      </c>
      <c r="I23" s="4">
        <v>107.2</v>
      </c>
      <c r="J23" s="4">
        <v>107.2</v>
      </c>
      <c r="K23" s="4">
        <v>107.2</v>
      </c>
    </row>
    <row r="24" spans="1:11">
      <c r="A24" s="2" t="s">
        <v>30</v>
      </c>
    </row>
    <row r="25" spans="1:11">
      <c r="A25" t="s">
        <v>31</v>
      </c>
      <c r="B25" s="4">
        <v>133.2</v>
      </c>
      <c r="C25" s="4">
        <v>136.6</v>
      </c>
      <c r="D25" s="4">
        <v>140</v>
      </c>
      <c r="E25" s="4">
        <v>143.5</v>
      </c>
      <c r="F25" s="4">
        <v>147.1</v>
      </c>
      <c r="G25" s="4">
        <v>150.8</v>
      </c>
      <c r="H25" s="4">
        <v>154.5</v>
      </c>
      <c r="I25" s="4">
        <v>158.4</v>
      </c>
      <c r="J25" s="4">
        <v>162.4</v>
      </c>
      <c r="K25" s="4">
        <v>166.4</v>
      </c>
    </row>
    <row r="26" spans="1:11">
      <c r="A26" t="s">
        <v>32</v>
      </c>
      <c r="B26" s="4">
        <v>350</v>
      </c>
      <c r="C26" s="4">
        <v>330</v>
      </c>
      <c r="D26" s="4">
        <v>300</v>
      </c>
      <c r="E26" s="4">
        <v>220</v>
      </c>
      <c r="F26" s="4">
        <v>120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</row>
    <row r="27" spans="1:11">
      <c r="A27" t="s">
        <v>33</v>
      </c>
      <c r="B27" s="4">
        <v>390.3</v>
      </c>
      <c r="C27" s="4">
        <v>405.9</v>
      </c>
      <c r="D27" s="4">
        <v>422.2</v>
      </c>
      <c r="E27" s="4">
        <v>441.2</v>
      </c>
      <c r="F27" s="4">
        <v>461</v>
      </c>
      <c r="G27" s="4">
        <v>474.8</v>
      </c>
      <c r="H27" s="4">
        <v>486.7</v>
      </c>
      <c r="I27" s="4">
        <v>496.4</v>
      </c>
      <c r="J27" s="4">
        <v>506.4</v>
      </c>
      <c r="K27" s="4">
        <v>516.5</v>
      </c>
    </row>
    <row r="29" spans="1:11">
      <c r="A29" s="3" t="s">
        <v>34</v>
      </c>
    </row>
    <row r="30" spans="1:11">
      <c r="A30" s="7"/>
      <c r="B30" s="7" t="s">
        <v>18</v>
      </c>
      <c r="C30" s="7" t="s">
        <v>19</v>
      </c>
      <c r="D30" s="7" t="s">
        <v>20</v>
      </c>
      <c r="E30" s="7" t="s">
        <v>21</v>
      </c>
      <c r="F30" s="7" t="s">
        <v>22</v>
      </c>
      <c r="G30" s="7" t="s">
        <v>23</v>
      </c>
      <c r="H30" s="7" t="s">
        <v>24</v>
      </c>
      <c r="I30" s="7" t="s">
        <v>25</v>
      </c>
      <c r="J30" s="7" t="s">
        <v>26</v>
      </c>
      <c r="K30" s="7" t="s">
        <v>27</v>
      </c>
    </row>
    <row r="31" spans="1:11">
      <c r="A31" t="s">
        <v>35</v>
      </c>
      <c r="B31" s="5">
        <f>$B$10*(1+B22)</f>
        <v>0</v>
      </c>
      <c r="C31" s="5">
        <f>B31*(1+C22)</f>
        <v>0</v>
      </c>
      <c r="D31" s="5">
        <f>C31*(1+D22)</f>
        <v>0</v>
      </c>
      <c r="E31" s="5">
        <f>D31*(1+E22)</f>
        <v>0</v>
      </c>
      <c r="F31" s="5">
        <f>E31*(1+F22)</f>
        <v>0</v>
      </c>
      <c r="G31" s="5">
        <f>F31*(1+G22)</f>
        <v>0</v>
      </c>
      <c r="H31" s="5">
        <f>G31*(1+H22)</f>
        <v>0</v>
      </c>
      <c r="I31" s="5">
        <f>H31*(1+I22)</f>
        <v>0</v>
      </c>
      <c r="J31" s="5">
        <f>I31*(1+J22)</f>
        <v>0</v>
      </c>
      <c r="K31" s="5">
        <f>J31*(1+K22)</f>
        <v>0</v>
      </c>
    </row>
    <row r="32" spans="1:11">
      <c r="A32" t="s">
        <v>36</v>
      </c>
      <c r="B32" s="5">
        <f>B31+B23</f>
        <v>0</v>
      </c>
      <c r="C32" s="5">
        <f>C31+C23</f>
        <v>0</v>
      </c>
      <c r="D32" s="5">
        <f>D31+D23</f>
        <v>0</v>
      </c>
      <c r="E32" s="5">
        <f>E31+E23</f>
        <v>0</v>
      </c>
      <c r="F32" s="5">
        <f>F31+F23</f>
        <v>0</v>
      </c>
      <c r="G32" s="5">
        <f>G31+G23</f>
        <v>0</v>
      </c>
      <c r="H32" s="5">
        <f>H31+H23</f>
        <v>0</v>
      </c>
      <c r="I32" s="5">
        <f>I31+I23</f>
        <v>0</v>
      </c>
      <c r="J32" s="5">
        <f>J31+J23</f>
        <v>0</v>
      </c>
      <c r="K32" s="5">
        <f>K31+K23</f>
        <v>0</v>
      </c>
    </row>
    <row r="33" spans="1:11">
      <c r="A33" t="s">
        <v>37</v>
      </c>
      <c r="B33" s="5">
        <f>B32-B27</f>
        <v>0</v>
      </c>
      <c r="C33" s="5">
        <f>C32-C27</f>
        <v>0</v>
      </c>
      <c r="D33" s="5">
        <f>D32-D27</f>
        <v>0</v>
      </c>
      <c r="E33" s="5">
        <f>E32-E27</f>
        <v>0</v>
      </c>
      <c r="F33" s="5">
        <f>F32-F27</f>
        <v>0</v>
      </c>
      <c r="G33" s="5">
        <f>G32-G27</f>
        <v>0</v>
      </c>
      <c r="H33" s="5">
        <f>H32-H27</f>
        <v>0</v>
      </c>
      <c r="I33" s="5">
        <f>I32-I27</f>
        <v>0</v>
      </c>
      <c r="J33" s="5">
        <f>J32-J27</f>
        <v>0</v>
      </c>
      <c r="K33" s="5">
        <f>K32-K27</f>
        <v>0</v>
      </c>
    </row>
    <row r="34" spans="1:11">
      <c r="A34" t="s">
        <v>38</v>
      </c>
      <c r="B34" s="5">
        <f>B33*(1-$B$16)</f>
        <v>0</v>
      </c>
      <c r="C34" s="5">
        <f>C33*(1-$B$16)</f>
        <v>0</v>
      </c>
      <c r="D34" s="5">
        <f>D33*(1-$B$16)</f>
        <v>0</v>
      </c>
      <c r="E34" s="5">
        <f>E33*(1-$B$16)</f>
        <v>0</v>
      </c>
      <c r="F34" s="5">
        <f>F33*(1-$B$16)</f>
        <v>0</v>
      </c>
      <c r="G34" s="5">
        <f>G33*(1-$B$16)</f>
        <v>0</v>
      </c>
      <c r="H34" s="5">
        <f>H33*(1-$B$16)</f>
        <v>0</v>
      </c>
      <c r="I34" s="5">
        <f>I33*(1-$B$16)</f>
        <v>0</v>
      </c>
      <c r="J34" s="5">
        <f>J33*(1-$B$16)</f>
        <v>0</v>
      </c>
      <c r="K34" s="5">
        <f>K33*(1-$B$16)</f>
        <v>0</v>
      </c>
    </row>
    <row r="35" spans="1:11">
      <c r="A35" t="s">
        <v>39</v>
      </c>
      <c r="B35" s="5">
        <f>B25+B26</f>
        <v>0</v>
      </c>
      <c r="C35" s="5">
        <f>C25+C26</f>
        <v>0</v>
      </c>
      <c r="D35" s="5">
        <f>D25+D26</f>
        <v>0</v>
      </c>
      <c r="E35" s="5">
        <f>E25+E26</f>
        <v>0</v>
      </c>
      <c r="F35" s="5">
        <f>F25+F26</f>
        <v>0</v>
      </c>
      <c r="G35" s="5">
        <f>G25+G26</f>
        <v>0</v>
      </c>
      <c r="H35" s="5">
        <f>H25+H26</f>
        <v>0</v>
      </c>
      <c r="I35" s="5">
        <f>I25+I26</f>
        <v>0</v>
      </c>
      <c r="J35" s="5">
        <f>J25+J26</f>
        <v>0</v>
      </c>
      <c r="K35" s="5">
        <f>K25+K26</f>
        <v>0</v>
      </c>
    </row>
    <row r="36" spans="1:11">
      <c r="A36" t="s">
        <v>40</v>
      </c>
      <c r="B36" s="5">
        <f>$B$17*(B32-$B$10)</f>
        <v>0</v>
      </c>
      <c r="C36" s="5">
        <f>$B$17*(C32-B32)</f>
        <v>0</v>
      </c>
      <c r="D36" s="5">
        <f>$B$17*(D32-C32)</f>
        <v>0</v>
      </c>
      <c r="E36" s="5">
        <f>$B$17*(E32-D32)</f>
        <v>0</v>
      </c>
      <c r="F36" s="5">
        <f>$B$17*(F32-E32)</f>
        <v>0</v>
      </c>
      <c r="G36" s="5">
        <f>$B$17*(G32-F32)</f>
        <v>0</v>
      </c>
      <c r="H36" s="5">
        <f>$B$17*(H32-G32)</f>
        <v>0</v>
      </c>
      <c r="I36" s="5">
        <f>$B$17*(I32-H32)</f>
        <v>0</v>
      </c>
      <c r="J36" s="5">
        <f>$B$17*(J32-I32)</f>
        <v>0</v>
      </c>
      <c r="K36" s="5">
        <f>$B$17*(K32-J32)</f>
        <v>0</v>
      </c>
    </row>
    <row r="37" spans="1:11">
      <c r="A37" t="s">
        <v>41</v>
      </c>
      <c r="B37" s="5">
        <f>B34+B27-B35-B36-$B$18</f>
        <v>0</v>
      </c>
      <c r="C37" s="5">
        <f>C34+C27-C35-C36-$B$18</f>
        <v>0</v>
      </c>
      <c r="D37" s="5">
        <f>D34+D27-D35-D36-$B$18</f>
        <v>0</v>
      </c>
      <c r="E37" s="5">
        <f>E34+E27-E35-E36-$B$18</f>
        <v>0</v>
      </c>
      <c r="F37" s="5">
        <f>F34+F27-F35-F36-$B$18</f>
        <v>0</v>
      </c>
      <c r="G37" s="5">
        <f>G34+G27-G35-G36-$B$18</f>
        <v>0</v>
      </c>
      <c r="H37" s="5">
        <f>H34+H27-H35-H36-$B$18</f>
        <v>0</v>
      </c>
      <c r="I37" s="5">
        <f>I34+I27-I35-I36-$B$18</f>
        <v>0</v>
      </c>
      <c r="J37" s="5">
        <f>J34+J27-J35-J36-$B$18</f>
        <v>0</v>
      </c>
      <c r="K37" s="5">
        <f>K34+K27-K35-K36-$B$18</f>
        <v>0</v>
      </c>
    </row>
    <row r="38" spans="1:11">
      <c r="A38" t="s">
        <v>42</v>
      </c>
      <c r="B38" s="5">
        <f>1/(1+$B$13)^1</f>
        <v>0</v>
      </c>
      <c r="C38" s="5">
        <f>1/(1+$B$13)^2</f>
        <v>0</v>
      </c>
      <c r="D38" s="5">
        <f>1/(1+$B$13)^3</f>
        <v>0</v>
      </c>
      <c r="E38" s="5">
        <f>1/(1+$B$13)^4</f>
        <v>0</v>
      </c>
      <c r="F38" s="5">
        <f>1/(1+$B$13)^5</f>
        <v>0</v>
      </c>
      <c r="G38" s="5">
        <f>1/(1+$B$13)^6</f>
        <v>0</v>
      </c>
      <c r="H38" s="5">
        <f>1/(1+$B$13)^7</f>
        <v>0</v>
      </c>
      <c r="I38" s="5">
        <f>1/(1+$B$13)^8</f>
        <v>0</v>
      </c>
      <c r="J38" s="5">
        <f>1/(1+$B$13)^9</f>
        <v>0</v>
      </c>
      <c r="K38" s="5">
        <f>1/(1+$B$13)^10</f>
        <v>0</v>
      </c>
    </row>
    <row r="39" spans="1:11">
      <c r="A39" t="s">
        <v>43</v>
      </c>
      <c r="B39" s="5">
        <f>B37*B38</f>
        <v>0</v>
      </c>
      <c r="C39" s="5">
        <f>C37*C38</f>
        <v>0</v>
      </c>
      <c r="D39" s="5">
        <f>D37*D38</f>
        <v>0</v>
      </c>
      <c r="E39" s="5">
        <f>E37*E38</f>
        <v>0</v>
      </c>
      <c r="F39" s="5">
        <f>F37*F38</f>
        <v>0</v>
      </c>
      <c r="G39" s="5">
        <f>G37*G38</f>
        <v>0</v>
      </c>
      <c r="H39" s="5">
        <f>H37*H38</f>
        <v>0</v>
      </c>
      <c r="I39" s="5">
        <f>I37*I38</f>
        <v>0</v>
      </c>
      <c r="J39" s="5">
        <f>J37*J38</f>
        <v>0</v>
      </c>
      <c r="K39" s="5">
        <f>K37*K38</f>
        <v>0</v>
      </c>
    </row>
    <row r="40" spans="1:11">
      <c r="A40" t="s">
        <v>44</v>
      </c>
      <c r="B40" s="5">
        <f>$B$6*(1+$B$11)</f>
        <v>0</v>
      </c>
      <c r="C40" s="5">
        <f>B40*(1+$B$11)</f>
        <v>0</v>
      </c>
      <c r="D40" s="5">
        <f>C40*(1+$B$11)</f>
        <v>0</v>
      </c>
      <c r="E40" s="5">
        <f>D40*(1+$B$11)</f>
        <v>0</v>
      </c>
      <c r="F40" s="5">
        <f>E40*(1+$B$11)</f>
        <v>0</v>
      </c>
      <c r="G40" s="5">
        <f>F40*(1+$B$11)</f>
        <v>0</v>
      </c>
      <c r="H40" s="5">
        <f>G40*(1+$B$11)</f>
        <v>0</v>
      </c>
      <c r="I40" s="5">
        <f>H40*(1+$B$11)</f>
        <v>0</v>
      </c>
      <c r="J40" s="5">
        <f>I40*(1+$B$11)</f>
        <v>0</v>
      </c>
      <c r="K40" s="5">
        <f>J40*(1+$B$11)</f>
        <v>0</v>
      </c>
    </row>
    <row r="42" spans="1:11">
      <c r="A42" s="3" t="s">
        <v>45</v>
      </c>
    </row>
    <row r="43" spans="1:11">
      <c r="A43" t="s">
        <v>46</v>
      </c>
      <c r="B43" s="5">
        <f>SUM(B39:K39)</f>
        <v>0</v>
      </c>
    </row>
    <row r="44" spans="1:11">
      <c r="A44" t="s">
        <v>47</v>
      </c>
      <c r="B44" s="5">
        <f>K37*(1+$B$14)</f>
        <v>0</v>
      </c>
    </row>
    <row r="45" spans="1:11">
      <c r="A45" t="s">
        <v>48</v>
      </c>
      <c r="B45" s="5">
        <f>B44/($B$13-$B$14)</f>
        <v>0</v>
      </c>
    </row>
    <row r="46" spans="1:11">
      <c r="A46" t="s">
        <v>49</v>
      </c>
      <c r="B46" s="5">
        <f>$B$15*K32</f>
        <v>0</v>
      </c>
    </row>
    <row r="47" spans="1:11">
      <c r="A47" t="s">
        <v>50</v>
      </c>
      <c r="B47" s="5">
        <f>MIN(B45,B46)</f>
        <v>0</v>
      </c>
    </row>
    <row r="48" spans="1:11">
      <c r="A48" t="s">
        <v>51</v>
      </c>
      <c r="B48" s="5">
        <f>B47*K38</f>
        <v>0</v>
      </c>
    </row>
    <row r="49" spans="1:2">
      <c r="A49" t="s">
        <v>52</v>
      </c>
      <c r="B49" s="5">
        <f>B43+B48</f>
        <v>0</v>
      </c>
    </row>
    <row r="50" spans="1:2">
      <c r="A50" t="s">
        <v>53</v>
      </c>
      <c r="B50" s="5">
        <f>B9</f>
        <v>0</v>
      </c>
    </row>
    <row r="51" spans="1:2">
      <c r="A51" t="s">
        <v>54</v>
      </c>
      <c r="B51" s="5">
        <f>B49-B50</f>
        <v>0</v>
      </c>
    </row>
    <row r="52" spans="1:2">
      <c r="A52" s="8" t="s">
        <v>55</v>
      </c>
      <c r="B52" s="9">
        <f>B51/K40</f>
        <v>0</v>
      </c>
    </row>
    <row r="53" spans="1:2">
      <c r="A53" t="s">
        <v>56</v>
      </c>
      <c r="B53" s="10">
        <f>B48/B49</f>
        <v>0</v>
      </c>
    </row>
    <row r="54" spans="1:2">
      <c r="A54" t="s">
        <v>57</v>
      </c>
      <c r="B54" s="5">
        <f>B47/K32</f>
        <v>0</v>
      </c>
    </row>
    <row r="56" spans="1:2">
      <c r="A56" s="3" t="s">
        <v>58</v>
      </c>
    </row>
    <row r="57" spans="1:2">
      <c r="A57" t="s">
        <v>59</v>
      </c>
      <c r="B57" s="5">
        <f>NPV(0.15,B37:K37)</f>
        <v>0</v>
      </c>
    </row>
    <row r="58" spans="1:2">
      <c r="A58" t="s">
        <v>60</v>
      </c>
      <c r="B58" s="5">
        <f>B45/(1.15^10)</f>
        <v>0</v>
      </c>
    </row>
    <row r="59" spans="1:2">
      <c r="A59" t="s">
        <v>53</v>
      </c>
      <c r="B59" s="5">
        <f>B9</f>
        <v>0</v>
      </c>
    </row>
    <row r="60" spans="1:2">
      <c r="A60" t="s">
        <v>61</v>
      </c>
      <c r="B60" s="9">
        <f>(B57+B58-B59)/K40</f>
        <v>0</v>
      </c>
    </row>
    <row r="62" spans="1:2">
      <c r="A62" t="s">
        <v>62</v>
      </c>
      <c r="B62" s="10">
        <f>(B52-B5)/B5</f>
        <v>0</v>
      </c>
    </row>
    <row r="63" spans="1:2">
      <c r="A63" t="s">
        <v>63</v>
      </c>
      <c r="B63" s="10">
        <f>(B5-B60)/B5</f>
        <v>0</v>
      </c>
    </row>
    <row r="65" spans="1:2">
      <c r="A65" s="3" t="s">
        <v>64</v>
      </c>
    </row>
    <row r="66" spans="1:2">
      <c r="A66" t="s">
        <v>65</v>
      </c>
      <c r="B66" s="4">
        <v>21</v>
      </c>
    </row>
    <row r="67" spans="1:2">
      <c r="A67" t="s">
        <v>66</v>
      </c>
      <c r="B67" s="10">
        <f>(B66/100)/B5</f>
        <v>0</v>
      </c>
    </row>
    <row r="68" spans="1:2">
      <c r="A68" t="s">
        <v>67</v>
      </c>
      <c r="B68" s="6">
        <v>0.08</v>
      </c>
    </row>
    <row r="69" spans="1:2">
      <c r="A69" t="s">
        <v>68</v>
      </c>
      <c r="B69" s="11">
        <f>(B66/100*(1+$B$14))/(B68-$B$14)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69</v>
      </c>
    </row>
    <row r="2" spans="1:6">
      <c r="A2" t="s">
        <v>70</v>
      </c>
    </row>
    <row r="4" spans="1:6">
      <c r="A4" s="7" t="s">
        <v>71</v>
      </c>
      <c r="B4" s="12">
        <v>0.0125</v>
      </c>
      <c r="C4" s="12">
        <v>0.0175</v>
      </c>
      <c r="D4" s="12">
        <v>0.0225</v>
      </c>
      <c r="E4" s="12">
        <v>0.0275</v>
      </c>
      <c r="F4" s="12">
        <v>0.0325</v>
      </c>
    </row>
    <row r="5" spans="1:6">
      <c r="A5" s="13">
        <v>0.055</v>
      </c>
      <c r="B5" s="11">
        <v>4.09</v>
      </c>
      <c r="C5" s="11">
        <v>4.57</v>
      </c>
      <c r="D5" s="11">
        <v>4.99</v>
      </c>
      <c r="E5" s="11">
        <v>4.99</v>
      </c>
      <c r="F5" s="11">
        <v>4.99</v>
      </c>
    </row>
    <row r="6" spans="1:6">
      <c r="A6" s="13">
        <v>0.065</v>
      </c>
      <c r="B6" s="11">
        <v>3.12</v>
      </c>
      <c r="C6" s="11">
        <v>3.4</v>
      </c>
      <c r="D6" s="11">
        <v>3.75</v>
      </c>
      <c r="E6" s="11">
        <v>4.18</v>
      </c>
      <c r="F6" s="11">
        <v>4.53</v>
      </c>
    </row>
    <row r="7" spans="1:6">
      <c r="A7" s="13">
        <v>0.075</v>
      </c>
      <c r="B7" s="11">
        <v>2.46</v>
      </c>
      <c r="C7" s="11">
        <v>2.64</v>
      </c>
      <c r="D7" s="11">
        <v>2.85</v>
      </c>
      <c r="E7" s="11">
        <v>3.11</v>
      </c>
      <c r="F7" s="11">
        <v>3.43</v>
      </c>
    </row>
    <row r="8" spans="1:6">
      <c r="A8" s="13">
        <v>0.08500000000000001</v>
      </c>
      <c r="B8" s="11">
        <v>1.99</v>
      </c>
      <c r="C8" s="11">
        <v>2.11</v>
      </c>
      <c r="D8" s="11">
        <v>2.25</v>
      </c>
      <c r="E8" s="11">
        <v>2.41</v>
      </c>
      <c r="F8" s="11">
        <v>2.61</v>
      </c>
    </row>
    <row r="9" spans="1:6">
      <c r="A9" s="13">
        <v>0.095</v>
      </c>
      <c r="B9" s="11">
        <v>1.63</v>
      </c>
      <c r="C9" s="11">
        <v>1.71</v>
      </c>
      <c r="D9" s="11">
        <v>1.81</v>
      </c>
      <c r="E9" s="11">
        <v>1.92</v>
      </c>
      <c r="F9" s="11">
        <v>2.05</v>
      </c>
    </row>
    <row r="11" spans="1:6">
      <c r="A11" s="2" t="s">
        <v>72</v>
      </c>
    </row>
    <row r="12" spans="1:6">
      <c r="A12" s="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cols>
    <col min="1" max="1" width="28.7109375" customWidth="1"/>
    <col min="2" max="11" width="11.7109375" customWidth="1"/>
  </cols>
  <sheetData>
    <row r="1" spans="1:8">
      <c r="A1" s="1" t="s">
        <v>74</v>
      </c>
    </row>
    <row r="3" spans="1:8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81</v>
      </c>
      <c r="H3" s="7" t="s">
        <v>82</v>
      </c>
    </row>
    <row r="4" spans="1:8">
      <c r="A4" t="s">
        <v>83</v>
      </c>
      <c r="B4" s="5">
        <v>3491</v>
      </c>
      <c r="C4" s="5">
        <v>3405</v>
      </c>
      <c r="D4" s="5">
        <v>4296</v>
      </c>
      <c r="E4" s="5">
        <v>3703</v>
      </c>
      <c r="F4" s="5">
        <v>3222</v>
      </c>
      <c r="G4" s="5">
        <v>4856</v>
      </c>
      <c r="H4" s="5">
        <v>4835</v>
      </c>
    </row>
    <row r="5" spans="1:8">
      <c r="A5" t="s">
        <v>84</v>
      </c>
      <c r="B5" s="5">
        <v>838</v>
      </c>
      <c r="C5" s="5">
        <v>854</v>
      </c>
      <c r="D5" s="5">
        <v>729</v>
      </c>
      <c r="E5" s="5">
        <v>709</v>
      </c>
      <c r="F5" s="5">
        <v>783</v>
      </c>
      <c r="G5" s="5">
        <v>905</v>
      </c>
      <c r="H5" s="5">
        <v>611</v>
      </c>
    </row>
    <row r="6" spans="1:8">
      <c r="A6" s="8" t="s">
        <v>85</v>
      </c>
      <c r="B6" s="5">
        <v>566</v>
      </c>
      <c r="C6" s="5">
        <v>542</v>
      </c>
      <c r="D6" s="5">
        <v>317</v>
      </c>
      <c r="E6" s="5">
        <v>289</v>
      </c>
      <c r="F6" s="5">
        <v>180</v>
      </c>
      <c r="G6" s="5">
        <v>346</v>
      </c>
      <c r="H6" s="5">
        <v>134</v>
      </c>
    </row>
    <row r="7" spans="1:8">
      <c r="A7" t="s">
        <v>86</v>
      </c>
      <c r="B7" s="5">
        <v>1</v>
      </c>
      <c r="C7" s="5">
        <v>1</v>
      </c>
      <c r="D7" s="5">
        <v>2</v>
      </c>
      <c r="E7" s="5">
        <v>1</v>
      </c>
      <c r="F7" s="5">
        <v>1</v>
      </c>
      <c r="G7" s="5">
        <v>2</v>
      </c>
      <c r="H7" t="s">
        <v>87</v>
      </c>
    </row>
    <row r="8" spans="1:8">
      <c r="A8" s="8" t="s">
        <v>88</v>
      </c>
      <c r="B8" s="5">
        <v>565</v>
      </c>
      <c r="C8" s="5">
        <v>541</v>
      </c>
      <c r="D8" s="5">
        <v>315</v>
      </c>
      <c r="E8" s="5">
        <v>288</v>
      </c>
      <c r="F8" s="5">
        <v>179</v>
      </c>
      <c r="G8" s="5">
        <v>344</v>
      </c>
      <c r="H8" t="s">
        <v>87</v>
      </c>
    </row>
    <row r="9" spans="1:8">
      <c r="A9" t="s">
        <v>89</v>
      </c>
      <c r="B9" s="5">
        <v>69</v>
      </c>
      <c r="C9" s="5">
        <v>63</v>
      </c>
      <c r="D9" s="5">
        <v>114</v>
      </c>
      <c r="E9" s="5">
        <v>172</v>
      </c>
      <c r="F9" s="5">
        <v>329</v>
      </c>
      <c r="G9" s="5">
        <v>321</v>
      </c>
      <c r="H9" s="5">
        <v>184</v>
      </c>
    </row>
    <row r="10" spans="1:8">
      <c r="A10" t="s">
        <v>90</v>
      </c>
      <c r="B10" t="s">
        <v>87</v>
      </c>
      <c r="C10" s="5">
        <v>312</v>
      </c>
      <c r="D10" s="5">
        <v>303</v>
      </c>
      <c r="E10" s="5">
        <v>293</v>
      </c>
      <c r="F10" s="5">
        <v>293</v>
      </c>
      <c r="G10" s="5">
        <v>334</v>
      </c>
      <c r="H10" s="5">
        <v>447</v>
      </c>
    </row>
    <row r="11" spans="1:8">
      <c r="A11" t="s">
        <v>91</v>
      </c>
      <c r="B11" t="s">
        <v>87</v>
      </c>
      <c r="C11" s="5">
        <v>36.5</v>
      </c>
      <c r="D11" s="5">
        <v>41.6</v>
      </c>
      <c r="E11" s="5">
        <v>41.3</v>
      </c>
      <c r="F11" s="5">
        <v>37.4</v>
      </c>
      <c r="G11" s="5">
        <v>36.9</v>
      </c>
      <c r="H11" s="5">
        <v>73.2</v>
      </c>
    </row>
    <row r="12" spans="1:8">
      <c r="A12" s="8" t="s">
        <v>92</v>
      </c>
      <c r="B12" s="5">
        <v>67.5</v>
      </c>
      <c r="C12" s="5">
        <v>63.5</v>
      </c>
      <c r="D12" s="5">
        <v>43.5</v>
      </c>
      <c r="E12" s="5">
        <v>40.8</v>
      </c>
      <c r="F12" s="5">
        <v>23</v>
      </c>
      <c r="G12" s="5">
        <v>38.2</v>
      </c>
      <c r="H12" s="5">
        <v>21.9</v>
      </c>
    </row>
    <row r="14" spans="1:8">
      <c r="A14" s="8" t="s">
        <v>93</v>
      </c>
    </row>
    <row r="15" spans="1:8">
      <c r="A15" s="2" t="s">
        <v>94</v>
      </c>
    </row>
    <row r="16" spans="1:8">
      <c r="A16" s="2" t="s">
        <v>95</v>
      </c>
    </row>
    <row r="17" spans="1:1">
      <c r="A17" s="2" t="s">
        <v>96</v>
      </c>
    </row>
    <row r="18" spans="1:1">
      <c r="A18" s="2" t="s">
        <v>97</v>
      </c>
    </row>
    <row r="19" spans="1:1">
      <c r="A19" s="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99</v>
      </c>
    </row>
    <row r="3" spans="1:2">
      <c r="A3" s="8" t="s">
        <v>100</v>
      </c>
      <c r="B3" t="s">
        <v>101</v>
      </c>
    </row>
    <row r="4" spans="1:2">
      <c r="A4" s="8" t="s">
        <v>102</v>
      </c>
      <c r="B4" t="s">
        <v>103</v>
      </c>
    </row>
    <row r="5" spans="1:2">
      <c r="A5" s="8" t="s">
        <v>104</v>
      </c>
      <c r="B5" t="s">
        <v>105</v>
      </c>
    </row>
    <row r="6" spans="1:2">
      <c r="A6" s="8" t="s">
        <v>106</v>
      </c>
      <c r="B6" t="s">
        <v>107</v>
      </c>
    </row>
    <row r="7" spans="1:2">
      <c r="A7" s="8" t="s">
        <v>108</v>
      </c>
      <c r="B7" t="s">
        <v>109</v>
      </c>
    </row>
    <row r="8" spans="1:2">
      <c r="A8" s="8" t="s">
        <v>110</v>
      </c>
      <c r="B8" t="s">
        <v>111</v>
      </c>
    </row>
    <row r="9" spans="1:2">
      <c r="A9" s="8" t="s">
        <v>112</v>
      </c>
      <c r="B9" t="s">
        <v>113</v>
      </c>
    </row>
    <row r="10" spans="1:2">
      <c r="A10" s="8" t="s">
        <v>114</v>
      </c>
      <c r="B10" t="s">
        <v>115</v>
      </c>
    </row>
    <row r="11" spans="1:2">
      <c r="A11" s="8" t="s">
        <v>116</v>
      </c>
      <c r="B11" t="s">
        <v>117</v>
      </c>
    </row>
    <row r="12" spans="1:2">
      <c r="A12" s="8" t="s">
        <v>118</v>
      </c>
      <c r="B12" t="s">
        <v>119</v>
      </c>
    </row>
    <row r="13" spans="1:2">
      <c r="A13" s="8" t="s">
        <v>120</v>
      </c>
      <c r="B13" t="s">
        <v>121</v>
      </c>
    </row>
    <row r="14" spans="1:2">
      <c r="A14" s="8" t="s">
        <v>122</v>
      </c>
      <c r="B14" t="s">
        <v>123</v>
      </c>
    </row>
    <row r="15" spans="1:2">
      <c r="A15" s="8" t="s">
        <v>124</v>
      </c>
      <c r="B15" t="s">
        <v>125</v>
      </c>
    </row>
    <row r="16" spans="1:2">
      <c r="A16" s="8" t="s">
        <v>126</v>
      </c>
      <c r="B16" t="s">
        <v>127</v>
      </c>
    </row>
    <row r="17" spans="1:2">
      <c r="A17" s="8" t="s">
        <v>128</v>
      </c>
      <c r="B17" t="s">
        <v>129</v>
      </c>
    </row>
    <row r="18" spans="1:2">
      <c r="A18" s="8" t="s">
        <v>130</v>
      </c>
      <c r="B18" t="s">
        <v>131</v>
      </c>
    </row>
    <row r="19" spans="1:2">
      <c r="A19" s="8" t="s">
        <v>132</v>
      </c>
      <c r="B19" t="s">
        <v>133</v>
      </c>
    </row>
    <row r="20" spans="1:2">
      <c r="A20" s="8" t="s">
        <v>134</v>
      </c>
      <c r="B20" t="s">
        <v>135</v>
      </c>
    </row>
    <row r="21" spans="1:2">
      <c r="A21" s="8" t="s">
        <v>136</v>
      </c>
      <c r="B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2026-08-13T11:32:20Z</dcterms:created>
  <dcterms:modified xsi:type="dcterms:W3CDTF">2026-08-13T11:32:20Z</dcterms:modified>
</cp:coreProperties>
</file>