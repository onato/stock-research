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AV Model" sheetId="1" r:id="rId1"/>
    <sheet name="Sensitivity" sheetId="2" r:id="rId2"/>
    <sheet name="Historical" sheetId="3" r:id="rId3"/>
    <sheet name="FCF Quality" sheetId="4" r:id="rId4"/>
    <sheet name="Model_Info" sheetId="5" r:id="rId5"/>
  </sheets>
  <calcPr calcId="124519" fullCalcOnLoad="1"/>
</workbook>
</file>

<file path=xl/sharedStrings.xml><?xml version="1.0" encoding="utf-8"?>
<sst xmlns="http://schemas.openxmlformats.org/spreadsheetml/2006/main" count="156" uniqueCount="123">
  <si>
    <t>FCT.NZ NAV-Compounding + Exit-Discount Model</t>
  </si>
  <si>
    <t>F&amp;C Investment Trust PLC (LSE: FCIT) - NOT an FCF DCF. Gray cells are INPUTS.</t>
  </si>
  <si>
    <t>NAV per share is ALREADY net of all borrowings - do not subtract net debt again anywhere in this sheet.</t>
  </si>
  <si>
    <t>KEY INPUTS</t>
  </si>
  <si>
    <t>Current Share Price (NZD, FCT.NZ)</t>
  </si>
  <si>
    <t>Current Share Price (GBP pence, FCIT.L)</t>
  </si>
  <si>
    <t>GBP:NZD FX rate</t>
  </si>
  <si>
    <t>NAV per share, 30-Jun-2026 (pence, post-split)</t>
  </si>
  <si>
    <t>Dividend per share, FY2025 (pence, post-split base)</t>
  </si>
  <si>
    <t>Current live discount to NAV (%)</t>
  </si>
  <si>
    <t>Ongoing charges ratio (%, memo only - embedded in total return assumptions)</t>
  </si>
  <si>
    <t>Buyback accretion credit (%/yr)</t>
  </si>
  <si>
    <t>SCENARIO ASSUMPTIONS</t>
  </si>
  <si>
    <t>Bear</t>
  </si>
  <si>
    <t>Base</t>
  </si>
  <si>
    <t>Bull</t>
  </si>
  <si>
    <t>Total NAV return assumption (%/yr)</t>
  </si>
  <si>
    <t>Dividend growth (%/yr)</t>
  </si>
  <si>
    <t>Exit discount to NAV, Year 5 (%)</t>
  </si>
  <si>
    <t>Cost of equity (%)</t>
  </si>
  <si>
    <t>Implied NAV growth (%/yr) = total return - div yield + buyback accretion</t>
  </si>
  <si>
    <t>PROJECTIONS (5-Year NAV &amp; Dividend Path)</t>
  </si>
  <si>
    <t>BEAR CASE</t>
  </si>
  <si>
    <t>FY2027</t>
  </si>
  <si>
    <t>FY2028</t>
  </si>
  <si>
    <t>FY2029</t>
  </si>
  <si>
    <t>FY2030</t>
  </si>
  <si>
    <t>FY2031</t>
  </si>
  <si>
    <t>NAV per share (p)</t>
  </si>
  <si>
    <t>Dividend per share (p)</t>
  </si>
  <si>
    <t>Year-5 NAV (p)</t>
  </si>
  <si>
    <t>Year-5 Exit Price (p) = Year5 NAV x (1 - exit disc)</t>
  </si>
  <si>
    <t>BASE CASE</t>
  </si>
  <si>
    <t>BULL CASE</t>
  </si>
  <si>
    <t>VALUATION (Headline: Today's NAV x (1 - fair exit discount))</t>
  </si>
  <si>
    <t>Intrinsic Value (GBP pence)</t>
  </si>
  <si>
    <t>Intrinsic Value (NZD)</t>
  </si>
  <si>
    <t>Upside/Downside vs current price (NZD)</t>
  </si>
  <si>
    <t>Implied P/NAV (base on TODAY's NAV)</t>
  </si>
  <si>
    <t>5-YEAR IRR-BUILD MEMO (PV divs + PV exit @ CoE)</t>
  </si>
  <si>
    <t>PV of Yr1-5 dividends @ CoE (p)</t>
  </si>
  <si>
    <t>PV of Year-5 exit value @ CoE (p)</t>
  </si>
  <si>
    <t>5yr-Build Fair Value (p)</t>
  </si>
  <si>
    <t>5yr-Build Fair Value (NZD)</t>
  </si>
  <si>
    <t>ENTRY PRICE (15% IRR Hurdle, Base Case)</t>
  </si>
  <si>
    <t>Hurdle rate</t>
  </si>
  <si>
    <t>PV of Yr1-5 base dividends @ hurdle (p)</t>
  </si>
  <si>
    <t>PV of Year-5 base exit value @ hurdle (p)</t>
  </si>
  <si>
    <t>Entry Price (GBP pence)</t>
  </si>
  <si>
    <t>Entry Price (NZD)</t>
  </si>
  <si>
    <t>Entry discount from current price (NZD)</t>
  </si>
  <si>
    <t>A 15% hurdle far exceeds a diversified global-equity trust's realistic ~7.5-9% expected</t>
  </si>
  <si>
    <t>total return, so the entry price sits well below the current price by design - not a bug.</t>
  </si>
  <si>
    <t>Sensitivity Analysis</t>
  </si>
  <si>
    <t>Fair Value (GBP pence) by NAV Total Return &amp; Exit Discount (5yr-build @ 9% CoE)</t>
  </si>
  <si>
    <t>Exit Disc \ Tot Ret</t>
  </si>
  <si>
    <t>Values are pre-computed (not live formulas) to keep the matrix simple; see NAV Model sheet for the interactive build.</t>
  </si>
  <si>
    <t>Historical NAV &amp; Discount Data</t>
  </si>
  <si>
    <t>NAV per share (pence, post-split, capital-only)</t>
  </si>
  <si>
    <t>FY2017</t>
  </si>
  <si>
    <t>FY2018</t>
  </si>
  <si>
    <t>FY2019</t>
  </si>
  <si>
    <t>FY2020</t>
  </si>
  <si>
    <t>FY2021</t>
  </si>
  <si>
    <t>FY2022</t>
  </si>
  <si>
    <t>FY2023</t>
  </si>
  <si>
    <t>FY2024</t>
  </si>
  <si>
    <t>FY2025</t>
  </si>
  <si>
    <t>H1-2026</t>
  </si>
  <si>
    <t>NAV/share CAGR FY2017-FY2025 (8yr, capital-only)</t>
  </si>
  <si>
    <t>NAV/share CAGR FY2020-FY2025 (5yr, capital-only)</t>
  </si>
  <si>
    <t>Discount to NAV by year (%)</t>
  </si>
  <si>
    <t>current_live</t>
  </si>
  <si>
    <t>NAV Total Return vs Benchmark</t>
  </si>
  <si>
    <t>FY2024 NAV TR / Benchmark TR</t>
  </si>
  <si>
    <t>FY2025 NAV TR / Benchmark TR</t>
  </si>
  <si>
    <t>H1-2026 NAV TR / Benchmark TR</t>
  </si>
  <si>
    <t>FCF Quality - NOT APPLICABLE</t>
  </si>
  <si>
    <t>F&amp;C Investment Trust is an externally-managed closed-end investment trust with no revenue, EBITDA,</t>
  </si>
  <si>
    <t>capex, working-capital cycle, or free cash flow in the operating-company sense.</t>
  </si>
  <si>
    <t>"OperatingCashFlow" in the Metrics CSV represents dividends/investment income received less management</t>
  </si>
  <si>
    <t>and finance costs - it is portfolio income, NOT free cash flow, and has deliberately not been used</t>
  </si>
  <si>
    <t>anywhere in this model.</t>
  </si>
  <si>
    <t>"NetIncome" is the statutory total return (revenue account + capital account) and is dominated by</t>
  </si>
  <si>
    <t>unrealised mark-to-market portfolio revaluation - it swings from -GBP630.1m (H1-2022) to +GBP919.3m</t>
  </si>
  <si>
    <t>(FY2021) and is never CAGR'd or projected as an operating earnings figure.</t>
  </si>
  <si>
    <t>There is NO stock-based compensation (no employees - the trust is managed externally by Columbia</t>
  </si>
  <si>
    <t>Threadneedle for a 0.45% ongoing charges fee).</t>
  </si>
  <si>
    <t>See the "NAV Model" sheet for the NAV-compounding + exit-discount valuation used instead, and the</t>
  </si>
  <si>
    <t>valuation_philosophy field in FCT.NZ_DCF.json for the full methodology explanation.</t>
  </si>
  <si>
    <t>Model Provenance &amp; Methodology Notes</t>
  </si>
  <si>
    <t>Built by</t>
  </si>
  <si>
    <t>Claude dcf-analyst agent, Stocks/Research repo</t>
  </si>
  <si>
    <t>Valuation date</t>
  </si>
  <si>
    <t>2026-08-10</t>
  </si>
  <si>
    <t>Data vintage - share price</t>
  </si>
  <si>
    <t>FCT.NZ NZD 7.81, FCIT.L GBp 342.4, both 10-Aug-2026 (Yahoo Finance live quote)</t>
  </si>
  <si>
    <t>Data vintage - NAV</t>
  </si>
  <si>
    <t>30-Jun-2026 (H1 FY2026 Half-Year Report, released 3-Aug-2026), debt-at-fair-value basis, post 4-for-1 split (11-May-2026)</t>
  </si>
  <si>
    <t>Data vintage - dividend</t>
  </si>
  <si>
    <t>FY2025 total 4.15p post-split (55th consecutive annual increase); H1-2026 first interim 0.99p declared, 56th rise flagged</t>
  </si>
  <si>
    <t>GBP:NZD FX rate used</t>
  </si>
  <si>
    <t>2.2898 (live, 10-Aug-2026)</t>
  </si>
  <si>
    <t>Methodology</t>
  </si>
  <si>
    <t>NAV-per-share compounding + exit-discount model, NOT an FCF/WACC/Gordon-growth DCF. Mirrors the BIT.NZ (Bankers Investment Trust) model structure in this repo. See valuation_philosophy field in the JSON for full rationale.</t>
  </si>
  <si>
    <t>Why not FCF DCF</t>
  </si>
  <si>
    <t>F&amp;C is an externally-managed closed-end investment trust: no revenue, EBITDA, capex, working capital or FCF in the operating-company sense. NetIncome is mark-to-market total return, not operating earnings.</t>
  </si>
  <si>
    <t>No double-counting of debt</t>
  </si>
  <si>
    <t>NAV per share is ALREADY stated net of all borrowings (GBP544m long-term loans + RCF drawdowns are deducted inside the published NAV). Portfolio gearing (4.5-5.7% at 30-Jun-2026) is captured entirely inside the total_return_pct assumption as a return amplifier. Net debt has NOT been separately subtracted anywhere.</t>
  </si>
  <si>
    <t>FX translation</t>
  </si>
  <si>
    <t>All modelling done in GBP pence per share (the trust's native reporting currency), then translated to NZD at the live GBPNZD rate for the final intrinsic value and entry price, matching the NZX quote currency. NZ holders bear unhedged GBP/NZD risk on top of the trust's own USD/EUR/JPY exposure - flagged as a risk, not modelled as a hedge.</t>
  </si>
  <si>
    <t>SBC</t>
  </si>
  <si>
    <t>Not applicable - no employees, externally managed. Stated explicitly rather than silently skipped.</t>
  </si>
  <si>
    <t>Base case total return</t>
  </si>
  <si>
    <t>7.5% p.a. NAV total return (long-run global equity ~8.5-9% gross, net of F&amp;C's recently demonstrated benchmark-relative drag), exit discount 7.5% (near 2025 full-year average), cost of equity 9.0%.</t>
  </si>
  <si>
    <t>Key finding</t>
  </si>
  <si>
    <t>Because F&amp;C's cost of equity (~9%) is close to its own realistic expected NAV total return (~7.5%), the trust is close to fairly valued at its current discount, with the discount move itself the main source of edge. Base case shows a small +1.4-1.7% upside driven almost entirely by the live discount (8.7%) being modestly wider than the base-case assumption (7.5%).</t>
  </si>
  <si>
    <t>What to refresh after next earnings</t>
  </si>
  <si>
    <t>NAV per share (next published figure), dividend per share and growth guidance, discount history (add new FY/H1 data point), gearing %, ongoing charges ratio, live share price and GBPNZD rate. Re-run the sanity_check P/NAV range check with the updated discount history.</t>
  </si>
  <si>
    <t>Cell colour conventions</t>
  </si>
  <si>
    <t>Gray-filled cells (light blue-gray, #dfe6e9) = INPUTS, editable. White cells with formulas = calculated, do not overwrite. Green-filled cells = headline RESULTS (intrinsic value, entry price).</t>
  </si>
  <si>
    <t>Staleness warning</t>
  </si>
  <si>
    <t>All figures will go stale as new NAV/dividend/price data is published. NAV per share, discount, and share price should be treated as accurate only as of the vintage dates stated above and must be re-checked before relying on this model for a live decision.</t>
  </si>
</sst>
</file>

<file path=xl/styles.xml><?xml version="1.0" encoding="utf-8"?>
<styleSheet xmlns="http://schemas.openxmlformats.org/spreadsheetml/2006/main">
  <numFmts count="5">
    <numFmt numFmtId="164" formatCode="#,##0.000"/>
    <numFmt numFmtId="165" formatCode="0.00%"/>
    <numFmt numFmtId="166" formatCode="&quot;$&quot;#,##0.0000"/>
    <numFmt numFmtId="167" formatCode="0.000&quot;p&quot;"/>
    <numFmt numFmtId="168" formatCode="0.0%"/>
  </numFmts>
  <fonts count="7">
    <font>
      <sz val="11"/>
      <color theme="1"/>
      <name val="Calibri"/>
      <family val="2"/>
      <scheme val="minor"/>
    </font>
    <font>
      <b/>
      <sz val="16"/>
      <color theme="1"/>
      <name val="Calibri"/>
      <family val="2"/>
      <scheme val="minor"/>
    </font>
    <font>
      <b/>
      <i/>
      <sz val="11"/>
      <color rgb="FFD63031"/>
      <name val="Calibri"/>
      <family val="2"/>
      <scheme val="minor"/>
    </font>
    <font>
      <i/>
      <sz val="11"/>
      <color rgb="FF808080"/>
      <name val="Calibri"/>
      <family val="2"/>
      <scheme val="minor"/>
    </font>
    <font>
      <b/>
      <sz val="12"/>
      <color theme="1"/>
      <name val="Calibri"/>
      <family val="2"/>
      <scheme val="minor"/>
    </font>
    <font>
      <b/>
      <sz val="11"/>
      <color rgb="FFFFFFFF"/>
      <name val="Calibri"/>
      <family val="2"/>
      <scheme val="minor"/>
    </font>
    <font>
      <b/>
      <sz val="11"/>
      <color theme="1"/>
      <name val="Calibri"/>
      <family val="2"/>
      <scheme val="minor"/>
    </font>
  </fonts>
  <fills count="5">
    <fill>
      <patternFill patternType="none"/>
    </fill>
    <fill>
      <patternFill patternType="gray125"/>
    </fill>
    <fill>
      <patternFill patternType="solid">
        <fgColor rgb="FFDFE6E9"/>
        <bgColor indexed="64"/>
      </patternFill>
    </fill>
    <fill>
      <patternFill patternType="solid">
        <fgColor rgb="FF2D3436"/>
        <bgColor indexed="64"/>
      </patternFill>
    </fill>
    <fill>
      <patternFill patternType="solid">
        <fgColor rgb="FF00B894"/>
        <bgColor indexed="64"/>
      </patternFill>
    </fill>
  </fills>
  <borders count="3">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xf numFmtId="0" fontId="4" fillId="0" borderId="1" xfId="0" applyFont="1" applyBorder="1"/>
    <xf numFmtId="164" fontId="0" fillId="2" borderId="2" xfId="0" applyNumberFormat="1" applyFill="1" applyBorder="1"/>
    <xf numFmtId="165" fontId="0" fillId="0" borderId="2" xfId="0" applyNumberFormat="1" applyBorder="1"/>
    <xf numFmtId="165" fontId="0" fillId="2" borderId="2" xfId="0" applyNumberFormat="1" applyFill="1" applyBorder="1"/>
    <xf numFmtId="0" fontId="5" fillId="3" borderId="2" xfId="0" applyFont="1" applyFill="1" applyBorder="1"/>
    <xf numFmtId="0" fontId="6" fillId="0" borderId="0" xfId="0" applyFont="1"/>
    <xf numFmtId="164" fontId="0" fillId="0" borderId="2" xfId="0" applyNumberFormat="1" applyBorder="1"/>
    <xf numFmtId="166" fontId="0" fillId="0" borderId="2" xfId="0" applyNumberFormat="1" applyBorder="1"/>
    <xf numFmtId="167" fontId="5" fillId="4" borderId="2" xfId="0" applyNumberFormat="1" applyFont="1" applyFill="1" applyBorder="1"/>
    <xf numFmtId="166" fontId="5" fillId="4" borderId="2" xfId="0" applyNumberFormat="1" applyFont="1" applyFill="1" applyBorder="1"/>
    <xf numFmtId="168" fontId="5" fillId="3" borderId="0" xfId="0" applyNumberFormat="1" applyFont="1" applyFill="1"/>
    <xf numFmtId="167" fontId="0" fillId="0" borderId="2" xfId="0" applyNumberForma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4"/>
  <sheetViews>
    <sheetView tabSelected="1" workbookViewId="0"/>
  </sheetViews>
  <sheetFormatPr defaultRowHeight="15"/>
  <cols>
    <col min="1" max="1" width="32.7109375" customWidth="1"/>
    <col min="2" max="8" width="14.7109375" customWidth="1"/>
  </cols>
  <sheetData>
    <row r="1" spans="1:4">
      <c r="A1" s="1" t="s">
        <v>0</v>
      </c>
    </row>
    <row r="2" spans="1:4">
      <c r="A2" s="2" t="s">
        <v>1</v>
      </c>
    </row>
    <row r="3" spans="1:4">
      <c r="A3" s="3" t="s">
        <v>2</v>
      </c>
    </row>
    <row r="5" spans="1:4">
      <c r="A5" s="4" t="s">
        <v>3</v>
      </c>
    </row>
    <row r="6" spans="1:4">
      <c r="A6" t="s">
        <v>4</v>
      </c>
      <c r="B6" s="5">
        <v>7.81</v>
      </c>
    </row>
    <row r="7" spans="1:4">
      <c r="A7" t="s">
        <v>5</v>
      </c>
      <c r="B7" s="5">
        <v>342.4</v>
      </c>
    </row>
    <row r="8" spans="1:4">
      <c r="A8" t="s">
        <v>6</v>
      </c>
      <c r="B8" s="5">
        <v>2.2898</v>
      </c>
    </row>
    <row r="9" spans="1:4">
      <c r="A9" t="s">
        <v>7</v>
      </c>
      <c r="B9" s="5">
        <v>375.18</v>
      </c>
    </row>
    <row r="10" spans="1:4">
      <c r="A10" t="s">
        <v>8</v>
      </c>
      <c r="B10" s="5">
        <v>4.15</v>
      </c>
    </row>
    <row r="11" spans="1:4">
      <c r="A11" t="s">
        <v>9</v>
      </c>
      <c r="B11" s="6">
        <f>1-B7/B9</f>
        <v>0</v>
      </c>
    </row>
    <row r="12" spans="1:4">
      <c r="A12" t="s">
        <v>10</v>
      </c>
      <c r="B12" s="7">
        <v>0.004500000000000001</v>
      </c>
    </row>
    <row r="13" spans="1:4">
      <c r="A13" t="s">
        <v>11</v>
      </c>
      <c r="B13" s="7">
        <v>0.0012</v>
      </c>
    </row>
    <row r="15" spans="1:4">
      <c r="A15" s="4" t="s">
        <v>12</v>
      </c>
    </row>
    <row r="16" spans="1:4">
      <c r="A16" s="8"/>
      <c r="B16" s="8" t="s">
        <v>13</v>
      </c>
      <c r="C16" s="8" t="s">
        <v>14</v>
      </c>
      <c r="D16" s="8" t="s">
        <v>15</v>
      </c>
    </row>
    <row r="18" spans="1:6">
      <c r="A18" t="s">
        <v>16</v>
      </c>
      <c r="B18" s="7">
        <v>0.045</v>
      </c>
      <c r="C18" s="7">
        <v>0.075</v>
      </c>
      <c r="D18" s="7">
        <v>0.105</v>
      </c>
    </row>
    <row r="19" spans="1:6">
      <c r="A19" t="s">
        <v>17</v>
      </c>
      <c r="B19" s="7">
        <v>0.03</v>
      </c>
      <c r="C19" s="7">
        <v>0.055</v>
      </c>
      <c r="D19" s="7">
        <v>0.065</v>
      </c>
    </row>
    <row r="20" spans="1:6">
      <c r="A20" t="s">
        <v>18</v>
      </c>
      <c r="B20" s="7">
        <v>0.13</v>
      </c>
      <c r="C20" s="7">
        <v>0.075</v>
      </c>
      <c r="D20" s="7">
        <v>0.03</v>
      </c>
    </row>
    <row r="21" spans="1:6">
      <c r="A21" t="s">
        <v>19</v>
      </c>
      <c r="B21" s="7">
        <v>0.1</v>
      </c>
      <c r="C21" s="7">
        <v>0.09</v>
      </c>
      <c r="D21" s="7">
        <v>0.08500000000000001</v>
      </c>
    </row>
    <row r="22" spans="1:6">
      <c r="A22" t="s">
        <v>20</v>
      </c>
      <c r="B22" s="6">
        <f>B18-$B$10/$B$9+$B$13</f>
        <v>0</v>
      </c>
      <c r="C22" s="6">
        <f>C18-$B$10/$B$9+$B$13</f>
        <v>0</v>
      </c>
      <c r="D22" s="6">
        <f>D18-$B$10/$B$9+$B$13</f>
        <v>0</v>
      </c>
    </row>
    <row r="24" spans="1:6">
      <c r="A24" s="4" t="s">
        <v>21</v>
      </c>
    </row>
    <row r="26" spans="1:6">
      <c r="A26" s="9" t="s">
        <v>22</v>
      </c>
    </row>
    <row r="27" spans="1:6">
      <c r="B27" s="8" t="s">
        <v>23</v>
      </c>
      <c r="C27" s="8" t="s">
        <v>24</v>
      </c>
      <c r="D27" s="8" t="s">
        <v>25</v>
      </c>
      <c r="E27" s="8" t="s">
        <v>26</v>
      </c>
      <c r="F27" s="8" t="s">
        <v>27</v>
      </c>
    </row>
    <row r="28" spans="1:6">
      <c r="A28" t="s">
        <v>28</v>
      </c>
      <c r="B28" s="10">
        <f>$B$9*(1+$B$22)</f>
        <v>0</v>
      </c>
      <c r="C28" s="10">
        <f>B28*(1+$B$22)</f>
        <v>0</v>
      </c>
      <c r="D28" s="10">
        <f>C28*(1+$B$22)</f>
        <v>0</v>
      </c>
      <c r="E28" s="10">
        <f>D28*(1+$B$22)</f>
        <v>0</v>
      </c>
      <c r="F28" s="10">
        <f>E28*(1+$B$22)</f>
        <v>0</v>
      </c>
    </row>
    <row r="29" spans="1:6">
      <c r="A29" t="s">
        <v>29</v>
      </c>
      <c r="B29" s="10">
        <f>$B$10*(1+$B$19)</f>
        <v>0</v>
      </c>
      <c r="C29" s="10">
        <f>B29*(1+$B$19)</f>
        <v>0</v>
      </c>
      <c r="D29" s="10">
        <f>C29*(1+$B$19)</f>
        <v>0</v>
      </c>
      <c r="E29" s="10">
        <f>D29*(1+$B$19)</f>
        <v>0</v>
      </c>
      <c r="F29" s="10">
        <f>E29*(1+$B$19)</f>
        <v>0</v>
      </c>
    </row>
    <row r="30" spans="1:6">
      <c r="A30" t="s">
        <v>30</v>
      </c>
      <c r="B30" s="10">
        <f>F28</f>
        <v>0</v>
      </c>
    </row>
    <row r="31" spans="1:6">
      <c r="A31" t="s">
        <v>31</v>
      </c>
      <c r="B31" s="10">
        <f>F28*(1-$B$20)</f>
        <v>0</v>
      </c>
    </row>
    <row r="34" spans="1:6">
      <c r="A34" s="9" t="s">
        <v>32</v>
      </c>
    </row>
    <row r="35" spans="1:6">
      <c r="B35" s="8" t="s">
        <v>23</v>
      </c>
      <c r="C35" s="8" t="s">
        <v>24</v>
      </c>
      <c r="D35" s="8" t="s">
        <v>25</v>
      </c>
      <c r="E35" s="8" t="s">
        <v>26</v>
      </c>
      <c r="F35" s="8" t="s">
        <v>27</v>
      </c>
    </row>
    <row r="36" spans="1:6">
      <c r="A36" t="s">
        <v>28</v>
      </c>
      <c r="B36" s="10">
        <f>$B$9*(1+$C$22)</f>
        <v>0</v>
      </c>
      <c r="C36" s="10">
        <f>B36*(1+$C$22)</f>
        <v>0</v>
      </c>
      <c r="D36" s="10">
        <f>C36*(1+$C$22)</f>
        <v>0</v>
      </c>
      <c r="E36" s="10">
        <f>D36*(1+$C$22)</f>
        <v>0</v>
      </c>
      <c r="F36" s="10">
        <f>E36*(1+$C$22)</f>
        <v>0</v>
      </c>
    </row>
    <row r="37" spans="1:6">
      <c r="A37" t="s">
        <v>29</v>
      </c>
      <c r="B37" s="10">
        <f>$B$10*(1+$C$19)</f>
        <v>0</v>
      </c>
      <c r="C37" s="10">
        <f>B37*(1+$C$19)</f>
        <v>0</v>
      </c>
      <c r="D37" s="10">
        <f>C37*(1+$C$19)</f>
        <v>0</v>
      </c>
      <c r="E37" s="10">
        <f>D37*(1+$C$19)</f>
        <v>0</v>
      </c>
      <c r="F37" s="10">
        <f>E37*(1+$C$19)</f>
        <v>0</v>
      </c>
    </row>
    <row r="38" spans="1:6">
      <c r="A38" t="s">
        <v>30</v>
      </c>
      <c r="B38" s="10">
        <f>F36</f>
        <v>0</v>
      </c>
    </row>
    <row r="39" spans="1:6">
      <c r="A39" t="s">
        <v>31</v>
      </c>
      <c r="B39" s="10">
        <f>F36*(1-$C$20)</f>
        <v>0</v>
      </c>
    </row>
    <row r="42" spans="1:6">
      <c r="A42" s="9" t="s">
        <v>33</v>
      </c>
    </row>
    <row r="43" spans="1:6">
      <c r="B43" s="8" t="s">
        <v>23</v>
      </c>
      <c r="C43" s="8" t="s">
        <v>24</v>
      </c>
      <c r="D43" s="8" t="s">
        <v>25</v>
      </c>
      <c r="E43" s="8" t="s">
        <v>26</v>
      </c>
      <c r="F43" s="8" t="s">
        <v>27</v>
      </c>
    </row>
    <row r="44" spans="1:6">
      <c r="A44" t="s">
        <v>28</v>
      </c>
      <c r="B44" s="10">
        <f>$B$9*(1+$D$22)</f>
        <v>0</v>
      </c>
      <c r="C44" s="10">
        <f>B44*(1+$D$22)</f>
        <v>0</v>
      </c>
      <c r="D44" s="10">
        <f>C44*(1+$D$22)</f>
        <v>0</v>
      </c>
      <c r="E44" s="10">
        <f>D44*(1+$D$22)</f>
        <v>0</v>
      </c>
      <c r="F44" s="10">
        <f>E44*(1+$D$22)</f>
        <v>0</v>
      </c>
    </row>
    <row r="45" spans="1:6">
      <c r="A45" t="s">
        <v>29</v>
      </c>
      <c r="B45" s="10">
        <f>$B$10*(1+$D$19)</f>
        <v>0</v>
      </c>
      <c r="C45" s="10">
        <f>B45*(1+$D$19)</f>
        <v>0</v>
      </c>
      <c r="D45" s="10">
        <f>C45*(1+$D$19)</f>
        <v>0</v>
      </c>
      <c r="E45" s="10">
        <f>D45*(1+$D$19)</f>
        <v>0</v>
      </c>
      <c r="F45" s="10">
        <f>E45*(1+$D$19)</f>
        <v>0</v>
      </c>
    </row>
    <row r="46" spans="1:6">
      <c r="A46" t="s">
        <v>30</v>
      </c>
      <c r="B46" s="10">
        <f>F44</f>
        <v>0</v>
      </c>
    </row>
    <row r="47" spans="1:6">
      <c r="A47" t="s">
        <v>31</v>
      </c>
      <c r="B47" s="10">
        <f>F44*(1-$D$20)</f>
        <v>0</v>
      </c>
    </row>
    <row r="51" spans="1:4">
      <c r="A51" s="4" t="s">
        <v>34</v>
      </c>
    </row>
    <row r="52" spans="1:4">
      <c r="B52" s="8" t="s">
        <v>13</v>
      </c>
      <c r="C52" s="8" t="s">
        <v>14</v>
      </c>
      <c r="D52" s="8" t="s">
        <v>15</v>
      </c>
    </row>
    <row r="53" spans="1:4">
      <c r="A53" t="s">
        <v>35</v>
      </c>
      <c r="B53" s="10">
        <f>$B$9*(1-B20)</f>
        <v>0</v>
      </c>
      <c r="C53" s="10">
        <f>$B$9*(1-C20)</f>
        <v>0</v>
      </c>
      <c r="D53" s="10">
        <f>$B$9*(1-D20)</f>
        <v>0</v>
      </c>
    </row>
    <row r="54" spans="1:4">
      <c r="A54" t="s">
        <v>36</v>
      </c>
      <c r="B54" s="11">
        <f>B53/100*$B$8</f>
        <v>0</v>
      </c>
      <c r="C54" s="11">
        <f>C53/100*$B$8</f>
        <v>0</v>
      </c>
      <c r="D54" s="11">
        <f>D53/100*$B$8</f>
        <v>0</v>
      </c>
    </row>
    <row r="55" spans="1:4">
      <c r="A55" t="s">
        <v>37</v>
      </c>
      <c r="B55" s="6">
        <f>(B54-$B$6)/$B$6</f>
        <v>0</v>
      </c>
      <c r="C55" s="6">
        <f>(C54-$B$6)/$B$6</f>
        <v>0</v>
      </c>
      <c r="D55" s="6">
        <f>(D54-$B$6)/$B$6</f>
        <v>0</v>
      </c>
    </row>
    <row r="56" spans="1:4">
      <c r="A56" t="s">
        <v>38</v>
      </c>
      <c r="B56" s="6">
        <f>B53/$B$9</f>
        <v>0</v>
      </c>
      <c r="C56" s="6">
        <f>C53/$B$9</f>
        <v>0</v>
      </c>
      <c r="D56" s="6">
        <f>D53/$B$9</f>
        <v>0</v>
      </c>
    </row>
    <row r="58" spans="1:4">
      <c r="A58" s="4" t="s">
        <v>39</v>
      </c>
    </row>
    <row r="59" spans="1:4">
      <c r="B59" s="8" t="s">
        <v>13</v>
      </c>
      <c r="C59" s="8" t="s">
        <v>14</v>
      </c>
      <c r="D59" s="8" t="s">
        <v>15</v>
      </c>
    </row>
    <row r="60" spans="1:4">
      <c r="A60" t="s">
        <v>40</v>
      </c>
      <c r="B60" s="10">
        <f>NPV(B21,B29:F29)</f>
        <v>0</v>
      </c>
      <c r="C60" s="10">
        <f>NPV(C21,B37:F37)</f>
        <v>0</v>
      </c>
      <c r="D60" s="10">
        <f>NPV(D21,B45:F45)</f>
        <v>0</v>
      </c>
    </row>
    <row r="61" spans="1:4">
      <c r="A61" t="s">
        <v>41</v>
      </c>
      <c r="B61" s="10">
        <f>B31/(1+B21)^5</f>
        <v>0</v>
      </c>
      <c r="C61" s="10">
        <f>B39/(1+C21)^5</f>
        <v>0</v>
      </c>
      <c r="D61" s="10">
        <f>B47/(1+D21)^5</f>
        <v>0</v>
      </c>
    </row>
    <row r="62" spans="1:4">
      <c r="A62" t="s">
        <v>42</v>
      </c>
      <c r="B62" s="10">
        <f>B60+B61</f>
        <v>0</v>
      </c>
      <c r="C62" s="10">
        <f>C60+C61</f>
        <v>0</v>
      </c>
      <c r="D62" s="10">
        <f>D60+D61</f>
        <v>0</v>
      </c>
    </row>
    <row r="63" spans="1:4">
      <c r="A63" t="s">
        <v>43</v>
      </c>
      <c r="B63" s="11">
        <f>B62/100*$B$8</f>
        <v>0</v>
      </c>
      <c r="C63" s="11">
        <f>C62/100*$B$8</f>
        <v>0</v>
      </c>
      <c r="D63" s="11">
        <f>D62/100*$B$8</f>
        <v>0</v>
      </c>
    </row>
    <row r="65" spans="1:2">
      <c r="A65" s="4" t="s">
        <v>44</v>
      </c>
    </row>
    <row r="66" spans="1:2">
      <c r="A66" t="s">
        <v>45</v>
      </c>
      <c r="B66" s="7">
        <v>0.15</v>
      </c>
    </row>
    <row r="67" spans="1:2">
      <c r="A67" t="s">
        <v>46</v>
      </c>
      <c r="B67" s="10">
        <f>NPV(B66,B37:F37)</f>
        <v>0</v>
      </c>
    </row>
    <row r="68" spans="1:2">
      <c r="A68" t="s">
        <v>47</v>
      </c>
      <c r="B68" s="10">
        <f>B39/(1+B66)^5</f>
        <v>0</v>
      </c>
    </row>
    <row r="69" spans="1:2">
      <c r="A69" t="s">
        <v>48</v>
      </c>
      <c r="B69" s="12">
        <f>B67+B68</f>
        <v>0</v>
      </c>
    </row>
    <row r="70" spans="1:2">
      <c r="A70" t="s">
        <v>49</v>
      </c>
      <c r="B70" s="13">
        <f>B69/100*$B$8</f>
        <v>0</v>
      </c>
    </row>
    <row r="71" spans="1:2">
      <c r="A71" t="s">
        <v>50</v>
      </c>
      <c r="B71" s="6">
        <f>(B70-$B$6)/$B$6</f>
        <v>0</v>
      </c>
    </row>
    <row r="73" spans="1:2">
      <c r="A73" s="3" t="s">
        <v>51</v>
      </c>
    </row>
    <row r="74" spans="1:2">
      <c r="A74" s="3"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1"/>
  <sheetViews>
    <sheetView workbookViewId="0"/>
  </sheetViews>
  <sheetFormatPr defaultRowHeight="15"/>
  <cols>
    <col min="1" max="1" width="20.7109375" customWidth="1"/>
    <col min="2" max="7" width="12.7109375" customWidth="1"/>
  </cols>
  <sheetData>
    <row r="1" spans="1:6">
      <c r="A1" s="1" t="s">
        <v>53</v>
      </c>
    </row>
    <row r="2" spans="1:6">
      <c r="A2" t="s">
        <v>54</v>
      </c>
    </row>
    <row r="4" spans="1:6">
      <c r="A4" s="8" t="s">
        <v>55</v>
      </c>
      <c r="B4" s="14">
        <v>0.055</v>
      </c>
      <c r="C4" s="14">
        <v>0.065</v>
      </c>
      <c r="D4" s="14">
        <v>0.075</v>
      </c>
      <c r="E4" s="14">
        <v>0.08500000000000001</v>
      </c>
      <c r="F4" s="14">
        <v>0.095</v>
      </c>
    </row>
    <row r="5" spans="1:6">
      <c r="A5" s="14">
        <v>0.035</v>
      </c>
      <c r="B5" s="15">
        <v>312.2643636092473</v>
      </c>
      <c r="C5" s="15">
        <v>326.5734121433974</v>
      </c>
      <c r="D5" s="15">
        <v>341.4353173920098</v>
      </c>
      <c r="E5" s="15">
        <v>356.8659473021756</v>
      </c>
      <c r="F5" s="15">
        <v>372.8814705822422</v>
      </c>
    </row>
    <row r="6" spans="1:6">
      <c r="A6" s="14">
        <v>0.055</v>
      </c>
      <c r="B6" s="15">
        <v>306.1829195965742</v>
      </c>
      <c r="C6" s="15">
        <v>320.195407539343</v>
      </c>
      <c r="D6" s="15">
        <v>334.7492940263261</v>
      </c>
      <c r="E6" s="15">
        <v>349.860118135245</v>
      </c>
      <c r="F6" s="15">
        <v>365.5437134716833</v>
      </c>
    </row>
    <row r="7" spans="1:6">
      <c r="A7" s="14">
        <v>0.075</v>
      </c>
      <c r="B7" s="15">
        <v>300.1014755839012</v>
      </c>
      <c r="C7" s="15">
        <v>313.8174029352887</v>
      </c>
      <c r="D7" s="15">
        <v>328.0632706606424</v>
      </c>
      <c r="E7" s="15">
        <v>342.8542889683144</v>
      </c>
      <c r="F7" s="15">
        <v>358.2059563611244</v>
      </c>
    </row>
    <row r="8" spans="1:6">
      <c r="A8" s="14">
        <v>0.095</v>
      </c>
      <c r="B8" s="15">
        <v>294.0200315712281</v>
      </c>
      <c r="C8" s="15">
        <v>307.4393983312343</v>
      </c>
      <c r="D8" s="15">
        <v>321.3772472949588</v>
      </c>
      <c r="E8" s="15">
        <v>335.8484598013838</v>
      </c>
      <c r="F8" s="15">
        <v>350.8681992505654</v>
      </c>
    </row>
    <row r="9" spans="1:6">
      <c r="A9" s="14">
        <v>0.115</v>
      </c>
      <c r="B9" s="15">
        <v>287.9385875585551</v>
      </c>
      <c r="C9" s="15">
        <v>301.0613937271798</v>
      </c>
      <c r="D9" s="15">
        <v>314.6912239292751</v>
      </c>
      <c r="E9" s="15">
        <v>328.8426306344531</v>
      </c>
      <c r="F9" s="15">
        <v>343.5304421400065</v>
      </c>
    </row>
    <row r="11" spans="1:6">
      <c r="A11" s="3" t="s">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33"/>
  <sheetViews>
    <sheetView workbookViewId="0"/>
  </sheetViews>
  <sheetFormatPr defaultRowHeight="15"/>
  <cols>
    <col min="1" max="1" width="28.7109375" customWidth="1"/>
    <col min="2" max="3" width="15.7109375" customWidth="1"/>
  </cols>
  <sheetData>
    <row r="1" spans="1:2">
      <c r="A1" s="1" t="s">
        <v>57</v>
      </c>
    </row>
    <row r="3" spans="1:2">
      <c r="A3" s="8" t="s">
        <v>58</v>
      </c>
      <c r="B3" s="8"/>
    </row>
    <row r="4" spans="1:2">
      <c r="A4" t="s">
        <v>59</v>
      </c>
      <c r="B4" s="15">
        <v>169.13</v>
      </c>
    </row>
    <row r="5" spans="1:2">
      <c r="A5" t="s">
        <v>60</v>
      </c>
      <c r="B5" s="15">
        <v>160.98</v>
      </c>
    </row>
    <row r="6" spans="1:2">
      <c r="A6" t="s">
        <v>61</v>
      </c>
      <c r="B6" s="15">
        <v>189.32</v>
      </c>
    </row>
    <row r="7" spans="1:2">
      <c r="A7" t="s">
        <v>62</v>
      </c>
      <c r="B7" s="15">
        <v>210.17</v>
      </c>
    </row>
    <row r="8" spans="1:2">
      <c r="A8" t="s">
        <v>63</v>
      </c>
      <c r="B8" s="15">
        <v>250.62</v>
      </c>
    </row>
    <row r="9" spans="1:2">
      <c r="A9" t="s">
        <v>64</v>
      </c>
      <c r="B9" s="15">
        <v>224.24</v>
      </c>
    </row>
    <row r="10" spans="1:2">
      <c r="A10" t="s">
        <v>65</v>
      </c>
      <c r="B10" s="15">
        <v>246.89</v>
      </c>
    </row>
    <row r="11" spans="1:2">
      <c r="A11" t="s">
        <v>66</v>
      </c>
      <c r="B11" s="15">
        <v>294.21</v>
      </c>
    </row>
    <row r="12" spans="1:2">
      <c r="A12" t="s">
        <v>67</v>
      </c>
      <c r="B12" s="15">
        <v>325.16</v>
      </c>
    </row>
    <row r="13" spans="1:2">
      <c r="A13" t="s">
        <v>68</v>
      </c>
      <c r="B13" s="15">
        <v>364.15</v>
      </c>
    </row>
    <row r="15" spans="1:2">
      <c r="A15" s="9" t="s">
        <v>69</v>
      </c>
      <c r="B15" s="6">
        <v>0.0851</v>
      </c>
    </row>
    <row r="16" spans="1:2">
      <c r="A16" s="9" t="s">
        <v>70</v>
      </c>
      <c r="B16" s="6">
        <v>0.09119999999999999</v>
      </c>
    </row>
    <row r="18" spans="1:3">
      <c r="A18" s="8" t="s">
        <v>71</v>
      </c>
    </row>
    <row r="19" spans="1:3">
      <c r="A19" t="s">
        <v>60</v>
      </c>
      <c r="B19" s="6">
        <v>0.043</v>
      </c>
    </row>
    <row r="20" spans="1:3">
      <c r="A20" t="s">
        <v>61</v>
      </c>
      <c r="B20" s="6">
        <v>-0.015</v>
      </c>
    </row>
    <row r="21" spans="1:3">
      <c r="A21" t="s">
        <v>62</v>
      </c>
      <c r="B21" s="6">
        <v>0.05400000000000001</v>
      </c>
    </row>
    <row r="22" spans="1:3">
      <c r="A22" t="s">
        <v>63</v>
      </c>
      <c r="B22" s="6">
        <v>0.073</v>
      </c>
    </row>
    <row r="23" spans="1:3">
      <c r="A23" t="s">
        <v>64</v>
      </c>
      <c r="B23" s="6">
        <v>0.03</v>
      </c>
    </row>
    <row r="24" spans="1:3">
      <c r="A24" t="s">
        <v>65</v>
      </c>
      <c r="B24" s="6">
        <v>0.059</v>
      </c>
    </row>
    <row r="25" spans="1:3">
      <c r="A25" t="s">
        <v>66</v>
      </c>
      <c r="B25" s="6">
        <v>0.092</v>
      </c>
    </row>
    <row r="26" spans="1:3">
      <c r="A26" t="s">
        <v>67</v>
      </c>
      <c r="B26" s="6">
        <v>0.068</v>
      </c>
    </row>
    <row r="27" spans="1:3">
      <c r="A27" t="s">
        <v>68</v>
      </c>
      <c r="B27" s="6">
        <v>0.066</v>
      </c>
    </row>
    <row r="28" spans="1:3">
      <c r="A28" t="s">
        <v>72</v>
      </c>
      <c r="B28" s="6">
        <v>0.08699999999999999</v>
      </c>
    </row>
    <row r="30" spans="1:3">
      <c r="A30" s="8" t="s">
        <v>73</v>
      </c>
    </row>
    <row r="31" spans="1:3">
      <c r="A31" t="s">
        <v>74</v>
      </c>
      <c r="B31" s="6">
        <v>0.21</v>
      </c>
      <c r="C31" s="6">
        <v>0.193</v>
      </c>
    </row>
    <row r="32" spans="1:3">
      <c r="A32" t="s">
        <v>75</v>
      </c>
      <c r="B32" s="6">
        <v>0.116</v>
      </c>
      <c r="C32" s="6">
        <v>0.142</v>
      </c>
    </row>
    <row r="33" spans="1:3">
      <c r="A33" t="s">
        <v>76</v>
      </c>
      <c r="B33" s="6">
        <v>0.124</v>
      </c>
      <c r="C33" s="6">
        <v>0.126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18"/>
  <sheetViews>
    <sheetView workbookViewId="0"/>
  </sheetViews>
  <sheetFormatPr defaultRowHeight="15"/>
  <cols>
    <col min="1" max="1" width="100.7109375" customWidth="1"/>
  </cols>
  <sheetData>
    <row r="1" spans="1:1">
      <c r="A1" s="1" t="s">
        <v>77</v>
      </c>
    </row>
    <row r="3" spans="1:1">
      <c r="A3" t="s">
        <v>78</v>
      </c>
    </row>
    <row r="4" spans="1:1">
      <c r="A4" t="s">
        <v>79</v>
      </c>
    </row>
    <row r="6" spans="1:1">
      <c r="A6" t="s">
        <v>80</v>
      </c>
    </row>
    <row r="7" spans="1:1">
      <c r="A7" t="s">
        <v>81</v>
      </c>
    </row>
    <row r="8" spans="1:1">
      <c r="A8" t="s">
        <v>82</v>
      </c>
    </row>
    <row r="10" spans="1:1">
      <c r="A10" t="s">
        <v>83</v>
      </c>
    </row>
    <row r="11" spans="1:1">
      <c r="A11" t="s">
        <v>84</v>
      </c>
    </row>
    <row r="12" spans="1:1">
      <c r="A12" t="s">
        <v>85</v>
      </c>
    </row>
    <row r="14" spans="1:1">
      <c r="A14" t="s">
        <v>86</v>
      </c>
    </row>
    <row r="15" spans="1:1">
      <c r="A15" t="s">
        <v>87</v>
      </c>
    </row>
    <row r="17" spans="1:1">
      <c r="A17" t="s">
        <v>88</v>
      </c>
    </row>
    <row r="18" spans="1:1">
      <c r="A18" t="s">
        <v>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18"/>
  <sheetViews>
    <sheetView workbookViewId="0"/>
  </sheetViews>
  <sheetFormatPr defaultRowHeight="15"/>
  <cols>
    <col min="1" max="1" width="32.7109375" customWidth="1"/>
    <col min="2" max="2" width="90.7109375" customWidth="1"/>
  </cols>
  <sheetData>
    <row r="1" spans="1:2">
      <c r="A1" s="1" t="s">
        <v>90</v>
      </c>
    </row>
    <row r="3" spans="1:2">
      <c r="A3" s="9" t="s">
        <v>91</v>
      </c>
      <c r="B3" t="s">
        <v>92</v>
      </c>
    </row>
    <row r="4" spans="1:2">
      <c r="A4" s="9" t="s">
        <v>93</v>
      </c>
      <c r="B4" t="s">
        <v>94</v>
      </c>
    </row>
    <row r="5" spans="1:2">
      <c r="A5" s="9" t="s">
        <v>95</v>
      </c>
      <c r="B5" t="s">
        <v>96</v>
      </c>
    </row>
    <row r="6" spans="1:2">
      <c r="A6" s="9" t="s">
        <v>97</v>
      </c>
      <c r="B6" t="s">
        <v>98</v>
      </c>
    </row>
    <row r="7" spans="1:2">
      <c r="A7" s="9" t="s">
        <v>99</v>
      </c>
      <c r="B7" t="s">
        <v>100</v>
      </c>
    </row>
    <row r="8" spans="1:2">
      <c r="A8" s="9" t="s">
        <v>101</v>
      </c>
      <c r="B8" t="s">
        <v>102</v>
      </c>
    </row>
    <row r="9" spans="1:2">
      <c r="A9" s="9" t="s">
        <v>103</v>
      </c>
      <c r="B9" t="s">
        <v>104</v>
      </c>
    </row>
    <row r="10" spans="1:2">
      <c r="A10" s="9" t="s">
        <v>105</v>
      </c>
      <c r="B10" t="s">
        <v>106</v>
      </c>
    </row>
    <row r="11" spans="1:2">
      <c r="A11" s="9" t="s">
        <v>107</v>
      </c>
      <c r="B11" t="s">
        <v>108</v>
      </c>
    </row>
    <row r="12" spans="1:2">
      <c r="A12" s="9" t="s">
        <v>109</v>
      </c>
      <c r="B12" t="s">
        <v>110</v>
      </c>
    </row>
    <row r="13" spans="1:2">
      <c r="A13" s="9" t="s">
        <v>111</v>
      </c>
      <c r="B13" t="s">
        <v>112</v>
      </c>
    </row>
    <row r="14" spans="1:2">
      <c r="A14" s="9" t="s">
        <v>113</v>
      </c>
      <c r="B14" t="s">
        <v>114</v>
      </c>
    </row>
    <row r="15" spans="1:2">
      <c r="A15" s="9" t="s">
        <v>115</v>
      </c>
      <c r="B15" t="s">
        <v>116</v>
      </c>
    </row>
    <row r="16" spans="1:2">
      <c r="A16" s="9" t="s">
        <v>117</v>
      </c>
      <c r="B16" t="s">
        <v>118</v>
      </c>
    </row>
    <row r="17" spans="1:2">
      <c r="A17" s="9" t="s">
        <v>119</v>
      </c>
      <c r="B17" t="s">
        <v>120</v>
      </c>
    </row>
    <row r="18" spans="1:2">
      <c r="A18" s="9" t="s">
        <v>121</v>
      </c>
      <c r="B18"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NAV Model</vt:lpstr>
      <vt:lpstr>Sensitivity</vt:lpstr>
      <vt:lpstr>Historical</vt:lpstr>
      <vt:lpstr>FCF Quality</vt:lpstr>
      <vt:lpstr>Model_Info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2026-08-10T09:11:16Z</dcterms:created>
  <dcterms:modified xsi:type="dcterms:W3CDTF">2026-08-10T09:11:16Z</dcterms:modified>
</cp:coreProperties>
</file>