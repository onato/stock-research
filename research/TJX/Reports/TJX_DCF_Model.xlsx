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<sst xmlns="http://schemas.openxmlformats.org/spreadsheetml/2006/main" count="390" uniqueCount="175">
  <si>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</si>
  <si>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TJX</t>
  </si>
  <si>
    <t xml:space="preserve">Company</t>
  </si>
  <si>
    <t xml:space="preserve">The TJX Companies,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</si>
  <si>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</si>
  <si>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</si>
  <si>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</si>
  <si>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</si>
  <si>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regular-session close (Yahoo regularMarketTime)</t>
  </si>
  <si>
    <t xml:space="preserve">Balance sheet date</t>
  </si>
  <si>
    <t xml:space="preserve">2026-08-01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</si>
  <si>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</si>
  <si>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</si>
  <si>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</si>
  <si>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</si>
  <si>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</si>
  <si>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</si>
  <si>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</si>
  <si>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</si>
  <si>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</si>
  <si>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</si>
  <si>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2026-10-02T09:30:26Z</t>
  </si>
  <si>
    <t xml:space="preserve">Drivers file</t>
  </si>
  <si>
    <t xml:space="preserve">TJX_Drivers.json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</si>
  <si>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</si>
  <si>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</si>
  <si>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</si>
  <si>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TJX is a mature, high-return compounder whose value rests on durable off-price share gains and a ~12% EBIT margin, not on growth optionality. The valuation is an owner-FCF DCF at an 8.5% USD WACC: SBC fully expensed (immaterial at ~0.36% of sales), interest income on the cash pile stripped because net cash is added in the bridge, operating-lease rent kept inside EBITDA with lease liabilities excluded from net debt. Buybacks are value-neutral in the model; they are how TJX returns the owner FCF.
key_risks_to_valuation: Margin mean reversion from a record FY2027 pretax margin (12.3-12.4%) - every 100bp of EBITDA margin is roughly 8-9% of value; Tariff and trade-policy cost on merchandise margin (FY2026 10-K high-severity risk); Store-growth acceleration to ~4%/yr toward 7,500 stores may cannibalise or earn lower returns in new markets (Spain); Equity-award withholding taxes are estimated (~$50M) since the XBRL tag ended in FY2023 - immaterial to value; Terminal-value heavy: a 10-year horizon on a mature retailer means ~2/3 of EV sits in the terminal value</t>
  </si>
  <si>
    <t xml:space="preserve">Data sources</t>
  </si>
  <si>
    <t xml:space="preserve">price: Yahoo Finance chart API at inputs.price_as_of (regular-session close); 52-week range 122.78-170.00
financials: research/TJX/Reports/TJX_Metrics.csv (SEC XBRL); Q2 FY2027 10-Q balance sheet, diluted shares, D&amp;A and pretax income via SEC companyfacts API (CIK 0000109198); FY2026 10-K interest income/expense, cash taxes paid, operating lease cost
qualitative: research/TJX/Reports/TJX_Analysis.json (2026-10-02), incl. Q2 FY2027 guidance from the 2026-08-19 earnings release</t>
  </si>
  <si>
    <t xml:space="preserve">Scenario narrative: bear</t>
  </si>
  <si>
    <t xml:space="preserve">A US consumer downturn hits discretionary apparel/home in FY2028 while tariffs and retaliatory measures raise landed costs; Ross and Burlington price more aggressively, Marmaxx execution errors recur, and vendor inventory discipline tightens off-price supply. Comps go flat-to-negative for a year, store growth is slowed to protect returns, and EBIT margin falls back to ~10.8% (FY2023-24 levels) and stays there as wage costs and the new marketing budget prove sticky. Off-price still trades customers down, so revenue does not shrink - the bear is a margin and multiple story (16x exit), not a solvency one.</t>
  </si>
  <si>
    <t xml:space="preserve">Scenario narrative: base</t>
  </si>
  <si>
    <t xml:space="preserve">The off-price share-gain story continues at its historical pace: comps 2-3%, ~4% annual store growth from FY2028 toward the raised 7,500-store target, HomeGoods and TK Maxx International growing slightly faster than Marmaxx. Tariff costs are absorbed through opportunistic buying and pricing; the Q2 FY2027 Marmaxx merchandise-mix miss is a one-quarter execution slip. Increased marketing spend and wage inflation consume most of the merchandise-margin and occupancy leverage, so EBIT margin rises only ~50bp over a decade to ~12.4%. Capex runs ~3.6% of sales during the store acceleration, then eases.</t>
  </si>
  <si>
    <t xml:space="preserve">Scenario narrative: bull</t>
  </si>
  <si>
    <t xml:space="preserve">Department-store and full-price closures plus abundant vendor overstock (tariff-disrupted supply chains push more goods into off-price) let TJX run 3-4% comps on top of 4%+ store growth; Spain and other new markets work and HomeGoods/Homesense take home-decor share. Marketing investment converts into traffic, and merchandise margin plus scale leverage take EBIT margin to ~13.6% (pretax ~14%), above anything TJX has printed. Exit at 22x terminal owner FCF is consistent with the premium the market already pays for the franchise.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</si>
  <si>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</si>
  <si>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</si>
  <si>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</si>
  <si>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</si>
  <si>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</si>
  <si>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</si>
  <si>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</si>
  <si>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</si>
  <si>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</si>
  <si>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</si>
  <si>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</si>
  <si>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</si>
  <si>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</si>
  <si>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</si>
  <si>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</si>
  <si>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</si>
  <si>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</si>
  <si>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</si>
  <si>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</si>
  <si>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</si>
  <si>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</si>
  <si>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</si>
  <si>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</si>
  <si>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</si>
  <si>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</si>
  <si>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</si>
  <si>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</si>
  <si>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</si>
  <si>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</si>
  <si>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</si>
  <si>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</si>
  <si>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</si>
  <si>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</si>
  <si>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</si>
  <si>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</si>
  <si>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</si>
  <si>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</si>
  <si>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</si>
  <si>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</si>
  <si>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</si>
  <si>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</si>
  <si>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</si>
  <si>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</si>
  <si>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</si>
  <si>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</si>
  <si>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</si>
  <si>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</si>
  <si>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</si>
  <si>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</si>
  <si>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</si>
  <si>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</si>
  <si>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</si>
  <si>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</si>
  <si>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</si>
  <si>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</si>
  <si>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</si>
  <si>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</si>
  <si>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</si>
  <si>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</si>
  <si>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</si>
  <si>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</si>
  <si>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</si>
  <si>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</si>
  <si>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</si>
  <si>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</si>
  <si>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</si>
  <si>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</si>
  <si>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</si>
  <si>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</si>
  <si>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</si>
  <si>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</si>
  <si>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</si>
  <si>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</si>
  <si>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</si>
  <si>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</si>
  <si>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</si>
  <si>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</si>
  <si>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</si>
  <si>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</si>
  <si>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</si>
  <si>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</si>
  <si>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</si>
  <si>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</si>
  <si>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</si>
  <si>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TJX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</si>
  <si>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</si>
  <si>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</si>
  <si>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</si>
  <si>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</si>
  <si>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</si>
  <si>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</si>
  <si>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</si>
  <si>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</si>
  <si>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</si>
  <si>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</si>
  <si>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</si>
  <si>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</si>
  <si>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</si>
  <si>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</si>
  <si>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</si>
  <si>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</si>
  <si>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</si>
  <si>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</si>
  <si>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</si>
  <si>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</si>
  <si>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</si>
  <si>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</si>
  <si>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</si>
  <si>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</si>
  <si>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</si>
  <si>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</si>
  <si>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</si>
  <si>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</si>
  <si>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</si>
  <si>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</si>
  <si>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TJX owner-FCF component DCF: base case (millions, USD)</t>
  </si>
  <si>
    <t xml:space="preserve">TJX owner-FCF component DCF: bull case (millions, USD)</t>
  </si>
  <si>
    <t xml:space="preserve">TJX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</si>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</sst>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133.59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2290.121</v>
      </c>
      <c r="S2" s="0" t="n">
        <v>856.669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18336.726</v>
      </c>
      <c r="I3" s="0" t="n">
        <v>771.75</v>
      </c>
      <c r="J3" s="0" t="n">
        <v>4.20876660315478</v>
      </c>
      <c r="K3" s="0" t="n">
        <v>1.74</v>
      </c>
      <c r="L3" s="0" t="n">
        <v>1374.774</v>
      </c>
      <c r="M3" s="0" t="n">
        <v>526.987</v>
      </c>
      <c r="N3" s="0" t="n">
        <v>847.787</v>
      </c>
      <c r="O3" s="0" t="n">
        <v>2131.245</v>
      </c>
      <c r="S3" s="0" t="n">
        <v>732.612</v>
      </c>
      <c r="T3" s="0" t="n">
        <v>468.046</v>
      </c>
      <c r="U3" s="0" t="n">
        <v>57.37</v>
      </c>
      <c r="V3" s="0" t="n">
        <v>0.36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18999.505</v>
      </c>
      <c r="I4" s="0" t="n">
        <v>880.617</v>
      </c>
      <c r="J4" s="0" t="n">
        <v>4.63494706835783</v>
      </c>
      <c r="K4" s="0" t="n">
        <v>2.1</v>
      </c>
      <c r="L4" s="0" t="n">
        <v>1154.572</v>
      </c>
      <c r="M4" s="0" t="n">
        <v>582.932</v>
      </c>
      <c r="N4" s="0" t="n">
        <v>571.64</v>
      </c>
      <c r="O4" s="0" t="n">
        <v>2134.557</v>
      </c>
      <c r="P4" s="0" t="n">
        <v>6178.242</v>
      </c>
      <c r="R4" s="0" t="n">
        <v>758.435</v>
      </c>
      <c r="S4" s="0" t="n">
        <v>453.527</v>
      </c>
      <c r="T4" s="0" t="n">
        <v>442.255</v>
      </c>
      <c r="U4" s="0" t="n">
        <v>51.229</v>
      </c>
      <c r="V4" s="0" t="n">
        <v>0.44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20288.444</v>
      </c>
      <c r="I5" s="0" t="n">
        <v>1213.572</v>
      </c>
      <c r="J5" s="0" t="n">
        <v>5.98159227982195</v>
      </c>
      <c r="K5" s="0" t="n">
        <v>1.45</v>
      </c>
      <c r="L5" s="0" t="n">
        <v>2271.926</v>
      </c>
      <c r="M5" s="0" t="n">
        <v>429.282</v>
      </c>
      <c r="N5" s="0" t="n">
        <v>1842.644</v>
      </c>
      <c r="O5" s="0" t="n">
        <v>2889.276</v>
      </c>
      <c r="P5" s="0" t="n">
        <v>7463.977</v>
      </c>
      <c r="R5" s="0" t="n">
        <v>774.325</v>
      </c>
      <c r="S5" s="0" t="n">
        <v>1614.607</v>
      </c>
      <c r="T5" s="0" t="n">
        <v>855.239</v>
      </c>
      <c r="U5" s="0" t="n">
        <v>55.145</v>
      </c>
      <c r="V5" s="0" t="n">
        <v>0.24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21942.193</v>
      </c>
      <c r="F6" s="0" t="n">
        <v>10.297</v>
      </c>
      <c r="G6" s="0" t="n">
        <v>0.0469278526535611</v>
      </c>
      <c r="H6" s="0" t="n">
        <v>468.349</v>
      </c>
      <c r="I6" s="0" t="n">
        <v>1343.141</v>
      </c>
      <c r="J6" s="0" t="n">
        <v>6.12127055850799</v>
      </c>
      <c r="K6" s="0" t="n">
        <v>1.68</v>
      </c>
      <c r="L6" s="0" t="n">
        <v>1976.481</v>
      </c>
      <c r="M6" s="0" t="n">
        <v>707.134</v>
      </c>
      <c r="N6" s="0" t="n">
        <v>1269.347</v>
      </c>
      <c r="O6" s="0" t="n">
        <v>3099.899</v>
      </c>
      <c r="P6" s="0" t="n">
        <v>7971.763</v>
      </c>
      <c r="R6" s="0" t="n">
        <v>774.4</v>
      </c>
      <c r="S6" s="0" t="n">
        <v>1741.751</v>
      </c>
      <c r="T6" s="0" t="n">
        <v>812.826</v>
      </c>
      <c r="U6" s="0" t="n">
        <v>58.804</v>
      </c>
      <c r="V6" s="0" t="n">
        <v>0.3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23191.455</v>
      </c>
      <c r="F7" s="0" t="n">
        <v>-16.605</v>
      </c>
      <c r="G7" s="0" t="n">
        <v>-0.0715996473701197</v>
      </c>
      <c r="H7" s="0" t="n">
        <v>469.096</v>
      </c>
      <c r="I7" s="0" t="n">
        <v>1496.09</v>
      </c>
      <c r="J7" s="0" t="n">
        <v>6.45103983342141</v>
      </c>
      <c r="K7" s="0" t="n">
        <v>1.97</v>
      </c>
      <c r="L7" s="0" t="n">
        <v>1916.034</v>
      </c>
      <c r="M7" s="0" t="n">
        <v>803.33</v>
      </c>
      <c r="N7" s="0" t="n">
        <v>1112.704</v>
      </c>
      <c r="O7" s="0" t="n">
        <v>3209.29</v>
      </c>
      <c r="P7" s="0" t="n">
        <v>8281.605</v>
      </c>
      <c r="R7" s="0" t="n">
        <v>774.476</v>
      </c>
      <c r="S7" s="0" t="n">
        <v>1507.112</v>
      </c>
      <c r="T7" s="0" t="n">
        <v>773.772</v>
      </c>
      <c r="U7" s="0" t="n">
        <v>64.175</v>
      </c>
      <c r="V7" s="0" t="n">
        <v>0.38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25878.372</v>
      </c>
      <c r="F8" s="0" t="n">
        <v>3441.524</v>
      </c>
      <c r="G8" s="0" t="n">
        <v>13.2988427556417</v>
      </c>
      <c r="H8" s="0" t="n">
        <v>3950.453</v>
      </c>
      <c r="I8" s="0" t="n">
        <v>1906.687</v>
      </c>
      <c r="J8" s="0" t="n">
        <v>7.36787847396274</v>
      </c>
      <c r="K8" s="0" t="n">
        <v>2.6</v>
      </c>
      <c r="L8" s="0" t="n">
        <v>3045.614</v>
      </c>
      <c r="M8" s="0" t="n">
        <v>978.228</v>
      </c>
      <c r="N8" s="0" t="n">
        <v>2067.386</v>
      </c>
      <c r="O8" s="0" t="n">
        <v>3665.937</v>
      </c>
      <c r="P8" s="0" t="n">
        <v>9511.855</v>
      </c>
      <c r="R8" s="0" t="n">
        <v>774.6</v>
      </c>
      <c r="S8" s="0" t="n">
        <v>1811.957</v>
      </c>
      <c r="T8" s="0" t="n">
        <v>747.555</v>
      </c>
      <c r="U8" s="0" t="n">
        <v>64.416</v>
      </c>
      <c r="V8" s="0" t="n">
        <v>0.46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27422.696</v>
      </c>
      <c r="F9" s="0" t="n">
        <v>3680.05</v>
      </c>
      <c r="G9" s="0" t="n">
        <v>13.4197235749541</v>
      </c>
      <c r="H9" s="0" t="n">
        <v>4228.873</v>
      </c>
      <c r="I9" s="0" t="n">
        <v>2137.396</v>
      </c>
      <c r="J9" s="0" t="n">
        <v>7.79425917860155</v>
      </c>
      <c r="K9" s="0" t="n">
        <v>3</v>
      </c>
      <c r="L9" s="0" t="n">
        <v>2590.329</v>
      </c>
      <c r="M9" s="0" t="n">
        <v>946.678</v>
      </c>
      <c r="N9" s="0" t="n">
        <v>1643.651</v>
      </c>
      <c r="O9" s="0" t="n">
        <v>4229.893</v>
      </c>
      <c r="P9" s="0" t="n">
        <v>10097.667</v>
      </c>
      <c r="R9" s="0" t="n">
        <v>1270</v>
      </c>
      <c r="S9" s="0" t="n">
        <v>2149.746</v>
      </c>
      <c r="T9" s="0" t="n">
        <v>726.376</v>
      </c>
      <c r="U9" s="0" t="n">
        <v>76.1</v>
      </c>
      <c r="V9" s="0" t="n">
        <v>0.58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29078.407</v>
      </c>
      <c r="F10" s="0" t="n">
        <v>3930.915</v>
      </c>
      <c r="G10" s="0" t="n">
        <v>13.5183299415267</v>
      </c>
      <c r="H10" s="0" t="n">
        <v>4519.89</v>
      </c>
      <c r="I10" s="0" t="n">
        <v>2215.128</v>
      </c>
      <c r="J10" s="0" t="n">
        <v>7.61777631078622</v>
      </c>
      <c r="K10" s="0" t="n">
        <v>3.2</v>
      </c>
      <c r="M10" s="0" t="n">
        <v>911.522</v>
      </c>
      <c r="O10" s="0" t="n">
        <v>4264.23</v>
      </c>
      <c r="P10" s="0" t="n">
        <v>10977.993</v>
      </c>
      <c r="R10" s="0" t="n">
        <v>1615.003</v>
      </c>
      <c r="S10" s="0" t="n">
        <v>2493.775</v>
      </c>
      <c r="T10" s="0" t="n">
        <v>703.545</v>
      </c>
      <c r="U10" s="0" t="n">
        <v>88.014</v>
      </c>
      <c r="V10" s="0" t="n">
        <v>0.7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30944.938</v>
      </c>
      <c r="F11" s="0" t="n">
        <v>4100.343</v>
      </c>
      <c r="G11" s="0" t="n">
        <v>13.2504482639455</v>
      </c>
      <c r="H11" s="0" t="n">
        <v>4717.039</v>
      </c>
      <c r="I11" s="0" t="n">
        <v>2277.658</v>
      </c>
      <c r="J11" s="0" t="n">
        <v>7.36035729010024</v>
      </c>
      <c r="K11" s="0" t="n">
        <v>3.38</v>
      </c>
      <c r="M11" s="0" t="n">
        <v>889.38</v>
      </c>
      <c r="O11" s="0" t="n">
        <v>4307.075</v>
      </c>
      <c r="P11" s="0" t="n">
        <v>11490.431</v>
      </c>
      <c r="R11" s="0" t="n">
        <v>1620</v>
      </c>
      <c r="S11" s="0" t="n">
        <v>2095.473</v>
      </c>
      <c r="T11" s="0" t="n">
        <v>683.251</v>
      </c>
      <c r="U11" s="0" t="n">
        <v>94.107</v>
      </c>
      <c r="V11" s="0" t="n">
        <v>0.84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33183.744</v>
      </c>
      <c r="C12" s="0" t="n">
        <v>23565.754</v>
      </c>
      <c r="F12" s="0" t="n">
        <v>4257.759</v>
      </c>
      <c r="G12" s="0" t="n">
        <v>12.8308577838595</v>
      </c>
      <c r="H12" s="0" t="n">
        <v>4916.555</v>
      </c>
      <c r="I12" s="0" t="n">
        <v>2298.234</v>
      </c>
      <c r="J12" s="0" t="n">
        <v>6.92578269649139</v>
      </c>
      <c r="K12" s="0" t="n">
        <v>1.75</v>
      </c>
      <c r="L12" s="0" t="n">
        <v>3626.859</v>
      </c>
      <c r="M12" s="0" t="n">
        <v>1024.747</v>
      </c>
      <c r="N12" s="0" t="n">
        <v>2602.112</v>
      </c>
      <c r="O12" s="0" t="n">
        <v>4510.599</v>
      </c>
      <c r="P12" s="0" t="n">
        <v>12883.808</v>
      </c>
      <c r="R12" s="0" t="n">
        <v>2227.599</v>
      </c>
      <c r="S12" s="0" t="n">
        <v>2929.849</v>
      </c>
      <c r="T12" s="0" t="n">
        <v>1328.864</v>
      </c>
      <c r="U12" s="0" t="n">
        <v>102.3</v>
      </c>
      <c r="V12" s="0" t="n">
        <v>0.52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35864.664</v>
      </c>
      <c r="C13" s="0" t="n">
        <v>25502.167</v>
      </c>
      <c r="F13" s="0" t="n">
        <v>4403.208</v>
      </c>
      <c r="G13" s="0" t="n">
        <v>12.2772877504164</v>
      </c>
      <c r="H13" s="0" t="n">
        <v>5129.165</v>
      </c>
      <c r="I13" s="0" t="n">
        <v>2607.948</v>
      </c>
      <c r="J13" s="0" t="n">
        <v>7.27163650550302</v>
      </c>
      <c r="K13" s="0" t="n">
        <v>2.05</v>
      </c>
      <c r="L13" s="0" t="n">
        <v>3025.624</v>
      </c>
      <c r="M13" s="0" t="n">
        <v>1057.617</v>
      </c>
      <c r="N13" s="0" t="n">
        <v>1968.007</v>
      </c>
      <c r="O13" s="0" t="n">
        <v>5148.309</v>
      </c>
      <c r="P13" s="0" t="n">
        <v>14058.015</v>
      </c>
      <c r="R13" s="0" t="n">
        <v>2230.607</v>
      </c>
      <c r="S13" s="0" t="n">
        <v>2758.477</v>
      </c>
      <c r="T13" s="0" t="n">
        <v>1292.209</v>
      </c>
      <c r="U13" s="0" t="n">
        <v>101.4</v>
      </c>
      <c r="V13" s="0" t="n">
        <v>0.63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38972.934</v>
      </c>
      <c r="C14" s="0" t="n">
        <v>27831.177</v>
      </c>
      <c r="F14" s="0" t="n">
        <v>4763.227</v>
      </c>
      <c r="G14" s="0" t="n">
        <v>12.2218845519816</v>
      </c>
      <c r="H14" s="0" t="n">
        <v>5582.882</v>
      </c>
      <c r="I14" s="0" t="n">
        <v>3059.798</v>
      </c>
      <c r="J14" s="0" t="n">
        <v>7.85108455011368</v>
      </c>
      <c r="K14" s="0" t="n">
        <v>2.47</v>
      </c>
      <c r="L14" s="0" t="n">
        <v>4088.459</v>
      </c>
      <c r="M14" s="0" t="n">
        <v>1125.139</v>
      </c>
      <c r="N14" s="0" t="n">
        <v>2963.32</v>
      </c>
      <c r="O14" s="0" t="n">
        <v>5048.606</v>
      </c>
      <c r="P14" s="0" t="n">
        <v>14326.029</v>
      </c>
      <c r="R14" s="0" t="n">
        <v>2233.616</v>
      </c>
      <c r="S14" s="0" t="n">
        <v>3030.229</v>
      </c>
      <c r="T14" s="0" t="n">
        <v>1259.252</v>
      </c>
      <c r="U14" s="0" t="n">
        <v>104</v>
      </c>
      <c r="V14" s="0" t="n">
        <v>0.78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41716.977</v>
      </c>
      <c r="C15" s="0" t="n">
        <v>29845.78</v>
      </c>
      <c r="I15" s="0" t="n">
        <v>3272.193</v>
      </c>
      <c r="J15" s="0" t="n">
        <v>7.84379222876097</v>
      </c>
      <c r="K15" s="0" t="n">
        <v>2.71</v>
      </c>
      <c r="L15" s="0" t="n">
        <v>4066.54</v>
      </c>
      <c r="M15" s="0" t="n">
        <v>1223.116</v>
      </c>
      <c r="N15" s="0" t="n">
        <v>2843.424</v>
      </c>
      <c r="O15" s="0" t="n">
        <v>5948</v>
      </c>
      <c r="P15" s="0" t="n">
        <v>24145.003</v>
      </c>
      <c r="R15" s="0" t="n">
        <v>2236.625</v>
      </c>
      <c r="S15" s="0" t="n">
        <v>3216.752</v>
      </c>
      <c r="T15" s="0" t="n">
        <v>1226.519</v>
      </c>
      <c r="U15" s="0" t="n">
        <v>125</v>
      </c>
      <c r="V15" s="0" t="n">
        <v>0.92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32137</v>
      </c>
      <c r="C16" s="0" t="n">
        <v>24534</v>
      </c>
      <c r="I16" s="0" t="n">
        <v>90</v>
      </c>
      <c r="J16" s="0" t="n">
        <v>0.2800510315213</v>
      </c>
      <c r="K16" s="0" t="n">
        <v>0.08</v>
      </c>
      <c r="L16" s="0" t="n">
        <v>4562</v>
      </c>
      <c r="M16" s="0" t="n">
        <v>568</v>
      </c>
      <c r="N16" s="0" t="n">
        <v>3994</v>
      </c>
      <c r="O16" s="0" t="n">
        <v>5833</v>
      </c>
      <c r="P16" s="0" t="n">
        <v>30814</v>
      </c>
      <c r="R16" s="0" t="n">
        <v>6082.605</v>
      </c>
      <c r="S16" s="0" t="n">
        <v>10469.57</v>
      </c>
      <c r="T16" s="0" t="n">
        <v>1215</v>
      </c>
      <c r="U16" s="0" t="n">
        <v>59</v>
      </c>
      <c r="V16" s="0" t="n">
        <v>0.26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48550</v>
      </c>
      <c r="C17" s="0" t="n">
        <v>34714</v>
      </c>
      <c r="I17" s="0" t="n">
        <v>3283</v>
      </c>
      <c r="J17" s="0" t="n">
        <v>6.76210092687951</v>
      </c>
      <c r="K17" s="0" t="n">
        <v>2.74</v>
      </c>
      <c r="L17" s="0" t="n">
        <v>3057</v>
      </c>
      <c r="M17" s="0" t="n">
        <v>1045</v>
      </c>
      <c r="N17" s="0" t="n">
        <v>2012</v>
      </c>
      <c r="O17" s="0" t="n">
        <v>6003</v>
      </c>
      <c r="P17" s="0" t="n">
        <v>28461</v>
      </c>
      <c r="R17" s="0" t="n">
        <v>3355</v>
      </c>
      <c r="S17" s="0" t="n">
        <v>6227</v>
      </c>
      <c r="T17" s="0" t="n">
        <v>1216</v>
      </c>
      <c r="U17" s="0" t="n">
        <v>189</v>
      </c>
      <c r="V17" s="0" t="n">
        <v>1.04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49936</v>
      </c>
      <c r="C18" s="0" t="n">
        <v>36149</v>
      </c>
      <c r="I18" s="0" t="n">
        <v>3498</v>
      </c>
      <c r="J18" s="0" t="n">
        <v>7.00496635693688</v>
      </c>
      <c r="K18" s="0" t="n">
        <v>3</v>
      </c>
      <c r="L18" s="0" t="n">
        <v>4084</v>
      </c>
      <c r="M18" s="0" t="n">
        <v>1457</v>
      </c>
      <c r="N18" s="0" t="n">
        <v>2627</v>
      </c>
      <c r="O18" s="0" t="n">
        <v>6364</v>
      </c>
      <c r="P18" s="0" t="n">
        <v>28349</v>
      </c>
      <c r="R18" s="0" t="n">
        <v>3359</v>
      </c>
      <c r="S18" s="0" t="n">
        <v>5477</v>
      </c>
      <c r="T18" s="0" t="n">
        <v>1178</v>
      </c>
      <c r="U18" s="0" t="n">
        <v>122</v>
      </c>
      <c r="V18" s="0" t="n">
        <v>1.18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54217</v>
      </c>
      <c r="C19" s="0" t="n">
        <v>37951</v>
      </c>
      <c r="I19" s="0" t="n">
        <v>4474</v>
      </c>
      <c r="J19" s="0" t="n">
        <v>8.25202427282956</v>
      </c>
      <c r="K19" s="0" t="n">
        <v>3.9</v>
      </c>
      <c r="L19" s="0" t="n">
        <v>6057</v>
      </c>
      <c r="M19" s="0" t="n">
        <v>1722</v>
      </c>
      <c r="N19" s="0" t="n">
        <v>4335</v>
      </c>
      <c r="O19" s="0" t="n">
        <v>7302</v>
      </c>
      <c r="P19" s="0" t="n">
        <v>29747</v>
      </c>
      <c r="R19" s="0" t="n">
        <v>2862</v>
      </c>
      <c r="S19" s="0" t="n">
        <v>5600</v>
      </c>
      <c r="T19" s="0" t="n">
        <v>1159</v>
      </c>
      <c r="U19" s="0" t="n">
        <v>160</v>
      </c>
      <c r="V19" s="0" t="n">
        <v>1.33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56360</v>
      </c>
      <c r="C20" s="0" t="n">
        <v>39112</v>
      </c>
      <c r="I20" s="0" t="n">
        <v>4864</v>
      </c>
      <c r="J20" s="0" t="n">
        <v>8.63023420865862</v>
      </c>
      <c r="K20" s="0" t="n">
        <v>4.31</v>
      </c>
      <c r="L20" s="0" t="n">
        <v>6116</v>
      </c>
      <c r="M20" s="0" t="n">
        <v>1918</v>
      </c>
      <c r="N20" s="0" t="n">
        <v>4198</v>
      </c>
      <c r="O20" s="0" t="n">
        <v>8393</v>
      </c>
      <c r="P20" s="0" t="n">
        <v>31749</v>
      </c>
      <c r="R20" s="0" t="n">
        <v>2866</v>
      </c>
      <c r="S20" s="0" t="n">
        <v>5335</v>
      </c>
      <c r="T20" s="0" t="n">
        <v>1142</v>
      </c>
      <c r="U20" s="0" t="n">
        <v>183</v>
      </c>
      <c r="V20" s="0" t="n">
        <v>1.5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60372</v>
      </c>
      <c r="C21" s="0" t="n">
        <v>41679</v>
      </c>
      <c r="I21" s="0" t="n">
        <v>5494</v>
      </c>
      <c r="J21" s="0" t="n">
        <v>9.10024514675678</v>
      </c>
      <c r="K21" s="0" t="n">
        <v>4.93</v>
      </c>
      <c r="L21" s="0" t="n">
        <v>6874</v>
      </c>
      <c r="M21" s="0" t="n">
        <v>1957</v>
      </c>
      <c r="N21" s="0" t="n">
        <v>4917</v>
      </c>
      <c r="O21" s="0" t="n">
        <v>10190</v>
      </c>
      <c r="P21" s="0" t="n">
        <v>35767</v>
      </c>
      <c r="R21" s="0" t="n">
        <v>2869</v>
      </c>
      <c r="S21" s="0" t="n">
        <v>6230</v>
      </c>
      <c r="T21" s="0" t="n">
        <v>1128</v>
      </c>
      <c r="U21" s="0" t="n">
        <v>214</v>
      </c>
      <c r="V21" s="0" t="n">
        <v>1.7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133.59</v>
      </c>
    </row>
    <row r="3" customFormat="false" ht="15" hidden="false" customHeight="false" outlineLevel="0" collapsed="false">
      <c r="A3" s="0" t="s">
        <v>86</v>
      </c>
      <c r="B3" s="3" t="n">
        <v>1117</v>
      </c>
    </row>
    <row r="4" customFormat="false" ht="15" hidden="false" customHeight="false" outlineLevel="0" collapsed="false">
      <c r="A4" s="0" t="s">
        <v>87</v>
      </c>
      <c r="B4" s="3" t="n">
        <v>-3133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60372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4.5</v>
      </c>
      <c r="D13" s="3" t="n">
        <v>1.5</v>
      </c>
      <c r="E13" s="3" t="n">
        <v>2.5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14.6</v>
      </c>
      <c r="D14" s="3" t="n">
        <v>13.8</v>
      </c>
      <c r="E14" s="3" t="n">
        <v>13.6</v>
      </c>
      <c r="F14" s="3" t="n">
        <v>13.6</v>
      </c>
      <c r="G14" s="3" t="n">
        <v>13.6</v>
      </c>
      <c r="H14" s="3" t="n">
        <v>13.6</v>
      </c>
      <c r="I14" s="3" t="n">
        <v>13.6</v>
      </c>
      <c r="J14" s="3" t="n">
        <v>13.6</v>
      </c>
      <c r="K14" s="3" t="n">
        <v>13.6</v>
      </c>
      <c r="L14" s="3" t="n">
        <v>13.6</v>
      </c>
    </row>
    <row r="15" customFormat="false" ht="15" hidden="false" customHeight="false" outlineLevel="0" collapsed="false">
      <c r="A15" s="0" t="s">
        <v>108</v>
      </c>
      <c r="C15" s="3" t="n">
        <v>0.36</v>
      </c>
      <c r="D15" s="3" t="n">
        <v>0.36</v>
      </c>
      <c r="E15" s="3" t="n">
        <v>0.36</v>
      </c>
      <c r="F15" s="3" t="n">
        <v>0.36</v>
      </c>
      <c r="G15" s="3" t="n">
        <v>0.36</v>
      </c>
      <c r="H15" s="3" t="n">
        <v>0.36</v>
      </c>
      <c r="I15" s="3" t="n">
        <v>0.36</v>
      </c>
      <c r="J15" s="3" t="n">
        <v>0.36</v>
      </c>
      <c r="K15" s="3" t="n">
        <v>0.36</v>
      </c>
      <c r="L15" s="3" t="n">
        <v>0.36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2.25</v>
      </c>
      <c r="D17" s="3" t="n">
        <v>2.35</v>
      </c>
      <c r="E17" s="3" t="n">
        <v>2.45</v>
      </c>
      <c r="F17" s="3" t="n">
        <v>2.5</v>
      </c>
      <c r="G17" s="3" t="n">
        <v>2.5</v>
      </c>
      <c r="H17" s="3" t="n">
        <v>2.5</v>
      </c>
      <c r="I17" s="3" t="n">
        <v>2.5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111</v>
      </c>
      <c r="C18" s="3" t="n">
        <v>3.6</v>
      </c>
      <c r="D18" s="3" t="n">
        <v>3.3</v>
      </c>
      <c r="E18" s="3" t="n">
        <v>3.1</v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112</v>
      </c>
      <c r="C19" s="3" t="n">
        <v>24.5</v>
      </c>
      <c r="D19" s="3" t="n">
        <v>24.5</v>
      </c>
      <c r="E19" s="3" t="n">
        <v>24.5</v>
      </c>
      <c r="F19" s="3" t="n">
        <v>24.5</v>
      </c>
      <c r="G19" s="3" t="n">
        <v>24.5</v>
      </c>
      <c r="H19" s="3" t="n">
        <v>24.5</v>
      </c>
      <c r="I19" s="3" t="n">
        <v>24.5</v>
      </c>
      <c r="J19" s="3" t="n">
        <v>24.5</v>
      </c>
      <c r="K19" s="3" t="n">
        <v>24.5</v>
      </c>
      <c r="L19" s="3" t="n">
        <v>24.5</v>
      </c>
    </row>
    <row r="20" customFormat="false" ht="15" hidden="false" customHeight="false" outlineLevel="0" collapsed="false">
      <c r="A20" s="0" t="s">
        <v>113</v>
      </c>
      <c r="B20" s="3" t="n">
        <v>8.5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16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5.5</v>
      </c>
      <c r="D27" s="3" t="n">
        <v>6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14.8</v>
      </c>
      <c r="D28" s="3" t="n">
        <v>15</v>
      </c>
      <c r="E28" s="3" t="n">
        <v>15.1</v>
      </c>
      <c r="F28" s="3" t="n">
        <v>15.2</v>
      </c>
      <c r="G28" s="3" t="n">
        <v>15.3</v>
      </c>
      <c r="H28" s="3" t="n">
        <v>15.3</v>
      </c>
      <c r="I28" s="3" t="n">
        <v>15.3</v>
      </c>
      <c r="J28" s="3" t="n">
        <v>15.3</v>
      </c>
      <c r="K28" s="3" t="n">
        <v>15.3</v>
      </c>
      <c r="L28" s="3" t="n">
        <v>15.3</v>
      </c>
    </row>
    <row r="29" customFormat="false" ht="15" hidden="false" customHeight="false" outlineLevel="0" collapsed="false">
      <c r="A29" s="0" t="s">
        <v>108</v>
      </c>
      <c r="C29" s="3" t="n">
        <v>0.36</v>
      </c>
      <c r="D29" s="3" t="n">
        <v>0.36</v>
      </c>
      <c r="E29" s="3" t="n">
        <v>0.36</v>
      </c>
      <c r="F29" s="3" t="n">
        <v>0.36</v>
      </c>
      <c r="G29" s="3" t="n">
        <v>0.36</v>
      </c>
      <c r="H29" s="3" t="n">
        <v>0.36</v>
      </c>
      <c r="I29" s="3" t="n">
        <v>0.36</v>
      </c>
      <c r="J29" s="3" t="n">
        <v>0.36</v>
      </c>
      <c r="K29" s="3" t="n">
        <v>0.36</v>
      </c>
      <c r="L29" s="3" t="n">
        <v>0.36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2.25</v>
      </c>
      <c r="D31" s="3" t="n">
        <v>2.3</v>
      </c>
      <c r="E31" s="3" t="n">
        <v>2.35</v>
      </c>
      <c r="F31" s="3" t="n">
        <v>2.4</v>
      </c>
      <c r="G31" s="3" t="n">
        <v>2.45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111</v>
      </c>
      <c r="C32" s="3" t="n">
        <v>3.6</v>
      </c>
      <c r="D32" s="3" t="n">
        <v>3.6</v>
      </c>
      <c r="E32" s="3" t="n">
        <v>3.6</v>
      </c>
      <c r="F32" s="3" t="n">
        <v>3.5</v>
      </c>
      <c r="G32" s="3" t="n">
        <v>3.4</v>
      </c>
      <c r="H32" s="3" t="n">
        <v>3.3</v>
      </c>
      <c r="I32" s="3" t="n">
        <v>3.2</v>
      </c>
      <c r="J32" s="3" t="n">
        <v>3.1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112</v>
      </c>
      <c r="C33" s="3" t="n">
        <v>24.5</v>
      </c>
      <c r="D33" s="3" t="n">
        <v>24.5</v>
      </c>
      <c r="E33" s="3" t="n">
        <v>24.5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113</v>
      </c>
      <c r="B34" s="3" t="n">
        <v>8.5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6.5</v>
      </c>
      <c r="D41" s="3" t="n">
        <v>7.5</v>
      </c>
      <c r="E41" s="3" t="n">
        <v>7.5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15</v>
      </c>
      <c r="D42" s="3" t="n">
        <v>15.4</v>
      </c>
      <c r="E42" s="3" t="n">
        <v>15.7</v>
      </c>
      <c r="F42" s="3" t="n">
        <v>16</v>
      </c>
      <c r="G42" s="3" t="n">
        <v>16.2</v>
      </c>
      <c r="H42" s="3" t="n">
        <v>16.4</v>
      </c>
      <c r="I42" s="3" t="n">
        <v>16.5</v>
      </c>
      <c r="J42" s="3" t="n">
        <v>16.5</v>
      </c>
      <c r="K42" s="3" t="n">
        <v>16.5</v>
      </c>
      <c r="L42" s="3" t="n">
        <v>16.5</v>
      </c>
    </row>
    <row r="43" customFormat="false" ht="15" hidden="false" customHeight="false" outlineLevel="0" collapsed="false">
      <c r="A43" s="0" t="s">
        <v>108</v>
      </c>
      <c r="C43" s="3" t="n">
        <v>0.36</v>
      </c>
      <c r="D43" s="3" t="n">
        <v>0.36</v>
      </c>
      <c r="E43" s="3" t="n">
        <v>0.36</v>
      </c>
      <c r="F43" s="3" t="n">
        <v>0.36</v>
      </c>
      <c r="G43" s="3" t="n">
        <v>0.36</v>
      </c>
      <c r="H43" s="3" t="n">
        <v>0.36</v>
      </c>
      <c r="I43" s="3" t="n">
        <v>0.36</v>
      </c>
      <c r="J43" s="3" t="n">
        <v>0.36</v>
      </c>
      <c r="K43" s="3" t="n">
        <v>0.36</v>
      </c>
      <c r="L43" s="3" t="n">
        <v>0.36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2.25</v>
      </c>
      <c r="D45" s="3" t="n">
        <v>2.3</v>
      </c>
      <c r="E45" s="3" t="n">
        <v>2.35</v>
      </c>
      <c r="F45" s="3" t="n">
        <v>2.4</v>
      </c>
      <c r="G45" s="3" t="n">
        <v>2.45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111</v>
      </c>
      <c r="C46" s="3" t="n">
        <v>3.7</v>
      </c>
      <c r="D46" s="3" t="n">
        <v>3.8</v>
      </c>
      <c r="E46" s="3" t="n">
        <v>3.8</v>
      </c>
      <c r="F46" s="3" t="n">
        <v>3.7</v>
      </c>
      <c r="G46" s="3" t="n">
        <v>3.6</v>
      </c>
      <c r="H46" s="3" t="n">
        <v>3.4</v>
      </c>
      <c r="I46" s="3" t="n">
        <v>3.3</v>
      </c>
      <c r="J46" s="3" t="n">
        <v>3.1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112</v>
      </c>
      <c r="C47" s="3" t="n">
        <v>24.5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113</v>
      </c>
      <c r="B48" s="3" t="n">
        <v>8.5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22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4.5</v>
      </c>
      <c r="D5" s="4" t="n">
        <f aca="false">Assumptions!D13</f>
        <v>1.5</v>
      </c>
      <c r="E5" s="4" t="n">
        <f aca="false">Assumptions!E13</f>
        <v>2.5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60372</v>
      </c>
      <c r="C6" s="0" t="n">
        <f aca="false">B6*(1+C5/100)</f>
        <v>63088.74</v>
      </c>
      <c r="D6" s="0" t="n">
        <f aca="false">C6*(1+D5/100)</f>
        <v>64035.0711</v>
      </c>
      <c r="E6" s="0" t="n">
        <f aca="false">D6*(1+E5/100)</f>
        <v>65635.9478775</v>
      </c>
      <c r="F6" s="0" t="n">
        <f aca="false">E6*(1+F5/100)</f>
        <v>67605.026313825</v>
      </c>
      <c r="G6" s="0" t="n">
        <f aca="false">F6*(1+G5/100)</f>
        <v>69633.1771032397</v>
      </c>
      <c r="H6" s="0" t="n">
        <f aca="false">G6*(1+H5/100)</f>
        <v>71722.1724163369</v>
      </c>
      <c r="I6" s="0" t="n">
        <f aca="false">H6*(1+I5/100)</f>
        <v>73515.2267267454</v>
      </c>
      <c r="J6" s="0" t="n">
        <f aca="false">I6*(1+J5/100)</f>
        <v>75353.107394914</v>
      </c>
      <c r="K6" s="0" t="n">
        <f aca="false">J6*(1+K5/100)</f>
        <v>77236.9350797868</v>
      </c>
      <c r="L6" s="0" t="n">
        <f aca="false">K6*(1+L5/100)</f>
        <v>79167.8584567815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14.6</v>
      </c>
      <c r="D7" s="4" t="n">
        <f aca="false">Assumptions!D14</f>
        <v>13.8</v>
      </c>
      <c r="E7" s="4" t="n">
        <f aca="false">Assumptions!E14</f>
        <v>13.6</v>
      </c>
      <c r="F7" s="4" t="n">
        <f aca="false">Assumptions!F14</f>
        <v>13.6</v>
      </c>
      <c r="G7" s="4" t="n">
        <f aca="false">Assumptions!G14</f>
        <v>13.6</v>
      </c>
      <c r="H7" s="4" t="n">
        <f aca="false">Assumptions!H14</f>
        <v>13.6</v>
      </c>
      <c r="I7" s="4" t="n">
        <f aca="false">Assumptions!I14</f>
        <v>13.6</v>
      </c>
      <c r="J7" s="4" t="n">
        <f aca="false">Assumptions!J14</f>
        <v>13.6</v>
      </c>
      <c r="K7" s="4" t="n">
        <f aca="false">Assumptions!K14</f>
        <v>13.6</v>
      </c>
      <c r="L7" s="4" t="n">
        <f aca="false">Assumptions!L14</f>
        <v>13.6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9210.95604</v>
      </c>
      <c r="D8" s="0" t="n">
        <f aca="false">D6*D7/100</f>
        <v>8836.8398118</v>
      </c>
      <c r="E8" s="0" t="n">
        <f aca="false">E6*E7/100</f>
        <v>8926.48891134</v>
      </c>
      <c r="F8" s="0" t="n">
        <f aca="false">F6*F7/100</f>
        <v>9194.2835786802</v>
      </c>
      <c r="G8" s="0" t="n">
        <f aca="false">G6*G7/100</f>
        <v>9470.1120860406</v>
      </c>
      <c r="H8" s="0" t="n">
        <f aca="false">H6*H7/100</f>
        <v>9754.21544862182</v>
      </c>
      <c r="I8" s="0" t="n">
        <f aca="false">I6*I7/100</f>
        <v>9998.07083483737</v>
      </c>
      <c r="J8" s="0" t="n">
        <f aca="false">J6*J7/100</f>
        <v>10248.0226057083</v>
      </c>
      <c r="K8" s="0" t="n">
        <f aca="false">K6*K7/100</f>
        <v>10504.223170851</v>
      </c>
      <c r="L8" s="0" t="n">
        <f aca="false">L6*L7/100</f>
        <v>10766.8287501223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0.36</v>
      </c>
      <c r="D9" s="4" t="n">
        <f aca="false">Assumptions!D15</f>
        <v>0.36</v>
      </c>
      <c r="E9" s="4" t="n">
        <f aca="false">Assumptions!E15</f>
        <v>0.36</v>
      </c>
      <c r="F9" s="4" t="n">
        <f aca="false">Assumptions!F15</f>
        <v>0.36</v>
      </c>
      <c r="G9" s="4" t="n">
        <f aca="false">Assumptions!G15</f>
        <v>0.36</v>
      </c>
      <c r="H9" s="4" t="n">
        <f aca="false">Assumptions!H15</f>
        <v>0.36</v>
      </c>
      <c r="I9" s="4" t="n">
        <f aca="false">Assumptions!I15</f>
        <v>0.36</v>
      </c>
      <c r="J9" s="4" t="n">
        <f aca="false">Assumptions!J15</f>
        <v>0.36</v>
      </c>
      <c r="K9" s="4" t="n">
        <f aca="false">Assumptions!K15</f>
        <v>0.36</v>
      </c>
      <c r="L9" s="4" t="n">
        <f aca="false">Assumptions!L15</f>
        <v>0.36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-227.119464</v>
      </c>
      <c r="D10" s="0" t="n">
        <f aca="false">-D6*D9/100</f>
        <v>-230.52625596</v>
      </c>
      <c r="E10" s="0" t="n">
        <f aca="false">-E6*E9/100</f>
        <v>-236.289412359</v>
      </c>
      <c r="F10" s="0" t="n">
        <f aca="false">-F6*F9/100</f>
        <v>-243.37809472977</v>
      </c>
      <c r="G10" s="0" t="n">
        <f aca="false">-G6*G9/100</f>
        <v>-250.679437571663</v>
      </c>
      <c r="H10" s="0" t="n">
        <f aca="false">-H6*H9/100</f>
        <v>-258.199820698813</v>
      </c>
      <c r="I10" s="0" t="n">
        <f aca="false">-I6*I9/100</f>
        <v>-264.654816216283</v>
      </c>
      <c r="J10" s="0" t="n">
        <f aca="false">-J6*J9/100</f>
        <v>-271.27118662169</v>
      </c>
      <c r="K10" s="0" t="n">
        <f aca="false">-K6*K9/100</f>
        <v>-278.052966287233</v>
      </c>
      <c r="L10" s="0" t="n">
        <f aca="false">-L6*L9/100</f>
        <v>-285.004290444413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8983.836576</v>
      </c>
      <c r="D11" s="0" t="n">
        <f aca="false">D8+D10+D24</f>
        <v>8606.31355584</v>
      </c>
      <c r="E11" s="0" t="n">
        <f aca="false">E8+E10+E24</f>
        <v>8690.199498981</v>
      </c>
      <c r="F11" s="0" t="n">
        <f aca="false">F8+F10+F24</f>
        <v>8950.90548395043</v>
      </c>
      <c r="G11" s="0" t="n">
        <f aca="false">G8+G10+G24</f>
        <v>9219.43264846894</v>
      </c>
      <c r="H11" s="0" t="n">
        <f aca="false">H8+H10+H24</f>
        <v>9496.01562792301</v>
      </c>
      <c r="I11" s="0" t="n">
        <f aca="false">I8+I10+I24</f>
        <v>9733.41601862109</v>
      </c>
      <c r="J11" s="0" t="n">
        <f aca="false">J8+J10+J24</f>
        <v>9976.75141908661</v>
      </c>
      <c r="K11" s="0" t="n">
        <f aca="false">K8+K10+K24</f>
        <v>10226.1702045638</v>
      </c>
      <c r="L11" s="0" t="n">
        <f aca="false">L8+L10+L24</f>
        <v>10481.8244596779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-1419.49665</v>
      </c>
      <c r="D12" s="4" t="n">
        <f aca="false">-D6*Assumptions!D17/100</f>
        <v>-1504.82417085</v>
      </c>
      <c r="E12" s="4" t="n">
        <f aca="false">-E6*Assumptions!E17/100</f>
        <v>-1608.08072299875</v>
      </c>
      <c r="F12" s="4" t="n">
        <f aca="false">-F6*Assumptions!F17/100</f>
        <v>-1690.12565784562</v>
      </c>
      <c r="G12" s="4" t="n">
        <f aca="false">-G6*Assumptions!G17/100</f>
        <v>-1740.82942758099</v>
      </c>
      <c r="H12" s="4" t="n">
        <f aca="false">-H6*Assumptions!H17/100</f>
        <v>-1793.05431040842</v>
      </c>
      <c r="I12" s="4" t="n">
        <f aca="false">-I6*Assumptions!I17/100</f>
        <v>-1837.88066816863</v>
      </c>
      <c r="J12" s="4" t="n">
        <f aca="false">-J6*Assumptions!J17/100</f>
        <v>-1883.82768487285</v>
      </c>
      <c r="K12" s="4" t="n">
        <f aca="false">-K6*Assumptions!K17/100</f>
        <v>-1930.92337699467</v>
      </c>
      <c r="L12" s="4" t="n">
        <f aca="false">-L6*Assumptions!L17/100</f>
        <v>-1979.19646141954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7564.339926</v>
      </c>
      <c r="D13" s="0" t="n">
        <f aca="false">D11+D12</f>
        <v>7101.48938499</v>
      </c>
      <c r="E13" s="0" t="n">
        <f aca="false">E11+E12</f>
        <v>7082.11877598225</v>
      </c>
      <c r="F13" s="0" t="n">
        <f aca="false">F11+F12</f>
        <v>7260.77982610481</v>
      </c>
      <c r="G13" s="0" t="n">
        <f aca="false">G11+G12</f>
        <v>7478.60322088795</v>
      </c>
      <c r="H13" s="0" t="n">
        <f aca="false">H11+H12</f>
        <v>7702.96131751459</v>
      </c>
      <c r="I13" s="0" t="n">
        <f aca="false">I11+I12</f>
        <v>7895.53535045245</v>
      </c>
      <c r="J13" s="0" t="n">
        <f aca="false">J11+J12</f>
        <v>8092.92373421376</v>
      </c>
      <c r="K13" s="0" t="n">
        <f aca="false">K11+K12</f>
        <v>8295.24682756911</v>
      </c>
      <c r="L13" s="0" t="n">
        <f aca="false">L11+L12</f>
        <v>8502.62799825833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24.5</v>
      </c>
      <c r="D14" s="4" t="n">
        <f aca="false">Assumptions!D19</f>
        <v>24.5</v>
      </c>
      <c r="E14" s="4" t="n">
        <f aca="false">Assumptions!E19</f>
        <v>24.5</v>
      </c>
      <c r="F14" s="4" t="n">
        <f aca="false">Assumptions!F19</f>
        <v>24.5</v>
      </c>
      <c r="G14" s="4" t="n">
        <f aca="false">Assumptions!G19</f>
        <v>24.5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24.5</v>
      </c>
      <c r="K14" s="4" t="n">
        <f aca="false">Assumptions!K19</f>
        <v>24.5</v>
      </c>
      <c r="L14" s="4" t="n">
        <f aca="false">Assumptions!L19</f>
        <v>24.5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5711.07664413</v>
      </c>
      <c r="D15" s="0" t="n">
        <f aca="false">D13-MAX(0,D13)*D14/100</f>
        <v>5361.62448566745</v>
      </c>
      <c r="E15" s="0" t="n">
        <f aca="false">E13-MAX(0,E13)*E14/100</f>
        <v>5346.9996758666</v>
      </c>
      <c r="F15" s="0" t="n">
        <f aca="false">F13-MAX(0,F13)*F14/100</f>
        <v>5481.88876870913</v>
      </c>
      <c r="G15" s="0" t="n">
        <f aca="false">G13-MAX(0,G13)*G14/100</f>
        <v>5646.3454317704</v>
      </c>
      <c r="H15" s="0" t="n">
        <f aca="false">H13-MAX(0,H13)*H14/100</f>
        <v>5815.73579472351</v>
      </c>
      <c r="I15" s="0" t="n">
        <f aca="false">I13-MAX(0,I13)*I14/100</f>
        <v>5961.1291895916</v>
      </c>
      <c r="J15" s="0" t="n">
        <f aca="false">J13-MAX(0,J13)*J14/100</f>
        <v>6110.15741933139</v>
      </c>
      <c r="K15" s="0" t="n">
        <f aca="false">K13-MAX(0,K13)*K14/100</f>
        <v>6262.91135481468</v>
      </c>
      <c r="L15" s="0" t="n">
        <f aca="false">L13-MAX(0,L13)*L14/100</f>
        <v>6419.48413868504</v>
      </c>
    </row>
    <row r="16" customFormat="false" ht="15" hidden="false" customHeight="false" outlineLevel="0" collapsed="false">
      <c r="A16" s="0" t="s">
        <v>128</v>
      </c>
      <c r="C16" s="0" t="n">
        <f aca="false">-C12</f>
        <v>1419.49665</v>
      </c>
      <c r="D16" s="0" t="n">
        <f aca="false">-D12</f>
        <v>1504.82417085</v>
      </c>
      <c r="E16" s="0" t="n">
        <f aca="false">-E12</f>
        <v>1608.08072299875</v>
      </c>
      <c r="F16" s="0" t="n">
        <f aca="false">-F12</f>
        <v>1690.12565784562</v>
      </c>
      <c r="G16" s="0" t="n">
        <f aca="false">-G12</f>
        <v>1740.82942758099</v>
      </c>
      <c r="H16" s="0" t="n">
        <f aca="false">-H12</f>
        <v>1793.05431040842</v>
      </c>
      <c r="I16" s="0" t="n">
        <f aca="false">-I12</f>
        <v>1837.88066816863</v>
      </c>
      <c r="J16" s="0" t="n">
        <f aca="false">-J12</f>
        <v>1883.82768487285</v>
      </c>
      <c r="K16" s="0" t="n">
        <f aca="false">-K12</f>
        <v>1930.92337699467</v>
      </c>
      <c r="L16" s="0" t="n">
        <f aca="false">-L12</f>
        <v>1979.19646141954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-2271.19464</v>
      </c>
      <c r="D17" s="4" t="n">
        <f aca="false">-D6*Assumptions!D18/100</f>
        <v>-2113.1573463</v>
      </c>
      <c r="E17" s="4" t="n">
        <f aca="false">-E6*Assumptions!E18/100</f>
        <v>-2034.7143842025</v>
      </c>
      <c r="F17" s="4" t="n">
        <f aca="false">-F6*Assumptions!F18/100</f>
        <v>-2028.15078941475</v>
      </c>
      <c r="G17" s="4" t="n">
        <f aca="false">-G6*Assumptions!G18/100</f>
        <v>-2088.99531309719</v>
      </c>
      <c r="H17" s="4" t="n">
        <f aca="false">-H6*Assumptions!H18/100</f>
        <v>-2151.66517249011</v>
      </c>
      <c r="I17" s="4" t="n">
        <f aca="false">-I6*Assumptions!I18/100</f>
        <v>-2205.45680180236</v>
      </c>
      <c r="J17" s="4" t="n">
        <f aca="false">-J6*Assumptions!J18/100</f>
        <v>-2260.59322184742</v>
      </c>
      <c r="K17" s="4" t="n">
        <f aca="false">-K6*Assumptions!K18/100</f>
        <v>-2317.10805239361</v>
      </c>
      <c r="L17" s="4" t="n">
        <f aca="false">-L6*Assumptions!L18/100</f>
        <v>-2375.03575370344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4859.37865413</v>
      </c>
      <c r="D19" s="0" t="n">
        <f aca="false">D15+D16+D17+D18</f>
        <v>4753.29131021745</v>
      </c>
      <c r="E19" s="0" t="n">
        <f aca="false">E15+E16+E17+E18</f>
        <v>4920.36601466285</v>
      </c>
      <c r="F19" s="0" t="n">
        <f aca="false">F15+F16+F17+F18</f>
        <v>5143.86363714</v>
      </c>
      <c r="G19" s="0" t="n">
        <f aca="false">G15+G16+G17+G18</f>
        <v>5298.1795462542</v>
      </c>
      <c r="H19" s="0" t="n">
        <f aca="false">H15+H16+H17+H18</f>
        <v>5457.12493264183</v>
      </c>
      <c r="I19" s="0" t="n">
        <f aca="false">I15+I16+I17+I18</f>
        <v>5593.55305595787</v>
      </c>
      <c r="J19" s="0" t="n">
        <f aca="false">J15+J16+J17+J18</f>
        <v>5733.39188235682</v>
      </c>
      <c r="K19" s="0" t="n">
        <f aca="false">K15+K16+K17+K18</f>
        <v>5876.72667941574</v>
      </c>
      <c r="L19" s="0" t="n">
        <f aca="false">L15+L16+L17+L18</f>
        <v>6023.64484640113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4478.69000380645</v>
      </c>
      <c r="D21" s="0" t="n">
        <f aca="false">D19*D20</f>
        <v>4037.70843315207</v>
      </c>
      <c r="E21" s="0" t="n">
        <f aca="false">E19*E20</f>
        <v>3852.19440012288</v>
      </c>
      <c r="F21" s="0" t="n">
        <f aca="false">F19*F20</f>
        <v>3711.67972234125</v>
      </c>
      <c r="G21" s="0" t="n">
        <f aca="false">G19*G20</f>
        <v>3523.53005899676</v>
      </c>
      <c r="H21" s="0" t="n">
        <f aca="false">H19*H20</f>
        <v>3344.91793619047</v>
      </c>
      <c r="I21" s="0" t="n">
        <f aca="false">I19*I20</f>
        <v>3159.94551575598</v>
      </c>
      <c r="J21" s="0" t="n">
        <f aca="false">J19*J20</f>
        <v>2985.20198493076</v>
      </c>
      <c r="K21" s="0" t="n">
        <f aca="false">K19*K20</f>
        <v>2820.12169083321</v>
      </c>
      <c r="L21" s="0" t="n">
        <f aca="false">L19*L20</f>
        <v>2664.17026092538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34578.1600070552</v>
      </c>
    </row>
    <row r="31" customFormat="false" ht="15" hidden="false" customHeight="false" outlineLevel="0" collapsed="false">
      <c r="A31" s="0" t="s">
        <v>137</v>
      </c>
      <c r="B31" s="0" t="n">
        <f aca="false">L19</f>
        <v>6023.64484640113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102903.932792686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96378.3175424181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96378.3175424181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42626.7241748061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77204.8841818613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80337.8841818613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71.9229043705115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-0.461614609098649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1640.97054250792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2153.4095318111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75.3198426644407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49393.8877404893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37.1247404719877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5.5</v>
      </c>
      <c r="D5" s="4" t="n">
        <f aca="false">Assumptions!D27</f>
        <v>6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60372</v>
      </c>
      <c r="C6" s="0" t="n">
        <f aca="false">B6*(1+C5/100)</f>
        <v>63692.46</v>
      </c>
      <c r="D6" s="0" t="n">
        <f aca="false">C6*(1+D5/100)</f>
        <v>67514.0076</v>
      </c>
      <c r="E6" s="0" t="n">
        <f aca="false">D6*(1+E5/100)</f>
        <v>71564.848056</v>
      </c>
      <c r="F6" s="0" t="n">
        <f aca="false">E6*(1+F5/100)</f>
        <v>75500.91469908</v>
      </c>
      <c r="G6" s="0" t="n">
        <f aca="false">F6*(1+G5/100)</f>
        <v>79275.960434034</v>
      </c>
      <c r="H6" s="0" t="n">
        <f aca="false">G6*(1+H5/100)</f>
        <v>82843.3786535655</v>
      </c>
      <c r="I6" s="0" t="n">
        <f aca="false">H6*(1+I5/100)</f>
        <v>86157.1137997082</v>
      </c>
      <c r="J6" s="0" t="n">
        <f aca="false">I6*(1+J5/100)</f>
        <v>89172.6127826979</v>
      </c>
      <c r="K6" s="0" t="n">
        <f aca="false">J6*(1+K5/100)</f>
        <v>91847.7911661789</v>
      </c>
      <c r="L6" s="0" t="n">
        <f aca="false">K6*(1+L5/100)</f>
        <v>94603.2249011643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14.8</v>
      </c>
      <c r="D7" s="4" t="n">
        <f aca="false">Assumptions!D28</f>
        <v>15</v>
      </c>
      <c r="E7" s="4" t="n">
        <f aca="false">Assumptions!E28</f>
        <v>15.1</v>
      </c>
      <c r="F7" s="4" t="n">
        <f aca="false">Assumptions!F28</f>
        <v>15.2</v>
      </c>
      <c r="G7" s="4" t="n">
        <f aca="false">Assumptions!G28</f>
        <v>15.3</v>
      </c>
      <c r="H7" s="4" t="n">
        <f aca="false">Assumptions!H28</f>
        <v>15.3</v>
      </c>
      <c r="I7" s="4" t="n">
        <f aca="false">Assumptions!I28</f>
        <v>15.3</v>
      </c>
      <c r="J7" s="4" t="n">
        <f aca="false">Assumptions!J28</f>
        <v>15.3</v>
      </c>
      <c r="K7" s="4" t="n">
        <f aca="false">Assumptions!K28</f>
        <v>15.3</v>
      </c>
      <c r="L7" s="4" t="n">
        <f aca="false">Assumptions!L28</f>
        <v>15.3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9426.48408</v>
      </c>
      <c r="D8" s="0" t="n">
        <f aca="false">D6*D7/100</f>
        <v>10127.10114</v>
      </c>
      <c r="E8" s="0" t="n">
        <f aca="false">E6*E7/100</f>
        <v>10806.292056456</v>
      </c>
      <c r="F8" s="0" t="n">
        <f aca="false">F6*F7/100</f>
        <v>11476.1390342602</v>
      </c>
      <c r="G8" s="0" t="n">
        <f aca="false">G6*G7/100</f>
        <v>12129.2219464072</v>
      </c>
      <c r="H8" s="0" t="n">
        <f aca="false">H6*H7/100</f>
        <v>12675.0369339955</v>
      </c>
      <c r="I8" s="0" t="n">
        <f aca="false">I6*I7/100</f>
        <v>13182.0384113553</v>
      </c>
      <c r="J8" s="0" t="n">
        <f aca="false">J6*J7/100</f>
        <v>13643.4097557528</v>
      </c>
      <c r="K8" s="0" t="n">
        <f aca="false">K6*K7/100</f>
        <v>14052.7120484254</v>
      </c>
      <c r="L8" s="0" t="n">
        <f aca="false">L6*L7/100</f>
        <v>14474.2934098781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0.36</v>
      </c>
      <c r="D9" s="4" t="n">
        <f aca="false">Assumptions!D29</f>
        <v>0.36</v>
      </c>
      <c r="E9" s="4" t="n">
        <f aca="false">Assumptions!E29</f>
        <v>0.36</v>
      </c>
      <c r="F9" s="4" t="n">
        <f aca="false">Assumptions!F29</f>
        <v>0.36</v>
      </c>
      <c r="G9" s="4" t="n">
        <f aca="false">Assumptions!G29</f>
        <v>0.36</v>
      </c>
      <c r="H9" s="4" t="n">
        <f aca="false">Assumptions!H29</f>
        <v>0.36</v>
      </c>
      <c r="I9" s="4" t="n">
        <f aca="false">Assumptions!I29</f>
        <v>0.36</v>
      </c>
      <c r="J9" s="4" t="n">
        <f aca="false">Assumptions!J29</f>
        <v>0.36</v>
      </c>
      <c r="K9" s="4" t="n">
        <f aca="false">Assumptions!K29</f>
        <v>0.36</v>
      </c>
      <c r="L9" s="4" t="n">
        <f aca="false">Assumptions!L29</f>
        <v>0.36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-229.292856</v>
      </c>
      <c r="D10" s="0" t="n">
        <f aca="false">-D6*D9/100</f>
        <v>-243.05042736</v>
      </c>
      <c r="E10" s="0" t="n">
        <f aca="false">-E6*E9/100</f>
        <v>-257.6334530016</v>
      </c>
      <c r="F10" s="0" t="n">
        <f aca="false">-F6*F9/100</f>
        <v>-271.803292916688</v>
      </c>
      <c r="G10" s="0" t="n">
        <f aca="false">-G6*G9/100</f>
        <v>-285.393457562522</v>
      </c>
      <c r="H10" s="0" t="n">
        <f aca="false">-H6*H9/100</f>
        <v>-298.236163152836</v>
      </c>
      <c r="I10" s="0" t="n">
        <f aca="false">-I6*I9/100</f>
        <v>-310.165609678949</v>
      </c>
      <c r="J10" s="0" t="n">
        <f aca="false">-J6*J9/100</f>
        <v>-321.021406017713</v>
      </c>
      <c r="K10" s="0" t="n">
        <f aca="false">-K6*K9/100</f>
        <v>-330.652048198244</v>
      </c>
      <c r="L10" s="0" t="n">
        <f aca="false">-L6*L9/100</f>
        <v>-340.571609644191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9197.191224</v>
      </c>
      <c r="D11" s="0" t="n">
        <f aca="false">D8+D10+D24</f>
        <v>9884.05071264</v>
      </c>
      <c r="E11" s="0" t="n">
        <f aca="false">E8+E10+E24</f>
        <v>10548.6586034544</v>
      </c>
      <c r="F11" s="0" t="n">
        <f aca="false">F8+F10+F24</f>
        <v>11204.3357413435</v>
      </c>
      <c r="G11" s="0" t="n">
        <f aca="false">G8+G10+G24</f>
        <v>11843.8284888447</v>
      </c>
      <c r="H11" s="0" t="n">
        <f aca="false">H8+H10+H24</f>
        <v>12376.8007708427</v>
      </c>
      <c r="I11" s="0" t="n">
        <f aca="false">I8+I10+I24</f>
        <v>12871.8728016764</v>
      </c>
      <c r="J11" s="0" t="n">
        <f aca="false">J8+J10+J24</f>
        <v>13322.3883497351</v>
      </c>
      <c r="K11" s="0" t="n">
        <f aca="false">K8+K10+K24</f>
        <v>13722.0600002271</v>
      </c>
      <c r="L11" s="0" t="n">
        <f aca="false">L8+L10+L24</f>
        <v>14133.7218002339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-1433.08035</v>
      </c>
      <c r="D12" s="4" t="n">
        <f aca="false">-D6*Assumptions!D31/100</f>
        <v>-1552.8221748</v>
      </c>
      <c r="E12" s="4" t="n">
        <f aca="false">-E6*Assumptions!E31/100</f>
        <v>-1681.773929316</v>
      </c>
      <c r="F12" s="4" t="n">
        <f aca="false">-F6*Assumptions!F31/100</f>
        <v>-1812.02195277792</v>
      </c>
      <c r="G12" s="4" t="n">
        <f aca="false">-G6*Assumptions!G31/100</f>
        <v>-1942.26103063383</v>
      </c>
      <c r="H12" s="4" t="n">
        <f aca="false">-H6*Assumptions!H31/100</f>
        <v>-2071.08446633914</v>
      </c>
      <c r="I12" s="4" t="n">
        <f aca="false">-I6*Assumptions!I31/100</f>
        <v>-2153.9278449927</v>
      </c>
      <c r="J12" s="4" t="n">
        <f aca="false">-J6*Assumptions!J31/100</f>
        <v>-2229.31531956745</v>
      </c>
      <c r="K12" s="4" t="n">
        <f aca="false">-K6*Assumptions!K31/100</f>
        <v>-2296.19477915447</v>
      </c>
      <c r="L12" s="4" t="n">
        <f aca="false">-L6*Assumptions!L31/100</f>
        <v>-2365.08062252911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7764.110874</v>
      </c>
      <c r="D13" s="0" t="n">
        <f aca="false">D11+D12</f>
        <v>8331.22853784</v>
      </c>
      <c r="E13" s="0" t="n">
        <f aca="false">E11+E12</f>
        <v>8866.8846741384</v>
      </c>
      <c r="F13" s="0" t="n">
        <f aca="false">F11+F12</f>
        <v>9392.31378856555</v>
      </c>
      <c r="G13" s="0" t="n">
        <f aca="false">G11+G12</f>
        <v>9901.56745821085</v>
      </c>
      <c r="H13" s="0" t="n">
        <f aca="false">H11+H12</f>
        <v>10305.7163045036</v>
      </c>
      <c r="I13" s="0" t="n">
        <f aca="false">I11+I12</f>
        <v>10717.9449566837</v>
      </c>
      <c r="J13" s="0" t="n">
        <f aca="false">J11+J12</f>
        <v>11093.0730301676</v>
      </c>
      <c r="K13" s="0" t="n">
        <f aca="false">K11+K12</f>
        <v>11425.8652210727</v>
      </c>
      <c r="L13" s="0" t="n">
        <f aca="false">L11+L12</f>
        <v>11768.6411777048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24.5</v>
      </c>
      <c r="D14" s="4" t="n">
        <f aca="false">Assumptions!D33</f>
        <v>24.5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5861.90370987</v>
      </c>
      <c r="D15" s="0" t="n">
        <f aca="false">D13-MAX(0,D13)*D14/100</f>
        <v>6290.0775460692</v>
      </c>
      <c r="E15" s="0" t="n">
        <f aca="false">E13-MAX(0,E13)*E14/100</f>
        <v>6694.49792897449</v>
      </c>
      <c r="F15" s="0" t="n">
        <f aca="false">F13-MAX(0,F13)*F14/100</f>
        <v>7091.19691036699</v>
      </c>
      <c r="G15" s="0" t="n">
        <f aca="false">G13-MAX(0,G13)*G14/100</f>
        <v>7475.68343094919</v>
      </c>
      <c r="H15" s="0" t="n">
        <f aca="false">H13-MAX(0,H13)*H14/100</f>
        <v>7780.81580990018</v>
      </c>
      <c r="I15" s="0" t="n">
        <f aca="false">I13-MAX(0,I13)*I14/100</f>
        <v>8092.04844229619</v>
      </c>
      <c r="J15" s="0" t="n">
        <f aca="false">J13-MAX(0,J13)*J14/100</f>
        <v>8375.27013777656</v>
      </c>
      <c r="K15" s="0" t="n">
        <f aca="false">K13-MAX(0,K13)*K14/100</f>
        <v>8626.52824190986</v>
      </c>
      <c r="L15" s="0" t="n">
        <f aca="false">L13-MAX(0,L13)*L14/100</f>
        <v>8885.32408916715</v>
      </c>
    </row>
    <row r="16" customFormat="false" ht="15" hidden="false" customHeight="false" outlineLevel="0" collapsed="false">
      <c r="A16" s="0" t="s">
        <v>128</v>
      </c>
      <c r="C16" s="0" t="n">
        <f aca="false">-C12</f>
        <v>1433.08035</v>
      </c>
      <c r="D16" s="0" t="n">
        <f aca="false">-D12</f>
        <v>1552.8221748</v>
      </c>
      <c r="E16" s="0" t="n">
        <f aca="false">-E12</f>
        <v>1681.773929316</v>
      </c>
      <c r="F16" s="0" t="n">
        <f aca="false">-F12</f>
        <v>1812.02195277792</v>
      </c>
      <c r="G16" s="0" t="n">
        <f aca="false">-G12</f>
        <v>1942.26103063383</v>
      </c>
      <c r="H16" s="0" t="n">
        <f aca="false">-H12</f>
        <v>2071.08446633914</v>
      </c>
      <c r="I16" s="0" t="n">
        <f aca="false">-I12</f>
        <v>2153.9278449927</v>
      </c>
      <c r="J16" s="0" t="n">
        <f aca="false">-J12</f>
        <v>2229.31531956745</v>
      </c>
      <c r="K16" s="0" t="n">
        <f aca="false">-K12</f>
        <v>2296.19477915447</v>
      </c>
      <c r="L16" s="0" t="n">
        <f aca="false">-L12</f>
        <v>2365.08062252911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-2292.92856</v>
      </c>
      <c r="D17" s="4" t="n">
        <f aca="false">-D6*Assumptions!D32/100</f>
        <v>-2430.5042736</v>
      </c>
      <c r="E17" s="4" t="n">
        <f aca="false">-E6*Assumptions!E32/100</f>
        <v>-2576.334530016</v>
      </c>
      <c r="F17" s="4" t="n">
        <f aca="false">-F6*Assumptions!F32/100</f>
        <v>-2642.5320144678</v>
      </c>
      <c r="G17" s="4" t="n">
        <f aca="false">-G6*Assumptions!G32/100</f>
        <v>-2695.38265475716</v>
      </c>
      <c r="H17" s="4" t="n">
        <f aca="false">-H6*Assumptions!H32/100</f>
        <v>-2733.83149556766</v>
      </c>
      <c r="I17" s="4" t="n">
        <f aca="false">-I6*Assumptions!I32/100</f>
        <v>-2757.02764159066</v>
      </c>
      <c r="J17" s="4" t="n">
        <f aca="false">-J6*Assumptions!J32/100</f>
        <v>-2764.35099626364</v>
      </c>
      <c r="K17" s="4" t="n">
        <f aca="false">-K6*Assumptions!K32/100</f>
        <v>-2755.43373498537</v>
      </c>
      <c r="L17" s="4" t="n">
        <f aca="false">-L6*Assumptions!L32/100</f>
        <v>-2838.09674703493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5002.05549987</v>
      </c>
      <c r="D19" s="0" t="n">
        <f aca="false">D15+D16+D17+D18</f>
        <v>5412.3954472692</v>
      </c>
      <c r="E19" s="0" t="n">
        <f aca="false">E15+E16+E17+E18</f>
        <v>5799.93732827449</v>
      </c>
      <c r="F19" s="0" t="n">
        <f aca="false">F15+F16+F17+F18</f>
        <v>6260.68684867711</v>
      </c>
      <c r="G19" s="0" t="n">
        <f aca="false">G15+G16+G17+G18</f>
        <v>6722.56180682587</v>
      </c>
      <c r="H19" s="0" t="n">
        <f aca="false">H15+H16+H17+H18</f>
        <v>7118.06878067166</v>
      </c>
      <c r="I19" s="0" t="n">
        <f aca="false">I15+I16+I17+I18</f>
        <v>7488.94864569823</v>
      </c>
      <c r="J19" s="0" t="n">
        <f aca="false">J15+J16+J17+J18</f>
        <v>7840.23446108037</v>
      </c>
      <c r="K19" s="0" t="n">
        <f aca="false">K15+K16+K17+K18</f>
        <v>8167.28928607896</v>
      </c>
      <c r="L19" s="0" t="n">
        <f aca="false">L15+L16+L17+L18</f>
        <v>8412.30796466133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4610.18940080184</v>
      </c>
      <c r="D21" s="0" t="n">
        <f aca="false">D19*D20</f>
        <v>4597.58792692068</v>
      </c>
      <c r="E21" s="0" t="n">
        <f aca="false">E19*E20</f>
        <v>4540.81790469679</v>
      </c>
      <c r="F21" s="0" t="n">
        <f aca="false">F19*F20</f>
        <v>4517.55063185997</v>
      </c>
      <c r="G21" s="0" t="n">
        <f aca="false">G19*G20</f>
        <v>4470.80896240318</v>
      </c>
      <c r="H21" s="0" t="n">
        <f aca="false">H19*H20</f>
        <v>4362.9853135834</v>
      </c>
      <c r="I21" s="0" t="n">
        <f aca="false">I19*I20</f>
        <v>4230.70442953874</v>
      </c>
      <c r="J21" s="0" t="n">
        <f aca="false">J19*J20</f>
        <v>4082.17054682101</v>
      </c>
      <c r="K21" s="0" t="n">
        <f aca="false">K19*K20</f>
        <v>3919.31613080751</v>
      </c>
      <c r="L21" s="0" t="n">
        <f aca="false">L19*L20</f>
        <v>3720.64111956842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43052.7723670015</v>
      </c>
    </row>
    <row r="31" customFormat="false" ht="15" hidden="false" customHeight="false" outlineLevel="0" collapsed="false">
      <c r="A31" s="0" t="s">
        <v>137</v>
      </c>
      <c r="B31" s="0" t="n">
        <f aca="false">L19</f>
        <v>8412.30796466133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157539.585520021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168246.159293227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157539.585520021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69677.4609664631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112730.233333465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115863.233333465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103.727156072932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-0.223541013002982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1839.89169727653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2820.88638896187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107.899741647004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72205.6433633431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47.4623630974882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6.5</v>
      </c>
      <c r="D5" s="4" t="n">
        <f aca="false">Assumptions!D41</f>
        <v>7.5</v>
      </c>
      <c r="E5" s="4" t="n">
        <f aca="false">Assumptions!E41</f>
        <v>7.5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60372</v>
      </c>
      <c r="C6" s="0" t="n">
        <f aca="false">B6*(1+C5/100)</f>
        <v>64296.18</v>
      </c>
      <c r="D6" s="0" t="n">
        <f aca="false">C6*(1+D5/100)</f>
        <v>69118.3935</v>
      </c>
      <c r="E6" s="0" t="n">
        <f aca="false">D6*(1+E5/100)</f>
        <v>74302.2730125</v>
      </c>
      <c r="F6" s="0" t="n">
        <f aca="false">E6*(1+F5/100)</f>
        <v>79503.432123375</v>
      </c>
      <c r="G6" s="0" t="n">
        <f aca="false">F6*(1+G5/100)</f>
        <v>84671.1552113944</v>
      </c>
      <c r="H6" s="0" t="n">
        <f aca="false">G6*(1+H5/100)</f>
        <v>89751.424524078</v>
      </c>
      <c r="I6" s="0" t="n">
        <f aca="false">H6*(1+I5/100)</f>
        <v>94238.9957502819</v>
      </c>
      <c r="J6" s="0" t="n">
        <f aca="false">I6*(1+J5/100)</f>
        <v>98479.7505590446</v>
      </c>
      <c r="K6" s="0" t="n">
        <f aca="false">J6*(1+K5/100)</f>
        <v>102418.940581406</v>
      </c>
      <c r="L6" s="0" t="n">
        <f aca="false">K6*(1+L5/100)</f>
        <v>106003.603501756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15</v>
      </c>
      <c r="D7" s="4" t="n">
        <f aca="false">Assumptions!D42</f>
        <v>15.4</v>
      </c>
      <c r="E7" s="4" t="n">
        <f aca="false">Assumptions!E42</f>
        <v>15.7</v>
      </c>
      <c r="F7" s="4" t="n">
        <f aca="false">Assumptions!F42</f>
        <v>16</v>
      </c>
      <c r="G7" s="4" t="n">
        <f aca="false">Assumptions!G42</f>
        <v>16.2</v>
      </c>
      <c r="H7" s="4" t="n">
        <f aca="false">Assumptions!H42</f>
        <v>16.4</v>
      </c>
      <c r="I7" s="4" t="n">
        <f aca="false">Assumptions!I42</f>
        <v>16.5</v>
      </c>
      <c r="J7" s="4" t="n">
        <f aca="false">Assumptions!J42</f>
        <v>16.5</v>
      </c>
      <c r="K7" s="4" t="n">
        <f aca="false">Assumptions!K42</f>
        <v>16.5</v>
      </c>
      <c r="L7" s="4" t="n">
        <f aca="false">Assumptions!L42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9644.427</v>
      </c>
      <c r="D8" s="0" t="n">
        <f aca="false">D6*D7/100</f>
        <v>10644.232599</v>
      </c>
      <c r="E8" s="0" t="n">
        <f aca="false">E6*E7/100</f>
        <v>11665.4568629625</v>
      </c>
      <c r="F8" s="0" t="n">
        <f aca="false">F6*F7/100</f>
        <v>12720.54913974</v>
      </c>
      <c r="G8" s="0" t="n">
        <f aca="false">G6*G7/100</f>
        <v>13716.7271442459</v>
      </c>
      <c r="H8" s="0" t="n">
        <f aca="false">H6*H7/100</f>
        <v>14719.2336219488</v>
      </c>
      <c r="I8" s="0" t="n">
        <f aca="false">I6*I7/100</f>
        <v>15549.4342987965</v>
      </c>
      <c r="J8" s="0" t="n">
        <f aca="false">J6*J7/100</f>
        <v>16249.1588422424</v>
      </c>
      <c r="K8" s="0" t="n">
        <f aca="false">K6*K7/100</f>
        <v>16899.1251959321</v>
      </c>
      <c r="L8" s="0" t="n">
        <f aca="false">L6*L7/100</f>
        <v>17490.5945777897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0.36</v>
      </c>
      <c r="D9" s="4" t="n">
        <f aca="false">Assumptions!D43</f>
        <v>0.36</v>
      </c>
      <c r="E9" s="4" t="n">
        <f aca="false">Assumptions!E43</f>
        <v>0.36</v>
      </c>
      <c r="F9" s="4" t="n">
        <f aca="false">Assumptions!F43</f>
        <v>0.36</v>
      </c>
      <c r="G9" s="4" t="n">
        <f aca="false">Assumptions!G43</f>
        <v>0.36</v>
      </c>
      <c r="H9" s="4" t="n">
        <f aca="false">Assumptions!H43</f>
        <v>0.36</v>
      </c>
      <c r="I9" s="4" t="n">
        <f aca="false">Assumptions!I43</f>
        <v>0.36</v>
      </c>
      <c r="J9" s="4" t="n">
        <f aca="false">Assumptions!J43</f>
        <v>0.36</v>
      </c>
      <c r="K9" s="4" t="n">
        <f aca="false">Assumptions!K43</f>
        <v>0.36</v>
      </c>
      <c r="L9" s="4" t="n">
        <f aca="false">Assumptions!L43</f>
        <v>0.36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-231.466248</v>
      </c>
      <c r="D10" s="0" t="n">
        <f aca="false">-D6*D9/100</f>
        <v>-248.8262166</v>
      </c>
      <c r="E10" s="0" t="n">
        <f aca="false">-E6*E9/100</f>
        <v>-267.488182845</v>
      </c>
      <c r="F10" s="0" t="n">
        <f aca="false">-F6*F9/100</f>
        <v>-286.21235564415</v>
      </c>
      <c r="G10" s="0" t="n">
        <f aca="false">-G6*G9/100</f>
        <v>-304.81615876102</v>
      </c>
      <c r="H10" s="0" t="n">
        <f aca="false">-H6*H9/100</f>
        <v>-323.105128286681</v>
      </c>
      <c r="I10" s="0" t="n">
        <f aca="false">-I6*I9/100</f>
        <v>-339.260384701015</v>
      </c>
      <c r="J10" s="0" t="n">
        <f aca="false">-J6*J9/100</f>
        <v>-354.527102012561</v>
      </c>
      <c r="K10" s="0" t="n">
        <f aca="false">-K6*K9/100</f>
        <v>-368.708186093063</v>
      </c>
      <c r="L10" s="0" t="n">
        <f aca="false">-L6*L9/100</f>
        <v>-381.61297260632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9412.960752</v>
      </c>
      <c r="D11" s="0" t="n">
        <f aca="false">D8+D10+D24</f>
        <v>10395.4063824</v>
      </c>
      <c r="E11" s="0" t="n">
        <f aca="false">E8+E10+E24</f>
        <v>11397.9686801175</v>
      </c>
      <c r="F11" s="0" t="n">
        <f aca="false">F8+F10+F24</f>
        <v>12434.3367840958</v>
      </c>
      <c r="G11" s="0" t="n">
        <f aca="false">G8+G10+G24</f>
        <v>13411.9109854849</v>
      </c>
      <c r="H11" s="0" t="n">
        <f aca="false">H8+H10+H24</f>
        <v>14396.1284936621</v>
      </c>
      <c r="I11" s="0" t="n">
        <f aca="false">I8+I10+I24</f>
        <v>15210.1739140955</v>
      </c>
      <c r="J11" s="0" t="n">
        <f aca="false">J8+J10+J24</f>
        <v>15894.6317402298</v>
      </c>
      <c r="K11" s="0" t="n">
        <f aca="false">K8+K10+K24</f>
        <v>16530.417009839</v>
      </c>
      <c r="L11" s="0" t="n">
        <f aca="false">L8+L10+L24</f>
        <v>17108.9816051834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-1446.66405</v>
      </c>
      <c r="D12" s="4" t="n">
        <f aca="false">-D6*Assumptions!D45/100</f>
        <v>-1589.7230505</v>
      </c>
      <c r="E12" s="4" t="n">
        <f aca="false">-E6*Assumptions!E45/100</f>
        <v>-1746.10341579375</v>
      </c>
      <c r="F12" s="4" t="n">
        <f aca="false">-F6*Assumptions!F45/100</f>
        <v>-1908.082370961</v>
      </c>
      <c r="G12" s="4" t="n">
        <f aca="false">-G6*Assumptions!G45/100</f>
        <v>-2074.44330267916</v>
      </c>
      <c r="H12" s="4" t="n">
        <f aca="false">-H6*Assumptions!H45/100</f>
        <v>-2243.78561310195</v>
      </c>
      <c r="I12" s="4" t="n">
        <f aca="false">-I6*Assumptions!I45/100</f>
        <v>-2355.97489375705</v>
      </c>
      <c r="J12" s="4" t="n">
        <f aca="false">-J6*Assumptions!J45/100</f>
        <v>-2461.99376397612</v>
      </c>
      <c r="K12" s="4" t="n">
        <f aca="false">-K6*Assumptions!K45/100</f>
        <v>-2560.47351453516</v>
      </c>
      <c r="L12" s="4" t="n">
        <f aca="false">-L6*Assumptions!L45/100</f>
        <v>-2650.09008754389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7966.296702</v>
      </c>
      <c r="D13" s="0" t="n">
        <f aca="false">D11+D12</f>
        <v>8805.6833319</v>
      </c>
      <c r="E13" s="0" t="n">
        <f aca="false">E11+E12</f>
        <v>9651.86526432375</v>
      </c>
      <c r="F13" s="0" t="n">
        <f aca="false">F11+F12</f>
        <v>10526.2544131349</v>
      </c>
      <c r="G13" s="0" t="n">
        <f aca="false">G11+G12</f>
        <v>11337.4676828057</v>
      </c>
      <c r="H13" s="0" t="n">
        <f aca="false">H11+H12</f>
        <v>12152.3428805602</v>
      </c>
      <c r="I13" s="0" t="n">
        <f aca="false">I11+I12</f>
        <v>12854.1990203385</v>
      </c>
      <c r="J13" s="0" t="n">
        <f aca="false">J11+J12</f>
        <v>13432.6379762537</v>
      </c>
      <c r="K13" s="0" t="n">
        <f aca="false">K11+K12</f>
        <v>13969.9434953038</v>
      </c>
      <c r="L13" s="0" t="n">
        <f aca="false">L11+L12</f>
        <v>14458.8915176395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6014.55401001</v>
      </c>
      <c r="D15" s="0" t="n">
        <f aca="false">D13-MAX(0,D13)*D14/100</f>
        <v>6648.2909155845</v>
      </c>
      <c r="E15" s="0" t="n">
        <f aca="false">E13-MAX(0,E13)*E14/100</f>
        <v>7287.15827456443</v>
      </c>
      <c r="F15" s="0" t="n">
        <f aca="false">F13-MAX(0,F13)*F14/100</f>
        <v>7947.32208191681</v>
      </c>
      <c r="G15" s="0" t="n">
        <f aca="false">G13-MAX(0,G13)*G14/100</f>
        <v>8559.7881005183</v>
      </c>
      <c r="H15" s="0" t="n">
        <f aca="false">H13-MAX(0,H13)*H14/100</f>
        <v>9175.01887482292</v>
      </c>
      <c r="I15" s="0" t="n">
        <f aca="false">I13-MAX(0,I13)*I14/100</f>
        <v>9704.92026035554</v>
      </c>
      <c r="J15" s="0" t="n">
        <f aca="false">J13-MAX(0,J13)*J14/100</f>
        <v>10141.6416720715</v>
      </c>
      <c r="K15" s="0" t="n">
        <f aca="false">K13-MAX(0,K13)*K14/100</f>
        <v>10547.3073389544</v>
      </c>
      <c r="L15" s="0" t="n">
        <f aca="false">L13-MAX(0,L13)*L14/100</f>
        <v>10916.4630958178</v>
      </c>
    </row>
    <row r="16" customFormat="false" ht="15" hidden="false" customHeight="false" outlineLevel="0" collapsed="false">
      <c r="A16" s="0" t="s">
        <v>128</v>
      </c>
      <c r="C16" s="0" t="n">
        <f aca="false">-C12</f>
        <v>1446.66405</v>
      </c>
      <c r="D16" s="0" t="n">
        <f aca="false">-D12</f>
        <v>1589.7230505</v>
      </c>
      <c r="E16" s="0" t="n">
        <f aca="false">-E12</f>
        <v>1746.10341579375</v>
      </c>
      <c r="F16" s="0" t="n">
        <f aca="false">-F12</f>
        <v>1908.082370961</v>
      </c>
      <c r="G16" s="0" t="n">
        <f aca="false">-G12</f>
        <v>2074.44330267916</v>
      </c>
      <c r="H16" s="0" t="n">
        <f aca="false">-H12</f>
        <v>2243.78561310195</v>
      </c>
      <c r="I16" s="0" t="n">
        <f aca="false">-I12</f>
        <v>2355.97489375705</v>
      </c>
      <c r="J16" s="0" t="n">
        <f aca="false">-J12</f>
        <v>2461.99376397612</v>
      </c>
      <c r="K16" s="0" t="n">
        <f aca="false">-K12</f>
        <v>2560.47351453516</v>
      </c>
      <c r="L16" s="0" t="n">
        <f aca="false">-L12</f>
        <v>2650.09008754389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-2378.95866</v>
      </c>
      <c r="D17" s="4" t="n">
        <f aca="false">-D6*Assumptions!D46/100</f>
        <v>-2626.498953</v>
      </c>
      <c r="E17" s="4" t="n">
        <f aca="false">-E6*Assumptions!E46/100</f>
        <v>-2823.486374475</v>
      </c>
      <c r="F17" s="4" t="n">
        <f aca="false">-F6*Assumptions!F46/100</f>
        <v>-2941.62698856488</v>
      </c>
      <c r="G17" s="4" t="n">
        <f aca="false">-G6*Assumptions!G46/100</f>
        <v>-3048.1615876102</v>
      </c>
      <c r="H17" s="4" t="n">
        <f aca="false">-H6*Assumptions!H46/100</f>
        <v>-3051.54843381865</v>
      </c>
      <c r="I17" s="4" t="n">
        <f aca="false">-I6*Assumptions!I46/100</f>
        <v>-3109.8868597593</v>
      </c>
      <c r="J17" s="4" t="n">
        <f aca="false">-J6*Assumptions!J46/100</f>
        <v>-3052.87226733038</v>
      </c>
      <c r="K17" s="4" t="n">
        <f aca="false">-K6*Assumptions!K46/100</f>
        <v>-3072.56821744219</v>
      </c>
      <c r="L17" s="4" t="n">
        <f aca="false">-L6*Assumptions!L46/100</f>
        <v>-3180.10810505267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5082.25940001</v>
      </c>
      <c r="D19" s="0" t="n">
        <f aca="false">D15+D16+D17+D18</f>
        <v>5611.5150130845</v>
      </c>
      <c r="E19" s="0" t="n">
        <f aca="false">E15+E16+E17+E18</f>
        <v>6209.77531588318</v>
      </c>
      <c r="F19" s="0" t="n">
        <f aca="false">F15+F16+F17+F18</f>
        <v>6913.77746431294</v>
      </c>
      <c r="G19" s="0" t="n">
        <f aca="false">G15+G16+G17+G18</f>
        <v>7586.06981558727</v>
      </c>
      <c r="H19" s="0" t="n">
        <f aca="false">H15+H16+H17+H18</f>
        <v>8367.25605410622</v>
      </c>
      <c r="I19" s="0" t="n">
        <f aca="false">I15+I16+I17+I18</f>
        <v>8951.00829435328</v>
      </c>
      <c r="J19" s="0" t="n">
        <f aca="false">J15+J16+J17+J18</f>
        <v>9550.76316871726</v>
      </c>
      <c r="K19" s="0" t="n">
        <f aca="false">K15+K16+K17+K18</f>
        <v>10035.2126360474</v>
      </c>
      <c r="L19" s="0" t="n">
        <f aca="false">L15+L16+L17+L18</f>
        <v>10386.445078309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4684.11004609217</v>
      </c>
      <c r="D21" s="0" t="n">
        <f aca="false">D19*D20</f>
        <v>4766.73109480728</v>
      </c>
      <c r="E21" s="0" t="n">
        <f aca="false">E19*E20</f>
        <v>4861.68338424018</v>
      </c>
      <c r="F21" s="0" t="n">
        <f aca="false">F19*F20</f>
        <v>4988.80402539951</v>
      </c>
      <c r="G21" s="0" t="n">
        <f aca="false">G19*G20</f>
        <v>5045.08101160287</v>
      </c>
      <c r="H21" s="0" t="n">
        <f aca="false">H19*H20</f>
        <v>5128.66852006065</v>
      </c>
      <c r="I21" s="0" t="n">
        <f aca="false">I19*I20</f>
        <v>5056.66045146551</v>
      </c>
      <c r="J21" s="0" t="n">
        <f aca="false">J19*J20</f>
        <v>4972.79058433006</v>
      </c>
      <c r="K21" s="0" t="n">
        <f aca="false">K19*K20</f>
        <v>4815.69458150371</v>
      </c>
      <c r="L21" s="0" t="n">
        <f aca="false">L19*L20</f>
        <v>4593.77317221782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48913.9968717198</v>
      </c>
    </row>
    <row r="31" customFormat="false" ht="15" hidden="false" customHeight="false" outlineLevel="0" collapsed="false">
      <c r="A31" s="0" t="s">
        <v>137</v>
      </c>
      <c r="B31" s="0" t="n">
        <f aca="false">L19</f>
        <v>10386.445078309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194509.789648333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228501.791722798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194509.789648333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86028.843043352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134942.839915072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138075.839915072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123.61310645933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-0.0746829369014889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1963.37010445957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3160.82377330599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128.2005674063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89150.3202554858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54.7576188496293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71.9229043705115</v>
      </c>
      <c r="C4" s="0" t="n">
        <f aca="false">B4/Assumptions!$B$2-1</f>
        <v>-0.461614609098649</v>
      </c>
      <c r="D4" s="4" t="n">
        <f aca="false">Assumptions!$B$24</f>
        <v>0.2</v>
      </c>
      <c r="E4" s="4" t="n">
        <f aca="false">DCF_Bear!$B$43</f>
        <v>75.3198426644407</v>
      </c>
      <c r="F4" s="4" t="n">
        <f aca="false">DCF_Bear!$B$47</f>
        <v>37.1247404719877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103.727156072932</v>
      </c>
      <c r="C5" s="0" t="n">
        <f aca="false">B5/Assumptions!$B$2-1</f>
        <v>-0.223541013002982</v>
      </c>
      <c r="D5" s="4" t="n">
        <f aca="false">Assumptions!$B$38</f>
        <v>0.5</v>
      </c>
      <c r="E5" s="4" t="n">
        <f aca="false">DCF_Base!$B$43</f>
        <v>107.899741647004</v>
      </c>
      <c r="F5" s="4" t="n">
        <f aca="false">DCF_Base!$B$47</f>
        <v>47.4623630974882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123.61310645933</v>
      </c>
      <c r="C6" s="0" t="n">
        <f aca="false">B6/Assumptions!$B$2-1</f>
        <v>-0.0746829369014889</v>
      </c>
      <c r="D6" s="4" t="n">
        <f aca="false">Assumptions!$B$52</f>
        <v>0.3</v>
      </c>
      <c r="E6" s="4" t="n">
        <f aca="false">DCF_Bull!$B$43</f>
        <v>128.2005674063</v>
      </c>
      <c r="F6" s="4" t="n">
        <f aca="false">DCF_Bull!$B$47</f>
        <v>54.7576188496293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103.332090848367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107.47400957828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-0.292821996566723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730.528798962443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47.5834152980305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103.727156072932</v>
      </c>
      <c r="C15" s="3" t="n">
        <v>8.5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95.0323295817429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81.3874557334907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71.1741403349938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63.2473803600997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47.4623630974882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125.653921366696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125.653921366696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125.653921366696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125.653921366696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125.653921366696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111.072443362351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116.387460206112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116.387460206112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116.387460206112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116.387460206112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93.6179208844417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98.2513203458329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103.727156072932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107.966512764879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107.966512764879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80.8559501297672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84.0251207309723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87.6818560400552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91.9480472339852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96.9899095540843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71.1279943518113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73.3825584118326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75.93773101319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78.8579282718842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82.2273866473006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2026-10-02T09:30:26Z</dcterms:created>
  <dc:creator>openpyxl</dc:creator>
  <dc:description/>
  <dc:language>en-NZ</dc:language>
  <cp:lastModifiedBy/>
  <dcterms:modified xsi:type="dcterms:W3CDTF">2026-10-02T09:30:26Z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