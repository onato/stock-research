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<sst xmlns="http://schemas.openxmlformats.org/spreadsheetml/2006/main" count="345" uniqueCount="161">
  <si>
    <t xml:space="preserve">Ticker</t>
  </si>
  <si>
    <t xml:space="preserve">2291.HK</t>
  </si>
  <si>
    <t xml:space="preserve">Company</t>
  </si>
  <si>
    <t xml:space="preserve">LEPU ScienTech Medical Technology (Shanghai) Co., Ltd.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</si>
  <si>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</si>
  <si>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</si>
  <si>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</si>
  <si>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</si>
  <si>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(HKEX, Friday);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</si>
  <si>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</si>
  <si>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</si>
  <si>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</si>
  <si>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</si>
  <si>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</si>
  <si>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</si>
  <si>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</si>
  <si>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</si>
  <si>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</si>
  <si>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</si>
  <si>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</si>
  <si>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</si>
  <si>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</si>
  <si>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2026-10-18T00:27:22Z</t>
  </si>
  <si>
    <t xml:space="preserve">Drivers file</t>
  </si>
  <si>
    <t xml:space="preserve">2291.HK_Drivers.json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</si>
  <si>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</si>
  <si>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</si>
  <si>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</si>
  <si>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high-margin China structural-heart device maker whose legacy occluder franchise has just been pulled into national volume-based procurement. Roughly a third of the market value is financial assets (~RMB1.19bn net of the declared dividend). The valuation question is how far margins fall from the 57-63% of FY2024-25 once VBP and price governance are fully in the numbers, and whether biodegradable occluders and TAVR restore growth. Risk is charged in the flows through a 30% bear weight, not through the discount rate.
key_risks_to_valuation: Expansion of NHSA price governance to biodegradable occluders and aortic valves (the non-VBP growth engine); Margin compression faster than modelled as selling costs are defended against lower ASPs; Persistent receivables/inventory build under hospital-procurement payment terms depressing cash conversion below the component build; Related-party and conflict risk with controlling shareholder Lepu Medical (entrusted TAVR products, H-share block sales); FX: CNY/HKD rate is a fixed input; a 5% CNY move shifts HKD value 5%; Cash deployment: a large RMB1.2bn pile could be spent on value-destructive M&amp;A rather than returned</t>
  </si>
  <si>
    <t xml:space="preserve">Data sources</t>
  </si>
  <si>
    <t xml:space="preserve">price: Yahoo Finance chart API at inputs.price_as_of; 52-week range 8.33-20.96 HKD
fx: Yahoo Finance CNYHKD=X, cross-checked against CNY=X and HKD=X; see inputs.fx_note
financials: 2291.HK_Metrics.csv (FY2021-FY2025, H1 FY2023-FY2026); FY2025 Annual Report (CAS statements, income statement, tax reconciliation note V(25), SBC note XII(3), expense-by-nature note V(27)); H1 FY2026 Interim Report (balance sheet, cash flow statement, dividends payable, treasury shares, other non-current assets notes)
qualitative: 2291.HK_Analysis.json (2026-10-18): VBP rollout from April 2026, NHSA price-governance review, pipeline roadmap 2026-2030</t>
  </si>
  <si>
    <t xml:space="preserve">Scenario narrative: bear</t>
  </si>
  <si>
    <t xml:space="preserve">Price governance reaches the biodegradable and valve lines, metal occluders keep shrinking, TAVR stays sub-scale against entrenched domestic rivals and approvals slip. Revenue falls in FY2026-27 and EBITDA margin compresses to ~38%, a Lifetech-like level.</t>
  </si>
  <si>
    <t xml:space="preserve">Scenario narrative: base</t>
  </si>
  <si>
    <t xml:space="preserve">VBP resets metal-occluder prices once; destocking ends in H2 FY2026 and FY2026 revenue is roughly flat (H1 -5.9%, H2 recovering against a VBP-depressed H2 FY2025). From FY2027 biodegradable occluders, ScienCrown TAVR and the 2026-2028 approval wave carry high-single-digit growth that fades to 2.5%; EBITDA margin glides from 57% (FY2025) to 46% on valve mix, elevated selling spend and price governance.</t>
  </si>
  <si>
    <t xml:space="preserve">Scenario narrative: bull</t>
  </si>
  <si>
    <t xml:space="preserve">VBP volume gains outweigh price cuts, biodegradable occluders become the standard of care outside the procurement basket, TAVR and MCS become a genuine second franchise and overseas CE-marked sales scale. Management's 'relatively high growth' arrives a year late; revenue compounds low-teens through FY2028 with mid-50s margins.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</si>
  <si>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</si>
  <si>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</si>
  <si>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</si>
  <si>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</si>
  <si>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</si>
  <si>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</si>
  <si>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</si>
  <si>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</si>
  <si>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</si>
  <si>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</si>
  <si>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</si>
  <si>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</si>
  <si>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</si>
  <si>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</si>
  <si>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</si>
  <si>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</si>
  <si>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</si>
  <si>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</si>
  <si>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</si>
  <si>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</si>
  <si>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</si>
  <si>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</si>
  <si>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</si>
  <si>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</si>
  <si>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</si>
  <si>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</si>
  <si>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</si>
  <si>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MarketingExpense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</si>
  <si>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</si>
  <si>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</si>
  <si>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</si>
  <si>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</si>
  <si>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</si>
  <si>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</si>
  <si>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</si>
  <si>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</si>
  <si>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</si>
  <si>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</si>
  <si>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</si>
  <si>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</si>
  <si>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</si>
  <si>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</si>
  <si>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</si>
  <si>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</si>
  <si>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</si>
  <si>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</si>
  <si>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</si>
  <si>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</si>
  <si>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</si>
  <si>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</si>
  <si>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</si>
  <si>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</si>
  <si>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</si>
  <si>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</si>
  <si>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</si>
  <si>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</si>
  <si>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</si>
  <si>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</si>
  <si>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</si>
  <si>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</si>
  <si>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</si>
  <si>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</si>
  <si>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</si>
  <si>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</si>
  <si>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</si>
  <si>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</si>
  <si>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</si>
  <si>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</si>
  <si>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</si>
  <si>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</si>
  <si>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2291.HK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</si>
  <si>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</si>
  <si>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</si>
  <si>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</si>
  <si>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</si>
  <si>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</si>
  <si>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</si>
  <si>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</si>
  <si>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</si>
  <si>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</si>
  <si>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</si>
  <si>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</si>
  <si>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</si>
  <si>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</si>
  <si>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</si>
  <si>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</si>
  <si>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</si>
  <si>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</si>
  <si>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</si>
  <si>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</si>
  <si>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</si>
  <si>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</si>
  <si>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</si>
  <si>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</si>
  <si>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</si>
  <si>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</si>
  <si>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</si>
  <si>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</si>
  <si>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</si>
  <si>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</si>
  <si>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</si>
  <si>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2291.HK owner-FCF component DCF: base case (millions, CNY)</t>
  </si>
  <si>
    <t xml:space="preserve">2291.HK owner-FCF component DCF: bull case (millions, CNY)</t>
  </si>
  <si>
    <t xml:space="preserve">2291.HK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</si>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</sst>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222.583</v>
      </c>
      <c r="C2" s="0" t="n">
        <v>25.038</v>
      </c>
      <c r="D2" s="0" t="n">
        <v>197.545</v>
      </c>
      <c r="E2" s="0" t="n">
        <v>88.8</v>
      </c>
      <c r="F2" s="0" t="n">
        <v>76.387</v>
      </c>
      <c r="G2" s="0" t="n">
        <v>34.3</v>
      </c>
      <c r="I2" s="0" t="n">
        <v>58.697</v>
      </c>
      <c r="J2" s="0" t="n">
        <v>26.4</v>
      </c>
      <c r="K2" s="0" t="n">
        <v>0.19</v>
      </c>
      <c r="L2" s="0" t="n">
        <v>105.278</v>
      </c>
      <c r="M2" s="0" t="n">
        <v>91.84</v>
      </c>
      <c r="N2" s="0" t="n">
        <v>13.438</v>
      </c>
      <c r="O2" s="0" t="n">
        <v>385.191</v>
      </c>
      <c r="P2" s="0" t="n">
        <v>1119.69</v>
      </c>
      <c r="Q2" s="0" t="n">
        <v>734.499</v>
      </c>
      <c r="R2" s="0" t="n">
        <v>0</v>
      </c>
      <c r="S2" s="0" t="n">
        <v>713.48</v>
      </c>
      <c r="T2" s="0" t="n">
        <v>324.295</v>
      </c>
      <c r="U2" s="0" t="n">
        <v>22.257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247.67</v>
      </c>
      <c r="C3" s="0" t="n">
        <v>27.984</v>
      </c>
      <c r="D3" s="0" t="n">
        <v>219.686</v>
      </c>
      <c r="E3" s="0" t="n">
        <v>88.7</v>
      </c>
      <c r="F3" s="0" t="n">
        <v>-1.726</v>
      </c>
      <c r="G3" s="0" t="n">
        <v>-0.7</v>
      </c>
      <c r="I3" s="0" t="n">
        <v>-19.813</v>
      </c>
      <c r="J3" s="0" t="n">
        <v>-8</v>
      </c>
      <c r="K3" s="0" t="n">
        <v>-0.06</v>
      </c>
      <c r="L3" s="0" t="n">
        <v>65.531</v>
      </c>
      <c r="M3" s="0" t="n">
        <v>83.36</v>
      </c>
      <c r="N3" s="0" t="n">
        <v>-17.829</v>
      </c>
      <c r="O3" s="0" t="n">
        <v>1744.527</v>
      </c>
      <c r="P3" s="0" t="n">
        <v>1809.621</v>
      </c>
      <c r="Q3" s="0" t="n">
        <v>65.094</v>
      </c>
      <c r="R3" s="0" t="n">
        <v>0</v>
      </c>
      <c r="S3" s="0" t="n">
        <v>944.515</v>
      </c>
      <c r="T3" s="0" t="n">
        <v>346.75</v>
      </c>
      <c r="U3" s="0" t="n">
        <v>24.352</v>
      </c>
      <c r="AA3" s="0" t="s">
        <v>18</v>
      </c>
      <c r="AB3" s="0" t="s">
        <v>14</v>
      </c>
      <c r="AC3" s="0" t="n">
        <v>38.663</v>
      </c>
    </row>
    <row r="4" customFormat="false" ht="15" hidden="false" customHeight="false" outlineLevel="0" collapsed="false">
      <c r="A4" s="0" t="s">
        <v>67</v>
      </c>
      <c r="B4" s="0" t="n">
        <v>325.896</v>
      </c>
      <c r="C4" s="0" t="n">
        <v>37.085</v>
      </c>
      <c r="D4" s="0" t="n">
        <v>288.811</v>
      </c>
      <c r="E4" s="0" t="n">
        <v>88.6</v>
      </c>
      <c r="F4" s="0" t="n">
        <v>158.682</v>
      </c>
      <c r="G4" s="0" t="n">
        <v>48.7</v>
      </c>
      <c r="I4" s="0" t="n">
        <v>151.532</v>
      </c>
      <c r="J4" s="0" t="n">
        <v>46.5</v>
      </c>
      <c r="K4" s="0" t="n">
        <v>0.44</v>
      </c>
      <c r="L4" s="0" t="n">
        <v>164.257</v>
      </c>
      <c r="M4" s="0" t="n">
        <v>86.745</v>
      </c>
      <c r="N4" s="0" t="n">
        <v>77.512</v>
      </c>
      <c r="O4" s="0" t="n">
        <v>1926.674</v>
      </c>
      <c r="P4" s="0" t="n">
        <v>1986.466</v>
      </c>
      <c r="Q4" s="0" t="n">
        <v>59.792</v>
      </c>
      <c r="R4" s="0" t="n">
        <v>0</v>
      </c>
      <c r="S4" s="0" t="n">
        <v>1212.034</v>
      </c>
      <c r="T4" s="0" t="n">
        <v>346.75</v>
      </c>
      <c r="U4" s="0" t="n">
        <v>30.615</v>
      </c>
      <c r="AA4" s="0" t="s">
        <v>18</v>
      </c>
      <c r="AB4" s="0" t="s">
        <v>14</v>
      </c>
      <c r="AC4" s="0" t="n">
        <v>50.113</v>
      </c>
    </row>
    <row r="5" customFormat="false" ht="15" hidden="false" customHeight="false" outlineLevel="0" collapsed="false">
      <c r="A5" s="0" t="s">
        <v>68</v>
      </c>
      <c r="B5" s="0" t="n">
        <v>471.644</v>
      </c>
      <c r="C5" s="0" t="n">
        <v>47.614</v>
      </c>
      <c r="D5" s="0" t="n">
        <v>424.03</v>
      </c>
      <c r="E5" s="0" t="n">
        <v>89.9</v>
      </c>
      <c r="F5" s="0" t="n">
        <v>286.136</v>
      </c>
      <c r="G5" s="0" t="n">
        <v>60.7</v>
      </c>
      <c r="I5" s="0" t="n">
        <v>245.56</v>
      </c>
      <c r="J5" s="0" t="n">
        <v>52.1</v>
      </c>
      <c r="K5" s="0" t="n">
        <v>0.71</v>
      </c>
      <c r="L5" s="0" t="n">
        <v>222.486</v>
      </c>
      <c r="M5" s="0" t="n">
        <v>85.436</v>
      </c>
      <c r="N5" s="0" t="n">
        <v>137.05</v>
      </c>
      <c r="O5" s="0" t="n">
        <v>1997.049</v>
      </c>
      <c r="P5" s="0" t="n">
        <v>2083.031</v>
      </c>
      <c r="Q5" s="0" t="n">
        <v>85.982</v>
      </c>
      <c r="R5" s="0" t="n">
        <v>0</v>
      </c>
      <c r="S5" s="0" t="n">
        <v>1121.338</v>
      </c>
      <c r="T5" s="0" t="n">
        <v>346.75</v>
      </c>
      <c r="U5" s="0" t="n">
        <v>22.389</v>
      </c>
      <c r="AA5" s="0" t="s">
        <v>18</v>
      </c>
      <c r="AB5" s="0" t="s">
        <v>14</v>
      </c>
      <c r="AC5" s="0" t="n">
        <v>71.13</v>
      </c>
    </row>
    <row r="6" customFormat="false" ht="15" hidden="false" customHeight="false" outlineLevel="0" collapsed="false">
      <c r="A6" s="0" t="s">
        <v>69</v>
      </c>
      <c r="B6" s="0" t="n">
        <v>527.944</v>
      </c>
      <c r="C6" s="0" t="n">
        <v>80.99</v>
      </c>
      <c r="D6" s="0" t="n">
        <v>446.954</v>
      </c>
      <c r="E6" s="0" t="n">
        <v>84.7</v>
      </c>
      <c r="F6" s="0" t="n">
        <v>276.541</v>
      </c>
      <c r="G6" s="0" t="n">
        <v>52.4</v>
      </c>
      <c r="I6" s="0" t="n">
        <v>239.728</v>
      </c>
      <c r="J6" s="0" t="n">
        <v>45.4</v>
      </c>
      <c r="K6" s="0" t="n">
        <v>0.69</v>
      </c>
      <c r="L6" s="0" t="n">
        <v>221.095</v>
      </c>
      <c r="M6" s="0" t="n">
        <v>76.438</v>
      </c>
      <c r="N6" s="0" t="n">
        <v>144.657</v>
      </c>
      <c r="O6" s="0" t="n">
        <v>2036.951</v>
      </c>
      <c r="P6" s="0" t="n">
        <v>2098.926</v>
      </c>
      <c r="Q6" s="0" t="n">
        <v>61.975</v>
      </c>
      <c r="R6" s="0" t="n">
        <v>0</v>
      </c>
      <c r="S6" s="0" t="n">
        <v>1151.33</v>
      </c>
      <c r="T6" s="0" t="n">
        <v>346.75</v>
      </c>
      <c r="U6" s="0" t="n">
        <v>15.159</v>
      </c>
      <c r="AA6" s="0" t="s">
        <v>18</v>
      </c>
      <c r="AB6" s="0" t="s">
        <v>14</v>
      </c>
      <c r="AC6" s="0" t="n">
        <v>106.831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13.44</v>
      </c>
    </row>
    <row r="3" customFormat="false" ht="15" hidden="false" customHeight="false" outlineLevel="0" collapsed="false">
      <c r="A3" s="0" t="s">
        <v>73</v>
      </c>
      <c r="B3" s="3" t="n">
        <v>346.01</v>
      </c>
    </row>
    <row r="4" customFormat="false" ht="15" hidden="false" customHeight="false" outlineLevel="0" collapsed="false">
      <c r="A4" s="0" t="s">
        <v>74</v>
      </c>
      <c r="B4" s="3" t="n">
        <v>-1235.9</v>
      </c>
    </row>
    <row r="5" customFormat="false" ht="15" hidden="false" customHeight="false" outlineLevel="0" collapsed="false">
      <c r="A5" s="0" t="s">
        <v>75</v>
      </c>
      <c r="B5" s="3" t="n">
        <v>-49.5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527.944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1.1724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-4</v>
      </c>
      <c r="D13" s="3" t="n">
        <v>-2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94</v>
      </c>
      <c r="C14" s="3" t="n">
        <v>49</v>
      </c>
      <c r="D14" s="3" t="n">
        <v>45</v>
      </c>
      <c r="E14" s="3" t="n">
        <v>42</v>
      </c>
      <c r="F14" s="3" t="n">
        <v>40</v>
      </c>
      <c r="G14" s="3" t="n">
        <v>39</v>
      </c>
      <c r="H14" s="3" t="n">
        <v>38</v>
      </c>
      <c r="I14" s="3" t="n">
        <v>38</v>
      </c>
      <c r="J14" s="3" t="n">
        <v>38</v>
      </c>
      <c r="K14" s="3" t="n">
        <v>38</v>
      </c>
      <c r="L14" s="3" t="n">
        <v>38</v>
      </c>
    </row>
    <row r="15" customFormat="false" ht="15" hidden="false" customHeight="false" outlineLevel="0" collapsed="false">
      <c r="A15" s="0" t="s">
        <v>95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97</v>
      </c>
      <c r="C17" s="3" t="n">
        <v>9</v>
      </c>
      <c r="D17" s="3" t="n">
        <v>9</v>
      </c>
      <c r="E17" s="3" t="n">
        <v>9</v>
      </c>
      <c r="F17" s="3" t="n">
        <v>9</v>
      </c>
      <c r="G17" s="3" t="n">
        <v>8.5</v>
      </c>
      <c r="H17" s="3" t="n">
        <v>8.5</v>
      </c>
      <c r="I17" s="3" t="n">
        <v>8</v>
      </c>
      <c r="J17" s="3" t="n">
        <v>8</v>
      </c>
      <c r="K17" s="3" t="n">
        <v>8</v>
      </c>
      <c r="L17" s="3" t="n">
        <v>8</v>
      </c>
    </row>
    <row r="18" customFormat="false" ht="15" hidden="false" customHeight="false" outlineLevel="0" collapsed="false">
      <c r="A18" s="0" t="s">
        <v>98</v>
      </c>
      <c r="C18" s="3" t="n">
        <v>11</v>
      </c>
      <c r="D18" s="3" t="n">
        <v>11</v>
      </c>
      <c r="E18" s="3" t="n">
        <v>10.5</v>
      </c>
      <c r="F18" s="3" t="n">
        <v>10</v>
      </c>
      <c r="G18" s="3" t="n">
        <v>10</v>
      </c>
      <c r="H18" s="3" t="n">
        <v>9.5</v>
      </c>
      <c r="I18" s="3" t="n">
        <v>9.5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99</v>
      </c>
      <c r="C19" s="3" t="n">
        <v>14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100</v>
      </c>
      <c r="B20" s="3" t="n">
        <v>10</v>
      </c>
    </row>
    <row r="21" customFormat="false" ht="15" hidden="false" customHeight="false" outlineLevel="0" collapsed="false">
      <c r="A21" s="0" t="s">
        <v>101</v>
      </c>
      <c r="B21" s="3" t="n">
        <v>2</v>
      </c>
    </row>
    <row r="22" customFormat="false" ht="15" hidden="false" customHeight="false" outlineLevel="0" collapsed="false">
      <c r="A22" s="0" t="s">
        <v>102</v>
      </c>
      <c r="B22" s="3" t="n">
        <v>15</v>
      </c>
    </row>
    <row r="23" customFormat="false" ht="15" hidden="false" customHeight="false" outlineLevel="0" collapsed="false">
      <c r="A23" s="0" t="s">
        <v>103</v>
      </c>
      <c r="B23" s="3" t="n">
        <v>-50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1</v>
      </c>
      <c r="D27" s="3" t="n">
        <v>8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94</v>
      </c>
      <c r="C28" s="3" t="n">
        <v>52</v>
      </c>
      <c r="D28" s="3" t="n">
        <v>51</v>
      </c>
      <c r="E28" s="3" t="n">
        <v>50</v>
      </c>
      <c r="F28" s="3" t="n">
        <v>49</v>
      </c>
      <c r="G28" s="3" t="n">
        <v>48</v>
      </c>
      <c r="H28" s="3" t="n">
        <v>47</v>
      </c>
      <c r="I28" s="3" t="n">
        <v>46</v>
      </c>
      <c r="J28" s="3" t="n">
        <v>46</v>
      </c>
      <c r="K28" s="3" t="n">
        <v>46</v>
      </c>
      <c r="L28" s="3" t="n">
        <v>46</v>
      </c>
    </row>
    <row r="29" customFormat="false" ht="15" hidden="false" customHeight="false" outlineLevel="0" collapsed="false">
      <c r="A29" s="0" t="s">
        <v>95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97</v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8.5</v>
      </c>
      <c r="H31" s="3" t="n">
        <v>8.5</v>
      </c>
      <c r="I31" s="3" t="n">
        <v>8</v>
      </c>
      <c r="J31" s="3" t="n">
        <v>8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98</v>
      </c>
      <c r="C32" s="3" t="n">
        <v>11</v>
      </c>
      <c r="D32" s="3" t="n">
        <v>11</v>
      </c>
      <c r="E32" s="3" t="n">
        <v>10.5</v>
      </c>
      <c r="F32" s="3" t="n">
        <v>10</v>
      </c>
      <c r="G32" s="3" t="n">
        <v>10</v>
      </c>
      <c r="H32" s="3" t="n">
        <v>9.5</v>
      </c>
      <c r="I32" s="3" t="n">
        <v>9.5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99</v>
      </c>
      <c r="C33" s="3" t="n">
        <v>14</v>
      </c>
      <c r="D33" s="3" t="n">
        <v>14</v>
      </c>
      <c r="E33" s="3" t="n">
        <v>14.5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100</v>
      </c>
      <c r="B34" s="3" t="n">
        <v>10</v>
      </c>
    </row>
    <row r="35" customFormat="false" ht="15" hidden="false" customHeight="false" outlineLevel="0" collapsed="false">
      <c r="A35" s="0" t="s">
        <v>101</v>
      </c>
      <c r="B35" s="3" t="n">
        <v>2</v>
      </c>
    </row>
    <row r="36" customFormat="false" ht="15" hidden="false" customHeight="false" outlineLevel="0" collapsed="false">
      <c r="A36" s="0" t="s">
        <v>102</v>
      </c>
      <c r="B36" s="3" t="n">
        <v>15</v>
      </c>
    </row>
    <row r="37" customFormat="false" ht="15" hidden="false" customHeight="false" outlineLevel="0" collapsed="false">
      <c r="A37" s="0" t="s">
        <v>103</v>
      </c>
      <c r="B37" s="3" t="n">
        <v>-50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4</v>
      </c>
      <c r="D41" s="3" t="n">
        <v>14</v>
      </c>
      <c r="E41" s="3" t="n">
        <v>14</v>
      </c>
      <c r="F41" s="3" t="n">
        <v>12</v>
      </c>
      <c r="G41" s="3" t="n">
        <v>10</v>
      </c>
      <c r="H41" s="3" t="n">
        <v>9</v>
      </c>
      <c r="I41" s="3" t="n">
        <v>7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94</v>
      </c>
      <c r="C42" s="3" t="n">
        <v>54</v>
      </c>
      <c r="D42" s="3" t="n">
        <v>55</v>
      </c>
      <c r="E42" s="3" t="n">
        <v>55</v>
      </c>
      <c r="F42" s="3" t="n">
        <v>54</v>
      </c>
      <c r="G42" s="3" t="n">
        <v>54</v>
      </c>
      <c r="H42" s="3" t="n">
        <v>53</v>
      </c>
      <c r="I42" s="3" t="n">
        <v>53</v>
      </c>
      <c r="J42" s="3" t="n">
        <v>52</v>
      </c>
      <c r="K42" s="3" t="n">
        <v>52</v>
      </c>
      <c r="L42" s="3" t="n">
        <v>52</v>
      </c>
    </row>
    <row r="43" customFormat="false" ht="15" hidden="false" customHeight="false" outlineLevel="0" collapsed="false">
      <c r="A43" s="0" t="s">
        <v>95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97</v>
      </c>
      <c r="C45" s="3" t="n">
        <v>9</v>
      </c>
      <c r="D45" s="3" t="n">
        <v>9</v>
      </c>
      <c r="E45" s="3" t="n">
        <v>9</v>
      </c>
      <c r="F45" s="3" t="n">
        <v>9</v>
      </c>
      <c r="G45" s="3" t="n">
        <v>8.5</v>
      </c>
      <c r="H45" s="3" t="n">
        <v>8.5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98</v>
      </c>
      <c r="C46" s="3" t="n">
        <v>11</v>
      </c>
      <c r="D46" s="3" t="n">
        <v>12</v>
      </c>
      <c r="E46" s="3" t="n">
        <v>12</v>
      </c>
      <c r="F46" s="3" t="n">
        <v>11</v>
      </c>
      <c r="G46" s="3" t="n">
        <v>10</v>
      </c>
      <c r="H46" s="3" t="n">
        <v>10</v>
      </c>
      <c r="I46" s="3" t="n">
        <v>9.5</v>
      </c>
      <c r="J46" s="3" t="n">
        <v>9.5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99</v>
      </c>
      <c r="C47" s="3" t="n">
        <v>14</v>
      </c>
      <c r="D47" s="3" t="n">
        <v>14</v>
      </c>
      <c r="E47" s="3" t="n">
        <v>14.5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100</v>
      </c>
      <c r="B48" s="3" t="n">
        <v>10</v>
      </c>
    </row>
    <row r="49" customFormat="false" ht="15" hidden="false" customHeight="false" outlineLevel="0" collapsed="false">
      <c r="A49" s="0" t="s">
        <v>101</v>
      </c>
      <c r="B49" s="3" t="n">
        <v>2</v>
      </c>
    </row>
    <row r="50" customFormat="false" ht="15" hidden="false" customHeight="false" outlineLevel="0" collapsed="false">
      <c r="A50" s="0" t="s">
        <v>102</v>
      </c>
      <c r="B50" s="3" t="n">
        <v>15</v>
      </c>
    </row>
    <row r="51" customFormat="false" ht="15" hidden="false" customHeight="false" outlineLevel="0" collapsed="false">
      <c r="A51" s="0" t="s">
        <v>103</v>
      </c>
      <c r="B51" s="3" t="n">
        <v>-50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-4</v>
      </c>
      <c r="D5" s="4" t="n">
        <f aca="false">Assumptions!D13</f>
        <v>-2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527.944</v>
      </c>
      <c r="C6" s="0" t="n">
        <f aca="false">B6*(1+C5/100)</f>
        <v>506.82624</v>
      </c>
      <c r="D6" s="0" t="n">
        <f aca="false">C6*(1+D5/100)</f>
        <v>496.6897152</v>
      </c>
      <c r="E6" s="0" t="n">
        <f aca="false">D6*(1+E5/100)</f>
        <v>506.623509504</v>
      </c>
      <c r="F6" s="0" t="n">
        <f aca="false">E6*(1+F5/100)</f>
        <v>521.82221478912</v>
      </c>
      <c r="G6" s="0" t="n">
        <f aca="false">F6*(1+G5/100)</f>
        <v>537.476881232794</v>
      </c>
      <c r="H6" s="0" t="n">
        <f aca="false">G6*(1+H5/100)</f>
        <v>553.601187669777</v>
      </c>
      <c r="I6" s="0" t="n">
        <f aca="false">H6*(1+I5/100)</f>
        <v>567.441217361522</v>
      </c>
      <c r="J6" s="0" t="n">
        <f aca="false">I6*(1+J5/100)</f>
        <v>578.790041708752</v>
      </c>
      <c r="K6" s="0" t="n">
        <f aca="false">J6*(1+K5/100)</f>
        <v>590.365842542927</v>
      </c>
      <c r="L6" s="0" t="n">
        <f aca="false">K6*(1+L5/100)</f>
        <v>602.173159393786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49</v>
      </c>
      <c r="D7" s="4" t="n">
        <f aca="false">Assumptions!D14</f>
        <v>45</v>
      </c>
      <c r="E7" s="4" t="n">
        <f aca="false">Assumptions!E14</f>
        <v>42</v>
      </c>
      <c r="F7" s="4" t="n">
        <f aca="false">Assumptions!F14</f>
        <v>40</v>
      </c>
      <c r="G7" s="4" t="n">
        <f aca="false">Assumptions!G14</f>
        <v>39</v>
      </c>
      <c r="H7" s="4" t="n">
        <f aca="false">Assumptions!H14</f>
        <v>38</v>
      </c>
      <c r="I7" s="4" t="n">
        <f aca="false">Assumptions!I14</f>
        <v>38</v>
      </c>
      <c r="J7" s="4" t="n">
        <f aca="false">Assumptions!J14</f>
        <v>38</v>
      </c>
      <c r="K7" s="4" t="n">
        <f aca="false">Assumptions!K14</f>
        <v>38</v>
      </c>
      <c r="L7" s="4" t="n">
        <f aca="false">Assumptions!L14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248.3448576</v>
      </c>
      <c r="D8" s="0" t="n">
        <f aca="false">D6*D7/100</f>
        <v>223.51037184</v>
      </c>
      <c r="E8" s="0" t="n">
        <f aca="false">E6*E7/100</f>
        <v>212.78187399168</v>
      </c>
      <c r="F8" s="0" t="n">
        <f aca="false">F6*F7/100</f>
        <v>208.728885915648</v>
      </c>
      <c r="G8" s="0" t="n">
        <f aca="false">G6*G7/100</f>
        <v>209.615983680789</v>
      </c>
      <c r="H8" s="0" t="n">
        <f aca="false">H6*H7/100</f>
        <v>210.368451314515</v>
      </c>
      <c r="I8" s="0" t="n">
        <f aca="false">I6*I7/100</f>
        <v>215.627662597378</v>
      </c>
      <c r="J8" s="0" t="n">
        <f aca="false">J6*J7/100</f>
        <v>219.940215849326</v>
      </c>
      <c r="K8" s="0" t="n">
        <f aca="false">K6*K7/100</f>
        <v>224.339020166312</v>
      </c>
      <c r="L8" s="0" t="n">
        <f aca="false">L6*L7/100</f>
        <v>228.825800569639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-5.0682624</v>
      </c>
      <c r="D10" s="0" t="n">
        <f aca="false">-D6*D9/100</f>
        <v>-4.966897152</v>
      </c>
      <c r="E10" s="0" t="n">
        <f aca="false">-E6*E9/100</f>
        <v>-5.06623509504</v>
      </c>
      <c r="F10" s="0" t="n">
        <f aca="false">-F6*F9/100</f>
        <v>-5.2182221478912</v>
      </c>
      <c r="G10" s="0" t="n">
        <f aca="false">-G6*G9/100</f>
        <v>-5.37476881232794</v>
      </c>
      <c r="H10" s="0" t="n">
        <f aca="false">-H6*H9/100</f>
        <v>-5.53601187669777</v>
      </c>
      <c r="I10" s="0" t="n">
        <f aca="false">-I6*I9/100</f>
        <v>-5.67441217361522</v>
      </c>
      <c r="J10" s="0" t="n">
        <f aca="false">-J6*J9/100</f>
        <v>-5.78790041708752</v>
      </c>
      <c r="K10" s="0" t="n">
        <f aca="false">-K6*K9/100</f>
        <v>-5.90365842542927</v>
      </c>
      <c r="L10" s="0" t="n">
        <f aca="false">-L6*L9/100</f>
        <v>-6.02173159393786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243.2765952</v>
      </c>
      <c r="D11" s="0" t="n">
        <f aca="false">D8+D10+D24</f>
        <v>218.543474688</v>
      </c>
      <c r="E11" s="0" t="n">
        <f aca="false">E8+E10+E24</f>
        <v>207.71563889664</v>
      </c>
      <c r="F11" s="0" t="n">
        <f aca="false">F8+F10+F24</f>
        <v>203.510663767757</v>
      </c>
      <c r="G11" s="0" t="n">
        <f aca="false">G8+G10+G24</f>
        <v>204.241214868462</v>
      </c>
      <c r="H11" s="0" t="n">
        <f aca="false">H8+H10+H24</f>
        <v>204.832439437818</v>
      </c>
      <c r="I11" s="0" t="n">
        <f aca="false">I8+I10+I24</f>
        <v>209.953250423763</v>
      </c>
      <c r="J11" s="0" t="n">
        <f aca="false">J8+J10+J24</f>
        <v>214.152315432238</v>
      </c>
      <c r="K11" s="0" t="n">
        <f aca="false">K8+K10+K24</f>
        <v>218.435361740883</v>
      </c>
      <c r="L11" s="0" t="n">
        <f aca="false">L8+L10+L24</f>
        <v>222.804068975701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-45.6143616</v>
      </c>
      <c r="D12" s="4" t="n">
        <f aca="false">-D6*Assumptions!D17/100</f>
        <v>-44.702074368</v>
      </c>
      <c r="E12" s="4" t="n">
        <f aca="false">-E6*Assumptions!E17/100</f>
        <v>-45.59611585536</v>
      </c>
      <c r="F12" s="4" t="n">
        <f aca="false">-F6*Assumptions!F17/100</f>
        <v>-46.9639993310208</v>
      </c>
      <c r="G12" s="4" t="n">
        <f aca="false">-G6*Assumptions!G17/100</f>
        <v>-45.6855349047874</v>
      </c>
      <c r="H12" s="4" t="n">
        <f aca="false">-H6*Assumptions!H17/100</f>
        <v>-47.0561009519311</v>
      </c>
      <c r="I12" s="4" t="n">
        <f aca="false">-I6*Assumptions!I17/100</f>
        <v>-45.3952973889217</v>
      </c>
      <c r="J12" s="4" t="n">
        <f aca="false">-J6*Assumptions!J17/100</f>
        <v>-46.3032033367002</v>
      </c>
      <c r="K12" s="4" t="n">
        <f aca="false">-K6*Assumptions!K17/100</f>
        <v>-47.2292674034342</v>
      </c>
      <c r="L12" s="4" t="n">
        <f aca="false">-L6*Assumptions!L17/100</f>
        <v>-48.1738527515029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197.6622336</v>
      </c>
      <c r="D13" s="0" t="n">
        <f aca="false">D11+D12</f>
        <v>173.84140032</v>
      </c>
      <c r="E13" s="0" t="n">
        <f aca="false">E11+E12</f>
        <v>162.11952304128</v>
      </c>
      <c r="F13" s="0" t="n">
        <f aca="false">F11+F12</f>
        <v>156.546664436736</v>
      </c>
      <c r="G13" s="0" t="n">
        <f aca="false">G11+G12</f>
        <v>158.555679963674</v>
      </c>
      <c r="H13" s="0" t="n">
        <f aca="false">H11+H12</f>
        <v>157.776338485887</v>
      </c>
      <c r="I13" s="0" t="n">
        <f aca="false">I11+I12</f>
        <v>164.557953034841</v>
      </c>
      <c r="J13" s="0" t="n">
        <f aca="false">J11+J12</f>
        <v>167.849112095538</v>
      </c>
      <c r="K13" s="0" t="n">
        <f aca="false">K11+K12</f>
        <v>171.206094337449</v>
      </c>
      <c r="L13" s="0" t="n">
        <f aca="false">L11+L12</f>
        <v>174.630216224198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14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169.989520896</v>
      </c>
      <c r="D15" s="0" t="n">
        <f aca="false">D13-MAX(0,D13)*D14/100</f>
        <v>147.765190272</v>
      </c>
      <c r="E15" s="0" t="n">
        <f aca="false">E13-MAX(0,E13)*E14/100</f>
        <v>137.801594585088</v>
      </c>
      <c r="F15" s="0" t="n">
        <f aca="false">F13-MAX(0,F13)*F14/100</f>
        <v>133.064664771226</v>
      </c>
      <c r="G15" s="0" t="n">
        <f aca="false">G13-MAX(0,G13)*G14/100</f>
        <v>134.772327969123</v>
      </c>
      <c r="H15" s="0" t="n">
        <f aca="false">H13-MAX(0,H13)*H14/100</f>
        <v>134.109887713004</v>
      </c>
      <c r="I15" s="0" t="n">
        <f aca="false">I13-MAX(0,I13)*I14/100</f>
        <v>139.874260079615</v>
      </c>
      <c r="J15" s="0" t="n">
        <f aca="false">J13-MAX(0,J13)*J14/100</f>
        <v>142.671745281207</v>
      </c>
      <c r="K15" s="0" t="n">
        <f aca="false">K13-MAX(0,K13)*K14/100</f>
        <v>145.525180186832</v>
      </c>
      <c r="L15" s="0" t="n">
        <f aca="false">L13-MAX(0,L13)*L14/100</f>
        <v>148.435683790568</v>
      </c>
    </row>
    <row r="16" customFormat="false" ht="15" hidden="false" customHeight="false" outlineLevel="0" collapsed="false">
      <c r="A16" s="0" t="s">
        <v>115</v>
      </c>
      <c r="C16" s="0" t="n">
        <f aca="false">-C12</f>
        <v>45.6143616</v>
      </c>
      <c r="D16" s="0" t="n">
        <f aca="false">-D12</f>
        <v>44.702074368</v>
      </c>
      <c r="E16" s="0" t="n">
        <f aca="false">-E12</f>
        <v>45.59611585536</v>
      </c>
      <c r="F16" s="0" t="n">
        <f aca="false">-F12</f>
        <v>46.9639993310208</v>
      </c>
      <c r="G16" s="0" t="n">
        <f aca="false">-G12</f>
        <v>45.6855349047874</v>
      </c>
      <c r="H16" s="0" t="n">
        <f aca="false">-H12</f>
        <v>47.0561009519311</v>
      </c>
      <c r="I16" s="0" t="n">
        <f aca="false">-I12</f>
        <v>45.3952973889217</v>
      </c>
      <c r="J16" s="0" t="n">
        <f aca="false">-J12</f>
        <v>46.3032033367002</v>
      </c>
      <c r="K16" s="0" t="n">
        <f aca="false">-K12</f>
        <v>47.2292674034342</v>
      </c>
      <c r="L16" s="0" t="n">
        <f aca="false">-L12</f>
        <v>48.1738527515029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-55.7508864</v>
      </c>
      <c r="D17" s="4" t="n">
        <f aca="false">-D6*Assumptions!D18/100</f>
        <v>-54.635868672</v>
      </c>
      <c r="E17" s="4" t="n">
        <f aca="false">-E6*Assumptions!E18/100</f>
        <v>-53.19546849792</v>
      </c>
      <c r="F17" s="4" t="n">
        <f aca="false">-F6*Assumptions!F18/100</f>
        <v>-52.182221478912</v>
      </c>
      <c r="G17" s="4" t="n">
        <f aca="false">-G6*Assumptions!G18/100</f>
        <v>-53.7476881232793</v>
      </c>
      <c r="H17" s="4" t="n">
        <f aca="false">-H6*Assumptions!H18/100</f>
        <v>-52.5921128286289</v>
      </c>
      <c r="I17" s="4" t="n">
        <f aca="false">-I6*Assumptions!I18/100</f>
        <v>-53.9069156493446</v>
      </c>
      <c r="J17" s="4" t="n">
        <f aca="false">-J6*Assumptions!J18/100</f>
        <v>-52.0911037537877</v>
      </c>
      <c r="K17" s="4" t="n">
        <f aca="false">-K6*Assumptions!K18/100</f>
        <v>-53.1329258288635</v>
      </c>
      <c r="L17" s="4" t="n">
        <f aca="false">-L6*Assumptions!L18/100</f>
        <v>-54.1955843454407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10.55888</v>
      </c>
      <c r="D18" s="4" t="n">
        <f aca="false">(D6-C6)*Assumptions!$B$23/100</f>
        <v>5.06826240000001</v>
      </c>
      <c r="E18" s="4" t="n">
        <f aca="false">(E6-D6)*Assumptions!$B$23/100</f>
        <v>-4.966897152</v>
      </c>
      <c r="F18" s="4" t="n">
        <f aca="false">(F6-E6)*Assumptions!$B$23/100</f>
        <v>-7.59935264256001</v>
      </c>
      <c r="G18" s="4" t="n">
        <f aca="false">(G6-F6)*Assumptions!$B$23/100</f>
        <v>-7.8273332218368</v>
      </c>
      <c r="H18" s="4" t="n">
        <f aca="false">(H6-G6)*Assumptions!$B$23/100</f>
        <v>-8.06215321849192</v>
      </c>
      <c r="I18" s="4" t="n">
        <f aca="false">(I6-H6)*Assumptions!$B$23/100</f>
        <v>-6.92001484587217</v>
      </c>
      <c r="J18" s="4" t="n">
        <f aca="false">(J6-I6)*Assumptions!$B$23/100</f>
        <v>-5.67441217361522</v>
      </c>
      <c r="K18" s="4" t="n">
        <f aca="false">(K6-J6)*Assumptions!$B$23/100</f>
        <v>-5.78790041708754</v>
      </c>
      <c r="L18" s="4" t="n">
        <f aca="false">(L6-K6)*Assumptions!$B$23/100</f>
        <v>-5.90365842542929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170.411876096</v>
      </c>
      <c r="D19" s="0" t="n">
        <f aca="false">D15+D16+D17+D18</f>
        <v>142.899658368</v>
      </c>
      <c r="E19" s="0" t="n">
        <f aca="false">E15+E16+E17+E18</f>
        <v>125.235344790528</v>
      </c>
      <c r="F19" s="0" t="n">
        <f aca="false">F15+F16+F17+F18</f>
        <v>120.247089980774</v>
      </c>
      <c r="G19" s="0" t="n">
        <f aca="false">G15+G16+G17+G18</f>
        <v>118.882841528794</v>
      </c>
      <c r="H19" s="0" t="n">
        <f aca="false">H15+H16+H17+H18</f>
        <v>120.511722617814</v>
      </c>
      <c r="I19" s="0" t="n">
        <f aca="false">I15+I16+I17+I18</f>
        <v>124.44262697332</v>
      </c>
      <c r="J19" s="0" t="n">
        <f aca="false">J15+J16+J17+J18</f>
        <v>131.209432690505</v>
      </c>
      <c r="K19" s="0" t="n">
        <f aca="false">K15+K16+K17+K18</f>
        <v>133.833621344315</v>
      </c>
      <c r="L19" s="0" t="n">
        <f aca="false">L15+L16+L17+L18</f>
        <v>136.510293771201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154.91988736</v>
      </c>
      <c r="D21" s="0" t="n">
        <f aca="false">D19*D20</f>
        <v>118.098891213223</v>
      </c>
      <c r="E21" s="0" t="n">
        <f aca="false">E19*E20</f>
        <v>94.091168137136</v>
      </c>
      <c r="F21" s="0" t="n">
        <f aca="false">F19*F20</f>
        <v>82.1303804253633</v>
      </c>
      <c r="G21" s="0" t="n">
        <f aca="false">G19*G20</f>
        <v>73.8168912510908</v>
      </c>
      <c r="H21" s="0" t="n">
        <f aca="false">H19*H20</f>
        <v>68.0257256836281</v>
      </c>
      <c r="I21" s="0" t="n">
        <f aca="false">I19*I20</f>
        <v>63.8587442853147</v>
      </c>
      <c r="J21" s="0" t="n">
        <f aca="false">J19*J20</f>
        <v>61.2101687032527</v>
      </c>
      <c r="K21" s="0" t="n">
        <f aca="false">K19*K20</f>
        <v>56.7585200702888</v>
      </c>
      <c r="L21" s="0" t="n">
        <f aca="false">L19*L20</f>
        <v>52.6306277015405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825.541004830838</v>
      </c>
    </row>
    <row r="31" customFormat="false" ht="15" hidden="false" customHeight="false" outlineLevel="0" collapsed="false">
      <c r="A31" s="0" t="s">
        <v>124</v>
      </c>
      <c r="B31" s="0" t="n">
        <f aca="false">L19</f>
        <v>136.510293771201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1740.50624558281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2047.65440656802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1740.50624558281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671.040503194642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1496.58150802548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2682.98150802548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9.09085725848696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-0.323596930172101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32.982415865128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29.6008871365539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9.30291085358297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1071.0807665125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7.22108498052143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1</v>
      </c>
      <c r="D5" s="4" t="n">
        <f aca="false">Assumptions!D27</f>
        <v>8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527.944</v>
      </c>
      <c r="C6" s="0" t="n">
        <f aca="false">B6*(1+C5/100)</f>
        <v>533.22344</v>
      </c>
      <c r="D6" s="0" t="n">
        <f aca="false">C6*(1+D5/100)</f>
        <v>575.8813152</v>
      </c>
      <c r="E6" s="0" t="n">
        <f aca="false">D6*(1+E5/100)</f>
        <v>627.710633568</v>
      </c>
      <c r="F6" s="0" t="n">
        <f aca="false">E6*(1+F5/100)</f>
        <v>677.92748425344</v>
      </c>
      <c r="G6" s="0" t="n">
        <f aca="false">F6*(1+G5/100)</f>
        <v>725.382408151181</v>
      </c>
      <c r="H6" s="0" t="n">
        <f aca="false">G6*(1+H5/100)</f>
        <v>768.905352640252</v>
      </c>
      <c r="I6" s="0" t="n">
        <f aca="false">H6*(1+I5/100)</f>
        <v>807.350620272265</v>
      </c>
      <c r="J6" s="0" t="n">
        <f aca="false">I6*(1+J5/100)</f>
        <v>839.644645083155</v>
      </c>
      <c r="K6" s="0" t="n">
        <f aca="false">J6*(1+K5/100)</f>
        <v>864.83398443565</v>
      </c>
      <c r="L6" s="0" t="n">
        <f aca="false">K6*(1+L5/100)</f>
        <v>886.454834046541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52</v>
      </c>
      <c r="D7" s="4" t="n">
        <f aca="false">Assumptions!D28</f>
        <v>51</v>
      </c>
      <c r="E7" s="4" t="n">
        <f aca="false">Assumptions!E28</f>
        <v>50</v>
      </c>
      <c r="F7" s="4" t="n">
        <f aca="false">Assumptions!F28</f>
        <v>49</v>
      </c>
      <c r="G7" s="4" t="n">
        <f aca="false">Assumptions!G28</f>
        <v>48</v>
      </c>
      <c r="H7" s="4" t="n">
        <f aca="false">Assumptions!H28</f>
        <v>47</v>
      </c>
      <c r="I7" s="4" t="n">
        <f aca="false">Assumptions!I28</f>
        <v>46</v>
      </c>
      <c r="J7" s="4" t="n">
        <f aca="false">Assumptions!J28</f>
        <v>46</v>
      </c>
      <c r="K7" s="4" t="n">
        <f aca="false">Assumptions!K28</f>
        <v>46</v>
      </c>
      <c r="L7" s="4" t="n">
        <f aca="false">Assumptions!L28</f>
        <v>46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277.2761888</v>
      </c>
      <c r="D8" s="0" t="n">
        <f aca="false">D6*D7/100</f>
        <v>293.699470752</v>
      </c>
      <c r="E8" s="0" t="n">
        <f aca="false">E6*E7/100</f>
        <v>313.855316784</v>
      </c>
      <c r="F8" s="0" t="n">
        <f aca="false">F6*F7/100</f>
        <v>332.184467284186</v>
      </c>
      <c r="G8" s="0" t="n">
        <f aca="false">G6*G7/100</f>
        <v>348.183555912567</v>
      </c>
      <c r="H8" s="0" t="n">
        <f aca="false">H6*H7/100</f>
        <v>361.385515740918</v>
      </c>
      <c r="I8" s="0" t="n">
        <f aca="false">I6*I7/100</f>
        <v>371.381285325242</v>
      </c>
      <c r="J8" s="0" t="n">
        <f aca="false">J6*J7/100</f>
        <v>386.236536738251</v>
      </c>
      <c r="K8" s="0" t="n">
        <f aca="false">K6*K7/100</f>
        <v>397.823632840399</v>
      </c>
      <c r="L8" s="0" t="n">
        <f aca="false">L6*L7/100</f>
        <v>407.769223661409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-5.3322344</v>
      </c>
      <c r="D10" s="0" t="n">
        <f aca="false">-D6*D9/100</f>
        <v>-5.758813152</v>
      </c>
      <c r="E10" s="0" t="n">
        <f aca="false">-E6*E9/100</f>
        <v>-6.27710633568</v>
      </c>
      <c r="F10" s="0" t="n">
        <f aca="false">-F6*F9/100</f>
        <v>-6.7792748425344</v>
      </c>
      <c r="G10" s="0" t="n">
        <f aca="false">-G6*G9/100</f>
        <v>-7.25382408151181</v>
      </c>
      <c r="H10" s="0" t="n">
        <f aca="false">-H6*H9/100</f>
        <v>-7.68905352640252</v>
      </c>
      <c r="I10" s="0" t="n">
        <f aca="false">-I6*I9/100</f>
        <v>-8.07350620272264</v>
      </c>
      <c r="J10" s="0" t="n">
        <f aca="false">-J6*J9/100</f>
        <v>-8.39644645083155</v>
      </c>
      <c r="K10" s="0" t="n">
        <f aca="false">-K6*K9/100</f>
        <v>-8.6483398443565</v>
      </c>
      <c r="L10" s="0" t="n">
        <f aca="false">-L6*L9/100</f>
        <v>-8.86454834046541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271.9439544</v>
      </c>
      <c r="D11" s="0" t="n">
        <f aca="false">D8+D10+D24</f>
        <v>287.9406576</v>
      </c>
      <c r="E11" s="0" t="n">
        <f aca="false">E8+E10+E24</f>
        <v>307.57821044832</v>
      </c>
      <c r="F11" s="0" t="n">
        <f aca="false">F8+F10+F24</f>
        <v>325.405192441651</v>
      </c>
      <c r="G11" s="0" t="n">
        <f aca="false">G8+G10+G24</f>
        <v>340.929731831055</v>
      </c>
      <c r="H11" s="0" t="n">
        <f aca="false">H8+H10+H24</f>
        <v>353.696462214516</v>
      </c>
      <c r="I11" s="0" t="n">
        <f aca="false">I8+I10+I24</f>
        <v>363.307779122519</v>
      </c>
      <c r="J11" s="0" t="n">
        <f aca="false">J8+J10+J24</f>
        <v>377.84009028742</v>
      </c>
      <c r="K11" s="0" t="n">
        <f aca="false">K8+K10+K24</f>
        <v>389.175292996042</v>
      </c>
      <c r="L11" s="0" t="n">
        <f aca="false">L8+L10+L24</f>
        <v>398.904675320943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-47.9901096</v>
      </c>
      <c r="D12" s="4" t="n">
        <f aca="false">-D6*Assumptions!D31/100</f>
        <v>-51.829318368</v>
      </c>
      <c r="E12" s="4" t="n">
        <f aca="false">-E6*Assumptions!E31/100</f>
        <v>-56.49395702112</v>
      </c>
      <c r="F12" s="4" t="n">
        <f aca="false">-F6*Assumptions!F31/100</f>
        <v>-61.0134735828096</v>
      </c>
      <c r="G12" s="4" t="n">
        <f aca="false">-G6*Assumptions!G31/100</f>
        <v>-61.6575046928504</v>
      </c>
      <c r="H12" s="4" t="n">
        <f aca="false">-H6*Assumptions!H31/100</f>
        <v>-65.3569549744214</v>
      </c>
      <c r="I12" s="4" t="n">
        <f aca="false">-I6*Assumptions!I31/100</f>
        <v>-64.5880496217812</v>
      </c>
      <c r="J12" s="4" t="n">
        <f aca="false">-J6*Assumptions!J31/100</f>
        <v>-67.1715716066524</v>
      </c>
      <c r="K12" s="4" t="n">
        <f aca="false">-K6*Assumptions!K31/100</f>
        <v>-69.186718754852</v>
      </c>
      <c r="L12" s="4" t="n">
        <f aca="false">-L6*Assumptions!L31/100</f>
        <v>-70.9163867237233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223.9538448</v>
      </c>
      <c r="D13" s="0" t="n">
        <f aca="false">D11+D12</f>
        <v>236.111339232</v>
      </c>
      <c r="E13" s="0" t="n">
        <f aca="false">E11+E12</f>
        <v>251.0842534272</v>
      </c>
      <c r="F13" s="0" t="n">
        <f aca="false">F11+F12</f>
        <v>264.391718858842</v>
      </c>
      <c r="G13" s="0" t="n">
        <f aca="false">G11+G12</f>
        <v>279.272227138205</v>
      </c>
      <c r="H13" s="0" t="n">
        <f aca="false">H11+H12</f>
        <v>288.339507240094</v>
      </c>
      <c r="I13" s="0" t="n">
        <f aca="false">I11+I12</f>
        <v>298.719729500738</v>
      </c>
      <c r="J13" s="0" t="n">
        <f aca="false">J11+J12</f>
        <v>310.668518680767</v>
      </c>
      <c r="K13" s="0" t="n">
        <f aca="false">K11+K12</f>
        <v>319.98857424119</v>
      </c>
      <c r="L13" s="0" t="n">
        <f aca="false">L11+L12</f>
        <v>327.98828859722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14</v>
      </c>
      <c r="D14" s="4" t="n">
        <f aca="false">Assumptions!D33</f>
        <v>14</v>
      </c>
      <c r="E14" s="4" t="n">
        <f aca="false">Assumptions!E33</f>
        <v>14.5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192.600306528</v>
      </c>
      <c r="D15" s="0" t="n">
        <f aca="false">D13-MAX(0,D13)*D14/100</f>
        <v>203.05575173952</v>
      </c>
      <c r="E15" s="0" t="n">
        <f aca="false">E13-MAX(0,E13)*E14/100</f>
        <v>214.677036680256</v>
      </c>
      <c r="F15" s="0" t="n">
        <f aca="false">F13-MAX(0,F13)*F14/100</f>
        <v>224.732961030015</v>
      </c>
      <c r="G15" s="0" t="n">
        <f aca="false">G13-MAX(0,G13)*G14/100</f>
        <v>237.381393067474</v>
      </c>
      <c r="H15" s="0" t="n">
        <f aca="false">H13-MAX(0,H13)*H14/100</f>
        <v>245.08858115408</v>
      </c>
      <c r="I15" s="0" t="n">
        <f aca="false">I13-MAX(0,I13)*I14/100</f>
        <v>253.911770075627</v>
      </c>
      <c r="J15" s="0" t="n">
        <f aca="false">J13-MAX(0,J13)*J14/100</f>
        <v>264.068240878652</v>
      </c>
      <c r="K15" s="0" t="n">
        <f aca="false">K13-MAX(0,K13)*K14/100</f>
        <v>271.990288105012</v>
      </c>
      <c r="L15" s="0" t="n">
        <f aca="false">L13-MAX(0,L13)*L14/100</f>
        <v>278.790045307637</v>
      </c>
    </row>
    <row r="16" customFormat="false" ht="15" hidden="false" customHeight="false" outlineLevel="0" collapsed="false">
      <c r="A16" s="0" t="s">
        <v>115</v>
      </c>
      <c r="C16" s="0" t="n">
        <f aca="false">-C12</f>
        <v>47.9901096</v>
      </c>
      <c r="D16" s="0" t="n">
        <f aca="false">-D12</f>
        <v>51.829318368</v>
      </c>
      <c r="E16" s="0" t="n">
        <f aca="false">-E12</f>
        <v>56.49395702112</v>
      </c>
      <c r="F16" s="0" t="n">
        <f aca="false">-F12</f>
        <v>61.0134735828096</v>
      </c>
      <c r="G16" s="0" t="n">
        <f aca="false">-G12</f>
        <v>61.6575046928504</v>
      </c>
      <c r="H16" s="0" t="n">
        <f aca="false">-H12</f>
        <v>65.3569549744214</v>
      </c>
      <c r="I16" s="0" t="n">
        <f aca="false">-I12</f>
        <v>64.5880496217812</v>
      </c>
      <c r="J16" s="0" t="n">
        <f aca="false">-J12</f>
        <v>67.1715716066524</v>
      </c>
      <c r="K16" s="0" t="n">
        <f aca="false">-K12</f>
        <v>69.186718754852</v>
      </c>
      <c r="L16" s="0" t="n">
        <f aca="false">-L12</f>
        <v>70.9163867237233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-58.6545784</v>
      </c>
      <c r="D17" s="4" t="n">
        <f aca="false">-D6*Assumptions!D32/100</f>
        <v>-63.346944672</v>
      </c>
      <c r="E17" s="4" t="n">
        <f aca="false">-E6*Assumptions!E32/100</f>
        <v>-65.90961652464</v>
      </c>
      <c r="F17" s="4" t="n">
        <f aca="false">-F6*Assumptions!F32/100</f>
        <v>-67.792748425344</v>
      </c>
      <c r="G17" s="4" t="n">
        <f aca="false">-G6*Assumptions!G32/100</f>
        <v>-72.5382408151181</v>
      </c>
      <c r="H17" s="4" t="n">
        <f aca="false">-H6*Assumptions!H32/100</f>
        <v>-73.0460085008239</v>
      </c>
      <c r="I17" s="4" t="n">
        <f aca="false">-I6*Assumptions!I32/100</f>
        <v>-76.6983089258651</v>
      </c>
      <c r="J17" s="4" t="n">
        <f aca="false">-J6*Assumptions!J32/100</f>
        <v>-75.568018057484</v>
      </c>
      <c r="K17" s="4" t="n">
        <f aca="false">-K6*Assumptions!K32/100</f>
        <v>-77.8350585992085</v>
      </c>
      <c r="L17" s="4" t="n">
        <f aca="false">-L6*Assumptions!L32/100</f>
        <v>-79.7809350641887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-2.63972000000001</v>
      </c>
      <c r="D18" s="4" t="n">
        <f aca="false">(D6-C6)*Assumptions!$B$37/100</f>
        <v>-21.3289376</v>
      </c>
      <c r="E18" s="4" t="n">
        <f aca="false">(E6-D6)*Assumptions!$B$37/100</f>
        <v>-25.914659184</v>
      </c>
      <c r="F18" s="4" t="n">
        <f aca="false">(F6-E6)*Assumptions!$B$37/100</f>
        <v>-25.10842534272</v>
      </c>
      <c r="G18" s="4" t="n">
        <f aca="false">(G6-F6)*Assumptions!$B$37/100</f>
        <v>-23.7274619488704</v>
      </c>
      <c r="H18" s="4" t="n">
        <f aca="false">(H6-G6)*Assumptions!$B$37/100</f>
        <v>-21.7614722445355</v>
      </c>
      <c r="I18" s="4" t="n">
        <f aca="false">(I6-H6)*Assumptions!$B$37/100</f>
        <v>-19.2226338160063</v>
      </c>
      <c r="J18" s="4" t="n">
        <f aca="false">(J6-I6)*Assumptions!$B$37/100</f>
        <v>-16.1470124054453</v>
      </c>
      <c r="K18" s="4" t="n">
        <f aca="false">(K6-J6)*Assumptions!$B$37/100</f>
        <v>-12.5946696762474</v>
      </c>
      <c r="L18" s="4" t="n">
        <f aca="false">(L6-K6)*Assumptions!$B$37/100</f>
        <v>-10.8104248054456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179.296117728</v>
      </c>
      <c r="D19" s="0" t="n">
        <f aca="false">D15+D16+D17+D18</f>
        <v>170.20918783552</v>
      </c>
      <c r="E19" s="0" t="n">
        <f aca="false">E15+E16+E17+E18</f>
        <v>179.346717992736</v>
      </c>
      <c r="F19" s="0" t="n">
        <f aca="false">F15+F16+F17+F18</f>
        <v>192.845260844761</v>
      </c>
      <c r="G19" s="0" t="n">
        <f aca="false">G15+G16+G17+G18</f>
        <v>202.773194996336</v>
      </c>
      <c r="H19" s="0" t="n">
        <f aca="false">H15+H16+H17+H18</f>
        <v>215.638055383142</v>
      </c>
      <c r="I19" s="0" t="n">
        <f aca="false">I15+I16+I17+I18</f>
        <v>222.578876955537</v>
      </c>
      <c r="J19" s="0" t="n">
        <f aca="false">J15+J16+J17+J18</f>
        <v>239.524782022375</v>
      </c>
      <c r="K19" s="0" t="n">
        <f aca="false">K15+K16+K17+K18</f>
        <v>250.747278584408</v>
      </c>
      <c r="L19" s="0" t="n">
        <f aca="false">L15+L16+L17+L18</f>
        <v>259.115072161726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162.996470661818</v>
      </c>
      <c r="D21" s="0" t="n">
        <f aca="false">D19*D20</f>
        <v>140.668750277289</v>
      </c>
      <c r="E21" s="0" t="n">
        <f aca="false">E19*E20</f>
        <v>134.745843721064</v>
      </c>
      <c r="F21" s="0" t="n">
        <f aca="false">F19*F20</f>
        <v>131.715907960359</v>
      </c>
      <c r="G21" s="0" t="n">
        <f aca="false">G19*G20</f>
        <v>125.906200518057</v>
      </c>
      <c r="H21" s="0" t="n">
        <f aca="false">H19*H20</f>
        <v>121.722060591276</v>
      </c>
      <c r="I21" s="0" t="n">
        <f aca="false">I19*I20</f>
        <v>114.218157656407</v>
      </c>
      <c r="J21" s="0" t="n">
        <f aca="false">J19*J20</f>
        <v>111.740078556566</v>
      </c>
      <c r="K21" s="0" t="n">
        <f aca="false">K19*K20</f>
        <v>106.341323661029</v>
      </c>
      <c r="L21" s="0" t="n">
        <f aca="false">L19*L20</f>
        <v>99.9000772620023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1249.95487086587</v>
      </c>
    </row>
    <row r="31" customFormat="false" ht="15" hidden="false" customHeight="false" outlineLevel="0" collapsed="false">
      <c r="A31" s="0" t="s">
        <v>124</v>
      </c>
      <c r="B31" s="0" t="n">
        <f aca="false">L19</f>
        <v>259.115072161726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3303.71717006201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3886.72608242589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3303.71717006201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1273.72598509053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2523.6808559564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3710.0808559564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12.5710204777991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-0.0646562144494686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42.9429756155692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43.5752558627491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12.8641737814181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2033.05672003816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9.12507610335068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4</v>
      </c>
      <c r="D5" s="4" t="n">
        <f aca="false">Assumptions!D41</f>
        <v>14</v>
      </c>
      <c r="E5" s="4" t="n">
        <f aca="false">Assumptions!E41</f>
        <v>14</v>
      </c>
      <c r="F5" s="4" t="n">
        <f aca="false">Assumptions!F41</f>
        <v>12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7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527.944</v>
      </c>
      <c r="C6" s="0" t="n">
        <f aca="false">B6*(1+C5/100)</f>
        <v>549.06176</v>
      </c>
      <c r="D6" s="0" t="n">
        <f aca="false">C6*(1+D5/100)</f>
        <v>625.9304064</v>
      </c>
      <c r="E6" s="0" t="n">
        <f aca="false">D6*(1+E5/100)</f>
        <v>713.560663296</v>
      </c>
      <c r="F6" s="0" t="n">
        <f aca="false">E6*(1+F5/100)</f>
        <v>799.18794289152</v>
      </c>
      <c r="G6" s="0" t="n">
        <f aca="false">F6*(1+G5/100)</f>
        <v>879.106737180672</v>
      </c>
      <c r="H6" s="0" t="n">
        <f aca="false">G6*(1+H5/100)</f>
        <v>958.226343526933</v>
      </c>
      <c r="I6" s="0" t="n">
        <f aca="false">H6*(1+I5/100)</f>
        <v>1025.30218757382</v>
      </c>
      <c r="J6" s="0" t="n">
        <f aca="false">I6*(1+J5/100)</f>
        <v>1076.56729695251</v>
      </c>
      <c r="K6" s="0" t="n">
        <f aca="false">J6*(1+K5/100)</f>
        <v>1119.62998883061</v>
      </c>
      <c r="L6" s="0" t="n">
        <f aca="false">K6*(1+L5/100)</f>
        <v>1153.21888849553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54</v>
      </c>
      <c r="D7" s="4" t="n">
        <f aca="false">Assumptions!D42</f>
        <v>55</v>
      </c>
      <c r="E7" s="4" t="n">
        <f aca="false">Assumptions!E42</f>
        <v>55</v>
      </c>
      <c r="F7" s="4" t="n">
        <f aca="false">Assumptions!F42</f>
        <v>54</v>
      </c>
      <c r="G7" s="4" t="n">
        <f aca="false">Assumptions!G42</f>
        <v>54</v>
      </c>
      <c r="H7" s="4" t="n">
        <f aca="false">Assumptions!H42</f>
        <v>53</v>
      </c>
      <c r="I7" s="4" t="n">
        <f aca="false">Assumptions!I42</f>
        <v>53</v>
      </c>
      <c r="J7" s="4" t="n">
        <f aca="false">Assumptions!J42</f>
        <v>52</v>
      </c>
      <c r="K7" s="4" t="n">
        <f aca="false">Assumptions!K42</f>
        <v>52</v>
      </c>
      <c r="L7" s="4" t="n">
        <f aca="false">Assumptions!L42</f>
        <v>52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296.4933504</v>
      </c>
      <c r="D8" s="0" t="n">
        <f aca="false">D6*D7/100</f>
        <v>344.26172352</v>
      </c>
      <c r="E8" s="0" t="n">
        <f aca="false">E6*E7/100</f>
        <v>392.4583648128</v>
      </c>
      <c r="F8" s="0" t="n">
        <f aca="false">F6*F7/100</f>
        <v>431.561489161421</v>
      </c>
      <c r="G8" s="0" t="n">
        <f aca="false">G6*G7/100</f>
        <v>474.717638077563</v>
      </c>
      <c r="H8" s="0" t="n">
        <f aca="false">H6*H7/100</f>
        <v>507.859962069274</v>
      </c>
      <c r="I8" s="0" t="n">
        <f aca="false">I6*I7/100</f>
        <v>543.410159414124</v>
      </c>
      <c r="J8" s="0" t="n">
        <f aca="false">J6*J7/100</f>
        <v>559.814994415305</v>
      </c>
      <c r="K8" s="0" t="n">
        <f aca="false">K6*K7/100</f>
        <v>582.207594191917</v>
      </c>
      <c r="L8" s="0" t="n">
        <f aca="false">L6*L7/100</f>
        <v>599.673822017674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-5.4906176</v>
      </c>
      <c r="D10" s="0" t="n">
        <f aca="false">-D6*D9/100</f>
        <v>-6.259304064</v>
      </c>
      <c r="E10" s="0" t="n">
        <f aca="false">-E6*E9/100</f>
        <v>-7.13560663296</v>
      </c>
      <c r="F10" s="0" t="n">
        <f aca="false">-F6*F9/100</f>
        <v>-7.9918794289152</v>
      </c>
      <c r="G10" s="0" t="n">
        <f aca="false">-G6*G9/100</f>
        <v>-8.79106737180672</v>
      </c>
      <c r="H10" s="0" t="n">
        <f aca="false">-H6*H9/100</f>
        <v>-9.58226343526933</v>
      </c>
      <c r="I10" s="0" t="n">
        <f aca="false">-I6*I9/100</f>
        <v>-10.2530218757382</v>
      </c>
      <c r="J10" s="0" t="n">
        <f aca="false">-J6*J9/100</f>
        <v>-10.7656729695251</v>
      </c>
      <c r="K10" s="0" t="n">
        <f aca="false">-K6*K9/100</f>
        <v>-11.1962998883061</v>
      </c>
      <c r="L10" s="0" t="n">
        <f aca="false">-L6*L9/100</f>
        <v>-11.5321888849553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291.0027328</v>
      </c>
      <c r="D11" s="0" t="n">
        <f aca="false">D8+D10+D24</f>
        <v>338.002419456</v>
      </c>
      <c r="E11" s="0" t="n">
        <f aca="false">E8+E10+E24</f>
        <v>385.32275817984</v>
      </c>
      <c r="F11" s="0" t="n">
        <f aca="false">F8+F10+F24</f>
        <v>423.569609732506</v>
      </c>
      <c r="G11" s="0" t="n">
        <f aca="false">G8+G10+G24</f>
        <v>465.926570705756</v>
      </c>
      <c r="H11" s="0" t="n">
        <f aca="false">H8+H10+H24</f>
        <v>498.277698634005</v>
      </c>
      <c r="I11" s="0" t="n">
        <f aca="false">I8+I10+I24</f>
        <v>533.157137538385</v>
      </c>
      <c r="J11" s="0" t="n">
        <f aca="false">J8+J10+J24</f>
        <v>549.04932144578</v>
      </c>
      <c r="K11" s="0" t="n">
        <f aca="false">K8+K10+K24</f>
        <v>571.011294303611</v>
      </c>
      <c r="L11" s="0" t="n">
        <f aca="false">L8+L10+L24</f>
        <v>588.141633132719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-49.4155584</v>
      </c>
      <c r="D12" s="4" t="n">
        <f aca="false">-D6*Assumptions!D45/100</f>
        <v>-56.333736576</v>
      </c>
      <c r="E12" s="4" t="n">
        <f aca="false">-E6*Assumptions!E45/100</f>
        <v>-64.22045969664</v>
      </c>
      <c r="F12" s="4" t="n">
        <f aca="false">-F6*Assumptions!F45/100</f>
        <v>-71.9269148602368</v>
      </c>
      <c r="G12" s="4" t="n">
        <f aca="false">-G6*Assumptions!G45/100</f>
        <v>-74.7240726603572</v>
      </c>
      <c r="H12" s="4" t="n">
        <f aca="false">-H6*Assumptions!H45/100</f>
        <v>-81.4492391997893</v>
      </c>
      <c r="I12" s="4" t="n">
        <f aca="false">-I6*Assumptions!I45/100</f>
        <v>-82.0241750059055</v>
      </c>
      <c r="J12" s="4" t="n">
        <f aca="false">-J6*Assumptions!J45/100</f>
        <v>-86.1253837562007</v>
      </c>
      <c r="K12" s="4" t="n">
        <f aca="false">-K6*Assumptions!K45/100</f>
        <v>-89.5703991064488</v>
      </c>
      <c r="L12" s="4" t="n">
        <f aca="false">-L6*Assumptions!L45/100</f>
        <v>-92.2575110796422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241.5871744</v>
      </c>
      <c r="D13" s="0" t="n">
        <f aca="false">D11+D12</f>
        <v>281.66868288</v>
      </c>
      <c r="E13" s="0" t="n">
        <f aca="false">E11+E12</f>
        <v>321.1022984832</v>
      </c>
      <c r="F13" s="0" t="n">
        <f aca="false">F11+F12</f>
        <v>351.642694872269</v>
      </c>
      <c r="G13" s="0" t="n">
        <f aca="false">G11+G12</f>
        <v>391.202498045399</v>
      </c>
      <c r="H13" s="0" t="n">
        <f aca="false">H11+H12</f>
        <v>416.828459434216</v>
      </c>
      <c r="I13" s="0" t="n">
        <f aca="false">I11+I12</f>
        <v>451.13296253248</v>
      </c>
      <c r="J13" s="0" t="n">
        <f aca="false">J11+J12</f>
        <v>462.923937689579</v>
      </c>
      <c r="K13" s="0" t="n">
        <f aca="false">K11+K12</f>
        <v>481.440895197162</v>
      </c>
      <c r="L13" s="0" t="n">
        <f aca="false">L11+L12</f>
        <v>495.884122053077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14</v>
      </c>
      <c r="D14" s="4" t="n">
        <f aca="false">Assumptions!D47</f>
        <v>14</v>
      </c>
      <c r="E14" s="4" t="n">
        <f aca="false">Assumptions!E47</f>
        <v>14.5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207.764969984</v>
      </c>
      <c r="D15" s="0" t="n">
        <f aca="false">D13-MAX(0,D13)*D14/100</f>
        <v>242.2350672768</v>
      </c>
      <c r="E15" s="0" t="n">
        <f aca="false">E13-MAX(0,E13)*E14/100</f>
        <v>274.542465203136</v>
      </c>
      <c r="F15" s="0" t="n">
        <f aca="false">F13-MAX(0,F13)*F14/100</f>
        <v>298.896290641429</v>
      </c>
      <c r="G15" s="0" t="n">
        <f aca="false">G13-MAX(0,G13)*G14/100</f>
        <v>332.522123338589</v>
      </c>
      <c r="H15" s="0" t="n">
        <f aca="false">H13-MAX(0,H13)*H14/100</f>
        <v>354.304190519083</v>
      </c>
      <c r="I15" s="0" t="n">
        <f aca="false">I13-MAX(0,I13)*I14/100</f>
        <v>383.463018152608</v>
      </c>
      <c r="J15" s="0" t="n">
        <f aca="false">J13-MAX(0,J13)*J14/100</f>
        <v>393.485347036142</v>
      </c>
      <c r="K15" s="0" t="n">
        <f aca="false">K13-MAX(0,K13)*K14/100</f>
        <v>409.224760917588</v>
      </c>
      <c r="L15" s="0" t="n">
        <f aca="false">L13-MAX(0,L13)*L14/100</f>
        <v>421.501503745115</v>
      </c>
    </row>
    <row r="16" customFormat="false" ht="15" hidden="false" customHeight="false" outlineLevel="0" collapsed="false">
      <c r="A16" s="0" t="s">
        <v>115</v>
      </c>
      <c r="C16" s="0" t="n">
        <f aca="false">-C12</f>
        <v>49.4155584</v>
      </c>
      <c r="D16" s="0" t="n">
        <f aca="false">-D12</f>
        <v>56.333736576</v>
      </c>
      <c r="E16" s="0" t="n">
        <f aca="false">-E12</f>
        <v>64.22045969664</v>
      </c>
      <c r="F16" s="0" t="n">
        <f aca="false">-F12</f>
        <v>71.9269148602368</v>
      </c>
      <c r="G16" s="0" t="n">
        <f aca="false">-G12</f>
        <v>74.7240726603572</v>
      </c>
      <c r="H16" s="0" t="n">
        <f aca="false">-H12</f>
        <v>81.4492391997893</v>
      </c>
      <c r="I16" s="0" t="n">
        <f aca="false">-I12</f>
        <v>82.0241750059055</v>
      </c>
      <c r="J16" s="0" t="n">
        <f aca="false">-J12</f>
        <v>86.1253837562007</v>
      </c>
      <c r="K16" s="0" t="n">
        <f aca="false">-K12</f>
        <v>89.5703991064488</v>
      </c>
      <c r="L16" s="0" t="n">
        <f aca="false">-L12</f>
        <v>92.2575110796422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-60.3967936</v>
      </c>
      <c r="D17" s="4" t="n">
        <f aca="false">-D6*Assumptions!D46/100</f>
        <v>-75.111648768</v>
      </c>
      <c r="E17" s="4" t="n">
        <f aca="false">-E6*Assumptions!E46/100</f>
        <v>-85.62727959552</v>
      </c>
      <c r="F17" s="4" t="n">
        <f aca="false">-F6*Assumptions!F46/100</f>
        <v>-87.9106737180672</v>
      </c>
      <c r="G17" s="4" t="n">
        <f aca="false">-G6*Assumptions!G46/100</f>
        <v>-87.9106737180672</v>
      </c>
      <c r="H17" s="4" t="n">
        <f aca="false">-H6*Assumptions!H46/100</f>
        <v>-95.8226343526933</v>
      </c>
      <c r="I17" s="4" t="n">
        <f aca="false">-I6*Assumptions!I46/100</f>
        <v>-97.4037078195127</v>
      </c>
      <c r="J17" s="4" t="n">
        <f aca="false">-J6*Assumptions!J46/100</f>
        <v>-102.273893210488</v>
      </c>
      <c r="K17" s="4" t="n">
        <f aca="false">-K6*Assumptions!K46/100</f>
        <v>-100.766698994755</v>
      </c>
      <c r="L17" s="4" t="n">
        <f aca="false">-L6*Assumptions!L46/100</f>
        <v>-103.789699964598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-10.55888</v>
      </c>
      <c r="D18" s="4" t="n">
        <f aca="false">(D6-C6)*Assumptions!$B$51/100</f>
        <v>-38.4343232000001</v>
      </c>
      <c r="E18" s="4" t="n">
        <f aca="false">(E6-D6)*Assumptions!$B$51/100</f>
        <v>-43.8151284480001</v>
      </c>
      <c r="F18" s="4" t="n">
        <f aca="false">(F6-E6)*Assumptions!$B$51/100</f>
        <v>-42.8136397977601</v>
      </c>
      <c r="G18" s="4" t="n">
        <f aca="false">(G6-F6)*Assumptions!$B$51/100</f>
        <v>-39.959397144576</v>
      </c>
      <c r="H18" s="4" t="n">
        <f aca="false">(H6-G6)*Assumptions!$B$51/100</f>
        <v>-39.5598031731303</v>
      </c>
      <c r="I18" s="4" t="n">
        <f aca="false">(I6-H6)*Assumptions!$B$51/100</f>
        <v>-33.5379220234427</v>
      </c>
      <c r="J18" s="4" t="n">
        <f aca="false">(J6-I6)*Assumptions!$B$51/100</f>
        <v>-25.6325546893455</v>
      </c>
      <c r="K18" s="4" t="n">
        <f aca="false">(K6-J6)*Assumptions!$B$51/100</f>
        <v>-21.5313459390502</v>
      </c>
      <c r="L18" s="4" t="n">
        <f aca="false">(L6-K6)*Assumptions!$B$51/100</f>
        <v>-16.7944498324591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186.224854784</v>
      </c>
      <c r="D19" s="0" t="n">
        <f aca="false">D15+D16+D17+D18</f>
        <v>185.0228318848</v>
      </c>
      <c r="E19" s="0" t="n">
        <f aca="false">E15+E16+E17+E18</f>
        <v>209.320516856256</v>
      </c>
      <c r="F19" s="0" t="n">
        <f aca="false">F15+F16+F17+F18</f>
        <v>240.098891985838</v>
      </c>
      <c r="G19" s="0" t="n">
        <f aca="false">G15+G16+G17+G18</f>
        <v>279.376125136303</v>
      </c>
      <c r="H19" s="0" t="n">
        <f aca="false">H15+H16+H17+H18</f>
        <v>300.370992193049</v>
      </c>
      <c r="I19" s="0" t="n">
        <f aca="false">I15+I16+I17+I18</f>
        <v>334.545563315558</v>
      </c>
      <c r="J19" s="0" t="n">
        <f aca="false">J15+J16+J17+J18</f>
        <v>351.704282892509</v>
      </c>
      <c r="K19" s="0" t="n">
        <f aca="false">K15+K16+K17+K18</f>
        <v>376.497115090232</v>
      </c>
      <c r="L19" s="0" t="n">
        <f aca="false">L15+L16+L17+L18</f>
        <v>393.174865027701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169.295322530909</v>
      </c>
      <c r="D21" s="0" t="n">
        <f aca="false">D19*D20</f>
        <v>152.911431309752</v>
      </c>
      <c r="E21" s="0" t="n">
        <f aca="false">E19*E20</f>
        <v>157.265602446473</v>
      </c>
      <c r="F21" s="0" t="n">
        <f aca="false">F19*F20</f>
        <v>163.990773844572</v>
      </c>
      <c r="G21" s="0" t="n">
        <f aca="false">G19*G20</f>
        <v>173.470593250773</v>
      </c>
      <c r="H21" s="0" t="n">
        <f aca="false">H19*H20</f>
        <v>169.551594437363</v>
      </c>
      <c r="I21" s="0" t="n">
        <f aca="false">I19*I20</f>
        <v>171.674771733443</v>
      </c>
      <c r="J21" s="0" t="n">
        <f aca="false">J19*J20</f>
        <v>164.072643620727</v>
      </c>
      <c r="K21" s="0" t="n">
        <f aca="false">K19*K20</f>
        <v>159.671529833878</v>
      </c>
      <c r="L21" s="0" t="n">
        <f aca="false">L19*L20</f>
        <v>151.585930783792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1633.49019379168</v>
      </c>
    </row>
    <row r="31" customFormat="false" ht="15" hidden="false" customHeight="false" outlineLevel="0" collapsed="false">
      <c r="A31" s="0" t="s">
        <v>124</v>
      </c>
      <c r="B31" s="0" t="n">
        <f aca="false">L19</f>
        <v>393.174865027701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5012.97952910319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5897.62297541552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5012.97952910319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1932.72061749335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3566.21081128503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4752.61081128503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16.1034678626357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0.198174692160393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51.329765714207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56.6885149721113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16.4694706726026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3084.91047944812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10.97619217918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9.09085725848696</v>
      </c>
      <c r="C4" s="0" t="n">
        <f aca="false">B4/Assumptions!$B$2-1</f>
        <v>-0.323596930172101</v>
      </c>
      <c r="D4" s="4" t="n">
        <f aca="false">Assumptions!$B$24</f>
        <v>0.3</v>
      </c>
      <c r="E4" s="4" t="n">
        <f aca="false">DCF_Bear!$B$43</f>
        <v>9.30291085358297</v>
      </c>
      <c r="F4" s="4" t="n">
        <f aca="false">DCF_Bear!$B$47</f>
        <v>7.22108498052143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12.5710204777991</v>
      </c>
      <c r="C5" s="0" t="n">
        <f aca="false">B5/Assumptions!$B$2-1</f>
        <v>-0.0646562144494686</v>
      </c>
      <c r="D5" s="4" t="n">
        <f aca="false">Assumptions!$B$38</f>
        <v>0.5</v>
      </c>
      <c r="E5" s="4" t="n">
        <f aca="false">DCF_Base!$B$43</f>
        <v>12.8641737814181</v>
      </c>
      <c r="F5" s="4" t="n">
        <f aca="false">DCF_Base!$B$47</f>
        <v>9.12507610335068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16.1034678626357</v>
      </c>
      <c r="C6" s="0" t="n">
        <f aca="false">B6/Assumptions!$B$2-1</f>
        <v>0.198174692160393</v>
      </c>
      <c r="D6" s="4" t="n">
        <f aca="false">Assumptions!$B$52</f>
        <v>0.2</v>
      </c>
      <c r="E6" s="4" t="n">
        <f aca="false">DCF_Bull!$B$43</f>
        <v>16.4694706726026</v>
      </c>
      <c r="F6" s="4" t="n">
        <f aca="false">DCF_Bull!$B$47</f>
        <v>10.97619217918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12.2334609889728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12.5168542813044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-0.0986261379436919</v>
      </c>
    </row>
    <row r="11" customFormat="false" ht="15" hidden="false" customHeight="false" outlineLevel="0" collapsed="false">
      <c r="A11" s="0" t="s">
        <v>151</v>
      </c>
      <c r="B11" s="0" t="n">
        <f aca="false">IF(ABS(B9-B8)&gt;0.01*ABS(B8),(Assumptions!$B$2-B8)/(B9-B8)*100,"n/a")</f>
        <v>425.747201389394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8.92410198166776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13.8630039869038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12.5710204777991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11.5695912196143</v>
      </c>
      <c r="C17" s="3" t="n">
        <v>11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10.7713199796665</v>
      </c>
      <c r="C18" s="3" t="n">
        <v>12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9.12507610335068</v>
      </c>
      <c r="C19" s="3" t="n">
        <v>15</v>
      </c>
    </row>
    <row r="21" customFormat="false" ht="15" hidden="false" customHeight="false" outlineLevel="0" collapsed="false">
      <c r="A21" s="2" t="s">
        <v>160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14.5455149090675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14.7778978434649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14.7778978434649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14.7778978434649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14.7778978434649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13.1411434062658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13.4780116772302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13.8630039869038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14.0219457661268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14.0219457661268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12.0538744751139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12.2972372999069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12.5710204777991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12.8813080794103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13.2359224812516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11.1882352786373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11.3688775664685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11.5695912196143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11.7939182437184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12.0462861458355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10.4834973440164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10.620555741945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10.7713199796665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10.9379541371481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11.1231032010165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2026-10-18T00:27:22Z</dcterms:created>
  <dc:creator>openpyxl</dc:creator>
  <dc:description/>
  <dc:language>en-NZ</dc:language>
  <cp:lastModifiedBy/>
  <dcterms:modified xsi:type="dcterms:W3CDTF">2026-10-18T00:27:22Z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