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<sst xmlns="http://schemas.openxmlformats.org/spreadsheetml/2006/main" count="386" uniqueCount="174">
  <si>
    <t xml:space="preserve">Ticker</t>
  </si>
  <si>
    <t xml:space="preserve">DHI</t>
  </si>
  <si>
    <t xml:space="preserve">Company</t>
  </si>
  <si>
    <t xml:space="preserve">D.R. Horton, Inc.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</si>
  <si>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</si>
  <si>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</si>
  <si>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</si>
  <si>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</si>
  <si>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2026-09-25T20:00:02Z regular close (Friday)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</si>
  <si>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</si>
  <si>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</si>
  <si>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</si>
  <si>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</si>
  <si>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</si>
  <si>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</si>
  <si>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</si>
  <si>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</si>
  <si>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</si>
  <si>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</si>
  <si>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</si>
  <si>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</si>
  <si>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2026-09-26T01:28:59Z</t>
  </si>
  <si>
    <t xml:space="preserve">Drivers file</t>
  </si>
  <si>
    <t xml:space="preserve">DHI_Drivers.json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</si>
  <si>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</si>
  <si>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</si>
  <si>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</si>
  <si>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Mid-cycle owner-FCF DCF for a cyclical homebuilder. The value driver is not margin extrapolation but (i) where the pre-tax margin settles through the cycle and (ii) how much inventory each dollar of growth consumes. Peak FY21-24 margins are excluded from the base; working capital is modelled on the change in revenue so growth costs cash and downturns release it. Terminal value capped at 12x owner FCF.
key_risks_to_valuation: Mortgage rates: the incentive (rate-buydown) spend that compressed gross margin from ~27% (FY22) to 20.7% (Q3 FY26) is rate-driven and outside management's control.; Mid-cycle margin judgment: each 1pp of terminal EBITDA margin is worth roughly $10-12/share.; Working-capital intensity: if land-light optioning stalls, growth consumes more inventory than the -70% capture assumes.; Housing downturn with land impairments (FY2008-2011 precedent) would push through the bear case.; Forestar dependence for lot supply and the NCI/related-party structure.; Policy: 45L credit expiry, tariffs on materials, immigration effects on construction labour.</t>
  </si>
  <si>
    <t xml:space="preserve">Data sources</t>
  </si>
  <si>
    <t xml:space="preserve">price: Yahoo Finance chart API at inputs.price_as_of; 52-week range 131.75-176.22.
financials: research/DHI/Reports/DHI_Metrics.csv (SEC XBRL, annual rows FY2008-FY2025); SEC companyfacts API for pre-tax income, interest in cost of sales, D&amp;A, NCI, diluted shares; 10-Q for quarter ended 2026-06-30 (filed 2026-07-23) for notes payable by segment, mortgage loans held for sale, share count.
qualitative: Q3 FY2026 earnings release (8-K Ex. 99.1, 2026-07-21): FY26 revenue guidance $32.5-33.0B, 83.8-84.3k closings, ~25% tax rate, OCF &gt;= $3.0B, ~$2.5B buybacks, ~$500M dividends; Q3 home sales gross margin 20.7%, cancellation rate 20%. 10-Q MD&amp;A: incentives expected to remain elevated into fiscal 2027. No Analysis.json existed at build time.</t>
  </si>
  <si>
    <t xml:space="preserve">Scenario narrative: bear</t>
  </si>
  <si>
    <t xml:space="preserve">Affordability squeeze becomes a housing downturn: revenue -10% over two years, pre-tax margin troughs ~10% with impairments, and mid-cycle margin resets ~1.5pp lower; inventory liquidation cushions cash flow.</t>
  </si>
  <si>
    <t xml:space="preserve">Scenario narrative: base</t>
  </si>
  <si>
    <t xml:space="preserve">Affordability-constrained FY27 with elevated incentives, then mid-single-digit volume growth on the structural single-family shortage and share gains; margins recover to mid-cycle (~14% pre-tax), not to the FY21-24 peak.</t>
  </si>
  <si>
    <t xml:space="preserve">Scenario narrative: bull</t>
  </si>
  <si>
    <t xml:space="preserve">Mortgage rates fall toward 5.5%, incentives unwind, gross margin rebuilds to ~24-25% and pre-tax margin settles ~16%; volume reaches 95-100k closings by FY30.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</si>
  <si>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</si>
  <si>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</si>
  <si>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</si>
  <si>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</si>
  <si>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</si>
  <si>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</si>
  <si>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</si>
  <si>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</si>
  <si>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</si>
  <si>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</si>
  <si>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</si>
  <si>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</si>
  <si>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</si>
  <si>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</si>
  <si>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</si>
  <si>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</si>
  <si>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</si>
  <si>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</si>
  <si>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</si>
  <si>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</si>
  <si>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</si>
  <si>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</si>
  <si>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</si>
  <si>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</si>
  <si>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</si>
  <si>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</si>
  <si>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</si>
  <si>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</si>
  <si>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</si>
  <si>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</si>
  <si>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</si>
  <si>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</si>
  <si>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</si>
  <si>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</si>
  <si>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</si>
  <si>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</si>
  <si>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</si>
  <si>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</si>
  <si>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</si>
  <si>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</si>
  <si>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</si>
  <si>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</si>
  <si>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</si>
  <si>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</si>
  <si>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</si>
  <si>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</si>
  <si>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</si>
  <si>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</si>
  <si>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</si>
  <si>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</si>
  <si>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</si>
  <si>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</si>
  <si>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</si>
  <si>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</si>
  <si>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</si>
  <si>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</si>
  <si>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</si>
  <si>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</si>
  <si>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</si>
  <si>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</si>
  <si>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</si>
  <si>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</si>
  <si>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</si>
  <si>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</si>
  <si>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</si>
  <si>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</si>
  <si>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</si>
  <si>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</si>
  <si>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</si>
  <si>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</si>
  <si>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</si>
  <si>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</si>
  <si>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</si>
  <si>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</si>
  <si>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</si>
  <si>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</si>
  <si>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</si>
  <si>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</si>
  <si>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</si>
  <si>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</si>
  <si>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</si>
  <si>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</si>
  <si>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</si>
  <si>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</si>
  <si>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DHI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</si>
  <si>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</si>
  <si>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</si>
  <si>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</si>
  <si>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</si>
  <si>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</si>
  <si>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</si>
  <si>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</si>
  <si>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</si>
  <si>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</si>
  <si>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</si>
  <si>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</si>
  <si>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</si>
  <si>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</si>
  <si>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</si>
  <si>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</si>
  <si>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</si>
  <si>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</si>
  <si>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</si>
  <si>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</si>
  <si>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</si>
  <si>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</si>
  <si>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</si>
  <si>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</si>
  <si>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</si>
  <si>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</si>
  <si>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</si>
  <si>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</si>
  <si>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</si>
  <si>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</si>
  <si>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</si>
  <si>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DHI owner-FCF component DCF: base case (millions, USD)</t>
  </si>
  <si>
    <t xml:space="preserve">DHI owner-FCF component DCF: bull case (millions, USD)</t>
  </si>
  <si>
    <t xml:space="preserve">DHI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</si>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</sst>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141.51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5655.3</v>
      </c>
      <c r="S2" s="0" t="n">
        <v>269.6</v>
      </c>
      <c r="T2" s="0" t="n">
        <v>314.91444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I3" s="0" t="n">
        <v>-2633.6</v>
      </c>
      <c r="K3" s="0" t="n">
        <v>-8.34</v>
      </c>
      <c r="L3" s="0" t="n">
        <v>1876.5</v>
      </c>
      <c r="M3" s="0" t="n">
        <v>6.6</v>
      </c>
      <c r="N3" s="0" t="n">
        <v>1869.9</v>
      </c>
      <c r="O3" s="0" t="n">
        <v>2864.8</v>
      </c>
      <c r="S3" s="0" t="n">
        <v>1387.3</v>
      </c>
      <c r="T3" s="0" t="n">
        <v>316.660275</v>
      </c>
      <c r="V3" s="0" t="n">
        <v>0.45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3657.6</v>
      </c>
      <c r="I4" s="0" t="n">
        <v>-549.8</v>
      </c>
      <c r="J4" s="0" t="n">
        <v>-15.0317147856518</v>
      </c>
      <c r="K4" s="0" t="n">
        <v>-1.73</v>
      </c>
      <c r="L4" s="0" t="n">
        <v>1141.2</v>
      </c>
      <c r="M4" s="0" t="n">
        <v>6.2</v>
      </c>
      <c r="N4" s="0" t="n">
        <v>1135</v>
      </c>
      <c r="O4" s="0" t="n">
        <v>2400.6</v>
      </c>
      <c r="P4" s="0" t="n">
        <v>6756.8</v>
      </c>
      <c r="Q4" s="0" t="n">
        <v>4356.2</v>
      </c>
      <c r="S4" s="0" t="n">
        <v>1957.3</v>
      </c>
      <c r="T4" s="0" t="n">
        <v>317.480886</v>
      </c>
      <c r="V4" s="0" t="n">
        <v>0.15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4400.2</v>
      </c>
      <c r="I5" s="0" t="n">
        <v>245.1</v>
      </c>
      <c r="J5" s="0" t="n">
        <v>5.57020135448389</v>
      </c>
      <c r="K5" s="0" t="n">
        <v>0.77</v>
      </c>
      <c r="L5" s="0" t="n">
        <v>709.4</v>
      </c>
      <c r="M5" s="0" t="n">
        <v>19.2</v>
      </c>
      <c r="N5" s="0" t="n">
        <v>690.2</v>
      </c>
      <c r="O5" s="0" t="n">
        <v>2622.9</v>
      </c>
      <c r="P5" s="0" t="n">
        <v>5938.6</v>
      </c>
      <c r="Q5" s="0" t="n">
        <v>3315.7</v>
      </c>
      <c r="S5" s="0" t="n">
        <v>1309.3</v>
      </c>
      <c r="T5" s="0" t="n">
        <v>318.823234</v>
      </c>
      <c r="V5" s="0" t="n">
        <v>0.15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3636.8</v>
      </c>
      <c r="I6" s="0" t="n">
        <v>71.8</v>
      </c>
      <c r="J6" s="0" t="n">
        <v>1.97426308842939</v>
      </c>
      <c r="K6" s="0" t="n">
        <v>0.23</v>
      </c>
      <c r="L6" s="0" t="n">
        <v>18.9</v>
      </c>
      <c r="M6" s="0" t="n">
        <v>16.3</v>
      </c>
      <c r="N6" s="0" t="n">
        <v>2.6</v>
      </c>
      <c r="O6" s="0" t="n">
        <v>2623.5</v>
      </c>
      <c r="P6" s="0" t="n">
        <v>5358.4</v>
      </c>
      <c r="Q6" s="0" t="n">
        <v>2734.9</v>
      </c>
      <c r="S6" s="0" t="n">
        <v>770.5</v>
      </c>
      <c r="T6" s="0" t="n">
        <v>318.5</v>
      </c>
      <c r="V6" s="0" t="n">
        <v>0.15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4354</v>
      </c>
      <c r="I7" s="0" t="n">
        <v>956.3</v>
      </c>
      <c r="J7" s="0" t="n">
        <v>21.9637115296279</v>
      </c>
      <c r="K7" s="0" t="n">
        <v>3.01</v>
      </c>
      <c r="L7" s="0" t="n">
        <v>-292.2</v>
      </c>
      <c r="M7" s="0" t="n">
        <v>33.6</v>
      </c>
      <c r="N7" s="0" t="n">
        <v>-325.8</v>
      </c>
      <c r="O7" s="0" t="n">
        <v>3594.7</v>
      </c>
      <c r="P7" s="0" t="n">
        <v>7248.2</v>
      </c>
      <c r="Q7" s="0" t="n">
        <v>3653.5</v>
      </c>
      <c r="S7" s="0" t="n">
        <v>1086.8</v>
      </c>
      <c r="T7" s="0" t="n">
        <v>359</v>
      </c>
      <c r="V7" s="0" t="n">
        <v>0.15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6259.3</v>
      </c>
      <c r="I8" s="0" t="n">
        <v>462.7</v>
      </c>
      <c r="J8" s="0" t="n">
        <v>7.39220040579617</v>
      </c>
      <c r="K8" s="0" t="n">
        <v>1.44</v>
      </c>
      <c r="L8" s="0" t="n">
        <v>-1229.3</v>
      </c>
      <c r="M8" s="0" t="n">
        <v>58</v>
      </c>
      <c r="N8" s="0" t="n">
        <v>-1287.3</v>
      </c>
      <c r="O8" s="0" t="n">
        <v>4061.4</v>
      </c>
      <c r="P8" s="0" t="n">
        <v>8856.4</v>
      </c>
      <c r="Q8" s="0" t="n">
        <v>4795</v>
      </c>
      <c r="S8" s="0" t="n">
        <v>977.4</v>
      </c>
      <c r="T8" s="0" t="n">
        <v>364.9</v>
      </c>
      <c r="U8" s="0" t="n">
        <v>19</v>
      </c>
      <c r="V8" s="0" t="n">
        <v>0.1875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8024.9</v>
      </c>
      <c r="I9" s="0" t="n">
        <v>533.5</v>
      </c>
      <c r="J9" s="0" t="n">
        <v>6.64805791972486</v>
      </c>
      <c r="K9" s="0" t="n">
        <v>1.57</v>
      </c>
      <c r="L9" s="0" t="n">
        <v>-661.4</v>
      </c>
      <c r="M9" s="0" t="n">
        <v>100.2</v>
      </c>
      <c r="N9" s="0" t="n">
        <v>-761.6</v>
      </c>
      <c r="O9" s="0" t="n">
        <v>5119.7</v>
      </c>
      <c r="P9" s="0" t="n">
        <v>10185.4</v>
      </c>
      <c r="Q9" s="0" t="n">
        <v>5065.7</v>
      </c>
      <c r="S9" s="0" t="n">
        <v>661.8</v>
      </c>
      <c r="T9" s="0" t="n">
        <v>366.6</v>
      </c>
      <c r="U9" s="0" t="n">
        <v>26.2</v>
      </c>
      <c r="V9" s="0" t="n">
        <v>0.1375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10824</v>
      </c>
      <c r="I10" s="0" t="n">
        <v>750.7</v>
      </c>
      <c r="J10" s="0" t="n">
        <v>6.93551367331855</v>
      </c>
      <c r="K10" s="0" t="n">
        <v>2.05</v>
      </c>
      <c r="L10" s="0" t="n">
        <v>700.4</v>
      </c>
      <c r="M10" s="0" t="n">
        <v>56.1</v>
      </c>
      <c r="N10" s="0" t="n">
        <v>644.3</v>
      </c>
      <c r="O10" s="0" t="n">
        <v>5895.4</v>
      </c>
      <c r="P10" s="0" t="n">
        <v>11151</v>
      </c>
      <c r="Q10" s="0" t="n">
        <v>5255.6</v>
      </c>
      <c r="S10" s="0" t="n">
        <v>1383.8</v>
      </c>
      <c r="T10" s="0" t="n">
        <v>369.8</v>
      </c>
      <c r="U10" s="0" t="n">
        <v>42.2</v>
      </c>
      <c r="V10" s="0" t="n">
        <v>0.25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12157.4</v>
      </c>
      <c r="C11" s="0" t="n">
        <v>9502.6</v>
      </c>
      <c r="I11" s="0" t="n">
        <v>886.3</v>
      </c>
      <c r="J11" s="0" t="n">
        <v>7.29021007781269</v>
      </c>
      <c r="K11" s="0" t="n">
        <v>2.39</v>
      </c>
      <c r="L11" s="0" t="n">
        <v>623.9</v>
      </c>
      <c r="M11" s="0" t="n">
        <v>78.1</v>
      </c>
      <c r="N11" s="0" t="n">
        <v>545.8</v>
      </c>
      <c r="O11" s="0" t="n">
        <v>6793</v>
      </c>
      <c r="P11" s="0" t="n">
        <v>11558.9</v>
      </c>
      <c r="Q11" s="0" t="n">
        <v>4765.9</v>
      </c>
      <c r="S11" s="0" t="n">
        <v>1303.2</v>
      </c>
      <c r="T11" s="0" t="n">
        <v>375.1</v>
      </c>
      <c r="U11" s="0" t="n">
        <v>49</v>
      </c>
      <c r="V11" s="0" t="n">
        <v>0.32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14091</v>
      </c>
      <c r="C12" s="0" t="n">
        <v>11042.8</v>
      </c>
      <c r="I12" s="0" t="n">
        <v>1038.4</v>
      </c>
      <c r="J12" s="0" t="n">
        <v>7.36924277907885</v>
      </c>
      <c r="K12" s="0" t="n">
        <v>2.77</v>
      </c>
      <c r="L12" s="0" t="n">
        <v>440.2</v>
      </c>
      <c r="M12" s="0" t="n">
        <v>102.7</v>
      </c>
      <c r="N12" s="0" t="n">
        <v>337.5</v>
      </c>
      <c r="O12" s="0" t="n">
        <v>7747.6</v>
      </c>
      <c r="P12" s="0" t="n">
        <v>12184.6</v>
      </c>
      <c r="Q12" s="0" t="n">
        <v>4437</v>
      </c>
      <c r="S12" s="0" t="n">
        <v>1007.8</v>
      </c>
      <c r="T12" s="0" t="n">
        <v>378.9</v>
      </c>
      <c r="U12" s="0" t="n">
        <v>59.2</v>
      </c>
      <c r="V12" s="0" t="n">
        <v>0.4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16068</v>
      </c>
      <c r="C13" s="0" t="n">
        <v>12398.1</v>
      </c>
      <c r="I13" s="0" t="n">
        <v>1462.3</v>
      </c>
      <c r="J13" s="0" t="n">
        <v>9.10069703759024</v>
      </c>
      <c r="K13" s="0" t="n">
        <v>3.88</v>
      </c>
      <c r="L13" s="0" t="n">
        <v>545.2</v>
      </c>
      <c r="M13" s="0" t="n">
        <v>70.2</v>
      </c>
      <c r="N13" s="0" t="n">
        <v>475</v>
      </c>
      <c r="O13" s="0" t="n">
        <v>9158.9</v>
      </c>
      <c r="P13" s="0" t="n">
        <v>14114.6</v>
      </c>
      <c r="Q13" s="0" t="n">
        <v>4955.7</v>
      </c>
      <c r="S13" s="0" t="n">
        <v>1473.1</v>
      </c>
      <c r="T13" s="0" t="n">
        <v>383.4</v>
      </c>
      <c r="U13" s="0" t="n">
        <v>55.8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17592.9</v>
      </c>
      <c r="C14" s="0" t="n">
        <v>13720.9</v>
      </c>
      <c r="I14" s="0" t="n">
        <v>1618.6</v>
      </c>
      <c r="J14" s="0" t="n">
        <v>9.20030239471605</v>
      </c>
      <c r="K14" s="0" t="n">
        <v>4.34</v>
      </c>
      <c r="L14" s="0" t="n">
        <v>892.1</v>
      </c>
      <c r="M14" s="0" t="n">
        <v>127.2</v>
      </c>
      <c r="N14" s="0" t="n">
        <v>764.9</v>
      </c>
      <c r="O14" s="0" t="n">
        <v>10295.1</v>
      </c>
      <c r="P14" s="0" t="n">
        <v>15606.6</v>
      </c>
      <c r="Q14" s="0" t="n">
        <v>5311.5</v>
      </c>
      <c r="S14" s="0" t="n">
        <v>1494.3</v>
      </c>
      <c r="T14" s="0" t="n">
        <v>377.4</v>
      </c>
      <c r="U14" s="0" t="n">
        <v>73.2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20311.1</v>
      </c>
      <c r="C15" s="0" t="n">
        <v>15373.2</v>
      </c>
      <c r="I15" s="0" t="n">
        <v>2380.5</v>
      </c>
      <c r="J15" s="0" t="n">
        <v>11.7201924071075</v>
      </c>
      <c r="K15" s="0" t="n">
        <v>6.49</v>
      </c>
      <c r="L15" s="0" t="n">
        <v>1421.6</v>
      </c>
      <c r="M15" s="0" t="n">
        <v>96.5</v>
      </c>
      <c r="N15" s="0" t="n">
        <v>1325.1</v>
      </c>
      <c r="O15" s="0" t="n">
        <v>12121.5</v>
      </c>
      <c r="P15" s="0" t="n">
        <v>18912.3</v>
      </c>
      <c r="Q15" s="0" t="n">
        <v>6790.8</v>
      </c>
      <c r="S15" s="0" t="n">
        <v>3018.5</v>
      </c>
      <c r="T15" s="0" t="n">
        <v>370.2</v>
      </c>
      <c r="U15" s="0" t="n">
        <v>77.8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27774.2</v>
      </c>
      <c r="C16" s="0" t="n">
        <v>19899.2</v>
      </c>
      <c r="I16" s="0" t="n">
        <v>4191.2</v>
      </c>
      <c r="J16" s="0" t="n">
        <v>15.090263625955</v>
      </c>
      <c r="K16" s="0" t="n">
        <v>11.56</v>
      </c>
      <c r="L16" s="0" t="n">
        <v>534.4</v>
      </c>
      <c r="M16" s="0" t="n">
        <v>93.5</v>
      </c>
      <c r="N16" s="0" t="n">
        <v>440.9</v>
      </c>
      <c r="O16" s="0" t="n">
        <v>15216.2</v>
      </c>
      <c r="P16" s="0" t="n">
        <v>24015.9</v>
      </c>
      <c r="Q16" s="0" t="n">
        <v>8799.7</v>
      </c>
      <c r="S16" s="0" t="n">
        <v>3210.4</v>
      </c>
      <c r="T16" s="0" t="n">
        <v>365.8</v>
      </c>
      <c r="U16" s="0" t="n">
        <v>91.4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33480</v>
      </c>
      <c r="C17" s="0" t="n">
        <v>22975.9</v>
      </c>
      <c r="I17" s="0" t="n">
        <v>5895.6</v>
      </c>
      <c r="J17" s="0" t="n">
        <v>17.6093189964158</v>
      </c>
      <c r="K17" s="0" t="n">
        <v>16.65</v>
      </c>
      <c r="L17" s="0" t="n">
        <v>561.8</v>
      </c>
      <c r="M17" s="0" t="n">
        <v>148.2</v>
      </c>
      <c r="N17" s="0" t="n">
        <v>413.6</v>
      </c>
      <c r="O17" s="0" t="n">
        <v>19785.6</v>
      </c>
      <c r="P17" s="0" t="n">
        <v>30351.1</v>
      </c>
      <c r="Q17" s="0" t="n">
        <v>10565.5</v>
      </c>
      <c r="S17" s="0" t="n">
        <v>2540.5</v>
      </c>
      <c r="T17" s="0" t="n">
        <v>354.8</v>
      </c>
      <c r="U17" s="0" t="n">
        <v>105.1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35460.4</v>
      </c>
      <c r="C18" s="0" t="n">
        <v>26110</v>
      </c>
      <c r="I18" s="0" t="n">
        <v>4795.2</v>
      </c>
      <c r="J18" s="0" t="n">
        <v>13.5226900993785</v>
      </c>
      <c r="K18" s="0" t="n">
        <v>13.93</v>
      </c>
      <c r="L18" s="0" t="n">
        <v>4304.1</v>
      </c>
      <c r="M18" s="0" t="n">
        <v>148.6</v>
      </c>
      <c r="N18" s="0" t="n">
        <v>4155.5</v>
      </c>
      <c r="O18" s="0" t="n">
        <v>23137.9</v>
      </c>
      <c r="P18" s="0" t="n">
        <v>32582.4</v>
      </c>
      <c r="Q18" s="0" t="n">
        <v>9444.5</v>
      </c>
      <c r="S18" s="0" t="n">
        <v>3873.6</v>
      </c>
      <c r="T18" s="0" t="n">
        <v>343.3</v>
      </c>
      <c r="U18" s="0" t="n">
        <v>111.2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36801.4</v>
      </c>
      <c r="C19" s="0" t="n">
        <v>27266</v>
      </c>
      <c r="I19" s="0" t="n">
        <v>4806</v>
      </c>
      <c r="J19" s="0" t="n">
        <v>13.0592857880407</v>
      </c>
      <c r="K19" s="0" t="n">
        <v>14.44</v>
      </c>
      <c r="L19" s="0" t="n">
        <v>2189.8</v>
      </c>
      <c r="M19" s="0" t="n">
        <v>165.3</v>
      </c>
      <c r="N19" s="0" t="n">
        <v>2024.5</v>
      </c>
      <c r="O19" s="0" t="n">
        <v>25824.4</v>
      </c>
      <c r="P19" s="0" t="n">
        <v>36104.3</v>
      </c>
      <c r="Q19" s="0" t="n">
        <v>10279.9</v>
      </c>
      <c r="S19" s="0" t="n">
        <v>4516.4</v>
      </c>
      <c r="T19" s="0" t="n">
        <v>331.6</v>
      </c>
      <c r="U19" s="0" t="n">
        <v>118.1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34250.4</v>
      </c>
      <c r="C20" s="0" t="n">
        <v>26134.2</v>
      </c>
      <c r="I20" s="0" t="n">
        <v>3620.9</v>
      </c>
      <c r="J20" s="0" t="n">
        <v>10.5718473360895</v>
      </c>
      <c r="K20" s="0" t="n">
        <v>11.62</v>
      </c>
      <c r="L20" s="0" t="n">
        <v>3420.9</v>
      </c>
      <c r="M20" s="0" t="n">
        <v>137.4</v>
      </c>
      <c r="N20" s="0" t="n">
        <v>3283.5</v>
      </c>
      <c r="O20" s="0" t="n">
        <v>24742.2</v>
      </c>
      <c r="P20" s="0" t="n">
        <v>35471.2</v>
      </c>
      <c r="Q20" s="0" t="n">
        <v>10729</v>
      </c>
      <c r="S20" s="0" t="n">
        <v>2985.4</v>
      </c>
      <c r="T20" s="0" t="n">
        <v>309.9</v>
      </c>
      <c r="U20" s="0" t="n">
        <v>131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141.51</v>
      </c>
    </row>
    <row r="3" customFormat="false" ht="15" hidden="false" customHeight="false" outlineLevel="0" collapsed="false">
      <c r="A3" s="0" t="s">
        <v>85</v>
      </c>
      <c r="B3" s="3" t="n">
        <v>281.5</v>
      </c>
    </row>
    <row r="4" customFormat="false" ht="15" hidden="false" customHeight="false" outlineLevel="0" collapsed="false">
      <c r="A4" s="0" t="s">
        <v>86</v>
      </c>
      <c r="B4" s="3" t="n">
        <v>3220.7</v>
      </c>
    </row>
    <row r="5" customFormat="false" ht="15" hidden="false" customHeight="false" outlineLevel="0" collapsed="false">
      <c r="A5" s="0" t="s">
        <v>87</v>
      </c>
      <c r="B5" s="3" t="n">
        <v>1313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32750</v>
      </c>
    </row>
    <row r="8" customFormat="false" ht="15" hidden="false" customHeight="false" outlineLevel="0" collapsed="false">
      <c r="A8" s="0" t="s">
        <v>90</v>
      </c>
      <c r="B8" s="3" t="s">
        <v>91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-6</v>
      </c>
      <c r="D13" s="3" t="n">
        <v>-4</v>
      </c>
      <c r="E13" s="3" t="n">
        <v>3</v>
      </c>
      <c r="F13" s="3" t="n">
        <v>5</v>
      </c>
      <c r="G13" s="3" t="n">
        <v>5</v>
      </c>
      <c r="H13" s="3" t="n">
        <v>4</v>
      </c>
      <c r="I13" s="3" t="n">
        <v>4</v>
      </c>
      <c r="J13" s="3" t="n">
        <v>3.5</v>
      </c>
      <c r="K13" s="3" t="n">
        <v>3</v>
      </c>
      <c r="L13" s="3" t="n">
        <v>2.5</v>
      </c>
    </row>
    <row r="14" customFormat="false" ht="15" hidden="false" customHeight="false" outlineLevel="0" collapsed="false">
      <c r="A14" s="0" t="s">
        <v>107</v>
      </c>
      <c r="C14" s="3" t="n">
        <v>12.3</v>
      </c>
      <c r="D14" s="3" t="n">
        <v>11.5</v>
      </c>
      <c r="E14" s="3" t="n">
        <v>12</v>
      </c>
      <c r="F14" s="3" t="n">
        <v>12.5</v>
      </c>
      <c r="G14" s="3" t="n">
        <v>13</v>
      </c>
      <c r="H14" s="3" t="n">
        <v>13</v>
      </c>
      <c r="I14" s="3" t="n">
        <v>13</v>
      </c>
      <c r="J14" s="3" t="n">
        <v>13</v>
      </c>
      <c r="K14" s="3" t="n">
        <v>13</v>
      </c>
      <c r="L14" s="3" t="n">
        <v>13</v>
      </c>
    </row>
    <row r="15" customFormat="false" ht="15" hidden="false" customHeight="false" outlineLevel="0" collapsed="false">
      <c r="A15" s="0" t="s">
        <v>108</v>
      </c>
      <c r="C15" s="3" t="n">
        <v>0.6</v>
      </c>
      <c r="D15" s="3" t="n">
        <v>0.6</v>
      </c>
      <c r="E15" s="3" t="n">
        <v>0.6</v>
      </c>
      <c r="F15" s="3" t="n">
        <v>0.6</v>
      </c>
      <c r="G15" s="3" t="n">
        <v>0.6</v>
      </c>
      <c r="H15" s="3" t="n">
        <v>0.6</v>
      </c>
      <c r="I15" s="3" t="n">
        <v>0.6</v>
      </c>
      <c r="J15" s="3" t="n">
        <v>0.6</v>
      </c>
      <c r="K15" s="3" t="n">
        <v>0.6</v>
      </c>
      <c r="L15" s="3" t="n">
        <v>0.6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0.35</v>
      </c>
      <c r="D17" s="3" t="n">
        <v>0.35</v>
      </c>
      <c r="E17" s="3" t="n">
        <v>0.35</v>
      </c>
      <c r="F17" s="3" t="n">
        <v>0.35</v>
      </c>
      <c r="G17" s="3" t="n">
        <v>0.35</v>
      </c>
      <c r="H17" s="3" t="n">
        <v>0.35</v>
      </c>
      <c r="I17" s="3" t="n">
        <v>0.35</v>
      </c>
      <c r="J17" s="3" t="n">
        <v>0.35</v>
      </c>
      <c r="K17" s="3" t="n">
        <v>0.35</v>
      </c>
      <c r="L17" s="3" t="n">
        <v>0.35</v>
      </c>
    </row>
    <row r="18" customFormat="false" ht="15" hidden="false" customHeight="false" outlineLevel="0" collapsed="false">
      <c r="A18" s="0" t="s">
        <v>111</v>
      </c>
      <c r="C18" s="3" t="n">
        <v>0.45</v>
      </c>
      <c r="D18" s="3" t="n">
        <v>0.45</v>
      </c>
      <c r="E18" s="3" t="n">
        <v>0.45</v>
      </c>
      <c r="F18" s="3" t="n">
        <v>0.45</v>
      </c>
      <c r="G18" s="3" t="n">
        <v>0.45</v>
      </c>
      <c r="H18" s="3" t="n">
        <v>0.45</v>
      </c>
      <c r="I18" s="3" t="n">
        <v>0.45</v>
      </c>
      <c r="J18" s="3" t="n">
        <v>0.45</v>
      </c>
      <c r="K18" s="3" t="n">
        <v>0.45</v>
      </c>
      <c r="L18" s="3" t="n">
        <v>0.45</v>
      </c>
    </row>
    <row r="19" customFormat="false" ht="15" hidden="false" customHeight="false" outlineLevel="0" collapsed="false">
      <c r="A19" s="0" t="s">
        <v>112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113</v>
      </c>
      <c r="B20" s="3" t="n">
        <v>10</v>
      </c>
    </row>
    <row r="21" customFormat="false" ht="15" hidden="false" customHeight="false" outlineLevel="0" collapsed="false">
      <c r="A21" s="0" t="s">
        <v>114</v>
      </c>
      <c r="B21" s="3" t="n">
        <v>2.5</v>
      </c>
    </row>
    <row r="22" customFormat="false" ht="15" hidden="false" customHeight="false" outlineLevel="0" collapsed="false">
      <c r="A22" s="0" t="s">
        <v>115</v>
      </c>
      <c r="B22" s="3" t="n">
        <v>12</v>
      </c>
    </row>
    <row r="23" customFormat="false" ht="15" hidden="false" customHeight="false" outlineLevel="0" collapsed="false">
      <c r="A23" s="0" t="s">
        <v>116</v>
      </c>
      <c r="B23" s="3" t="n">
        <v>-70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1</v>
      </c>
      <c r="D27" s="3" t="n">
        <v>4</v>
      </c>
      <c r="E27" s="3" t="n">
        <v>6</v>
      </c>
      <c r="F27" s="3" t="n">
        <v>6</v>
      </c>
      <c r="G27" s="3" t="n">
        <v>5</v>
      </c>
      <c r="H27" s="3" t="n">
        <v>5</v>
      </c>
      <c r="I27" s="3" t="n">
        <v>4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13.6</v>
      </c>
      <c r="D28" s="3" t="n">
        <v>14.2</v>
      </c>
      <c r="E28" s="3" t="n">
        <v>14.8</v>
      </c>
      <c r="F28" s="3" t="n">
        <v>15.2</v>
      </c>
      <c r="G28" s="3" t="n">
        <v>15.3</v>
      </c>
      <c r="H28" s="3" t="n">
        <v>15.3</v>
      </c>
      <c r="I28" s="3" t="n">
        <v>15.3</v>
      </c>
      <c r="J28" s="3" t="n">
        <v>15.3</v>
      </c>
      <c r="K28" s="3" t="n">
        <v>15.3</v>
      </c>
      <c r="L28" s="3" t="n">
        <v>15.3</v>
      </c>
    </row>
    <row r="29" customFormat="false" ht="15" hidden="false" customHeight="false" outlineLevel="0" collapsed="false">
      <c r="A29" s="0" t="s">
        <v>108</v>
      </c>
      <c r="C29" s="3" t="n">
        <v>0.6</v>
      </c>
      <c r="D29" s="3" t="n">
        <v>0.6</v>
      </c>
      <c r="E29" s="3" t="n">
        <v>0.6</v>
      </c>
      <c r="F29" s="3" t="n">
        <v>0.6</v>
      </c>
      <c r="G29" s="3" t="n">
        <v>0.6</v>
      </c>
      <c r="H29" s="3" t="n">
        <v>0.6</v>
      </c>
      <c r="I29" s="3" t="n">
        <v>0.6</v>
      </c>
      <c r="J29" s="3" t="n">
        <v>0.6</v>
      </c>
      <c r="K29" s="3" t="n">
        <v>0.6</v>
      </c>
      <c r="L29" s="3" t="n">
        <v>0.6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0.35</v>
      </c>
      <c r="D31" s="3" t="n">
        <v>0.35</v>
      </c>
      <c r="E31" s="3" t="n">
        <v>0.35</v>
      </c>
      <c r="F31" s="3" t="n">
        <v>0.35</v>
      </c>
      <c r="G31" s="3" t="n">
        <v>0.35</v>
      </c>
      <c r="H31" s="3" t="n">
        <v>0.35</v>
      </c>
      <c r="I31" s="3" t="n">
        <v>0.35</v>
      </c>
      <c r="J31" s="3" t="n">
        <v>0.35</v>
      </c>
      <c r="K31" s="3" t="n">
        <v>0.35</v>
      </c>
      <c r="L31" s="3" t="n">
        <v>0.35</v>
      </c>
    </row>
    <row r="32" customFormat="false" ht="15" hidden="false" customHeight="false" outlineLevel="0" collapsed="false">
      <c r="A32" s="0" t="s">
        <v>111</v>
      </c>
      <c r="C32" s="3" t="n">
        <v>0.45</v>
      </c>
      <c r="D32" s="3" t="n">
        <v>0.45</v>
      </c>
      <c r="E32" s="3" t="n">
        <v>0.45</v>
      </c>
      <c r="F32" s="3" t="n">
        <v>0.45</v>
      </c>
      <c r="G32" s="3" t="n">
        <v>0.45</v>
      </c>
      <c r="H32" s="3" t="n">
        <v>0.45</v>
      </c>
      <c r="I32" s="3" t="n">
        <v>0.45</v>
      </c>
      <c r="J32" s="3" t="n">
        <v>0.45</v>
      </c>
      <c r="K32" s="3" t="n">
        <v>0.45</v>
      </c>
      <c r="L32" s="3" t="n">
        <v>0.45</v>
      </c>
    </row>
    <row r="33" customFormat="false" ht="15" hidden="false" customHeight="false" outlineLevel="0" collapsed="false">
      <c r="A33" s="0" t="s">
        <v>112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113</v>
      </c>
      <c r="B34" s="3" t="n">
        <v>10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12</v>
      </c>
    </row>
    <row r="37" customFormat="false" ht="15" hidden="false" customHeight="false" outlineLevel="0" collapsed="false">
      <c r="A37" s="0" t="s">
        <v>116</v>
      </c>
      <c r="B37" s="3" t="n">
        <v>-70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3</v>
      </c>
      <c r="D41" s="3" t="n">
        <v>8</v>
      </c>
      <c r="E41" s="3" t="n">
        <v>9</v>
      </c>
      <c r="F41" s="3" t="n">
        <v>8</v>
      </c>
      <c r="G41" s="3" t="n">
        <v>7</v>
      </c>
      <c r="H41" s="3" t="n">
        <v>6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107</v>
      </c>
      <c r="C42" s="3" t="n">
        <v>14</v>
      </c>
      <c r="D42" s="3" t="n">
        <v>15.3</v>
      </c>
      <c r="E42" s="3" t="n">
        <v>16.3</v>
      </c>
      <c r="F42" s="3" t="n">
        <v>16.8</v>
      </c>
      <c r="G42" s="3" t="n">
        <v>17</v>
      </c>
      <c r="H42" s="3" t="n">
        <v>17</v>
      </c>
      <c r="I42" s="3" t="n">
        <v>17</v>
      </c>
      <c r="J42" s="3" t="n">
        <v>17</v>
      </c>
      <c r="K42" s="3" t="n">
        <v>17</v>
      </c>
      <c r="L42" s="3" t="n">
        <v>17</v>
      </c>
    </row>
    <row r="43" customFormat="false" ht="15" hidden="false" customHeight="false" outlineLevel="0" collapsed="false">
      <c r="A43" s="0" t="s">
        <v>108</v>
      </c>
      <c r="C43" s="3" t="n">
        <v>0.6</v>
      </c>
      <c r="D43" s="3" t="n">
        <v>0.6</v>
      </c>
      <c r="E43" s="3" t="n">
        <v>0.6</v>
      </c>
      <c r="F43" s="3" t="n">
        <v>0.6</v>
      </c>
      <c r="G43" s="3" t="n">
        <v>0.6</v>
      </c>
      <c r="H43" s="3" t="n">
        <v>0.6</v>
      </c>
      <c r="I43" s="3" t="n">
        <v>0.6</v>
      </c>
      <c r="J43" s="3" t="n">
        <v>0.6</v>
      </c>
      <c r="K43" s="3" t="n">
        <v>0.6</v>
      </c>
      <c r="L43" s="3" t="n">
        <v>0.6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0.35</v>
      </c>
      <c r="D45" s="3" t="n">
        <v>0.35</v>
      </c>
      <c r="E45" s="3" t="n">
        <v>0.35</v>
      </c>
      <c r="F45" s="3" t="n">
        <v>0.35</v>
      </c>
      <c r="G45" s="3" t="n">
        <v>0.35</v>
      </c>
      <c r="H45" s="3" t="n">
        <v>0.35</v>
      </c>
      <c r="I45" s="3" t="n">
        <v>0.35</v>
      </c>
      <c r="J45" s="3" t="n">
        <v>0.35</v>
      </c>
      <c r="K45" s="3" t="n">
        <v>0.35</v>
      </c>
      <c r="L45" s="3" t="n">
        <v>0.35</v>
      </c>
    </row>
    <row r="46" customFormat="false" ht="15" hidden="false" customHeight="false" outlineLevel="0" collapsed="false">
      <c r="A46" s="0" t="s">
        <v>111</v>
      </c>
      <c r="C46" s="3" t="n">
        <v>0.45</v>
      </c>
      <c r="D46" s="3" t="n">
        <v>0.45</v>
      </c>
      <c r="E46" s="3" t="n">
        <v>0.45</v>
      </c>
      <c r="F46" s="3" t="n">
        <v>0.45</v>
      </c>
      <c r="G46" s="3" t="n">
        <v>0.45</v>
      </c>
      <c r="H46" s="3" t="n">
        <v>0.45</v>
      </c>
      <c r="I46" s="3" t="n">
        <v>0.45</v>
      </c>
      <c r="J46" s="3" t="n">
        <v>0.45</v>
      </c>
      <c r="K46" s="3" t="n">
        <v>0.45</v>
      </c>
      <c r="L46" s="3" t="n">
        <v>0.45</v>
      </c>
    </row>
    <row r="47" customFormat="false" ht="15" hidden="false" customHeight="false" outlineLevel="0" collapsed="false">
      <c r="A47" s="0" t="s">
        <v>112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113</v>
      </c>
      <c r="B48" s="3" t="n">
        <v>10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12</v>
      </c>
    </row>
    <row r="51" customFormat="false" ht="15" hidden="false" customHeight="false" outlineLevel="0" collapsed="false">
      <c r="A51" s="0" t="s">
        <v>116</v>
      </c>
      <c r="B51" s="3" t="n">
        <v>-70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-6</v>
      </c>
      <c r="D5" s="4" t="n">
        <f aca="false">Assumptions!D13</f>
        <v>-4</v>
      </c>
      <c r="E5" s="4" t="n">
        <f aca="false">Assumptions!E13</f>
        <v>3</v>
      </c>
      <c r="F5" s="4" t="n">
        <f aca="false">Assumptions!F13</f>
        <v>5</v>
      </c>
      <c r="G5" s="4" t="n">
        <f aca="false">Assumptions!G13</f>
        <v>5</v>
      </c>
      <c r="H5" s="4" t="n">
        <f aca="false">Assumptions!H13</f>
        <v>4</v>
      </c>
      <c r="I5" s="4" t="n">
        <f aca="false">Assumptions!I13</f>
        <v>4</v>
      </c>
      <c r="J5" s="4" t="n">
        <f aca="false">Assumptions!J13</f>
        <v>3.5</v>
      </c>
      <c r="K5" s="4" t="n">
        <f aca="false">Assumptions!K13</f>
        <v>3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32750</v>
      </c>
      <c r="C6" s="0" t="n">
        <f aca="false">B6*(1+C5/100)</f>
        <v>30785</v>
      </c>
      <c r="D6" s="0" t="n">
        <f aca="false">C6*(1+D5/100)</f>
        <v>29553.6</v>
      </c>
      <c r="E6" s="0" t="n">
        <f aca="false">D6*(1+E5/100)</f>
        <v>30440.208</v>
      </c>
      <c r="F6" s="0" t="n">
        <f aca="false">E6*(1+F5/100)</f>
        <v>31962.2184</v>
      </c>
      <c r="G6" s="0" t="n">
        <f aca="false">F6*(1+G5/100)</f>
        <v>33560.32932</v>
      </c>
      <c r="H6" s="0" t="n">
        <f aca="false">G6*(1+H5/100)</f>
        <v>34902.7424928</v>
      </c>
      <c r="I6" s="0" t="n">
        <f aca="false">H6*(1+I5/100)</f>
        <v>36298.852192512</v>
      </c>
      <c r="J6" s="0" t="n">
        <f aca="false">I6*(1+J5/100)</f>
        <v>37569.3120192499</v>
      </c>
      <c r="K6" s="0" t="n">
        <f aca="false">J6*(1+K5/100)</f>
        <v>38696.3913798274</v>
      </c>
      <c r="L6" s="0" t="n">
        <f aca="false">K6*(1+L5/100)</f>
        <v>39663.8011643231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12.3</v>
      </c>
      <c r="D7" s="4" t="n">
        <f aca="false">Assumptions!D14</f>
        <v>11.5</v>
      </c>
      <c r="E7" s="4" t="n">
        <f aca="false">Assumptions!E14</f>
        <v>12</v>
      </c>
      <c r="F7" s="4" t="n">
        <f aca="false">Assumptions!F14</f>
        <v>12.5</v>
      </c>
      <c r="G7" s="4" t="n">
        <f aca="false">Assumptions!G14</f>
        <v>13</v>
      </c>
      <c r="H7" s="4" t="n">
        <f aca="false">Assumptions!H14</f>
        <v>13</v>
      </c>
      <c r="I7" s="4" t="n">
        <f aca="false">Assumptions!I14</f>
        <v>13</v>
      </c>
      <c r="J7" s="4" t="n">
        <f aca="false">Assumptions!J14</f>
        <v>13</v>
      </c>
      <c r="K7" s="4" t="n">
        <f aca="false">Assumptions!K14</f>
        <v>13</v>
      </c>
      <c r="L7" s="4" t="n">
        <f aca="false">Assumptions!L14</f>
        <v>13</v>
      </c>
    </row>
    <row r="8" customFormat="false" ht="15" hidden="false" customHeight="false" outlineLevel="0" collapsed="false">
      <c r="A8" s="0" t="s">
        <v>43</v>
      </c>
      <c r="C8" s="0" t="n">
        <f aca="false">C6*C7/100</f>
        <v>3786.555</v>
      </c>
      <c r="D8" s="0" t="n">
        <f aca="false">D6*D7/100</f>
        <v>3398.664</v>
      </c>
      <c r="E8" s="0" t="n">
        <f aca="false">E6*E7/100</f>
        <v>3652.82496</v>
      </c>
      <c r="F8" s="0" t="n">
        <f aca="false">F6*F7/100</f>
        <v>3995.2773</v>
      </c>
      <c r="G8" s="0" t="n">
        <f aca="false">G6*G7/100</f>
        <v>4362.8428116</v>
      </c>
      <c r="H8" s="0" t="n">
        <f aca="false">H6*H7/100</f>
        <v>4537.356524064</v>
      </c>
      <c r="I8" s="0" t="n">
        <f aca="false">I6*I7/100</f>
        <v>4718.85078502656</v>
      </c>
      <c r="J8" s="0" t="n">
        <f aca="false">J6*J7/100</f>
        <v>4884.01056250249</v>
      </c>
      <c r="K8" s="0" t="n">
        <f aca="false">K6*K7/100</f>
        <v>5030.53087937757</v>
      </c>
      <c r="L8" s="0" t="n">
        <f aca="false">L6*L7/100</f>
        <v>5156.294151362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0.6</v>
      </c>
      <c r="D9" s="4" t="n">
        <f aca="false">Assumptions!D15</f>
        <v>0.6</v>
      </c>
      <c r="E9" s="4" t="n">
        <f aca="false">Assumptions!E15</f>
        <v>0.6</v>
      </c>
      <c r="F9" s="4" t="n">
        <f aca="false">Assumptions!F15</f>
        <v>0.6</v>
      </c>
      <c r="G9" s="4" t="n">
        <f aca="false">Assumptions!G15</f>
        <v>0.6</v>
      </c>
      <c r="H9" s="4" t="n">
        <f aca="false">Assumptions!H15</f>
        <v>0.6</v>
      </c>
      <c r="I9" s="4" t="n">
        <f aca="false">Assumptions!I15</f>
        <v>0.6</v>
      </c>
      <c r="J9" s="4" t="n">
        <f aca="false">Assumptions!J15</f>
        <v>0.6</v>
      </c>
      <c r="K9" s="4" t="n">
        <f aca="false">Assumptions!K15</f>
        <v>0.6</v>
      </c>
      <c r="L9" s="4" t="n">
        <f aca="false">Assumptions!L15</f>
        <v>0.6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-184.71</v>
      </c>
      <c r="D10" s="0" t="n">
        <f aca="false">-D6*D9/100</f>
        <v>-177.3216</v>
      </c>
      <c r="E10" s="0" t="n">
        <f aca="false">-E6*E9/100</f>
        <v>-182.641248</v>
      </c>
      <c r="F10" s="0" t="n">
        <f aca="false">-F6*F9/100</f>
        <v>-191.7733104</v>
      </c>
      <c r="G10" s="0" t="n">
        <f aca="false">-G6*G9/100</f>
        <v>-201.36197592</v>
      </c>
      <c r="H10" s="0" t="n">
        <f aca="false">-H6*H9/100</f>
        <v>-209.4164549568</v>
      </c>
      <c r="I10" s="0" t="n">
        <f aca="false">-I6*I9/100</f>
        <v>-217.793113155072</v>
      </c>
      <c r="J10" s="0" t="n">
        <f aca="false">-J6*J9/100</f>
        <v>-225.4158721155</v>
      </c>
      <c r="K10" s="0" t="n">
        <f aca="false">-K6*K9/100</f>
        <v>-232.178348278965</v>
      </c>
      <c r="L10" s="0" t="n">
        <f aca="false">-L6*L9/100</f>
        <v>-237.982806985939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3601.845</v>
      </c>
      <c r="D11" s="0" t="n">
        <f aca="false">D8+D10+D24</f>
        <v>3221.3424</v>
      </c>
      <c r="E11" s="0" t="n">
        <f aca="false">E8+E10+E24</f>
        <v>3470.183712</v>
      </c>
      <c r="F11" s="0" t="n">
        <f aca="false">F8+F10+F24</f>
        <v>3803.5039896</v>
      </c>
      <c r="G11" s="0" t="n">
        <f aca="false">G8+G10+G24</f>
        <v>4161.48083568</v>
      </c>
      <c r="H11" s="0" t="n">
        <f aca="false">H8+H10+H24</f>
        <v>4327.9400691072</v>
      </c>
      <c r="I11" s="0" t="n">
        <f aca="false">I8+I10+I24</f>
        <v>4501.05767187149</v>
      </c>
      <c r="J11" s="0" t="n">
        <f aca="false">J8+J10+J24</f>
        <v>4658.59469038699</v>
      </c>
      <c r="K11" s="0" t="n">
        <f aca="false">K8+K10+K24</f>
        <v>4798.3525310986</v>
      </c>
      <c r="L11" s="0" t="n">
        <f aca="false">L8+L10+L24</f>
        <v>4918.31134437607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-107.7475</v>
      </c>
      <c r="D12" s="4" t="n">
        <f aca="false">-D6*Assumptions!D17/100</f>
        <v>-103.4376</v>
      </c>
      <c r="E12" s="4" t="n">
        <f aca="false">-E6*Assumptions!E17/100</f>
        <v>-106.540728</v>
      </c>
      <c r="F12" s="4" t="n">
        <f aca="false">-F6*Assumptions!F17/100</f>
        <v>-111.8677644</v>
      </c>
      <c r="G12" s="4" t="n">
        <f aca="false">-G6*Assumptions!G17/100</f>
        <v>-117.46115262</v>
      </c>
      <c r="H12" s="4" t="n">
        <f aca="false">-H6*Assumptions!H17/100</f>
        <v>-122.1595987248</v>
      </c>
      <c r="I12" s="4" t="n">
        <f aca="false">-I6*Assumptions!I17/100</f>
        <v>-127.045982673792</v>
      </c>
      <c r="J12" s="4" t="n">
        <f aca="false">-J6*Assumptions!J17/100</f>
        <v>-131.492592067375</v>
      </c>
      <c r="K12" s="4" t="n">
        <f aca="false">-K6*Assumptions!K17/100</f>
        <v>-135.437369829396</v>
      </c>
      <c r="L12" s="4" t="n">
        <f aca="false">-L6*Assumptions!L17/100</f>
        <v>-138.823304075131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3494.0975</v>
      </c>
      <c r="D13" s="0" t="n">
        <f aca="false">D11+D12</f>
        <v>3117.9048</v>
      </c>
      <c r="E13" s="0" t="n">
        <f aca="false">E11+E12</f>
        <v>3363.642984</v>
      </c>
      <c r="F13" s="0" t="n">
        <f aca="false">F11+F12</f>
        <v>3691.6362252</v>
      </c>
      <c r="G13" s="0" t="n">
        <f aca="false">G11+G12</f>
        <v>4044.01968306</v>
      </c>
      <c r="H13" s="0" t="n">
        <f aca="false">H11+H12</f>
        <v>4205.7804703824</v>
      </c>
      <c r="I13" s="0" t="n">
        <f aca="false">I11+I12</f>
        <v>4374.0116891977</v>
      </c>
      <c r="J13" s="0" t="n">
        <f aca="false">J11+J12</f>
        <v>4527.10209831962</v>
      </c>
      <c r="K13" s="0" t="n">
        <f aca="false">K11+K12</f>
        <v>4662.91516126921</v>
      </c>
      <c r="L13" s="0" t="n">
        <f aca="false">L11+L12</f>
        <v>4779.48804030093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2620.573125</v>
      </c>
      <c r="D15" s="0" t="n">
        <f aca="false">D13-MAX(0,D13)*D14/100</f>
        <v>2338.4286</v>
      </c>
      <c r="E15" s="0" t="n">
        <f aca="false">E13-MAX(0,E13)*E14/100</f>
        <v>2522.732238</v>
      </c>
      <c r="F15" s="0" t="n">
        <f aca="false">F13-MAX(0,F13)*F14/100</f>
        <v>2768.7271689</v>
      </c>
      <c r="G15" s="0" t="n">
        <f aca="false">G13-MAX(0,G13)*G14/100</f>
        <v>3033.014762295</v>
      </c>
      <c r="H15" s="0" t="n">
        <f aca="false">H13-MAX(0,H13)*H14/100</f>
        <v>3154.3353527868</v>
      </c>
      <c r="I15" s="0" t="n">
        <f aca="false">I13-MAX(0,I13)*I14/100</f>
        <v>3280.50876689827</v>
      </c>
      <c r="J15" s="0" t="n">
        <f aca="false">J13-MAX(0,J13)*J14/100</f>
        <v>3395.32657373971</v>
      </c>
      <c r="K15" s="0" t="n">
        <f aca="false">K13-MAX(0,K13)*K14/100</f>
        <v>3497.1863709519</v>
      </c>
      <c r="L15" s="0" t="n">
        <f aca="false">L13-MAX(0,L13)*L14/100</f>
        <v>3584.6160302257</v>
      </c>
    </row>
    <row r="16" customFormat="false" ht="15" hidden="false" customHeight="false" outlineLevel="0" collapsed="false">
      <c r="A16" s="0" t="s">
        <v>128</v>
      </c>
      <c r="C16" s="0" t="n">
        <f aca="false">-C12</f>
        <v>107.7475</v>
      </c>
      <c r="D16" s="0" t="n">
        <f aca="false">-D12</f>
        <v>103.4376</v>
      </c>
      <c r="E16" s="0" t="n">
        <f aca="false">-E12</f>
        <v>106.540728</v>
      </c>
      <c r="F16" s="0" t="n">
        <f aca="false">-F12</f>
        <v>111.8677644</v>
      </c>
      <c r="G16" s="0" t="n">
        <f aca="false">-G12</f>
        <v>117.46115262</v>
      </c>
      <c r="H16" s="0" t="n">
        <f aca="false">-H12</f>
        <v>122.1595987248</v>
      </c>
      <c r="I16" s="0" t="n">
        <f aca="false">-I12</f>
        <v>127.045982673792</v>
      </c>
      <c r="J16" s="0" t="n">
        <f aca="false">-J12</f>
        <v>131.492592067375</v>
      </c>
      <c r="K16" s="0" t="n">
        <f aca="false">-K12</f>
        <v>135.437369829396</v>
      </c>
      <c r="L16" s="0" t="n">
        <f aca="false">-L12</f>
        <v>138.823304075131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-138.5325</v>
      </c>
      <c r="D17" s="4" t="n">
        <f aca="false">-D6*Assumptions!D18/100</f>
        <v>-132.9912</v>
      </c>
      <c r="E17" s="4" t="n">
        <f aca="false">-E6*Assumptions!E18/100</f>
        <v>-136.980936</v>
      </c>
      <c r="F17" s="4" t="n">
        <f aca="false">-F6*Assumptions!F18/100</f>
        <v>-143.8299828</v>
      </c>
      <c r="G17" s="4" t="n">
        <f aca="false">-G6*Assumptions!G18/100</f>
        <v>-151.02148194</v>
      </c>
      <c r="H17" s="4" t="n">
        <f aca="false">-H6*Assumptions!H18/100</f>
        <v>-157.0623412176</v>
      </c>
      <c r="I17" s="4" t="n">
        <f aca="false">-I6*Assumptions!I18/100</f>
        <v>-163.344834866304</v>
      </c>
      <c r="J17" s="4" t="n">
        <f aca="false">-J6*Assumptions!J18/100</f>
        <v>-169.061904086625</v>
      </c>
      <c r="K17" s="4" t="n">
        <f aca="false">-K6*Assumptions!K18/100</f>
        <v>-174.133761209223</v>
      </c>
      <c r="L17" s="4" t="n">
        <f aca="false">-L6*Assumptions!L18/100</f>
        <v>-178.487105239454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1375.5</v>
      </c>
      <c r="D18" s="4" t="n">
        <f aca="false">(D6-C6)*Assumptions!$B$23/100</f>
        <v>861.980000000001</v>
      </c>
      <c r="E18" s="4" t="n">
        <f aca="false">(E6-D6)*Assumptions!$B$23/100</f>
        <v>-620.6256</v>
      </c>
      <c r="F18" s="4" t="n">
        <f aca="false">(F6-E6)*Assumptions!$B$23/100</f>
        <v>-1065.40728</v>
      </c>
      <c r="G18" s="4" t="n">
        <f aca="false">(G6-F6)*Assumptions!$B$23/100</f>
        <v>-1118.677644</v>
      </c>
      <c r="H18" s="4" t="n">
        <f aca="false">(H6-G6)*Assumptions!$B$23/100</f>
        <v>-939.68922096</v>
      </c>
      <c r="I18" s="4" t="n">
        <f aca="false">(I6-H6)*Assumptions!$B$23/100</f>
        <v>-977.276789798403</v>
      </c>
      <c r="J18" s="4" t="n">
        <f aca="false">(J6-I6)*Assumptions!$B$23/100</f>
        <v>-889.321878716543</v>
      </c>
      <c r="K18" s="4" t="n">
        <f aca="false">(K6-J6)*Assumptions!$B$23/100</f>
        <v>-788.955552404247</v>
      </c>
      <c r="L18" s="4" t="n">
        <f aca="false">(L6-K6)*Assumptions!$B$23/100</f>
        <v>-677.18684914698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3965.288125</v>
      </c>
      <c r="D19" s="0" t="n">
        <f aca="false">D15+D16+D17+D18</f>
        <v>3170.855</v>
      </c>
      <c r="E19" s="0" t="n">
        <f aca="false">E15+E16+E17+E18</f>
        <v>1871.66643</v>
      </c>
      <c r="F19" s="0" t="n">
        <f aca="false">F15+F16+F17+F18</f>
        <v>1671.3576705</v>
      </c>
      <c r="G19" s="0" t="n">
        <f aca="false">G15+G16+G17+G18</f>
        <v>1880.776788975</v>
      </c>
      <c r="H19" s="0" t="n">
        <f aca="false">H15+H16+H17+H18</f>
        <v>2179.743389334</v>
      </c>
      <c r="I19" s="0" t="n">
        <f aca="false">I15+I16+I17+I18</f>
        <v>2266.93312490736</v>
      </c>
      <c r="J19" s="0" t="n">
        <f aca="false">J15+J16+J17+J18</f>
        <v>2468.43538300392</v>
      </c>
      <c r="K19" s="0" t="n">
        <f aca="false">K15+K16+K17+K18</f>
        <v>2669.53442716783</v>
      </c>
      <c r="L19" s="0" t="n">
        <f aca="false">L15+L16+L17+L18</f>
        <v>2867.7653799144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3604.80738636364</v>
      </c>
      <c r="D21" s="0" t="n">
        <f aca="false">D19*D20</f>
        <v>2620.54132231405</v>
      </c>
      <c r="E21" s="0" t="n">
        <f aca="false">E19*E20</f>
        <v>1406.21069120962</v>
      </c>
      <c r="F21" s="0" t="n">
        <f aca="false">F19*F20</f>
        <v>1141.55977767912</v>
      </c>
      <c r="G21" s="0" t="n">
        <f aca="false">G19*G20</f>
        <v>1167.81441218931</v>
      </c>
      <c r="H21" s="0" t="n">
        <f aca="false">H19*H20</f>
        <v>1230.4083174861</v>
      </c>
      <c r="I21" s="0" t="n">
        <f aca="false">I19*I20</f>
        <v>1163.29513653231</v>
      </c>
      <c r="J21" s="0" t="n">
        <f aca="false">J19*J20</f>
        <v>1151.54332374217</v>
      </c>
      <c r="K21" s="0" t="n">
        <f aca="false">K19*K20</f>
        <v>1132.14319272523</v>
      </c>
      <c r="L21" s="0" t="n">
        <f aca="false">L19*L20</f>
        <v>1105.64769788433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15723.9712581259</v>
      </c>
    </row>
    <row r="31" customFormat="false" ht="15" hidden="false" customHeight="false" outlineLevel="0" collapsed="false">
      <c r="A31" s="0" t="s">
        <v>137</v>
      </c>
      <c r="B31" s="0" t="n">
        <f aca="false">L19</f>
        <v>2867.7653799144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39192.7935254968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34413.1845589728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34413.1845589728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13267.7723746119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28991.7436327378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27084.0436327378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96.2132988729584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-0.320095407582797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1233.04928763213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1253.9532145181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105.048121260703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23515.6761152981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60.1821919553818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1</v>
      </c>
      <c r="D5" s="4" t="n">
        <f aca="false">Assumptions!D27</f>
        <v>4</v>
      </c>
      <c r="E5" s="4" t="n">
        <f aca="false">Assumptions!E27</f>
        <v>6</v>
      </c>
      <c r="F5" s="4" t="n">
        <f aca="false">Assumptions!F27</f>
        <v>6</v>
      </c>
      <c r="G5" s="4" t="n">
        <f aca="false">Assumptions!G27</f>
        <v>5</v>
      </c>
      <c r="H5" s="4" t="n">
        <f aca="false">Assumptions!H27</f>
        <v>5</v>
      </c>
      <c r="I5" s="4" t="n">
        <f aca="false">Assumptions!I27</f>
        <v>4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32750</v>
      </c>
      <c r="C6" s="0" t="n">
        <f aca="false">B6*(1+C5/100)</f>
        <v>33077.5</v>
      </c>
      <c r="D6" s="0" t="n">
        <f aca="false">C6*(1+D5/100)</f>
        <v>34400.6</v>
      </c>
      <c r="E6" s="0" t="n">
        <f aca="false">D6*(1+E5/100)</f>
        <v>36464.636</v>
      </c>
      <c r="F6" s="0" t="n">
        <f aca="false">E6*(1+F5/100)</f>
        <v>38652.51416</v>
      </c>
      <c r="G6" s="0" t="n">
        <f aca="false">F6*(1+G5/100)</f>
        <v>40585.139868</v>
      </c>
      <c r="H6" s="0" t="n">
        <f aca="false">G6*(1+H5/100)</f>
        <v>42614.3968614</v>
      </c>
      <c r="I6" s="0" t="n">
        <f aca="false">H6*(1+I5/100)</f>
        <v>44318.972735856</v>
      </c>
      <c r="J6" s="0" t="n">
        <f aca="false">I6*(1+J5/100)</f>
        <v>46091.7316452902</v>
      </c>
      <c r="K6" s="0" t="n">
        <f aca="false">J6*(1+K5/100)</f>
        <v>47704.9422528754</v>
      </c>
      <c r="L6" s="0" t="n">
        <f aca="false">K6*(1+L5/100)</f>
        <v>49136.0905204617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13.6</v>
      </c>
      <c r="D7" s="4" t="n">
        <f aca="false">Assumptions!D28</f>
        <v>14.2</v>
      </c>
      <c r="E7" s="4" t="n">
        <f aca="false">Assumptions!E28</f>
        <v>14.8</v>
      </c>
      <c r="F7" s="4" t="n">
        <f aca="false">Assumptions!F28</f>
        <v>15.2</v>
      </c>
      <c r="G7" s="4" t="n">
        <f aca="false">Assumptions!G28</f>
        <v>15.3</v>
      </c>
      <c r="H7" s="4" t="n">
        <f aca="false">Assumptions!H28</f>
        <v>15.3</v>
      </c>
      <c r="I7" s="4" t="n">
        <f aca="false">Assumptions!I28</f>
        <v>15.3</v>
      </c>
      <c r="J7" s="4" t="n">
        <f aca="false">Assumptions!J28</f>
        <v>15.3</v>
      </c>
      <c r="K7" s="4" t="n">
        <f aca="false">Assumptions!K28</f>
        <v>15.3</v>
      </c>
      <c r="L7" s="4" t="n">
        <f aca="false">Assumptions!L28</f>
        <v>15.3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4498.54</v>
      </c>
      <c r="D8" s="0" t="n">
        <f aca="false">D6*D7/100</f>
        <v>4884.8852</v>
      </c>
      <c r="E8" s="0" t="n">
        <f aca="false">E6*E7/100</f>
        <v>5396.766128</v>
      </c>
      <c r="F8" s="0" t="n">
        <f aca="false">F6*F7/100</f>
        <v>5875.18215232</v>
      </c>
      <c r="G8" s="0" t="n">
        <f aca="false">G6*G7/100</f>
        <v>6209.526399804</v>
      </c>
      <c r="H8" s="0" t="n">
        <f aca="false">H6*H7/100</f>
        <v>6520.0027197942</v>
      </c>
      <c r="I8" s="0" t="n">
        <f aca="false">I6*I7/100</f>
        <v>6780.80282858597</v>
      </c>
      <c r="J8" s="0" t="n">
        <f aca="false">J6*J7/100</f>
        <v>7052.03494172941</v>
      </c>
      <c r="K8" s="0" t="n">
        <f aca="false">K6*K7/100</f>
        <v>7298.85616468994</v>
      </c>
      <c r="L8" s="0" t="n">
        <f aca="false">L6*L7/100</f>
        <v>7517.82184963063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0.6</v>
      </c>
      <c r="D9" s="4" t="n">
        <f aca="false">Assumptions!D29</f>
        <v>0.6</v>
      </c>
      <c r="E9" s="4" t="n">
        <f aca="false">Assumptions!E29</f>
        <v>0.6</v>
      </c>
      <c r="F9" s="4" t="n">
        <f aca="false">Assumptions!F29</f>
        <v>0.6</v>
      </c>
      <c r="G9" s="4" t="n">
        <f aca="false">Assumptions!G29</f>
        <v>0.6</v>
      </c>
      <c r="H9" s="4" t="n">
        <f aca="false">Assumptions!H29</f>
        <v>0.6</v>
      </c>
      <c r="I9" s="4" t="n">
        <f aca="false">Assumptions!I29</f>
        <v>0.6</v>
      </c>
      <c r="J9" s="4" t="n">
        <f aca="false">Assumptions!J29</f>
        <v>0.6</v>
      </c>
      <c r="K9" s="4" t="n">
        <f aca="false">Assumptions!K29</f>
        <v>0.6</v>
      </c>
      <c r="L9" s="4" t="n">
        <f aca="false">Assumptions!L29</f>
        <v>0.6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-198.465</v>
      </c>
      <c r="D10" s="0" t="n">
        <f aca="false">-D6*D9/100</f>
        <v>-206.4036</v>
      </c>
      <c r="E10" s="0" t="n">
        <f aca="false">-E6*E9/100</f>
        <v>-218.787816</v>
      </c>
      <c r="F10" s="0" t="n">
        <f aca="false">-F6*F9/100</f>
        <v>-231.91508496</v>
      </c>
      <c r="G10" s="0" t="n">
        <f aca="false">-G6*G9/100</f>
        <v>-243.510839208</v>
      </c>
      <c r="H10" s="0" t="n">
        <f aca="false">-H6*H9/100</f>
        <v>-255.6863811684</v>
      </c>
      <c r="I10" s="0" t="n">
        <f aca="false">-I6*I9/100</f>
        <v>-265.913836415136</v>
      </c>
      <c r="J10" s="0" t="n">
        <f aca="false">-J6*J9/100</f>
        <v>-276.550389871741</v>
      </c>
      <c r="K10" s="0" t="n">
        <f aca="false">-K6*K9/100</f>
        <v>-286.229653517252</v>
      </c>
      <c r="L10" s="0" t="n">
        <f aca="false">-L6*L9/100</f>
        <v>-294.81654312277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4300.075</v>
      </c>
      <c r="D11" s="0" t="n">
        <f aca="false">D8+D10+D24</f>
        <v>4678.4816</v>
      </c>
      <c r="E11" s="0" t="n">
        <f aca="false">E8+E10+E24</f>
        <v>5177.978312</v>
      </c>
      <c r="F11" s="0" t="n">
        <f aca="false">F8+F10+F24</f>
        <v>5643.26706736</v>
      </c>
      <c r="G11" s="0" t="n">
        <f aca="false">G8+G10+G24</f>
        <v>5966.015560596</v>
      </c>
      <c r="H11" s="0" t="n">
        <f aca="false">H8+H10+H24</f>
        <v>6264.3163386258</v>
      </c>
      <c r="I11" s="0" t="n">
        <f aca="false">I8+I10+I24</f>
        <v>6514.88899217083</v>
      </c>
      <c r="J11" s="0" t="n">
        <f aca="false">J8+J10+J24</f>
        <v>6775.48455185767</v>
      </c>
      <c r="K11" s="0" t="n">
        <f aca="false">K8+K10+K24</f>
        <v>7012.62651117268</v>
      </c>
      <c r="L11" s="0" t="n">
        <f aca="false">L8+L10+L24</f>
        <v>7223.00530650786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-115.77125</v>
      </c>
      <c r="D12" s="4" t="n">
        <f aca="false">-D6*Assumptions!D31/100</f>
        <v>-120.4021</v>
      </c>
      <c r="E12" s="4" t="n">
        <f aca="false">-E6*Assumptions!E31/100</f>
        <v>-127.626226</v>
      </c>
      <c r="F12" s="4" t="n">
        <f aca="false">-F6*Assumptions!F31/100</f>
        <v>-135.28379956</v>
      </c>
      <c r="G12" s="4" t="n">
        <f aca="false">-G6*Assumptions!G31/100</f>
        <v>-142.047989538</v>
      </c>
      <c r="H12" s="4" t="n">
        <f aca="false">-H6*Assumptions!H31/100</f>
        <v>-149.1503890149</v>
      </c>
      <c r="I12" s="4" t="n">
        <f aca="false">-I6*Assumptions!I31/100</f>
        <v>-155.116404575496</v>
      </c>
      <c r="J12" s="4" t="n">
        <f aca="false">-J6*Assumptions!J31/100</f>
        <v>-161.321060758516</v>
      </c>
      <c r="K12" s="4" t="n">
        <f aca="false">-K6*Assumptions!K31/100</f>
        <v>-166.967297885064</v>
      </c>
      <c r="L12" s="4" t="n">
        <f aca="false">-L6*Assumptions!L31/100</f>
        <v>-171.976316821616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4184.30375</v>
      </c>
      <c r="D13" s="0" t="n">
        <f aca="false">D11+D12</f>
        <v>4558.0795</v>
      </c>
      <c r="E13" s="0" t="n">
        <f aca="false">E11+E12</f>
        <v>5050.352086</v>
      </c>
      <c r="F13" s="0" t="n">
        <f aca="false">F11+F12</f>
        <v>5507.9832678</v>
      </c>
      <c r="G13" s="0" t="n">
        <f aca="false">G11+G12</f>
        <v>5823.967571058</v>
      </c>
      <c r="H13" s="0" t="n">
        <f aca="false">H11+H12</f>
        <v>6115.1659496109</v>
      </c>
      <c r="I13" s="0" t="n">
        <f aca="false">I11+I12</f>
        <v>6359.77258759534</v>
      </c>
      <c r="J13" s="0" t="n">
        <f aca="false">J11+J12</f>
        <v>6614.16349109915</v>
      </c>
      <c r="K13" s="0" t="n">
        <f aca="false">K11+K12</f>
        <v>6845.65921328762</v>
      </c>
      <c r="L13" s="0" t="n">
        <f aca="false">L11+L12</f>
        <v>7051.02898968625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3138.2278125</v>
      </c>
      <c r="D15" s="0" t="n">
        <f aca="false">D13-MAX(0,D13)*D14/100</f>
        <v>3418.559625</v>
      </c>
      <c r="E15" s="0" t="n">
        <f aca="false">E13-MAX(0,E13)*E14/100</f>
        <v>3787.7640645</v>
      </c>
      <c r="F15" s="0" t="n">
        <f aca="false">F13-MAX(0,F13)*F14/100</f>
        <v>4130.98745085</v>
      </c>
      <c r="G15" s="0" t="n">
        <f aca="false">G13-MAX(0,G13)*G14/100</f>
        <v>4367.9756782935</v>
      </c>
      <c r="H15" s="0" t="n">
        <f aca="false">H13-MAX(0,H13)*H14/100</f>
        <v>4586.37446220818</v>
      </c>
      <c r="I15" s="0" t="n">
        <f aca="false">I13-MAX(0,I13)*I14/100</f>
        <v>4769.8294406965</v>
      </c>
      <c r="J15" s="0" t="n">
        <f aca="false">J13-MAX(0,J13)*J14/100</f>
        <v>4960.62261832436</v>
      </c>
      <c r="K15" s="0" t="n">
        <f aca="false">K13-MAX(0,K13)*K14/100</f>
        <v>5134.24440996572</v>
      </c>
      <c r="L15" s="0" t="n">
        <f aca="false">L13-MAX(0,L13)*L14/100</f>
        <v>5288.27174226469</v>
      </c>
    </row>
    <row r="16" customFormat="false" ht="15" hidden="false" customHeight="false" outlineLevel="0" collapsed="false">
      <c r="A16" s="0" t="s">
        <v>128</v>
      </c>
      <c r="C16" s="0" t="n">
        <f aca="false">-C12</f>
        <v>115.77125</v>
      </c>
      <c r="D16" s="0" t="n">
        <f aca="false">-D12</f>
        <v>120.4021</v>
      </c>
      <c r="E16" s="0" t="n">
        <f aca="false">-E12</f>
        <v>127.626226</v>
      </c>
      <c r="F16" s="0" t="n">
        <f aca="false">-F12</f>
        <v>135.28379956</v>
      </c>
      <c r="G16" s="0" t="n">
        <f aca="false">-G12</f>
        <v>142.047989538</v>
      </c>
      <c r="H16" s="0" t="n">
        <f aca="false">-H12</f>
        <v>149.1503890149</v>
      </c>
      <c r="I16" s="0" t="n">
        <f aca="false">-I12</f>
        <v>155.116404575496</v>
      </c>
      <c r="J16" s="0" t="n">
        <f aca="false">-J12</f>
        <v>161.321060758516</v>
      </c>
      <c r="K16" s="0" t="n">
        <f aca="false">-K12</f>
        <v>166.967297885064</v>
      </c>
      <c r="L16" s="0" t="n">
        <f aca="false">-L12</f>
        <v>171.976316821616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-148.84875</v>
      </c>
      <c r="D17" s="4" t="n">
        <f aca="false">-D6*Assumptions!D32/100</f>
        <v>-154.8027</v>
      </c>
      <c r="E17" s="4" t="n">
        <f aca="false">-E6*Assumptions!E32/100</f>
        <v>-164.090862</v>
      </c>
      <c r="F17" s="4" t="n">
        <f aca="false">-F6*Assumptions!F32/100</f>
        <v>-173.93631372</v>
      </c>
      <c r="G17" s="4" t="n">
        <f aca="false">-G6*Assumptions!G32/100</f>
        <v>-182.633129406</v>
      </c>
      <c r="H17" s="4" t="n">
        <f aca="false">-H6*Assumptions!H32/100</f>
        <v>-191.7647858763</v>
      </c>
      <c r="I17" s="4" t="n">
        <f aca="false">-I6*Assumptions!I32/100</f>
        <v>-199.435377311352</v>
      </c>
      <c r="J17" s="4" t="n">
        <f aca="false">-J6*Assumptions!J32/100</f>
        <v>-207.412792403806</v>
      </c>
      <c r="K17" s="4" t="n">
        <f aca="false">-K6*Assumptions!K32/100</f>
        <v>-214.672240137939</v>
      </c>
      <c r="L17" s="4" t="n">
        <f aca="false">-L6*Assumptions!L32/100</f>
        <v>-221.112407342077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-229.25</v>
      </c>
      <c r="D18" s="4" t="n">
        <f aca="false">(D6-C6)*Assumptions!$B$37/100</f>
        <v>-926.169999999999</v>
      </c>
      <c r="E18" s="4" t="n">
        <f aca="false">(E6-D6)*Assumptions!$B$37/100</f>
        <v>-1444.8252</v>
      </c>
      <c r="F18" s="4" t="n">
        <f aca="false">(F6-E6)*Assumptions!$B$37/100</f>
        <v>-1531.514712</v>
      </c>
      <c r="G18" s="4" t="n">
        <f aca="false">(G6-F6)*Assumptions!$B$37/100</f>
        <v>-1352.8379956</v>
      </c>
      <c r="H18" s="4" t="n">
        <f aca="false">(H6-G6)*Assumptions!$B$37/100</f>
        <v>-1420.47989538</v>
      </c>
      <c r="I18" s="4" t="n">
        <f aca="false">(I6-H6)*Assumptions!$B$37/100</f>
        <v>-1193.2031121192</v>
      </c>
      <c r="J18" s="4" t="n">
        <f aca="false">(J6-I6)*Assumptions!$B$37/100</f>
        <v>-1240.93123660397</v>
      </c>
      <c r="K18" s="4" t="n">
        <f aca="false">(K6-J6)*Assumptions!$B$37/100</f>
        <v>-1129.24742530961</v>
      </c>
      <c r="L18" s="4" t="n">
        <f aca="false">(L6-K6)*Assumptions!$B$37/100</f>
        <v>-1001.80378731039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2875.9003125</v>
      </c>
      <c r="D19" s="0" t="n">
        <f aca="false">D15+D16+D17+D18</f>
        <v>2457.989025</v>
      </c>
      <c r="E19" s="0" t="n">
        <f aca="false">E15+E16+E17+E18</f>
        <v>2306.4742285</v>
      </c>
      <c r="F19" s="0" t="n">
        <f aca="false">F15+F16+F17+F18</f>
        <v>2560.82022469</v>
      </c>
      <c r="G19" s="0" t="n">
        <f aca="false">G15+G16+G17+G18</f>
        <v>2974.5525428255</v>
      </c>
      <c r="H19" s="0" t="n">
        <f aca="false">H15+H16+H17+H18</f>
        <v>3123.28016996678</v>
      </c>
      <c r="I19" s="0" t="n">
        <f aca="false">I15+I16+I17+I18</f>
        <v>3532.30735584145</v>
      </c>
      <c r="J19" s="0" t="n">
        <f aca="false">J15+J16+J17+J18</f>
        <v>3673.59965007511</v>
      </c>
      <c r="K19" s="0" t="n">
        <f aca="false">K15+K16+K17+K18</f>
        <v>3957.29204240323</v>
      </c>
      <c r="L19" s="0" t="n">
        <f aca="false">L15+L16+L17+L18</f>
        <v>4237.33186443384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2614.45482954545</v>
      </c>
      <c r="D21" s="0" t="n">
        <f aca="false">D19*D20</f>
        <v>2031.39588842975</v>
      </c>
      <c r="E21" s="0" t="n">
        <f aca="false">E19*E20</f>
        <v>1732.8882257701</v>
      </c>
      <c r="F21" s="0" t="n">
        <f aca="false">F19*F20</f>
        <v>1749.07467023427</v>
      </c>
      <c r="G21" s="0" t="n">
        <f aca="false">G19*G20</f>
        <v>1846.96310040018</v>
      </c>
      <c r="H21" s="0" t="n">
        <f aca="false">H19*H20</f>
        <v>1763.01023220018</v>
      </c>
      <c r="I21" s="0" t="n">
        <f aca="false">I19*I20</f>
        <v>1812.63219573608</v>
      </c>
      <c r="J21" s="0" t="n">
        <f aca="false">J19*J20</f>
        <v>1713.76134869593</v>
      </c>
      <c r="K21" s="0" t="n">
        <f aca="false">K19*K20</f>
        <v>1678.2781303876</v>
      </c>
      <c r="L21" s="0" t="n">
        <f aca="false">L19*L20</f>
        <v>1633.67486541839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18576.1334868179</v>
      </c>
    </row>
    <row r="31" customFormat="false" ht="15" hidden="false" customHeight="false" outlineLevel="0" collapsed="false">
      <c r="A31" s="0" t="s">
        <v>137</v>
      </c>
      <c r="B31" s="0" t="n">
        <f aca="false">L19</f>
        <v>4237.33186443384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62349.3117195265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50847.9823732061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50847.9823732061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19604.0983850207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38180.2318718386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36272.5318718386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128.854464908841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-0.0894320902491655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1469.8357276826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1672.492514403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140.017265058345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36370.4318363905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77.9854163283814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3</v>
      </c>
      <c r="D5" s="4" t="n">
        <f aca="false">Assumptions!D41</f>
        <v>8</v>
      </c>
      <c r="E5" s="4" t="n">
        <f aca="false">Assumptions!E41</f>
        <v>9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32750</v>
      </c>
      <c r="C6" s="0" t="n">
        <f aca="false">B6*(1+C5/100)</f>
        <v>33732.5</v>
      </c>
      <c r="D6" s="0" t="n">
        <f aca="false">C6*(1+D5/100)</f>
        <v>36431.1</v>
      </c>
      <c r="E6" s="0" t="n">
        <f aca="false">D6*(1+E5/100)</f>
        <v>39709.899</v>
      </c>
      <c r="F6" s="0" t="n">
        <f aca="false">E6*(1+F5/100)</f>
        <v>42886.69092</v>
      </c>
      <c r="G6" s="0" t="n">
        <f aca="false">F6*(1+G5/100)</f>
        <v>45888.7592844</v>
      </c>
      <c r="H6" s="0" t="n">
        <f aca="false">G6*(1+H5/100)</f>
        <v>48642.084841464</v>
      </c>
      <c r="I6" s="0" t="n">
        <f aca="false">H6*(1+I5/100)</f>
        <v>51074.1890835372</v>
      </c>
      <c r="J6" s="0" t="n">
        <f aca="false">I6*(1+J5/100)</f>
        <v>53372.5275922964</v>
      </c>
      <c r="K6" s="0" t="n">
        <f aca="false">J6*(1+K5/100)</f>
        <v>55507.4286959883</v>
      </c>
      <c r="L6" s="0" t="n">
        <f aca="false">K6*(1+L5/100)</f>
        <v>57450.1887003478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14</v>
      </c>
      <c r="D7" s="4" t="n">
        <f aca="false">Assumptions!D42</f>
        <v>15.3</v>
      </c>
      <c r="E7" s="4" t="n">
        <f aca="false">Assumptions!E42</f>
        <v>16.3</v>
      </c>
      <c r="F7" s="4" t="n">
        <f aca="false">Assumptions!F42</f>
        <v>16.8</v>
      </c>
      <c r="G7" s="4" t="n">
        <f aca="false">Assumptions!G42</f>
        <v>17</v>
      </c>
      <c r="H7" s="4" t="n">
        <f aca="false">Assumptions!H42</f>
        <v>17</v>
      </c>
      <c r="I7" s="4" t="n">
        <f aca="false">Assumptions!I42</f>
        <v>17</v>
      </c>
      <c r="J7" s="4" t="n">
        <f aca="false">Assumptions!J42</f>
        <v>17</v>
      </c>
      <c r="K7" s="4" t="n">
        <f aca="false">Assumptions!K42</f>
        <v>17</v>
      </c>
      <c r="L7" s="4" t="n">
        <f aca="false">Assumptions!L42</f>
        <v>17</v>
      </c>
    </row>
    <row r="8" customFormat="false" ht="15" hidden="false" customHeight="false" outlineLevel="0" collapsed="false">
      <c r="A8" s="0" t="s">
        <v>43</v>
      </c>
      <c r="C8" s="0" t="n">
        <f aca="false">C6*C7/100</f>
        <v>4722.55</v>
      </c>
      <c r="D8" s="0" t="n">
        <f aca="false">D6*D7/100</f>
        <v>5573.9583</v>
      </c>
      <c r="E8" s="0" t="n">
        <f aca="false">E6*E7/100</f>
        <v>6472.713537</v>
      </c>
      <c r="F8" s="0" t="n">
        <f aca="false">F6*F7/100</f>
        <v>7204.96407456</v>
      </c>
      <c r="G8" s="0" t="n">
        <f aca="false">G6*G7/100</f>
        <v>7801.089078348</v>
      </c>
      <c r="H8" s="0" t="n">
        <f aca="false">H6*H7/100</f>
        <v>8269.15442304888</v>
      </c>
      <c r="I8" s="0" t="n">
        <f aca="false">I6*I7/100</f>
        <v>8682.61214420133</v>
      </c>
      <c r="J8" s="0" t="n">
        <f aca="false">J6*J7/100</f>
        <v>9073.32969069039</v>
      </c>
      <c r="K8" s="0" t="n">
        <f aca="false">K6*K7/100</f>
        <v>9436.262878318</v>
      </c>
      <c r="L8" s="0" t="n">
        <f aca="false">L6*L7/100</f>
        <v>9766.53207905913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0.6</v>
      </c>
      <c r="D9" s="4" t="n">
        <f aca="false">Assumptions!D43</f>
        <v>0.6</v>
      </c>
      <c r="E9" s="4" t="n">
        <f aca="false">Assumptions!E43</f>
        <v>0.6</v>
      </c>
      <c r="F9" s="4" t="n">
        <f aca="false">Assumptions!F43</f>
        <v>0.6</v>
      </c>
      <c r="G9" s="4" t="n">
        <f aca="false">Assumptions!G43</f>
        <v>0.6</v>
      </c>
      <c r="H9" s="4" t="n">
        <f aca="false">Assumptions!H43</f>
        <v>0.6</v>
      </c>
      <c r="I9" s="4" t="n">
        <f aca="false">Assumptions!I43</f>
        <v>0.6</v>
      </c>
      <c r="J9" s="4" t="n">
        <f aca="false">Assumptions!J43</f>
        <v>0.6</v>
      </c>
      <c r="K9" s="4" t="n">
        <f aca="false">Assumptions!K43</f>
        <v>0.6</v>
      </c>
      <c r="L9" s="4" t="n">
        <f aca="false">Assumptions!L43</f>
        <v>0.6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-202.395</v>
      </c>
      <c r="D10" s="0" t="n">
        <f aca="false">-D6*D9/100</f>
        <v>-218.5866</v>
      </c>
      <c r="E10" s="0" t="n">
        <f aca="false">-E6*E9/100</f>
        <v>-238.259394</v>
      </c>
      <c r="F10" s="0" t="n">
        <f aca="false">-F6*F9/100</f>
        <v>-257.32014552</v>
      </c>
      <c r="G10" s="0" t="n">
        <f aca="false">-G6*G9/100</f>
        <v>-275.3325557064</v>
      </c>
      <c r="H10" s="0" t="n">
        <f aca="false">-H6*H9/100</f>
        <v>-291.852509048784</v>
      </c>
      <c r="I10" s="0" t="n">
        <f aca="false">-I6*I9/100</f>
        <v>-306.445134501223</v>
      </c>
      <c r="J10" s="0" t="n">
        <f aca="false">-J6*J9/100</f>
        <v>-320.235165553778</v>
      </c>
      <c r="K10" s="0" t="n">
        <f aca="false">-K6*K9/100</f>
        <v>-333.04457217593</v>
      </c>
      <c r="L10" s="0" t="n">
        <f aca="false">-L6*L9/100</f>
        <v>-344.701132202087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4520.155</v>
      </c>
      <c r="D11" s="0" t="n">
        <f aca="false">D8+D10+D24</f>
        <v>5355.3717</v>
      </c>
      <c r="E11" s="0" t="n">
        <f aca="false">E8+E10+E24</f>
        <v>6234.454143</v>
      </c>
      <c r="F11" s="0" t="n">
        <f aca="false">F8+F10+F24</f>
        <v>6947.64392904</v>
      </c>
      <c r="G11" s="0" t="n">
        <f aca="false">G8+G10+G24</f>
        <v>7525.7565226416</v>
      </c>
      <c r="H11" s="0" t="n">
        <f aca="false">H8+H10+H24</f>
        <v>7977.3019140001</v>
      </c>
      <c r="I11" s="0" t="n">
        <f aca="false">I8+I10+I24</f>
        <v>8376.1670097001</v>
      </c>
      <c r="J11" s="0" t="n">
        <f aca="false">J8+J10+J24</f>
        <v>8753.09452513661</v>
      </c>
      <c r="K11" s="0" t="n">
        <f aca="false">K8+K10+K24</f>
        <v>9103.21830614208</v>
      </c>
      <c r="L11" s="0" t="n">
        <f aca="false">L8+L10+L24</f>
        <v>9421.83094685705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-118.06375</v>
      </c>
      <c r="D12" s="4" t="n">
        <f aca="false">-D6*Assumptions!D45/100</f>
        <v>-127.50885</v>
      </c>
      <c r="E12" s="4" t="n">
        <f aca="false">-E6*Assumptions!E45/100</f>
        <v>-138.9846465</v>
      </c>
      <c r="F12" s="4" t="n">
        <f aca="false">-F6*Assumptions!F45/100</f>
        <v>-150.10341822</v>
      </c>
      <c r="G12" s="4" t="n">
        <f aca="false">-G6*Assumptions!G45/100</f>
        <v>-160.6106574954</v>
      </c>
      <c r="H12" s="4" t="n">
        <f aca="false">-H6*Assumptions!H45/100</f>
        <v>-170.247296945124</v>
      </c>
      <c r="I12" s="4" t="n">
        <f aca="false">-I6*Assumptions!I45/100</f>
        <v>-178.75966179238</v>
      </c>
      <c r="J12" s="4" t="n">
        <f aca="false">-J6*Assumptions!J45/100</f>
        <v>-186.803846573037</v>
      </c>
      <c r="K12" s="4" t="n">
        <f aca="false">-K6*Assumptions!K45/100</f>
        <v>-194.276000435959</v>
      </c>
      <c r="L12" s="4" t="n">
        <f aca="false">-L6*Assumptions!L45/100</f>
        <v>-201.075660451217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4402.09125</v>
      </c>
      <c r="D13" s="0" t="n">
        <f aca="false">D11+D12</f>
        <v>5227.86285</v>
      </c>
      <c r="E13" s="0" t="n">
        <f aca="false">E11+E12</f>
        <v>6095.4694965</v>
      </c>
      <c r="F13" s="0" t="n">
        <f aca="false">F11+F12</f>
        <v>6797.54051082</v>
      </c>
      <c r="G13" s="0" t="n">
        <f aca="false">G11+G12</f>
        <v>7365.1458651462</v>
      </c>
      <c r="H13" s="0" t="n">
        <f aca="false">H11+H12</f>
        <v>7807.05461705498</v>
      </c>
      <c r="I13" s="0" t="n">
        <f aca="false">I11+I12</f>
        <v>8197.40734790772</v>
      </c>
      <c r="J13" s="0" t="n">
        <f aca="false">J11+J12</f>
        <v>8566.29067856357</v>
      </c>
      <c r="K13" s="0" t="n">
        <f aca="false">K11+K12</f>
        <v>8908.94230570612</v>
      </c>
      <c r="L13" s="0" t="n">
        <f aca="false">L11+L12</f>
        <v>9220.75528640583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3301.5684375</v>
      </c>
      <c r="D15" s="0" t="n">
        <f aca="false">D13-MAX(0,D13)*D14/100</f>
        <v>3920.8971375</v>
      </c>
      <c r="E15" s="0" t="n">
        <f aca="false">E13-MAX(0,E13)*E14/100</f>
        <v>4571.602122375</v>
      </c>
      <c r="F15" s="0" t="n">
        <f aca="false">F13-MAX(0,F13)*F14/100</f>
        <v>5098.155383115</v>
      </c>
      <c r="G15" s="0" t="n">
        <f aca="false">G13-MAX(0,G13)*G14/100</f>
        <v>5523.85939885965</v>
      </c>
      <c r="H15" s="0" t="n">
        <f aca="false">H13-MAX(0,H13)*H14/100</f>
        <v>5855.29096279123</v>
      </c>
      <c r="I15" s="0" t="n">
        <f aca="false">I13-MAX(0,I13)*I14/100</f>
        <v>6148.05551093079</v>
      </c>
      <c r="J15" s="0" t="n">
        <f aca="false">J13-MAX(0,J13)*J14/100</f>
        <v>6424.71800892268</v>
      </c>
      <c r="K15" s="0" t="n">
        <f aca="false">K13-MAX(0,K13)*K14/100</f>
        <v>6681.70672927959</v>
      </c>
      <c r="L15" s="0" t="n">
        <f aca="false">L13-MAX(0,L13)*L14/100</f>
        <v>6915.56646480437</v>
      </c>
    </row>
    <row r="16" customFormat="false" ht="15" hidden="false" customHeight="false" outlineLevel="0" collapsed="false">
      <c r="A16" s="0" t="s">
        <v>128</v>
      </c>
      <c r="C16" s="0" t="n">
        <f aca="false">-C12</f>
        <v>118.06375</v>
      </c>
      <c r="D16" s="0" t="n">
        <f aca="false">-D12</f>
        <v>127.50885</v>
      </c>
      <c r="E16" s="0" t="n">
        <f aca="false">-E12</f>
        <v>138.9846465</v>
      </c>
      <c r="F16" s="0" t="n">
        <f aca="false">-F12</f>
        <v>150.10341822</v>
      </c>
      <c r="G16" s="0" t="n">
        <f aca="false">-G12</f>
        <v>160.6106574954</v>
      </c>
      <c r="H16" s="0" t="n">
        <f aca="false">-H12</f>
        <v>170.247296945124</v>
      </c>
      <c r="I16" s="0" t="n">
        <f aca="false">-I12</f>
        <v>178.75966179238</v>
      </c>
      <c r="J16" s="0" t="n">
        <f aca="false">-J12</f>
        <v>186.803846573037</v>
      </c>
      <c r="K16" s="0" t="n">
        <f aca="false">-K12</f>
        <v>194.276000435959</v>
      </c>
      <c r="L16" s="0" t="n">
        <f aca="false">-L12</f>
        <v>201.075660451217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-151.79625</v>
      </c>
      <c r="D17" s="4" t="n">
        <f aca="false">-D6*Assumptions!D46/100</f>
        <v>-163.93995</v>
      </c>
      <c r="E17" s="4" t="n">
        <f aca="false">-E6*Assumptions!E46/100</f>
        <v>-178.6945455</v>
      </c>
      <c r="F17" s="4" t="n">
        <f aca="false">-F6*Assumptions!F46/100</f>
        <v>-192.99010914</v>
      </c>
      <c r="G17" s="4" t="n">
        <f aca="false">-G6*Assumptions!G46/100</f>
        <v>-206.4994167798</v>
      </c>
      <c r="H17" s="4" t="n">
        <f aca="false">-H6*Assumptions!H46/100</f>
        <v>-218.889381786588</v>
      </c>
      <c r="I17" s="4" t="n">
        <f aca="false">-I6*Assumptions!I46/100</f>
        <v>-229.833850875918</v>
      </c>
      <c r="J17" s="4" t="n">
        <f aca="false">-J6*Assumptions!J46/100</f>
        <v>-240.176374165334</v>
      </c>
      <c r="K17" s="4" t="n">
        <f aca="false">-K6*Assumptions!K46/100</f>
        <v>-249.783429131947</v>
      </c>
      <c r="L17" s="4" t="n">
        <f aca="false">-L6*Assumptions!L46/100</f>
        <v>-258.525849151565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-687.75</v>
      </c>
      <c r="D18" s="4" t="n">
        <f aca="false">(D6-C6)*Assumptions!$B$51/100</f>
        <v>-1889.02</v>
      </c>
      <c r="E18" s="4" t="n">
        <f aca="false">(E6-D6)*Assumptions!$B$51/100</f>
        <v>-2295.15930000001</v>
      </c>
      <c r="F18" s="4" t="n">
        <f aca="false">(F6-E6)*Assumptions!$B$51/100</f>
        <v>-2223.754344</v>
      </c>
      <c r="G18" s="4" t="n">
        <f aca="false">(G6-F6)*Assumptions!$B$51/100</f>
        <v>-2101.44785508</v>
      </c>
      <c r="H18" s="4" t="n">
        <f aca="false">(H6-G6)*Assumptions!$B$51/100</f>
        <v>-1927.3278899448</v>
      </c>
      <c r="I18" s="4" t="n">
        <f aca="false">(I6-H6)*Assumptions!$B$51/100</f>
        <v>-1702.47296945124</v>
      </c>
      <c r="J18" s="4" t="n">
        <f aca="false">(J6-I6)*Assumptions!$B$51/100</f>
        <v>-1608.83695613142</v>
      </c>
      <c r="K18" s="4" t="n">
        <f aca="false">(K6-J6)*Assumptions!$B$51/100</f>
        <v>-1494.4307725843</v>
      </c>
      <c r="L18" s="4" t="n">
        <f aca="false">(L6-K6)*Assumptions!$B$51/100</f>
        <v>-1359.93200305171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2580.0859375</v>
      </c>
      <c r="D19" s="0" t="n">
        <f aca="false">D15+D16+D17+D18</f>
        <v>1995.4460375</v>
      </c>
      <c r="E19" s="0" t="n">
        <f aca="false">E15+E16+E17+E18</f>
        <v>2236.732923375</v>
      </c>
      <c r="F19" s="0" t="n">
        <f aca="false">F15+F16+F17+F18</f>
        <v>2831.514348195</v>
      </c>
      <c r="G19" s="0" t="n">
        <f aca="false">G15+G16+G17+G18</f>
        <v>3376.52278449525</v>
      </c>
      <c r="H19" s="0" t="n">
        <f aca="false">H15+H16+H17+H18</f>
        <v>3879.32098800497</v>
      </c>
      <c r="I19" s="0" t="n">
        <f aca="false">I15+I16+I17+I18</f>
        <v>4394.50835239601</v>
      </c>
      <c r="J19" s="0" t="n">
        <f aca="false">J15+J16+J17+J18</f>
        <v>4762.50852519896</v>
      </c>
      <c r="K19" s="0" t="n">
        <f aca="false">K15+K16+K17+K18</f>
        <v>5131.7685279993</v>
      </c>
      <c r="L19" s="0" t="n">
        <f aca="false">L15+L16+L17+L18</f>
        <v>5498.18427305232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2345.53267045455</v>
      </c>
      <c r="D21" s="0" t="n">
        <f aca="false">D19*D20</f>
        <v>1649.12895661157</v>
      </c>
      <c r="E21" s="0" t="n">
        <f aca="false">E19*E20</f>
        <v>1680.49055099549</v>
      </c>
      <c r="F21" s="0" t="n">
        <f aca="false">F19*F20</f>
        <v>1933.96239887644</v>
      </c>
      <c r="G21" s="0" t="n">
        <f aca="false">G19*G20</f>
        <v>2096.55499468817</v>
      </c>
      <c r="H21" s="0" t="n">
        <f aca="false">H19*H20</f>
        <v>2189.77556403926</v>
      </c>
      <c r="I21" s="0" t="n">
        <f aca="false">I19*I20</f>
        <v>2255.07763666466</v>
      </c>
      <c r="J21" s="0" t="n">
        <f aca="false">J19*J20</f>
        <v>2221.74537531709</v>
      </c>
      <c r="K21" s="0" t="n">
        <f aca="false">K19*K20</f>
        <v>2176.37081076337</v>
      </c>
      <c r="L21" s="0" t="n">
        <f aca="false">L19*L20</f>
        <v>2119.78805052231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20668.4270089329</v>
      </c>
    </row>
    <row r="31" customFormat="false" ht="15" hidden="false" customHeight="false" outlineLevel="0" collapsed="false">
      <c r="A31" s="0" t="s">
        <v>137</v>
      </c>
      <c r="B31" s="0" t="n">
        <f aca="false">L19</f>
        <v>5498.18427305232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80901.8543034841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65978.2112766278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65978.2112766278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25437.4566062677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46105.8836152006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44198.1836152006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157.009533268919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0.109529596981971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1635.89695057818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1955.48749472364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169.767559717593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47192.7483436991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92.2993649341636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96.2132988729584</v>
      </c>
      <c r="C4" s="0" t="n">
        <f aca="false">B4/Assumptions!$B$2-1</f>
        <v>-0.320095407582797</v>
      </c>
      <c r="D4" s="4" t="n">
        <f aca="false">Assumptions!$B$24</f>
        <v>0.25</v>
      </c>
      <c r="E4" s="4" t="n">
        <f aca="false">DCF_Bear!$B$43</f>
        <v>105.048121260703</v>
      </c>
      <c r="F4" s="4" t="n">
        <f aca="false">DCF_Bear!$B$47</f>
        <v>60.1821919553818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128.854464908841</v>
      </c>
      <c r="C5" s="0" t="n">
        <f aca="false">B5/Assumptions!$B$2-1</f>
        <v>-0.0894320902491655</v>
      </c>
      <c r="D5" s="4" t="n">
        <f aca="false">Assumptions!$B$38</f>
        <v>0.5</v>
      </c>
      <c r="E5" s="4" t="n">
        <f aca="false">DCF_Base!$B$43</f>
        <v>140.017265058345</v>
      </c>
      <c r="F5" s="4" t="n">
        <f aca="false">DCF_Base!$B$47</f>
        <v>77.9854163283814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157.009533268919</v>
      </c>
      <c r="C6" s="0" t="n">
        <f aca="false">B6/Assumptions!$B$2-1</f>
        <v>0.109529596981971</v>
      </c>
      <c r="D6" s="4" t="n">
        <f aca="false">Assumptions!$B$52</f>
        <v>0.25</v>
      </c>
      <c r="E6" s="4" t="n">
        <f aca="false">DCF_Bull!$B$43</f>
        <v>169.767559717593</v>
      </c>
      <c r="F6" s="4" t="n">
        <f aca="false">DCF_Bull!$B$47</f>
        <v>92.2993649341636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127.73294048989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138.712552773747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-0.107858313268854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125.47856111792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77.1130973865771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138.745807529879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128.854464908841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119.819698455671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108.865127782237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77.9854163283814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149.587740209633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149.587740209633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149.587740209633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149.587740209633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149.587740209633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138.745807529879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138.745807529879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138.745807529879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138.745807529879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138.745807529879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128.854464908841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128.854464908841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128.854464908841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128.854464908841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128.854464908841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116.285482910212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119.819698455671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119.819698455671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119.819698455671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119.819698455671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102.833849513089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105.690770798475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108.865127782237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111.557662723821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111.557662723821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2026-09-26T01:28:59Z</dcterms:created>
  <dc:creator>openpyxl</dc:creator>
  <dc:description/>
  <dc:language>en-NZ</dc:language>
  <cp:lastModifiedBy/>
  <dcterms:modified xsi:type="dcterms:W3CDTF">2026-09-26T01:28:59Z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