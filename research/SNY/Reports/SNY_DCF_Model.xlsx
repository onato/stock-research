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<sst xmlns="http://schemas.openxmlformats.org/spreadsheetml/2006/main" count="368" uniqueCount="170">
  <si>
    <t xml:space="preserve">Ticker</t>
  </si>
  <si>
    <t xml:space="preserve">SNY</t>
  </si>
  <si>
    <t xml:space="preserve">Company</t>
  </si>
  <si>
    <t xml:space="preserve">Sanofi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</si>
  <si>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</si>
  <si>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</si>
  <si>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</si>
  <si>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</si>
  <si>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(Nasdaq)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</si>
  <si>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</si>
  <si>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</si>
  <si>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</si>
  <si>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</si>
  <si>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</si>
  <si>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</si>
  <si>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</si>
  <si>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</si>
  <si>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</si>
  <si>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</si>
  <si>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</si>
  <si>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</si>
  <si>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</si>
  <si>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2026-10-09T22:52:07Z</t>
  </si>
  <si>
    <t xml:space="preserve">Drivers file</t>
  </si>
  <si>
    <t xml:space="preserve">SNY_Drivers.json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</si>
  <si>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</si>
  <si>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</si>
  <si>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</si>
  <si>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Large-cap pharma valued on owner free cash flow from continuing operations (ex-Opella), fully charging SBC, Regeneron's Dupixent profit share, restructuring and the recurring licensing/milestone 'pipeline purchase' capex, at a EUR WACC of 7.5% that carries a concentration premium. The ten-year horizon deliberately runs through the Dupixent patent cliff so the terminal value capitalises a post-cliff, not peak, margin. The 48.2% Opella stake is added at book; lease liabilities are charged as operating cost rather than debt. Values are computed in EUR per ordinary share and bridged to USD per ADS at EURUSD/2.
key_risks_to_valuation: Dupixent concentration (~36% of sales): earlier-than-modelled US biosimilar entry, an adverse Amgen/Immunex IL-4 patent outcome, or IRA price negotiation ahead of 2031 would hit base and bull simultaneously; R&amp;D productivity: a further run of phase-3 failures moves the probability mass toward the bear path; conversely a tolebrutinib or frexalimab success is the main upside trigger; M&amp;A outside the flows: another EUR 9bn+ year of acquisitions (FY2025) funded with debt would raise net debt beyond the 15.5bn anchored here and is not charged in the FCF; EUR/USD: ~half of sales are USD; the fx_rate bridges per-share value to the ADS and must be refreshed with the price (refresh_price.py moves the price, not the rate); Cash tax calibration: the 25-26% rate on component EBIT reconciles business ETR (19.9%), non-deductible amortization and cash taxes paid; a lower effective rate would add ~EUR 3-4/share; Working-capital normalisation: FY2025 owner FCF carried ~1.6bn of favourable WC/provision/deferred-tax movements that are not projected</t>
  </si>
  <si>
    <t xml:space="preserve">Data sources</t>
  </si>
  <si>
    <t xml:space="preserve">price: Yahoo Finance chart API for SNY (Nasdaq ADS, USD) at inputs.price_as_of; 52-week range 39.18-52.68 USD. EURUSD=X and SAN.PA from the same endpoint for the fx bridge and parity check (see inputs.fx_note).
financials: research/SNY/Reports/SNY_Metrics.csv and SNY.duckdb core_metrics/kpis (EUR millions, FY2014-FY2025 annual, H1 2019-H1 2026 interim), derived from SEC 20-F filings FY2015-FY2025 and 6-K half-year reports; FY2024-25 are continuing operations ex-Opella. Point anchors read from research/SNY/Extracted/SNY_20F_FY2025.txt (operating income 6,344 and Business operating income 12,149 at line 18560-18569; lease repayments 333 at line 21043; diluted shares 1,225.6 at line 35143; equity-method investments 3,259 at line 29388; ETR 19.9% at line 20539; ADS = one-half share at line 11384) and research/SNY/Extracted/SNY_6K_H1-2026.txt (net debt 15,513 and lease liabilities 1,904 at lines 838-843; total debt 21,893 at line 835; diluted shares 1,205.5 at line 257; BOI margin 28.3% at line 743; guidance at lines 918-919).
qualitative: research/SNY/Reports/SNY_Analysis.json (2026-10-10): business model, Dupixent concentration, pipeline setbacks, CEO change, Opella and Blueprint/Dynavax transactions, FY2026 guidance.</t>
  </si>
  <si>
    <t xml:space="preserve">Scenario narrative: bear</t>
  </si>
  <si>
    <t xml:space="preserve">The 2025-26 pipeline failures (amlitelimab, itepekimab, riliprubart) prove representative: the pipeline does not backfill. Dupixent growth stalls after 2027 on competition (OX40/TSLP/IL-13 entrants, Amgen patent outcome), US rebate pressure and IRA negotiation from 2031, then declines sharply from 2033 as US biosimilars arrive; legacy erosion and insulin price cuts continue unabated and vaccines keep losing US share. Revenue peaks around 2029 and ends 2035 ~5% below FY2026; EBITDA margin compresses to 22.5% as R&amp;D is held up to rebuild the pipeline. Terminal growth 0.5%, cap 12x. Net debt (15.5bn) is comfortably serviceable so this is an earnings-decline bear, not a solvency one.</t>
  </si>
  <si>
    <t xml:space="preserve">Scenario narrative: base</t>
  </si>
  <si>
    <t xml:space="preserve">Dupixent keeps compounding toward management's ~EUR 25bn 2030 ambition on label expansion (COPD, BP, CSU, AFRS) while the launch cohort (ALTUVIIIO, Beyfortus, Ayvakit, Heplisav-B, Qfitlia, tolebrutinib) roughly offsets legacy erosion, giving ~+9% in FY2026 fading to mid-single digits by 2030. Operating leverage lifts the cash EBITDA margin ~1.8pp to 29.4% by 2030. From 2031 US IRA eligibility and the approach of biosimilar entry cap growth at 1-2% and give back ~1.2pp of margin by 2035; the terminal value is struck on that post-cliff margin at a 15x cap. Bolt-on M&amp;A continues but is funded outside the modelled flows. New CEO Garijo restores a normal, not exceptional, R&amp;D hit rate.</t>
  </si>
  <si>
    <t xml:space="preserve">Scenario narrative: bull</t>
  </si>
  <si>
    <t xml:space="preserve">Dupixent exceeds EUR 25bn (COPD and further type-2 indications), key US patents hold into the mid-2030s, and at least two late-stage assets (tolebrutinib/Cenrifki in SPMS, frexalimab in MS, duvakitug in IBD, lunsekimig) become multi-billion franchises so that growth stays at 4-5% through 2031. Vaccines stabilise with Beyfortus and Heplisav-B. Margin reaches 31% as the legacy drag shrinks and the Regeneron share of Dupixent profit is diluted by non-collaboration growth; cash tax eases toward 24% on US mix. Terminal growth 2.0%, cap 16x.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</si>
  <si>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</si>
  <si>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</si>
  <si>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</si>
  <si>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</si>
  <si>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</si>
  <si>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</si>
  <si>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</si>
  <si>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</si>
  <si>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</si>
  <si>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</si>
  <si>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</si>
  <si>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</si>
  <si>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</si>
  <si>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</si>
  <si>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</si>
  <si>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</si>
  <si>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</si>
  <si>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</si>
  <si>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</si>
  <si>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</si>
  <si>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</si>
  <si>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</si>
  <si>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</si>
  <si>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</si>
  <si>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</si>
  <si>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</si>
  <si>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</si>
  <si>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DividendPerShareDeclared</t>
  </si>
  <si>
    <t xml:space="preserve">NetIncomeContinuing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</si>
  <si>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</si>
  <si>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</si>
  <si>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</si>
  <si>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</si>
  <si>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</si>
  <si>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</si>
  <si>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</si>
  <si>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</si>
  <si>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</si>
  <si>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</si>
  <si>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</si>
  <si>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</si>
  <si>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</si>
  <si>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</si>
  <si>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</si>
  <si>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</si>
  <si>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</si>
  <si>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</si>
  <si>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</si>
  <si>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</si>
  <si>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</si>
  <si>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</si>
  <si>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</si>
  <si>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</si>
  <si>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</si>
  <si>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</si>
  <si>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</si>
  <si>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</si>
  <si>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</si>
  <si>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</si>
  <si>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</si>
  <si>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</si>
  <si>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</si>
  <si>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</si>
  <si>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</si>
  <si>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</si>
  <si>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</si>
  <si>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</si>
  <si>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</si>
  <si>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</si>
  <si>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</si>
  <si>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</si>
  <si>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</si>
  <si>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</si>
  <si>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</si>
  <si>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</si>
  <si>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</si>
  <si>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</si>
  <si>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</si>
  <si>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SNY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</si>
  <si>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</si>
  <si>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</si>
  <si>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</si>
  <si>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</si>
  <si>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</si>
  <si>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</si>
  <si>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</si>
  <si>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</si>
  <si>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</si>
  <si>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</si>
  <si>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</si>
  <si>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</si>
  <si>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</si>
  <si>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</si>
  <si>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</si>
  <si>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</si>
  <si>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</si>
  <si>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</si>
  <si>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</si>
  <si>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</si>
  <si>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</si>
  <si>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</si>
  <si>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</si>
  <si>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</si>
  <si>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</si>
  <si>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</si>
  <si>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</si>
  <si>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</si>
  <si>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</si>
  <si>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</si>
  <si>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SNY owner-FCF component DCF: base case (millions, EUR)</t>
  </si>
  <si>
    <t xml:space="preserve">SNY owner-FCF component DCF: bull case (millions, EUR)</t>
  </si>
  <si>
    <t xml:space="preserve">SNY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</si>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</sst>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40.07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31380</v>
      </c>
      <c r="C2" s="0" t="n">
        <v>10230</v>
      </c>
      <c r="D2" s="0" t="n">
        <v>21769</v>
      </c>
      <c r="E2" s="0" t="n">
        <v>69.4</v>
      </c>
      <c r="F2" s="0" t="n">
        <v>6064</v>
      </c>
      <c r="G2" s="0" t="n">
        <v>19.3</v>
      </c>
      <c r="H2" s="0" t="n">
        <v>9344</v>
      </c>
      <c r="I2" s="0" t="n">
        <v>4390</v>
      </c>
      <c r="J2" s="0" t="n">
        <v>14</v>
      </c>
      <c r="K2" s="0" t="n">
        <v>3.3</v>
      </c>
      <c r="L2" s="0" t="n">
        <v>7165</v>
      </c>
      <c r="M2" s="0" t="n">
        <v>1453</v>
      </c>
      <c r="N2" s="0" t="n">
        <v>5712</v>
      </c>
      <c r="O2" s="0" t="n">
        <v>56268</v>
      </c>
      <c r="P2" s="0" t="n">
        <v>97392</v>
      </c>
      <c r="Q2" s="0" t="n">
        <v>41124</v>
      </c>
      <c r="R2" s="0" t="n">
        <v>14814</v>
      </c>
      <c r="S2" s="0" t="n">
        <v>7341</v>
      </c>
      <c r="T2" s="0" t="n">
        <v>1331.1</v>
      </c>
      <c r="U2" s="0" t="n">
        <v>192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34060</v>
      </c>
      <c r="C3" s="0" t="n">
        <v>10919</v>
      </c>
      <c r="D3" s="0" t="n">
        <v>23942</v>
      </c>
      <c r="E3" s="0" t="n">
        <v>70.3</v>
      </c>
      <c r="F3" s="0" t="n">
        <v>5624</v>
      </c>
      <c r="G3" s="0" t="n">
        <v>16.5</v>
      </c>
      <c r="H3" s="0" t="n">
        <v>9900</v>
      </c>
      <c r="I3" s="0" t="n">
        <v>4287</v>
      </c>
      <c r="J3" s="0" t="n">
        <v>12.6</v>
      </c>
      <c r="K3" s="0" t="n">
        <v>3.25</v>
      </c>
      <c r="L3" s="0" t="n">
        <v>8290</v>
      </c>
      <c r="M3" s="0" t="n">
        <v>2772</v>
      </c>
      <c r="N3" s="0" t="n">
        <v>5518</v>
      </c>
      <c r="O3" s="0" t="n">
        <v>58210</v>
      </c>
      <c r="P3" s="0" t="n">
        <v>102321</v>
      </c>
      <c r="Q3" s="0" t="n">
        <v>44111</v>
      </c>
      <c r="R3" s="0" t="n">
        <v>16554</v>
      </c>
      <c r="S3" s="0" t="n">
        <v>9148</v>
      </c>
      <c r="T3" s="0" t="n">
        <v>1320.7</v>
      </c>
      <c r="U3" s="0" t="n">
        <v>193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33821</v>
      </c>
      <c r="C4" s="0" t="n">
        <v>10702</v>
      </c>
      <c r="D4" s="0" t="n">
        <v>24006</v>
      </c>
      <c r="E4" s="0" t="n">
        <v>71</v>
      </c>
      <c r="F4" s="0" t="n">
        <v>6534</v>
      </c>
      <c r="G4" s="0" t="n">
        <v>19.3</v>
      </c>
      <c r="H4" s="0" t="n">
        <v>9835</v>
      </c>
      <c r="I4" s="0" t="n">
        <v>4709</v>
      </c>
      <c r="J4" s="0" t="n">
        <v>13.9</v>
      </c>
      <c r="K4" s="0" t="n">
        <v>3.63</v>
      </c>
      <c r="L4" s="0" t="n">
        <v>7838</v>
      </c>
      <c r="M4" s="0" t="n">
        <v>2083</v>
      </c>
      <c r="N4" s="0" t="n">
        <v>5755</v>
      </c>
      <c r="O4" s="0" t="n">
        <v>57724</v>
      </c>
      <c r="P4" s="0" t="n">
        <v>104672</v>
      </c>
      <c r="Q4" s="0" t="n">
        <v>46948</v>
      </c>
      <c r="R4" s="0" t="n">
        <v>18579</v>
      </c>
      <c r="S4" s="0" t="n">
        <v>10273</v>
      </c>
      <c r="T4" s="0" t="n">
        <v>1296</v>
      </c>
      <c r="U4" s="0" t="n">
        <v>241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69</v>
      </c>
      <c r="B5" s="0" t="n">
        <v>35072</v>
      </c>
      <c r="C5" s="0" t="n">
        <v>11613</v>
      </c>
      <c r="D5" s="0" t="n">
        <v>24608</v>
      </c>
      <c r="E5" s="0" t="n">
        <v>70.2</v>
      </c>
      <c r="F5" s="0" t="n">
        <v>5804</v>
      </c>
      <c r="G5" s="0" t="n">
        <v>16.5</v>
      </c>
      <c r="H5" s="0" t="n">
        <v>9490</v>
      </c>
      <c r="I5" s="0" t="n">
        <v>8416</v>
      </c>
      <c r="J5" s="0" t="n">
        <v>24</v>
      </c>
      <c r="K5" s="0" t="n">
        <v>6.64</v>
      </c>
      <c r="L5" s="0" t="n">
        <v>7379</v>
      </c>
      <c r="M5" s="0" t="n">
        <v>1956</v>
      </c>
      <c r="N5" s="0" t="n">
        <v>5423</v>
      </c>
      <c r="O5" s="0" t="n">
        <v>58239</v>
      </c>
      <c r="P5" s="0" t="n">
        <v>99813</v>
      </c>
      <c r="Q5" s="0" t="n">
        <v>41574</v>
      </c>
      <c r="R5" s="0" t="n">
        <v>15601</v>
      </c>
      <c r="S5" s="0" t="n">
        <v>10315</v>
      </c>
      <c r="T5" s="0" t="n">
        <v>1266.8</v>
      </c>
      <c r="U5" s="0" t="n">
        <v>263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70</v>
      </c>
      <c r="B6" s="0" t="n">
        <v>34463</v>
      </c>
      <c r="C6" s="0" t="n">
        <v>11435</v>
      </c>
      <c r="D6" s="0" t="n">
        <v>24242</v>
      </c>
      <c r="E6" s="0" t="n">
        <v>70.3</v>
      </c>
      <c r="F6" s="0" t="n">
        <v>4676</v>
      </c>
      <c r="G6" s="0" t="n">
        <v>13.6</v>
      </c>
      <c r="H6" s="0" t="n">
        <v>8955</v>
      </c>
      <c r="I6" s="0" t="n">
        <v>4306</v>
      </c>
      <c r="J6" s="0" t="n">
        <v>12.5</v>
      </c>
      <c r="K6" s="0" t="n">
        <v>3.43</v>
      </c>
      <c r="L6" s="0" t="n">
        <v>5547</v>
      </c>
      <c r="M6" s="0" t="n">
        <v>1977</v>
      </c>
      <c r="N6" s="0" t="n">
        <v>3570</v>
      </c>
      <c r="O6" s="0" t="n">
        <v>59035</v>
      </c>
      <c r="P6" s="0" t="n">
        <v>111408</v>
      </c>
      <c r="Q6" s="0" t="n">
        <v>52373</v>
      </c>
      <c r="R6" s="0" t="n">
        <v>24640</v>
      </c>
      <c r="S6" s="0" t="n">
        <v>6925</v>
      </c>
      <c r="T6" s="0" t="n">
        <v>1255.2</v>
      </c>
      <c r="U6" s="0" t="n">
        <v>284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71</v>
      </c>
      <c r="B7" s="0" t="n">
        <v>36126</v>
      </c>
      <c r="C7" s="0" t="n">
        <v>11979</v>
      </c>
      <c r="D7" s="0" t="n">
        <v>25652</v>
      </c>
      <c r="E7" s="0" t="n">
        <v>71</v>
      </c>
      <c r="F7" s="0" t="n">
        <v>3051</v>
      </c>
      <c r="G7" s="0" t="n">
        <v>8.4</v>
      </c>
      <c r="H7" s="0" t="n">
        <v>10496</v>
      </c>
      <c r="I7" s="0" t="n">
        <v>2754</v>
      </c>
      <c r="J7" s="0" t="n">
        <v>7.6</v>
      </c>
      <c r="K7" s="0" t="n">
        <v>2.19</v>
      </c>
      <c r="L7" s="0" t="n">
        <v>7715</v>
      </c>
      <c r="M7" s="0" t="n">
        <v>1787</v>
      </c>
      <c r="N7" s="0" t="n">
        <v>5928</v>
      </c>
      <c r="O7" s="0" t="n">
        <v>59230</v>
      </c>
      <c r="P7" s="0" t="n">
        <v>112630</v>
      </c>
      <c r="Q7" s="0" t="n">
        <v>53400</v>
      </c>
      <c r="R7" s="0" t="n">
        <v>24685</v>
      </c>
      <c r="S7" s="0" t="n">
        <v>9427</v>
      </c>
      <c r="T7" s="0" t="n">
        <v>1257.1</v>
      </c>
      <c r="U7" s="0" t="n">
        <v>252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72</v>
      </c>
      <c r="B8" s="0" t="n">
        <v>36041</v>
      </c>
      <c r="C8" s="0" t="n">
        <v>12159</v>
      </c>
      <c r="D8" s="0" t="n">
        <v>25210</v>
      </c>
      <c r="E8" s="0" t="n">
        <v>69.9</v>
      </c>
      <c r="F8" s="0" t="n">
        <v>14113</v>
      </c>
      <c r="G8" s="0" t="n">
        <v>39.2</v>
      </c>
      <c r="H8" s="0" t="n">
        <v>17784</v>
      </c>
      <c r="I8" s="0" t="n">
        <v>12294</v>
      </c>
      <c r="J8" s="0" t="n">
        <v>34.1</v>
      </c>
      <c r="K8" s="0" t="n">
        <v>9.76</v>
      </c>
      <c r="L8" s="0" t="n">
        <v>7418</v>
      </c>
      <c r="M8" s="0" t="n">
        <v>2083</v>
      </c>
      <c r="N8" s="0" t="n">
        <v>5335</v>
      </c>
      <c r="O8" s="0" t="n">
        <v>63252</v>
      </c>
      <c r="P8" s="0" t="n">
        <v>114413</v>
      </c>
      <c r="Q8" s="0" t="n">
        <v>51161</v>
      </c>
      <c r="R8" s="0" t="n">
        <v>22512</v>
      </c>
      <c r="S8" s="0" t="n">
        <v>13915</v>
      </c>
      <c r="T8" s="0" t="n">
        <v>1260.1</v>
      </c>
      <c r="U8" s="0" t="n">
        <v>274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73</v>
      </c>
      <c r="B9" s="0" t="n">
        <v>37761</v>
      </c>
      <c r="C9" s="0" t="n">
        <v>12255</v>
      </c>
      <c r="D9" s="0" t="n">
        <v>26920</v>
      </c>
      <c r="E9" s="0" t="n">
        <v>71.3</v>
      </c>
      <c r="F9" s="0" t="n">
        <v>8126</v>
      </c>
      <c r="G9" s="0" t="n">
        <v>21.5</v>
      </c>
      <c r="H9" s="0" t="n">
        <v>11477</v>
      </c>
      <c r="I9" s="0" t="n">
        <v>6223</v>
      </c>
      <c r="J9" s="0" t="n">
        <v>16.5</v>
      </c>
      <c r="K9" s="0" t="n">
        <v>4.95</v>
      </c>
      <c r="L9" s="0" t="n">
        <v>10522</v>
      </c>
      <c r="M9" s="0" t="n">
        <v>2043</v>
      </c>
      <c r="N9" s="0" t="n">
        <v>8479</v>
      </c>
      <c r="O9" s="0" t="n">
        <v>69031</v>
      </c>
      <c r="P9" s="0" t="n">
        <v>120242</v>
      </c>
      <c r="Q9" s="0" t="n">
        <v>51211</v>
      </c>
      <c r="R9" s="0" t="n">
        <v>20306</v>
      </c>
      <c r="S9" s="0" t="n">
        <v>10098</v>
      </c>
      <c r="T9" s="0" t="n">
        <v>1257.9</v>
      </c>
      <c r="U9" s="0" t="n">
        <v>244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74</v>
      </c>
      <c r="B10" s="0" t="n">
        <v>42997</v>
      </c>
      <c r="C10" s="0" t="n">
        <v>13695</v>
      </c>
      <c r="D10" s="0" t="n">
        <v>31694</v>
      </c>
      <c r="E10" s="0" t="n">
        <v>73.7</v>
      </c>
      <c r="F10" s="0" t="n">
        <v>10656</v>
      </c>
      <c r="G10" s="0" t="n">
        <v>24.8</v>
      </c>
      <c r="H10" s="0" t="n">
        <v>14076</v>
      </c>
      <c r="I10" s="0" t="n">
        <v>8371</v>
      </c>
      <c r="J10" s="0" t="n">
        <v>19.5</v>
      </c>
      <c r="K10" s="0" t="n">
        <v>6.66</v>
      </c>
      <c r="L10" s="0" t="n">
        <v>10526</v>
      </c>
      <c r="M10" s="0" t="n">
        <v>2201</v>
      </c>
      <c r="N10" s="0" t="n">
        <v>8325</v>
      </c>
      <c r="O10" s="0" t="n">
        <v>75152</v>
      </c>
      <c r="P10" s="0" t="n">
        <v>126722</v>
      </c>
      <c r="Q10" s="0" t="n">
        <v>51570</v>
      </c>
      <c r="R10" s="0" t="n">
        <v>19031</v>
      </c>
      <c r="S10" s="0" t="n">
        <v>12736</v>
      </c>
      <c r="T10" s="0" t="n">
        <v>1256.9</v>
      </c>
      <c r="U10" s="0" t="n">
        <v>245</v>
      </c>
      <c r="V10" s="0" t="n">
        <v>3.56</v>
      </c>
      <c r="AA10" s="0" t="s">
        <v>18</v>
      </c>
      <c r="AB10" s="0" t="s">
        <v>14</v>
      </c>
      <c r="AC10" s="0" t="n">
        <v>3.56</v>
      </c>
    </row>
    <row r="11" customFormat="false" ht="15" hidden="false" customHeight="false" outlineLevel="0" collapsed="false">
      <c r="A11" s="0" t="s">
        <v>75</v>
      </c>
      <c r="B11" s="0" t="n">
        <v>43070</v>
      </c>
      <c r="C11" s="0" t="n">
        <v>14236</v>
      </c>
      <c r="D11" s="0" t="n">
        <v>32208</v>
      </c>
      <c r="E11" s="0" t="n">
        <v>74.8</v>
      </c>
      <c r="F11" s="0" t="n">
        <v>7875</v>
      </c>
      <c r="G11" s="0" t="n">
        <v>18.3</v>
      </c>
      <c r="H11" s="0" t="n">
        <v>12667</v>
      </c>
      <c r="I11" s="0" t="n">
        <v>5400</v>
      </c>
      <c r="J11" s="0" t="n">
        <v>12.5</v>
      </c>
      <c r="K11" s="0" t="n">
        <v>4.3</v>
      </c>
      <c r="L11" s="0" t="n">
        <v>10258</v>
      </c>
      <c r="M11" s="0" t="n">
        <v>3024</v>
      </c>
      <c r="N11" s="0" t="n">
        <v>7234</v>
      </c>
      <c r="O11" s="0" t="n">
        <v>74353</v>
      </c>
      <c r="P11" s="0" t="n">
        <v>126464</v>
      </c>
      <c r="Q11" s="0" t="n">
        <v>52111</v>
      </c>
      <c r="R11" s="0" t="n">
        <v>16392</v>
      </c>
      <c r="S11" s="0" t="n">
        <v>8710</v>
      </c>
      <c r="T11" s="0" t="n">
        <v>1256.4</v>
      </c>
      <c r="U11" s="0" t="n">
        <v>283</v>
      </c>
      <c r="V11" s="0" t="n">
        <v>3.76</v>
      </c>
      <c r="X11" s="0" t="n">
        <v>37817</v>
      </c>
      <c r="AA11" s="0" t="s">
        <v>18</v>
      </c>
      <c r="AB11" s="0" t="s">
        <v>14</v>
      </c>
      <c r="AC11" s="0" t="n">
        <v>3.76</v>
      </c>
      <c r="AD11" s="0" t="n">
        <v>5098</v>
      </c>
    </row>
    <row r="12" customFormat="false" ht="15" hidden="false" customHeight="false" outlineLevel="0" collapsed="false">
      <c r="A12" s="0" t="s">
        <v>76</v>
      </c>
      <c r="B12" s="0" t="n">
        <v>41081</v>
      </c>
      <c r="C12" s="0" t="n">
        <v>13205</v>
      </c>
      <c r="D12" s="0" t="n">
        <v>31081</v>
      </c>
      <c r="E12" s="0" t="n">
        <v>75.7</v>
      </c>
      <c r="F12" s="0" t="n">
        <v>7252</v>
      </c>
      <c r="G12" s="0" t="n">
        <v>17.7</v>
      </c>
      <c r="H12" s="0" t="n">
        <v>10838</v>
      </c>
      <c r="I12" s="0" t="n">
        <v>5560</v>
      </c>
      <c r="J12" s="0" t="n">
        <v>13.5</v>
      </c>
      <c r="K12" s="0" t="n">
        <v>4.43</v>
      </c>
      <c r="L12" s="0" t="n">
        <v>8607</v>
      </c>
      <c r="M12" s="0" t="n">
        <v>3195</v>
      </c>
      <c r="N12" s="0" t="n">
        <v>5412</v>
      </c>
      <c r="O12" s="0" t="n">
        <v>77857</v>
      </c>
      <c r="P12" s="0" t="n">
        <v>132798</v>
      </c>
      <c r="Q12" s="0" t="n">
        <v>54941</v>
      </c>
      <c r="R12" s="0" t="n">
        <v>16000</v>
      </c>
      <c r="S12" s="0" t="n">
        <v>7441</v>
      </c>
      <c r="T12" s="0" t="n">
        <v>1256.1</v>
      </c>
      <c r="U12" s="0" t="n">
        <v>278</v>
      </c>
      <c r="V12" s="0" t="n">
        <v>3.92</v>
      </c>
      <c r="X12" s="0" t="n">
        <v>41081</v>
      </c>
      <c r="AA12" s="0" t="s">
        <v>18</v>
      </c>
      <c r="AB12" s="0" t="s">
        <v>14</v>
      </c>
      <c r="AC12" s="0" t="n">
        <v>3.92</v>
      </c>
      <c r="AD12" s="0" t="n">
        <v>5554</v>
      </c>
    </row>
    <row r="13" customFormat="false" ht="15" hidden="false" customHeight="false" outlineLevel="0" collapsed="false">
      <c r="A13" s="0" t="s">
        <v>77</v>
      </c>
      <c r="B13" s="0" t="n">
        <v>43626</v>
      </c>
      <c r="C13" s="0" t="n">
        <v>13049</v>
      </c>
      <c r="D13" s="0" t="n">
        <v>33667</v>
      </c>
      <c r="E13" s="0" t="n">
        <v>77.2</v>
      </c>
      <c r="F13" s="0" t="n">
        <v>6344</v>
      </c>
      <c r="G13" s="0" t="n">
        <v>14.5</v>
      </c>
      <c r="H13" s="0" t="n">
        <v>12022</v>
      </c>
      <c r="I13" s="0" t="n">
        <v>7813</v>
      </c>
      <c r="J13" s="0" t="n">
        <v>17.9</v>
      </c>
      <c r="K13" s="0" t="n">
        <v>6.37</v>
      </c>
      <c r="L13" s="0" t="n">
        <v>10561</v>
      </c>
      <c r="M13" s="0" t="n">
        <v>3538</v>
      </c>
      <c r="N13" s="0" t="n">
        <v>7023</v>
      </c>
      <c r="O13" s="0" t="n">
        <v>71710</v>
      </c>
      <c r="P13" s="0" t="n">
        <v>126805</v>
      </c>
      <c r="Q13" s="0" t="n">
        <v>55095</v>
      </c>
      <c r="R13" s="0" t="n">
        <v>18590</v>
      </c>
      <c r="S13" s="0" t="n">
        <v>7657</v>
      </c>
      <c r="T13" s="0" t="n">
        <v>1225.6</v>
      </c>
      <c r="U13" s="0" t="n">
        <v>313</v>
      </c>
      <c r="X13" s="0" t="n">
        <v>43626</v>
      </c>
      <c r="AA13" s="0" t="s">
        <v>18</v>
      </c>
      <c r="AB13" s="0" t="s">
        <v>14</v>
      </c>
      <c r="AD13" s="0" t="n">
        <v>4977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40.07</v>
      </c>
    </row>
    <row r="3" customFormat="false" ht="15" hidden="false" customHeight="false" outlineLevel="0" collapsed="false">
      <c r="A3" s="0" t="s">
        <v>81</v>
      </c>
      <c r="B3" s="3" t="n">
        <v>1205.5</v>
      </c>
    </row>
    <row r="4" customFormat="false" ht="15" hidden="false" customHeight="false" outlineLevel="0" collapsed="false">
      <c r="A4" s="0" t="s">
        <v>82</v>
      </c>
      <c r="B4" s="3" t="n">
        <v>15513</v>
      </c>
    </row>
    <row r="5" customFormat="false" ht="15" hidden="false" customHeight="false" outlineLevel="0" collapsed="false">
      <c r="A5" s="0" t="s">
        <v>83</v>
      </c>
      <c r="B5" s="3" t="n">
        <v>3259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43626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0.5603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8</v>
      </c>
      <c r="D13" s="3" t="n">
        <v>3</v>
      </c>
      <c r="E13" s="3" t="n">
        <v>2</v>
      </c>
      <c r="F13" s="3" t="n">
        <v>1</v>
      </c>
      <c r="G13" s="3" t="n">
        <v>0</v>
      </c>
      <c r="H13" s="3" t="n">
        <v>-1</v>
      </c>
      <c r="I13" s="3" t="n">
        <v>-2</v>
      </c>
      <c r="J13" s="3" t="n">
        <v>-4</v>
      </c>
      <c r="K13" s="3" t="n">
        <v>-5</v>
      </c>
      <c r="L13" s="3" t="n">
        <v>-3</v>
      </c>
    </row>
    <row r="14" customFormat="false" ht="15" hidden="false" customHeight="false" outlineLevel="0" collapsed="false">
      <c r="A14" s="0" t="s">
        <v>102</v>
      </c>
      <c r="C14" s="3" t="n">
        <v>27.8</v>
      </c>
      <c r="D14" s="3" t="n">
        <v>27.5</v>
      </c>
      <c r="E14" s="3" t="n">
        <v>27</v>
      </c>
      <c r="F14" s="3" t="n">
        <v>26.5</v>
      </c>
      <c r="G14" s="3" t="n">
        <v>26</v>
      </c>
      <c r="H14" s="3" t="n">
        <v>25.5</v>
      </c>
      <c r="I14" s="3" t="n">
        <v>25</v>
      </c>
      <c r="J14" s="3" t="n">
        <v>24</v>
      </c>
      <c r="K14" s="3" t="n">
        <v>23</v>
      </c>
      <c r="L14" s="3" t="n">
        <v>22.5</v>
      </c>
    </row>
    <row r="15" customFormat="false" ht="15" hidden="false" customHeight="false" outlineLevel="0" collapsed="false">
      <c r="A15" s="0" t="s">
        <v>103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104</v>
      </c>
      <c r="C16" s="3" t="n">
        <v>0.9</v>
      </c>
      <c r="D16" s="3" t="n">
        <v>0.9</v>
      </c>
      <c r="E16" s="3" t="n">
        <v>0.9</v>
      </c>
      <c r="F16" s="3" t="n">
        <v>0.9</v>
      </c>
      <c r="G16" s="3" t="n">
        <v>0.9</v>
      </c>
      <c r="H16" s="3" t="n">
        <v>0.9</v>
      </c>
      <c r="I16" s="3" t="n">
        <v>0.9</v>
      </c>
      <c r="J16" s="3" t="n">
        <v>0.9</v>
      </c>
      <c r="K16" s="3" t="n">
        <v>0.9</v>
      </c>
      <c r="L16" s="3" t="n">
        <v>0.9</v>
      </c>
    </row>
    <row r="17" customFormat="false" ht="15" hidden="false" customHeight="false" outlineLevel="0" collapsed="false">
      <c r="A17" s="0" t="s">
        <v>105</v>
      </c>
      <c r="C17" s="3" t="n">
        <v>7.2</v>
      </c>
      <c r="D17" s="3" t="n">
        <v>7.2</v>
      </c>
      <c r="E17" s="3" t="n">
        <v>7</v>
      </c>
      <c r="F17" s="3" t="n">
        <v>7</v>
      </c>
      <c r="G17" s="3" t="n">
        <v>7</v>
      </c>
      <c r="H17" s="3" t="n">
        <v>7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106</v>
      </c>
      <c r="C18" s="3" t="n">
        <v>7.5</v>
      </c>
      <c r="D18" s="3" t="n">
        <v>7.5</v>
      </c>
      <c r="E18" s="3" t="n">
        <v>7.5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107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108</v>
      </c>
      <c r="B20" s="3" t="n">
        <v>7.5</v>
      </c>
    </row>
    <row r="21" customFormat="false" ht="15" hidden="false" customHeight="false" outlineLevel="0" collapsed="false">
      <c r="A21" s="0" t="s">
        <v>109</v>
      </c>
      <c r="B21" s="3" t="n">
        <v>0.5</v>
      </c>
    </row>
    <row r="22" customFormat="false" ht="15" hidden="false" customHeight="false" outlineLevel="0" collapsed="false">
      <c r="A22" s="0" t="s">
        <v>110</v>
      </c>
      <c r="B22" s="3" t="n">
        <v>12</v>
      </c>
    </row>
    <row r="23" customFormat="false" ht="15" hidden="false" customHeight="false" outlineLevel="0" collapsed="false">
      <c r="A23" s="0" t="s">
        <v>111</v>
      </c>
      <c r="B23" s="3" t="n">
        <v>-10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9</v>
      </c>
      <c r="D27" s="3" t="n">
        <v>6</v>
      </c>
      <c r="E27" s="3" t="n">
        <v>5</v>
      </c>
      <c r="F27" s="3" t="n">
        <v>4.5</v>
      </c>
      <c r="G27" s="3" t="n">
        <v>4</v>
      </c>
      <c r="H27" s="3" t="n">
        <v>3</v>
      </c>
      <c r="I27" s="3" t="n">
        <v>2</v>
      </c>
      <c r="J27" s="3" t="n">
        <v>1.5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102</v>
      </c>
      <c r="C28" s="3" t="n">
        <v>28.2</v>
      </c>
      <c r="D28" s="3" t="n">
        <v>28.6</v>
      </c>
      <c r="E28" s="3" t="n">
        <v>29</v>
      </c>
      <c r="F28" s="3" t="n">
        <v>29.2</v>
      </c>
      <c r="G28" s="3" t="n">
        <v>29.4</v>
      </c>
      <c r="H28" s="3" t="n">
        <v>29.4</v>
      </c>
      <c r="I28" s="3" t="n">
        <v>29.2</v>
      </c>
      <c r="J28" s="3" t="n">
        <v>29</v>
      </c>
      <c r="K28" s="3" t="n">
        <v>28.6</v>
      </c>
      <c r="L28" s="3" t="n">
        <v>28.2</v>
      </c>
    </row>
    <row r="29" customFormat="false" ht="15" hidden="false" customHeight="false" outlineLevel="0" collapsed="false">
      <c r="A29" s="0" t="s">
        <v>103</v>
      </c>
      <c r="C29" s="3" t="n">
        <v>0.7</v>
      </c>
      <c r="D29" s="3" t="n">
        <v>0.7</v>
      </c>
      <c r="E29" s="3" t="n">
        <v>0.7</v>
      </c>
      <c r="F29" s="3" t="n">
        <v>0.7</v>
      </c>
      <c r="G29" s="3" t="n">
        <v>0.7</v>
      </c>
      <c r="H29" s="3" t="n">
        <v>0.7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104</v>
      </c>
      <c r="C30" s="3" t="n">
        <v>0.9</v>
      </c>
      <c r="D30" s="3" t="n">
        <v>0.9</v>
      </c>
      <c r="E30" s="3" t="n">
        <v>0.9</v>
      </c>
      <c r="F30" s="3" t="n">
        <v>0.9</v>
      </c>
      <c r="G30" s="3" t="n">
        <v>0.9</v>
      </c>
      <c r="H30" s="3" t="n">
        <v>0.9</v>
      </c>
      <c r="I30" s="3" t="n">
        <v>0.9</v>
      </c>
      <c r="J30" s="3" t="n">
        <v>0.9</v>
      </c>
      <c r="K30" s="3" t="n">
        <v>0.9</v>
      </c>
      <c r="L30" s="3" t="n">
        <v>0.9</v>
      </c>
    </row>
    <row r="31" customFormat="false" ht="15" hidden="false" customHeight="false" outlineLevel="0" collapsed="false">
      <c r="A31" s="0" t="s">
        <v>105</v>
      </c>
      <c r="C31" s="3" t="n">
        <v>7.2</v>
      </c>
      <c r="D31" s="3" t="n">
        <v>7</v>
      </c>
      <c r="E31" s="3" t="n">
        <v>6.8</v>
      </c>
      <c r="F31" s="3" t="n">
        <v>6.6</v>
      </c>
      <c r="G31" s="3" t="n">
        <v>6.4</v>
      </c>
      <c r="H31" s="3" t="n">
        <v>6.2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106</v>
      </c>
      <c r="C32" s="3" t="n">
        <v>7.5</v>
      </c>
      <c r="D32" s="3" t="n">
        <v>7.3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107</v>
      </c>
      <c r="C33" s="3" t="n">
        <v>26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7.5</v>
      </c>
    </row>
    <row r="35" customFormat="false" ht="15" hidden="false" customHeight="false" outlineLevel="0" collapsed="false">
      <c r="A35" s="0" t="s">
        <v>109</v>
      </c>
      <c r="B35" s="3" t="n">
        <v>1.5</v>
      </c>
    </row>
    <row r="36" customFormat="false" ht="15" hidden="false" customHeight="false" outlineLevel="0" collapsed="false">
      <c r="A36" s="0" t="s">
        <v>110</v>
      </c>
      <c r="B36" s="3" t="n">
        <v>15</v>
      </c>
    </row>
    <row r="37" customFormat="false" ht="15" hidden="false" customHeight="false" outlineLevel="0" collapsed="false">
      <c r="A37" s="0" t="s">
        <v>111</v>
      </c>
      <c r="B37" s="3" t="n">
        <v>-10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10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102</v>
      </c>
      <c r="C42" s="3" t="n">
        <v>28.4</v>
      </c>
      <c r="D42" s="3" t="n">
        <v>29</v>
      </c>
      <c r="E42" s="3" t="n">
        <v>29.6</v>
      </c>
      <c r="F42" s="3" t="n">
        <v>30.2</v>
      </c>
      <c r="G42" s="3" t="n">
        <v>30.6</v>
      </c>
      <c r="H42" s="3" t="n">
        <v>31</v>
      </c>
      <c r="I42" s="3" t="n">
        <v>31</v>
      </c>
      <c r="J42" s="3" t="n">
        <v>31</v>
      </c>
      <c r="K42" s="3" t="n">
        <v>30.8</v>
      </c>
      <c r="L42" s="3" t="n">
        <v>30.6</v>
      </c>
    </row>
    <row r="43" customFormat="false" ht="15" hidden="false" customHeight="false" outlineLevel="0" collapsed="false">
      <c r="A43" s="0" t="s">
        <v>103</v>
      </c>
      <c r="C43" s="3" t="n">
        <v>0.7</v>
      </c>
      <c r="D43" s="3" t="n">
        <v>0.7</v>
      </c>
      <c r="E43" s="3" t="n">
        <v>0.7</v>
      </c>
      <c r="F43" s="3" t="n">
        <v>0.7</v>
      </c>
      <c r="G43" s="3" t="n">
        <v>0.7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104</v>
      </c>
      <c r="C44" s="3" t="n">
        <v>0.9</v>
      </c>
      <c r="D44" s="3" t="n">
        <v>0.9</v>
      </c>
      <c r="E44" s="3" t="n">
        <v>0.9</v>
      </c>
      <c r="F44" s="3" t="n">
        <v>0.9</v>
      </c>
      <c r="G44" s="3" t="n">
        <v>0.9</v>
      </c>
      <c r="H44" s="3" t="n">
        <v>0.9</v>
      </c>
      <c r="I44" s="3" t="n">
        <v>0.9</v>
      </c>
      <c r="J44" s="3" t="n">
        <v>0.9</v>
      </c>
      <c r="K44" s="3" t="n">
        <v>0.9</v>
      </c>
      <c r="L44" s="3" t="n">
        <v>0.9</v>
      </c>
    </row>
    <row r="45" customFormat="false" ht="15" hidden="false" customHeight="false" outlineLevel="0" collapsed="false">
      <c r="A45" s="0" t="s">
        <v>105</v>
      </c>
      <c r="C45" s="3" t="n">
        <v>7.2</v>
      </c>
      <c r="D45" s="3" t="n">
        <v>7</v>
      </c>
      <c r="E45" s="3" t="n">
        <v>6.8</v>
      </c>
      <c r="F45" s="3" t="n">
        <v>6.6</v>
      </c>
      <c r="G45" s="3" t="n">
        <v>6.4</v>
      </c>
      <c r="H45" s="3" t="n">
        <v>6.2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106</v>
      </c>
      <c r="C46" s="3" t="n">
        <v>7.5</v>
      </c>
      <c r="D46" s="3" t="n">
        <v>7.2</v>
      </c>
      <c r="E46" s="3" t="n">
        <v>7</v>
      </c>
      <c r="F46" s="3" t="n">
        <v>6.8</v>
      </c>
      <c r="G46" s="3" t="n">
        <v>6.6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107</v>
      </c>
      <c r="C47" s="3" t="n">
        <v>26</v>
      </c>
      <c r="D47" s="3" t="n">
        <v>25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108</v>
      </c>
      <c r="B48" s="3" t="n">
        <v>7.5</v>
      </c>
    </row>
    <row r="49" customFormat="false" ht="15" hidden="false" customHeight="false" outlineLevel="0" collapsed="false">
      <c r="A49" s="0" t="s">
        <v>109</v>
      </c>
      <c r="B49" s="3" t="n">
        <v>2</v>
      </c>
    </row>
    <row r="50" customFormat="false" ht="15" hidden="false" customHeight="false" outlineLevel="0" collapsed="false">
      <c r="A50" s="0" t="s">
        <v>110</v>
      </c>
      <c r="B50" s="3" t="n">
        <v>16</v>
      </c>
    </row>
    <row r="51" customFormat="false" ht="15" hidden="false" customHeight="false" outlineLevel="0" collapsed="false">
      <c r="A51" s="0" t="s">
        <v>111</v>
      </c>
      <c r="B51" s="3" t="n">
        <v>-10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8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1</v>
      </c>
      <c r="G5" s="4" t="n">
        <f aca="false">Assumptions!G13</f>
        <v>0</v>
      </c>
      <c r="H5" s="4" t="n">
        <f aca="false">Assumptions!H13</f>
        <v>-1</v>
      </c>
      <c r="I5" s="4" t="n">
        <f aca="false">Assumptions!I13</f>
        <v>-2</v>
      </c>
      <c r="J5" s="4" t="n">
        <f aca="false">Assumptions!J13</f>
        <v>-4</v>
      </c>
      <c r="K5" s="4" t="n">
        <f aca="false">Assumptions!K13</f>
        <v>-5</v>
      </c>
      <c r="L5" s="4" t="n">
        <f aca="false">Assumptions!L13</f>
        <v>-3</v>
      </c>
    </row>
    <row r="6" customFormat="false" ht="15" hidden="false" customHeight="false" outlineLevel="0" collapsed="false">
      <c r="A6" s="0" t="s">
        <v>38</v>
      </c>
      <c r="B6" s="3" t="n">
        <v>43626</v>
      </c>
      <c r="C6" s="0" t="n">
        <f aca="false">B6*(1+C5/100)</f>
        <v>47116.08</v>
      </c>
      <c r="D6" s="0" t="n">
        <f aca="false">C6*(1+D5/100)</f>
        <v>48529.5624</v>
      </c>
      <c r="E6" s="0" t="n">
        <f aca="false">D6*(1+E5/100)</f>
        <v>49500.153648</v>
      </c>
      <c r="F6" s="0" t="n">
        <f aca="false">E6*(1+F5/100)</f>
        <v>49995.15518448</v>
      </c>
      <c r="G6" s="0" t="n">
        <f aca="false">F6*(1+G5/100)</f>
        <v>49995.15518448</v>
      </c>
      <c r="H6" s="0" t="n">
        <f aca="false">G6*(1+H5/100)</f>
        <v>49495.2036326352</v>
      </c>
      <c r="I6" s="0" t="n">
        <f aca="false">H6*(1+I5/100)</f>
        <v>48505.2995599825</v>
      </c>
      <c r="J6" s="0" t="n">
        <f aca="false">I6*(1+J5/100)</f>
        <v>46565.0875775832</v>
      </c>
      <c r="K6" s="0" t="n">
        <f aca="false">J6*(1+K5/100)</f>
        <v>44236.833198704</v>
      </c>
      <c r="L6" s="0" t="n">
        <f aca="false">K6*(1+L5/100)</f>
        <v>42909.7282027429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27.8</v>
      </c>
      <c r="D7" s="4" t="n">
        <f aca="false">Assumptions!D14</f>
        <v>27.5</v>
      </c>
      <c r="E7" s="4" t="n">
        <f aca="false">Assumptions!E14</f>
        <v>27</v>
      </c>
      <c r="F7" s="4" t="n">
        <f aca="false">Assumptions!F14</f>
        <v>26.5</v>
      </c>
      <c r="G7" s="4" t="n">
        <f aca="false">Assumptions!G14</f>
        <v>26</v>
      </c>
      <c r="H7" s="4" t="n">
        <f aca="false">Assumptions!H14</f>
        <v>25.5</v>
      </c>
      <c r="I7" s="4" t="n">
        <f aca="false">Assumptions!I14</f>
        <v>25</v>
      </c>
      <c r="J7" s="4" t="n">
        <f aca="false">Assumptions!J14</f>
        <v>24</v>
      </c>
      <c r="K7" s="4" t="n">
        <f aca="false">Assumptions!K14</f>
        <v>23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13098.27024</v>
      </c>
      <c r="D8" s="0" t="n">
        <f aca="false">D6*D7/100</f>
        <v>13345.62966</v>
      </c>
      <c r="E8" s="0" t="n">
        <f aca="false">E6*E7/100</f>
        <v>13365.04148496</v>
      </c>
      <c r="F8" s="0" t="n">
        <f aca="false">F6*F7/100</f>
        <v>13248.7161238872</v>
      </c>
      <c r="G8" s="0" t="n">
        <f aca="false">G6*G7/100</f>
        <v>12998.7403479648</v>
      </c>
      <c r="H8" s="0" t="n">
        <f aca="false">H6*H7/100</f>
        <v>12621.276926322</v>
      </c>
      <c r="I8" s="0" t="n">
        <f aca="false">I6*I7/100</f>
        <v>12126.3248899956</v>
      </c>
      <c r="J8" s="0" t="n">
        <f aca="false">J6*J7/100</f>
        <v>11175.62101862</v>
      </c>
      <c r="K8" s="0" t="n">
        <f aca="false">K6*K7/100</f>
        <v>10174.4716357019</v>
      </c>
      <c r="L8" s="0" t="n">
        <f aca="false">L6*L7/100</f>
        <v>9654.68884561716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-329.81256</v>
      </c>
      <c r="D10" s="0" t="n">
        <f aca="false">-D6*D9/100</f>
        <v>-339.7069368</v>
      </c>
      <c r="E10" s="0" t="n">
        <f aca="false">-E6*E9/100</f>
        <v>-346.501075536</v>
      </c>
      <c r="F10" s="0" t="n">
        <f aca="false">-F6*F9/100</f>
        <v>-349.96608629136</v>
      </c>
      <c r="G10" s="0" t="n">
        <f aca="false">-G6*G9/100</f>
        <v>-349.96608629136</v>
      </c>
      <c r="H10" s="0" t="n">
        <f aca="false">-H6*H9/100</f>
        <v>-346.466425428446</v>
      </c>
      <c r="I10" s="0" t="n">
        <f aca="false">-I6*I9/100</f>
        <v>-339.537096919878</v>
      </c>
      <c r="J10" s="0" t="n">
        <f aca="false">-J6*J9/100</f>
        <v>-325.955613043082</v>
      </c>
      <c r="K10" s="0" t="n">
        <f aca="false">-K6*K9/100</f>
        <v>-309.657832390928</v>
      </c>
      <c r="L10" s="0" t="n">
        <f aca="false">-L6*L9/100</f>
        <v>-300.3680974192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12344.41296</v>
      </c>
      <c r="D11" s="0" t="n">
        <f aca="false">D8+D10+D24</f>
        <v>12569.1566616</v>
      </c>
      <c r="E11" s="0" t="n">
        <f aca="false">E8+E10+E24</f>
        <v>12573.039026592</v>
      </c>
      <c r="F11" s="0" t="n">
        <f aca="false">F8+F10+F24</f>
        <v>12448.7936409355</v>
      </c>
      <c r="G11" s="0" t="n">
        <f aca="false">G8+G10+G24</f>
        <v>12198.8178650131</v>
      </c>
      <c r="H11" s="0" t="n">
        <f aca="false">H8+H10+H24</f>
        <v>11829.3536681998</v>
      </c>
      <c r="I11" s="0" t="n">
        <f aca="false">I8+I10+I24</f>
        <v>11350.2400970359</v>
      </c>
      <c r="J11" s="0" t="n">
        <f aca="false">J8+J10+J24</f>
        <v>10430.5796173786</v>
      </c>
      <c r="K11" s="0" t="n">
        <f aca="false">K8+K10+K24</f>
        <v>9466.68230452266</v>
      </c>
      <c r="L11" s="0" t="n">
        <f aca="false">L8+L10+L24</f>
        <v>8968.13319437327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-3392.35776</v>
      </c>
      <c r="D12" s="4" t="n">
        <f aca="false">-D6*Assumptions!D17/100</f>
        <v>-3494.1284928</v>
      </c>
      <c r="E12" s="4" t="n">
        <f aca="false">-E6*Assumptions!E17/100</f>
        <v>-3465.01075536</v>
      </c>
      <c r="F12" s="4" t="n">
        <f aca="false">-F6*Assumptions!F17/100</f>
        <v>-3499.6608629136</v>
      </c>
      <c r="G12" s="4" t="n">
        <f aca="false">-G6*Assumptions!G17/100</f>
        <v>-3499.6608629136</v>
      </c>
      <c r="H12" s="4" t="n">
        <f aca="false">-H6*Assumptions!H17/100</f>
        <v>-3464.66425428446</v>
      </c>
      <c r="I12" s="4" t="n">
        <f aca="false">-I6*Assumptions!I17/100</f>
        <v>-3395.37096919878</v>
      </c>
      <c r="J12" s="4" t="n">
        <f aca="false">-J6*Assumptions!J17/100</f>
        <v>-3259.55613043082</v>
      </c>
      <c r="K12" s="4" t="n">
        <f aca="false">-K6*Assumptions!K17/100</f>
        <v>-3096.57832390928</v>
      </c>
      <c r="L12" s="4" t="n">
        <f aca="false">-L6*Assumptions!L17/100</f>
        <v>-3003.680974192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8952.0552</v>
      </c>
      <c r="D13" s="0" t="n">
        <f aca="false">D11+D12</f>
        <v>9075.0281688</v>
      </c>
      <c r="E13" s="0" t="n">
        <f aca="false">E11+E12</f>
        <v>9108.028271232</v>
      </c>
      <c r="F13" s="0" t="n">
        <f aca="false">F11+F12</f>
        <v>8949.13277802192</v>
      </c>
      <c r="G13" s="0" t="n">
        <f aca="false">G11+G12</f>
        <v>8699.15700209952</v>
      </c>
      <c r="H13" s="0" t="n">
        <f aca="false">H11+H12</f>
        <v>8364.68941391535</v>
      </c>
      <c r="I13" s="0" t="n">
        <f aca="false">I11+I12</f>
        <v>7954.86912783713</v>
      </c>
      <c r="J13" s="0" t="n">
        <f aca="false">J11+J12</f>
        <v>7171.02348694781</v>
      </c>
      <c r="K13" s="0" t="n">
        <f aca="false">K11+K12</f>
        <v>6370.10398061338</v>
      </c>
      <c r="L13" s="0" t="n">
        <f aca="false">L11+L12</f>
        <v>5964.45222018127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6624.520848</v>
      </c>
      <c r="D15" s="0" t="n">
        <f aca="false">D13-MAX(0,D13)*D14/100</f>
        <v>6715.520844912</v>
      </c>
      <c r="E15" s="0" t="n">
        <f aca="false">E13-MAX(0,E13)*E14/100</f>
        <v>6739.94092071168</v>
      </c>
      <c r="F15" s="0" t="n">
        <f aca="false">F13-MAX(0,F13)*F14/100</f>
        <v>6622.35825573622</v>
      </c>
      <c r="G15" s="0" t="n">
        <f aca="false">G13-MAX(0,G13)*G14/100</f>
        <v>6437.37618155364</v>
      </c>
      <c r="H15" s="0" t="n">
        <f aca="false">H13-MAX(0,H13)*H14/100</f>
        <v>6189.87016629736</v>
      </c>
      <c r="I15" s="0" t="n">
        <f aca="false">I13-MAX(0,I13)*I14/100</f>
        <v>5886.60315459948</v>
      </c>
      <c r="J15" s="0" t="n">
        <f aca="false">J13-MAX(0,J13)*J14/100</f>
        <v>5306.55738034138</v>
      </c>
      <c r="K15" s="0" t="n">
        <f aca="false">K13-MAX(0,K13)*K14/100</f>
        <v>4713.8769456539</v>
      </c>
      <c r="L15" s="0" t="n">
        <f aca="false">L13-MAX(0,L13)*L14/100</f>
        <v>4413.69464293414</v>
      </c>
    </row>
    <row r="16" customFormat="false" ht="15" hidden="false" customHeight="false" outlineLevel="0" collapsed="false">
      <c r="A16" s="0" t="s">
        <v>123</v>
      </c>
      <c r="C16" s="0" t="n">
        <f aca="false">-C12</f>
        <v>3392.35776</v>
      </c>
      <c r="D16" s="0" t="n">
        <f aca="false">-D12</f>
        <v>3494.1284928</v>
      </c>
      <c r="E16" s="0" t="n">
        <f aca="false">-E12</f>
        <v>3465.01075536</v>
      </c>
      <c r="F16" s="0" t="n">
        <f aca="false">-F12</f>
        <v>3499.6608629136</v>
      </c>
      <c r="G16" s="0" t="n">
        <f aca="false">-G12</f>
        <v>3499.6608629136</v>
      </c>
      <c r="H16" s="0" t="n">
        <f aca="false">-H12</f>
        <v>3464.66425428446</v>
      </c>
      <c r="I16" s="0" t="n">
        <f aca="false">-I12</f>
        <v>3395.37096919878</v>
      </c>
      <c r="J16" s="0" t="n">
        <f aca="false">-J12</f>
        <v>3259.55613043082</v>
      </c>
      <c r="K16" s="0" t="n">
        <f aca="false">-K12</f>
        <v>3096.57832390928</v>
      </c>
      <c r="L16" s="0" t="n">
        <f aca="false">-L12</f>
        <v>3003.680974192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-3533.706</v>
      </c>
      <c r="D17" s="4" t="n">
        <f aca="false">-D6*Assumptions!D18/100</f>
        <v>-3639.71718</v>
      </c>
      <c r="E17" s="4" t="n">
        <f aca="false">-E6*Assumptions!E18/100</f>
        <v>-3712.5115236</v>
      </c>
      <c r="F17" s="4" t="n">
        <f aca="false">-F6*Assumptions!F18/100</f>
        <v>-3749.636638836</v>
      </c>
      <c r="G17" s="4" t="n">
        <f aca="false">-G6*Assumptions!G18/100</f>
        <v>-3749.636638836</v>
      </c>
      <c r="H17" s="4" t="n">
        <f aca="false">-H6*Assumptions!H18/100</f>
        <v>-3712.14027244764</v>
      </c>
      <c r="I17" s="4" t="n">
        <f aca="false">-I6*Assumptions!I18/100</f>
        <v>-3637.89746699869</v>
      </c>
      <c r="J17" s="4" t="n">
        <f aca="false">-J6*Assumptions!J18/100</f>
        <v>-3492.38156831874</v>
      </c>
      <c r="K17" s="4" t="n">
        <f aca="false">-K6*Assumptions!K18/100</f>
        <v>-3317.7624899028</v>
      </c>
      <c r="L17" s="4" t="n">
        <f aca="false">-L6*Assumptions!L18/100</f>
        <v>-3218.22961520572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-349.008</v>
      </c>
      <c r="D18" s="4" t="n">
        <f aca="false">(D6-C6)*Assumptions!$B$23/100</f>
        <v>-141.34824</v>
      </c>
      <c r="E18" s="4" t="n">
        <f aca="false">(E6-D6)*Assumptions!$B$23/100</f>
        <v>-97.0591248000004</v>
      </c>
      <c r="F18" s="4" t="n">
        <f aca="false">(F6-E6)*Assumptions!$B$23/100</f>
        <v>-49.5001536479998</v>
      </c>
      <c r="G18" s="4" t="n">
        <f aca="false">(G6-F6)*Assumptions!$B$23/100</f>
        <v>-0</v>
      </c>
      <c r="H18" s="4" t="n">
        <f aca="false">(H6-G6)*Assumptions!$B$23/100</f>
        <v>49.9951551844803</v>
      </c>
      <c r="I18" s="4" t="n">
        <f aca="false">(I6-H6)*Assumptions!$B$23/100</f>
        <v>98.9904072652702</v>
      </c>
      <c r="J18" s="4" t="n">
        <f aca="false">(J6-I6)*Assumptions!$B$23/100</f>
        <v>194.021198239931</v>
      </c>
      <c r="K18" s="4" t="n">
        <f aca="false">(K6-J6)*Assumptions!$B$23/100</f>
        <v>232.825437887916</v>
      </c>
      <c r="L18" s="4" t="n">
        <f aca="false">(L6-K6)*Assumptions!$B$23/100</f>
        <v>132.710499596112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6134.164608</v>
      </c>
      <c r="D19" s="0" t="n">
        <f aca="false">D15+D16+D17+D18</f>
        <v>6428.583917712</v>
      </c>
      <c r="E19" s="0" t="n">
        <f aca="false">E15+E16+E17+E18</f>
        <v>6395.38102767168</v>
      </c>
      <c r="F19" s="0" t="n">
        <f aca="false">F15+F16+F17+F18</f>
        <v>6322.88232616582</v>
      </c>
      <c r="G19" s="0" t="n">
        <f aca="false">G15+G16+G17+G18</f>
        <v>6187.40040563124</v>
      </c>
      <c r="H19" s="0" t="n">
        <f aca="false">H15+H16+H17+H18</f>
        <v>5992.38930331866</v>
      </c>
      <c r="I19" s="0" t="n">
        <f aca="false">I15+I16+I17+I18</f>
        <v>5743.06706406483</v>
      </c>
      <c r="J19" s="0" t="n">
        <f aca="false">J15+J16+J17+J18</f>
        <v>5267.75314069339</v>
      </c>
      <c r="K19" s="0" t="n">
        <f aca="false">K15+K16+K17+K18</f>
        <v>4725.5182175483</v>
      </c>
      <c r="L19" s="0" t="n">
        <f aca="false">L15+L16+L17+L18</f>
        <v>4331.85650151653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5706.19963534884</v>
      </c>
      <c r="D21" s="0" t="n">
        <f aca="false">D19*D20</f>
        <v>5562.86331440736</v>
      </c>
      <c r="E21" s="0" t="n">
        <f aca="false">E19*E20</f>
        <v>5148.02955426551</v>
      </c>
      <c r="F21" s="0" t="n">
        <f aca="false">F19*F20</f>
        <v>4734.57763554664</v>
      </c>
      <c r="G21" s="0" t="n">
        <f aca="false">G19*G20</f>
        <v>4309.88716434905</v>
      </c>
      <c r="H21" s="0" t="n">
        <f aca="false">H19*H20</f>
        <v>3882.83767221313</v>
      </c>
      <c r="I21" s="0" t="n">
        <f aca="false">I19*I20</f>
        <v>3461.6618190503</v>
      </c>
      <c r="J21" s="0" t="n">
        <f aca="false">J19*J20</f>
        <v>2953.64095095178</v>
      </c>
      <c r="K21" s="0" t="n">
        <f aca="false">K19*K20</f>
        <v>2464.75220327482</v>
      </c>
      <c r="L21" s="0" t="n">
        <f aca="false">L19*L20</f>
        <v>2101.79047280905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0.9</v>
      </c>
      <c r="D23" s="4" t="n">
        <f aca="false">Assumptions!D16</f>
        <v>0.9</v>
      </c>
      <c r="E23" s="4" t="n">
        <f aca="false">Assumptions!E16</f>
        <v>0.9</v>
      </c>
      <c r="F23" s="4" t="n">
        <f aca="false">Assumptions!F16</f>
        <v>0.9</v>
      </c>
      <c r="G23" s="4" t="n">
        <f aca="false">Assumptions!G16</f>
        <v>0.9</v>
      </c>
      <c r="H23" s="4" t="n">
        <f aca="false">Assumptions!H16</f>
        <v>0.9</v>
      </c>
      <c r="I23" s="4" t="n">
        <f aca="false">Assumptions!I16</f>
        <v>0.9</v>
      </c>
      <c r="J23" s="4" t="n">
        <f aca="false">Assumptions!J16</f>
        <v>0.9</v>
      </c>
      <c r="K23" s="4" t="n">
        <f aca="false">Assumptions!K16</f>
        <v>0.9</v>
      </c>
      <c r="L23" s="4" t="n">
        <f aca="false">Assumptions!L16</f>
        <v>0.9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-424.04472</v>
      </c>
      <c r="D24" s="0" t="n">
        <f aca="false">-D6*D23/100</f>
        <v>-436.7660616</v>
      </c>
      <c r="E24" s="0" t="n">
        <f aca="false">-E6*E23/100</f>
        <v>-445.501382832</v>
      </c>
      <c r="F24" s="0" t="n">
        <f aca="false">-F6*F23/100</f>
        <v>-449.95639666032</v>
      </c>
      <c r="G24" s="0" t="n">
        <f aca="false">-G6*G23/100</f>
        <v>-449.95639666032</v>
      </c>
      <c r="H24" s="0" t="n">
        <f aca="false">-H6*H23/100</f>
        <v>-445.456832693717</v>
      </c>
      <c r="I24" s="0" t="n">
        <f aca="false">-I6*I23/100</f>
        <v>-436.547696039843</v>
      </c>
      <c r="J24" s="0" t="n">
        <f aca="false">-J6*J23/100</f>
        <v>-419.085788198249</v>
      </c>
      <c r="K24" s="0" t="n">
        <f aca="false">-K6*K23/100</f>
        <v>-398.131498788336</v>
      </c>
      <c r="L24" s="0" t="n">
        <f aca="false">-L6*L23/100</f>
        <v>-386.187553824686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40326.2404222165</v>
      </c>
    </row>
    <row r="31" customFormat="false" ht="15" hidden="false" customHeight="false" outlineLevel="0" collapsed="false">
      <c r="A31" s="0" t="s">
        <v>132</v>
      </c>
      <c r="B31" s="0" t="n">
        <f aca="false">L19</f>
        <v>4331.85650151653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62193.0826289159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51982.2780181984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51982.2780181984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25221.4856737085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65547.726095925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53293.726095925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24.7701988648252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-0.381826831424377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2304.67605006378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2092.36372869822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26.8138831352859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30024.2467863732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11.6869383290265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9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</v>
      </c>
      <c r="I5" s="4" t="n">
        <f aca="false">Assumptions!I27</f>
        <v>2</v>
      </c>
      <c r="J5" s="4" t="n">
        <f aca="false">Assumptions!J27</f>
        <v>1.5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38</v>
      </c>
      <c r="B6" s="3" t="n">
        <v>43626</v>
      </c>
      <c r="C6" s="0" t="n">
        <f aca="false">B6*(1+C5/100)</f>
        <v>47552.34</v>
      </c>
      <c r="D6" s="0" t="n">
        <f aca="false">C6*(1+D5/100)</f>
        <v>50405.4804</v>
      </c>
      <c r="E6" s="0" t="n">
        <f aca="false">D6*(1+E5/100)</f>
        <v>52925.75442</v>
      </c>
      <c r="F6" s="0" t="n">
        <f aca="false">E6*(1+F5/100)</f>
        <v>55307.4133689</v>
      </c>
      <c r="G6" s="0" t="n">
        <f aca="false">F6*(1+G5/100)</f>
        <v>57519.709903656</v>
      </c>
      <c r="H6" s="0" t="n">
        <f aca="false">G6*(1+H5/100)</f>
        <v>59245.3012007657</v>
      </c>
      <c r="I6" s="0" t="n">
        <f aca="false">H6*(1+I5/100)</f>
        <v>60430.207224781</v>
      </c>
      <c r="J6" s="0" t="n">
        <f aca="false">I6*(1+J5/100)</f>
        <v>61336.6603331527</v>
      </c>
      <c r="K6" s="0" t="n">
        <f aca="false">J6*(1+K5/100)</f>
        <v>61950.0269364842</v>
      </c>
      <c r="L6" s="0" t="n">
        <f aca="false">K6*(1+L5/100)</f>
        <v>62569.5272058491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28.2</v>
      </c>
      <c r="D7" s="4" t="n">
        <f aca="false">Assumptions!D28</f>
        <v>28.6</v>
      </c>
      <c r="E7" s="4" t="n">
        <f aca="false">Assumptions!E28</f>
        <v>29</v>
      </c>
      <c r="F7" s="4" t="n">
        <f aca="false">Assumptions!F28</f>
        <v>29.2</v>
      </c>
      <c r="G7" s="4" t="n">
        <f aca="false">Assumptions!G28</f>
        <v>29.4</v>
      </c>
      <c r="H7" s="4" t="n">
        <f aca="false">Assumptions!H28</f>
        <v>29.4</v>
      </c>
      <c r="I7" s="4" t="n">
        <f aca="false">Assumptions!I28</f>
        <v>29.2</v>
      </c>
      <c r="J7" s="4" t="n">
        <f aca="false">Assumptions!J28</f>
        <v>29</v>
      </c>
      <c r="K7" s="4" t="n">
        <f aca="false">Assumptions!K28</f>
        <v>28.6</v>
      </c>
      <c r="L7" s="4" t="n">
        <f aca="false">Assumptions!L28</f>
        <v>28.2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13409.75988</v>
      </c>
      <c r="D8" s="0" t="n">
        <f aca="false">D6*D7/100</f>
        <v>14415.9673944</v>
      </c>
      <c r="E8" s="0" t="n">
        <f aca="false">E6*E7/100</f>
        <v>15348.4687818</v>
      </c>
      <c r="F8" s="0" t="n">
        <f aca="false">F6*F7/100</f>
        <v>16149.7647037188</v>
      </c>
      <c r="G8" s="0" t="n">
        <f aca="false">G6*G7/100</f>
        <v>16910.7947116749</v>
      </c>
      <c r="H8" s="0" t="n">
        <f aca="false">H6*H7/100</f>
        <v>17418.1185530251</v>
      </c>
      <c r="I8" s="0" t="n">
        <f aca="false">I6*I7/100</f>
        <v>17645.6205096361</v>
      </c>
      <c r="J8" s="0" t="n">
        <f aca="false">J6*J7/100</f>
        <v>17787.6314966143</v>
      </c>
      <c r="K8" s="0" t="n">
        <f aca="false">K6*K7/100</f>
        <v>17717.7077038345</v>
      </c>
      <c r="L8" s="0" t="n">
        <f aca="false">L6*L7/100</f>
        <v>17644.6066720494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0.7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0.7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-332.86638</v>
      </c>
      <c r="D10" s="0" t="n">
        <f aca="false">-D6*D9/100</f>
        <v>-352.8383628</v>
      </c>
      <c r="E10" s="0" t="n">
        <f aca="false">-E6*E9/100</f>
        <v>-370.48028094</v>
      </c>
      <c r="F10" s="0" t="n">
        <f aca="false">-F6*F9/100</f>
        <v>-387.1518935823</v>
      </c>
      <c r="G10" s="0" t="n">
        <f aca="false">-G6*G9/100</f>
        <v>-402.637969325592</v>
      </c>
      <c r="H10" s="0" t="n">
        <f aca="false">-H6*H9/100</f>
        <v>-414.71710840536</v>
      </c>
      <c r="I10" s="0" t="n">
        <f aca="false">-I6*I9/100</f>
        <v>-423.011450573467</v>
      </c>
      <c r="J10" s="0" t="n">
        <f aca="false">-J6*J9/100</f>
        <v>-429.356622332069</v>
      </c>
      <c r="K10" s="0" t="n">
        <f aca="false">-K6*K9/100</f>
        <v>-433.65018855539</v>
      </c>
      <c r="L10" s="0" t="n">
        <f aca="false">-L6*L9/100</f>
        <v>-437.986690440944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12648.92244</v>
      </c>
      <c r="D11" s="0" t="n">
        <f aca="false">D8+D10+D24</f>
        <v>13609.479708</v>
      </c>
      <c r="E11" s="0" t="n">
        <f aca="false">E8+E10+E24</f>
        <v>14501.65671108</v>
      </c>
      <c r="F11" s="0" t="n">
        <f aca="false">F8+F10+F24</f>
        <v>15264.8460898164</v>
      </c>
      <c r="G11" s="0" t="n">
        <f aca="false">G8+G10+G24</f>
        <v>15990.4793532164</v>
      </c>
      <c r="H11" s="0" t="n">
        <f aca="false">H8+H10+H24</f>
        <v>16470.1937338129</v>
      </c>
      <c r="I11" s="0" t="n">
        <f aca="false">I8+I10+I24</f>
        <v>16678.7371940396</v>
      </c>
      <c r="J11" s="0" t="n">
        <f aca="false">J8+J10+J24</f>
        <v>16806.2449312838</v>
      </c>
      <c r="K11" s="0" t="n">
        <f aca="false">K8+K10+K24</f>
        <v>16726.5072728507</v>
      </c>
      <c r="L11" s="0" t="n">
        <f aca="false">L8+L10+L24</f>
        <v>16643.4942367559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-3423.76848</v>
      </c>
      <c r="D12" s="4" t="n">
        <f aca="false">-D6*Assumptions!D31/100</f>
        <v>-3528.383628</v>
      </c>
      <c r="E12" s="4" t="n">
        <f aca="false">-E6*Assumptions!E31/100</f>
        <v>-3598.95130056</v>
      </c>
      <c r="F12" s="4" t="n">
        <f aca="false">-F6*Assumptions!F31/100</f>
        <v>-3650.2892823474</v>
      </c>
      <c r="G12" s="4" t="n">
        <f aca="false">-G6*Assumptions!G31/100</f>
        <v>-3681.26143383399</v>
      </c>
      <c r="H12" s="4" t="n">
        <f aca="false">-H6*Assumptions!H31/100</f>
        <v>-3673.20867444747</v>
      </c>
      <c r="I12" s="4" t="n">
        <f aca="false">-I6*Assumptions!I31/100</f>
        <v>-3625.81243348686</v>
      </c>
      <c r="J12" s="4" t="n">
        <f aca="false">-J6*Assumptions!J31/100</f>
        <v>-3680.19961998916</v>
      </c>
      <c r="K12" s="4" t="n">
        <f aca="false">-K6*Assumptions!K31/100</f>
        <v>-3717.00161618906</v>
      </c>
      <c r="L12" s="4" t="n">
        <f aca="false">-L6*Assumptions!L31/100</f>
        <v>-3754.17163235095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9225.15396</v>
      </c>
      <c r="D13" s="0" t="n">
        <f aca="false">D11+D12</f>
        <v>10081.09608</v>
      </c>
      <c r="E13" s="0" t="n">
        <f aca="false">E11+E12</f>
        <v>10902.70541052</v>
      </c>
      <c r="F13" s="0" t="n">
        <f aca="false">F11+F12</f>
        <v>11614.556807469</v>
      </c>
      <c r="G13" s="0" t="n">
        <f aca="false">G11+G12</f>
        <v>12309.2179193824</v>
      </c>
      <c r="H13" s="0" t="n">
        <f aca="false">H11+H12</f>
        <v>12796.9850593654</v>
      </c>
      <c r="I13" s="0" t="n">
        <f aca="false">I11+I12</f>
        <v>13052.9247605527</v>
      </c>
      <c r="J13" s="0" t="n">
        <f aca="false">J11+J12</f>
        <v>13126.0453112947</v>
      </c>
      <c r="K13" s="0" t="n">
        <f aca="false">K11+K12</f>
        <v>13009.5056566617</v>
      </c>
      <c r="L13" s="0" t="n">
        <f aca="false">L11+L12</f>
        <v>12889.3226044049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26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6826.6139304</v>
      </c>
      <c r="D15" s="0" t="n">
        <f aca="false">D13-MAX(0,D13)*D14/100</f>
        <v>7560.82206</v>
      </c>
      <c r="E15" s="0" t="n">
        <f aca="false">E13-MAX(0,E13)*E14/100</f>
        <v>8177.02905789</v>
      </c>
      <c r="F15" s="0" t="n">
        <f aca="false">F13-MAX(0,F13)*F14/100</f>
        <v>8710.91760560175</v>
      </c>
      <c r="G15" s="0" t="n">
        <f aca="false">G13-MAX(0,G13)*G14/100</f>
        <v>9231.91343953679</v>
      </c>
      <c r="H15" s="0" t="n">
        <f aca="false">H13-MAX(0,H13)*H14/100</f>
        <v>9597.73879452404</v>
      </c>
      <c r="I15" s="0" t="n">
        <f aca="false">I13-MAX(0,I13)*I14/100</f>
        <v>9789.69357041452</v>
      </c>
      <c r="J15" s="0" t="n">
        <f aca="false">J13-MAX(0,J13)*J14/100</f>
        <v>9844.53398347101</v>
      </c>
      <c r="K15" s="0" t="n">
        <f aca="false">K13-MAX(0,K13)*K14/100</f>
        <v>9757.12924249627</v>
      </c>
      <c r="L15" s="0" t="n">
        <f aca="false">L13-MAX(0,L13)*L14/100</f>
        <v>9666.99195330369</v>
      </c>
    </row>
    <row r="16" customFormat="false" ht="15" hidden="false" customHeight="false" outlineLevel="0" collapsed="false">
      <c r="A16" s="0" t="s">
        <v>123</v>
      </c>
      <c r="C16" s="0" t="n">
        <f aca="false">-C12</f>
        <v>3423.76848</v>
      </c>
      <c r="D16" s="0" t="n">
        <f aca="false">-D12</f>
        <v>3528.383628</v>
      </c>
      <c r="E16" s="0" t="n">
        <f aca="false">-E12</f>
        <v>3598.95130056</v>
      </c>
      <c r="F16" s="0" t="n">
        <f aca="false">-F12</f>
        <v>3650.2892823474</v>
      </c>
      <c r="G16" s="0" t="n">
        <f aca="false">-G12</f>
        <v>3681.26143383399</v>
      </c>
      <c r="H16" s="0" t="n">
        <f aca="false">-H12</f>
        <v>3673.20867444747</v>
      </c>
      <c r="I16" s="0" t="n">
        <f aca="false">-I12</f>
        <v>3625.81243348686</v>
      </c>
      <c r="J16" s="0" t="n">
        <f aca="false">-J12</f>
        <v>3680.19961998916</v>
      </c>
      <c r="K16" s="0" t="n">
        <f aca="false">-K12</f>
        <v>3717.00161618906</v>
      </c>
      <c r="L16" s="0" t="n">
        <f aca="false">-L12</f>
        <v>3754.17163235095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-3566.4255</v>
      </c>
      <c r="D17" s="4" t="n">
        <f aca="false">-D6*Assumptions!D32/100</f>
        <v>-3679.6000692</v>
      </c>
      <c r="E17" s="4" t="n">
        <f aca="false">-E6*Assumptions!E32/100</f>
        <v>-3704.8028094</v>
      </c>
      <c r="F17" s="4" t="n">
        <f aca="false">-F6*Assumptions!F32/100</f>
        <v>-3871.518935823</v>
      </c>
      <c r="G17" s="4" t="n">
        <f aca="false">-G6*Assumptions!G32/100</f>
        <v>-4026.37969325592</v>
      </c>
      <c r="H17" s="4" t="n">
        <f aca="false">-H6*Assumptions!H32/100</f>
        <v>-4147.1710840536</v>
      </c>
      <c r="I17" s="4" t="n">
        <f aca="false">-I6*Assumptions!I32/100</f>
        <v>-4230.11450573467</v>
      </c>
      <c r="J17" s="4" t="n">
        <f aca="false">-J6*Assumptions!J32/100</f>
        <v>-4293.56622332069</v>
      </c>
      <c r="K17" s="4" t="n">
        <f aca="false">-K6*Assumptions!K32/100</f>
        <v>-4336.5018855539</v>
      </c>
      <c r="L17" s="4" t="n">
        <f aca="false">-L6*Assumptions!L32/100</f>
        <v>-4379.86690440944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-392.634</v>
      </c>
      <c r="D18" s="4" t="n">
        <f aca="false">(D6-C6)*Assumptions!$B$37/100</f>
        <v>-285.31404</v>
      </c>
      <c r="E18" s="4" t="n">
        <f aca="false">(E6-D6)*Assumptions!$B$37/100</f>
        <v>-252.027402</v>
      </c>
      <c r="F18" s="4" t="n">
        <f aca="false">(F6-E6)*Assumptions!$B$37/100</f>
        <v>-238.16589489</v>
      </c>
      <c r="G18" s="4" t="n">
        <f aca="false">(G6-F6)*Assumptions!$B$37/100</f>
        <v>-221.2296534756</v>
      </c>
      <c r="H18" s="4" t="n">
        <f aca="false">(H6-G6)*Assumptions!$B$37/100</f>
        <v>-172.559129710968</v>
      </c>
      <c r="I18" s="4" t="n">
        <f aca="false">(I6-H6)*Assumptions!$B$37/100</f>
        <v>-118.490602401531</v>
      </c>
      <c r="J18" s="4" t="n">
        <f aca="false">(J6-I6)*Assumptions!$B$37/100</f>
        <v>-90.6453108371708</v>
      </c>
      <c r="K18" s="4" t="n">
        <f aca="false">(K6-J6)*Assumptions!$B$37/100</f>
        <v>-61.3366603331531</v>
      </c>
      <c r="L18" s="4" t="n">
        <f aca="false">(L6-K6)*Assumptions!$B$37/100</f>
        <v>-61.9500269364842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6291.3229104</v>
      </c>
      <c r="D19" s="0" t="n">
        <f aca="false">D15+D16+D17+D18</f>
        <v>7124.2915788</v>
      </c>
      <c r="E19" s="0" t="n">
        <f aca="false">E15+E16+E17+E18</f>
        <v>7819.15014705</v>
      </c>
      <c r="F19" s="0" t="n">
        <f aca="false">F15+F16+F17+F18</f>
        <v>8251.52205723615</v>
      </c>
      <c r="G19" s="0" t="n">
        <f aca="false">G15+G16+G17+G18</f>
        <v>8665.56552663925</v>
      </c>
      <c r="H19" s="0" t="n">
        <f aca="false">H15+H16+H17+H18</f>
        <v>8951.21725520695</v>
      </c>
      <c r="I19" s="0" t="n">
        <f aca="false">I15+I16+I17+I18</f>
        <v>9066.90089576518</v>
      </c>
      <c r="J19" s="0" t="n">
        <f aca="false">J15+J16+J17+J18</f>
        <v>9140.52206930231</v>
      </c>
      <c r="K19" s="0" t="n">
        <f aca="false">K15+K16+K17+K18</f>
        <v>9076.29231279828</v>
      </c>
      <c r="L19" s="0" t="n">
        <f aca="false">L15+L16+L17+L18</f>
        <v>8979.34665430871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5852.39340502326</v>
      </c>
      <c r="D21" s="0" t="n">
        <f aca="false">D19*D20</f>
        <v>6164.88184212007</v>
      </c>
      <c r="E21" s="0" t="n">
        <f aca="false">E19*E20</f>
        <v>6294.10755545047</v>
      </c>
      <c r="F21" s="0" t="n">
        <f aca="false">F19*F20</f>
        <v>6178.74408791987</v>
      </c>
      <c r="G21" s="0" t="n">
        <f aca="false">G19*G20</f>
        <v>6036.07447177615</v>
      </c>
      <c r="H21" s="0" t="n">
        <f aca="false">H19*H20</f>
        <v>5800.04432479601</v>
      </c>
      <c r="I21" s="0" t="n">
        <f aca="false">I19*I20</f>
        <v>5465.11895087787</v>
      </c>
      <c r="J21" s="0" t="n">
        <f aca="false">J19*J20</f>
        <v>5125.11113863928</v>
      </c>
      <c r="K21" s="0" t="n">
        <f aca="false">K19*K20</f>
        <v>4734.0440657834</v>
      </c>
      <c r="L21" s="0" t="n">
        <f aca="false">L19*L20</f>
        <v>4356.72447678465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0.9</v>
      </c>
      <c r="D23" s="4" t="n">
        <f aca="false">Assumptions!D30</f>
        <v>0.9</v>
      </c>
      <c r="E23" s="4" t="n">
        <f aca="false">Assumptions!E30</f>
        <v>0.9</v>
      </c>
      <c r="F23" s="4" t="n">
        <f aca="false">Assumptions!F30</f>
        <v>0.9</v>
      </c>
      <c r="G23" s="4" t="n">
        <f aca="false">Assumptions!G30</f>
        <v>0.9</v>
      </c>
      <c r="H23" s="4" t="n">
        <f aca="false">Assumptions!H30</f>
        <v>0.9</v>
      </c>
      <c r="I23" s="4" t="n">
        <f aca="false">Assumptions!I30</f>
        <v>0.9</v>
      </c>
      <c r="J23" s="4" t="n">
        <f aca="false">Assumptions!J30</f>
        <v>0.9</v>
      </c>
      <c r="K23" s="4" t="n">
        <f aca="false">Assumptions!K30</f>
        <v>0.9</v>
      </c>
      <c r="L23" s="4" t="n">
        <f aca="false">Assumptions!L30</f>
        <v>0.9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-427.97106</v>
      </c>
      <c r="D24" s="0" t="n">
        <f aca="false">-D6*D23/100</f>
        <v>-453.6493236</v>
      </c>
      <c r="E24" s="0" t="n">
        <f aca="false">-E6*E23/100</f>
        <v>-476.33178978</v>
      </c>
      <c r="F24" s="0" t="n">
        <f aca="false">-F6*F23/100</f>
        <v>-497.7667203201</v>
      </c>
      <c r="G24" s="0" t="n">
        <f aca="false">-G6*G23/100</f>
        <v>-517.677389132904</v>
      </c>
      <c r="H24" s="0" t="n">
        <f aca="false">-H6*H23/100</f>
        <v>-533.207710806891</v>
      </c>
      <c r="I24" s="0" t="n">
        <f aca="false">-I6*I23/100</f>
        <v>-543.871865023029</v>
      </c>
      <c r="J24" s="0" t="n">
        <f aca="false">-J6*J23/100</f>
        <v>-552.029942998375</v>
      </c>
      <c r="K24" s="0" t="n">
        <f aca="false">-K6*K23/100</f>
        <v>-557.550242428358</v>
      </c>
      <c r="L24" s="0" t="n">
        <f aca="false">-L6*L23/100</f>
        <v>-563.125744852642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56007.244319171</v>
      </c>
    </row>
    <row r="31" customFormat="false" ht="15" hidden="false" customHeight="false" outlineLevel="0" collapsed="false">
      <c r="A31" s="0" t="s">
        <v>132</v>
      </c>
      <c r="B31" s="0" t="n">
        <f aca="false">L19</f>
        <v>8979.34665430871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151900.614235389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134690.199814631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134690.199814631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65350.8671517698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121358.111470941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109104.111470941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50.7101067251499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0.265537976669575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2686.6756241502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3594.93516869968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53.6297139646636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67511.3841046173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20.6945939679791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10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43626</v>
      </c>
      <c r="C6" s="0" t="n">
        <f aca="false">B6*(1+C5/100)</f>
        <v>47988.6</v>
      </c>
      <c r="D6" s="0" t="n">
        <f aca="false">C6*(1+D5/100)</f>
        <v>51827.688</v>
      </c>
      <c r="E6" s="0" t="n">
        <f aca="false">D6*(1+E5/100)</f>
        <v>55455.62616</v>
      </c>
      <c r="F6" s="0" t="n">
        <f aca="false">E6*(1+F5/100)</f>
        <v>58782.9637296</v>
      </c>
      <c r="G6" s="0" t="n">
        <f aca="false">F6*(1+G5/100)</f>
        <v>61722.11191608</v>
      </c>
      <c r="H6" s="0" t="n">
        <f aca="false">G6*(1+H5/100)</f>
        <v>64499.6069523036</v>
      </c>
      <c r="I6" s="0" t="n">
        <f aca="false">H6*(1+I5/100)</f>
        <v>67079.5912303958</v>
      </c>
      <c r="J6" s="0" t="n">
        <f aca="false">I6*(1+J5/100)</f>
        <v>69091.9789673076</v>
      </c>
      <c r="K6" s="0" t="n">
        <f aca="false">J6*(1+K5/100)</f>
        <v>70819.2784414903</v>
      </c>
      <c r="L6" s="0" t="n">
        <f aca="false">K6*(1+L5/100)</f>
        <v>72235.6640103201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28.4</v>
      </c>
      <c r="D7" s="4" t="n">
        <f aca="false">Assumptions!D42</f>
        <v>29</v>
      </c>
      <c r="E7" s="4" t="n">
        <f aca="false">Assumptions!E42</f>
        <v>29.6</v>
      </c>
      <c r="F7" s="4" t="n">
        <f aca="false">Assumptions!F42</f>
        <v>30.2</v>
      </c>
      <c r="G7" s="4" t="n">
        <f aca="false">Assumptions!G42</f>
        <v>30.6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30.8</v>
      </c>
      <c r="L7" s="4" t="n">
        <f aca="false">Assumptions!L42</f>
        <v>30.6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13628.7624</v>
      </c>
      <c r="D8" s="0" t="n">
        <f aca="false">D6*D7/100</f>
        <v>15030.02952</v>
      </c>
      <c r="E8" s="0" t="n">
        <f aca="false">E6*E7/100</f>
        <v>16414.86534336</v>
      </c>
      <c r="F8" s="0" t="n">
        <f aca="false">F6*F7/100</f>
        <v>17752.4550463392</v>
      </c>
      <c r="G8" s="0" t="n">
        <f aca="false">G6*G7/100</f>
        <v>18886.9662463205</v>
      </c>
      <c r="H8" s="0" t="n">
        <f aca="false">H6*H7/100</f>
        <v>19994.8781552141</v>
      </c>
      <c r="I8" s="0" t="n">
        <f aca="false">I6*I7/100</f>
        <v>20794.6732814227</v>
      </c>
      <c r="J8" s="0" t="n">
        <f aca="false">J6*J7/100</f>
        <v>21418.5134798654</v>
      </c>
      <c r="K8" s="0" t="n">
        <f aca="false">K6*K7/100</f>
        <v>21812.337759979</v>
      </c>
      <c r="L8" s="0" t="n">
        <f aca="false">L6*L7/100</f>
        <v>22104.113187158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-335.9202</v>
      </c>
      <c r="D10" s="0" t="n">
        <f aca="false">-D6*D9/100</f>
        <v>-362.793816</v>
      </c>
      <c r="E10" s="0" t="n">
        <f aca="false">-E6*E9/100</f>
        <v>-388.18938312</v>
      </c>
      <c r="F10" s="0" t="n">
        <f aca="false">-F6*F9/100</f>
        <v>-411.4807461072</v>
      </c>
      <c r="G10" s="0" t="n">
        <f aca="false">-G6*G9/100</f>
        <v>-432.05478341256</v>
      </c>
      <c r="H10" s="0" t="n">
        <f aca="false">-H6*H9/100</f>
        <v>-451.497248666125</v>
      </c>
      <c r="I10" s="0" t="n">
        <f aca="false">-I6*I9/100</f>
        <v>-469.55713861277</v>
      </c>
      <c r="J10" s="0" t="n">
        <f aca="false">-J6*J9/100</f>
        <v>-483.643852771153</v>
      </c>
      <c r="K10" s="0" t="n">
        <f aca="false">-K6*K9/100</f>
        <v>-495.734949090432</v>
      </c>
      <c r="L10" s="0" t="n">
        <f aca="false">-L6*L9/100</f>
        <v>-505.649648072241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12860.9448</v>
      </c>
      <c r="D11" s="0" t="n">
        <f aca="false">D8+D10+D24</f>
        <v>14200.786512</v>
      </c>
      <c r="E11" s="0" t="n">
        <f aca="false">E8+E10+E24</f>
        <v>15527.5753248</v>
      </c>
      <c r="F11" s="0" t="n">
        <f aca="false">F8+F10+F24</f>
        <v>16811.9276266656</v>
      </c>
      <c r="G11" s="0" t="n">
        <f aca="false">G8+G10+G24</f>
        <v>17899.4124556632</v>
      </c>
      <c r="H11" s="0" t="n">
        <f aca="false">H8+H10+H24</f>
        <v>18962.8844439773</v>
      </c>
      <c r="I11" s="0" t="n">
        <f aca="false">I8+I10+I24</f>
        <v>19721.3998217364</v>
      </c>
      <c r="J11" s="0" t="n">
        <f aca="false">J8+J10+J24</f>
        <v>20313.0418163884</v>
      </c>
      <c r="K11" s="0" t="n">
        <f aca="false">K8+K10+K24</f>
        <v>20679.2293049152</v>
      </c>
      <c r="L11" s="0" t="n">
        <f aca="false">L8+L10+L24</f>
        <v>20948.3425629928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-3455.1792</v>
      </c>
      <c r="D12" s="4" t="n">
        <f aca="false">-D6*Assumptions!D45/100</f>
        <v>-3627.93816</v>
      </c>
      <c r="E12" s="4" t="n">
        <f aca="false">-E6*Assumptions!E45/100</f>
        <v>-3770.98257888</v>
      </c>
      <c r="F12" s="4" t="n">
        <f aca="false">-F6*Assumptions!F45/100</f>
        <v>-3879.6756061536</v>
      </c>
      <c r="G12" s="4" t="n">
        <f aca="false">-G6*Assumptions!G45/100</f>
        <v>-3950.21516262912</v>
      </c>
      <c r="H12" s="4" t="n">
        <f aca="false">-H6*Assumptions!H45/100</f>
        <v>-3998.97563104282</v>
      </c>
      <c r="I12" s="4" t="n">
        <f aca="false">-I6*Assumptions!I45/100</f>
        <v>-4024.77547382375</v>
      </c>
      <c r="J12" s="4" t="n">
        <f aca="false">-J6*Assumptions!J45/100</f>
        <v>-4145.51873803846</v>
      </c>
      <c r="K12" s="4" t="n">
        <f aca="false">-K6*Assumptions!K45/100</f>
        <v>-4249.15670648942</v>
      </c>
      <c r="L12" s="4" t="n">
        <f aca="false">-L6*Assumptions!L45/100</f>
        <v>-4334.13984061921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9405.7656</v>
      </c>
      <c r="D13" s="0" t="n">
        <f aca="false">D11+D12</f>
        <v>10572.848352</v>
      </c>
      <c r="E13" s="0" t="n">
        <f aca="false">E11+E12</f>
        <v>11756.59274592</v>
      </c>
      <c r="F13" s="0" t="n">
        <f aca="false">F11+F12</f>
        <v>12932.252020512</v>
      </c>
      <c r="G13" s="0" t="n">
        <f aca="false">G11+G12</f>
        <v>13949.1972930341</v>
      </c>
      <c r="H13" s="0" t="n">
        <f aca="false">H11+H12</f>
        <v>14963.9088129344</v>
      </c>
      <c r="I13" s="0" t="n">
        <f aca="false">I11+I12</f>
        <v>15696.6243479126</v>
      </c>
      <c r="J13" s="0" t="n">
        <f aca="false">J11+J12</f>
        <v>16167.52307835</v>
      </c>
      <c r="K13" s="0" t="n">
        <f aca="false">K11+K12</f>
        <v>16430.0725984258</v>
      </c>
      <c r="L13" s="0" t="n">
        <f aca="false">L11+L12</f>
        <v>16614.2027223736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26</v>
      </c>
      <c r="D14" s="4" t="n">
        <f aca="false">Assumptions!D47</f>
        <v>25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6960.266544</v>
      </c>
      <c r="D15" s="0" t="n">
        <f aca="false">D13-MAX(0,D13)*D14/100</f>
        <v>7929.636264</v>
      </c>
      <c r="E15" s="0" t="n">
        <f aca="false">E13-MAX(0,E13)*E14/100</f>
        <v>8935.0104868992</v>
      </c>
      <c r="F15" s="0" t="n">
        <f aca="false">F13-MAX(0,F13)*F14/100</f>
        <v>9828.51153558912</v>
      </c>
      <c r="G15" s="0" t="n">
        <f aca="false">G13-MAX(0,G13)*G14/100</f>
        <v>10601.3899427059</v>
      </c>
      <c r="H15" s="0" t="n">
        <f aca="false">H13-MAX(0,H13)*H14/100</f>
        <v>11372.5706978302</v>
      </c>
      <c r="I15" s="0" t="n">
        <f aca="false">I13-MAX(0,I13)*I14/100</f>
        <v>11929.4345044136</v>
      </c>
      <c r="J15" s="0" t="n">
        <f aca="false">J13-MAX(0,J13)*J14/100</f>
        <v>12287.317539546</v>
      </c>
      <c r="K15" s="0" t="n">
        <f aca="false">K13-MAX(0,K13)*K14/100</f>
        <v>12486.8551748036</v>
      </c>
      <c r="L15" s="0" t="n">
        <f aca="false">L13-MAX(0,L13)*L14/100</f>
        <v>12626.794069004</v>
      </c>
    </row>
    <row r="16" customFormat="false" ht="15" hidden="false" customHeight="false" outlineLevel="0" collapsed="false">
      <c r="A16" s="0" t="s">
        <v>123</v>
      </c>
      <c r="C16" s="0" t="n">
        <f aca="false">-C12</f>
        <v>3455.1792</v>
      </c>
      <c r="D16" s="0" t="n">
        <f aca="false">-D12</f>
        <v>3627.93816</v>
      </c>
      <c r="E16" s="0" t="n">
        <f aca="false">-E12</f>
        <v>3770.98257888</v>
      </c>
      <c r="F16" s="0" t="n">
        <f aca="false">-F12</f>
        <v>3879.6756061536</v>
      </c>
      <c r="G16" s="0" t="n">
        <f aca="false">-G12</f>
        <v>3950.21516262912</v>
      </c>
      <c r="H16" s="0" t="n">
        <f aca="false">-H12</f>
        <v>3998.97563104282</v>
      </c>
      <c r="I16" s="0" t="n">
        <f aca="false">-I12</f>
        <v>4024.77547382375</v>
      </c>
      <c r="J16" s="0" t="n">
        <f aca="false">-J12</f>
        <v>4145.51873803846</v>
      </c>
      <c r="K16" s="0" t="n">
        <f aca="false">-K12</f>
        <v>4249.15670648942</v>
      </c>
      <c r="L16" s="0" t="n">
        <f aca="false">-L12</f>
        <v>4334.13984061921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-3599.145</v>
      </c>
      <c r="D17" s="4" t="n">
        <f aca="false">-D6*Assumptions!D46/100</f>
        <v>-3731.593536</v>
      </c>
      <c r="E17" s="4" t="n">
        <f aca="false">-E6*Assumptions!E46/100</f>
        <v>-3881.8938312</v>
      </c>
      <c r="F17" s="4" t="n">
        <f aca="false">-F6*Assumptions!F46/100</f>
        <v>-3997.2415336128</v>
      </c>
      <c r="G17" s="4" t="n">
        <f aca="false">-G6*Assumptions!G46/100</f>
        <v>-4073.65938646128</v>
      </c>
      <c r="H17" s="4" t="n">
        <f aca="false">-H6*Assumptions!H46/100</f>
        <v>-4192.47445189974</v>
      </c>
      <c r="I17" s="4" t="n">
        <f aca="false">-I6*Assumptions!I46/100</f>
        <v>-4360.17342997572</v>
      </c>
      <c r="J17" s="4" t="n">
        <f aca="false">-J6*Assumptions!J46/100</f>
        <v>-4490.978632875</v>
      </c>
      <c r="K17" s="4" t="n">
        <f aca="false">-K6*Assumptions!K46/100</f>
        <v>-4603.25309869687</v>
      </c>
      <c r="L17" s="4" t="n">
        <f aca="false">-L6*Assumptions!L46/100</f>
        <v>-4695.31816067081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-436.260000000001</v>
      </c>
      <c r="D18" s="4" t="n">
        <f aca="false">(D6-C6)*Assumptions!$B$51/100</f>
        <v>-383.9088</v>
      </c>
      <c r="E18" s="4" t="n">
        <f aca="false">(E6-D6)*Assumptions!$B$51/100</f>
        <v>-362.793816000001</v>
      </c>
      <c r="F18" s="4" t="n">
        <f aca="false">(F6-E6)*Assumptions!$B$51/100</f>
        <v>-332.73375696</v>
      </c>
      <c r="G18" s="4" t="n">
        <f aca="false">(G6-F6)*Assumptions!$B$51/100</f>
        <v>-293.914818648</v>
      </c>
      <c r="H18" s="4" t="n">
        <f aca="false">(H6-G6)*Assumptions!$B$51/100</f>
        <v>-277.74950362236</v>
      </c>
      <c r="I18" s="4" t="n">
        <f aca="false">(I6-H6)*Assumptions!$B$51/100</f>
        <v>-257.998427809215</v>
      </c>
      <c r="J18" s="4" t="n">
        <f aca="false">(J6-I6)*Assumptions!$B$51/100</f>
        <v>-201.238773691187</v>
      </c>
      <c r="K18" s="4" t="n">
        <f aca="false">(K6-J6)*Assumptions!$B$51/100</f>
        <v>-172.729947418268</v>
      </c>
      <c r="L18" s="4" t="n">
        <f aca="false">(L6-K6)*Assumptions!$B$51/100</f>
        <v>-141.638556882981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6380.040744</v>
      </c>
      <c r="D19" s="0" t="n">
        <f aca="false">D15+D16+D17+D18</f>
        <v>7442.072088</v>
      </c>
      <c r="E19" s="0" t="n">
        <f aca="false">E15+E16+E17+E18</f>
        <v>8461.3054185792</v>
      </c>
      <c r="F19" s="0" t="n">
        <f aca="false">F15+F16+F17+F18</f>
        <v>9378.21185116992</v>
      </c>
      <c r="G19" s="0" t="n">
        <f aca="false">G15+G16+G17+G18</f>
        <v>10184.0309002257</v>
      </c>
      <c r="H19" s="0" t="n">
        <f aca="false">H15+H16+H17+H18</f>
        <v>10901.3223733509</v>
      </c>
      <c r="I19" s="0" t="n">
        <f aca="false">I15+I16+I17+I18</f>
        <v>11336.0381204524</v>
      </c>
      <c r="J19" s="0" t="n">
        <f aca="false">J15+J16+J17+J18</f>
        <v>11740.6188710183</v>
      </c>
      <c r="K19" s="0" t="n">
        <f aca="false">K15+K16+K17+K18</f>
        <v>11960.0288351779</v>
      </c>
      <c r="L19" s="0" t="n">
        <f aca="false">L15+L16+L17+L18</f>
        <v>12123.9771920694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5934.92162232558</v>
      </c>
      <c r="D21" s="0" t="n">
        <f aca="false">D19*D20</f>
        <v>6439.8676802596</v>
      </c>
      <c r="E21" s="0" t="n">
        <f aca="false">E19*E20</f>
        <v>6811.01722853421</v>
      </c>
      <c r="F21" s="0" t="n">
        <f aca="false">F19*F20</f>
        <v>7022.41000251112</v>
      </c>
      <c r="G21" s="0" t="n">
        <f aca="false">G19*G20</f>
        <v>7093.77463567257</v>
      </c>
      <c r="H21" s="0" t="n">
        <f aca="false">H19*H20</f>
        <v>7063.63739831538</v>
      </c>
      <c r="I21" s="0" t="n">
        <f aca="false">I19*I20</f>
        <v>6832.85253386791</v>
      </c>
      <c r="J21" s="0" t="n">
        <f aca="false">J19*J20</f>
        <v>6582.9912224004</v>
      </c>
      <c r="K21" s="0" t="n">
        <f aca="false">K19*K20</f>
        <v>6238.15337612414</v>
      </c>
      <c r="L21" s="0" t="n">
        <f aca="false">L19*L20</f>
        <v>5882.4801204575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0.9</v>
      </c>
      <c r="D23" s="4" t="n">
        <f aca="false">Assumptions!D44</f>
        <v>0.9</v>
      </c>
      <c r="E23" s="4" t="n">
        <f aca="false">Assumptions!E44</f>
        <v>0.9</v>
      </c>
      <c r="F23" s="4" t="n">
        <f aca="false">Assumptions!F44</f>
        <v>0.9</v>
      </c>
      <c r="G23" s="4" t="n">
        <f aca="false">Assumptions!G44</f>
        <v>0.9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0.9</v>
      </c>
      <c r="L23" s="4" t="n">
        <f aca="false">Assumptions!L44</f>
        <v>0.9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-431.8974</v>
      </c>
      <c r="D24" s="0" t="n">
        <f aca="false">-D6*D23/100</f>
        <v>-466.449192</v>
      </c>
      <c r="E24" s="0" t="n">
        <f aca="false">-E6*E23/100</f>
        <v>-499.10063544</v>
      </c>
      <c r="F24" s="0" t="n">
        <f aca="false">-F6*F23/100</f>
        <v>-529.0466735664</v>
      </c>
      <c r="G24" s="0" t="n">
        <f aca="false">-G6*G23/100</f>
        <v>-555.49900724472</v>
      </c>
      <c r="H24" s="0" t="n">
        <f aca="false">-H6*H23/100</f>
        <v>-580.496462570733</v>
      </c>
      <c r="I24" s="0" t="n">
        <f aca="false">-I6*I23/100</f>
        <v>-603.716321073562</v>
      </c>
      <c r="J24" s="0" t="n">
        <f aca="false">-J6*J23/100</f>
        <v>-621.827810705769</v>
      </c>
      <c r="K24" s="0" t="n">
        <f aca="false">-K6*K23/100</f>
        <v>-637.373505973413</v>
      </c>
      <c r="L24" s="0" t="n">
        <f aca="false">-L6*L23/100</f>
        <v>-650.120976092881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65902.1058204684</v>
      </c>
    </row>
    <row r="31" customFormat="false" ht="15" hidden="false" customHeight="false" outlineLevel="0" collapsed="false">
      <c r="A31" s="0" t="s">
        <v>132</v>
      </c>
      <c r="B31" s="0" t="n">
        <f aca="false">L19</f>
        <v>12123.9771920694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224844.66792565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193983.63507311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193983.63507311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94119.68192732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160021.787747788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147767.787747788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68.680457465853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0.714011915793687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2898.63305738382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4549.90730680495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72.1424376948493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95126.5902762366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26.7870176320446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24.7701988648252</v>
      </c>
      <c r="C4" s="0" t="n">
        <f aca="false">B4/Assumptions!$B$2-1</f>
        <v>-0.381826831424377</v>
      </c>
      <c r="D4" s="4" t="n">
        <f aca="false">Assumptions!$B$24</f>
        <v>0.25</v>
      </c>
      <c r="E4" s="4" t="n">
        <f aca="false">DCF_Bear!$B$43</f>
        <v>26.8138831352859</v>
      </c>
      <c r="F4" s="4" t="n">
        <f aca="false">DCF_Bear!$B$47</f>
        <v>11.6869383290265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50.7101067251499</v>
      </c>
      <c r="C5" s="0" t="n">
        <f aca="false">B5/Assumptions!$B$2-1</f>
        <v>0.265537976669575</v>
      </c>
      <c r="D5" s="4" t="n">
        <f aca="false">Assumptions!$B$38</f>
        <v>0.5</v>
      </c>
      <c r="E5" s="4" t="n">
        <f aca="false">DCF_Base!$B$43</f>
        <v>53.6297139646636</v>
      </c>
      <c r="F5" s="4" t="n">
        <f aca="false">DCF_Base!$B$47</f>
        <v>20.6945939679791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68.680457465853</v>
      </c>
      <c r="C6" s="0" t="n">
        <f aca="false">B6/Assumptions!$B$2-1</f>
        <v>0.714011915793687</v>
      </c>
      <c r="D6" s="4" t="n">
        <f aca="false">Assumptions!$B$52</f>
        <v>0.25</v>
      </c>
      <c r="E6" s="4" t="n">
        <f aca="false">DCF_Bull!$B$43</f>
        <v>72.1424376948493</v>
      </c>
      <c r="F6" s="4" t="n">
        <f aca="false">DCF_Bull!$B$47</f>
        <v>26.7870176320446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48.7177174452445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51.5539371898656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0.177506621794503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-304.902942081443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19.9657859742573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50.7101067251499</v>
      </c>
      <c r="C15" s="3" t="n">
        <v>7.5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42.3967552502451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36.6552167781613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32.1208303044786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28.4490419119157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20.6945939679791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59.7042284020297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59.7042284020297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59.7042284020297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59.7042284020297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59.7042284020297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54.9957063158618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54.9957063158618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54.9957063158618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54.9957063158618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54.9957063158618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49.4083555537875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50.7101067251499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50.7101067251499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50.7101067251499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50.7101067251499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42.3053259549203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43.9742987447124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45.8816962187604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46.8046304803965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46.8046304803965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36.7856592448712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37.9909161893588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39.3468302519074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40.8835328561291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42.6397644038111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2026-10-09T22:52:07Z</dcterms:created>
  <dc:creator>openpyxl</dc:creator>
  <dc:description/>
  <dc:language>en-NZ</dc:language>
  <cp:lastModifiedBy/>
  <dcterms:modified xsi:type="dcterms:W3CDTF">2026-10-09T22:52:07Z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