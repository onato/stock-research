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<sst xmlns="http://schemas.openxmlformats.org/spreadsheetml/2006/main" count="354" uniqueCount="164">
  <si>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</si>
  <si>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0669.HK</t>
  </si>
  <si>
    <t xml:space="preserve">Company</t>
  </si>
  <si>
    <t xml:space="preserve">Techtronic Industries Co. Ltd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</si>
  <si>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</si>
  <si>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</si>
  <si>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</si>
  <si>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</si>
  <si>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(HKEX regular close, 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</si>
  <si>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</si>
  <si>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</si>
  <si>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</si>
  <si>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</si>
  <si>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</si>
  <si>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</si>
  <si>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</si>
  <si>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</si>
  <si>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</si>
  <si>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</si>
  <si>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</si>
  <si>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</si>
  <si>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</si>
  <si>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2026-10-11T03:44:42Z</t>
  </si>
  <si>
    <t xml:space="preserve">Drivers file</t>
  </si>
  <si>
    <t xml:space="preserve">0669.HK_Drivers.json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</si>
  <si>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</si>
  <si>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</si>
  <si>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</si>
  <si>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TTI is valued as a high-quality cyclical durable-goods compounder on strict owner FCF. Lease cash, SBC and a rising cash tax are all charged in the flows, net cash is added once, and risk is carried in a bear-tilted scenario spread at a single USD WACC. The value is computed in USD and translated to HKD at the pegged rate, with ADR parity confirming the conversion.
key_risks_to_valuation: US tariff regime after the IEEPA strike-down (flat minimum tariff, possible Section 232 actions on tools); Largest-customer concentration at 45% of sales (Home Depot; Ryobi and Ryobi-adjacent brands are Home Depot exclusives); US housing turnover and repair-and-remodel cycle; Global minimum tax (Pillar Two) lifting a ~8% effective tax rate toward 15%; Capitalised-development write-offs (US$201m in FY2025) signal that R&amp;D capitalisation flatters reported EBIT. The model charges the cash capex instead.; Working-capital swings: the FY2021 inventory build consumed US$1.7bn in one year</t>
  </si>
  <si>
    <t xml:space="preserve">Data sources</t>
  </si>
  <si>
    <t xml:space="preserve">price: Yahoo Finance chart API (0669.HK) at inputs.price_as_of; 52-week range HK$83.20-150.00; ADR TTNDY used for the parity check
financials: TTI Annual Reports FY2018-FY2025 and Interim Reports H1-2024/H1-2025/H1-2026 (research/0669.HK/Extracted), via 0669.HK_Metrics.csv; component lines read from the FY2025 cash flow statement and note 11, and from the H1-2026 interim EPS, share-capital and cash-flow notes
qualitative: FY2025 annual report outlook and H1-2026 interim outlook (EBIT margin target 10% by 2027, FCF target raised to over US$1.3bn for 2026, HART exit, IEEPA tariff ruling)</t>
  </si>
  <si>
    <t xml:space="preserve">Scenario narrative: bear</t>
  </si>
  <si>
    <t xml:space="preserve">Tariff costs out-run pricing at a concentrated retail channel (the largest customer, Home Depot, was 45% of FY2025 sales), and a weak housing cycle stalls demand in 2027. Margin reverts to the FY2023-25 ~8% EBIT level, growth runs about 3%, and the global minimum tax lifts cash tax to 16%.</t>
  </si>
  <si>
    <t xml:space="preserve">Scenario narrative: base</t>
  </si>
  <si>
    <t xml:space="preserve">Milwaukee compounds in pro cordless, Ryobi grows mid-single digits on outdoor battery conversion, and the HART exit is a one-year drag. Group revenue grows 6.5-7% to 2028 and fades to 3.5% by year 10. Reported EBIT margin reaches about 10% one year after the 2027 internal target and holds about 10.5%. Owner FCF margin is about 8-9% after leases, SBC and Pillar Two cash tax.</t>
  </si>
  <si>
    <t xml:space="preserve">Scenario narrative: bull</t>
  </si>
  <si>
    <t xml:space="preserve">A US housing and R&amp;R recovery combines with Milwaukee share gains outside North America to return growth to high-single digits. The rebalanced Vietnam/Mexico/US footprint and the post-IEEPA tariff relief let reported EBIT margin build toward 12%.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</si>
  <si>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</si>
  <si>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</si>
  <si>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</si>
  <si>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</si>
  <si>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</si>
  <si>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</si>
  <si>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</si>
  <si>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</si>
  <si>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</si>
  <si>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</si>
  <si>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</si>
  <si>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</si>
  <si>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</si>
  <si>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</si>
  <si>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</si>
  <si>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</si>
  <si>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</si>
  <si>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</si>
  <si>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</si>
  <si>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</si>
  <si>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</si>
  <si>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</si>
  <si>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</si>
  <si>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</si>
  <si>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</si>
  <si>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</si>
  <si>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</si>
  <si>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CapexPPE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</si>
  <si>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</si>
  <si>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</si>
  <si>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</si>
  <si>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</si>
  <si>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</si>
  <si>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</si>
  <si>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</si>
  <si>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</si>
  <si>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</si>
  <si>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</si>
  <si>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</si>
  <si>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</si>
  <si>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</si>
  <si>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</si>
  <si>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</si>
  <si>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</si>
  <si>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</si>
  <si>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</si>
  <si>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</si>
  <si>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</si>
  <si>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</si>
  <si>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</si>
  <si>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</si>
  <si>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</si>
  <si>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</si>
  <si>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</si>
  <si>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</si>
  <si>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</si>
  <si>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</si>
  <si>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</si>
  <si>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</si>
  <si>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</si>
  <si>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</si>
  <si>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</si>
  <si>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</si>
  <si>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</si>
  <si>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</si>
  <si>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</si>
  <si>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</si>
  <si>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</si>
  <si>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</si>
  <si>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</si>
  <si>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</si>
  <si>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</si>
  <si>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</si>
  <si>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0669.HK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</si>
  <si>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</si>
  <si>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</si>
  <si>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</si>
  <si>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</si>
  <si>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</si>
  <si>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</si>
  <si>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</si>
  <si>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</si>
  <si>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</si>
  <si>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</si>
  <si>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</si>
  <si>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</si>
  <si>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</si>
  <si>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</si>
  <si>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</si>
  <si>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</si>
  <si>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</si>
  <si>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</si>
  <si>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</si>
  <si>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</si>
  <si>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</si>
  <si>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</si>
  <si>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</si>
  <si>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</si>
  <si>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</si>
  <si>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</si>
  <si>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</si>
  <si>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</si>
  <si>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</si>
  <si>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</si>
  <si>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0669.HK owner-FCF component DCF: base case (millions, USD)</t>
  </si>
  <si>
    <t xml:space="preserve">0669.HK owner-FCF component DCF: bull case (millions, USD)</t>
  </si>
  <si>
    <t xml:space="preserve">0669.HK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</si>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</sst>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127.5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7021.182</v>
      </c>
      <c r="C2" s="0" t="n">
        <v>4406.605</v>
      </c>
      <c r="D2" s="0" t="n">
        <v>2614.577</v>
      </c>
      <c r="E2" s="0" t="n">
        <v>37.2</v>
      </c>
      <c r="F2" s="0" t="n">
        <v>607.455</v>
      </c>
      <c r="G2" s="0" t="n">
        <v>8.7</v>
      </c>
      <c r="H2" s="0" t="n">
        <v>849.425</v>
      </c>
      <c r="I2" s="0" t="n">
        <v>552.463</v>
      </c>
      <c r="J2" s="0" t="n">
        <v>7.9</v>
      </c>
      <c r="K2" s="0" t="n">
        <v>0.3006</v>
      </c>
      <c r="L2" s="0" t="n">
        <v>793.64</v>
      </c>
      <c r="M2" s="0" t="n">
        <v>394.753</v>
      </c>
      <c r="N2" s="0" t="n">
        <v>398.887</v>
      </c>
      <c r="O2" s="0" t="n">
        <v>3057.771</v>
      </c>
      <c r="P2" s="0" t="n">
        <v>6348.862</v>
      </c>
      <c r="Q2" s="0" t="n">
        <v>3291.521</v>
      </c>
      <c r="R2" s="0" t="n">
        <v>1039.815</v>
      </c>
      <c r="S2" s="0" t="n">
        <v>1103.88</v>
      </c>
      <c r="T2" s="0" t="n">
        <v>1837.9</v>
      </c>
      <c r="U2" s="0" t="n">
        <v>4.978</v>
      </c>
      <c r="V2" s="0" t="n">
        <v>0.1133</v>
      </c>
      <c r="AA2" s="0" t="s">
        <v>18</v>
      </c>
      <c r="AB2" s="0" t="s">
        <v>14</v>
      </c>
      <c r="AC2" s="0" t="n">
        <v>259.114</v>
      </c>
    </row>
    <row r="3" customFormat="false" ht="15" hidden="false" customHeight="false" outlineLevel="0" collapsed="false">
      <c r="A3" s="0" t="s">
        <v>66</v>
      </c>
      <c r="B3" s="0" t="n">
        <v>7666.721</v>
      </c>
      <c r="C3" s="0" t="n">
        <v>4774.065</v>
      </c>
      <c r="D3" s="0" t="n">
        <v>2892.656</v>
      </c>
      <c r="E3" s="0" t="n">
        <v>37.7</v>
      </c>
      <c r="F3" s="0" t="n">
        <v>673.275</v>
      </c>
      <c r="G3" s="0" t="n">
        <v>8.8</v>
      </c>
      <c r="H3" s="0" t="n">
        <v>998.758</v>
      </c>
      <c r="I3" s="0" t="n">
        <v>614.9</v>
      </c>
      <c r="J3" s="0" t="n">
        <v>8</v>
      </c>
      <c r="K3" s="0" t="n">
        <v>0.3355</v>
      </c>
      <c r="L3" s="0" t="n">
        <v>724.273</v>
      </c>
      <c r="M3" s="0" t="n">
        <v>615.579</v>
      </c>
      <c r="N3" s="0" t="n">
        <v>108.694</v>
      </c>
      <c r="O3" s="0" t="n">
        <v>3394.645</v>
      </c>
      <c r="P3" s="0" t="n">
        <v>7698.051</v>
      </c>
      <c r="Q3" s="0" t="n">
        <v>4303.74</v>
      </c>
      <c r="R3" s="0" t="n">
        <v>1496.097</v>
      </c>
      <c r="S3" s="0" t="n">
        <v>1411.821</v>
      </c>
      <c r="T3" s="0" t="n">
        <v>1832.8</v>
      </c>
      <c r="U3" s="0" t="n">
        <v>6.792</v>
      </c>
      <c r="V3" s="0" t="n">
        <v>0.1326</v>
      </c>
      <c r="AA3" s="0" t="s">
        <v>18</v>
      </c>
      <c r="AB3" s="0" t="s">
        <v>14</v>
      </c>
      <c r="AC3" s="0" t="n">
        <v>456.608</v>
      </c>
    </row>
    <row r="4" customFormat="false" ht="15" hidden="false" customHeight="false" outlineLevel="0" collapsed="false">
      <c r="A4" s="0" t="s">
        <v>67</v>
      </c>
      <c r="B4" s="0" t="n">
        <v>9811.941</v>
      </c>
      <c r="C4" s="0" t="n">
        <v>6058.859</v>
      </c>
      <c r="D4" s="0" t="n">
        <v>3753.082</v>
      </c>
      <c r="E4" s="0" t="n">
        <v>38.3</v>
      </c>
      <c r="F4" s="0" t="n">
        <v>868.257</v>
      </c>
      <c r="G4" s="0" t="n">
        <v>8.8</v>
      </c>
      <c r="H4" s="0" t="n">
        <v>1272.405</v>
      </c>
      <c r="I4" s="0" t="n">
        <v>800.76</v>
      </c>
      <c r="J4" s="0" t="n">
        <v>8.2</v>
      </c>
      <c r="K4" s="0" t="n">
        <v>0.4363</v>
      </c>
      <c r="L4" s="0" t="n">
        <v>1159.065</v>
      </c>
      <c r="M4" s="0" t="n">
        <v>617.114</v>
      </c>
      <c r="N4" s="0" t="n">
        <v>541.951</v>
      </c>
      <c r="O4" s="0" t="n">
        <v>3903.005</v>
      </c>
      <c r="P4" s="0" t="n">
        <v>9390.402</v>
      </c>
      <c r="Q4" s="0" t="n">
        <v>5487.495</v>
      </c>
      <c r="R4" s="0" t="n">
        <v>1326.87</v>
      </c>
      <c r="S4" s="0" t="n">
        <v>1533.876</v>
      </c>
      <c r="T4" s="0" t="n">
        <v>1835.3</v>
      </c>
      <c r="U4" s="0" t="n">
        <v>17.778</v>
      </c>
      <c r="V4" s="0" t="n">
        <v>0.1737</v>
      </c>
      <c r="AA4" s="0" t="s">
        <v>18</v>
      </c>
      <c r="AB4" s="0" t="s">
        <v>14</v>
      </c>
      <c r="AC4" s="0" t="n">
        <v>458.928</v>
      </c>
    </row>
    <row r="5" customFormat="false" ht="15" hidden="false" customHeight="false" outlineLevel="0" collapsed="false">
      <c r="A5" s="0" t="s">
        <v>68</v>
      </c>
      <c r="B5" s="0" t="n">
        <v>13203.161</v>
      </c>
      <c r="C5" s="0" t="n">
        <v>8081.548</v>
      </c>
      <c r="D5" s="0" t="n">
        <v>5121.613</v>
      </c>
      <c r="E5" s="0" t="n">
        <v>38.8</v>
      </c>
      <c r="F5" s="0" t="n">
        <v>1191.8</v>
      </c>
      <c r="G5" s="0" t="n">
        <v>9</v>
      </c>
      <c r="H5" s="0" t="n">
        <v>1618.896</v>
      </c>
      <c r="I5" s="0" t="n">
        <v>1099.003</v>
      </c>
      <c r="J5" s="0" t="n">
        <v>8.3</v>
      </c>
      <c r="K5" s="0" t="n">
        <v>0.5973</v>
      </c>
      <c r="L5" s="0" t="n">
        <v>-100.945</v>
      </c>
      <c r="M5" s="0" t="n">
        <v>1056.776</v>
      </c>
      <c r="N5" s="0" t="n">
        <v>-1157.721</v>
      </c>
      <c r="O5" s="0" t="n">
        <v>4722.518</v>
      </c>
      <c r="P5" s="0" t="n">
        <v>13007.545</v>
      </c>
      <c r="Q5" s="0" t="n">
        <v>8285.027</v>
      </c>
      <c r="R5" s="0" t="n">
        <v>3282.844</v>
      </c>
      <c r="S5" s="0" t="n">
        <v>1874.401</v>
      </c>
      <c r="T5" s="0" t="n">
        <v>1840</v>
      </c>
      <c r="U5" s="0" t="n">
        <v>33.573</v>
      </c>
      <c r="V5" s="0" t="n">
        <v>0.2381</v>
      </c>
      <c r="AA5" s="0" t="s">
        <v>18</v>
      </c>
      <c r="AB5" s="0" t="s">
        <v>14</v>
      </c>
      <c r="AC5" s="0" t="n">
        <v>746.538</v>
      </c>
    </row>
    <row r="6" customFormat="false" ht="15" hidden="false" customHeight="false" outlineLevel="0" collapsed="false">
      <c r="A6" s="0" t="s">
        <v>69</v>
      </c>
      <c r="B6" s="0" t="n">
        <v>13253.917</v>
      </c>
      <c r="C6" s="0" t="n">
        <v>8041.34</v>
      </c>
      <c r="D6" s="0" t="n">
        <v>5212.577</v>
      </c>
      <c r="E6" s="0" t="n">
        <v>39.3</v>
      </c>
      <c r="F6" s="0" t="n">
        <v>1200.91</v>
      </c>
      <c r="G6" s="0" t="n">
        <v>9.1</v>
      </c>
      <c r="H6" s="0" t="n">
        <v>1713.77</v>
      </c>
      <c r="I6" s="0" t="n">
        <v>1077.15</v>
      </c>
      <c r="J6" s="0" t="n">
        <v>8.1</v>
      </c>
      <c r="K6" s="0" t="n">
        <v>0.5867</v>
      </c>
      <c r="L6" s="0" t="n">
        <v>1233.103</v>
      </c>
      <c r="M6" s="0" t="n">
        <v>985.866</v>
      </c>
      <c r="N6" s="0" t="n">
        <v>247.237</v>
      </c>
      <c r="O6" s="0" t="n">
        <v>5205.481</v>
      </c>
      <c r="P6" s="0" t="n">
        <v>13315.598</v>
      </c>
      <c r="Q6" s="0" t="n">
        <v>8110.117</v>
      </c>
      <c r="R6" s="0" t="n">
        <v>3152.952</v>
      </c>
      <c r="S6" s="0" t="n">
        <v>1428.93</v>
      </c>
      <c r="T6" s="0" t="n">
        <v>1835.9</v>
      </c>
      <c r="U6" s="0" t="n">
        <v>47.346</v>
      </c>
      <c r="V6" s="0" t="n">
        <v>0.2381</v>
      </c>
      <c r="AA6" s="0" t="s">
        <v>18</v>
      </c>
      <c r="AB6" s="0" t="s">
        <v>14</v>
      </c>
      <c r="AC6" s="0" t="n">
        <v>580.99</v>
      </c>
    </row>
    <row r="7" customFormat="false" ht="15" hidden="false" customHeight="false" outlineLevel="0" collapsed="false">
      <c r="A7" s="0" t="s">
        <v>70</v>
      </c>
      <c r="B7" s="0" t="n">
        <v>13731.411</v>
      </c>
      <c r="C7" s="0" t="n">
        <v>8311.775</v>
      </c>
      <c r="D7" s="0" t="n">
        <v>5419.636</v>
      </c>
      <c r="E7" s="0" t="n">
        <v>39.5</v>
      </c>
      <c r="F7" s="0" t="n">
        <v>1134.689</v>
      </c>
      <c r="G7" s="0" t="n">
        <v>8.3</v>
      </c>
      <c r="H7" s="0" t="n">
        <v>1768.176</v>
      </c>
      <c r="I7" s="0" t="n">
        <v>976.34</v>
      </c>
      <c r="J7" s="0" t="n">
        <v>7.1</v>
      </c>
      <c r="K7" s="0" t="n">
        <v>0.5317</v>
      </c>
      <c r="L7" s="0" t="n">
        <v>2103.875</v>
      </c>
      <c r="M7" s="0" t="n">
        <v>874.161</v>
      </c>
      <c r="N7" s="0" t="n">
        <v>1229.714</v>
      </c>
      <c r="O7" s="0" t="n">
        <v>5747.55</v>
      </c>
      <c r="P7" s="0" t="n">
        <v>12401.983</v>
      </c>
      <c r="Q7" s="0" t="n">
        <v>6654.433</v>
      </c>
      <c r="R7" s="0" t="n">
        <v>1953.83</v>
      </c>
      <c r="S7" s="0" t="n">
        <v>953.24</v>
      </c>
      <c r="T7" s="0" t="n">
        <v>1836.3</v>
      </c>
      <c r="U7" s="0" t="n">
        <v>46.945</v>
      </c>
      <c r="V7" s="0" t="n">
        <v>0.2484</v>
      </c>
      <c r="AA7" s="0" t="s">
        <v>18</v>
      </c>
      <c r="AB7" s="0" t="s">
        <v>14</v>
      </c>
      <c r="AC7" s="0" t="n">
        <v>501.573</v>
      </c>
    </row>
    <row r="8" customFormat="false" ht="15" hidden="false" customHeight="false" outlineLevel="0" collapsed="false">
      <c r="A8" s="0" t="s">
        <v>71</v>
      </c>
      <c r="B8" s="0" t="n">
        <v>14621.616</v>
      </c>
      <c r="C8" s="0" t="n">
        <v>8726.06</v>
      </c>
      <c r="D8" s="0" t="n">
        <v>5895.556</v>
      </c>
      <c r="E8" s="0" t="n">
        <v>40.3</v>
      </c>
      <c r="F8" s="0" t="n">
        <v>1270.295</v>
      </c>
      <c r="G8" s="0" t="n">
        <v>8.7</v>
      </c>
      <c r="H8" s="0" t="n">
        <v>2049.811</v>
      </c>
      <c r="I8" s="0" t="n">
        <v>1121.68</v>
      </c>
      <c r="J8" s="0" t="n">
        <v>7.7</v>
      </c>
      <c r="K8" s="0" t="n">
        <v>0.6108</v>
      </c>
      <c r="L8" s="0" t="n">
        <v>2267.646</v>
      </c>
      <c r="M8" s="0" t="n">
        <v>686.408</v>
      </c>
      <c r="N8" s="0" t="n">
        <v>1581.238</v>
      </c>
      <c r="O8" s="0" t="n">
        <v>6363.597</v>
      </c>
      <c r="P8" s="0" t="n">
        <v>12890.489</v>
      </c>
      <c r="Q8" s="0" t="n">
        <v>6526.892</v>
      </c>
      <c r="R8" s="0" t="n">
        <v>1276.738</v>
      </c>
      <c r="S8" s="0" t="n">
        <v>1232.347</v>
      </c>
      <c r="T8" s="0" t="n">
        <v>1836.4</v>
      </c>
      <c r="U8" s="0" t="n">
        <v>58.811</v>
      </c>
      <c r="V8" s="0" t="n">
        <v>0.2909</v>
      </c>
      <c r="AA8" s="0" t="s">
        <v>18</v>
      </c>
      <c r="AB8" s="0" t="s">
        <v>14</v>
      </c>
      <c r="AC8" s="0" t="n">
        <v>291.503</v>
      </c>
    </row>
    <row r="9" customFormat="false" ht="15" hidden="false" customHeight="false" outlineLevel="0" collapsed="false">
      <c r="A9" s="0" t="s">
        <v>72</v>
      </c>
      <c r="B9" s="0" t="n">
        <v>15259.533</v>
      </c>
      <c r="C9" s="0" t="n">
        <v>8967.596</v>
      </c>
      <c r="D9" s="0" t="n">
        <v>6291.937</v>
      </c>
      <c r="E9" s="0" t="n">
        <v>41.2</v>
      </c>
      <c r="F9" s="0" t="n">
        <v>1336.093</v>
      </c>
      <c r="G9" s="0" t="n">
        <v>8.8</v>
      </c>
      <c r="H9" s="0" t="n">
        <v>2205.499</v>
      </c>
      <c r="I9" s="0" t="n">
        <v>1198.294</v>
      </c>
      <c r="J9" s="0" t="n">
        <v>7.9</v>
      </c>
      <c r="K9" s="0" t="n">
        <v>0.6541</v>
      </c>
      <c r="L9" s="0" t="n">
        <v>1979.181</v>
      </c>
      <c r="M9" s="0" t="n">
        <v>589.865</v>
      </c>
      <c r="N9" s="0" t="n">
        <v>1389.316</v>
      </c>
      <c r="O9" s="0" t="n">
        <v>6958.454</v>
      </c>
      <c r="P9" s="0" t="n">
        <v>13429.004</v>
      </c>
      <c r="Q9" s="0" t="n">
        <v>6470.55</v>
      </c>
      <c r="R9" s="0" t="n">
        <v>977.323</v>
      </c>
      <c r="S9" s="0" t="n">
        <v>1677.729</v>
      </c>
      <c r="T9" s="0" t="n">
        <v>1832</v>
      </c>
      <c r="U9" s="0" t="n">
        <v>39.31</v>
      </c>
      <c r="V9" s="0" t="n">
        <v>0.3308</v>
      </c>
      <c r="AA9" s="0" t="s">
        <v>18</v>
      </c>
      <c r="AB9" s="0" t="s">
        <v>14</v>
      </c>
      <c r="AC9" s="0" t="n">
        <v>288.961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127.5</v>
      </c>
    </row>
    <row r="3" customFormat="false" ht="15" hidden="false" customHeight="false" outlineLevel="0" collapsed="false">
      <c r="A3" s="0" t="s">
        <v>76</v>
      </c>
      <c r="B3" s="3" t="n">
        <v>1832.5</v>
      </c>
    </row>
    <row r="4" customFormat="false" ht="15" hidden="false" customHeight="false" outlineLevel="0" collapsed="false">
      <c r="A4" s="0" t="s">
        <v>77</v>
      </c>
      <c r="B4" s="3" t="n">
        <v>-1066.5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15259.533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7.8472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3.5</v>
      </c>
      <c r="D13" s="3" t="n">
        <v>1</v>
      </c>
      <c r="E13" s="3" t="n">
        <v>2.5</v>
      </c>
      <c r="F13" s="3" t="n">
        <v>3.5</v>
      </c>
      <c r="G13" s="3" t="n">
        <v>3.5</v>
      </c>
      <c r="H13" s="3" t="n">
        <v>3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97</v>
      </c>
      <c r="C14" s="3" t="n">
        <v>14.9</v>
      </c>
      <c r="D14" s="3" t="n">
        <v>14</v>
      </c>
      <c r="E14" s="3" t="n">
        <v>14</v>
      </c>
      <c r="F14" s="3" t="n">
        <v>14.1</v>
      </c>
      <c r="G14" s="3" t="n">
        <v>14.2</v>
      </c>
      <c r="H14" s="3" t="n">
        <v>14.2</v>
      </c>
      <c r="I14" s="3" t="n">
        <v>14.2</v>
      </c>
      <c r="J14" s="3" t="n">
        <v>14.2</v>
      </c>
      <c r="K14" s="3" t="n">
        <v>14.2</v>
      </c>
      <c r="L14" s="3" t="n">
        <v>14.2</v>
      </c>
    </row>
    <row r="15" customFormat="false" ht="15" hidden="false" customHeight="false" outlineLevel="0" collapsed="false">
      <c r="A15" s="0" t="s">
        <v>98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99</v>
      </c>
      <c r="C16" s="3" t="n">
        <v>1.26</v>
      </c>
      <c r="D16" s="3" t="n">
        <v>1.3</v>
      </c>
      <c r="E16" s="3" t="n">
        <v>1.3</v>
      </c>
      <c r="F16" s="3" t="n">
        <v>1.3</v>
      </c>
      <c r="G16" s="3" t="n">
        <v>1.3</v>
      </c>
      <c r="H16" s="3" t="n">
        <v>1.3</v>
      </c>
      <c r="I16" s="3" t="n">
        <v>1.3</v>
      </c>
      <c r="J16" s="3" t="n">
        <v>1.3</v>
      </c>
      <c r="K16" s="3" t="n">
        <v>1.3</v>
      </c>
      <c r="L16" s="3" t="n">
        <v>1.3</v>
      </c>
    </row>
    <row r="17" customFormat="false" ht="15" hidden="false" customHeight="false" outlineLevel="0" collapsed="false">
      <c r="A17" s="0" t="s">
        <v>100</v>
      </c>
      <c r="C17" s="3" t="n">
        <v>4</v>
      </c>
      <c r="D17" s="3" t="n">
        <v>4</v>
      </c>
      <c r="E17" s="3" t="n">
        <v>4</v>
      </c>
      <c r="F17" s="3" t="n">
        <v>4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101</v>
      </c>
      <c r="C18" s="3" t="n">
        <v>4.2</v>
      </c>
      <c r="D18" s="3" t="n">
        <v>4.2</v>
      </c>
      <c r="E18" s="3" t="n">
        <v>4.2</v>
      </c>
      <c r="F18" s="3" t="n">
        <v>4.2</v>
      </c>
      <c r="G18" s="3" t="n">
        <v>4.2</v>
      </c>
      <c r="H18" s="3" t="n">
        <v>4.2</v>
      </c>
      <c r="I18" s="3" t="n">
        <v>4.2</v>
      </c>
      <c r="J18" s="3" t="n">
        <v>4.2</v>
      </c>
      <c r="K18" s="3" t="n">
        <v>4.2</v>
      </c>
      <c r="L18" s="3" t="n">
        <v>4.2</v>
      </c>
    </row>
    <row r="19" customFormat="false" ht="15" hidden="false" customHeight="false" outlineLevel="0" collapsed="false">
      <c r="A19" s="0" t="s">
        <v>102</v>
      </c>
      <c r="C19" s="3" t="n">
        <v>10</v>
      </c>
      <c r="D19" s="3" t="n">
        <v>12</v>
      </c>
      <c r="E19" s="3" t="n">
        <v>14</v>
      </c>
      <c r="F19" s="3" t="n">
        <v>15</v>
      </c>
      <c r="G19" s="3" t="n">
        <v>16</v>
      </c>
      <c r="H19" s="3" t="n">
        <v>16</v>
      </c>
      <c r="I19" s="3" t="n">
        <v>16</v>
      </c>
      <c r="J19" s="3" t="n">
        <v>16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13</v>
      </c>
    </row>
    <row r="23" customFormat="false" ht="15" hidden="false" customHeight="false" outlineLevel="0" collapsed="false">
      <c r="A23" s="0" t="s">
        <v>106</v>
      </c>
      <c r="B23" s="3" t="n">
        <v>-16</v>
      </c>
    </row>
    <row r="24" customFormat="false" ht="15" hidden="false" customHeight="false" outlineLevel="0" collapsed="false">
      <c r="A24" s="0" t="s">
        <v>107</v>
      </c>
      <c r="B24" s="3" t="n">
        <v>0.2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6.5</v>
      </c>
      <c r="D27" s="3" t="n">
        <v>7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97</v>
      </c>
      <c r="C28" s="3" t="n">
        <v>15.3</v>
      </c>
      <c r="D28" s="3" t="n">
        <v>15.9</v>
      </c>
      <c r="E28" s="3" t="n">
        <v>16.2</v>
      </c>
      <c r="F28" s="3" t="n">
        <v>16.4</v>
      </c>
      <c r="G28" s="3" t="n">
        <v>16.5</v>
      </c>
      <c r="H28" s="3" t="n">
        <v>16.5</v>
      </c>
      <c r="I28" s="3" t="n">
        <v>16.5</v>
      </c>
      <c r="J28" s="3" t="n">
        <v>16.5</v>
      </c>
      <c r="K28" s="3" t="n">
        <v>16.5</v>
      </c>
      <c r="L28" s="3" t="n">
        <v>16.5</v>
      </c>
    </row>
    <row r="29" customFormat="false" ht="15" hidden="false" customHeight="false" outlineLevel="0" collapsed="false">
      <c r="A29" s="0" t="s">
        <v>98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99</v>
      </c>
      <c r="C30" s="3" t="n">
        <v>1.26</v>
      </c>
      <c r="D30" s="3" t="n">
        <v>1.25</v>
      </c>
      <c r="E30" s="3" t="n">
        <v>1.25</v>
      </c>
      <c r="F30" s="3" t="n">
        <v>1.25</v>
      </c>
      <c r="G30" s="3" t="n">
        <v>1.25</v>
      </c>
      <c r="H30" s="3" t="n">
        <v>1.25</v>
      </c>
      <c r="I30" s="3" t="n">
        <v>1.25</v>
      </c>
      <c r="J30" s="3" t="n">
        <v>1.25</v>
      </c>
      <c r="K30" s="3" t="n">
        <v>1.25</v>
      </c>
      <c r="L30" s="3" t="n">
        <v>1.25</v>
      </c>
    </row>
    <row r="31" customFormat="false" ht="15" hidden="false" customHeight="false" outlineLevel="0" collapsed="false">
      <c r="A31" s="0" t="s">
        <v>100</v>
      </c>
      <c r="C31" s="3" t="n">
        <v>4</v>
      </c>
      <c r="D31" s="3" t="n">
        <v>4</v>
      </c>
      <c r="E31" s="3" t="n">
        <v>4</v>
      </c>
      <c r="F31" s="3" t="n">
        <v>4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101</v>
      </c>
      <c r="C32" s="3" t="n">
        <v>4</v>
      </c>
      <c r="D32" s="3" t="n">
        <v>4</v>
      </c>
      <c r="E32" s="3" t="n">
        <v>4</v>
      </c>
      <c r="F32" s="3" t="n">
        <v>4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102</v>
      </c>
      <c r="C33" s="3" t="n">
        <v>9</v>
      </c>
      <c r="D33" s="3" t="n">
        <v>10</v>
      </c>
      <c r="E33" s="3" t="n">
        <v>11</v>
      </c>
      <c r="F33" s="3" t="n">
        <v>12</v>
      </c>
      <c r="G33" s="3" t="n">
        <v>13</v>
      </c>
      <c r="H33" s="3" t="n">
        <v>14</v>
      </c>
      <c r="I33" s="3" t="n">
        <v>14</v>
      </c>
      <c r="J33" s="3" t="n">
        <v>14</v>
      </c>
      <c r="K33" s="3" t="n">
        <v>14</v>
      </c>
      <c r="L33" s="3" t="n">
        <v>14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16</v>
      </c>
    </row>
    <row r="37" customFormat="false" ht="15" hidden="false" customHeight="false" outlineLevel="0" collapsed="false">
      <c r="A37" s="0" t="s">
        <v>106</v>
      </c>
      <c r="B37" s="3" t="n">
        <v>-15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7.5</v>
      </c>
      <c r="D41" s="3" t="n">
        <v>9</v>
      </c>
      <c r="E41" s="3" t="n">
        <v>9</v>
      </c>
      <c r="F41" s="3" t="n">
        <v>8.5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97</v>
      </c>
      <c r="C42" s="3" t="n">
        <v>15.5</v>
      </c>
      <c r="D42" s="3" t="n">
        <v>16.3</v>
      </c>
      <c r="E42" s="3" t="n">
        <v>17</v>
      </c>
      <c r="F42" s="3" t="n">
        <v>17.5</v>
      </c>
      <c r="G42" s="3" t="n">
        <v>17.9</v>
      </c>
      <c r="H42" s="3" t="n">
        <v>18.1</v>
      </c>
      <c r="I42" s="3" t="n">
        <v>18.2</v>
      </c>
      <c r="J42" s="3" t="n">
        <v>18.2</v>
      </c>
      <c r="K42" s="3" t="n">
        <v>18.2</v>
      </c>
      <c r="L42" s="3" t="n">
        <v>18.2</v>
      </c>
    </row>
    <row r="43" customFormat="false" ht="15" hidden="false" customHeight="false" outlineLevel="0" collapsed="false">
      <c r="A43" s="0" t="s">
        <v>98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99</v>
      </c>
      <c r="C44" s="3" t="n">
        <v>1.26</v>
      </c>
      <c r="D44" s="3" t="n">
        <v>1.25</v>
      </c>
      <c r="E44" s="3" t="n">
        <v>1.25</v>
      </c>
      <c r="F44" s="3" t="n">
        <v>1.25</v>
      </c>
      <c r="G44" s="3" t="n">
        <v>1.25</v>
      </c>
      <c r="H44" s="3" t="n">
        <v>1.25</v>
      </c>
      <c r="I44" s="3" t="n">
        <v>1.25</v>
      </c>
      <c r="J44" s="3" t="n">
        <v>1.25</v>
      </c>
      <c r="K44" s="3" t="n">
        <v>1.25</v>
      </c>
      <c r="L44" s="3" t="n">
        <v>1.25</v>
      </c>
    </row>
    <row r="45" customFormat="false" ht="15" hidden="false" customHeight="false" outlineLevel="0" collapsed="false">
      <c r="A45" s="0" t="s">
        <v>100</v>
      </c>
      <c r="C45" s="3" t="n">
        <v>4</v>
      </c>
      <c r="D45" s="3" t="n">
        <v>4</v>
      </c>
      <c r="E45" s="3" t="n">
        <v>4</v>
      </c>
      <c r="F45" s="3" t="n">
        <v>4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101</v>
      </c>
      <c r="C46" s="3" t="n">
        <v>4</v>
      </c>
      <c r="D46" s="3" t="n">
        <v>4</v>
      </c>
      <c r="E46" s="3" t="n">
        <v>4</v>
      </c>
      <c r="F46" s="3" t="n">
        <v>4</v>
      </c>
      <c r="G46" s="3" t="n">
        <v>4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102</v>
      </c>
      <c r="C47" s="3" t="n">
        <v>9</v>
      </c>
      <c r="D47" s="3" t="n">
        <v>9.5</v>
      </c>
      <c r="E47" s="3" t="n">
        <v>10</v>
      </c>
      <c r="F47" s="3" t="n">
        <v>10.5</v>
      </c>
      <c r="G47" s="3" t="n">
        <v>11</v>
      </c>
      <c r="H47" s="3" t="n">
        <v>12</v>
      </c>
      <c r="I47" s="3" t="n">
        <v>12</v>
      </c>
      <c r="J47" s="3" t="n">
        <v>12</v>
      </c>
      <c r="K47" s="3" t="n">
        <v>12</v>
      </c>
      <c r="L47" s="3" t="n">
        <v>12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18</v>
      </c>
    </row>
    <row r="51" customFormat="false" ht="15" hidden="false" customHeight="false" outlineLevel="0" collapsed="false">
      <c r="A51" s="0" t="s">
        <v>106</v>
      </c>
      <c r="B51" s="3" t="n">
        <v>-14</v>
      </c>
    </row>
    <row r="52" customFormat="false" ht="15" hidden="false" customHeight="false" outlineLevel="0" collapsed="false">
      <c r="A52" s="0" t="s">
        <v>107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3.5</v>
      </c>
      <c r="D5" s="4" t="n">
        <f aca="false">Assumptions!D13</f>
        <v>1</v>
      </c>
      <c r="E5" s="4" t="n">
        <f aca="false">Assumptions!E13</f>
        <v>2.5</v>
      </c>
      <c r="F5" s="4" t="n">
        <f aca="false">Assumptions!F13</f>
        <v>3.5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15259.533</v>
      </c>
      <c r="C6" s="0" t="n">
        <f aca="false">B6*(1+C5/100)</f>
        <v>15793.616655</v>
      </c>
      <c r="D6" s="0" t="n">
        <f aca="false">C6*(1+D5/100)</f>
        <v>15951.55282155</v>
      </c>
      <c r="E6" s="0" t="n">
        <f aca="false">D6*(1+E5/100)</f>
        <v>16350.3416420887</v>
      </c>
      <c r="F6" s="0" t="n">
        <f aca="false">E6*(1+F5/100)</f>
        <v>16922.6035995619</v>
      </c>
      <c r="G6" s="0" t="n">
        <f aca="false">F6*(1+G5/100)</f>
        <v>17514.8947255465</v>
      </c>
      <c r="H6" s="0" t="n">
        <f aca="false">G6*(1+H5/100)</f>
        <v>18040.3415673129</v>
      </c>
      <c r="I6" s="0" t="n">
        <f aca="false">H6*(1+I5/100)</f>
        <v>18581.5518143323</v>
      </c>
      <c r="J6" s="0" t="n">
        <f aca="false">I6*(1+J5/100)</f>
        <v>19138.9983687623</v>
      </c>
      <c r="K6" s="0" t="n">
        <f aca="false">J6*(1+K5/100)</f>
        <v>19617.4733279813</v>
      </c>
      <c r="L6" s="0" t="n">
        <f aca="false">K6*(1+L5/100)</f>
        <v>20107.9101611809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14.9</v>
      </c>
      <c r="D7" s="4" t="n">
        <f aca="false">Assumptions!D14</f>
        <v>14</v>
      </c>
      <c r="E7" s="4" t="n">
        <f aca="false">Assumptions!E14</f>
        <v>14</v>
      </c>
      <c r="F7" s="4" t="n">
        <f aca="false">Assumptions!F14</f>
        <v>14.1</v>
      </c>
      <c r="G7" s="4" t="n">
        <f aca="false">Assumptions!G14</f>
        <v>14.2</v>
      </c>
      <c r="H7" s="4" t="n">
        <f aca="false">Assumptions!H14</f>
        <v>14.2</v>
      </c>
      <c r="I7" s="4" t="n">
        <f aca="false">Assumptions!I14</f>
        <v>14.2</v>
      </c>
      <c r="J7" s="4" t="n">
        <f aca="false">Assumptions!J14</f>
        <v>14.2</v>
      </c>
      <c r="K7" s="4" t="n">
        <f aca="false">Assumptions!K14</f>
        <v>14.2</v>
      </c>
      <c r="L7" s="4" t="n">
        <f aca="false">Assumptions!L14</f>
        <v>14.2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2353.248881595</v>
      </c>
      <c r="D8" s="0" t="n">
        <f aca="false">D6*D7/100</f>
        <v>2233.217395017</v>
      </c>
      <c r="E8" s="0" t="n">
        <f aca="false">E6*E7/100</f>
        <v>2289.04782989242</v>
      </c>
      <c r="F8" s="0" t="n">
        <f aca="false">F6*F7/100</f>
        <v>2386.08710753822</v>
      </c>
      <c r="G8" s="0" t="n">
        <f aca="false">G6*G7/100</f>
        <v>2487.1150510276</v>
      </c>
      <c r="H8" s="0" t="n">
        <f aca="false">H6*H7/100</f>
        <v>2561.72850255843</v>
      </c>
      <c r="I8" s="0" t="n">
        <f aca="false">I6*I7/100</f>
        <v>2638.58035763519</v>
      </c>
      <c r="J8" s="0" t="n">
        <f aca="false">J6*J7/100</f>
        <v>2717.73776836424</v>
      </c>
      <c r="K8" s="0" t="n">
        <f aca="false">K6*K7/100</f>
        <v>2785.68121257335</v>
      </c>
      <c r="L8" s="0" t="n">
        <f aca="false">L6*L7/100</f>
        <v>2855.32324288768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-47.380849965</v>
      </c>
      <c r="D10" s="0" t="n">
        <f aca="false">-D6*D9/100</f>
        <v>-47.85465846465</v>
      </c>
      <c r="E10" s="0" t="n">
        <f aca="false">-E6*E9/100</f>
        <v>-49.0510249262662</v>
      </c>
      <c r="F10" s="0" t="n">
        <f aca="false">-F6*F9/100</f>
        <v>-50.7678107986856</v>
      </c>
      <c r="G10" s="0" t="n">
        <f aca="false">-G6*G9/100</f>
        <v>-52.5446841766395</v>
      </c>
      <c r="H10" s="0" t="n">
        <f aca="false">-H6*H9/100</f>
        <v>-54.1210247019387</v>
      </c>
      <c r="I10" s="0" t="n">
        <f aca="false">-I6*I9/100</f>
        <v>-55.7446554429969</v>
      </c>
      <c r="J10" s="0" t="n">
        <f aca="false">-J6*J9/100</f>
        <v>-57.4169951062868</v>
      </c>
      <c r="K10" s="0" t="n">
        <f aca="false">-K6*K9/100</f>
        <v>-58.852419983944</v>
      </c>
      <c r="L10" s="0" t="n">
        <f aca="false">-L6*L9/100</f>
        <v>-60.3237304835426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2106.868461777</v>
      </c>
      <c r="D11" s="0" t="n">
        <f aca="false">D8+D10+D24</f>
        <v>1977.9925498722</v>
      </c>
      <c r="E11" s="0" t="n">
        <f aca="false">E8+E10+E24</f>
        <v>2027.442363619</v>
      </c>
      <c r="F11" s="0" t="n">
        <f aca="false">F8+F10+F24</f>
        <v>2115.32544994523</v>
      </c>
      <c r="G11" s="0" t="n">
        <f aca="false">G8+G10+G24</f>
        <v>2206.87673541886</v>
      </c>
      <c r="H11" s="0" t="n">
        <f aca="false">H8+H10+H24</f>
        <v>2273.08303748143</v>
      </c>
      <c r="I11" s="0" t="n">
        <f aca="false">I8+I10+I24</f>
        <v>2341.27552860587</v>
      </c>
      <c r="J11" s="0" t="n">
        <f aca="false">J8+J10+J24</f>
        <v>2411.51379446405</v>
      </c>
      <c r="K11" s="0" t="n">
        <f aca="false">K8+K10+K24</f>
        <v>2471.80163932565</v>
      </c>
      <c r="L11" s="0" t="n">
        <f aca="false">L8+L10+L24</f>
        <v>2533.59668030879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-631.7446662</v>
      </c>
      <c r="D12" s="4" t="n">
        <f aca="false">-D6*Assumptions!D17/100</f>
        <v>-638.062112862</v>
      </c>
      <c r="E12" s="4" t="n">
        <f aca="false">-E6*Assumptions!E17/100</f>
        <v>-654.01366568355</v>
      </c>
      <c r="F12" s="4" t="n">
        <f aca="false">-F6*Assumptions!F17/100</f>
        <v>-676.904143982474</v>
      </c>
      <c r="G12" s="4" t="n">
        <f aca="false">-G6*Assumptions!G17/100</f>
        <v>-700.595789021861</v>
      </c>
      <c r="H12" s="4" t="n">
        <f aca="false">-H6*Assumptions!H17/100</f>
        <v>-721.613662692516</v>
      </c>
      <c r="I12" s="4" t="n">
        <f aca="false">-I6*Assumptions!I17/100</f>
        <v>-743.262072573292</v>
      </c>
      <c r="J12" s="4" t="n">
        <f aca="false">-J6*Assumptions!J17/100</f>
        <v>-765.559934750491</v>
      </c>
      <c r="K12" s="4" t="n">
        <f aca="false">-K6*Assumptions!K17/100</f>
        <v>-784.698933119253</v>
      </c>
      <c r="L12" s="4" t="n">
        <f aca="false">-L6*Assumptions!L17/100</f>
        <v>-804.316406447234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1475.123795577</v>
      </c>
      <c r="D13" s="0" t="n">
        <f aca="false">D11+D12</f>
        <v>1339.9304370102</v>
      </c>
      <c r="E13" s="0" t="n">
        <f aca="false">E11+E12</f>
        <v>1373.42869793546</v>
      </c>
      <c r="F13" s="0" t="n">
        <f aca="false">F11+F12</f>
        <v>1438.42130596276</v>
      </c>
      <c r="G13" s="0" t="n">
        <f aca="false">G11+G12</f>
        <v>1506.280946397</v>
      </c>
      <c r="H13" s="0" t="n">
        <f aca="false">H11+H12</f>
        <v>1551.46937478891</v>
      </c>
      <c r="I13" s="0" t="n">
        <f aca="false">I11+I12</f>
        <v>1598.01345603258</v>
      </c>
      <c r="J13" s="0" t="n">
        <f aca="false">J11+J12</f>
        <v>1645.95385971356</v>
      </c>
      <c r="K13" s="0" t="n">
        <f aca="false">K11+K12</f>
        <v>1687.10270620639</v>
      </c>
      <c r="L13" s="0" t="n">
        <f aca="false">L11+L12</f>
        <v>1729.28027386155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10</v>
      </c>
      <c r="D14" s="4" t="n">
        <f aca="false">Assumptions!D19</f>
        <v>12</v>
      </c>
      <c r="E14" s="4" t="n">
        <f aca="false">Assumptions!E19</f>
        <v>14</v>
      </c>
      <c r="F14" s="4" t="n">
        <f aca="false">Assumptions!F19</f>
        <v>15</v>
      </c>
      <c r="G14" s="4" t="n">
        <f aca="false">Assumptions!G19</f>
        <v>16</v>
      </c>
      <c r="H14" s="4" t="n">
        <f aca="false">Assumptions!H19</f>
        <v>16</v>
      </c>
      <c r="I14" s="4" t="n">
        <f aca="false">Assumptions!I19</f>
        <v>16</v>
      </c>
      <c r="J14" s="4" t="n">
        <f aca="false">Assumptions!J19</f>
        <v>16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1327.6114160193</v>
      </c>
      <c r="D15" s="0" t="n">
        <f aca="false">D13-MAX(0,D13)*D14/100</f>
        <v>1179.13878456898</v>
      </c>
      <c r="E15" s="0" t="n">
        <f aca="false">E13-MAX(0,E13)*E14/100</f>
        <v>1181.14868022449</v>
      </c>
      <c r="F15" s="0" t="n">
        <f aca="false">F13-MAX(0,F13)*F14/100</f>
        <v>1222.65811006834</v>
      </c>
      <c r="G15" s="0" t="n">
        <f aca="false">G13-MAX(0,G13)*G14/100</f>
        <v>1265.27599497348</v>
      </c>
      <c r="H15" s="0" t="n">
        <f aca="false">H13-MAX(0,H13)*H14/100</f>
        <v>1303.23427482268</v>
      </c>
      <c r="I15" s="0" t="n">
        <f aca="false">I13-MAX(0,I13)*I14/100</f>
        <v>1342.33130306737</v>
      </c>
      <c r="J15" s="0" t="n">
        <f aca="false">J13-MAX(0,J13)*J14/100</f>
        <v>1382.60124215939</v>
      </c>
      <c r="K15" s="0" t="n">
        <f aca="false">K13-MAX(0,K13)*K14/100</f>
        <v>1417.16627321337</v>
      </c>
      <c r="L15" s="0" t="n">
        <f aca="false">L13-MAX(0,L13)*L14/100</f>
        <v>1452.59543004371</v>
      </c>
    </row>
    <row r="16" customFormat="false" ht="15" hidden="false" customHeight="false" outlineLevel="0" collapsed="false">
      <c r="A16" s="0" t="s">
        <v>118</v>
      </c>
      <c r="C16" s="0" t="n">
        <f aca="false">-C12</f>
        <v>631.7446662</v>
      </c>
      <c r="D16" s="0" t="n">
        <f aca="false">-D12</f>
        <v>638.062112862</v>
      </c>
      <c r="E16" s="0" t="n">
        <f aca="false">-E12</f>
        <v>654.01366568355</v>
      </c>
      <c r="F16" s="0" t="n">
        <f aca="false">-F12</f>
        <v>676.904143982474</v>
      </c>
      <c r="G16" s="0" t="n">
        <f aca="false">-G12</f>
        <v>700.595789021861</v>
      </c>
      <c r="H16" s="0" t="n">
        <f aca="false">-H12</f>
        <v>721.613662692516</v>
      </c>
      <c r="I16" s="0" t="n">
        <f aca="false">-I12</f>
        <v>743.262072573292</v>
      </c>
      <c r="J16" s="0" t="n">
        <f aca="false">-J12</f>
        <v>765.559934750491</v>
      </c>
      <c r="K16" s="0" t="n">
        <f aca="false">-K12</f>
        <v>784.698933119253</v>
      </c>
      <c r="L16" s="0" t="n">
        <f aca="false">-L12</f>
        <v>804.316406447234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-663.33189951</v>
      </c>
      <c r="D17" s="4" t="n">
        <f aca="false">-D6*Assumptions!D18/100</f>
        <v>-669.9652185051</v>
      </c>
      <c r="E17" s="4" t="n">
        <f aca="false">-E6*Assumptions!E18/100</f>
        <v>-686.714348967728</v>
      </c>
      <c r="F17" s="4" t="n">
        <f aca="false">-F6*Assumptions!F18/100</f>
        <v>-710.749351181598</v>
      </c>
      <c r="G17" s="4" t="n">
        <f aca="false">-G6*Assumptions!G18/100</f>
        <v>-735.625578472954</v>
      </c>
      <c r="H17" s="4" t="n">
        <f aca="false">-H6*Assumptions!H18/100</f>
        <v>-757.694345827142</v>
      </c>
      <c r="I17" s="4" t="n">
        <f aca="false">-I6*Assumptions!I18/100</f>
        <v>-780.425176201957</v>
      </c>
      <c r="J17" s="4" t="n">
        <f aca="false">-J6*Assumptions!J18/100</f>
        <v>-803.837931488015</v>
      </c>
      <c r="K17" s="4" t="n">
        <f aca="false">-K6*Assumptions!K18/100</f>
        <v>-823.933879775216</v>
      </c>
      <c r="L17" s="4" t="n">
        <f aca="false">-L6*Assumptions!L18/100</f>
        <v>-844.532226769596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-85.4533847999998</v>
      </c>
      <c r="D18" s="4" t="n">
        <f aca="false">(D6-C6)*Assumptions!$B$23/100</f>
        <v>-25.269786648</v>
      </c>
      <c r="E18" s="4" t="n">
        <f aca="false">(E6-D6)*Assumptions!$B$23/100</f>
        <v>-63.8062112861997</v>
      </c>
      <c r="F18" s="4" t="n">
        <f aca="false">(F6-E6)*Assumptions!$B$23/100</f>
        <v>-91.5619131956968</v>
      </c>
      <c r="G18" s="4" t="n">
        <f aca="false">(G6-F6)*Assumptions!$B$23/100</f>
        <v>-94.766580157546</v>
      </c>
      <c r="H18" s="4" t="n">
        <f aca="false">(H6-G6)*Assumptions!$B$23/100</f>
        <v>-84.0714946826233</v>
      </c>
      <c r="I18" s="4" t="n">
        <f aca="false">(I6-H6)*Assumptions!$B$23/100</f>
        <v>-86.5936395231023</v>
      </c>
      <c r="J18" s="4" t="n">
        <f aca="false">(J6-I6)*Assumptions!$B$23/100</f>
        <v>-89.1914487087954</v>
      </c>
      <c r="K18" s="4" t="n">
        <f aca="false">(K6-J6)*Assumptions!$B$23/100</f>
        <v>-76.555993475049</v>
      </c>
      <c r="L18" s="4" t="n">
        <f aca="false">(L6-K6)*Assumptions!$B$23/100</f>
        <v>-78.4698933119251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1210.5707979093</v>
      </c>
      <c r="D19" s="0" t="n">
        <f aca="false">D15+D16+D17+D18</f>
        <v>1121.96589227788</v>
      </c>
      <c r="E19" s="0" t="n">
        <f aca="false">E15+E16+E17+E18</f>
        <v>1084.64178565411</v>
      </c>
      <c r="F19" s="0" t="n">
        <f aca="false">F15+F16+F17+F18</f>
        <v>1097.25098967352</v>
      </c>
      <c r="G19" s="0" t="n">
        <f aca="false">G15+G16+G17+G18</f>
        <v>1135.47962536484</v>
      </c>
      <c r="H19" s="0" t="n">
        <f aca="false">H15+H16+H17+H18</f>
        <v>1183.08209700544</v>
      </c>
      <c r="I19" s="0" t="n">
        <f aca="false">I15+I16+I17+I18</f>
        <v>1218.5745599156</v>
      </c>
      <c r="J19" s="0" t="n">
        <f aca="false">J15+J16+J17+J18</f>
        <v>1255.13179671307</v>
      </c>
      <c r="K19" s="0" t="n">
        <f aca="false">K15+K16+K17+K18</f>
        <v>1301.37533308236</v>
      </c>
      <c r="L19" s="0" t="n">
        <f aca="false">L15+L16+L17+L18</f>
        <v>1333.90971640942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1110.61541092596</v>
      </c>
      <c r="D21" s="0" t="n">
        <f aca="false">D19*D20</f>
        <v>944.336244657753</v>
      </c>
      <c r="E21" s="0" t="n">
        <f aca="false">E19*E20</f>
        <v>837.542468666041</v>
      </c>
      <c r="F21" s="0" t="n">
        <f aca="false">F19*F20</f>
        <v>777.320263950961</v>
      </c>
      <c r="G21" s="0" t="n">
        <f aca="false">G19*G20</f>
        <v>737.983847026897</v>
      </c>
      <c r="H21" s="0" t="n">
        <f aca="false">H19*H20</f>
        <v>705.433199460088</v>
      </c>
      <c r="I21" s="0" t="n">
        <f aca="false">I19*I20</f>
        <v>666.602014168707</v>
      </c>
      <c r="J21" s="0" t="n">
        <f aca="false">J19*J20</f>
        <v>629.908325315384</v>
      </c>
      <c r="K21" s="0" t="n">
        <f aca="false">K19*K20</f>
        <v>599.189354928397</v>
      </c>
      <c r="L21" s="0" t="n">
        <f aca="false">L19*L20</f>
        <v>563.457879634502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1.26</v>
      </c>
      <c r="D23" s="4" t="n">
        <f aca="false">Assumptions!D16</f>
        <v>1.3</v>
      </c>
      <c r="E23" s="4" t="n">
        <f aca="false">Assumptions!E16</f>
        <v>1.3</v>
      </c>
      <c r="F23" s="4" t="n">
        <f aca="false">Assumptions!F16</f>
        <v>1.3</v>
      </c>
      <c r="G23" s="4" t="n">
        <f aca="false">Assumptions!G16</f>
        <v>1.3</v>
      </c>
      <c r="H23" s="4" t="n">
        <f aca="false">Assumptions!H16</f>
        <v>1.3</v>
      </c>
      <c r="I23" s="4" t="n">
        <f aca="false">Assumptions!I16</f>
        <v>1.3</v>
      </c>
      <c r="J23" s="4" t="n">
        <f aca="false">Assumptions!J16</f>
        <v>1.3</v>
      </c>
      <c r="K23" s="4" t="n">
        <f aca="false">Assumptions!K16</f>
        <v>1.3</v>
      </c>
      <c r="L23" s="4" t="n">
        <f aca="false">Assumptions!L16</f>
        <v>1.3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-198.999569853</v>
      </c>
      <c r="D24" s="0" t="n">
        <f aca="false">-D6*D23/100</f>
        <v>-207.37018668015</v>
      </c>
      <c r="E24" s="0" t="n">
        <f aca="false">-E6*E23/100</f>
        <v>-212.554441347154</v>
      </c>
      <c r="F24" s="0" t="n">
        <f aca="false">-F6*F23/100</f>
        <v>-219.993846794304</v>
      </c>
      <c r="G24" s="0" t="n">
        <f aca="false">-G6*G23/100</f>
        <v>-227.693631432105</v>
      </c>
      <c r="H24" s="0" t="n">
        <f aca="false">-H6*H23/100</f>
        <v>-234.524440375068</v>
      </c>
      <c r="I24" s="0" t="n">
        <f aca="false">-I6*I23/100</f>
        <v>-241.56017358632</v>
      </c>
      <c r="J24" s="0" t="n">
        <f aca="false">-J6*J23/100</f>
        <v>-248.80697879391</v>
      </c>
      <c r="K24" s="0" t="n">
        <f aca="false">-K6*K23/100</f>
        <v>-255.027153263757</v>
      </c>
      <c r="L24" s="0" t="n">
        <f aca="false">-L6*L23/100</f>
        <v>-261.402832095351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7572.38900873469</v>
      </c>
    </row>
    <row r="31" customFormat="false" ht="15" hidden="false" customHeight="false" outlineLevel="0" collapsed="false">
      <c r="A31" s="0" t="s">
        <v>127</v>
      </c>
      <c r="B31" s="0" t="n">
        <f aca="false">L19</f>
        <v>1333.90971640942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19436.9701533944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17340.8263133224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17340.8263133224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7324.95243524853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14897.3414439832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15963.8414439832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68.3609585698363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-0.463835619060107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335.898178611157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371.300336884022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71.3893504884141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10466.0608518277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40.8490915108144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6.5</v>
      </c>
      <c r="D5" s="4" t="n">
        <f aca="false">Assumptions!D27</f>
        <v>7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15259.533</v>
      </c>
      <c r="C6" s="0" t="n">
        <f aca="false">B6*(1+C5/100)</f>
        <v>16251.402645</v>
      </c>
      <c r="D6" s="0" t="n">
        <f aca="false">C6*(1+D5/100)</f>
        <v>17389.00083015</v>
      </c>
      <c r="E6" s="0" t="n">
        <f aca="false">D6*(1+E5/100)</f>
        <v>18606.2308882605</v>
      </c>
      <c r="F6" s="0" t="n">
        <f aca="false">E6*(1+F5/100)</f>
        <v>19815.6358959974</v>
      </c>
      <c r="G6" s="0" t="n">
        <f aca="false">F6*(1+G5/100)</f>
        <v>21004.5740497573</v>
      </c>
      <c r="H6" s="0" t="n">
        <f aca="false">G6*(1+H5/100)</f>
        <v>22159.8256224939</v>
      </c>
      <c r="I6" s="0" t="n">
        <f aca="false">H6*(1+I5/100)</f>
        <v>23267.8169036186</v>
      </c>
      <c r="J6" s="0" t="n">
        <f aca="false">I6*(1+J5/100)</f>
        <v>24314.8686642815</v>
      </c>
      <c r="K6" s="0" t="n">
        <f aca="false">J6*(1+K5/100)</f>
        <v>25287.4634108527</v>
      </c>
      <c r="L6" s="0" t="n">
        <f aca="false">K6*(1+L5/100)</f>
        <v>26172.5246302326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15.3</v>
      </c>
      <c r="D7" s="4" t="n">
        <f aca="false">Assumptions!D28</f>
        <v>15.9</v>
      </c>
      <c r="E7" s="4" t="n">
        <f aca="false">Assumptions!E28</f>
        <v>16.2</v>
      </c>
      <c r="F7" s="4" t="n">
        <f aca="false">Assumptions!F28</f>
        <v>16.4</v>
      </c>
      <c r="G7" s="4" t="n">
        <f aca="false">Assumptions!G28</f>
        <v>16.5</v>
      </c>
      <c r="H7" s="4" t="n">
        <f aca="false">Assumptions!H28</f>
        <v>16.5</v>
      </c>
      <c r="I7" s="4" t="n">
        <f aca="false">Assumptions!I28</f>
        <v>16.5</v>
      </c>
      <c r="J7" s="4" t="n">
        <f aca="false">Assumptions!J28</f>
        <v>16.5</v>
      </c>
      <c r="K7" s="4" t="n">
        <f aca="false">Assumptions!K28</f>
        <v>16.5</v>
      </c>
      <c r="L7" s="4" t="n">
        <f aca="false">Assumptions!L28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2486.464604685</v>
      </c>
      <c r="D8" s="0" t="n">
        <f aca="false">D6*D7/100</f>
        <v>2764.85113199385</v>
      </c>
      <c r="E8" s="0" t="n">
        <f aca="false">E6*E7/100</f>
        <v>3014.2094038982</v>
      </c>
      <c r="F8" s="0" t="n">
        <f aca="false">F6*F7/100</f>
        <v>3249.76428694358</v>
      </c>
      <c r="G8" s="0" t="n">
        <f aca="false">G6*G7/100</f>
        <v>3465.75471820995</v>
      </c>
      <c r="H8" s="0" t="n">
        <f aca="false">H6*H7/100</f>
        <v>3656.3712277115</v>
      </c>
      <c r="I8" s="0" t="n">
        <f aca="false">I6*I7/100</f>
        <v>3839.18978909707</v>
      </c>
      <c r="J8" s="0" t="n">
        <f aca="false">J6*J7/100</f>
        <v>4011.95332960644</v>
      </c>
      <c r="K8" s="0" t="n">
        <f aca="false">K6*K7/100</f>
        <v>4172.4314627907</v>
      </c>
      <c r="L8" s="0" t="n">
        <f aca="false">L6*L7/100</f>
        <v>4318.46656398837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-48.754207935</v>
      </c>
      <c r="D10" s="0" t="n">
        <f aca="false">-D6*D9/100</f>
        <v>-52.16700249045</v>
      </c>
      <c r="E10" s="0" t="n">
        <f aca="false">-E6*E9/100</f>
        <v>-55.8186926647815</v>
      </c>
      <c r="F10" s="0" t="n">
        <f aca="false">-F6*F9/100</f>
        <v>-59.4469076879923</v>
      </c>
      <c r="G10" s="0" t="n">
        <f aca="false">-G6*G9/100</f>
        <v>-63.0137221492718</v>
      </c>
      <c r="H10" s="0" t="n">
        <f aca="false">-H6*H9/100</f>
        <v>-66.4794768674818</v>
      </c>
      <c r="I10" s="0" t="n">
        <f aca="false">-I6*I9/100</f>
        <v>-69.8034507108559</v>
      </c>
      <c r="J10" s="0" t="n">
        <f aca="false">-J6*J9/100</f>
        <v>-72.9446059928444</v>
      </c>
      <c r="K10" s="0" t="n">
        <f aca="false">-K6*K9/100</f>
        <v>-75.8623902325581</v>
      </c>
      <c r="L10" s="0" t="n">
        <f aca="false">-L6*L9/100</f>
        <v>-78.5175738906977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2232.942723423</v>
      </c>
      <c r="D11" s="0" t="n">
        <f aca="false">D8+D10+D24</f>
        <v>2495.32161912652</v>
      </c>
      <c r="E11" s="0" t="n">
        <f aca="false">E8+E10+E24</f>
        <v>2725.81282513016</v>
      </c>
      <c r="F11" s="0" t="n">
        <f aca="false">F8+F10+F24</f>
        <v>2942.62193055562</v>
      </c>
      <c r="G11" s="0" t="n">
        <f aca="false">G8+G10+G24</f>
        <v>3140.18382043871</v>
      </c>
      <c r="H11" s="0" t="n">
        <f aca="false">H8+H10+H24</f>
        <v>3312.89393056284</v>
      </c>
      <c r="I11" s="0" t="n">
        <f aca="false">I8+I10+I24</f>
        <v>3478.53862709098</v>
      </c>
      <c r="J11" s="0" t="n">
        <f aca="false">J8+J10+J24</f>
        <v>3635.07286531008</v>
      </c>
      <c r="K11" s="0" t="n">
        <f aca="false">K8+K10+K24</f>
        <v>3780.47577992248</v>
      </c>
      <c r="L11" s="0" t="n">
        <f aca="false">L8+L10+L24</f>
        <v>3912.79243221977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-650.0561058</v>
      </c>
      <c r="D12" s="4" t="n">
        <f aca="false">-D6*Assumptions!D31/100</f>
        <v>-695.560033206</v>
      </c>
      <c r="E12" s="4" t="n">
        <f aca="false">-E6*Assumptions!E31/100</f>
        <v>-744.24923553042</v>
      </c>
      <c r="F12" s="4" t="n">
        <f aca="false">-F6*Assumptions!F31/100</f>
        <v>-792.625435839897</v>
      </c>
      <c r="G12" s="4" t="n">
        <f aca="false">-G6*Assumptions!G31/100</f>
        <v>-840.182961990291</v>
      </c>
      <c r="H12" s="4" t="n">
        <f aca="false">-H6*Assumptions!H31/100</f>
        <v>-886.393024899757</v>
      </c>
      <c r="I12" s="4" t="n">
        <f aca="false">-I6*Assumptions!I31/100</f>
        <v>-930.712676144745</v>
      </c>
      <c r="J12" s="4" t="n">
        <f aca="false">-J6*Assumptions!J31/100</f>
        <v>-972.594746571258</v>
      </c>
      <c r="K12" s="4" t="n">
        <f aca="false">-K6*Assumptions!K31/100</f>
        <v>-1011.49853643411</v>
      </c>
      <c r="L12" s="4" t="n">
        <f aca="false">-L6*Assumptions!L31/100</f>
        <v>-1046.9009852093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1582.886617623</v>
      </c>
      <c r="D13" s="0" t="n">
        <f aca="false">D11+D12</f>
        <v>1799.76158592052</v>
      </c>
      <c r="E13" s="0" t="n">
        <f aca="false">E11+E12</f>
        <v>1981.56358959974</v>
      </c>
      <c r="F13" s="0" t="n">
        <f aca="false">F11+F12</f>
        <v>2149.99649471572</v>
      </c>
      <c r="G13" s="0" t="n">
        <f aca="false">G11+G12</f>
        <v>2300.00085844842</v>
      </c>
      <c r="H13" s="0" t="n">
        <f aca="false">H11+H12</f>
        <v>2426.50090566308</v>
      </c>
      <c r="I13" s="0" t="n">
        <f aca="false">I11+I12</f>
        <v>2547.82595094624</v>
      </c>
      <c r="J13" s="0" t="n">
        <f aca="false">J11+J12</f>
        <v>2662.47811873882</v>
      </c>
      <c r="K13" s="0" t="n">
        <f aca="false">K11+K12</f>
        <v>2768.97724348837</v>
      </c>
      <c r="L13" s="0" t="n">
        <f aca="false">L11+L12</f>
        <v>2865.89144701047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9</v>
      </c>
      <c r="D14" s="4" t="n">
        <f aca="false">Assumptions!D33</f>
        <v>10</v>
      </c>
      <c r="E14" s="4" t="n">
        <f aca="false">Assumptions!E33</f>
        <v>11</v>
      </c>
      <c r="F14" s="4" t="n">
        <f aca="false">Assumptions!F33</f>
        <v>12</v>
      </c>
      <c r="G14" s="4" t="n">
        <f aca="false">Assumptions!G33</f>
        <v>13</v>
      </c>
      <c r="H14" s="4" t="n">
        <f aca="false">Assumptions!H33</f>
        <v>14</v>
      </c>
      <c r="I14" s="4" t="n">
        <f aca="false">Assumptions!I33</f>
        <v>14</v>
      </c>
      <c r="J14" s="4" t="n">
        <f aca="false">Assumptions!J33</f>
        <v>14</v>
      </c>
      <c r="K14" s="4" t="n">
        <f aca="false">Assumptions!K33</f>
        <v>14</v>
      </c>
      <c r="L14" s="4" t="n">
        <f aca="false">Assumptions!L33</f>
        <v>14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1440.42682203693</v>
      </c>
      <c r="D15" s="0" t="n">
        <f aca="false">D13-MAX(0,D13)*D14/100</f>
        <v>1619.78542732847</v>
      </c>
      <c r="E15" s="0" t="n">
        <f aca="false">E13-MAX(0,E13)*E14/100</f>
        <v>1763.59159474377</v>
      </c>
      <c r="F15" s="0" t="n">
        <f aca="false">F13-MAX(0,F13)*F14/100</f>
        <v>1891.99691534983</v>
      </c>
      <c r="G15" s="0" t="n">
        <f aca="false">G13-MAX(0,G13)*G14/100</f>
        <v>2001.00074685013</v>
      </c>
      <c r="H15" s="0" t="n">
        <f aca="false">H13-MAX(0,H13)*H14/100</f>
        <v>2086.79077887025</v>
      </c>
      <c r="I15" s="0" t="n">
        <f aca="false">I13-MAX(0,I13)*I14/100</f>
        <v>2191.13031781377</v>
      </c>
      <c r="J15" s="0" t="n">
        <f aca="false">J13-MAX(0,J13)*J14/100</f>
        <v>2289.73118211538</v>
      </c>
      <c r="K15" s="0" t="n">
        <f aca="false">K13-MAX(0,K13)*K14/100</f>
        <v>2381.3204294</v>
      </c>
      <c r="L15" s="0" t="n">
        <f aca="false">L13-MAX(0,L13)*L14/100</f>
        <v>2464.666644429</v>
      </c>
    </row>
    <row r="16" customFormat="false" ht="15" hidden="false" customHeight="false" outlineLevel="0" collapsed="false">
      <c r="A16" s="0" t="s">
        <v>118</v>
      </c>
      <c r="C16" s="0" t="n">
        <f aca="false">-C12</f>
        <v>650.0561058</v>
      </c>
      <c r="D16" s="0" t="n">
        <f aca="false">-D12</f>
        <v>695.560033206</v>
      </c>
      <c r="E16" s="0" t="n">
        <f aca="false">-E12</f>
        <v>744.24923553042</v>
      </c>
      <c r="F16" s="0" t="n">
        <f aca="false">-F12</f>
        <v>792.625435839897</v>
      </c>
      <c r="G16" s="0" t="n">
        <f aca="false">-G12</f>
        <v>840.182961990291</v>
      </c>
      <c r="H16" s="0" t="n">
        <f aca="false">-H12</f>
        <v>886.393024899757</v>
      </c>
      <c r="I16" s="0" t="n">
        <f aca="false">-I12</f>
        <v>930.712676144745</v>
      </c>
      <c r="J16" s="0" t="n">
        <f aca="false">-J12</f>
        <v>972.594746571258</v>
      </c>
      <c r="K16" s="0" t="n">
        <f aca="false">-K12</f>
        <v>1011.49853643411</v>
      </c>
      <c r="L16" s="0" t="n">
        <f aca="false">-L12</f>
        <v>1046.9009852093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-650.0561058</v>
      </c>
      <c r="D17" s="4" t="n">
        <f aca="false">-D6*Assumptions!D32/100</f>
        <v>-695.560033206</v>
      </c>
      <c r="E17" s="4" t="n">
        <f aca="false">-E6*Assumptions!E32/100</f>
        <v>-744.24923553042</v>
      </c>
      <c r="F17" s="4" t="n">
        <f aca="false">-F6*Assumptions!F32/100</f>
        <v>-792.625435839897</v>
      </c>
      <c r="G17" s="4" t="n">
        <f aca="false">-G6*Assumptions!G32/100</f>
        <v>-840.182961990291</v>
      </c>
      <c r="H17" s="4" t="n">
        <f aca="false">-H6*Assumptions!H32/100</f>
        <v>-886.393024899757</v>
      </c>
      <c r="I17" s="4" t="n">
        <f aca="false">-I6*Assumptions!I32/100</f>
        <v>-930.712676144745</v>
      </c>
      <c r="J17" s="4" t="n">
        <f aca="false">-J6*Assumptions!J32/100</f>
        <v>-972.594746571258</v>
      </c>
      <c r="K17" s="4" t="n">
        <f aca="false">-K6*Assumptions!K32/100</f>
        <v>-1011.49853643411</v>
      </c>
      <c r="L17" s="4" t="n">
        <f aca="false">-L6*Assumptions!L32/100</f>
        <v>-1046.9009852093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-148.78044675</v>
      </c>
      <c r="D18" s="4" t="n">
        <f aca="false">(D6-C6)*Assumptions!$B$37/100</f>
        <v>-170.6397277725</v>
      </c>
      <c r="E18" s="4" t="n">
        <f aca="false">(E6-D6)*Assumptions!$B$37/100</f>
        <v>-182.584508716575</v>
      </c>
      <c r="F18" s="4" t="n">
        <f aca="false">(F6-E6)*Assumptions!$B$37/100</f>
        <v>-181.41075116054</v>
      </c>
      <c r="G18" s="4" t="n">
        <f aca="false">(G6-F6)*Assumptions!$B$37/100</f>
        <v>-178.340723063977</v>
      </c>
      <c r="H18" s="4" t="n">
        <f aca="false">(H6-G6)*Assumptions!$B$37/100</f>
        <v>-173.287735910497</v>
      </c>
      <c r="I18" s="4" t="n">
        <f aca="false">(I6-H6)*Assumptions!$B$37/100</f>
        <v>-166.198692168705</v>
      </c>
      <c r="J18" s="4" t="n">
        <f aca="false">(J6-I6)*Assumptions!$B$37/100</f>
        <v>-157.057764099425</v>
      </c>
      <c r="K18" s="4" t="n">
        <f aca="false">(K6-J6)*Assumptions!$B$37/100</f>
        <v>-145.889211985689</v>
      </c>
      <c r="L18" s="4" t="n">
        <f aca="false">(L6-K6)*Assumptions!$B$37/100</f>
        <v>-132.759182906977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1291.64637528693</v>
      </c>
      <c r="D19" s="0" t="n">
        <f aca="false">D15+D16+D17+D18</f>
        <v>1449.14569955597</v>
      </c>
      <c r="E19" s="0" t="n">
        <f aca="false">E15+E16+E17+E18</f>
        <v>1581.0070860272</v>
      </c>
      <c r="F19" s="0" t="n">
        <f aca="false">F15+F16+F17+F18</f>
        <v>1710.58616418929</v>
      </c>
      <c r="G19" s="0" t="n">
        <f aca="false">G15+G16+G17+G18</f>
        <v>1822.66002378615</v>
      </c>
      <c r="H19" s="0" t="n">
        <f aca="false">H15+H16+H17+H18</f>
        <v>1913.50304295976</v>
      </c>
      <c r="I19" s="0" t="n">
        <f aca="false">I15+I16+I17+I18</f>
        <v>2024.93162564506</v>
      </c>
      <c r="J19" s="0" t="n">
        <f aca="false">J15+J16+J17+J18</f>
        <v>2132.67341801596</v>
      </c>
      <c r="K19" s="0" t="n">
        <f aca="false">K15+K16+K17+K18</f>
        <v>2235.43121741431</v>
      </c>
      <c r="L19" s="0" t="n">
        <f aca="false">L15+L16+L17+L18</f>
        <v>2331.90746152202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1184.99667457517</v>
      </c>
      <c r="D21" s="0" t="n">
        <f aca="false">D19*D20</f>
        <v>1219.71694264454</v>
      </c>
      <c r="E21" s="0" t="n">
        <f aca="false">E19*E20</f>
        <v>1220.82755368968</v>
      </c>
      <c r="F21" s="0" t="n">
        <f aca="false">F19*F20</f>
        <v>1211.82236441101</v>
      </c>
      <c r="G21" s="0" t="n">
        <f aca="false">G19*G20</f>
        <v>1184.60395600991</v>
      </c>
      <c r="H21" s="0" t="n">
        <f aca="false">H19*H20</f>
        <v>1140.95934440086</v>
      </c>
      <c r="I21" s="0" t="n">
        <f aca="false">I19*I20</f>
        <v>1107.7069426941</v>
      </c>
      <c r="J21" s="0" t="n">
        <f aca="false">J19*J20</f>
        <v>1070.31687405668</v>
      </c>
      <c r="K21" s="0" t="n">
        <f aca="false">K19*K20</f>
        <v>1029.25463169549</v>
      </c>
      <c r="L21" s="0" t="n">
        <f aca="false">L19*L20</f>
        <v>985.022912427596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1.26</v>
      </c>
      <c r="D23" s="4" t="n">
        <f aca="false">Assumptions!D30</f>
        <v>1.25</v>
      </c>
      <c r="E23" s="4" t="n">
        <f aca="false">Assumptions!E30</f>
        <v>1.25</v>
      </c>
      <c r="F23" s="4" t="n">
        <f aca="false">Assumptions!F30</f>
        <v>1.25</v>
      </c>
      <c r="G23" s="4" t="n">
        <f aca="false">Assumptions!G30</f>
        <v>1.25</v>
      </c>
      <c r="H23" s="4" t="n">
        <f aca="false">Assumptions!H30</f>
        <v>1.25</v>
      </c>
      <c r="I23" s="4" t="n">
        <f aca="false">Assumptions!I30</f>
        <v>1.25</v>
      </c>
      <c r="J23" s="4" t="n">
        <f aca="false">Assumptions!J30</f>
        <v>1.25</v>
      </c>
      <c r="K23" s="4" t="n">
        <f aca="false">Assumptions!K30</f>
        <v>1.25</v>
      </c>
      <c r="L23" s="4" t="n">
        <f aca="false">Assumptions!L30</f>
        <v>1.25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-204.767673327</v>
      </c>
      <c r="D24" s="0" t="n">
        <f aca="false">-D6*D23/100</f>
        <v>-217.362510376875</v>
      </c>
      <c r="E24" s="0" t="n">
        <f aca="false">-E6*E23/100</f>
        <v>-232.577886103256</v>
      </c>
      <c r="F24" s="0" t="n">
        <f aca="false">-F6*F23/100</f>
        <v>-247.695448699968</v>
      </c>
      <c r="G24" s="0" t="n">
        <f aca="false">-G6*G23/100</f>
        <v>-262.557175621966</v>
      </c>
      <c r="H24" s="0" t="n">
        <f aca="false">-H6*H23/100</f>
        <v>-276.997820281174</v>
      </c>
      <c r="I24" s="0" t="n">
        <f aca="false">-I6*I23/100</f>
        <v>-290.847711295233</v>
      </c>
      <c r="J24" s="0" t="n">
        <f aca="false">-J6*J23/100</f>
        <v>-303.935858303518</v>
      </c>
      <c r="K24" s="0" t="n">
        <f aca="false">-K6*K23/100</f>
        <v>-316.093292635659</v>
      </c>
      <c r="L24" s="0" t="n">
        <f aca="false">-L6*L23/100</f>
        <v>-327.156557877907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11355.228196605</v>
      </c>
    </row>
    <row r="31" customFormat="false" ht="15" hidden="false" customHeight="false" outlineLevel="0" collapsed="false">
      <c r="A31" s="0" t="s">
        <v>127</v>
      </c>
      <c r="B31" s="0" t="n">
        <f aca="false">L19</f>
        <v>2331.90746152202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36772.3868932319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37310.5193843524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36772.3868932319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15533.0536190505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26888.2818156556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27954.7818156556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119.709011658288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-0.0611057909153901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397.335789279845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523.012900557354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123.65016322112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19121.6411844806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61.8068517338416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7.5</v>
      </c>
      <c r="D5" s="4" t="n">
        <f aca="false">Assumptions!D41</f>
        <v>9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15259.533</v>
      </c>
      <c r="C6" s="0" t="n">
        <f aca="false">B6*(1+C5/100)</f>
        <v>16403.997975</v>
      </c>
      <c r="D6" s="0" t="n">
        <f aca="false">C6*(1+D5/100)</f>
        <v>17880.35779275</v>
      </c>
      <c r="E6" s="0" t="n">
        <f aca="false">D6*(1+E5/100)</f>
        <v>19489.5899940975</v>
      </c>
      <c r="F6" s="0" t="n">
        <f aca="false">E6*(1+F5/100)</f>
        <v>21146.2051435958</v>
      </c>
      <c r="G6" s="0" t="n">
        <f aca="false">F6*(1+G5/100)</f>
        <v>22837.9015550835</v>
      </c>
      <c r="H6" s="0" t="n">
        <f aca="false">G6*(1+H5/100)</f>
        <v>24436.5546639393</v>
      </c>
      <c r="I6" s="0" t="n">
        <f aca="false">H6*(1+I5/100)</f>
        <v>25902.7479437757</v>
      </c>
      <c r="J6" s="0" t="n">
        <f aca="false">I6*(1+J5/100)</f>
        <v>27197.8853409644</v>
      </c>
      <c r="K6" s="0" t="n">
        <f aca="false">J6*(1+K5/100)</f>
        <v>28421.7901813078</v>
      </c>
      <c r="L6" s="0" t="n">
        <f aca="false">K6*(1+L5/100)</f>
        <v>29558.6617885602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15.5</v>
      </c>
      <c r="D7" s="4" t="n">
        <f aca="false">Assumptions!D42</f>
        <v>16.3</v>
      </c>
      <c r="E7" s="4" t="n">
        <f aca="false">Assumptions!E42</f>
        <v>17</v>
      </c>
      <c r="F7" s="4" t="n">
        <f aca="false">Assumptions!F42</f>
        <v>17.5</v>
      </c>
      <c r="G7" s="4" t="n">
        <f aca="false">Assumptions!G42</f>
        <v>17.9</v>
      </c>
      <c r="H7" s="4" t="n">
        <f aca="false">Assumptions!H42</f>
        <v>18.1</v>
      </c>
      <c r="I7" s="4" t="n">
        <f aca="false">Assumptions!I42</f>
        <v>18.2</v>
      </c>
      <c r="J7" s="4" t="n">
        <f aca="false">Assumptions!J42</f>
        <v>18.2</v>
      </c>
      <c r="K7" s="4" t="n">
        <f aca="false">Assumptions!K42</f>
        <v>18.2</v>
      </c>
      <c r="L7" s="4" t="n">
        <f aca="false">Assumptions!L42</f>
        <v>18.2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2542.619686125</v>
      </c>
      <c r="D8" s="0" t="n">
        <f aca="false">D6*D7/100</f>
        <v>2914.49832021825</v>
      </c>
      <c r="E8" s="0" t="n">
        <f aca="false">E6*E7/100</f>
        <v>3313.23029899658</v>
      </c>
      <c r="F8" s="0" t="n">
        <f aca="false">F6*F7/100</f>
        <v>3700.58590012926</v>
      </c>
      <c r="G8" s="0" t="n">
        <f aca="false">G6*G7/100</f>
        <v>4087.98437835994</v>
      </c>
      <c r="H8" s="0" t="n">
        <f aca="false">H6*H7/100</f>
        <v>4423.01639417301</v>
      </c>
      <c r="I8" s="0" t="n">
        <f aca="false">I6*I7/100</f>
        <v>4714.30012576717</v>
      </c>
      <c r="J8" s="0" t="n">
        <f aca="false">J6*J7/100</f>
        <v>4950.01513205553</v>
      </c>
      <c r="K8" s="0" t="n">
        <f aca="false">K6*K7/100</f>
        <v>5172.76581299803</v>
      </c>
      <c r="L8" s="0" t="n">
        <f aca="false">L6*L7/100</f>
        <v>5379.67644551795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-49.211993925</v>
      </c>
      <c r="D10" s="0" t="n">
        <f aca="false">-D6*D9/100</f>
        <v>-53.64107337825</v>
      </c>
      <c r="E10" s="0" t="n">
        <f aca="false">-E6*E9/100</f>
        <v>-58.4687699822925</v>
      </c>
      <c r="F10" s="0" t="n">
        <f aca="false">-F6*F9/100</f>
        <v>-63.4386154307874</v>
      </c>
      <c r="G10" s="0" t="n">
        <f aca="false">-G6*G9/100</f>
        <v>-68.5137046652504</v>
      </c>
      <c r="H10" s="0" t="n">
        <f aca="false">-H6*H9/100</f>
        <v>-73.3096639918179</v>
      </c>
      <c r="I10" s="0" t="n">
        <f aca="false">-I6*I9/100</f>
        <v>-77.708243831327</v>
      </c>
      <c r="J10" s="0" t="n">
        <f aca="false">-J6*J9/100</f>
        <v>-81.5936560228933</v>
      </c>
      <c r="K10" s="0" t="n">
        <f aca="false">-K6*K9/100</f>
        <v>-85.2653705439235</v>
      </c>
      <c r="L10" s="0" t="n">
        <f aca="false">-L6*L9/100</f>
        <v>-88.6759853656805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2286.717317715</v>
      </c>
      <c r="D11" s="0" t="n">
        <f aca="false">D8+D10+D24</f>
        <v>2637.35277443063</v>
      </c>
      <c r="E11" s="0" t="n">
        <f aca="false">E8+E10+E24</f>
        <v>3011.14165408806</v>
      </c>
      <c r="F11" s="0" t="n">
        <f aca="false">F8+F10+F24</f>
        <v>3372.81972040353</v>
      </c>
      <c r="G11" s="0" t="n">
        <f aca="false">G8+G10+G24</f>
        <v>3733.99690425614</v>
      </c>
      <c r="H11" s="0" t="n">
        <f aca="false">H8+H10+H24</f>
        <v>4044.24979688195</v>
      </c>
      <c r="I11" s="0" t="n">
        <f aca="false">I8+I10+I24</f>
        <v>4312.80753263865</v>
      </c>
      <c r="J11" s="0" t="n">
        <f aca="false">J8+J10+J24</f>
        <v>4528.44790927058</v>
      </c>
      <c r="K11" s="0" t="n">
        <f aca="false">K8+K10+K24</f>
        <v>4732.22806518776</v>
      </c>
      <c r="L11" s="0" t="n">
        <f aca="false">L8+L10+L24</f>
        <v>4921.51718779527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-656.159919</v>
      </c>
      <c r="D12" s="4" t="n">
        <f aca="false">-D6*Assumptions!D45/100</f>
        <v>-715.21431171</v>
      </c>
      <c r="E12" s="4" t="n">
        <f aca="false">-E6*Assumptions!E45/100</f>
        <v>-779.5835997639</v>
      </c>
      <c r="F12" s="4" t="n">
        <f aca="false">-F6*Assumptions!F45/100</f>
        <v>-845.848205743832</v>
      </c>
      <c r="G12" s="4" t="n">
        <f aca="false">-G6*Assumptions!G45/100</f>
        <v>-913.516062203338</v>
      </c>
      <c r="H12" s="4" t="n">
        <f aca="false">-H6*Assumptions!H45/100</f>
        <v>-977.462186557572</v>
      </c>
      <c r="I12" s="4" t="n">
        <f aca="false">-I6*Assumptions!I45/100</f>
        <v>-1036.10991775103</v>
      </c>
      <c r="J12" s="4" t="n">
        <f aca="false">-J6*Assumptions!J45/100</f>
        <v>-1087.91541363858</v>
      </c>
      <c r="K12" s="4" t="n">
        <f aca="false">-K6*Assumptions!K45/100</f>
        <v>-1136.87160725231</v>
      </c>
      <c r="L12" s="4" t="n">
        <f aca="false">-L6*Assumptions!L45/100</f>
        <v>-1182.34647154241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1630.557398715</v>
      </c>
      <c r="D13" s="0" t="n">
        <f aca="false">D11+D12</f>
        <v>1922.13846272063</v>
      </c>
      <c r="E13" s="0" t="n">
        <f aca="false">E11+E12</f>
        <v>2231.55805432416</v>
      </c>
      <c r="F13" s="0" t="n">
        <f aca="false">F11+F12</f>
        <v>2526.9715146597</v>
      </c>
      <c r="G13" s="0" t="n">
        <f aca="false">G11+G12</f>
        <v>2820.48084205281</v>
      </c>
      <c r="H13" s="0" t="n">
        <f aca="false">H11+H12</f>
        <v>3066.78761032438</v>
      </c>
      <c r="I13" s="0" t="n">
        <f aca="false">I11+I12</f>
        <v>3276.69761488762</v>
      </c>
      <c r="J13" s="0" t="n">
        <f aca="false">J11+J12</f>
        <v>3440.532495632</v>
      </c>
      <c r="K13" s="0" t="n">
        <f aca="false">K11+K12</f>
        <v>3595.35645793544</v>
      </c>
      <c r="L13" s="0" t="n">
        <f aca="false">L11+L12</f>
        <v>3739.17071625286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9</v>
      </c>
      <c r="D14" s="4" t="n">
        <f aca="false">Assumptions!D47</f>
        <v>9.5</v>
      </c>
      <c r="E14" s="4" t="n">
        <f aca="false">Assumptions!E47</f>
        <v>10</v>
      </c>
      <c r="F14" s="4" t="n">
        <f aca="false">Assumptions!F47</f>
        <v>10.5</v>
      </c>
      <c r="G14" s="4" t="n">
        <f aca="false">Assumptions!G47</f>
        <v>11</v>
      </c>
      <c r="H14" s="4" t="n">
        <f aca="false">Assumptions!H47</f>
        <v>12</v>
      </c>
      <c r="I14" s="4" t="n">
        <f aca="false">Assumptions!I47</f>
        <v>12</v>
      </c>
      <c r="J14" s="4" t="n">
        <f aca="false">Assumptions!J47</f>
        <v>12</v>
      </c>
      <c r="K14" s="4" t="n">
        <f aca="false">Assumptions!K47</f>
        <v>12</v>
      </c>
      <c r="L14" s="4" t="n">
        <f aca="false">Assumptions!L47</f>
        <v>12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1483.80723283065</v>
      </c>
      <c r="D15" s="0" t="n">
        <f aca="false">D13-MAX(0,D13)*D14/100</f>
        <v>1739.53530876217</v>
      </c>
      <c r="E15" s="0" t="n">
        <f aca="false">E13-MAX(0,E13)*E14/100</f>
        <v>2008.40224889175</v>
      </c>
      <c r="F15" s="0" t="n">
        <f aca="false">F13-MAX(0,F13)*F14/100</f>
        <v>2261.63950562043</v>
      </c>
      <c r="G15" s="0" t="n">
        <f aca="false">G13-MAX(0,G13)*G14/100</f>
        <v>2510.227949427</v>
      </c>
      <c r="H15" s="0" t="n">
        <f aca="false">H13-MAX(0,H13)*H14/100</f>
        <v>2698.77309708546</v>
      </c>
      <c r="I15" s="0" t="n">
        <f aca="false">I13-MAX(0,I13)*I14/100</f>
        <v>2883.49390110111</v>
      </c>
      <c r="J15" s="0" t="n">
        <f aca="false">J13-MAX(0,J13)*J14/100</f>
        <v>3027.66859615616</v>
      </c>
      <c r="K15" s="0" t="n">
        <f aca="false">K13-MAX(0,K13)*K14/100</f>
        <v>3163.91368298319</v>
      </c>
      <c r="L15" s="0" t="n">
        <f aca="false">L13-MAX(0,L13)*L14/100</f>
        <v>3290.47023030252</v>
      </c>
    </row>
    <row r="16" customFormat="false" ht="15" hidden="false" customHeight="false" outlineLevel="0" collapsed="false">
      <c r="A16" s="0" t="s">
        <v>118</v>
      </c>
      <c r="C16" s="0" t="n">
        <f aca="false">-C12</f>
        <v>656.159919</v>
      </c>
      <c r="D16" s="0" t="n">
        <f aca="false">-D12</f>
        <v>715.21431171</v>
      </c>
      <c r="E16" s="0" t="n">
        <f aca="false">-E12</f>
        <v>779.5835997639</v>
      </c>
      <c r="F16" s="0" t="n">
        <f aca="false">-F12</f>
        <v>845.848205743832</v>
      </c>
      <c r="G16" s="0" t="n">
        <f aca="false">-G12</f>
        <v>913.516062203338</v>
      </c>
      <c r="H16" s="0" t="n">
        <f aca="false">-H12</f>
        <v>977.462186557572</v>
      </c>
      <c r="I16" s="0" t="n">
        <f aca="false">-I12</f>
        <v>1036.10991775103</v>
      </c>
      <c r="J16" s="0" t="n">
        <f aca="false">-J12</f>
        <v>1087.91541363858</v>
      </c>
      <c r="K16" s="0" t="n">
        <f aca="false">-K12</f>
        <v>1136.87160725231</v>
      </c>
      <c r="L16" s="0" t="n">
        <f aca="false">-L12</f>
        <v>1182.34647154241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-656.159919</v>
      </c>
      <c r="D17" s="4" t="n">
        <f aca="false">-D6*Assumptions!D46/100</f>
        <v>-715.21431171</v>
      </c>
      <c r="E17" s="4" t="n">
        <f aca="false">-E6*Assumptions!E46/100</f>
        <v>-779.5835997639</v>
      </c>
      <c r="F17" s="4" t="n">
        <f aca="false">-F6*Assumptions!F46/100</f>
        <v>-845.848205743832</v>
      </c>
      <c r="G17" s="4" t="n">
        <f aca="false">-G6*Assumptions!G46/100</f>
        <v>-913.516062203338</v>
      </c>
      <c r="H17" s="4" t="n">
        <f aca="false">-H6*Assumptions!H46/100</f>
        <v>-977.462186557572</v>
      </c>
      <c r="I17" s="4" t="n">
        <f aca="false">-I6*Assumptions!I46/100</f>
        <v>-1036.10991775103</v>
      </c>
      <c r="J17" s="4" t="n">
        <f aca="false">-J6*Assumptions!J46/100</f>
        <v>-1087.91541363858</v>
      </c>
      <c r="K17" s="4" t="n">
        <f aca="false">-K6*Assumptions!K46/100</f>
        <v>-1136.87160725231</v>
      </c>
      <c r="L17" s="4" t="n">
        <f aca="false">-L6*Assumptions!L46/100</f>
        <v>-1182.34647154241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-160.2250965</v>
      </c>
      <c r="D18" s="4" t="n">
        <f aca="false">(D6-C6)*Assumptions!$B$51/100</f>
        <v>-206.690374485</v>
      </c>
      <c r="E18" s="4" t="n">
        <f aca="false">(E6-D6)*Assumptions!$B$51/100</f>
        <v>-225.29250818865</v>
      </c>
      <c r="F18" s="4" t="n">
        <f aca="false">(F6-E6)*Assumptions!$B$51/100</f>
        <v>-231.92612092976</v>
      </c>
      <c r="G18" s="4" t="n">
        <f aca="false">(G6-F6)*Assumptions!$B$51/100</f>
        <v>-236.837497608273</v>
      </c>
      <c r="H18" s="4" t="n">
        <f aca="false">(H6-G6)*Assumptions!$B$51/100</f>
        <v>-223.811435239818</v>
      </c>
      <c r="I18" s="4" t="n">
        <f aca="false">(I6-H6)*Assumptions!$B$51/100</f>
        <v>-205.26705917709</v>
      </c>
      <c r="J18" s="4" t="n">
        <f aca="false">(J6-I6)*Assumptions!$B$51/100</f>
        <v>-181.31923560643</v>
      </c>
      <c r="K18" s="4" t="n">
        <f aca="false">(K6-J6)*Assumptions!$B$51/100</f>
        <v>-171.346677648076</v>
      </c>
      <c r="L18" s="4" t="n">
        <f aca="false">(L6-K6)*Assumptions!$B$51/100</f>
        <v>-159.162025015324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1323.58213633065</v>
      </c>
      <c r="D19" s="0" t="n">
        <f aca="false">D15+D16+D17+D18</f>
        <v>1532.84493427717</v>
      </c>
      <c r="E19" s="0" t="n">
        <f aca="false">E15+E16+E17+E18</f>
        <v>1783.1097407031</v>
      </c>
      <c r="F19" s="0" t="n">
        <f aca="false">F15+F16+F17+F18</f>
        <v>2029.71338469067</v>
      </c>
      <c r="G19" s="0" t="n">
        <f aca="false">G15+G16+G17+G18</f>
        <v>2273.39045181872</v>
      </c>
      <c r="H19" s="0" t="n">
        <f aca="false">H15+H16+H17+H18</f>
        <v>2474.96166184564</v>
      </c>
      <c r="I19" s="0" t="n">
        <f aca="false">I15+I16+I17+I18</f>
        <v>2678.22684192402</v>
      </c>
      <c r="J19" s="0" t="n">
        <f aca="false">J15+J16+J17+J18</f>
        <v>2846.34936054973</v>
      </c>
      <c r="K19" s="0" t="n">
        <f aca="false">K15+K16+K17+K18</f>
        <v>2992.56700533511</v>
      </c>
      <c r="L19" s="0" t="n">
        <f aca="false">L15+L16+L17+L18</f>
        <v>3131.30820528719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1214.29553791803</v>
      </c>
      <c r="D21" s="0" t="n">
        <f aca="false">D19*D20</f>
        <v>1290.16491396109</v>
      </c>
      <c r="E21" s="0" t="n">
        <f aca="false">E19*E20</f>
        <v>1376.8878849069</v>
      </c>
      <c r="F21" s="0" t="n">
        <f aca="false">F19*F20</f>
        <v>1437.90013295134</v>
      </c>
      <c r="G21" s="0" t="n">
        <f aca="false">G19*G20</f>
        <v>1477.54780794797</v>
      </c>
      <c r="H21" s="0" t="n">
        <f aca="false">H19*H20</f>
        <v>1475.73877423724</v>
      </c>
      <c r="I21" s="0" t="n">
        <f aca="false">I19*I20</f>
        <v>1465.08179799101</v>
      </c>
      <c r="J21" s="0" t="n">
        <f aca="false">J19*J20</f>
        <v>1428.48676422806</v>
      </c>
      <c r="K21" s="0" t="n">
        <f aca="false">K19*K20</f>
        <v>1377.86098132019</v>
      </c>
      <c r="L21" s="0" t="n">
        <f aca="false">L19*L20</f>
        <v>1322.69842563445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1.26</v>
      </c>
      <c r="D23" s="4" t="n">
        <f aca="false">Assumptions!D44</f>
        <v>1.25</v>
      </c>
      <c r="E23" s="4" t="n">
        <f aca="false">Assumptions!E44</f>
        <v>1.25</v>
      </c>
      <c r="F23" s="4" t="n">
        <f aca="false">Assumptions!F44</f>
        <v>1.25</v>
      </c>
      <c r="G23" s="4" t="n">
        <f aca="false">Assumptions!G44</f>
        <v>1.25</v>
      </c>
      <c r="H23" s="4" t="n">
        <f aca="false">Assumptions!H44</f>
        <v>1.25</v>
      </c>
      <c r="I23" s="4" t="n">
        <f aca="false">Assumptions!I44</f>
        <v>1.25</v>
      </c>
      <c r="J23" s="4" t="n">
        <f aca="false">Assumptions!J44</f>
        <v>1.25</v>
      </c>
      <c r="K23" s="4" t="n">
        <f aca="false">Assumptions!K44</f>
        <v>1.25</v>
      </c>
      <c r="L23" s="4" t="n">
        <f aca="false">Assumptions!L44</f>
        <v>1.25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-206.690374485</v>
      </c>
      <c r="D24" s="0" t="n">
        <f aca="false">-D6*D23/100</f>
        <v>-223.504472409375</v>
      </c>
      <c r="E24" s="0" t="n">
        <f aca="false">-E6*E23/100</f>
        <v>-243.619874926219</v>
      </c>
      <c r="F24" s="0" t="n">
        <f aca="false">-F6*F23/100</f>
        <v>-264.327564294947</v>
      </c>
      <c r="G24" s="0" t="n">
        <f aca="false">-G6*G23/100</f>
        <v>-285.473769438543</v>
      </c>
      <c r="H24" s="0" t="n">
        <f aca="false">-H6*H23/100</f>
        <v>-305.456933299241</v>
      </c>
      <c r="I24" s="0" t="n">
        <f aca="false">-I6*I23/100</f>
        <v>-323.784349297196</v>
      </c>
      <c r="J24" s="0" t="n">
        <f aca="false">-J6*J23/100</f>
        <v>-339.973566762056</v>
      </c>
      <c r="K24" s="0" t="n">
        <f aca="false">-K6*K23/100</f>
        <v>-355.272377266348</v>
      </c>
      <c r="L24" s="0" t="n">
        <f aca="false">-L6*L23/100</f>
        <v>-369.483272357002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13866.6630210963</v>
      </c>
    </row>
    <row r="31" customFormat="false" ht="15" hidden="false" customHeight="false" outlineLevel="0" collapsed="false">
      <c r="A31" s="0" t="s">
        <v>127</v>
      </c>
      <c r="B31" s="0" t="n">
        <f aca="false">L19</f>
        <v>3131.30820528719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53754.1241907635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56363.5476951695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53754.1241907635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22706.3229733915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36572.9859944877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37639.4859944877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161.181213913203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0.264166383632963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428.803148637265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643.023756108417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165.771031150267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26877.0620953817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77.5739621306149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68.3609585698363</v>
      </c>
      <c r="C4" s="0" t="n">
        <f aca="false">B4/Assumptions!$B$2-1</f>
        <v>-0.463835619060107</v>
      </c>
      <c r="D4" s="4" t="n">
        <f aca="false">Assumptions!$B$24</f>
        <v>0.2</v>
      </c>
      <c r="E4" s="4" t="n">
        <f aca="false">DCF_Bear!$B$43</f>
        <v>71.3893504884141</v>
      </c>
      <c r="F4" s="4" t="n">
        <f aca="false">DCF_Bear!$B$47</f>
        <v>40.8490915108144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119.709011658288</v>
      </c>
      <c r="C5" s="0" t="n">
        <f aca="false">B5/Assumptions!$B$2-1</f>
        <v>-0.0611057909153901</v>
      </c>
      <c r="D5" s="4" t="n">
        <f aca="false">Assumptions!$B$38</f>
        <v>0.5</v>
      </c>
      <c r="E5" s="4" t="n">
        <f aca="false">DCF_Base!$B$43</f>
        <v>123.65016322112</v>
      </c>
      <c r="F5" s="4" t="n">
        <f aca="false">DCF_Base!$B$47</f>
        <v>61.8068517338416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161.181213913203</v>
      </c>
      <c r="C6" s="0" t="n">
        <f aca="false">B6/Assumptions!$B$2-1</f>
        <v>0.264166383632963</v>
      </c>
      <c r="D6" s="4" t="n">
        <f aca="false">Assumptions!$B$52</f>
        <v>0.3</v>
      </c>
      <c r="E6" s="4" t="n">
        <f aca="false">DCF_Bull!$B$43</f>
        <v>165.771031150267</v>
      </c>
      <c r="F6" s="4" t="n">
        <f aca="false">DCF_Bull!$B$47</f>
        <v>77.5739621306149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121.881061717072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125.834261053323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-0.0461018160144642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142.136477445041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62.3454328082681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119.709011658288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103.52115262663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91.1824558179467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81.4748431422138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61.8068517338416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139.514965034154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139.514965034154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139.514965034154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139.514965034154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139.514965034154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127.877312741071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129.656293076282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129.656293076282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129.656293076282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129.656293076282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110.277768354399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114.656559888348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119.709011658288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120.682419797451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120.682419797451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96.8780999727109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99.9920309042356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103.52115262663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107.554434595081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112.208221481755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86.3481656974421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88.6310249210138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91.1824558179467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94.0528155769963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97.3058899705858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2026-10-11T03:44:42Z</dcterms:created>
  <dc:creator>openpyxl</dc:creator>
  <dc:description/>
  <dc:language>en-NZ</dc:language>
  <cp:lastModifiedBy/>
  <dcterms:modified xsi:type="dcterms:W3CDTF">2026-10-11T03:44:42Z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