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<sst xmlns="http://schemas.openxmlformats.org/spreadsheetml/2006/main" count="364" uniqueCount="167">
  <si>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</si>
  <si>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V03.SI</t>
  </si>
  <si>
    <t xml:space="preserve">Company</t>
  </si>
  <si>
    <t xml:space="preserve">Venture Corporation Limited</t>
  </si>
  <si>
    <t xml:space="preserve">Valuation date</t>
  </si>
  <si>
    <t xml:space="preserve">2026-10-24</t>
  </si>
  <si>
    <t xml:space="preserve">Current price</t>
  </si>
  <si>
    <t xml:space="preserve">Price as of</t>
  </si>
  <si>
    <t xml:space="preserve">2026-10-23T09:11:48Z (SGX regular close, Yahoo chart API)</t>
  </si>
  <si>
    <t xml:space="preserve">Balance sheet date</t>
  </si>
  <si>
    <t xml:space="preserve">2026-06-30</t>
  </si>
  <si>
    <t xml:space="preserve">Model</t>
  </si>
  <si>
    <t xml:space="preserve">owner_fcf_dcf_component</t>
  </si>
  <si>
    <t xml:space="preserve">Currency (model)</t>
  </si>
  <si>
    <t xml:space="preserve">SGD</t>
  </si>
  <si>
    <t xml:space="preserve">Currency (quote)</t>
  </si>
  <si>
    <t xml:space="preserve">Units</t>
  </si>
  <si>
    <t xml:space="preserve">millions</t>
  </si>
  <si>
    <t xml:space="preserve">Engine</t>
  </si>
  <si>
    <t xml:space="preserve">dcf_engine v1</t>
  </si>
  <si>
    <t xml:space="preserve">Built at</t>
  </si>
  <si>
    <t xml:space="preserve">2026-10-24T10:24:10Z</t>
  </si>
  <si>
    <t xml:space="preserve">Drivers file</t>
  </si>
  <si>
    <t xml:space="preserve">V03.SI_Drivers.json</t>
  </si>
  <si>
    <t xml:space="preserve">Convention</t>
  </si>
  <si>
    <t xml:space="preserve">Percents stored as percents; formulas divide by 100. Blue = input, green = link, black = formula.</t>
  </si>
  <si>
    <t xml:space="preserve">Methodology</t>
  </si>
  <si>
    <t xml:space="preserve">summary: Mid-cycle owner-FCF DCF of a high-mix EMS/ODM specialist. The operating business is valued on component-built flows from the FY2025 trough-ish base, with no interest income. The S$1.15bn net cash, quoted equity stakes and associate are added at book or fair value, and the September interim dividend and NCI are deducted. The terminal value is capped at 14x (cyclical); Gordon at 8.5%/2% would be ~15.7x. A single negative half (H1 FY2026 FCF -S$0.9m on an inventory pre-build) is treated as working-capital timing, not a new base.
key_risks_to_valuation: AI/data-centre capex reversal hitting Portfolio B, ~69% of revenue; Single-customer concentration in Lifestyle Consumer and per-domain concentration generally; US tariff policy on Malaysia-sourced electronics vs ~80% Malaysian capacity; S$897m inventory: write-down risk if 2H shipments slip; Terminal value dominance: cap multiple and the 12% mature EBITDA margin drive most of the value; Cash treated as fully excess; if ~S$200-300m is really operating liquidity for an EMS, value falls ~S$0.7-1.0/share</t>
  </si>
  <si>
    <t xml:space="preserve">Data sources</t>
  </si>
  <si>
    <t xml:space="preserve">price: Yahoo Finance chart API at inputs.price_as_of; 52-week range 14.41-18.75
financials: V03.SI_Metrics.csv / core_metrics (FY2015-FY2025, H1 FY2026); FY2025 Annual Report (cash flow lines 5185-5236, EPS note line 8581); H1 FY2026 condensed interim financial statements (balance sheet, cash flow, notes 4, 6, 7)
qualitative: V03.SI_Analysis.json (2026-10-24); H1 FY2026 results press release and presentation (6 Aug 2026)</t>
  </si>
  <si>
    <t xml:space="preserve">Scenario narrative: bear</t>
  </si>
  <si>
    <t xml:space="preserve">The AI cycle turns in FY2027 and hyperscale capex pauses. Customer concentration bites: the key Lifestyle Consumer customer keeps cutting replacement volumes, and another domain loses a programme to a scale peer (Flex/Jabil/Celestica). US tariffs on Malaysian-sourced electronics (19%) cannot be fully passed through, and part of the S$897m inventory is written down. Revenue grows 5% in FY2026, falls 4% and 2% in FY2027-28, and recovers only slowly. EBITDA margin settles at 10%, below any year in the decade. Falling working capital releases cash in the down years. Interest income is outside the flows, so a lower rate path does not change this value.</t>
  </si>
  <si>
    <t xml:space="preserve">Scenario narrative: base</t>
  </si>
  <si>
    <t xml:space="preserve">Venture's two swing axes are AI/data-centre infrastructure demand (Portfolio B, ~69% of revenue) and the product cycle of its key Lifestyle Consumer customer. The base case takes management's 'new shoots taking root' at face value for FY2026 (+9%: H1 +7.4%, 2Q +12.5%) and FY2027 (+8%), then decelerates to 2.5%. Revenue reaches ~S$3.5bn by FY2029, back inside the FY2017-22 range rather than above it. EBITDA margin climbs from 11.05% to its 12% decade median on volume, not price, because Venture has limited pricing power against Fortune-500 OEMs. Growth uses cash: net working capital runs ~25% of incremental revenue. The S$1.15bn net cash is valued at book and its interest is excluded from the flows.</t>
  </si>
  <si>
    <t xml:space="preserve">Scenario narrative: bull</t>
  </si>
  <si>
    <t xml:space="preserve">The AI capex supercycle runs through FY2028. Test &amp; Measurement and Networking design wins scale, the H1 FY2026 inventory build converts into 2H shipments, and the Lifestyle Consumer co-developed products launch. Tariff-driven diversification out of China favours Venture's Malaysia/Singapore footprint. Revenue grows 12% in each of FY2026-27 and passes S$4bn by FY2029. Operating leverage restores the FY2018-20 13% EBITDA margin, with capex lifted to 1.4% of revenue for capacity.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</si>
  <si>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</si>
  <si>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</si>
  <si>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</si>
  <si>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</si>
  <si>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</si>
  <si>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</si>
  <si>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</si>
  <si>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</si>
  <si>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</si>
  <si>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</si>
  <si>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</si>
  <si>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</si>
  <si>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</si>
  <si>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</si>
  <si>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</si>
  <si>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</si>
  <si>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</si>
  <si>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</si>
  <si>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</si>
  <si>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</si>
  <si>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</si>
  <si>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</si>
  <si>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</si>
  <si>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</si>
  <si>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</si>
  <si>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</si>
  <si>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</si>
  <si>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EPSDiluted</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</si>
  <si>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</si>
  <si>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</si>
  <si>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</si>
  <si>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</si>
  <si>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</si>
  <si>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</si>
  <si>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</si>
  <si>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</si>
  <si>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</si>
  <si>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</si>
  <si>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</si>
  <si>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</si>
  <si>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</si>
  <si>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</si>
  <si>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</si>
  <si>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</si>
  <si>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</si>
  <si>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</si>
  <si>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</si>
  <si>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</si>
  <si>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</si>
  <si>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SGD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</si>
  <si>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</si>
  <si>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</si>
  <si>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</si>
  <si>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</si>
  <si>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</si>
  <si>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</si>
  <si>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</si>
  <si>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</si>
  <si>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</si>
  <si>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</si>
  <si>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</si>
  <si>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</si>
  <si>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</si>
  <si>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</si>
  <si>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</si>
  <si>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</si>
  <si>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</si>
  <si>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</si>
  <si>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</si>
  <si>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</si>
  <si>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</si>
  <si>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</si>
  <si>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</si>
  <si>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</si>
  <si>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</si>
  <si>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</si>
  <si>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V03.SI owner-FCF component DCF: bear case (millions, SGD)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</si>
  <si>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</si>
  <si>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</si>
  <si>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</si>
  <si>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</si>
  <si>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</si>
  <si>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</si>
  <si>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</si>
  <si>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</si>
  <si>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</si>
  <si>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</si>
  <si>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</si>
  <si>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</si>
  <si>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</si>
  <si>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</si>
  <si>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</si>
  <si>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</si>
  <si>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</si>
  <si>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</si>
  <si>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</si>
  <si>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</si>
  <si>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</si>
  <si>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</si>
  <si>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</si>
  <si>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</si>
  <si>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</si>
  <si>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</si>
  <si>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</si>
  <si>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</si>
  <si>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</si>
  <si>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</si>
  <si>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V03.SI owner-FCF component DCF: base case (millions, SGD)</t>
  </si>
  <si>
    <t xml:space="preserve">V03.SI owner-FCF component DCF: bull case (millions, SGD)</t>
  </si>
  <si>
    <t xml:space="preserve">V03.SI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</si>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</sst>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15.38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2656.502</v>
      </c>
      <c r="F2" s="0" t="n">
        <v>177.669</v>
      </c>
      <c r="G2" s="0" t="n">
        <v>6.7</v>
      </c>
      <c r="I2" s="0" t="n">
        <v>153.988</v>
      </c>
      <c r="J2" s="0" t="n">
        <v>5.8</v>
      </c>
      <c r="K2" s="0" t="n">
        <v>0.558</v>
      </c>
      <c r="L2" s="0" t="n">
        <v>233.877</v>
      </c>
      <c r="M2" s="0" t="n">
        <v>14.987</v>
      </c>
      <c r="N2" s="0" t="n">
        <v>218.89</v>
      </c>
      <c r="O2" s="0" t="n">
        <v>1893.225</v>
      </c>
      <c r="P2" s="0" t="n">
        <v>2528.317</v>
      </c>
      <c r="Q2" s="0" t="n">
        <v>632.508</v>
      </c>
      <c r="R2" s="0" t="n">
        <v>135.017</v>
      </c>
      <c r="S2" s="0" t="n">
        <v>433.154</v>
      </c>
      <c r="T2" s="0" t="n">
        <v>276.957</v>
      </c>
      <c r="U2" s="0" t="n">
        <v>0.942</v>
      </c>
      <c r="AA2" s="0" t="s">
        <v>17</v>
      </c>
      <c r="AB2" s="0" t="s">
        <v>14</v>
      </c>
      <c r="AC2" s="0" t="n">
        <v>0.556</v>
      </c>
    </row>
    <row r="3" customFormat="false" ht="15" hidden="false" customHeight="false" outlineLevel="0" collapsed="false">
      <c r="A3" s="0" t="s">
        <v>65</v>
      </c>
      <c r="B3" s="0" t="n">
        <v>2874.219</v>
      </c>
      <c r="F3" s="0" t="n">
        <v>210.737</v>
      </c>
      <c r="G3" s="0" t="n">
        <v>7.3</v>
      </c>
      <c r="H3" s="0" t="n">
        <v>257.143</v>
      </c>
      <c r="I3" s="0" t="n">
        <v>180.678</v>
      </c>
      <c r="J3" s="0" t="n">
        <v>6.3</v>
      </c>
      <c r="K3" s="0" t="n">
        <v>0.652</v>
      </c>
      <c r="L3" s="0" t="n">
        <v>231.312</v>
      </c>
      <c r="M3" s="0" t="n">
        <v>33.506</v>
      </c>
      <c r="N3" s="0" t="n">
        <v>197.806</v>
      </c>
      <c r="O3" s="0" t="n">
        <v>1960.115</v>
      </c>
      <c r="P3" s="0" t="n">
        <v>2758.522</v>
      </c>
      <c r="Q3" s="0" t="n">
        <v>795.988</v>
      </c>
      <c r="R3" s="0" t="n">
        <v>92.641</v>
      </c>
      <c r="S3" s="0" t="n">
        <v>474.728</v>
      </c>
      <c r="T3" s="0" t="n">
        <v>278.824</v>
      </c>
      <c r="U3" s="0" t="n">
        <v>1.235</v>
      </c>
      <c r="AA3" s="0" t="s">
        <v>17</v>
      </c>
      <c r="AB3" s="0" t="s">
        <v>14</v>
      </c>
      <c r="AC3" s="0" t="n">
        <v>0.648</v>
      </c>
    </row>
    <row r="4" customFormat="false" ht="15" hidden="false" customHeight="false" outlineLevel="0" collapsed="false">
      <c r="A4" s="0" t="s">
        <v>66</v>
      </c>
      <c r="B4" s="0" t="n">
        <v>4004.539</v>
      </c>
      <c r="F4" s="0" t="n">
        <v>439.287</v>
      </c>
      <c r="G4" s="0" t="n">
        <v>11</v>
      </c>
      <c r="H4" s="0" t="n">
        <v>470.343</v>
      </c>
      <c r="I4" s="0" t="n">
        <v>372.819</v>
      </c>
      <c r="J4" s="0" t="n">
        <v>9.3</v>
      </c>
      <c r="K4" s="0" t="n">
        <v>1.322</v>
      </c>
      <c r="L4" s="0" t="n">
        <v>448.528</v>
      </c>
      <c r="M4" s="0" t="n">
        <v>36.966</v>
      </c>
      <c r="N4" s="0" t="n">
        <v>411.562</v>
      </c>
      <c r="O4" s="0" t="n">
        <v>2165.75</v>
      </c>
      <c r="P4" s="0" t="n">
        <v>3144.205</v>
      </c>
      <c r="Q4" s="0" t="n">
        <v>976.141</v>
      </c>
      <c r="R4" s="0" t="n">
        <v>30.828</v>
      </c>
      <c r="S4" s="0" t="n">
        <v>752.447</v>
      </c>
      <c r="T4" s="0" t="n">
        <v>286.784</v>
      </c>
      <c r="U4" s="0" t="n">
        <v>1.696</v>
      </c>
      <c r="AA4" s="0" t="s">
        <v>17</v>
      </c>
      <c r="AB4" s="0" t="s">
        <v>14</v>
      </c>
      <c r="AC4" s="0" t="n">
        <v>1.3</v>
      </c>
    </row>
    <row r="5" customFormat="false" ht="15" hidden="false" customHeight="false" outlineLevel="0" collapsed="false">
      <c r="A5" s="0" t="s">
        <v>67</v>
      </c>
      <c r="B5" s="0" t="n">
        <v>3484.603</v>
      </c>
      <c r="F5" s="0" t="n">
        <v>424.799</v>
      </c>
      <c r="G5" s="0" t="n">
        <v>12.2</v>
      </c>
      <c r="H5" s="0" t="n">
        <v>455.525</v>
      </c>
      <c r="I5" s="0" t="n">
        <v>370.062</v>
      </c>
      <c r="J5" s="0" t="n">
        <v>10.6</v>
      </c>
      <c r="K5" s="0" t="n">
        <v>1.288</v>
      </c>
      <c r="L5" s="0" t="n">
        <v>254.224</v>
      </c>
      <c r="M5" s="0" t="n">
        <v>58.846</v>
      </c>
      <c r="N5" s="0" t="n">
        <v>195.378</v>
      </c>
      <c r="O5" s="0" t="n">
        <v>2349.866</v>
      </c>
      <c r="P5" s="0" t="n">
        <v>3204.597</v>
      </c>
      <c r="Q5" s="0" t="n">
        <v>852.498</v>
      </c>
      <c r="R5" s="0" t="n">
        <v>1.798</v>
      </c>
      <c r="S5" s="0" t="n">
        <v>712.826</v>
      </c>
      <c r="T5" s="0" t="n">
        <v>290.701</v>
      </c>
      <c r="U5" s="0" t="n">
        <v>1.56</v>
      </c>
      <c r="AA5" s="0" t="s">
        <v>17</v>
      </c>
      <c r="AB5" s="0" t="s">
        <v>14</v>
      </c>
      <c r="AC5" s="0" t="n">
        <v>1.273</v>
      </c>
    </row>
    <row r="6" customFormat="false" ht="15" hidden="false" customHeight="false" outlineLevel="0" collapsed="false">
      <c r="A6" s="0" t="s">
        <v>68</v>
      </c>
      <c r="B6" s="0" t="n">
        <v>3633.431</v>
      </c>
      <c r="F6" s="0" t="n">
        <v>409.506</v>
      </c>
      <c r="G6" s="0" t="n">
        <v>11.3</v>
      </c>
      <c r="H6" s="0" t="n">
        <v>448.198</v>
      </c>
      <c r="I6" s="0" t="n">
        <v>363.13</v>
      </c>
      <c r="J6" s="0" t="n">
        <v>10</v>
      </c>
      <c r="K6" s="0" t="n">
        <v>1.26</v>
      </c>
      <c r="L6" s="0" t="n">
        <v>229.701</v>
      </c>
      <c r="M6" s="0" t="n">
        <v>35.191</v>
      </c>
      <c r="N6" s="0" t="n">
        <v>194.51</v>
      </c>
      <c r="O6" s="0" t="n">
        <v>2496.198</v>
      </c>
      <c r="P6" s="0" t="n">
        <v>3274.245</v>
      </c>
      <c r="Q6" s="0" t="n">
        <v>775.652</v>
      </c>
      <c r="R6" s="0" t="n">
        <v>28.977</v>
      </c>
      <c r="S6" s="0" t="n">
        <v>714.467</v>
      </c>
      <c r="T6" s="0" t="n">
        <v>289.808</v>
      </c>
      <c r="U6" s="0" t="n">
        <v>1.61</v>
      </c>
      <c r="AA6" s="0" t="s">
        <v>17</v>
      </c>
      <c r="AB6" s="0" t="s">
        <v>14</v>
      </c>
      <c r="AC6" s="0" t="n">
        <v>1.253</v>
      </c>
    </row>
    <row r="7" customFormat="false" ht="15" hidden="false" customHeight="false" outlineLevel="0" collapsed="false">
      <c r="A7" s="0" t="s">
        <v>69</v>
      </c>
      <c r="B7" s="0" t="n">
        <v>3012.894</v>
      </c>
      <c r="F7" s="0" t="n">
        <v>337.102</v>
      </c>
      <c r="G7" s="0" t="n">
        <v>11.2</v>
      </c>
      <c r="H7" s="0" t="n">
        <v>378.709</v>
      </c>
      <c r="I7" s="0" t="n">
        <v>297.325</v>
      </c>
      <c r="J7" s="0" t="n">
        <v>9.9</v>
      </c>
      <c r="K7" s="0" t="n">
        <v>1.028</v>
      </c>
      <c r="L7" s="0" t="n">
        <v>453.15</v>
      </c>
      <c r="M7" s="0" t="n">
        <v>28.046</v>
      </c>
      <c r="N7" s="0" t="n">
        <v>425.104</v>
      </c>
      <c r="O7" s="0" t="n">
        <v>2586.45</v>
      </c>
      <c r="P7" s="0" t="n">
        <v>3239.567</v>
      </c>
      <c r="Q7" s="0" t="n">
        <v>650.438</v>
      </c>
      <c r="R7" s="0" t="n">
        <v>20.95</v>
      </c>
      <c r="S7" s="0" t="n">
        <v>928.74</v>
      </c>
      <c r="T7" s="0" t="n">
        <v>290.925</v>
      </c>
      <c r="U7" s="0" t="n">
        <v>2.072</v>
      </c>
      <c r="AA7" s="0" t="s">
        <v>17</v>
      </c>
      <c r="AB7" s="0" t="s">
        <v>14</v>
      </c>
      <c r="AC7" s="0" t="n">
        <v>1.022</v>
      </c>
    </row>
    <row r="8" customFormat="false" ht="15" hidden="false" customHeight="false" outlineLevel="0" collapsed="false">
      <c r="A8" s="0" t="s">
        <v>70</v>
      </c>
      <c r="B8" s="0" t="n">
        <v>3107.457</v>
      </c>
      <c r="F8" s="0" t="n">
        <v>353.043</v>
      </c>
      <c r="G8" s="0" t="n">
        <v>11.4</v>
      </c>
      <c r="H8" s="0" t="n">
        <v>389.922</v>
      </c>
      <c r="I8" s="0" t="n">
        <v>312.051</v>
      </c>
      <c r="J8" s="0" t="n">
        <v>10</v>
      </c>
      <c r="K8" s="0" t="n">
        <v>1.075</v>
      </c>
      <c r="L8" s="0" t="n">
        <v>101.835</v>
      </c>
      <c r="M8" s="0" t="n">
        <v>11.36</v>
      </c>
      <c r="N8" s="0" t="n">
        <v>90.475</v>
      </c>
      <c r="O8" s="0" t="n">
        <v>2716.352</v>
      </c>
      <c r="P8" s="0" t="n">
        <v>3635.261</v>
      </c>
      <c r="Q8" s="0" t="n">
        <v>915.811</v>
      </c>
      <c r="R8" s="0" t="n">
        <v>13.531</v>
      </c>
      <c r="S8" s="0" t="n">
        <v>807.934</v>
      </c>
      <c r="T8" s="0" t="n">
        <v>291.636</v>
      </c>
      <c r="U8" s="0" t="n">
        <v>1.958</v>
      </c>
      <c r="AA8" s="0" t="s">
        <v>17</v>
      </c>
      <c r="AB8" s="0" t="s">
        <v>14</v>
      </c>
      <c r="AC8" s="0" t="n">
        <v>1.07</v>
      </c>
    </row>
    <row r="9" customFormat="false" ht="15" hidden="false" customHeight="false" outlineLevel="0" collapsed="false">
      <c r="A9" s="0" t="s">
        <v>71</v>
      </c>
      <c r="B9" s="0" t="n">
        <v>3863.721</v>
      </c>
      <c r="F9" s="0" t="n">
        <v>439.86</v>
      </c>
      <c r="G9" s="0" t="n">
        <v>11.4</v>
      </c>
      <c r="H9" s="0" t="n">
        <v>472.711</v>
      </c>
      <c r="I9" s="0" t="n">
        <v>369.617</v>
      </c>
      <c r="J9" s="0" t="n">
        <v>9.6</v>
      </c>
      <c r="K9" s="0" t="n">
        <v>1.271</v>
      </c>
      <c r="L9" s="0" t="n">
        <v>269.085</v>
      </c>
      <c r="M9" s="0" t="n">
        <v>33.596</v>
      </c>
      <c r="N9" s="0" t="n">
        <v>235.489</v>
      </c>
      <c r="O9" s="0" t="n">
        <v>2839.684</v>
      </c>
      <c r="P9" s="0" t="n">
        <v>3751.403</v>
      </c>
      <c r="Q9" s="0" t="n">
        <v>908.512</v>
      </c>
      <c r="R9" s="0" t="n">
        <v>24.285</v>
      </c>
      <c r="S9" s="0" t="n">
        <v>812.593</v>
      </c>
      <c r="T9" s="0" t="n">
        <v>291.496</v>
      </c>
      <c r="U9" s="0" t="n">
        <v>1.008</v>
      </c>
      <c r="AA9" s="0" t="s">
        <v>17</v>
      </c>
      <c r="AB9" s="0" t="s">
        <v>14</v>
      </c>
      <c r="AC9" s="0" t="n">
        <v>1.268</v>
      </c>
    </row>
    <row r="10" customFormat="false" ht="15" hidden="false" customHeight="false" outlineLevel="0" collapsed="false">
      <c r="A10" s="0" t="s">
        <v>72</v>
      </c>
      <c r="B10" s="0" t="n">
        <v>3025.028</v>
      </c>
      <c r="F10" s="0" t="n">
        <v>303.085</v>
      </c>
      <c r="G10" s="0" t="n">
        <v>10</v>
      </c>
      <c r="H10" s="0" t="n">
        <v>334.566</v>
      </c>
      <c r="I10" s="0" t="n">
        <v>270.017</v>
      </c>
      <c r="J10" s="0" t="n">
        <v>8.9</v>
      </c>
      <c r="K10" s="0" t="n">
        <v>0.928</v>
      </c>
      <c r="L10" s="0" t="n">
        <v>521.418</v>
      </c>
      <c r="M10" s="0" t="n">
        <v>47.918</v>
      </c>
      <c r="N10" s="0" t="n">
        <v>473.5</v>
      </c>
      <c r="O10" s="0" t="n">
        <v>2834.107</v>
      </c>
      <c r="P10" s="0" t="n">
        <v>3554.783</v>
      </c>
      <c r="Q10" s="0" t="n">
        <v>716.929</v>
      </c>
      <c r="R10" s="0" t="n">
        <v>27.526</v>
      </c>
      <c r="S10" s="0" t="n">
        <v>1056.303</v>
      </c>
      <c r="T10" s="0" t="n">
        <v>291.595</v>
      </c>
      <c r="U10" s="0" t="n">
        <v>2.148</v>
      </c>
      <c r="AA10" s="0" t="s">
        <v>17</v>
      </c>
      <c r="AB10" s="0" t="s">
        <v>14</v>
      </c>
      <c r="AC10" s="0" t="n">
        <v>0.926</v>
      </c>
    </row>
    <row r="11" customFormat="false" ht="15" hidden="false" customHeight="false" outlineLevel="0" collapsed="false">
      <c r="A11" s="0" t="s">
        <v>73</v>
      </c>
      <c r="B11" s="0" t="n">
        <v>2735.927</v>
      </c>
      <c r="F11" s="0" t="n">
        <v>264.919</v>
      </c>
      <c r="G11" s="0" t="n">
        <v>9.7</v>
      </c>
      <c r="H11" s="0" t="n">
        <v>297.694</v>
      </c>
      <c r="I11" s="0" t="n">
        <v>245.029</v>
      </c>
      <c r="J11" s="0" t="n">
        <v>9</v>
      </c>
      <c r="K11" s="0" t="n">
        <v>0.845</v>
      </c>
      <c r="L11" s="0" t="n">
        <v>482.51</v>
      </c>
      <c r="M11" s="0" t="n">
        <v>16.772</v>
      </c>
      <c r="N11" s="0" t="n">
        <v>465.738</v>
      </c>
      <c r="O11" s="0" t="n">
        <v>2889.813</v>
      </c>
      <c r="P11" s="0" t="n">
        <v>3699.946</v>
      </c>
      <c r="Q11" s="0" t="n">
        <v>805.622</v>
      </c>
      <c r="R11" s="0" t="n">
        <v>30.253</v>
      </c>
      <c r="S11" s="0" t="n">
        <v>1316.706</v>
      </c>
      <c r="T11" s="0" t="n">
        <v>290.319</v>
      </c>
      <c r="U11" s="0" t="n">
        <v>1.669</v>
      </c>
      <c r="AA11" s="0" t="s">
        <v>17</v>
      </c>
      <c r="AB11" s="0" t="s">
        <v>14</v>
      </c>
      <c r="AC11" s="0" t="n">
        <v>0.844</v>
      </c>
    </row>
    <row r="12" customFormat="false" ht="15" hidden="false" customHeight="false" outlineLevel="0" collapsed="false">
      <c r="A12" s="0" t="s">
        <v>74</v>
      </c>
      <c r="B12" s="0" t="n">
        <v>2534.517</v>
      </c>
      <c r="F12" s="0" t="n">
        <v>246.069</v>
      </c>
      <c r="G12" s="0" t="n">
        <v>9.7</v>
      </c>
      <c r="H12" s="0" t="n">
        <v>279.953</v>
      </c>
      <c r="I12" s="0" t="n">
        <v>226.958</v>
      </c>
      <c r="J12" s="0" t="n">
        <v>9</v>
      </c>
      <c r="K12" s="0" t="n">
        <v>0.788</v>
      </c>
      <c r="L12" s="0" t="n">
        <v>251.535</v>
      </c>
      <c r="M12" s="0" t="n">
        <v>28.061</v>
      </c>
      <c r="N12" s="0" t="n">
        <v>223.474</v>
      </c>
      <c r="O12" s="0" t="n">
        <v>2792.741</v>
      </c>
      <c r="P12" s="0" t="n">
        <v>3602.219</v>
      </c>
      <c r="Q12" s="0" t="n">
        <v>804.386</v>
      </c>
      <c r="R12" s="0" t="n">
        <v>19.633</v>
      </c>
      <c r="S12" s="0" t="n">
        <v>1283.57</v>
      </c>
      <c r="T12" s="0" t="n">
        <v>288.384</v>
      </c>
      <c r="U12" s="0" t="n">
        <v>1.724</v>
      </c>
      <c r="AA12" s="0" t="s">
        <v>17</v>
      </c>
      <c r="AB12" s="0" t="s">
        <v>14</v>
      </c>
      <c r="AC12" s="0" t="n">
        <v>0.787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15.38</v>
      </c>
    </row>
    <row r="3" customFormat="false" ht="15" hidden="false" customHeight="false" outlineLevel="0" collapsed="false">
      <c r="A3" s="0" t="s">
        <v>78</v>
      </c>
      <c r="B3" s="3" t="n">
        <v>288</v>
      </c>
    </row>
    <row r="4" customFormat="false" ht="15" hidden="false" customHeight="false" outlineLevel="0" collapsed="false">
      <c r="A4" s="0" t="s">
        <v>79</v>
      </c>
      <c r="B4" s="3" t="n">
        <v>-1145.966</v>
      </c>
    </row>
    <row r="5" customFormat="false" ht="15" hidden="false" customHeight="false" outlineLevel="0" collapsed="false">
      <c r="A5" s="0" t="s">
        <v>80</v>
      </c>
      <c r="B5" s="3" t="n">
        <v>-45.858</v>
      </c>
    </row>
    <row r="6" customFormat="false" ht="15" hidden="false" customHeight="false" outlineLevel="0" collapsed="false">
      <c r="A6" s="0" t="s">
        <v>81</v>
      </c>
      <c r="B6" s="3" t="n">
        <v>15</v>
      </c>
    </row>
    <row r="7" customFormat="false" ht="15" hidden="false" customHeight="false" outlineLevel="0" collapsed="false">
      <c r="A7" s="0" t="s">
        <v>82</v>
      </c>
      <c r="B7" s="3" t="n">
        <v>2534.517</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5</v>
      </c>
      <c r="D13" s="3" t="n">
        <v>-4</v>
      </c>
      <c r="E13" s="3" t="n">
        <v>-2</v>
      </c>
      <c r="F13" s="3" t="n">
        <v>2</v>
      </c>
      <c r="G13" s="3" t="n">
        <v>3</v>
      </c>
      <c r="H13" s="3" t="n">
        <v>3</v>
      </c>
      <c r="I13" s="3" t="n">
        <v>2.5</v>
      </c>
      <c r="J13" s="3" t="n">
        <v>2.5</v>
      </c>
      <c r="K13" s="3" t="n">
        <v>2</v>
      </c>
      <c r="L13" s="3" t="n">
        <v>2</v>
      </c>
    </row>
    <row r="14" customFormat="false" ht="15" hidden="false" customHeight="false" outlineLevel="0" collapsed="false">
      <c r="A14" s="0" t="s">
        <v>99</v>
      </c>
      <c r="C14" s="3" t="n">
        <v>11</v>
      </c>
      <c r="D14" s="3" t="n">
        <v>10.3</v>
      </c>
      <c r="E14" s="3" t="n">
        <v>10</v>
      </c>
      <c r="F14" s="3" t="n">
        <v>10</v>
      </c>
      <c r="G14" s="3" t="n">
        <v>10</v>
      </c>
      <c r="H14" s="3" t="n">
        <v>10</v>
      </c>
      <c r="I14" s="3" t="n">
        <v>10</v>
      </c>
      <c r="J14" s="3" t="n">
        <v>10</v>
      </c>
      <c r="K14" s="3" t="n">
        <v>10</v>
      </c>
      <c r="L14" s="3" t="n">
        <v>10</v>
      </c>
    </row>
    <row r="15" customFormat="false" ht="15" hidden="false" customHeight="false" outlineLevel="0" collapsed="false">
      <c r="A15" s="0" t="s">
        <v>100</v>
      </c>
      <c r="C15" s="3" t="n">
        <v>0.07</v>
      </c>
      <c r="D15" s="3" t="n">
        <v>0.07</v>
      </c>
      <c r="E15" s="3" t="n">
        <v>0.07</v>
      </c>
      <c r="F15" s="3" t="n">
        <v>0.07</v>
      </c>
      <c r="G15" s="3" t="n">
        <v>0.07</v>
      </c>
      <c r="H15" s="3" t="n">
        <v>0.07</v>
      </c>
      <c r="I15" s="3" t="n">
        <v>0.07</v>
      </c>
      <c r="J15" s="3" t="n">
        <v>0.07</v>
      </c>
      <c r="K15" s="3" t="n">
        <v>0.07</v>
      </c>
      <c r="L15" s="3" t="n">
        <v>0.07</v>
      </c>
    </row>
    <row r="16" customFormat="false" ht="15" hidden="false" customHeight="false" outlineLevel="0" collapsed="false">
      <c r="A16" s="0" t="s">
        <v>101</v>
      </c>
      <c r="C16" s="3" t="n">
        <v>0.54</v>
      </c>
      <c r="D16" s="3" t="n">
        <v>0.54</v>
      </c>
      <c r="E16" s="3" t="n">
        <v>0.54</v>
      </c>
      <c r="F16" s="3" t="n">
        <v>0.54</v>
      </c>
      <c r="G16" s="3" t="n">
        <v>0.54</v>
      </c>
      <c r="H16" s="3" t="n">
        <v>0.54</v>
      </c>
      <c r="I16" s="3" t="n">
        <v>0.54</v>
      </c>
      <c r="J16" s="3" t="n">
        <v>0.54</v>
      </c>
      <c r="K16" s="3" t="n">
        <v>0.54</v>
      </c>
      <c r="L16" s="3" t="n">
        <v>0.54</v>
      </c>
    </row>
    <row r="17" customFormat="false" ht="15" hidden="false" customHeight="false" outlineLevel="0" collapsed="false">
      <c r="A17" s="0" t="s">
        <v>102</v>
      </c>
      <c r="C17" s="3" t="n">
        <v>0.9</v>
      </c>
      <c r="D17" s="3" t="n">
        <v>0.9</v>
      </c>
      <c r="E17" s="3" t="n">
        <v>0.9</v>
      </c>
      <c r="F17" s="3" t="n">
        <v>0.9</v>
      </c>
      <c r="G17" s="3" t="n">
        <v>0.9</v>
      </c>
      <c r="H17" s="3" t="n">
        <v>0.9</v>
      </c>
      <c r="I17" s="3" t="n">
        <v>0.9</v>
      </c>
      <c r="J17" s="3" t="n">
        <v>0.9</v>
      </c>
      <c r="K17" s="3" t="n">
        <v>0.9</v>
      </c>
      <c r="L17" s="3" t="n">
        <v>0.9</v>
      </c>
    </row>
    <row r="18" customFormat="false" ht="15" hidden="false" customHeight="false" outlineLevel="0" collapsed="false">
      <c r="A18" s="0" t="s">
        <v>103</v>
      </c>
      <c r="C18" s="3" t="n">
        <v>1</v>
      </c>
      <c r="D18" s="3" t="n">
        <v>1</v>
      </c>
      <c r="E18" s="3" t="n">
        <v>1</v>
      </c>
      <c r="F18" s="3" t="n">
        <v>1</v>
      </c>
      <c r="G18" s="3" t="n">
        <v>1</v>
      </c>
      <c r="H18" s="3" t="n">
        <v>1</v>
      </c>
      <c r="I18" s="3" t="n">
        <v>1</v>
      </c>
      <c r="J18" s="3" t="n">
        <v>1</v>
      </c>
      <c r="K18" s="3" t="n">
        <v>1</v>
      </c>
      <c r="L18" s="3" t="n">
        <v>1</v>
      </c>
    </row>
    <row r="19" customFormat="false" ht="15" hidden="false" customHeight="false" outlineLevel="0" collapsed="false">
      <c r="A19" s="0" t="s">
        <v>104</v>
      </c>
      <c r="C19" s="3" t="n">
        <v>20</v>
      </c>
      <c r="D19" s="3" t="n">
        <v>20</v>
      </c>
      <c r="E19" s="3" t="n">
        <v>20</v>
      </c>
      <c r="F19" s="3" t="n">
        <v>20</v>
      </c>
      <c r="G19" s="3" t="n">
        <v>20</v>
      </c>
      <c r="H19" s="3" t="n">
        <v>20</v>
      </c>
      <c r="I19" s="3" t="n">
        <v>20</v>
      </c>
      <c r="J19" s="3" t="n">
        <v>20</v>
      </c>
      <c r="K19" s="3" t="n">
        <v>20</v>
      </c>
      <c r="L19" s="3" t="n">
        <v>20</v>
      </c>
    </row>
    <row r="20" customFormat="false" ht="15" hidden="false" customHeight="false" outlineLevel="0" collapsed="false">
      <c r="A20" s="0" t="s">
        <v>105</v>
      </c>
      <c r="B20" s="3" t="n">
        <v>8.5</v>
      </c>
    </row>
    <row r="21" customFormat="false" ht="15" hidden="false" customHeight="false" outlineLevel="0" collapsed="false">
      <c r="A21" s="0" t="s">
        <v>106</v>
      </c>
      <c r="B21" s="3" t="n">
        <v>2</v>
      </c>
    </row>
    <row r="22" customFormat="false" ht="15" hidden="false" customHeight="false" outlineLevel="0" collapsed="false">
      <c r="A22" s="0" t="s">
        <v>107</v>
      </c>
      <c r="B22" s="3" t="n">
        <v>14</v>
      </c>
    </row>
    <row r="23" customFormat="false" ht="15" hidden="false" customHeight="false" outlineLevel="0" collapsed="false">
      <c r="A23" s="0" t="s">
        <v>108</v>
      </c>
      <c r="B23" s="3" t="n">
        <v>-25</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9</v>
      </c>
      <c r="D27" s="3" t="n">
        <v>8</v>
      </c>
      <c r="E27" s="3" t="n">
        <v>6</v>
      </c>
      <c r="F27" s="3" t="n">
        <v>5</v>
      </c>
      <c r="G27" s="3" t="n">
        <v>4.5</v>
      </c>
      <c r="H27" s="3" t="n">
        <v>4</v>
      </c>
      <c r="I27" s="3" t="n">
        <v>3.5</v>
      </c>
      <c r="J27" s="3" t="n">
        <v>3</v>
      </c>
      <c r="K27" s="3" t="n">
        <v>2.5</v>
      </c>
      <c r="L27" s="3" t="n">
        <v>2.5</v>
      </c>
    </row>
    <row r="28" customFormat="false" ht="15" hidden="false" customHeight="false" outlineLevel="0" collapsed="false">
      <c r="A28" s="0" t="s">
        <v>99</v>
      </c>
      <c r="C28" s="3" t="n">
        <v>11.3</v>
      </c>
      <c r="D28" s="3" t="n">
        <v>11.6</v>
      </c>
      <c r="E28" s="3" t="n">
        <v>11.8</v>
      </c>
      <c r="F28" s="3" t="n">
        <v>12</v>
      </c>
      <c r="G28" s="3" t="n">
        <v>12</v>
      </c>
      <c r="H28" s="3" t="n">
        <v>12</v>
      </c>
      <c r="I28" s="3" t="n">
        <v>12</v>
      </c>
      <c r="J28" s="3" t="n">
        <v>12</v>
      </c>
      <c r="K28" s="3" t="n">
        <v>12</v>
      </c>
      <c r="L28" s="3" t="n">
        <v>12</v>
      </c>
    </row>
    <row r="29" customFormat="false" ht="15" hidden="false" customHeight="false" outlineLevel="0" collapsed="false">
      <c r="A29" s="0" t="s">
        <v>100</v>
      </c>
      <c r="C29" s="3" t="n">
        <v>0.07</v>
      </c>
      <c r="D29" s="3" t="n">
        <v>0.07</v>
      </c>
      <c r="E29" s="3" t="n">
        <v>0.07</v>
      </c>
      <c r="F29" s="3" t="n">
        <v>0.07</v>
      </c>
      <c r="G29" s="3" t="n">
        <v>0.07</v>
      </c>
      <c r="H29" s="3" t="n">
        <v>0.07</v>
      </c>
      <c r="I29" s="3" t="n">
        <v>0.07</v>
      </c>
      <c r="J29" s="3" t="n">
        <v>0.07</v>
      </c>
      <c r="K29" s="3" t="n">
        <v>0.07</v>
      </c>
      <c r="L29" s="3" t="n">
        <v>0.07</v>
      </c>
    </row>
    <row r="30" customFormat="false" ht="15" hidden="false" customHeight="false" outlineLevel="0" collapsed="false">
      <c r="A30" s="0" t="s">
        <v>101</v>
      </c>
      <c r="C30" s="3" t="n">
        <v>0.54</v>
      </c>
      <c r="D30" s="3" t="n">
        <v>0.54</v>
      </c>
      <c r="E30" s="3" t="n">
        <v>0.54</v>
      </c>
      <c r="F30" s="3" t="n">
        <v>0.54</v>
      </c>
      <c r="G30" s="3" t="n">
        <v>0.54</v>
      </c>
      <c r="H30" s="3" t="n">
        <v>0.54</v>
      </c>
      <c r="I30" s="3" t="n">
        <v>0.54</v>
      </c>
      <c r="J30" s="3" t="n">
        <v>0.54</v>
      </c>
      <c r="K30" s="3" t="n">
        <v>0.54</v>
      </c>
      <c r="L30" s="3" t="n">
        <v>0.54</v>
      </c>
    </row>
    <row r="31" customFormat="false" ht="15" hidden="false" customHeight="false" outlineLevel="0" collapsed="false">
      <c r="A31" s="0" t="s">
        <v>102</v>
      </c>
      <c r="C31" s="3" t="n">
        <v>0.9</v>
      </c>
      <c r="D31" s="3" t="n">
        <v>0.9</v>
      </c>
      <c r="E31" s="3" t="n">
        <v>0.9</v>
      </c>
      <c r="F31" s="3" t="n">
        <v>0.9</v>
      </c>
      <c r="G31" s="3" t="n">
        <v>0.9</v>
      </c>
      <c r="H31" s="3" t="n">
        <v>0.9</v>
      </c>
      <c r="I31" s="3" t="n">
        <v>0.9</v>
      </c>
      <c r="J31" s="3" t="n">
        <v>0.9</v>
      </c>
      <c r="K31" s="3" t="n">
        <v>0.9</v>
      </c>
      <c r="L31" s="3" t="n">
        <v>0.9</v>
      </c>
    </row>
    <row r="32" customFormat="false" ht="15" hidden="false" customHeight="false" outlineLevel="0" collapsed="false">
      <c r="A32" s="0" t="s">
        <v>103</v>
      </c>
      <c r="C32" s="3" t="n">
        <v>1.2</v>
      </c>
      <c r="D32" s="3" t="n">
        <v>1.2</v>
      </c>
      <c r="E32" s="3" t="n">
        <v>1.2</v>
      </c>
      <c r="F32" s="3" t="n">
        <v>1.2</v>
      </c>
      <c r="G32" s="3" t="n">
        <v>1.2</v>
      </c>
      <c r="H32" s="3" t="n">
        <v>1.2</v>
      </c>
      <c r="I32" s="3" t="n">
        <v>1.2</v>
      </c>
      <c r="J32" s="3" t="n">
        <v>1.2</v>
      </c>
      <c r="K32" s="3" t="n">
        <v>1.2</v>
      </c>
      <c r="L32" s="3" t="n">
        <v>1.2</v>
      </c>
    </row>
    <row r="33" customFormat="false" ht="15" hidden="false" customHeight="false" outlineLevel="0" collapsed="false">
      <c r="A33" s="0" t="s">
        <v>104</v>
      </c>
      <c r="C33" s="3" t="n">
        <v>20</v>
      </c>
      <c r="D33" s="3" t="n">
        <v>20</v>
      </c>
      <c r="E33" s="3" t="n">
        <v>20</v>
      </c>
      <c r="F33" s="3" t="n">
        <v>20</v>
      </c>
      <c r="G33" s="3" t="n">
        <v>20</v>
      </c>
      <c r="H33" s="3" t="n">
        <v>20</v>
      </c>
      <c r="I33" s="3" t="n">
        <v>20</v>
      </c>
      <c r="J33" s="3" t="n">
        <v>20</v>
      </c>
      <c r="K33" s="3" t="n">
        <v>20</v>
      </c>
      <c r="L33" s="3" t="n">
        <v>20</v>
      </c>
    </row>
    <row r="34" customFormat="false" ht="15" hidden="false" customHeight="false" outlineLevel="0" collapsed="false">
      <c r="A34" s="0" t="s">
        <v>105</v>
      </c>
      <c r="B34" s="3" t="n">
        <v>8.5</v>
      </c>
    </row>
    <row r="35" customFormat="false" ht="15" hidden="false" customHeight="false" outlineLevel="0" collapsed="false">
      <c r="A35" s="0" t="s">
        <v>106</v>
      </c>
      <c r="B35" s="3" t="n">
        <v>2</v>
      </c>
    </row>
    <row r="36" customFormat="false" ht="15" hidden="false" customHeight="false" outlineLevel="0" collapsed="false">
      <c r="A36" s="0" t="s">
        <v>107</v>
      </c>
      <c r="B36" s="3" t="n">
        <v>14</v>
      </c>
    </row>
    <row r="37" customFormat="false" ht="15" hidden="false" customHeight="false" outlineLevel="0" collapsed="false">
      <c r="A37" s="0" t="s">
        <v>108</v>
      </c>
      <c r="B37" s="3" t="n">
        <v>-25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12</v>
      </c>
      <c r="D41" s="3" t="n">
        <v>12</v>
      </c>
      <c r="E41" s="3" t="n">
        <v>9</v>
      </c>
      <c r="F41" s="3" t="n">
        <v>7</v>
      </c>
      <c r="G41" s="3" t="n">
        <v>6</v>
      </c>
      <c r="H41" s="3" t="n">
        <v>5</v>
      </c>
      <c r="I41" s="3" t="n">
        <v>4</v>
      </c>
      <c r="J41" s="3" t="n">
        <v>3.5</v>
      </c>
      <c r="K41" s="3" t="n">
        <v>3</v>
      </c>
      <c r="L41" s="3" t="n">
        <v>2.5</v>
      </c>
    </row>
    <row r="42" customFormat="false" ht="15" hidden="false" customHeight="false" outlineLevel="0" collapsed="false">
      <c r="A42" s="0" t="s">
        <v>99</v>
      </c>
      <c r="C42" s="3" t="n">
        <v>11.5</v>
      </c>
      <c r="D42" s="3" t="n">
        <v>12</v>
      </c>
      <c r="E42" s="3" t="n">
        <v>12.5</v>
      </c>
      <c r="F42" s="3" t="n">
        <v>12.8</v>
      </c>
      <c r="G42" s="3" t="n">
        <v>13</v>
      </c>
      <c r="H42" s="3" t="n">
        <v>13</v>
      </c>
      <c r="I42" s="3" t="n">
        <v>13</v>
      </c>
      <c r="J42" s="3" t="n">
        <v>13</v>
      </c>
      <c r="K42" s="3" t="n">
        <v>13</v>
      </c>
      <c r="L42" s="3" t="n">
        <v>13</v>
      </c>
    </row>
    <row r="43" customFormat="false" ht="15" hidden="false" customHeight="false" outlineLevel="0" collapsed="false">
      <c r="A43" s="0" t="s">
        <v>100</v>
      </c>
      <c r="C43" s="3" t="n">
        <v>0.07</v>
      </c>
      <c r="D43" s="3" t="n">
        <v>0.07</v>
      </c>
      <c r="E43" s="3" t="n">
        <v>0.07</v>
      </c>
      <c r="F43" s="3" t="n">
        <v>0.07</v>
      </c>
      <c r="G43" s="3" t="n">
        <v>0.07</v>
      </c>
      <c r="H43" s="3" t="n">
        <v>0.07</v>
      </c>
      <c r="I43" s="3" t="n">
        <v>0.07</v>
      </c>
      <c r="J43" s="3" t="n">
        <v>0.07</v>
      </c>
      <c r="K43" s="3" t="n">
        <v>0.07</v>
      </c>
      <c r="L43" s="3" t="n">
        <v>0.07</v>
      </c>
    </row>
    <row r="44" customFormat="false" ht="15" hidden="false" customHeight="false" outlineLevel="0" collapsed="false">
      <c r="A44" s="0" t="s">
        <v>101</v>
      </c>
      <c r="C44" s="3" t="n">
        <v>0.54</v>
      </c>
      <c r="D44" s="3" t="n">
        <v>0.54</v>
      </c>
      <c r="E44" s="3" t="n">
        <v>0.54</v>
      </c>
      <c r="F44" s="3" t="n">
        <v>0.54</v>
      </c>
      <c r="G44" s="3" t="n">
        <v>0.54</v>
      </c>
      <c r="H44" s="3" t="n">
        <v>0.54</v>
      </c>
      <c r="I44" s="3" t="n">
        <v>0.54</v>
      </c>
      <c r="J44" s="3" t="n">
        <v>0.54</v>
      </c>
      <c r="K44" s="3" t="n">
        <v>0.54</v>
      </c>
      <c r="L44" s="3" t="n">
        <v>0.54</v>
      </c>
    </row>
    <row r="45" customFormat="false" ht="15" hidden="false" customHeight="false" outlineLevel="0" collapsed="false">
      <c r="A45" s="0" t="s">
        <v>102</v>
      </c>
      <c r="C45" s="3" t="n">
        <v>0.9</v>
      </c>
      <c r="D45" s="3" t="n">
        <v>0.9</v>
      </c>
      <c r="E45" s="3" t="n">
        <v>0.9</v>
      </c>
      <c r="F45" s="3" t="n">
        <v>0.9</v>
      </c>
      <c r="G45" s="3" t="n">
        <v>0.9</v>
      </c>
      <c r="H45" s="3" t="n">
        <v>0.9</v>
      </c>
      <c r="I45" s="3" t="n">
        <v>0.9</v>
      </c>
      <c r="J45" s="3" t="n">
        <v>0.9</v>
      </c>
      <c r="K45" s="3" t="n">
        <v>0.9</v>
      </c>
      <c r="L45" s="3" t="n">
        <v>0.9</v>
      </c>
    </row>
    <row r="46" customFormat="false" ht="15" hidden="false" customHeight="false" outlineLevel="0" collapsed="false">
      <c r="A46" s="0" t="s">
        <v>103</v>
      </c>
      <c r="C46" s="3" t="n">
        <v>1.4</v>
      </c>
      <c r="D46" s="3" t="n">
        <v>1.4</v>
      </c>
      <c r="E46" s="3" t="n">
        <v>1.4</v>
      </c>
      <c r="F46" s="3" t="n">
        <v>1.4</v>
      </c>
      <c r="G46" s="3" t="n">
        <v>1.4</v>
      </c>
      <c r="H46" s="3" t="n">
        <v>1.4</v>
      </c>
      <c r="I46" s="3" t="n">
        <v>1.4</v>
      </c>
      <c r="J46" s="3" t="n">
        <v>1.4</v>
      </c>
      <c r="K46" s="3" t="n">
        <v>1.4</v>
      </c>
      <c r="L46" s="3" t="n">
        <v>1.4</v>
      </c>
    </row>
    <row r="47" customFormat="false" ht="15" hidden="false" customHeight="false" outlineLevel="0" collapsed="false">
      <c r="A47" s="0" t="s">
        <v>104</v>
      </c>
      <c r="C47" s="3" t="n">
        <v>20</v>
      </c>
      <c r="D47" s="3" t="n">
        <v>20</v>
      </c>
      <c r="E47" s="3" t="n">
        <v>20</v>
      </c>
      <c r="F47" s="3" t="n">
        <v>20</v>
      </c>
      <c r="G47" s="3" t="n">
        <v>20</v>
      </c>
      <c r="H47" s="3" t="n">
        <v>20</v>
      </c>
      <c r="I47" s="3" t="n">
        <v>20</v>
      </c>
      <c r="J47" s="3" t="n">
        <v>20</v>
      </c>
      <c r="K47" s="3" t="n">
        <v>20</v>
      </c>
      <c r="L47" s="3" t="n">
        <v>20</v>
      </c>
    </row>
    <row r="48" customFormat="false" ht="15" hidden="false" customHeight="false" outlineLevel="0" collapsed="false">
      <c r="A48" s="0" t="s">
        <v>105</v>
      </c>
      <c r="B48" s="3" t="n">
        <v>8.5</v>
      </c>
    </row>
    <row r="49" customFormat="false" ht="15" hidden="false" customHeight="false" outlineLevel="0" collapsed="false">
      <c r="A49" s="0" t="s">
        <v>106</v>
      </c>
      <c r="B49" s="3" t="n">
        <v>2</v>
      </c>
    </row>
    <row r="50" customFormat="false" ht="15" hidden="false" customHeight="false" outlineLevel="0" collapsed="false">
      <c r="A50" s="0" t="s">
        <v>107</v>
      </c>
      <c r="B50" s="3" t="n">
        <v>14</v>
      </c>
    </row>
    <row r="51" customFormat="false" ht="15" hidden="false" customHeight="false" outlineLevel="0" collapsed="false">
      <c r="A51" s="0" t="s">
        <v>108</v>
      </c>
      <c r="B51" s="3" t="n">
        <v>-25</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5</v>
      </c>
      <c r="D5" s="4" t="n">
        <f aca="false">Assumptions!D13</f>
        <v>-4</v>
      </c>
      <c r="E5" s="4" t="n">
        <f aca="false">Assumptions!E13</f>
        <v>-2</v>
      </c>
      <c r="F5" s="4" t="n">
        <f aca="false">Assumptions!F13</f>
        <v>2</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37</v>
      </c>
      <c r="B6" s="3" t="n">
        <v>2534.517</v>
      </c>
      <c r="C6" s="0" t="n">
        <f aca="false">B6*(1+C5/100)</f>
        <v>2661.24285</v>
      </c>
      <c r="D6" s="0" t="n">
        <f aca="false">C6*(1+D5/100)</f>
        <v>2554.793136</v>
      </c>
      <c r="E6" s="0" t="n">
        <f aca="false">D6*(1+E5/100)</f>
        <v>2503.69727328</v>
      </c>
      <c r="F6" s="0" t="n">
        <f aca="false">E6*(1+F5/100)</f>
        <v>2553.7712187456</v>
      </c>
      <c r="G6" s="0" t="n">
        <f aca="false">F6*(1+G5/100)</f>
        <v>2630.38435530797</v>
      </c>
      <c r="H6" s="0" t="n">
        <f aca="false">G6*(1+H5/100)</f>
        <v>2709.29588596721</v>
      </c>
      <c r="I6" s="0" t="n">
        <f aca="false">H6*(1+I5/100)</f>
        <v>2777.02828311639</v>
      </c>
      <c r="J6" s="0" t="n">
        <f aca="false">I6*(1+J5/100)</f>
        <v>2846.4539901943</v>
      </c>
      <c r="K6" s="0" t="n">
        <f aca="false">J6*(1+K5/100)</f>
        <v>2903.38306999818</v>
      </c>
      <c r="L6" s="0" t="n">
        <f aca="false">K6*(1+L5/100)</f>
        <v>2961.45073139815</v>
      </c>
    </row>
    <row r="7" customFormat="false" ht="15" hidden="false" customHeight="false" outlineLevel="0" collapsed="false">
      <c r="A7" s="0" t="s">
        <v>99</v>
      </c>
      <c r="C7" s="4" t="n">
        <f aca="false">Assumptions!C14</f>
        <v>11</v>
      </c>
      <c r="D7" s="4" t="n">
        <f aca="false">Assumptions!D14</f>
        <v>10.3</v>
      </c>
      <c r="E7" s="4" t="n">
        <f aca="false">Assumptions!E14</f>
        <v>10</v>
      </c>
      <c r="F7" s="4" t="n">
        <f aca="false">Assumptions!F14</f>
        <v>10</v>
      </c>
      <c r="G7" s="4" t="n">
        <f aca="false">Assumptions!G14</f>
        <v>10</v>
      </c>
      <c r="H7" s="4" t="n">
        <f aca="false">Assumptions!H14</f>
        <v>10</v>
      </c>
      <c r="I7" s="4" t="n">
        <f aca="false">Assumptions!I14</f>
        <v>10</v>
      </c>
      <c r="J7" s="4" t="n">
        <f aca="false">Assumptions!J14</f>
        <v>10</v>
      </c>
      <c r="K7" s="4" t="n">
        <f aca="false">Assumptions!K14</f>
        <v>10</v>
      </c>
      <c r="L7" s="4" t="n">
        <f aca="false">Assumptions!L14</f>
        <v>10</v>
      </c>
    </row>
    <row r="8" customFormat="false" ht="15" hidden="false" customHeight="false" outlineLevel="0" collapsed="false">
      <c r="A8" s="0" t="s">
        <v>43</v>
      </c>
      <c r="C8" s="0" t="n">
        <f aca="false">C6*C7/100</f>
        <v>292.7367135</v>
      </c>
      <c r="D8" s="0" t="n">
        <f aca="false">D6*D7/100</f>
        <v>263.143693008</v>
      </c>
      <c r="E8" s="0" t="n">
        <f aca="false">E6*E7/100</f>
        <v>250.369727328</v>
      </c>
      <c r="F8" s="0" t="n">
        <f aca="false">F6*F7/100</f>
        <v>255.37712187456</v>
      </c>
      <c r="G8" s="0" t="n">
        <f aca="false">G6*G7/100</f>
        <v>263.038435530797</v>
      </c>
      <c r="H8" s="0" t="n">
        <f aca="false">H6*H7/100</f>
        <v>270.929588596721</v>
      </c>
      <c r="I8" s="0" t="n">
        <f aca="false">I6*I7/100</f>
        <v>277.702828311639</v>
      </c>
      <c r="J8" s="0" t="n">
        <f aca="false">J6*J7/100</f>
        <v>284.64539901943</v>
      </c>
      <c r="K8" s="0" t="n">
        <f aca="false">K6*K7/100</f>
        <v>290.338306999818</v>
      </c>
      <c r="L8" s="0" t="n">
        <f aca="false">L6*L7/100</f>
        <v>296.145073139815</v>
      </c>
    </row>
    <row r="9" customFormat="false" ht="15" hidden="false" customHeight="false" outlineLevel="0" collapsed="false">
      <c r="A9" s="0" t="s">
        <v>100</v>
      </c>
      <c r="C9" s="4" t="n">
        <f aca="false">Assumptions!C15</f>
        <v>0.07</v>
      </c>
      <c r="D9" s="4" t="n">
        <f aca="false">Assumptions!D15</f>
        <v>0.07</v>
      </c>
      <c r="E9" s="4" t="n">
        <f aca="false">Assumptions!E15</f>
        <v>0.07</v>
      </c>
      <c r="F9" s="4" t="n">
        <f aca="false">Assumptions!F15</f>
        <v>0.07</v>
      </c>
      <c r="G9" s="4" t="n">
        <f aca="false">Assumptions!G15</f>
        <v>0.07</v>
      </c>
      <c r="H9" s="4" t="n">
        <f aca="false">Assumptions!H15</f>
        <v>0.07</v>
      </c>
      <c r="I9" s="4" t="n">
        <f aca="false">Assumptions!I15</f>
        <v>0.07</v>
      </c>
      <c r="J9" s="4" t="n">
        <f aca="false">Assumptions!J15</f>
        <v>0.07</v>
      </c>
      <c r="K9" s="4" t="n">
        <f aca="false">Assumptions!K15</f>
        <v>0.07</v>
      </c>
      <c r="L9" s="4" t="n">
        <f aca="false">Assumptions!L15</f>
        <v>0.07</v>
      </c>
    </row>
    <row r="10" customFormat="false" ht="15" hidden="false" customHeight="false" outlineLevel="0" collapsed="false">
      <c r="A10" s="0" t="s">
        <v>115</v>
      </c>
      <c r="C10" s="0" t="n">
        <f aca="false">-C6*C9/100</f>
        <v>-1.862869995</v>
      </c>
      <c r="D10" s="0" t="n">
        <f aca="false">-D6*D9/100</f>
        <v>-1.7883551952</v>
      </c>
      <c r="E10" s="0" t="n">
        <f aca="false">-E6*E9/100</f>
        <v>-1.752588091296</v>
      </c>
      <c r="F10" s="0" t="n">
        <f aca="false">-F6*F9/100</f>
        <v>-1.78763985312192</v>
      </c>
      <c r="G10" s="0" t="n">
        <f aca="false">-G6*G9/100</f>
        <v>-1.84126904871558</v>
      </c>
      <c r="H10" s="0" t="n">
        <f aca="false">-H6*H9/100</f>
        <v>-1.89650712017704</v>
      </c>
      <c r="I10" s="0" t="n">
        <f aca="false">-I6*I9/100</f>
        <v>-1.94391979818147</v>
      </c>
      <c r="J10" s="0" t="n">
        <f aca="false">-J6*J9/100</f>
        <v>-1.99251779313601</v>
      </c>
      <c r="K10" s="0" t="n">
        <f aca="false">-K6*K9/100</f>
        <v>-2.03236814899873</v>
      </c>
      <c r="L10" s="0" t="n">
        <f aca="false">-L6*L9/100</f>
        <v>-2.0730155119787</v>
      </c>
    </row>
    <row r="11" customFormat="false" ht="15" hidden="false" customHeight="false" outlineLevel="0" collapsed="false">
      <c r="A11" s="0" t="s">
        <v>116</v>
      </c>
      <c r="C11" s="0" t="n">
        <f aca="false">C8+C10+C24</f>
        <v>276.503132115</v>
      </c>
      <c r="D11" s="0" t="n">
        <f aca="false">D8+D10+D24</f>
        <v>247.5594548784</v>
      </c>
      <c r="E11" s="0" t="n">
        <f aca="false">E8+E10+E24</f>
        <v>235.097173960992</v>
      </c>
      <c r="F11" s="0" t="n">
        <f aca="false">F8+F10+F24</f>
        <v>239.799117440212</v>
      </c>
      <c r="G11" s="0" t="n">
        <f aca="false">G8+G10+G24</f>
        <v>246.993090963418</v>
      </c>
      <c r="H11" s="0" t="n">
        <f aca="false">H8+H10+H24</f>
        <v>254.402883692321</v>
      </c>
      <c r="I11" s="0" t="n">
        <f aca="false">I8+I10+I24</f>
        <v>260.762955784629</v>
      </c>
      <c r="J11" s="0" t="n">
        <f aca="false">J8+J10+J24</f>
        <v>267.282029679244</v>
      </c>
      <c r="K11" s="0" t="n">
        <f aca="false">K8+K10+K24</f>
        <v>272.627670272829</v>
      </c>
      <c r="L11" s="0" t="n">
        <f aca="false">L8+L10+L24</f>
        <v>278.080223678286</v>
      </c>
    </row>
    <row r="12" customFormat="false" ht="15" hidden="false" customHeight="false" outlineLevel="0" collapsed="false">
      <c r="A12" s="0" t="s">
        <v>117</v>
      </c>
      <c r="C12" s="4" t="n">
        <f aca="false">-C6*Assumptions!C17/100</f>
        <v>-23.95118565</v>
      </c>
      <c r="D12" s="4" t="n">
        <f aca="false">-D6*Assumptions!D17/100</f>
        <v>-22.993138224</v>
      </c>
      <c r="E12" s="4" t="n">
        <f aca="false">-E6*Assumptions!E17/100</f>
        <v>-22.53327545952</v>
      </c>
      <c r="F12" s="4" t="n">
        <f aca="false">-F6*Assumptions!F17/100</f>
        <v>-22.9839409687104</v>
      </c>
      <c r="G12" s="4" t="n">
        <f aca="false">-G6*Assumptions!G17/100</f>
        <v>-23.6734591977717</v>
      </c>
      <c r="H12" s="4" t="n">
        <f aca="false">-H6*Assumptions!H17/100</f>
        <v>-24.3836629737049</v>
      </c>
      <c r="I12" s="4" t="n">
        <f aca="false">-I6*Assumptions!I17/100</f>
        <v>-24.9932545480475</v>
      </c>
      <c r="J12" s="4" t="n">
        <f aca="false">-J6*Assumptions!J17/100</f>
        <v>-25.6180859117487</v>
      </c>
      <c r="K12" s="4" t="n">
        <f aca="false">-K6*Assumptions!K17/100</f>
        <v>-26.1304476299836</v>
      </c>
      <c r="L12" s="4" t="n">
        <f aca="false">-L6*Assumptions!L17/100</f>
        <v>-26.6530565825833</v>
      </c>
    </row>
    <row r="13" customFormat="false" ht="15" hidden="false" customHeight="false" outlineLevel="0" collapsed="false">
      <c r="A13" s="0" t="s">
        <v>118</v>
      </c>
      <c r="C13" s="0" t="n">
        <f aca="false">C11+C12</f>
        <v>252.551946465</v>
      </c>
      <c r="D13" s="0" t="n">
        <f aca="false">D11+D12</f>
        <v>224.5663166544</v>
      </c>
      <c r="E13" s="0" t="n">
        <f aca="false">E11+E12</f>
        <v>212.563898501472</v>
      </c>
      <c r="F13" s="0" t="n">
        <f aca="false">F11+F12</f>
        <v>216.815176471501</v>
      </c>
      <c r="G13" s="0" t="n">
        <f aca="false">G11+G12</f>
        <v>223.319631765647</v>
      </c>
      <c r="H13" s="0" t="n">
        <f aca="false">H11+H12</f>
        <v>230.019220718616</v>
      </c>
      <c r="I13" s="0" t="n">
        <f aca="false">I11+I12</f>
        <v>235.769701236581</v>
      </c>
      <c r="J13" s="0" t="n">
        <f aca="false">J11+J12</f>
        <v>241.663943767496</v>
      </c>
      <c r="K13" s="0" t="n">
        <f aca="false">K11+K12</f>
        <v>246.497222642846</v>
      </c>
      <c r="L13" s="0" t="n">
        <f aca="false">L11+L12</f>
        <v>251.427167095703</v>
      </c>
    </row>
    <row r="14" customFormat="false" ht="15" hidden="false" customHeight="false" outlineLevel="0" collapsed="false">
      <c r="A14" s="0" t="s">
        <v>104</v>
      </c>
      <c r="C14" s="4" t="n">
        <f aca="false">Assumptions!C19</f>
        <v>20</v>
      </c>
      <c r="D14" s="4" t="n">
        <f aca="false">Assumptions!D19</f>
        <v>20</v>
      </c>
      <c r="E14" s="4" t="n">
        <f aca="false">Assumptions!E19</f>
        <v>20</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119</v>
      </c>
      <c r="C15" s="0" t="n">
        <f aca="false">C13-MAX(0,C13)*C14/100</f>
        <v>202.041557172</v>
      </c>
      <c r="D15" s="0" t="n">
        <f aca="false">D13-MAX(0,D13)*D14/100</f>
        <v>179.65305332352</v>
      </c>
      <c r="E15" s="0" t="n">
        <f aca="false">E13-MAX(0,E13)*E14/100</f>
        <v>170.051118801178</v>
      </c>
      <c r="F15" s="0" t="n">
        <f aca="false">F13-MAX(0,F13)*F14/100</f>
        <v>173.452141177201</v>
      </c>
      <c r="G15" s="0" t="n">
        <f aca="false">G13-MAX(0,G13)*G14/100</f>
        <v>178.655705412517</v>
      </c>
      <c r="H15" s="0" t="n">
        <f aca="false">H13-MAX(0,H13)*H14/100</f>
        <v>184.015376574893</v>
      </c>
      <c r="I15" s="0" t="n">
        <f aca="false">I13-MAX(0,I13)*I14/100</f>
        <v>188.615760989265</v>
      </c>
      <c r="J15" s="0" t="n">
        <f aca="false">J13-MAX(0,J13)*J14/100</f>
        <v>193.331155013997</v>
      </c>
      <c r="K15" s="0" t="n">
        <f aca="false">K13-MAX(0,K13)*K14/100</f>
        <v>197.197778114277</v>
      </c>
      <c r="L15" s="0" t="n">
        <f aca="false">L13-MAX(0,L13)*L14/100</f>
        <v>201.141733676562</v>
      </c>
    </row>
    <row r="16" customFormat="false" ht="15" hidden="false" customHeight="false" outlineLevel="0" collapsed="false">
      <c r="A16" s="0" t="s">
        <v>120</v>
      </c>
      <c r="C16" s="0" t="n">
        <f aca="false">-C12</f>
        <v>23.95118565</v>
      </c>
      <c r="D16" s="0" t="n">
        <f aca="false">-D12</f>
        <v>22.993138224</v>
      </c>
      <c r="E16" s="0" t="n">
        <f aca="false">-E12</f>
        <v>22.53327545952</v>
      </c>
      <c r="F16" s="0" t="n">
        <f aca="false">-F12</f>
        <v>22.9839409687104</v>
      </c>
      <c r="G16" s="0" t="n">
        <f aca="false">-G12</f>
        <v>23.6734591977717</v>
      </c>
      <c r="H16" s="0" t="n">
        <f aca="false">-H12</f>
        <v>24.3836629737049</v>
      </c>
      <c r="I16" s="0" t="n">
        <f aca="false">-I12</f>
        <v>24.9932545480475</v>
      </c>
      <c r="J16" s="0" t="n">
        <f aca="false">-J12</f>
        <v>25.6180859117487</v>
      </c>
      <c r="K16" s="0" t="n">
        <f aca="false">-K12</f>
        <v>26.1304476299836</v>
      </c>
      <c r="L16" s="0" t="n">
        <f aca="false">-L12</f>
        <v>26.6530565825833</v>
      </c>
    </row>
    <row r="17" customFormat="false" ht="15" hidden="false" customHeight="false" outlineLevel="0" collapsed="false">
      <c r="A17" s="0" t="s">
        <v>121</v>
      </c>
      <c r="C17" s="4" t="n">
        <f aca="false">-C6*Assumptions!C18/100</f>
        <v>-26.6124285</v>
      </c>
      <c r="D17" s="4" t="n">
        <f aca="false">-D6*Assumptions!D18/100</f>
        <v>-25.54793136</v>
      </c>
      <c r="E17" s="4" t="n">
        <f aca="false">-E6*Assumptions!E18/100</f>
        <v>-25.0369727328</v>
      </c>
      <c r="F17" s="4" t="n">
        <f aca="false">-F6*Assumptions!F18/100</f>
        <v>-25.537712187456</v>
      </c>
      <c r="G17" s="4" t="n">
        <f aca="false">-G6*Assumptions!G18/100</f>
        <v>-26.3038435530797</v>
      </c>
      <c r="H17" s="4" t="n">
        <f aca="false">-H6*Assumptions!H18/100</f>
        <v>-27.0929588596721</v>
      </c>
      <c r="I17" s="4" t="n">
        <f aca="false">-I6*Assumptions!I18/100</f>
        <v>-27.7702828311639</v>
      </c>
      <c r="J17" s="4" t="n">
        <f aca="false">-J6*Assumptions!J18/100</f>
        <v>-28.464539901943</v>
      </c>
      <c r="K17" s="4" t="n">
        <f aca="false">-K6*Assumptions!K18/100</f>
        <v>-29.0338306999818</v>
      </c>
      <c r="L17" s="4" t="n">
        <f aca="false">-L6*Assumptions!L18/100</f>
        <v>-29.6145073139815</v>
      </c>
    </row>
    <row r="18" customFormat="false" ht="15" hidden="false" customHeight="false" outlineLevel="0" collapsed="false">
      <c r="A18" s="0" t="s">
        <v>122</v>
      </c>
      <c r="C18" s="4" t="n">
        <f aca="false">(C6-B6)*Assumptions!$B$23/100</f>
        <v>-31.6814625000001</v>
      </c>
      <c r="D18" s="4" t="n">
        <f aca="false">(D6-C6)*Assumptions!$B$23/100</f>
        <v>26.6124285000001</v>
      </c>
      <c r="E18" s="4" t="n">
        <f aca="false">(E6-D6)*Assumptions!$B$23/100</f>
        <v>12.7739656800001</v>
      </c>
      <c r="F18" s="4" t="n">
        <f aca="false">(F6-E6)*Assumptions!$B$23/100</f>
        <v>-12.5184863664</v>
      </c>
      <c r="G18" s="4" t="n">
        <f aca="false">(G6-F6)*Assumptions!$B$23/100</f>
        <v>-19.1532841405921</v>
      </c>
      <c r="H18" s="4" t="n">
        <f aca="false">(H6-G6)*Assumptions!$B$23/100</f>
        <v>-19.7278826648097</v>
      </c>
      <c r="I18" s="4" t="n">
        <f aca="false">(I6-H6)*Assumptions!$B$23/100</f>
        <v>-16.933099287295</v>
      </c>
      <c r="J18" s="4" t="n">
        <f aca="false">(J6-I6)*Assumptions!$B$23/100</f>
        <v>-17.3564267694774</v>
      </c>
      <c r="K18" s="4" t="n">
        <f aca="false">(K6-J6)*Assumptions!$B$23/100</f>
        <v>-14.2322699509715</v>
      </c>
      <c r="L18" s="4" t="n">
        <f aca="false">(L6-K6)*Assumptions!$B$23/100</f>
        <v>-14.5169153499909</v>
      </c>
    </row>
    <row r="19" customFormat="false" ht="15" hidden="false" customHeight="false" outlineLevel="0" collapsed="false">
      <c r="A19" s="0" t="s">
        <v>123</v>
      </c>
      <c r="C19" s="0" t="n">
        <f aca="false">C15+C16+C17+C18</f>
        <v>167.698851822</v>
      </c>
      <c r="D19" s="0" t="n">
        <f aca="false">D15+D16+D17+D18</f>
        <v>203.71068868752</v>
      </c>
      <c r="E19" s="0" t="n">
        <f aca="false">E15+E16+E17+E18</f>
        <v>180.321387207898</v>
      </c>
      <c r="F19" s="0" t="n">
        <f aca="false">F15+F16+F17+F18</f>
        <v>158.379883592056</v>
      </c>
      <c r="G19" s="0" t="n">
        <f aca="false">G15+G16+G17+G18</f>
        <v>156.872036916617</v>
      </c>
      <c r="H19" s="0" t="n">
        <f aca="false">H15+H16+H17+H18</f>
        <v>161.578198024116</v>
      </c>
      <c r="I19" s="0" t="n">
        <f aca="false">I15+I16+I17+I18</f>
        <v>168.905633418854</v>
      </c>
      <c r="J19" s="0" t="n">
        <f aca="false">J15+J16+J17+J18</f>
        <v>173.128274254325</v>
      </c>
      <c r="K19" s="0" t="n">
        <f aca="false">K15+K16+K17+K18</f>
        <v>180.062125093307</v>
      </c>
      <c r="L19" s="0" t="n">
        <f aca="false">L15+L16+L17+L18</f>
        <v>183.663367595173</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154.561153752995</v>
      </c>
      <c r="D21" s="0" t="n">
        <f aca="false">D19*D20</f>
        <v>173.043121482741</v>
      </c>
      <c r="E21" s="0" t="n">
        <f aca="false">E19*E20</f>
        <v>141.175074365326</v>
      </c>
      <c r="F21" s="0" t="n">
        <f aca="false">F19*F20</f>
        <v>114.282851145379</v>
      </c>
      <c r="G21" s="0" t="n">
        <f aca="false">G19*G20</f>
        <v>104.327030193331</v>
      </c>
      <c r="H21" s="0" t="n">
        <f aca="false">H19*H20</f>
        <v>99.0385632250054</v>
      </c>
      <c r="I21" s="0" t="n">
        <f aca="false">I19*I20</f>
        <v>95.4192431122707</v>
      </c>
      <c r="J21" s="0" t="n">
        <f aca="false">J19*J20</f>
        <v>90.1426029401636</v>
      </c>
      <c r="K21" s="0" t="n">
        <f aca="false">K19*K20</f>
        <v>86.4081541263107</v>
      </c>
      <c r="L21" s="0" t="n">
        <f aca="false">L19*L20</f>
        <v>81.231628763905</v>
      </c>
    </row>
    <row r="23" customFormat="false" ht="15" hidden="false" customHeight="false" outlineLevel="0" collapsed="false">
      <c r="A23" s="0" t="s">
        <v>101</v>
      </c>
      <c r="C23" s="4" t="n">
        <f aca="false">Assumptions!C16</f>
        <v>0.54</v>
      </c>
      <c r="D23" s="4" t="n">
        <f aca="false">Assumptions!D16</f>
        <v>0.54</v>
      </c>
      <c r="E23" s="4" t="n">
        <f aca="false">Assumptions!E16</f>
        <v>0.54</v>
      </c>
      <c r="F23" s="4" t="n">
        <f aca="false">Assumptions!F16</f>
        <v>0.54</v>
      </c>
      <c r="G23" s="4" t="n">
        <f aca="false">Assumptions!G16</f>
        <v>0.54</v>
      </c>
      <c r="H23" s="4" t="n">
        <f aca="false">Assumptions!H16</f>
        <v>0.54</v>
      </c>
      <c r="I23" s="4" t="n">
        <f aca="false">Assumptions!I16</f>
        <v>0.54</v>
      </c>
      <c r="J23" s="4" t="n">
        <f aca="false">Assumptions!J16</f>
        <v>0.54</v>
      </c>
      <c r="K23" s="4" t="n">
        <f aca="false">Assumptions!K16</f>
        <v>0.54</v>
      </c>
      <c r="L23" s="4" t="n">
        <f aca="false">Assumptions!L16</f>
        <v>0.54</v>
      </c>
    </row>
    <row r="24" customFormat="false" ht="15" hidden="false" customHeight="false" outlineLevel="0" collapsed="false">
      <c r="A24" s="0" t="s">
        <v>126</v>
      </c>
      <c r="C24" s="0" t="n">
        <f aca="false">-C6*C23/100</f>
        <v>-14.37071139</v>
      </c>
      <c r="D24" s="0" t="n">
        <f aca="false">-D6*D23/100</f>
        <v>-13.7958829344</v>
      </c>
      <c r="E24" s="0" t="n">
        <f aca="false">-E6*E23/100</f>
        <v>-13.519965275712</v>
      </c>
      <c r="F24" s="0" t="n">
        <f aca="false">-F6*F23/100</f>
        <v>-13.7903645812262</v>
      </c>
      <c r="G24" s="0" t="n">
        <f aca="false">-G6*G23/100</f>
        <v>-14.204075518663</v>
      </c>
      <c r="H24" s="0" t="n">
        <f aca="false">-H6*H23/100</f>
        <v>-14.6301977842229</v>
      </c>
      <c r="I24" s="0" t="n">
        <f aca="false">-I6*I23/100</f>
        <v>-14.9959527288285</v>
      </c>
      <c r="J24" s="0" t="n">
        <f aca="false">-J6*J23/100</f>
        <v>-15.3708515470492</v>
      </c>
      <c r="K24" s="0" t="n">
        <f aca="false">-K6*K23/100</f>
        <v>-15.6782685779902</v>
      </c>
      <c r="L24" s="0" t="n">
        <f aca="false">-L6*L23/100</f>
        <v>-15.99183394955</v>
      </c>
    </row>
    <row r="26" customFormat="false" ht="15" hidden="false" customHeight="false" outlineLevel="0" collapsed="false">
      <c r="A26" s="2" t="s">
        <v>127</v>
      </c>
    </row>
    <row r="27" customFormat="false" ht="15" hidden="false" customHeight="false" outlineLevel="0" collapsed="false">
      <c r="A27" s="0" t="s">
        <v>105</v>
      </c>
      <c r="B27" s="4" t="n">
        <f aca="false">Assumptions!$B$20</f>
        <v>8.5</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14</v>
      </c>
    </row>
    <row r="30" customFormat="false" ht="15" hidden="false" customHeight="false" outlineLevel="0" collapsed="false">
      <c r="A30" s="0" t="s">
        <v>128</v>
      </c>
      <c r="B30" s="0" t="n">
        <f aca="false">SUM(C21:L21)</f>
        <v>1139.62942310743</v>
      </c>
    </row>
    <row r="31" customFormat="false" ht="15" hidden="false" customHeight="false" outlineLevel="0" collapsed="false">
      <c r="A31" s="0" t="s">
        <v>129</v>
      </c>
      <c r="B31" s="0" t="n">
        <f aca="false">L19</f>
        <v>183.663367595173</v>
      </c>
    </row>
    <row r="32" customFormat="false" ht="15" hidden="false" customHeight="false" outlineLevel="0" collapsed="false">
      <c r="A32" s="0" t="s">
        <v>130</v>
      </c>
      <c r="B32" s="0" t="n">
        <f aca="false">IF(B27&gt;B28,B31*(1+B28/100)/((B27-B28)/100),B31*B29)</f>
        <v>2882.10207610887</v>
      </c>
    </row>
    <row r="33" customFormat="false" ht="15" hidden="false" customHeight="false" outlineLevel="0" collapsed="false">
      <c r="A33" s="0" t="s">
        <v>131</v>
      </c>
      <c r="B33" s="0" t="n">
        <f aca="false">B31*B29</f>
        <v>2571.28714633242</v>
      </c>
    </row>
    <row r="34" customFormat="false" ht="15" hidden="false" customHeight="false" outlineLevel="0" collapsed="false">
      <c r="A34" s="0" t="s">
        <v>132</v>
      </c>
      <c r="B34" s="0" t="n">
        <f aca="false">MAX(0,MIN(B32,B33))</f>
        <v>2571.28714633242</v>
      </c>
    </row>
    <row r="35" customFormat="false" ht="15" hidden="false" customHeight="false" outlineLevel="0" collapsed="false">
      <c r="A35" s="0" t="s">
        <v>133</v>
      </c>
      <c r="B35" s="0" t="n">
        <f aca="false">B34/(1+B27/100)^L4</f>
        <v>1137.24280269467</v>
      </c>
    </row>
    <row r="36" customFormat="false" ht="15" hidden="false" customHeight="false" outlineLevel="0" collapsed="false">
      <c r="A36" s="0" t="s">
        <v>134</v>
      </c>
      <c r="B36" s="0" t="n">
        <f aca="false">B30+B35</f>
        <v>2276.8722258021</v>
      </c>
    </row>
    <row r="37" customFormat="false" ht="15" hidden="false" customHeight="false" outlineLevel="0" collapsed="false">
      <c r="A37" s="0" t="s">
        <v>135</v>
      </c>
      <c r="B37" s="0" t="n">
        <f aca="false">B36+Assumptions!$B$5-Assumptions!$B$4</f>
        <v>3376.9802258021</v>
      </c>
    </row>
    <row r="38" customFormat="false" ht="15" hidden="false" customHeight="false" outlineLevel="0" collapsed="false">
      <c r="A38" s="0" t="s">
        <v>136</v>
      </c>
      <c r="B38" s="0" t="n">
        <f aca="false">B37/Assumptions!$B$3*Assumptions!$B$10</f>
        <v>11.7256257840351</v>
      </c>
    </row>
    <row r="39" customFormat="false" ht="15" hidden="false" customHeight="false" outlineLevel="0" collapsed="false">
      <c r="A39" s="0" t="s">
        <v>137</v>
      </c>
      <c r="B39" s="4" t="n">
        <f aca="false">B38/Assumptions!$B$2-1</f>
        <v>-0.237605605719437</v>
      </c>
    </row>
    <row r="41" customFormat="false" ht="15" hidden="false" customHeight="false" outlineLevel="0" collapsed="false">
      <c r="A41" s="0" t="s">
        <v>138</v>
      </c>
      <c r="B41" s="0" t="n">
        <f aca="false">SUMPRODUCT(-C10:L10/(1+$B$27/100)^C4:L4)</f>
        <v>12.3128426363607</v>
      </c>
    </row>
    <row r="42" customFormat="false" ht="15" hidden="false" customHeight="false" outlineLevel="0" collapsed="false">
      <c r="A42" s="0" t="s">
        <v>139</v>
      </c>
      <c r="B42" s="0" t="n">
        <f aca="false">IF(B27&gt;B28,-L10*(1+B28/100)/((B27-B28)/100),-L10*20)/(1+B27/100)^L4</f>
        <v>14.3877202556199</v>
      </c>
    </row>
    <row r="43" customFormat="false" ht="15" hidden="false" customHeight="false" outlineLevel="0" collapsed="false">
      <c r="A43" s="0" t="s">
        <v>140</v>
      </c>
      <c r="B43" s="0" t="n">
        <f aca="false">(B37+B41+B42)/Assumptions!$B$3*Assumptions!$B$10</f>
        <v>11.8183360718544</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1441.05103805443</v>
      </c>
    </row>
    <row r="47" customFormat="false" ht="15" hidden="false" customHeight="false" outlineLevel="0" collapsed="false">
      <c r="A47" s="0" t="s">
        <v>142</v>
      </c>
      <c r="B47" s="0" t="n">
        <f aca="false">(SUMPRODUCT(C19:L19/(1+B45/100)^C4:L4)+B46/(1+B45/100)^L4+Assumptions!$B$5-Assumptions!$B$4)/Assumptions!$B$3*Assumptions!$B$10</f>
        <v>8.08964305261521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9</v>
      </c>
      <c r="D5" s="4" t="n">
        <f aca="false">Assumptions!D27</f>
        <v>8</v>
      </c>
      <c r="E5" s="4" t="n">
        <f aca="false">Assumptions!E27</f>
        <v>6</v>
      </c>
      <c r="F5" s="4" t="n">
        <f aca="false">Assumptions!F27</f>
        <v>5</v>
      </c>
      <c r="G5" s="4" t="n">
        <f aca="false">Assumptions!G27</f>
        <v>4.5</v>
      </c>
      <c r="H5" s="4" t="n">
        <f aca="false">Assumptions!H27</f>
        <v>4</v>
      </c>
      <c r="I5" s="4" t="n">
        <f aca="false">Assumptions!I27</f>
        <v>3.5</v>
      </c>
      <c r="J5" s="4" t="n">
        <f aca="false">Assumptions!J27</f>
        <v>3</v>
      </c>
      <c r="K5" s="4" t="n">
        <f aca="false">Assumptions!K27</f>
        <v>2.5</v>
      </c>
      <c r="L5" s="4" t="n">
        <f aca="false">Assumptions!L27</f>
        <v>2.5</v>
      </c>
    </row>
    <row r="6" customFormat="false" ht="15" hidden="false" customHeight="false" outlineLevel="0" collapsed="false">
      <c r="A6" s="0" t="s">
        <v>37</v>
      </c>
      <c r="B6" s="3" t="n">
        <v>2534.517</v>
      </c>
      <c r="C6" s="0" t="n">
        <f aca="false">B6*(1+C5/100)</f>
        <v>2762.62353</v>
      </c>
      <c r="D6" s="0" t="n">
        <f aca="false">C6*(1+D5/100)</f>
        <v>2983.6334124</v>
      </c>
      <c r="E6" s="0" t="n">
        <f aca="false">D6*(1+E5/100)</f>
        <v>3162.651417144</v>
      </c>
      <c r="F6" s="0" t="n">
        <f aca="false">E6*(1+F5/100)</f>
        <v>3320.7839880012</v>
      </c>
      <c r="G6" s="0" t="n">
        <f aca="false">F6*(1+G5/100)</f>
        <v>3470.21926746125</v>
      </c>
      <c r="H6" s="0" t="n">
        <f aca="false">G6*(1+H5/100)</f>
        <v>3609.0280381597</v>
      </c>
      <c r="I6" s="0" t="n">
        <f aca="false">H6*(1+I5/100)</f>
        <v>3735.34401949529</v>
      </c>
      <c r="J6" s="0" t="n">
        <f aca="false">I6*(1+J5/100)</f>
        <v>3847.40434008015</v>
      </c>
      <c r="K6" s="0" t="n">
        <f aca="false">J6*(1+K5/100)</f>
        <v>3943.58944858216</v>
      </c>
      <c r="L6" s="0" t="n">
        <f aca="false">K6*(1+L5/100)</f>
        <v>4042.17918479671</v>
      </c>
    </row>
    <row r="7" customFormat="false" ht="15" hidden="false" customHeight="false" outlineLevel="0" collapsed="false">
      <c r="A7" s="0" t="s">
        <v>99</v>
      </c>
      <c r="C7" s="4" t="n">
        <f aca="false">Assumptions!C28</f>
        <v>11.3</v>
      </c>
      <c r="D7" s="4" t="n">
        <f aca="false">Assumptions!D28</f>
        <v>11.6</v>
      </c>
      <c r="E7" s="4" t="n">
        <f aca="false">Assumptions!E28</f>
        <v>11.8</v>
      </c>
      <c r="F7" s="4" t="n">
        <f aca="false">Assumptions!F28</f>
        <v>12</v>
      </c>
      <c r="G7" s="4" t="n">
        <f aca="false">Assumptions!G28</f>
        <v>12</v>
      </c>
      <c r="H7" s="4" t="n">
        <f aca="false">Assumptions!H28</f>
        <v>12</v>
      </c>
      <c r="I7" s="4" t="n">
        <f aca="false">Assumptions!I28</f>
        <v>12</v>
      </c>
      <c r="J7" s="4" t="n">
        <f aca="false">Assumptions!J28</f>
        <v>12</v>
      </c>
      <c r="K7" s="4" t="n">
        <f aca="false">Assumptions!K28</f>
        <v>12</v>
      </c>
      <c r="L7" s="4" t="n">
        <f aca="false">Assumptions!L28</f>
        <v>12</v>
      </c>
    </row>
    <row r="8" customFormat="false" ht="15" hidden="false" customHeight="false" outlineLevel="0" collapsed="false">
      <c r="A8" s="0" t="s">
        <v>43</v>
      </c>
      <c r="C8" s="0" t="n">
        <f aca="false">C6*C7/100</f>
        <v>312.17645889</v>
      </c>
      <c r="D8" s="0" t="n">
        <f aca="false">D6*D7/100</f>
        <v>346.1014758384</v>
      </c>
      <c r="E8" s="0" t="n">
        <f aca="false">E6*E7/100</f>
        <v>373.192867222992</v>
      </c>
      <c r="F8" s="0" t="n">
        <f aca="false">F6*F7/100</f>
        <v>398.494078560144</v>
      </c>
      <c r="G8" s="0" t="n">
        <f aca="false">G6*G7/100</f>
        <v>416.426312095351</v>
      </c>
      <c r="H8" s="0" t="n">
        <f aca="false">H6*H7/100</f>
        <v>433.083364579165</v>
      </c>
      <c r="I8" s="0" t="n">
        <f aca="false">I6*I7/100</f>
        <v>448.241282339435</v>
      </c>
      <c r="J8" s="0" t="n">
        <f aca="false">J6*J7/100</f>
        <v>461.688520809618</v>
      </c>
      <c r="K8" s="0" t="n">
        <f aca="false">K6*K7/100</f>
        <v>473.230733829859</v>
      </c>
      <c r="L8" s="0" t="n">
        <f aca="false">L6*L7/100</f>
        <v>485.061502175605</v>
      </c>
    </row>
    <row r="9" customFormat="false" ht="15" hidden="false" customHeight="false" outlineLevel="0" collapsed="false">
      <c r="A9" s="0" t="s">
        <v>100</v>
      </c>
      <c r="C9" s="4" t="n">
        <f aca="false">Assumptions!C29</f>
        <v>0.07</v>
      </c>
      <c r="D9" s="4" t="n">
        <f aca="false">Assumptions!D29</f>
        <v>0.07</v>
      </c>
      <c r="E9" s="4" t="n">
        <f aca="false">Assumptions!E29</f>
        <v>0.07</v>
      </c>
      <c r="F9" s="4" t="n">
        <f aca="false">Assumptions!F29</f>
        <v>0.07</v>
      </c>
      <c r="G9" s="4" t="n">
        <f aca="false">Assumptions!G29</f>
        <v>0.07</v>
      </c>
      <c r="H9" s="4" t="n">
        <f aca="false">Assumptions!H29</f>
        <v>0.07</v>
      </c>
      <c r="I9" s="4" t="n">
        <f aca="false">Assumptions!I29</f>
        <v>0.07</v>
      </c>
      <c r="J9" s="4" t="n">
        <f aca="false">Assumptions!J29</f>
        <v>0.07</v>
      </c>
      <c r="K9" s="4" t="n">
        <f aca="false">Assumptions!K29</f>
        <v>0.07</v>
      </c>
      <c r="L9" s="4" t="n">
        <f aca="false">Assumptions!L29</f>
        <v>0.07</v>
      </c>
    </row>
    <row r="10" customFormat="false" ht="15" hidden="false" customHeight="false" outlineLevel="0" collapsed="false">
      <c r="A10" s="0" t="s">
        <v>115</v>
      </c>
      <c r="C10" s="0" t="n">
        <f aca="false">-C6*C9/100</f>
        <v>-1.933836471</v>
      </c>
      <c r="D10" s="0" t="n">
        <f aca="false">-D6*D9/100</f>
        <v>-2.08854338868</v>
      </c>
      <c r="E10" s="0" t="n">
        <f aca="false">-E6*E9/100</f>
        <v>-2.2138559920008</v>
      </c>
      <c r="F10" s="0" t="n">
        <f aca="false">-F6*F9/100</f>
        <v>-2.32454879160084</v>
      </c>
      <c r="G10" s="0" t="n">
        <f aca="false">-G6*G9/100</f>
        <v>-2.42915348722288</v>
      </c>
      <c r="H10" s="0" t="n">
        <f aca="false">-H6*H9/100</f>
        <v>-2.52631962671179</v>
      </c>
      <c r="I10" s="0" t="n">
        <f aca="false">-I6*I9/100</f>
        <v>-2.61474081364671</v>
      </c>
      <c r="J10" s="0" t="n">
        <f aca="false">-J6*J9/100</f>
        <v>-2.69318303805611</v>
      </c>
      <c r="K10" s="0" t="n">
        <f aca="false">-K6*K9/100</f>
        <v>-2.76051261400751</v>
      </c>
      <c r="L10" s="0" t="n">
        <f aca="false">-L6*L9/100</f>
        <v>-2.8295254293577</v>
      </c>
    </row>
    <row r="11" customFormat="false" ht="15" hidden="false" customHeight="false" outlineLevel="0" collapsed="false">
      <c r="A11" s="0" t="s">
        <v>116</v>
      </c>
      <c r="C11" s="0" t="n">
        <f aca="false">C8+C10+C24</f>
        <v>295.324455357</v>
      </c>
      <c r="D11" s="0" t="n">
        <f aca="false">D8+D10+D24</f>
        <v>327.90131202276</v>
      </c>
      <c r="E11" s="0" t="n">
        <f aca="false">E8+E10+E24</f>
        <v>353.900693578414</v>
      </c>
      <c r="F11" s="0" t="n">
        <f aca="false">F8+F10+F24</f>
        <v>378.237296233337</v>
      </c>
      <c r="G11" s="0" t="n">
        <f aca="false">G8+G10+G24</f>
        <v>395.257974563837</v>
      </c>
      <c r="H11" s="0" t="n">
        <f aca="false">H8+H10+H24</f>
        <v>411.06829354639</v>
      </c>
      <c r="I11" s="0" t="n">
        <f aca="false">I8+I10+I24</f>
        <v>425.455683820514</v>
      </c>
      <c r="J11" s="0" t="n">
        <f aca="false">J8+J10+J24</f>
        <v>438.219354335129</v>
      </c>
      <c r="K11" s="0" t="n">
        <f aca="false">K8+K10+K24</f>
        <v>449.174838193508</v>
      </c>
      <c r="L11" s="0" t="n">
        <f aca="false">L8+L10+L24</f>
        <v>460.404209148345</v>
      </c>
    </row>
    <row r="12" customFormat="false" ht="15" hidden="false" customHeight="false" outlineLevel="0" collapsed="false">
      <c r="A12" s="0" t="s">
        <v>117</v>
      </c>
      <c r="C12" s="4" t="n">
        <f aca="false">-C6*Assumptions!C31/100</f>
        <v>-24.86361177</v>
      </c>
      <c r="D12" s="4" t="n">
        <f aca="false">-D6*Assumptions!D31/100</f>
        <v>-26.8527007116</v>
      </c>
      <c r="E12" s="4" t="n">
        <f aca="false">-E6*Assumptions!E31/100</f>
        <v>-28.463862754296</v>
      </c>
      <c r="F12" s="4" t="n">
        <f aca="false">-F6*Assumptions!F31/100</f>
        <v>-29.8870558920108</v>
      </c>
      <c r="G12" s="4" t="n">
        <f aca="false">-G6*Assumptions!G31/100</f>
        <v>-31.2319734071513</v>
      </c>
      <c r="H12" s="4" t="n">
        <f aca="false">-H6*Assumptions!H31/100</f>
        <v>-32.4812523434373</v>
      </c>
      <c r="I12" s="4" t="n">
        <f aca="false">-I6*Assumptions!I31/100</f>
        <v>-33.6180961754576</v>
      </c>
      <c r="J12" s="4" t="n">
        <f aca="false">-J6*Assumptions!J31/100</f>
        <v>-34.6266390607214</v>
      </c>
      <c r="K12" s="4" t="n">
        <f aca="false">-K6*Assumptions!K31/100</f>
        <v>-35.4923050372394</v>
      </c>
      <c r="L12" s="4" t="n">
        <f aca="false">-L6*Assumptions!L31/100</f>
        <v>-36.3796126631704</v>
      </c>
    </row>
    <row r="13" customFormat="false" ht="15" hidden="false" customHeight="false" outlineLevel="0" collapsed="false">
      <c r="A13" s="0" t="s">
        <v>118</v>
      </c>
      <c r="C13" s="0" t="n">
        <f aca="false">C11+C12</f>
        <v>270.460843587</v>
      </c>
      <c r="D13" s="0" t="n">
        <f aca="false">D11+D12</f>
        <v>301.04861131116</v>
      </c>
      <c r="E13" s="0" t="n">
        <f aca="false">E11+E12</f>
        <v>325.436830824118</v>
      </c>
      <c r="F13" s="0" t="n">
        <f aca="false">F11+F12</f>
        <v>348.350240341326</v>
      </c>
      <c r="G13" s="0" t="n">
        <f aca="false">G11+G12</f>
        <v>364.026001156686</v>
      </c>
      <c r="H13" s="0" t="n">
        <f aca="false">H11+H12</f>
        <v>378.587041202953</v>
      </c>
      <c r="I13" s="0" t="n">
        <f aca="false">I11+I12</f>
        <v>391.837587645056</v>
      </c>
      <c r="J13" s="0" t="n">
        <f aca="false">J11+J12</f>
        <v>403.592715274408</v>
      </c>
      <c r="K13" s="0" t="n">
        <f aca="false">K11+K12</f>
        <v>413.682533156268</v>
      </c>
      <c r="L13" s="0" t="n">
        <f aca="false">L11+L12</f>
        <v>424.024596485175</v>
      </c>
    </row>
    <row r="14" customFormat="false" ht="15" hidden="false" customHeight="false" outlineLevel="0" collapsed="false">
      <c r="A14" s="0" t="s">
        <v>104</v>
      </c>
      <c r="C14" s="4" t="n">
        <f aca="false">Assumptions!C33</f>
        <v>20</v>
      </c>
      <c r="D14" s="4" t="n">
        <f aca="false">Assumptions!D33</f>
        <v>20</v>
      </c>
      <c r="E14" s="4" t="n">
        <f aca="false">Assumptions!E33</f>
        <v>20</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119</v>
      </c>
      <c r="C15" s="0" t="n">
        <f aca="false">C13-MAX(0,C13)*C14/100</f>
        <v>216.3686748696</v>
      </c>
      <c r="D15" s="0" t="n">
        <f aca="false">D13-MAX(0,D13)*D14/100</f>
        <v>240.838889048928</v>
      </c>
      <c r="E15" s="0" t="n">
        <f aca="false">E13-MAX(0,E13)*E14/100</f>
        <v>260.349464659294</v>
      </c>
      <c r="F15" s="0" t="n">
        <f aca="false">F13-MAX(0,F13)*F14/100</f>
        <v>278.680192273061</v>
      </c>
      <c r="G15" s="0" t="n">
        <f aca="false">G13-MAX(0,G13)*G14/100</f>
        <v>291.220800925348</v>
      </c>
      <c r="H15" s="0" t="n">
        <f aca="false">H13-MAX(0,H13)*H14/100</f>
        <v>302.869632962362</v>
      </c>
      <c r="I15" s="0" t="n">
        <f aca="false">I13-MAX(0,I13)*I14/100</f>
        <v>313.470070116045</v>
      </c>
      <c r="J15" s="0" t="n">
        <f aca="false">J13-MAX(0,J13)*J14/100</f>
        <v>322.874172219526</v>
      </c>
      <c r="K15" s="0" t="n">
        <f aca="false">K13-MAX(0,K13)*K14/100</f>
        <v>330.946026525015</v>
      </c>
      <c r="L15" s="0" t="n">
        <f aca="false">L13-MAX(0,L13)*L14/100</f>
        <v>339.21967718814</v>
      </c>
    </row>
    <row r="16" customFormat="false" ht="15" hidden="false" customHeight="false" outlineLevel="0" collapsed="false">
      <c r="A16" s="0" t="s">
        <v>120</v>
      </c>
      <c r="C16" s="0" t="n">
        <f aca="false">-C12</f>
        <v>24.86361177</v>
      </c>
      <c r="D16" s="0" t="n">
        <f aca="false">-D12</f>
        <v>26.8527007116</v>
      </c>
      <c r="E16" s="0" t="n">
        <f aca="false">-E12</f>
        <v>28.463862754296</v>
      </c>
      <c r="F16" s="0" t="n">
        <f aca="false">-F12</f>
        <v>29.8870558920108</v>
      </c>
      <c r="G16" s="0" t="n">
        <f aca="false">-G12</f>
        <v>31.2319734071513</v>
      </c>
      <c r="H16" s="0" t="n">
        <f aca="false">-H12</f>
        <v>32.4812523434373</v>
      </c>
      <c r="I16" s="0" t="n">
        <f aca="false">-I12</f>
        <v>33.6180961754576</v>
      </c>
      <c r="J16" s="0" t="n">
        <f aca="false">-J12</f>
        <v>34.6266390607214</v>
      </c>
      <c r="K16" s="0" t="n">
        <f aca="false">-K12</f>
        <v>35.4923050372394</v>
      </c>
      <c r="L16" s="0" t="n">
        <f aca="false">-L12</f>
        <v>36.3796126631704</v>
      </c>
    </row>
    <row r="17" customFormat="false" ht="15" hidden="false" customHeight="false" outlineLevel="0" collapsed="false">
      <c r="A17" s="0" t="s">
        <v>121</v>
      </c>
      <c r="C17" s="4" t="n">
        <f aca="false">-C6*Assumptions!C32/100</f>
        <v>-33.15148236</v>
      </c>
      <c r="D17" s="4" t="n">
        <f aca="false">-D6*Assumptions!D32/100</f>
        <v>-35.8036009488</v>
      </c>
      <c r="E17" s="4" t="n">
        <f aca="false">-E6*Assumptions!E32/100</f>
        <v>-37.951817005728</v>
      </c>
      <c r="F17" s="4" t="n">
        <f aca="false">-F6*Assumptions!F32/100</f>
        <v>-39.8494078560144</v>
      </c>
      <c r="G17" s="4" t="n">
        <f aca="false">-G6*Assumptions!G32/100</f>
        <v>-41.6426312095351</v>
      </c>
      <c r="H17" s="4" t="n">
        <f aca="false">-H6*Assumptions!H32/100</f>
        <v>-43.3083364579165</v>
      </c>
      <c r="I17" s="4" t="n">
        <f aca="false">-I6*Assumptions!I32/100</f>
        <v>-44.8241282339435</v>
      </c>
      <c r="J17" s="4" t="n">
        <f aca="false">-J6*Assumptions!J32/100</f>
        <v>-46.1688520809618</v>
      </c>
      <c r="K17" s="4" t="n">
        <f aca="false">-K6*Assumptions!K32/100</f>
        <v>-47.3230733829859</v>
      </c>
      <c r="L17" s="4" t="n">
        <f aca="false">-L6*Assumptions!L32/100</f>
        <v>-48.5061502175605</v>
      </c>
    </row>
    <row r="18" customFormat="false" ht="15" hidden="false" customHeight="false" outlineLevel="0" collapsed="false">
      <c r="A18" s="0" t="s">
        <v>122</v>
      </c>
      <c r="C18" s="4" t="n">
        <f aca="false">(C6-B6)*Assumptions!$B$37/100</f>
        <v>-57.0266325</v>
      </c>
      <c r="D18" s="4" t="n">
        <f aca="false">(D6-C6)*Assumptions!$B$37/100</f>
        <v>-55.2524706</v>
      </c>
      <c r="E18" s="4" t="n">
        <f aca="false">(E6-D6)*Assumptions!$B$37/100</f>
        <v>-44.7545011860001</v>
      </c>
      <c r="F18" s="4" t="n">
        <f aca="false">(F6-E6)*Assumptions!$B$37/100</f>
        <v>-39.5331427143001</v>
      </c>
      <c r="G18" s="4" t="n">
        <f aca="false">(G6-F6)*Assumptions!$B$37/100</f>
        <v>-37.3588198650134</v>
      </c>
      <c r="H18" s="4" t="n">
        <f aca="false">(H6-G6)*Assumptions!$B$37/100</f>
        <v>-34.7021926746126</v>
      </c>
      <c r="I18" s="4" t="n">
        <f aca="false">(I6-H6)*Assumptions!$B$37/100</f>
        <v>-31.5789953338973</v>
      </c>
      <c r="J18" s="4" t="n">
        <f aca="false">(J6-I6)*Assumptions!$B$37/100</f>
        <v>-28.0150801462147</v>
      </c>
      <c r="K18" s="4" t="n">
        <f aca="false">(K6-J6)*Assumptions!$B$37/100</f>
        <v>-24.0462771255009</v>
      </c>
      <c r="L18" s="4" t="n">
        <f aca="false">(L6-K6)*Assumptions!$B$37/100</f>
        <v>-24.6474340536383</v>
      </c>
    </row>
    <row r="19" customFormat="false" ht="15" hidden="false" customHeight="false" outlineLevel="0" collapsed="false">
      <c r="A19" s="0" t="s">
        <v>123</v>
      </c>
      <c r="C19" s="0" t="n">
        <f aca="false">C15+C16+C17+C18</f>
        <v>151.0541717796</v>
      </c>
      <c r="D19" s="0" t="n">
        <f aca="false">D15+D16+D17+D18</f>
        <v>176.635518211728</v>
      </c>
      <c r="E19" s="0" t="n">
        <f aca="false">E15+E16+E17+E18</f>
        <v>206.107009221862</v>
      </c>
      <c r="F19" s="0" t="n">
        <f aca="false">F15+F16+F17+F18</f>
        <v>229.184697594757</v>
      </c>
      <c r="G19" s="0" t="n">
        <f aca="false">G15+G16+G17+G18</f>
        <v>243.451323257951</v>
      </c>
      <c r="H19" s="0" t="n">
        <f aca="false">H15+H16+H17+H18</f>
        <v>257.340356173271</v>
      </c>
      <c r="I19" s="0" t="n">
        <f aca="false">I15+I16+I17+I18</f>
        <v>270.685042723662</v>
      </c>
      <c r="J19" s="0" t="n">
        <f aca="false">J15+J16+J17+J18</f>
        <v>283.316879053071</v>
      </c>
      <c r="K19" s="0" t="n">
        <f aca="false">K15+K16+K17+K18</f>
        <v>295.068981053767</v>
      </c>
      <c r="L19" s="0" t="n">
        <f aca="false">L15+L16+L17+L18</f>
        <v>302.445705580111</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139.220434819908</v>
      </c>
      <c r="D21" s="0" t="n">
        <f aca="false">D19*D20</f>
        <v>150.04397478114</v>
      </c>
      <c r="E21" s="0" t="n">
        <f aca="false">E19*E20</f>
        <v>161.362846663133</v>
      </c>
      <c r="F21" s="0" t="n">
        <f aca="false">F19*F20</f>
        <v>165.373784132104</v>
      </c>
      <c r="G21" s="0" t="n">
        <f aca="false">G19*G20</f>
        <v>161.906188326214</v>
      </c>
      <c r="H21" s="0" t="n">
        <f aca="false">H19*H20</f>
        <v>157.735507926682</v>
      </c>
      <c r="I21" s="0" t="n">
        <f aca="false">I19*I20</f>
        <v>152.917113394641</v>
      </c>
      <c r="J21" s="0" t="n">
        <f aca="false">J19*J20</f>
        <v>147.514442945413</v>
      </c>
      <c r="K21" s="0" t="n">
        <f aca="false">K19*K20</f>
        <v>141.597606823619</v>
      </c>
      <c r="L21" s="0" t="n">
        <f aca="false">L19*L20</f>
        <v>133.767324418626</v>
      </c>
    </row>
    <row r="23" customFormat="false" ht="15" hidden="false" customHeight="false" outlineLevel="0" collapsed="false">
      <c r="A23" s="0" t="s">
        <v>101</v>
      </c>
      <c r="C23" s="4" t="n">
        <f aca="false">Assumptions!C30</f>
        <v>0.54</v>
      </c>
      <c r="D23" s="4" t="n">
        <f aca="false">Assumptions!D30</f>
        <v>0.54</v>
      </c>
      <c r="E23" s="4" t="n">
        <f aca="false">Assumptions!E30</f>
        <v>0.54</v>
      </c>
      <c r="F23" s="4" t="n">
        <f aca="false">Assumptions!F30</f>
        <v>0.54</v>
      </c>
      <c r="G23" s="4" t="n">
        <f aca="false">Assumptions!G30</f>
        <v>0.54</v>
      </c>
      <c r="H23" s="4" t="n">
        <f aca="false">Assumptions!H30</f>
        <v>0.54</v>
      </c>
      <c r="I23" s="4" t="n">
        <f aca="false">Assumptions!I30</f>
        <v>0.54</v>
      </c>
      <c r="J23" s="4" t="n">
        <f aca="false">Assumptions!J30</f>
        <v>0.54</v>
      </c>
      <c r="K23" s="4" t="n">
        <f aca="false">Assumptions!K30</f>
        <v>0.54</v>
      </c>
      <c r="L23" s="4" t="n">
        <f aca="false">Assumptions!L30</f>
        <v>0.54</v>
      </c>
    </row>
    <row r="24" customFormat="false" ht="15" hidden="false" customHeight="false" outlineLevel="0" collapsed="false">
      <c r="A24" s="0" t="s">
        <v>126</v>
      </c>
      <c r="C24" s="0" t="n">
        <f aca="false">-C6*C23/100</f>
        <v>-14.918167062</v>
      </c>
      <c r="D24" s="0" t="n">
        <f aca="false">-D6*D23/100</f>
        <v>-16.11162042696</v>
      </c>
      <c r="E24" s="0" t="n">
        <f aca="false">-E6*E23/100</f>
        <v>-17.0783176525776</v>
      </c>
      <c r="F24" s="0" t="n">
        <f aca="false">-F6*F23/100</f>
        <v>-17.9322335352065</v>
      </c>
      <c r="G24" s="0" t="n">
        <f aca="false">-G6*G23/100</f>
        <v>-18.7391840442908</v>
      </c>
      <c r="H24" s="0" t="n">
        <f aca="false">-H6*H23/100</f>
        <v>-19.4887514060624</v>
      </c>
      <c r="I24" s="0" t="n">
        <f aca="false">-I6*I23/100</f>
        <v>-20.1708577052746</v>
      </c>
      <c r="J24" s="0" t="n">
        <f aca="false">-J6*J23/100</f>
        <v>-20.7759834364328</v>
      </c>
      <c r="K24" s="0" t="n">
        <f aca="false">-K6*K23/100</f>
        <v>-21.2953830223436</v>
      </c>
      <c r="L24" s="0" t="n">
        <f aca="false">-L6*L23/100</f>
        <v>-21.8277675979022</v>
      </c>
    </row>
    <row r="26" customFormat="false" ht="15" hidden="false" customHeight="false" outlineLevel="0" collapsed="false">
      <c r="A26" s="2" t="s">
        <v>127</v>
      </c>
    </row>
    <row r="27" customFormat="false" ht="15" hidden="false" customHeight="false" outlineLevel="0" collapsed="false">
      <c r="A27" s="0" t="s">
        <v>105</v>
      </c>
      <c r="B27" s="4" t="n">
        <f aca="false">Assumptions!$B$34</f>
        <v>8.5</v>
      </c>
    </row>
    <row r="28" customFormat="false" ht="15" hidden="false" customHeight="false" outlineLevel="0" collapsed="false">
      <c r="A28" s="0" t="s">
        <v>106</v>
      </c>
      <c r="B28" s="4" t="n">
        <f aca="false">Assumptions!$B$35</f>
        <v>2</v>
      </c>
    </row>
    <row r="29" customFormat="false" ht="15" hidden="false" customHeight="false" outlineLevel="0" collapsed="false">
      <c r="A29" s="0" t="s">
        <v>107</v>
      </c>
      <c r="B29" s="4" t="n">
        <f aca="false">Assumptions!$B$36</f>
        <v>14</v>
      </c>
    </row>
    <row r="30" customFormat="false" ht="15" hidden="false" customHeight="false" outlineLevel="0" collapsed="false">
      <c r="A30" s="0" t="s">
        <v>128</v>
      </c>
      <c r="B30" s="0" t="n">
        <f aca="false">SUM(C21:L21)</f>
        <v>1511.43922423148</v>
      </c>
    </row>
    <row r="31" customFormat="false" ht="15" hidden="false" customHeight="false" outlineLevel="0" collapsed="false">
      <c r="A31" s="0" t="s">
        <v>129</v>
      </c>
      <c r="B31" s="0" t="n">
        <f aca="false">L19</f>
        <v>302.445705580111</v>
      </c>
    </row>
    <row r="32" customFormat="false" ht="15" hidden="false" customHeight="false" outlineLevel="0" collapsed="false">
      <c r="A32" s="0" t="s">
        <v>130</v>
      </c>
      <c r="B32" s="0" t="n">
        <f aca="false">IF(B27&gt;B28,B31*(1+B28/100)/((B27-B28)/100),B31*B29)</f>
        <v>4746.07107218021</v>
      </c>
    </row>
    <row r="33" customFormat="false" ht="15" hidden="false" customHeight="false" outlineLevel="0" collapsed="false">
      <c r="A33" s="0" t="s">
        <v>131</v>
      </c>
      <c r="B33" s="0" t="n">
        <f aca="false">B31*B29</f>
        <v>4234.23987812156</v>
      </c>
    </row>
    <row r="34" customFormat="false" ht="15" hidden="false" customHeight="false" outlineLevel="0" collapsed="false">
      <c r="A34" s="0" t="s">
        <v>132</v>
      </c>
      <c r="B34" s="0" t="n">
        <f aca="false">MAX(0,MIN(B32,B33))</f>
        <v>4234.23987812156</v>
      </c>
    </row>
    <row r="35" customFormat="false" ht="15" hidden="false" customHeight="false" outlineLevel="0" collapsed="false">
      <c r="A35" s="0" t="s">
        <v>133</v>
      </c>
      <c r="B35" s="0" t="n">
        <f aca="false">B34/(1+B27/100)^L4</f>
        <v>1872.74254186077</v>
      </c>
    </row>
    <row r="36" customFormat="false" ht="15" hidden="false" customHeight="false" outlineLevel="0" collapsed="false">
      <c r="A36" s="0" t="s">
        <v>134</v>
      </c>
      <c r="B36" s="0" t="n">
        <f aca="false">B30+B35</f>
        <v>3384.18176609225</v>
      </c>
    </row>
    <row r="37" customFormat="false" ht="15" hidden="false" customHeight="false" outlineLevel="0" collapsed="false">
      <c r="A37" s="0" t="s">
        <v>135</v>
      </c>
      <c r="B37" s="0" t="n">
        <f aca="false">B36+Assumptions!$B$5-Assumptions!$B$4</f>
        <v>4484.28976609225</v>
      </c>
    </row>
    <row r="38" customFormat="false" ht="15" hidden="false" customHeight="false" outlineLevel="0" collapsed="false">
      <c r="A38" s="0" t="s">
        <v>136</v>
      </c>
      <c r="B38" s="0" t="n">
        <f aca="false">B37/Assumptions!$B$3*Assumptions!$B$10</f>
        <v>15.5704505767092</v>
      </c>
    </row>
    <row r="39" customFormat="false" ht="15" hidden="false" customHeight="false" outlineLevel="0" collapsed="false">
      <c r="A39" s="0" t="s">
        <v>137</v>
      </c>
      <c r="B39" s="4" t="n">
        <f aca="false">B38/Assumptions!$B$2-1</f>
        <v>0.0123830023868132</v>
      </c>
    </row>
    <row r="41" customFormat="false" ht="15" hidden="false" customHeight="false" outlineLevel="0" collapsed="false">
      <c r="A41" s="0" t="s">
        <v>138</v>
      </c>
      <c r="B41" s="0" t="n">
        <f aca="false">SUMPRODUCT(-C10:L10/(1+$B$27/100)^C4:L4)</f>
        <v>15.586600858434</v>
      </c>
    </row>
    <row r="42" customFormat="false" ht="15" hidden="false" customHeight="false" outlineLevel="0" collapsed="false">
      <c r="A42" s="0" t="s">
        <v>139</v>
      </c>
      <c r="B42" s="0" t="n">
        <f aca="false">IF(B27&gt;B28,-L10*(1+B28/100)/((B27-B28)/100),-L10*20)/(1+B27/100)^L4</f>
        <v>19.6382613147467</v>
      </c>
    </row>
    <row r="43" customFormat="false" ht="15" hidden="false" customHeight="false" outlineLevel="0" collapsed="false">
      <c r="A43" s="0" t="s">
        <v>140</v>
      </c>
      <c r="B43" s="0" t="n">
        <f aca="false">(B37+B41+B42)/Assumptions!$B$3*Assumptions!$B$10</f>
        <v>15.6927591259216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2373.03553609011</v>
      </c>
    </row>
    <row r="47" customFormat="false" ht="15" hidden="false" customHeight="false" outlineLevel="0" collapsed="false">
      <c r="A47" s="0" t="s">
        <v>142</v>
      </c>
      <c r="B47" s="0" t="n">
        <f aca="false">(SUMPRODUCT(C19:L19/(1+B45/100)^C4:L4)+B46/(1+B45/100)^L4+Assumptions!$B$5-Assumptions!$B$4)/Assumptions!$B$3*Assumptions!$B$10</f>
        <v>9.73424701906444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12</v>
      </c>
      <c r="D5" s="4" t="n">
        <f aca="false">Assumptions!D41</f>
        <v>12</v>
      </c>
      <c r="E5" s="4" t="n">
        <f aca="false">Assumptions!E41</f>
        <v>9</v>
      </c>
      <c r="F5" s="4" t="n">
        <f aca="false">Assumptions!F41</f>
        <v>7</v>
      </c>
      <c r="G5" s="4" t="n">
        <f aca="false">Assumptions!G41</f>
        <v>6</v>
      </c>
      <c r="H5" s="4" t="n">
        <f aca="false">Assumptions!H41</f>
        <v>5</v>
      </c>
      <c r="I5" s="4" t="n">
        <f aca="false">Assumptions!I41</f>
        <v>4</v>
      </c>
      <c r="J5" s="4" t="n">
        <f aca="false">Assumptions!J41</f>
        <v>3.5</v>
      </c>
      <c r="K5" s="4" t="n">
        <f aca="false">Assumptions!K41</f>
        <v>3</v>
      </c>
      <c r="L5" s="4" t="n">
        <f aca="false">Assumptions!L41</f>
        <v>2.5</v>
      </c>
    </row>
    <row r="6" customFormat="false" ht="15" hidden="false" customHeight="false" outlineLevel="0" collapsed="false">
      <c r="A6" s="0" t="s">
        <v>37</v>
      </c>
      <c r="B6" s="3" t="n">
        <v>2534.517</v>
      </c>
      <c r="C6" s="0" t="n">
        <f aca="false">B6*(1+C5/100)</f>
        <v>2838.65904</v>
      </c>
      <c r="D6" s="0" t="n">
        <f aca="false">C6*(1+D5/100)</f>
        <v>3179.2981248</v>
      </c>
      <c r="E6" s="0" t="n">
        <f aca="false">D6*(1+E5/100)</f>
        <v>3465.434956032</v>
      </c>
      <c r="F6" s="0" t="n">
        <f aca="false">E6*(1+F5/100)</f>
        <v>3708.01540295424</v>
      </c>
      <c r="G6" s="0" t="n">
        <f aca="false">F6*(1+G5/100)</f>
        <v>3930.4963271315</v>
      </c>
      <c r="H6" s="0" t="n">
        <f aca="false">G6*(1+H5/100)</f>
        <v>4127.02114348807</v>
      </c>
      <c r="I6" s="0" t="n">
        <f aca="false">H6*(1+I5/100)</f>
        <v>4292.10198922759</v>
      </c>
      <c r="J6" s="0" t="n">
        <f aca="false">I6*(1+J5/100)</f>
        <v>4442.32555885056</v>
      </c>
      <c r="K6" s="0" t="n">
        <f aca="false">J6*(1+K5/100)</f>
        <v>4575.59532561608</v>
      </c>
      <c r="L6" s="0" t="n">
        <f aca="false">K6*(1+L5/100)</f>
        <v>4689.98520875648</v>
      </c>
    </row>
    <row r="7" customFormat="false" ht="15" hidden="false" customHeight="false" outlineLevel="0" collapsed="false">
      <c r="A7" s="0" t="s">
        <v>99</v>
      </c>
      <c r="C7" s="4" t="n">
        <f aca="false">Assumptions!C42</f>
        <v>11.5</v>
      </c>
      <c r="D7" s="4" t="n">
        <f aca="false">Assumptions!D42</f>
        <v>12</v>
      </c>
      <c r="E7" s="4" t="n">
        <f aca="false">Assumptions!E42</f>
        <v>12.5</v>
      </c>
      <c r="F7" s="4" t="n">
        <f aca="false">Assumptions!F42</f>
        <v>12.8</v>
      </c>
      <c r="G7" s="4" t="n">
        <f aca="false">Assumptions!G42</f>
        <v>13</v>
      </c>
      <c r="H7" s="4" t="n">
        <f aca="false">Assumptions!H42</f>
        <v>13</v>
      </c>
      <c r="I7" s="4" t="n">
        <f aca="false">Assumptions!I42</f>
        <v>13</v>
      </c>
      <c r="J7" s="4" t="n">
        <f aca="false">Assumptions!J42</f>
        <v>13</v>
      </c>
      <c r="K7" s="4" t="n">
        <f aca="false">Assumptions!K42</f>
        <v>13</v>
      </c>
      <c r="L7" s="4" t="n">
        <f aca="false">Assumptions!L42</f>
        <v>13</v>
      </c>
    </row>
    <row r="8" customFormat="false" ht="15" hidden="false" customHeight="false" outlineLevel="0" collapsed="false">
      <c r="A8" s="0" t="s">
        <v>43</v>
      </c>
      <c r="C8" s="0" t="n">
        <f aca="false">C6*C7/100</f>
        <v>326.4457896</v>
      </c>
      <c r="D8" s="0" t="n">
        <f aca="false">D6*D7/100</f>
        <v>381.515774976</v>
      </c>
      <c r="E8" s="0" t="n">
        <f aca="false">E6*E7/100</f>
        <v>433.179369504</v>
      </c>
      <c r="F8" s="0" t="n">
        <f aca="false">F6*F7/100</f>
        <v>474.625971578143</v>
      </c>
      <c r="G8" s="0" t="n">
        <f aca="false">G6*G7/100</f>
        <v>510.964522527094</v>
      </c>
      <c r="H8" s="0" t="n">
        <f aca="false">H6*H7/100</f>
        <v>536.512748653449</v>
      </c>
      <c r="I8" s="0" t="n">
        <f aca="false">I6*I7/100</f>
        <v>557.973258599587</v>
      </c>
      <c r="J8" s="0" t="n">
        <f aca="false">J6*J7/100</f>
        <v>577.502322650573</v>
      </c>
      <c r="K8" s="0" t="n">
        <f aca="false">K6*K7/100</f>
        <v>594.82739233009</v>
      </c>
      <c r="L8" s="0" t="n">
        <f aca="false">L6*L7/100</f>
        <v>609.698077138342</v>
      </c>
    </row>
    <row r="9" customFormat="false" ht="15" hidden="false" customHeight="false" outlineLevel="0" collapsed="false">
      <c r="A9" s="0" t="s">
        <v>100</v>
      </c>
      <c r="C9" s="4" t="n">
        <f aca="false">Assumptions!C43</f>
        <v>0.07</v>
      </c>
      <c r="D9" s="4" t="n">
        <f aca="false">Assumptions!D43</f>
        <v>0.07</v>
      </c>
      <c r="E9" s="4" t="n">
        <f aca="false">Assumptions!E43</f>
        <v>0.07</v>
      </c>
      <c r="F9" s="4" t="n">
        <f aca="false">Assumptions!F43</f>
        <v>0.07</v>
      </c>
      <c r="G9" s="4" t="n">
        <f aca="false">Assumptions!G43</f>
        <v>0.07</v>
      </c>
      <c r="H9" s="4" t="n">
        <f aca="false">Assumptions!H43</f>
        <v>0.07</v>
      </c>
      <c r="I9" s="4" t="n">
        <f aca="false">Assumptions!I43</f>
        <v>0.07</v>
      </c>
      <c r="J9" s="4" t="n">
        <f aca="false">Assumptions!J43</f>
        <v>0.07</v>
      </c>
      <c r="K9" s="4" t="n">
        <f aca="false">Assumptions!K43</f>
        <v>0.07</v>
      </c>
      <c r="L9" s="4" t="n">
        <f aca="false">Assumptions!L43</f>
        <v>0.07</v>
      </c>
    </row>
    <row r="10" customFormat="false" ht="15" hidden="false" customHeight="false" outlineLevel="0" collapsed="false">
      <c r="A10" s="0" t="s">
        <v>115</v>
      </c>
      <c r="C10" s="0" t="n">
        <f aca="false">-C6*C9/100</f>
        <v>-1.987061328</v>
      </c>
      <c r="D10" s="0" t="n">
        <f aca="false">-D6*D9/100</f>
        <v>-2.22550868736</v>
      </c>
      <c r="E10" s="0" t="n">
        <f aca="false">-E6*E9/100</f>
        <v>-2.4258044692224</v>
      </c>
      <c r="F10" s="0" t="n">
        <f aca="false">-F6*F9/100</f>
        <v>-2.59561078206797</v>
      </c>
      <c r="G10" s="0" t="n">
        <f aca="false">-G6*G9/100</f>
        <v>-2.75134742899205</v>
      </c>
      <c r="H10" s="0" t="n">
        <f aca="false">-H6*H9/100</f>
        <v>-2.88891480044165</v>
      </c>
      <c r="I10" s="0" t="n">
        <f aca="false">-I6*I9/100</f>
        <v>-3.00447139245932</v>
      </c>
      <c r="J10" s="0" t="n">
        <f aca="false">-J6*J9/100</f>
        <v>-3.10962789119539</v>
      </c>
      <c r="K10" s="0" t="n">
        <f aca="false">-K6*K9/100</f>
        <v>-3.20291672793125</v>
      </c>
      <c r="L10" s="0" t="n">
        <f aca="false">-L6*L9/100</f>
        <v>-3.28298964612953</v>
      </c>
    </row>
    <row r="11" customFormat="false" ht="15" hidden="false" customHeight="false" outlineLevel="0" collapsed="false">
      <c r="A11" s="0" t="s">
        <v>116</v>
      </c>
      <c r="C11" s="0" t="n">
        <f aca="false">C8+C10+C24</f>
        <v>309.129969456</v>
      </c>
      <c r="D11" s="0" t="n">
        <f aca="false">D8+D10+D24</f>
        <v>362.12205641472</v>
      </c>
      <c r="E11" s="0" t="n">
        <f aca="false">E8+E10+E24</f>
        <v>412.040216272205</v>
      </c>
      <c r="F11" s="0" t="n">
        <f aca="false">F8+F10+F24</f>
        <v>452.007077620122</v>
      </c>
      <c r="G11" s="0" t="n">
        <f aca="false">G8+G10+G24</f>
        <v>486.988494931592</v>
      </c>
      <c r="H11" s="0" t="n">
        <f aca="false">H8+H10+H24</f>
        <v>511.337919678172</v>
      </c>
      <c r="I11" s="0" t="n">
        <f aca="false">I8+I10+I24</f>
        <v>531.791436465299</v>
      </c>
      <c r="J11" s="0" t="n">
        <f aca="false">J8+J10+J24</f>
        <v>550.404136741584</v>
      </c>
      <c r="K11" s="0" t="n">
        <f aca="false">K8+K10+K24</f>
        <v>566.916260843832</v>
      </c>
      <c r="L11" s="0" t="n">
        <f aca="false">L8+L10+L24</f>
        <v>581.089167364927</v>
      </c>
    </row>
    <row r="12" customFormat="false" ht="15" hidden="false" customHeight="false" outlineLevel="0" collapsed="false">
      <c r="A12" s="0" t="s">
        <v>117</v>
      </c>
      <c r="C12" s="4" t="n">
        <f aca="false">-C6*Assumptions!C45/100</f>
        <v>-25.54793136</v>
      </c>
      <c r="D12" s="4" t="n">
        <f aca="false">-D6*Assumptions!D45/100</f>
        <v>-28.6136831232</v>
      </c>
      <c r="E12" s="4" t="n">
        <f aca="false">-E6*Assumptions!E45/100</f>
        <v>-31.188914604288</v>
      </c>
      <c r="F12" s="4" t="n">
        <f aca="false">-F6*Assumptions!F45/100</f>
        <v>-33.3721386265882</v>
      </c>
      <c r="G12" s="4" t="n">
        <f aca="false">-G6*Assumptions!G45/100</f>
        <v>-35.3744669441835</v>
      </c>
      <c r="H12" s="4" t="n">
        <f aca="false">-H6*Assumptions!H45/100</f>
        <v>-37.1431902913926</v>
      </c>
      <c r="I12" s="4" t="n">
        <f aca="false">-I6*Assumptions!I45/100</f>
        <v>-38.6289179030483</v>
      </c>
      <c r="J12" s="4" t="n">
        <f aca="false">-J6*Assumptions!J45/100</f>
        <v>-39.980930029655</v>
      </c>
      <c r="K12" s="4" t="n">
        <f aca="false">-K6*Assumptions!K45/100</f>
        <v>-41.1803579305447</v>
      </c>
      <c r="L12" s="4" t="n">
        <f aca="false">-L6*Assumptions!L45/100</f>
        <v>-42.2098668788083</v>
      </c>
    </row>
    <row r="13" customFormat="false" ht="15" hidden="false" customHeight="false" outlineLevel="0" collapsed="false">
      <c r="A13" s="0" t="s">
        <v>118</v>
      </c>
      <c r="C13" s="0" t="n">
        <f aca="false">C11+C12</f>
        <v>283.582038096</v>
      </c>
      <c r="D13" s="0" t="n">
        <f aca="false">D11+D12</f>
        <v>333.50837329152</v>
      </c>
      <c r="E13" s="0" t="n">
        <f aca="false">E11+E12</f>
        <v>380.851301667917</v>
      </c>
      <c r="F13" s="0" t="n">
        <f aca="false">F11+F12</f>
        <v>418.634938993534</v>
      </c>
      <c r="G13" s="0" t="n">
        <f aca="false">G11+G12</f>
        <v>451.614027987409</v>
      </c>
      <c r="H13" s="0" t="n">
        <f aca="false">H11+H12</f>
        <v>474.194729386779</v>
      </c>
      <c r="I13" s="0" t="n">
        <f aca="false">I11+I12</f>
        <v>493.16251856225</v>
      </c>
      <c r="J13" s="0" t="n">
        <f aca="false">J11+J12</f>
        <v>510.423206711929</v>
      </c>
      <c r="K13" s="0" t="n">
        <f aca="false">K11+K12</f>
        <v>525.735902913287</v>
      </c>
      <c r="L13" s="0" t="n">
        <f aca="false">L11+L12</f>
        <v>538.879300486119</v>
      </c>
    </row>
    <row r="14" customFormat="false" ht="15" hidden="false" customHeight="false" outlineLevel="0" collapsed="false">
      <c r="A14" s="0" t="s">
        <v>104</v>
      </c>
      <c r="C14" s="4" t="n">
        <f aca="false">Assumptions!C47</f>
        <v>20</v>
      </c>
      <c r="D14" s="4" t="n">
        <f aca="false">Assumptions!D47</f>
        <v>20</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119</v>
      </c>
      <c r="C15" s="0" t="n">
        <f aca="false">C13-MAX(0,C13)*C14/100</f>
        <v>226.8656304768</v>
      </c>
      <c r="D15" s="0" t="n">
        <f aca="false">D13-MAX(0,D13)*D14/100</f>
        <v>266.806698633216</v>
      </c>
      <c r="E15" s="0" t="n">
        <f aca="false">E13-MAX(0,E13)*E14/100</f>
        <v>304.681041334333</v>
      </c>
      <c r="F15" s="0" t="n">
        <f aca="false">F13-MAX(0,F13)*F14/100</f>
        <v>334.907951194827</v>
      </c>
      <c r="G15" s="0" t="n">
        <f aca="false">G13-MAX(0,G13)*G14/100</f>
        <v>361.291222389927</v>
      </c>
      <c r="H15" s="0" t="n">
        <f aca="false">H13-MAX(0,H13)*H14/100</f>
        <v>379.355783509424</v>
      </c>
      <c r="I15" s="0" t="n">
        <f aca="false">I13-MAX(0,I13)*I14/100</f>
        <v>394.5300148498</v>
      </c>
      <c r="J15" s="0" t="n">
        <f aca="false">J13-MAX(0,J13)*J14/100</f>
        <v>408.338565369543</v>
      </c>
      <c r="K15" s="0" t="n">
        <f aca="false">K13-MAX(0,K13)*K14/100</f>
        <v>420.58872233063</v>
      </c>
      <c r="L15" s="0" t="n">
        <f aca="false">L13-MAX(0,L13)*L14/100</f>
        <v>431.103440388895</v>
      </c>
    </row>
    <row r="16" customFormat="false" ht="15" hidden="false" customHeight="false" outlineLevel="0" collapsed="false">
      <c r="A16" s="0" t="s">
        <v>120</v>
      </c>
      <c r="C16" s="0" t="n">
        <f aca="false">-C12</f>
        <v>25.54793136</v>
      </c>
      <c r="D16" s="0" t="n">
        <f aca="false">-D12</f>
        <v>28.6136831232</v>
      </c>
      <c r="E16" s="0" t="n">
        <f aca="false">-E12</f>
        <v>31.188914604288</v>
      </c>
      <c r="F16" s="0" t="n">
        <f aca="false">-F12</f>
        <v>33.3721386265882</v>
      </c>
      <c r="G16" s="0" t="n">
        <f aca="false">-G12</f>
        <v>35.3744669441835</v>
      </c>
      <c r="H16" s="0" t="n">
        <f aca="false">-H12</f>
        <v>37.1431902913926</v>
      </c>
      <c r="I16" s="0" t="n">
        <f aca="false">-I12</f>
        <v>38.6289179030483</v>
      </c>
      <c r="J16" s="0" t="n">
        <f aca="false">-J12</f>
        <v>39.980930029655</v>
      </c>
      <c r="K16" s="0" t="n">
        <f aca="false">-K12</f>
        <v>41.1803579305447</v>
      </c>
      <c r="L16" s="0" t="n">
        <f aca="false">-L12</f>
        <v>42.2098668788083</v>
      </c>
    </row>
    <row r="17" customFormat="false" ht="15" hidden="false" customHeight="false" outlineLevel="0" collapsed="false">
      <c r="A17" s="0" t="s">
        <v>121</v>
      </c>
      <c r="C17" s="4" t="n">
        <f aca="false">-C6*Assumptions!C46/100</f>
        <v>-39.74122656</v>
      </c>
      <c r="D17" s="4" t="n">
        <f aca="false">-D6*Assumptions!D46/100</f>
        <v>-44.5101737472</v>
      </c>
      <c r="E17" s="4" t="n">
        <f aca="false">-E6*Assumptions!E46/100</f>
        <v>-48.516089384448</v>
      </c>
      <c r="F17" s="4" t="n">
        <f aca="false">-F6*Assumptions!F46/100</f>
        <v>-51.9122156413594</v>
      </c>
      <c r="G17" s="4" t="n">
        <f aca="false">-G6*Assumptions!G46/100</f>
        <v>-55.0269485798409</v>
      </c>
      <c r="H17" s="4" t="n">
        <f aca="false">-H6*Assumptions!H46/100</f>
        <v>-57.778296008833</v>
      </c>
      <c r="I17" s="4" t="n">
        <f aca="false">-I6*Assumptions!I46/100</f>
        <v>-60.0894278491863</v>
      </c>
      <c r="J17" s="4" t="n">
        <f aca="false">-J6*Assumptions!J46/100</f>
        <v>-62.1925578239078</v>
      </c>
      <c r="K17" s="4" t="n">
        <f aca="false">-K6*Assumptions!K46/100</f>
        <v>-64.0583345586251</v>
      </c>
      <c r="L17" s="4" t="n">
        <f aca="false">-L6*Assumptions!L46/100</f>
        <v>-65.6597929225907</v>
      </c>
    </row>
    <row r="18" customFormat="false" ht="15" hidden="false" customHeight="false" outlineLevel="0" collapsed="false">
      <c r="A18" s="0" t="s">
        <v>122</v>
      </c>
      <c r="C18" s="4" t="n">
        <f aca="false">(C6-B6)*Assumptions!$B$51/100</f>
        <v>-76.03551</v>
      </c>
      <c r="D18" s="4" t="n">
        <f aca="false">(D6-C6)*Assumptions!$B$51/100</f>
        <v>-85.1597712</v>
      </c>
      <c r="E18" s="4" t="n">
        <f aca="false">(E6-D6)*Assumptions!$B$51/100</f>
        <v>-71.534207808</v>
      </c>
      <c r="F18" s="4" t="n">
        <f aca="false">(F6-E6)*Assumptions!$B$51/100</f>
        <v>-60.6451117305601</v>
      </c>
      <c r="G18" s="4" t="n">
        <f aca="false">(G6-F6)*Assumptions!$B$51/100</f>
        <v>-55.6202310443136</v>
      </c>
      <c r="H18" s="4" t="n">
        <f aca="false">(H6-G6)*Assumptions!$B$51/100</f>
        <v>-49.1312040891438</v>
      </c>
      <c r="I18" s="4" t="n">
        <f aca="false">(I6-H6)*Assumptions!$B$51/100</f>
        <v>-41.2702114348808</v>
      </c>
      <c r="J18" s="4" t="n">
        <f aca="false">(J6-I6)*Assumptions!$B$51/100</f>
        <v>-37.5558924057414</v>
      </c>
      <c r="K18" s="4" t="n">
        <f aca="false">(K6-J6)*Assumptions!$B$51/100</f>
        <v>-33.3174416913791</v>
      </c>
      <c r="L18" s="4" t="n">
        <f aca="false">(L6-K6)*Assumptions!$B$51/100</f>
        <v>-28.5974707851003</v>
      </c>
    </row>
    <row r="19" customFormat="false" ht="15" hidden="false" customHeight="false" outlineLevel="0" collapsed="false">
      <c r="A19" s="0" t="s">
        <v>123</v>
      </c>
      <c r="C19" s="0" t="n">
        <f aca="false">C15+C16+C17+C18</f>
        <v>136.6368252768</v>
      </c>
      <c r="D19" s="0" t="n">
        <f aca="false">D15+D16+D17+D18</f>
        <v>165.750436809216</v>
      </c>
      <c r="E19" s="0" t="n">
        <f aca="false">E15+E16+E17+E18</f>
        <v>215.819658746173</v>
      </c>
      <c r="F19" s="0" t="n">
        <f aca="false">F15+F16+F17+F18</f>
        <v>255.722762449496</v>
      </c>
      <c r="G19" s="0" t="n">
        <f aca="false">G15+G16+G17+G18</f>
        <v>286.018509709956</v>
      </c>
      <c r="H19" s="0" t="n">
        <f aca="false">H15+H16+H17+H18</f>
        <v>309.589473702839</v>
      </c>
      <c r="I19" s="0" t="n">
        <f aca="false">I15+I16+I17+I18</f>
        <v>331.799293468781</v>
      </c>
      <c r="J19" s="0" t="n">
        <f aca="false">J15+J16+J17+J18</f>
        <v>348.571045169549</v>
      </c>
      <c r="K19" s="0" t="n">
        <f aca="false">K15+K16+K17+K18</f>
        <v>364.39330401117</v>
      </c>
      <c r="L19" s="0" t="n">
        <f aca="false">L15+L16+L17+L18</f>
        <v>379.056043560013</v>
      </c>
    </row>
    <row r="20" customFormat="false" ht="15" hidden="false" customHeight="false" outlineLevel="0" collapsed="false">
      <c r="A20" s="0" t="s">
        <v>124</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125</v>
      </c>
      <c r="C21" s="0" t="n">
        <f aca="false">C19*C20</f>
        <v>125.932557858802</v>
      </c>
      <c r="D21" s="0" t="n">
        <f aca="false">D19*D20</f>
        <v>140.797584836557</v>
      </c>
      <c r="E21" s="0" t="n">
        <f aca="false">E19*E20</f>
        <v>168.966958632936</v>
      </c>
      <c r="F21" s="0" t="n">
        <f aca="false">F19*F20</f>
        <v>184.522969285519</v>
      </c>
      <c r="G21" s="0" t="n">
        <f aca="false">G19*G20</f>
        <v>190.215300858385</v>
      </c>
      <c r="H21" s="0" t="n">
        <f aca="false">H19*H20</f>
        <v>189.761348004008</v>
      </c>
      <c r="I21" s="0" t="n">
        <f aca="false">I19*I20</f>
        <v>187.442164048291</v>
      </c>
      <c r="J21" s="0" t="n">
        <f aca="false">J19*J20</f>
        <v>181.4902935785</v>
      </c>
      <c r="K21" s="0" t="n">
        <f aca="false">K19*K20</f>
        <v>174.864940415852</v>
      </c>
      <c r="L21" s="0" t="n">
        <f aca="false">L19*L20</f>
        <v>167.650959548184</v>
      </c>
    </row>
    <row r="23" customFormat="false" ht="15" hidden="false" customHeight="false" outlineLevel="0" collapsed="false">
      <c r="A23" s="0" t="s">
        <v>101</v>
      </c>
      <c r="C23" s="4" t="n">
        <f aca="false">Assumptions!C44</f>
        <v>0.54</v>
      </c>
      <c r="D23" s="4" t="n">
        <f aca="false">Assumptions!D44</f>
        <v>0.54</v>
      </c>
      <c r="E23" s="4" t="n">
        <f aca="false">Assumptions!E44</f>
        <v>0.54</v>
      </c>
      <c r="F23" s="4" t="n">
        <f aca="false">Assumptions!F44</f>
        <v>0.54</v>
      </c>
      <c r="G23" s="4" t="n">
        <f aca="false">Assumptions!G44</f>
        <v>0.54</v>
      </c>
      <c r="H23" s="4" t="n">
        <f aca="false">Assumptions!H44</f>
        <v>0.54</v>
      </c>
      <c r="I23" s="4" t="n">
        <f aca="false">Assumptions!I44</f>
        <v>0.54</v>
      </c>
      <c r="J23" s="4" t="n">
        <f aca="false">Assumptions!J44</f>
        <v>0.54</v>
      </c>
      <c r="K23" s="4" t="n">
        <f aca="false">Assumptions!K44</f>
        <v>0.54</v>
      </c>
      <c r="L23" s="4" t="n">
        <f aca="false">Assumptions!L44</f>
        <v>0.54</v>
      </c>
    </row>
    <row r="24" customFormat="false" ht="15" hidden="false" customHeight="false" outlineLevel="0" collapsed="false">
      <c r="A24" s="0" t="s">
        <v>126</v>
      </c>
      <c r="C24" s="0" t="n">
        <f aca="false">-C6*C23/100</f>
        <v>-15.328758816</v>
      </c>
      <c r="D24" s="0" t="n">
        <f aca="false">-D6*D23/100</f>
        <v>-17.16820987392</v>
      </c>
      <c r="E24" s="0" t="n">
        <f aca="false">-E6*E23/100</f>
        <v>-18.7133487625728</v>
      </c>
      <c r="F24" s="0" t="n">
        <f aca="false">-F6*F23/100</f>
        <v>-20.0232831759529</v>
      </c>
      <c r="G24" s="0" t="n">
        <f aca="false">-G6*G23/100</f>
        <v>-21.2246801665101</v>
      </c>
      <c r="H24" s="0" t="n">
        <f aca="false">-H6*H23/100</f>
        <v>-22.2859141748356</v>
      </c>
      <c r="I24" s="0" t="n">
        <f aca="false">-I6*I23/100</f>
        <v>-23.177350741829</v>
      </c>
      <c r="J24" s="0" t="n">
        <f aca="false">-J6*J23/100</f>
        <v>-23.988558017793</v>
      </c>
      <c r="K24" s="0" t="n">
        <f aca="false">-K6*K23/100</f>
        <v>-24.7082147583268</v>
      </c>
      <c r="L24" s="0" t="n">
        <f aca="false">-L6*L23/100</f>
        <v>-25.325920127285</v>
      </c>
    </row>
    <row r="26" customFormat="false" ht="15" hidden="false" customHeight="false" outlineLevel="0" collapsed="false">
      <c r="A26" s="2" t="s">
        <v>127</v>
      </c>
    </row>
    <row r="27" customFormat="false" ht="15" hidden="false" customHeight="false" outlineLevel="0" collapsed="false">
      <c r="A27" s="0" t="s">
        <v>105</v>
      </c>
      <c r="B27" s="4" t="n">
        <f aca="false">Assumptions!$B$48</f>
        <v>8.5</v>
      </c>
    </row>
    <row r="28" customFormat="false" ht="15" hidden="false" customHeight="false" outlineLevel="0" collapsed="false">
      <c r="A28" s="0" t="s">
        <v>106</v>
      </c>
      <c r="B28" s="4" t="n">
        <f aca="false">Assumptions!$B$49</f>
        <v>2</v>
      </c>
    </row>
    <row r="29" customFormat="false" ht="15" hidden="false" customHeight="false" outlineLevel="0" collapsed="false">
      <c r="A29" s="0" t="s">
        <v>107</v>
      </c>
      <c r="B29" s="4" t="n">
        <f aca="false">Assumptions!$B$50</f>
        <v>14</v>
      </c>
    </row>
    <row r="30" customFormat="false" ht="15" hidden="false" customHeight="false" outlineLevel="0" collapsed="false">
      <c r="A30" s="0" t="s">
        <v>128</v>
      </c>
      <c r="B30" s="0" t="n">
        <f aca="false">SUM(C21:L21)</f>
        <v>1711.64507706703</v>
      </c>
    </row>
    <row r="31" customFormat="false" ht="15" hidden="false" customHeight="false" outlineLevel="0" collapsed="false">
      <c r="A31" s="0" t="s">
        <v>129</v>
      </c>
      <c r="B31" s="0" t="n">
        <f aca="false">L19</f>
        <v>379.056043560013</v>
      </c>
    </row>
    <row r="32" customFormat="false" ht="15" hidden="false" customHeight="false" outlineLevel="0" collapsed="false">
      <c r="A32" s="0" t="s">
        <v>130</v>
      </c>
      <c r="B32" s="0" t="n">
        <f aca="false">IF(B27&gt;B28,B31*(1+B28/100)/((B27-B28)/100),B31*B29)</f>
        <v>5948.26406817251</v>
      </c>
    </row>
    <row r="33" customFormat="false" ht="15" hidden="false" customHeight="false" outlineLevel="0" collapsed="false">
      <c r="A33" s="0" t="s">
        <v>131</v>
      </c>
      <c r="B33" s="0" t="n">
        <f aca="false">B31*B29</f>
        <v>5306.78460984018</v>
      </c>
    </row>
    <row r="34" customFormat="false" ht="15" hidden="false" customHeight="false" outlineLevel="0" collapsed="false">
      <c r="A34" s="0" t="s">
        <v>132</v>
      </c>
      <c r="B34" s="0" t="n">
        <f aca="false">MAX(0,MIN(B32,B33))</f>
        <v>5306.78460984018</v>
      </c>
    </row>
    <row r="35" customFormat="false" ht="15" hidden="false" customHeight="false" outlineLevel="0" collapsed="false">
      <c r="A35" s="0" t="s">
        <v>133</v>
      </c>
      <c r="B35" s="0" t="n">
        <f aca="false">B34/(1+B27/100)^L4</f>
        <v>2347.11343367457</v>
      </c>
    </row>
    <row r="36" customFormat="false" ht="15" hidden="false" customHeight="false" outlineLevel="0" collapsed="false">
      <c r="A36" s="0" t="s">
        <v>134</v>
      </c>
      <c r="B36" s="0" t="n">
        <f aca="false">B30+B35</f>
        <v>4058.75851074161</v>
      </c>
    </row>
    <row r="37" customFormat="false" ht="15" hidden="false" customHeight="false" outlineLevel="0" collapsed="false">
      <c r="A37" s="0" t="s">
        <v>135</v>
      </c>
      <c r="B37" s="0" t="n">
        <f aca="false">B36+Assumptions!$B$5-Assumptions!$B$4</f>
        <v>5158.86651074161</v>
      </c>
    </row>
    <row r="38" customFormat="false" ht="15" hidden="false" customHeight="false" outlineLevel="0" collapsed="false">
      <c r="A38" s="0" t="s">
        <v>136</v>
      </c>
      <c r="B38" s="0" t="n">
        <f aca="false">B37/Assumptions!$B$3*Assumptions!$B$10</f>
        <v>17.912730940075</v>
      </c>
    </row>
    <row r="39" customFormat="false" ht="15" hidden="false" customHeight="false" outlineLevel="0" collapsed="false">
      <c r="A39" s="0" t="s">
        <v>137</v>
      </c>
      <c r="B39" s="4" t="n">
        <f aca="false">B38/Assumptions!$B$2-1</f>
        <v>0.16467691417913</v>
      </c>
    </row>
    <row r="41" customFormat="false" ht="15" hidden="false" customHeight="false" outlineLevel="0" collapsed="false">
      <c r="A41" s="0" t="s">
        <v>138</v>
      </c>
      <c r="B41" s="0" t="n">
        <f aca="false">SUMPRODUCT(-C10:L10/(1+$B$27/100)^C4:L4)</f>
        <v>17.3999145395003</v>
      </c>
    </row>
    <row r="42" customFormat="false" ht="15" hidden="false" customHeight="false" outlineLevel="0" collapsed="false">
      <c r="A42" s="0" t="s">
        <v>139</v>
      </c>
      <c r="B42" s="0" t="n">
        <f aca="false">IF(B27&gt;B28,-L10*(1+B28/100)/((B27-B28)/100),-L10*20)/(1+B27/100)^L4</f>
        <v>22.7855201071421</v>
      </c>
    </row>
    <row r="43" customFormat="false" ht="15" hidden="false" customHeight="false" outlineLevel="0" collapsed="false">
      <c r="A43" s="0" t="s">
        <v>140</v>
      </c>
      <c r="B43" s="0" t="n">
        <f aca="false">(B37+B41+B42)/Assumptions!$B$3*Assumptions!$B$10</f>
        <v>18.0522636992648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2974.13203408625</v>
      </c>
    </row>
    <row r="47" customFormat="false" ht="15" hidden="false" customHeight="false" outlineLevel="0" collapsed="false">
      <c r="A47" s="0" t="s">
        <v>142</v>
      </c>
      <c r="B47" s="0" t="n">
        <f aca="false">(SUMPRODUCT(C19:L19/(1+B45/100)^C4:L4)+B46/(1+B45/100)^L4+Assumptions!$B$5-Assumptions!$B$4)/Assumptions!$B$3*Assumptions!$B$10</f>
        <v>10.6928441326071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11.7256257840351</v>
      </c>
      <c r="C4" s="0" t="n">
        <f aca="false">B4/Assumptions!$B$2-1</f>
        <v>-0.237605605719437</v>
      </c>
      <c r="D4" s="4" t="n">
        <f aca="false">Assumptions!$B$24</f>
        <v>0.25</v>
      </c>
      <c r="E4" s="4" t="n">
        <f aca="false">DCF_Bear!$B$43</f>
        <v>11.8183360718544</v>
      </c>
      <c r="F4" s="4" t="n">
        <f aca="false">DCF_Bear!$B$47</f>
        <v>8.08964305261521</v>
      </c>
    </row>
    <row r="5" customFormat="false" ht="15" hidden="false" customHeight="false" outlineLevel="0" collapsed="false">
      <c r="A5" s="0" t="s">
        <v>151</v>
      </c>
      <c r="B5" s="4" t="n">
        <f aca="false">DCF_Base!$B$38</f>
        <v>15.5704505767092</v>
      </c>
      <c r="C5" s="0" t="n">
        <f aca="false">B5/Assumptions!$B$2-1</f>
        <v>0.0123830023868132</v>
      </c>
      <c r="D5" s="4" t="n">
        <f aca="false">Assumptions!$B$38</f>
        <v>0.5</v>
      </c>
      <c r="E5" s="4" t="n">
        <f aca="false">DCF_Base!$B$43</f>
        <v>15.6927591259216</v>
      </c>
      <c r="F5" s="4" t="n">
        <f aca="false">DCF_Base!$B$47</f>
        <v>9.73424701906444</v>
      </c>
    </row>
    <row r="6" customFormat="false" ht="15" hidden="false" customHeight="false" outlineLevel="0" collapsed="false">
      <c r="A6" s="0" t="s">
        <v>152</v>
      </c>
      <c r="B6" s="4" t="n">
        <f aca="false">DCF_Bull!$B$38</f>
        <v>17.912730940075</v>
      </c>
      <c r="C6" s="0" t="n">
        <f aca="false">B6/Assumptions!$B$2-1</f>
        <v>0.16467691417913</v>
      </c>
      <c r="D6" s="4" t="n">
        <f aca="false">Assumptions!$B$52</f>
        <v>0.25</v>
      </c>
      <c r="E6" s="4" t="n">
        <f aca="false">DCF_Bull!$B$43</f>
        <v>18.0522636992648</v>
      </c>
      <c r="F6" s="4" t="n">
        <f aca="false">DCF_Bull!$B$47</f>
        <v>10.6928441326071</v>
      </c>
    </row>
    <row r="8" customFormat="false" ht="15" hidden="false" customHeight="false" outlineLevel="0" collapsed="false">
      <c r="A8" s="0" t="s">
        <v>153</v>
      </c>
      <c r="B8" s="0" t="n">
        <f aca="false">SUMPRODUCT(B4:B6,D4:D6)</f>
        <v>15.1948144693821</v>
      </c>
    </row>
    <row r="9" customFormat="false" ht="15" hidden="false" customHeight="false" outlineLevel="0" collapsed="false">
      <c r="A9" s="0" t="s">
        <v>154</v>
      </c>
      <c r="B9" s="0" t="n">
        <f aca="false">SUMPRODUCT(E4:E6,D4:D6)</f>
        <v>15.3140295057406</v>
      </c>
    </row>
    <row r="10" customFormat="false" ht="15" hidden="false" customHeight="false" outlineLevel="0" collapsed="false">
      <c r="A10" s="0" t="s">
        <v>155</v>
      </c>
      <c r="B10" s="0" t="n">
        <f aca="false">1-Assumptions!$B$2/B8</f>
        <v>-0.0121874163709625</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9.5627453058378</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15.5704505767092</v>
      </c>
      <c r="C15" s="3" t="n">
        <v>8.5</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15.1493315564172</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13.8568272476301</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12.6585487918636</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11.703428430841</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9.73424701906444</v>
      </c>
      <c r="C20" s="3" t="n">
        <v>15</v>
      </c>
    </row>
    <row r="22" customFormat="false" ht="15" hidden="false" customHeight="false" outlineLevel="0" collapsed="false">
      <c r="A22" s="2" t="s">
        <v>166</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17.4656290027879</v>
      </c>
      <c r="C24" s="0" t="n">
        <f aca="false">(SUMPRODUCT(DCF_Base!$C$19:$L$19/(1+$A$24/100)^DCF_Base!$C$4:$L$4)+MAX(0,MIN(IF($A$24&gt;$C$23,DCF_Base!$L$19*(1+$C$23/100)/(($A$24-$C$23)/100),DCF_Base!$L$19*DCF_Base!$B$29),DCF_Base!$L$19*DCF_Base!$B$29))/(1+$A$24/100)^DCF_Base!$L$4+Assumptions!$B$5-Assumptions!$B$4)/Assumptions!$B$3*Assumptions!$B$10</f>
        <v>17.4656290027879</v>
      </c>
      <c r="D24" s="0" t="n">
        <f aca="false">(SUMPRODUCT(DCF_Base!$C$19:$L$19/(1+$A$24/100)^DCF_Base!$C$4:$L$4)+MAX(0,MIN(IF($A$24&gt;$D$23,DCF_Base!$L$19*(1+$D$23/100)/(($A$24-$D$23)/100),DCF_Base!$L$19*DCF_Base!$B$29),DCF_Base!$L$19*DCF_Base!$B$29))/(1+$A$24/100)^DCF_Base!$L$4+Assumptions!$B$5-Assumptions!$B$4)/Assumptions!$B$3*Assumptions!$B$10</f>
        <v>17.4656290027879</v>
      </c>
      <c r="E24" s="0" t="n">
        <f aca="false">(SUMPRODUCT(DCF_Base!$C$19:$L$19/(1+$A$24/100)^DCF_Base!$C$4:$L$4)+MAX(0,MIN(IF($A$24&gt;$E$23,DCF_Base!$L$19*(1+$E$23/100)/(($A$24-$E$23)/100),DCF_Base!$L$19*DCF_Base!$B$29),DCF_Base!$L$19*DCF_Base!$B$29))/(1+$A$24/100)^DCF_Base!$L$4+Assumptions!$B$5-Assumptions!$B$4)/Assumptions!$B$3*Assumptions!$B$10</f>
        <v>17.4656290027879</v>
      </c>
      <c r="F24" s="0" t="n">
        <f aca="false">(SUMPRODUCT(DCF_Base!$C$19:$L$19/(1+$A$24/100)^DCF_Base!$C$4:$L$4)+MAX(0,MIN(IF($A$24&gt;$F$23,DCF_Base!$L$19*(1+$F$23/100)/(($A$24-$F$23)/100),DCF_Base!$L$19*DCF_Base!$B$29),DCF_Base!$L$19*DCF_Base!$B$29))/(1+$A$24/100)^DCF_Base!$L$4+Assumptions!$B$5-Assumptions!$B$4)/Assumptions!$B$3*Assumptions!$B$10</f>
        <v>17.4656290027879</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16.4736351975583</v>
      </c>
      <c r="C25" s="0" t="n">
        <f aca="false">(SUMPRODUCT(DCF_Base!$C$19:$L$19/(1+$A$25/100)^DCF_Base!$C$4:$L$4)+MAX(0,MIN(IF($A$25&gt;$C$23,DCF_Base!$L$19*(1+$C$23/100)/(($A$25-$C$23)/100),DCF_Base!$L$19*DCF_Base!$B$29),DCF_Base!$L$19*DCF_Base!$B$29))/(1+$A$25/100)^DCF_Base!$L$4+Assumptions!$B$5-Assumptions!$B$4)/Assumptions!$B$3*Assumptions!$B$10</f>
        <v>16.4736351975583</v>
      </c>
      <c r="D25" s="0" t="n">
        <f aca="false">(SUMPRODUCT(DCF_Base!$C$19:$L$19/(1+$A$25/100)^DCF_Base!$C$4:$L$4)+MAX(0,MIN(IF($A$25&gt;$D$23,DCF_Base!$L$19*(1+$D$23/100)/(($A$25-$D$23)/100),DCF_Base!$L$19*DCF_Base!$B$29),DCF_Base!$L$19*DCF_Base!$B$29))/(1+$A$25/100)^DCF_Base!$L$4+Assumptions!$B$5-Assumptions!$B$4)/Assumptions!$B$3*Assumptions!$B$10</f>
        <v>16.4736351975583</v>
      </c>
      <c r="E25" s="0" t="n">
        <f aca="false">(SUMPRODUCT(DCF_Base!$C$19:$L$19/(1+$A$25/100)^DCF_Base!$C$4:$L$4)+MAX(0,MIN(IF($A$25&gt;$E$23,DCF_Base!$L$19*(1+$E$23/100)/(($A$25-$E$23)/100),DCF_Base!$L$19*DCF_Base!$B$29),DCF_Base!$L$19*DCF_Base!$B$29))/(1+$A$25/100)^DCF_Base!$L$4+Assumptions!$B$5-Assumptions!$B$4)/Assumptions!$B$3*Assumptions!$B$10</f>
        <v>16.4736351975583</v>
      </c>
      <c r="F25" s="0" t="n">
        <f aca="false">(SUMPRODUCT(DCF_Base!$C$19:$L$19/(1+$A$25/100)^DCF_Base!$C$4:$L$4)+MAX(0,MIN(IF($A$25&gt;$F$23,DCF_Base!$L$19*(1+$F$23/100)/(($A$25-$F$23)/100),DCF_Base!$L$19*DCF_Base!$B$29),DCF_Base!$L$19*DCF_Base!$B$29))/(1+$A$25/100)^DCF_Base!$L$4+Assumptions!$B$5-Assumptions!$B$4)/Assumptions!$B$3*Assumptions!$B$10</f>
        <v>16.4736351975583</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15.3227333092673</v>
      </c>
      <c r="C26" s="0" t="n">
        <f aca="false">(SUMPRODUCT(DCF_Base!$C$19:$L$19/(1+$A$26/100)^DCF_Base!$C$4:$L$4)+MAX(0,MIN(IF($A$26&gt;$C$23,DCF_Base!$L$19*(1+$C$23/100)/(($A$26-$C$23)/100),DCF_Base!$L$19*DCF_Base!$B$29),DCF_Base!$L$19*DCF_Base!$B$29))/(1+$A$26/100)^DCF_Base!$L$4+Assumptions!$B$5-Assumptions!$B$4)/Assumptions!$B$3*Assumptions!$B$10</f>
        <v>15.5704505767092</v>
      </c>
      <c r="D26" s="0" t="n">
        <f aca="false">(SUMPRODUCT(DCF_Base!$C$19:$L$19/(1+$A$26/100)^DCF_Base!$C$4:$L$4)+MAX(0,MIN(IF($A$26&gt;$D$23,DCF_Base!$L$19*(1+$D$23/100)/(($A$26-$D$23)/100),DCF_Base!$L$19*DCF_Base!$B$29),DCF_Base!$L$19*DCF_Base!$B$29))/(1+$A$26/100)^DCF_Base!$L$4+Assumptions!$B$5-Assumptions!$B$4)/Assumptions!$B$3*Assumptions!$B$10</f>
        <v>15.5704505767092</v>
      </c>
      <c r="E26" s="0" t="n">
        <f aca="false">(SUMPRODUCT(DCF_Base!$C$19:$L$19/(1+$A$26/100)^DCF_Base!$C$4:$L$4)+MAX(0,MIN(IF($A$26&gt;$E$23,DCF_Base!$L$19*(1+$E$23/100)/(($A$26-$E$23)/100),DCF_Base!$L$19*DCF_Base!$B$29),DCF_Base!$L$19*DCF_Base!$B$29))/(1+$A$26/100)^DCF_Base!$L$4+Assumptions!$B$5-Assumptions!$B$4)/Assumptions!$B$3*Assumptions!$B$10</f>
        <v>15.5704505767092</v>
      </c>
      <c r="F26" s="0" t="n">
        <f aca="false">(SUMPRODUCT(DCF_Base!$C$19:$L$19/(1+$A$26/100)^DCF_Base!$C$4:$L$4)+MAX(0,MIN(IF($A$26&gt;$F$23,DCF_Base!$L$19*(1+$F$23/100)/(($A$26-$F$23)/100),DCF_Base!$L$19*DCF_Base!$B$29),DCF_Base!$L$19*DCF_Base!$B$29))/(1+$A$26/100)^DCF_Base!$L$4+Assumptions!$B$5-Assumptions!$B$4)/Assumptions!$B$3*Assumptions!$B$10</f>
        <v>15.5704505767092</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13.8497845261846</v>
      </c>
      <c r="C27" s="0" t="n">
        <f aca="false">(SUMPRODUCT(DCF_Base!$C$19:$L$19/(1+$A$27/100)^DCF_Base!$C$4:$L$4)+MAX(0,MIN(IF($A$27&gt;$C$23,DCF_Base!$L$19*(1+$C$23/100)/(($A$27-$C$23)/100),DCF_Base!$L$19*DCF_Base!$B$29),DCF_Base!$L$19*DCF_Base!$B$29))/(1+$A$27/100)^DCF_Base!$L$4+Assumptions!$B$5-Assumptions!$B$4)/Assumptions!$B$3*Assumptions!$B$10</f>
        <v>14.1909687596083</v>
      </c>
      <c r="D27" s="0" t="n">
        <f aca="false">(SUMPRODUCT(DCF_Base!$C$19:$L$19/(1+$A$27/100)^DCF_Base!$C$4:$L$4)+MAX(0,MIN(IF($A$27&gt;$D$23,DCF_Base!$L$19*(1+$D$23/100)/(($A$27-$D$23)/100),DCF_Base!$L$19*DCF_Base!$B$29),DCF_Base!$L$19*DCF_Base!$B$29))/(1+$A$27/100)^DCF_Base!$L$4+Assumptions!$B$5-Assumptions!$B$4)/Assumptions!$B$3*Assumptions!$B$10</f>
        <v>14.5776442241552</v>
      </c>
      <c r="E27" s="0" t="n">
        <f aca="false">(SUMPRODUCT(DCF_Base!$C$19:$L$19/(1+$A$27/100)^DCF_Base!$C$4:$L$4)+MAX(0,MIN(IF($A$27&gt;$E$23,DCF_Base!$L$19*(1+$E$23/100)/(($A$27-$E$23)/100),DCF_Base!$L$19*DCF_Base!$B$29),DCF_Base!$L$19*DCF_Base!$B$29))/(1+$A$27/100)^DCF_Base!$L$4+Assumptions!$B$5-Assumptions!$B$4)/Assumptions!$B$3*Assumptions!$B$10</f>
        <v>14.7471457976552</v>
      </c>
      <c r="F27" s="0" t="n">
        <f aca="false">(SUMPRODUCT(DCF_Base!$C$19:$L$19/(1+$A$27/100)^DCF_Base!$C$4:$L$4)+MAX(0,MIN(IF($A$27&gt;$F$23,DCF_Base!$L$19*(1+$F$23/100)/(($A$27-$F$23)/100),DCF_Base!$L$19*DCF_Base!$B$29),DCF_Base!$L$19*DCF_Base!$B$29))/(1+$A$27/100)^DCF_Base!$L$4+Assumptions!$B$5-Assumptions!$B$4)/Assumptions!$B$3*Assumptions!$B$10</f>
        <v>14.7471457976552</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12.6924295575638</v>
      </c>
      <c r="C28" s="0" t="n">
        <f aca="false">(SUMPRODUCT(DCF_Base!$C$19:$L$19/(1+$A$28/100)^DCF_Base!$C$4:$L$4)+MAX(0,MIN(IF($A$28&gt;$C$23,DCF_Base!$L$19*(1+$C$23/100)/(($A$28-$C$23)/100),DCF_Base!$L$19*DCF_Base!$B$29),DCF_Base!$L$19*DCF_Base!$B$29))/(1+$A$28/100)^DCF_Base!$L$4+Assumptions!$B$5-Assumptions!$B$4)/Assumptions!$B$3*Assumptions!$B$10</f>
        <v>12.9424631276719</v>
      </c>
      <c r="D28" s="0" t="n">
        <f aca="false">(SUMPRODUCT(DCF_Base!$C$19:$L$19/(1+$A$28/100)^DCF_Base!$C$4:$L$4)+MAX(0,MIN(IF($A$28&gt;$D$23,DCF_Base!$L$19*(1+$D$23/100)/(($A$28-$D$23)/100),DCF_Base!$L$19*DCF_Base!$B$29),DCF_Base!$L$19*DCF_Base!$B$29))/(1+$A$28/100)^DCF_Base!$L$4+Assumptions!$B$5-Assumptions!$B$4)/Assumptions!$B$3*Assumptions!$B$10</f>
        <v>13.2219124119104</v>
      </c>
      <c r="E28" s="0" t="n">
        <f aca="false">(SUMPRODUCT(DCF_Base!$C$19:$L$19/(1+$A$28/100)^DCF_Base!$C$4:$L$4)+MAX(0,MIN(IF($A$28&gt;$E$23,DCF_Base!$L$19*(1+$E$23/100)/(($A$28-$E$23)/100),DCF_Base!$L$19*DCF_Base!$B$29),DCF_Base!$L$19*DCF_Base!$B$29))/(1+$A$28/100)^DCF_Base!$L$4+Assumptions!$B$5-Assumptions!$B$4)/Assumptions!$B$3*Assumptions!$B$10</f>
        <v>13.5362928566787</v>
      </c>
      <c r="F28" s="0" t="n">
        <f aca="false">(SUMPRODUCT(DCF_Base!$C$19:$L$19/(1+$A$28/100)^DCF_Base!$C$4:$L$4)+MAX(0,MIN(IF($A$28&gt;$F$23,DCF_Base!$L$19*(1+$F$23/100)/(($A$28-$F$23)/100),DCF_Base!$L$19*DCF_Base!$B$29),DCF_Base!$L$19*DCF_Base!$B$29))/(1+$A$28/100)^DCF_Base!$L$4+Assumptions!$B$5-Assumptions!$B$4)/Assumptions!$B$3*Assumptions!$B$10</f>
        <v>13.8925906940828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2026-10-24T10:24:10Z</dcterms:created>
  <dc:creator>openpyxl</dc:creator>
  <dc:description/>
  <dc:language>en-NZ</dc:language>
  <cp:lastModifiedBy/>
  <dcterms:modified xsi:type="dcterms:W3CDTF">2026-10-24T10:24:10Z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