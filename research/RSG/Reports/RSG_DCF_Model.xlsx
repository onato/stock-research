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<sst xmlns="http://schemas.openxmlformats.org/spreadsheetml/2006/main" count="390" uniqueCount="176">
  <si>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</si>
  <si>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RSG</t>
  </si>
  <si>
    <t xml:space="preserve">Company</t>
  </si>
  <si>
    <t xml:space="preserve">Republic Services,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</si>
  <si>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</si>
  <si>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</si>
  <si>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</si>
  <si>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</si>
  <si>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</si>
  <si>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</si>
  <si>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</si>
  <si>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</si>
  <si>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</si>
  <si>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</si>
  <si>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</si>
  <si>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</si>
  <si>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</si>
  <si>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</si>
  <si>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</si>
  <si>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</si>
  <si>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</si>
  <si>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2026-10-02T08:42:05Z</t>
  </si>
  <si>
    <t xml:space="preserve">Drivers file</t>
  </si>
  <si>
    <t xml:space="preserve">RSG_Drivers.json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</si>
  <si>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</si>
  <si>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</si>
  <si>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</si>
  <si>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wide-moat, low-variance compounder priced as one. The owner-FCF DCF on organic growth and a 20x terminal cap values the equity below the market, which pays ~27x EV/unlevered owner FCF -- i.e. the market capitalises both the moat at a lower discount rate than 7.5% and the expectation that ~$1B/yr of tuck-in M&amp;A earns well above its cost of capital. Neither is in the house base case.
key_risks_to_valuation: PFAS: EPA hazardous-substance designation could add leachate-treatment opex and closure/post-closure cost industry-wide; not quantified in filings; Terminal cap binds in base and bear (Gordon at 7.5%/3.0% is ~22.9x); value is sensitive to the cap and to WACC; M&amp;A excluded: if tuck-ins earn well above WACC (plausible -- RSG buys at 6-8x EBITDA and synergises), the model understates value; Cash tax: persistence of bonus depreciation and solar tax-credit purchases could keep cash tax well below the 22% terminal rate; Leverage creep: ~$14B debt and rising if M&amp;A and buybacks continue to be debt-funded</t>
  </si>
  <si>
    <t xml:space="preserve">Data sources</t>
  </si>
  <si>
    <t xml:space="preserve">price: Yahoo Finance chart API at inputs.price_as_of; 52-week range 196.41-233.42
financials: SEC XBRL companyfacts (CIK 1060391): 10-K FY2025 and 10-Qs Q1/Q2 2026 -- RevenueFromContractWithCustomerExcludingAssessedTax, OperatingIncomeLoss, DepreciationDepletionAndAmortization, NetCashProvidedByUsedInOperatingActivities, PaymentsToAcquirePropertyPlantAndEquipment, LongTermDebtAndCapitalLeaseObligations(+Current), CashAndCashEquivalentsAtCarryingValue, WeightedAverageNumberOfDilutedSharesOutstanding, IncomeTaxesPaidNet, ShareBasedCompensation; plus RSG_Metrics.csv history
qualitative: RSG_Analysis.json (FY2026 guidance raised at Q2-26: revenue $17.2-17.3B, adj EBITDA $5.525-5.55B, adj FCF $2.54-2.575B)</t>
  </si>
  <si>
    <t xml:space="preserve">Scenario narrative: bear</t>
  </si>
  <si>
    <t xml:space="preserve">The pricing tailwind fades with inflation, municipal re-bids get competitive, PFAS regulation (leachate treatment, Superfund designation) and labour inflation take ~1.3pp off margin and push capex up, and cash taxes normalise as bonus-depreciation deferral unwinds. Organic growth settles at 2.5%.</t>
  </si>
  <si>
    <t xml:space="preserve">Scenario narrative: base</t>
  </si>
  <si>
    <t xml:space="preserve">Republic compounds as a price-led oligopolist: 4-5% core price offsets -1% volume, organic revenue ~4-4.5% decaying to 3%, margins inch up 0.7pp on automation and the Polymer Centers, capex stays slightly above D&amp;A. Tuck-in M&amp;A continues but is assumed to earn its cost of capital, so it adds nothing to value here.</t>
  </si>
  <si>
    <t xml:space="preserve">Scenario narrative: bull</t>
  </si>
  <si>
    <t xml:space="preserve">Volume recovers alongside sticky 5%+ pricing; Environmental Solutions and Blue Polymers (food-grade rPET/HDPE with Ravago) grow faster than the core and command premium pricing from brand-owner recycled-content mandates; automation and EV fleet take EBITDA margin to ~33%. Organic growth 5-5.5% for four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</si>
  <si>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</si>
  <si>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</si>
  <si>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</si>
  <si>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</si>
  <si>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</si>
  <si>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</si>
  <si>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</si>
  <si>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</si>
  <si>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</si>
  <si>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</si>
  <si>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</si>
  <si>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</si>
  <si>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</si>
  <si>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</si>
  <si>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</si>
  <si>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</si>
  <si>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</si>
  <si>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</si>
  <si>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</si>
  <si>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</si>
  <si>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</si>
  <si>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</si>
  <si>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</si>
  <si>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</si>
  <si>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</si>
  <si>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</si>
  <si>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</si>
  <si>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</si>
  <si>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</si>
  <si>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</si>
  <si>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</si>
  <si>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</si>
  <si>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</si>
  <si>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</si>
  <si>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</si>
  <si>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</si>
  <si>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</si>
  <si>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</si>
  <si>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</si>
  <si>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</si>
  <si>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</si>
  <si>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</si>
  <si>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</si>
  <si>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</si>
  <si>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</si>
  <si>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</si>
  <si>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</si>
  <si>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</si>
  <si>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</si>
  <si>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</si>
  <si>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</si>
  <si>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</si>
  <si>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</si>
  <si>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</si>
  <si>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</si>
  <si>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</si>
  <si>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 (FY2025 + H1-2026 - H1-2025)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</si>
  <si>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</si>
  <si>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</si>
  <si>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</si>
  <si>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</si>
  <si>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</si>
  <si>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</si>
  <si>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</si>
  <si>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</si>
  <si>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</si>
  <si>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</si>
  <si>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</si>
  <si>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</si>
  <si>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</si>
  <si>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</si>
  <si>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</si>
  <si>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</si>
  <si>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</si>
  <si>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</si>
  <si>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</si>
  <si>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</si>
  <si>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</si>
  <si>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</si>
  <si>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</si>
  <si>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</si>
  <si>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</si>
  <si>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</si>
  <si>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</si>
  <si>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</si>
  <si>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RSG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</si>
  <si>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</si>
  <si>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</si>
  <si>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</si>
  <si>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</si>
  <si>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</si>
  <si>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</si>
  <si>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</si>
  <si>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</si>
  <si>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</si>
  <si>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</si>
  <si>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</si>
  <si>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</si>
  <si>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</si>
  <si>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</si>
  <si>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</si>
  <si>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</si>
  <si>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</si>
  <si>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</si>
  <si>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</si>
  <si>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</si>
  <si>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</si>
  <si>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</si>
  <si>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</si>
  <si>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</si>
  <si>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</si>
  <si>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</si>
  <si>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</si>
  <si>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</si>
  <si>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</si>
  <si>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</si>
  <si>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RSG owner-FCF component DCF: base case (millions, USD)</t>
  </si>
  <si>
    <t xml:space="preserve">RSG owner-FCF component DCF: bull case (millions, USD)</t>
  </si>
  <si>
    <t xml:space="preserve">RSG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</si>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</sst>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206.98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1422.1</v>
      </c>
      <c r="S2" s="0" t="n">
        <v>29.1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3176.2</v>
      </c>
      <c r="C3" s="0" t="n">
        <v>2003.9</v>
      </c>
      <c r="F3" s="0" t="n">
        <v>536</v>
      </c>
      <c r="G3" s="0" t="n">
        <v>16.8755116176563</v>
      </c>
      <c r="H3" s="0" t="n">
        <v>841.5</v>
      </c>
      <c r="I3" s="0" t="n">
        <v>290.2</v>
      </c>
      <c r="J3" s="0" t="n">
        <v>9.1367042377684</v>
      </c>
      <c r="K3" s="0" t="n">
        <v>1.53</v>
      </c>
      <c r="L3" s="0" t="n">
        <v>661.3</v>
      </c>
      <c r="M3" s="0" t="n">
        <v>292.5</v>
      </c>
      <c r="N3" s="0" t="n">
        <v>368.8</v>
      </c>
      <c r="O3" s="0" t="n">
        <v>1303.8</v>
      </c>
      <c r="S3" s="0" t="n">
        <v>21.8</v>
      </c>
      <c r="T3" s="0" t="n">
        <v>192</v>
      </c>
      <c r="U3" s="0" t="n">
        <v>10.9</v>
      </c>
      <c r="V3" s="0" t="n">
        <v>0.55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3685.1</v>
      </c>
      <c r="C4" s="0" t="n">
        <v>2416.7</v>
      </c>
      <c r="F4" s="0" t="n">
        <v>283.2</v>
      </c>
      <c r="G4" s="0" t="n">
        <v>7.68500176385987</v>
      </c>
      <c r="H4" s="0" t="n">
        <v>637.3</v>
      </c>
      <c r="I4" s="0" t="n">
        <v>73.9</v>
      </c>
      <c r="J4" s="0" t="n">
        <v>2.00537298852134</v>
      </c>
      <c r="K4" s="0" t="n">
        <v>0.38</v>
      </c>
      <c r="L4" s="0" t="n">
        <v>512.2</v>
      </c>
      <c r="M4" s="0" t="n">
        <v>386.9</v>
      </c>
      <c r="N4" s="0" t="n">
        <v>125.3</v>
      </c>
      <c r="O4" s="0" t="n">
        <v>7282.5</v>
      </c>
      <c r="P4" s="0" t="n">
        <v>19921.4</v>
      </c>
      <c r="R4" s="0" t="n">
        <v>7702.5</v>
      </c>
      <c r="S4" s="0" t="n">
        <v>68.7</v>
      </c>
      <c r="T4" s="0" t="n">
        <v>198.4</v>
      </c>
      <c r="U4" s="0" t="n">
        <v>24</v>
      </c>
      <c r="V4" s="0" t="n">
        <v>0.72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8199.1</v>
      </c>
      <c r="C5" s="0" t="n">
        <v>4844.2</v>
      </c>
      <c r="F5" s="0" t="n">
        <v>1589.8</v>
      </c>
      <c r="G5" s="0" t="n">
        <v>19.3899330414314</v>
      </c>
      <c r="H5" s="0" t="n">
        <v>2459.5</v>
      </c>
      <c r="I5" s="0" t="n">
        <v>496.5</v>
      </c>
      <c r="J5" s="0" t="n">
        <v>6.05554268151382</v>
      </c>
      <c r="K5" s="0" t="n">
        <v>1.3</v>
      </c>
      <c r="L5" s="0" t="n">
        <v>1396.5</v>
      </c>
      <c r="M5" s="0" t="n">
        <v>826.3</v>
      </c>
      <c r="N5" s="0" t="n">
        <v>570.2</v>
      </c>
      <c r="O5" s="0" t="n">
        <v>7567.1</v>
      </c>
      <c r="P5" s="0" t="n">
        <v>19540.3</v>
      </c>
      <c r="R5" s="0" t="n">
        <v>6962.6</v>
      </c>
      <c r="S5" s="0" t="n">
        <v>48</v>
      </c>
      <c r="T5" s="0" t="n">
        <v>381</v>
      </c>
      <c r="U5" s="0" t="n">
        <v>15</v>
      </c>
      <c r="V5" s="0" t="n">
        <v>0.76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8106.6</v>
      </c>
      <c r="C6" s="0" t="n">
        <v>4764.8</v>
      </c>
      <c r="F6" s="0" t="n">
        <v>1539.1</v>
      </c>
      <c r="G6" s="0" t="n">
        <v>18.9857646855649</v>
      </c>
      <c r="H6" s="0" t="n">
        <v>2372.8</v>
      </c>
      <c r="I6" s="0" t="n">
        <v>507.5</v>
      </c>
      <c r="J6" s="0" t="n">
        <v>6.26033108824908</v>
      </c>
      <c r="K6" s="0" t="n">
        <v>1.32</v>
      </c>
      <c r="L6" s="0" t="n">
        <v>1433.7</v>
      </c>
      <c r="M6" s="0" t="n">
        <v>794.7</v>
      </c>
      <c r="N6" s="0" t="n">
        <v>639</v>
      </c>
      <c r="O6" s="0" t="n">
        <v>7848.9</v>
      </c>
      <c r="P6" s="0" t="n">
        <v>19461.9</v>
      </c>
      <c r="R6" s="0" t="n">
        <v>6743.6</v>
      </c>
      <c r="S6" s="0" t="n">
        <v>88.3</v>
      </c>
      <c r="T6" s="0" t="n">
        <v>385.111</v>
      </c>
      <c r="U6" s="0" t="n">
        <v>24.5</v>
      </c>
      <c r="V6" s="0" t="n">
        <v>0.78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9758.9</v>
      </c>
      <c r="C7" s="0" t="n">
        <v>4865.1</v>
      </c>
      <c r="F7" s="0" t="n">
        <v>1552.7</v>
      </c>
      <c r="G7" s="0" t="n">
        <v>15.910604678806</v>
      </c>
      <c r="H7" s="0" t="n">
        <v>2396.3</v>
      </c>
      <c r="I7" s="0" t="n">
        <v>589.2</v>
      </c>
      <c r="J7" s="0" t="n">
        <v>6.03756570925002</v>
      </c>
      <c r="K7" s="0" t="n">
        <v>1.57</v>
      </c>
      <c r="L7" s="0" t="n">
        <v>1766.7</v>
      </c>
      <c r="M7" s="0" t="n">
        <v>936.5</v>
      </c>
      <c r="N7" s="0" t="n">
        <v>830.2</v>
      </c>
      <c r="O7" s="0" t="n">
        <v>7683.4</v>
      </c>
      <c r="P7" s="0" t="n">
        <v>19551.5</v>
      </c>
      <c r="R7" s="0" t="n">
        <v>6956.6</v>
      </c>
      <c r="S7" s="0" t="n">
        <v>66.3</v>
      </c>
      <c r="T7" s="0" t="n">
        <v>377.605</v>
      </c>
      <c r="U7" s="0" t="n">
        <v>20.6</v>
      </c>
      <c r="V7" s="0" t="n">
        <v>0.84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9731.5</v>
      </c>
      <c r="C8" s="0" t="n">
        <v>5005.7</v>
      </c>
      <c r="F8" s="0" t="n">
        <v>1320.6</v>
      </c>
      <c r="G8" s="0" t="n">
        <v>13.5703642809433</v>
      </c>
      <c r="H8" s="0" t="n">
        <v>2169.1</v>
      </c>
      <c r="I8" s="0" t="n">
        <v>572.1</v>
      </c>
      <c r="J8" s="0" t="n">
        <v>5.87884704310743</v>
      </c>
      <c r="K8" s="0" t="n">
        <v>1.56</v>
      </c>
      <c r="L8" s="0" t="n">
        <v>1513.8</v>
      </c>
      <c r="M8" s="0" t="n">
        <v>903.5</v>
      </c>
      <c r="N8" s="0" t="n">
        <v>610.3</v>
      </c>
      <c r="O8" s="0" t="n">
        <v>7705.7</v>
      </c>
      <c r="P8" s="0" t="n">
        <v>19616.9</v>
      </c>
      <c r="R8" s="0" t="n">
        <v>7089.9</v>
      </c>
      <c r="S8" s="0" t="n">
        <v>67.6</v>
      </c>
      <c r="T8" s="0" t="n">
        <v>368.02</v>
      </c>
      <c r="U8" s="0" t="n">
        <v>21.2</v>
      </c>
      <c r="V8" s="0" t="n">
        <v>0.91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10144.7</v>
      </c>
      <c r="C9" s="0" t="n">
        <v>5234.7</v>
      </c>
      <c r="F9" s="0" t="n">
        <v>1210.3</v>
      </c>
      <c r="G9" s="0" t="n">
        <v>11.9303675811015</v>
      </c>
      <c r="H9" s="0" t="n">
        <v>2087.7</v>
      </c>
      <c r="I9" s="0" t="n">
        <v>589.1</v>
      </c>
      <c r="J9" s="0" t="n">
        <v>5.8069730992538</v>
      </c>
      <c r="K9" s="0" t="n">
        <v>1.63</v>
      </c>
      <c r="L9" s="0" t="n">
        <v>1548.2</v>
      </c>
      <c r="M9" s="0" t="n">
        <v>880.8</v>
      </c>
      <c r="N9" s="0" t="n">
        <v>667.4</v>
      </c>
      <c r="O9" s="0" t="n">
        <v>7906.1</v>
      </c>
      <c r="P9" s="0" t="n">
        <v>19949.2</v>
      </c>
      <c r="R9" s="0" t="n">
        <v>7033.8</v>
      </c>
      <c r="S9" s="0" t="n">
        <v>213.3</v>
      </c>
      <c r="T9" s="0" t="n">
        <v>363.422</v>
      </c>
      <c r="U9" s="0" t="n">
        <v>19.2</v>
      </c>
      <c r="V9" s="0" t="n">
        <v>0.99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10626.3</v>
      </c>
      <c r="C10" s="0" t="n">
        <v>5643.1</v>
      </c>
      <c r="F10" s="0" t="n">
        <v>1233.1</v>
      </c>
      <c r="G10" s="0" t="n">
        <v>11.6042272474897</v>
      </c>
      <c r="H10" s="0" t="n">
        <v>2140</v>
      </c>
      <c r="I10" s="0" t="n">
        <v>547.9</v>
      </c>
      <c r="J10" s="0" t="n">
        <v>5.15607502140915</v>
      </c>
      <c r="K10" s="0" t="n">
        <v>1.54</v>
      </c>
      <c r="L10" s="0" t="n">
        <v>1529.8</v>
      </c>
      <c r="M10" s="0" t="n">
        <v>862.5</v>
      </c>
      <c r="N10" s="0" t="n">
        <v>667.3</v>
      </c>
      <c r="O10" s="0" t="n">
        <v>7747.8</v>
      </c>
      <c r="P10" s="0" t="n">
        <v>20052.4</v>
      </c>
      <c r="R10" s="0" t="n">
        <v>7061.2</v>
      </c>
      <c r="S10" s="0" t="n">
        <v>75.2</v>
      </c>
      <c r="T10" s="0" t="n">
        <v>358.107</v>
      </c>
      <c r="U10" s="0" t="n">
        <v>17.4</v>
      </c>
      <c r="V10" s="0" t="n">
        <v>1.08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9115</v>
      </c>
      <c r="C11" s="0" t="n">
        <v>5518.6</v>
      </c>
      <c r="F11" s="0" t="n">
        <v>1558.8</v>
      </c>
      <c r="G11" s="0" t="n">
        <v>17.1014810751509</v>
      </c>
      <c r="H11" s="0" t="n">
        <v>2529.4</v>
      </c>
      <c r="I11" s="0" t="n">
        <v>750.4</v>
      </c>
      <c r="J11" s="0" t="n">
        <v>8.23258365331871</v>
      </c>
      <c r="K11" s="0" t="n">
        <v>2.14</v>
      </c>
      <c r="L11" s="0" t="n">
        <v>1679.7</v>
      </c>
      <c r="M11" s="0" t="n">
        <v>945.6</v>
      </c>
      <c r="N11" s="0" t="n">
        <v>734.1</v>
      </c>
      <c r="O11" s="0" t="n">
        <v>7776.6</v>
      </c>
      <c r="P11" s="0" t="n">
        <v>20535.9</v>
      </c>
      <c r="R11" s="0" t="n">
        <v>7532.9</v>
      </c>
      <c r="S11" s="0" t="n">
        <v>32.4</v>
      </c>
      <c r="T11" s="0" t="n">
        <v>351.388</v>
      </c>
      <c r="U11" s="0" t="n">
        <v>18.9</v>
      </c>
      <c r="V11" s="0" t="n">
        <v>1.16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11355.4</v>
      </c>
      <c r="C12" s="0" t="n">
        <v>5764</v>
      </c>
      <c r="F12" s="0" t="n">
        <v>1537.5</v>
      </c>
      <c r="G12" s="0" t="n">
        <v>13.5398136569386</v>
      </c>
      <c r="H12" s="0" t="n">
        <v>2528.6</v>
      </c>
      <c r="I12" s="0" t="n">
        <v>613.2</v>
      </c>
      <c r="J12" s="0" t="n">
        <v>5.40007397361608</v>
      </c>
      <c r="K12" s="0" t="n">
        <v>1.79</v>
      </c>
      <c r="L12" s="0" t="n">
        <v>1847.8</v>
      </c>
      <c r="M12" s="0" t="n">
        <v>927.8</v>
      </c>
      <c r="N12" s="0" t="n">
        <v>920</v>
      </c>
      <c r="O12" s="0" t="n">
        <v>7693.7</v>
      </c>
      <c r="P12" s="0" t="n">
        <v>20629.6</v>
      </c>
      <c r="R12" s="0" t="n">
        <v>7658.9</v>
      </c>
      <c r="S12" s="0" t="n">
        <v>67.8</v>
      </c>
      <c r="T12" s="0" t="n">
        <v>344.39</v>
      </c>
      <c r="U12" s="0" t="n">
        <v>23.2</v>
      </c>
      <c r="V12" s="0" t="n">
        <v>1.24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12071.1</v>
      </c>
      <c r="C13" s="0" t="n">
        <v>6214.6</v>
      </c>
      <c r="F13" s="0" t="n">
        <v>1668.5</v>
      </c>
      <c r="G13" s="0" t="n">
        <v>13.8222697185841</v>
      </c>
      <c r="H13" s="0" t="n">
        <v>2704.8</v>
      </c>
      <c r="I13" s="0" t="n">
        <v>1279</v>
      </c>
      <c r="J13" s="0" t="n">
        <v>10.5955546719023</v>
      </c>
      <c r="K13" s="0" t="n">
        <v>3.79</v>
      </c>
      <c r="L13" s="0" t="n">
        <v>1910.7</v>
      </c>
      <c r="M13" s="0" t="n">
        <v>989.8</v>
      </c>
      <c r="N13" s="0" t="n">
        <v>920.9</v>
      </c>
      <c r="O13" s="0" t="n">
        <v>7961.1</v>
      </c>
      <c r="P13" s="0" t="n">
        <v>21147</v>
      </c>
      <c r="R13" s="0" t="n">
        <v>8187.4</v>
      </c>
      <c r="S13" s="0" t="n">
        <v>83.3</v>
      </c>
      <c r="T13" s="0" t="n">
        <v>338.981</v>
      </c>
      <c r="U13" s="0" t="n">
        <v>34.6</v>
      </c>
      <c r="V13" s="0" t="n">
        <v>1.33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11898.4</v>
      </c>
      <c r="C14" s="0" t="n">
        <v>6150</v>
      </c>
      <c r="F14" s="0" t="n">
        <v>1735.8</v>
      </c>
      <c r="G14" s="0" t="n">
        <v>14.5885161030055</v>
      </c>
      <c r="H14" s="0" t="n">
        <v>2769.2</v>
      </c>
      <c r="I14" s="0" t="n">
        <v>1037.6</v>
      </c>
      <c r="J14" s="0" t="n">
        <v>8.72050023532576</v>
      </c>
      <c r="K14" s="0" t="n">
        <v>3.17</v>
      </c>
      <c r="L14" s="0" t="n">
        <v>2242.8</v>
      </c>
      <c r="M14" s="0" t="n">
        <v>1071.8</v>
      </c>
      <c r="N14" s="0" t="n">
        <v>1171</v>
      </c>
      <c r="O14" s="0" t="n">
        <v>7929.5</v>
      </c>
      <c r="P14" s="0" t="n">
        <v>21617</v>
      </c>
      <c r="R14" s="0" t="n">
        <v>8337.5</v>
      </c>
      <c r="S14" s="0" t="n">
        <v>70.5</v>
      </c>
      <c r="T14" s="0" t="n">
        <v>328.383</v>
      </c>
      <c r="U14" s="0" t="n">
        <v>39</v>
      </c>
      <c r="V14" s="0" t="n">
        <v>1.44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12193</v>
      </c>
      <c r="C15" s="0" t="n">
        <v>6298.4</v>
      </c>
      <c r="F15" s="0" t="n">
        <v>1787.2</v>
      </c>
      <c r="G15" s="0" t="n">
        <v>14.6575904207332</v>
      </c>
      <c r="H15" s="0" t="n">
        <v>2827.7</v>
      </c>
      <c r="I15" s="0" t="n">
        <v>1073.8</v>
      </c>
      <c r="J15" s="0" t="n">
        <v>8.80669236447142</v>
      </c>
      <c r="K15" s="0" t="n">
        <v>3.34</v>
      </c>
      <c r="L15" s="0" t="n">
        <v>2352.1</v>
      </c>
      <c r="M15" s="0" t="n">
        <v>1207.1</v>
      </c>
      <c r="N15" s="0" t="n">
        <v>1145</v>
      </c>
      <c r="O15" s="0" t="n">
        <v>8120.9</v>
      </c>
      <c r="P15" s="0" t="n">
        <v>22683.8</v>
      </c>
      <c r="R15" s="0" t="n">
        <v>8688.5</v>
      </c>
      <c r="S15" s="0" t="n">
        <v>47.1</v>
      </c>
      <c r="T15" s="0" t="n">
        <v>321.99</v>
      </c>
      <c r="U15" s="0" t="n">
        <v>39.5</v>
      </c>
      <c r="V15" s="0" t="n">
        <v>1.56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12031.7</v>
      </c>
      <c r="C16" s="0" t="n">
        <v>6100.5</v>
      </c>
      <c r="F16" s="0" t="n">
        <v>1709.1</v>
      </c>
      <c r="G16" s="0" t="n">
        <v>14.2049751905383</v>
      </c>
      <c r="H16" s="0" t="n">
        <v>2785</v>
      </c>
      <c r="I16" s="0" t="n">
        <v>969.6</v>
      </c>
      <c r="J16" s="0" t="n">
        <v>8.05871157026854</v>
      </c>
      <c r="K16" s="0" t="n">
        <v>3.03</v>
      </c>
      <c r="L16" s="0" t="n">
        <v>2471.6</v>
      </c>
      <c r="M16" s="0" t="n">
        <v>1194.6</v>
      </c>
      <c r="N16" s="0" t="n">
        <v>1277</v>
      </c>
      <c r="O16" s="0" t="n">
        <v>8488.8</v>
      </c>
      <c r="P16" s="0" t="n">
        <v>23434</v>
      </c>
      <c r="R16" s="0" t="n">
        <v>8934.2</v>
      </c>
      <c r="S16" s="0" t="n">
        <v>38.2</v>
      </c>
      <c r="T16" s="0" t="n">
        <v>319.836</v>
      </c>
      <c r="U16" s="0" t="n">
        <v>37.3</v>
      </c>
      <c r="V16" s="0" t="n">
        <v>1.66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13321.1</v>
      </c>
      <c r="C17" s="0" t="n">
        <v>6737.7</v>
      </c>
      <c r="F17" s="0" t="n">
        <v>2076.2</v>
      </c>
      <c r="G17" s="0" t="n">
        <v>15.5857999714738</v>
      </c>
      <c r="H17" s="0" t="n">
        <v>3261.7</v>
      </c>
      <c r="I17" s="0" t="n">
        <v>1292.3</v>
      </c>
      <c r="J17" s="0" t="n">
        <v>9.70115080586438</v>
      </c>
      <c r="K17" s="0" t="n">
        <v>4.05</v>
      </c>
      <c r="L17" s="0" t="n">
        <v>2786.7</v>
      </c>
      <c r="M17" s="0" t="n">
        <v>1316.3</v>
      </c>
      <c r="N17" s="0" t="n">
        <v>1470.4</v>
      </c>
      <c r="O17" s="0" t="n">
        <v>8978</v>
      </c>
      <c r="P17" s="0" t="n">
        <v>24955</v>
      </c>
      <c r="R17" s="0" t="n">
        <v>9554.4</v>
      </c>
      <c r="S17" s="0" t="n">
        <v>29</v>
      </c>
      <c r="T17" s="0" t="n">
        <v>319.425</v>
      </c>
      <c r="U17" s="0" t="n">
        <v>57</v>
      </c>
      <c r="V17" s="0" t="n">
        <v>1.77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15645</v>
      </c>
      <c r="C18" s="0" t="n">
        <v>8205</v>
      </c>
      <c r="F18" s="0" t="n">
        <v>2392</v>
      </c>
      <c r="G18" s="0" t="n">
        <v>15.2892297858741</v>
      </c>
      <c r="H18" s="0" t="n">
        <v>3744</v>
      </c>
      <c r="I18" s="0" t="n">
        <v>1488</v>
      </c>
      <c r="J18" s="0" t="n">
        <v>9.51102588686481</v>
      </c>
      <c r="K18" s="0" t="n">
        <v>4.7</v>
      </c>
      <c r="L18" s="0" t="n">
        <v>3190</v>
      </c>
      <c r="M18" s="0" t="n">
        <v>1454</v>
      </c>
      <c r="N18" s="0" t="n">
        <v>1736</v>
      </c>
      <c r="O18" s="0" t="n">
        <v>9686</v>
      </c>
      <c r="P18" s="0" t="n">
        <v>29053</v>
      </c>
      <c r="R18" s="0" t="n">
        <v>11785.5</v>
      </c>
      <c r="S18" s="0" t="n">
        <v>143</v>
      </c>
      <c r="T18" s="0" t="n">
        <v>317.08</v>
      </c>
      <c r="U18" s="0" t="n">
        <v>39</v>
      </c>
      <c r="V18" s="0" t="n">
        <v>1.91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17279</v>
      </c>
      <c r="C19" s="0" t="n">
        <v>8943</v>
      </c>
      <c r="F19" s="0" t="n">
        <v>2780</v>
      </c>
      <c r="G19" s="0" t="n">
        <v>16.0888940332195</v>
      </c>
      <c r="H19" s="0" t="n">
        <v>4281</v>
      </c>
      <c r="I19" s="0" t="n">
        <v>1731</v>
      </c>
      <c r="J19" s="0" t="n">
        <v>10.0179408530586</v>
      </c>
      <c r="K19" s="0" t="n">
        <v>5.47</v>
      </c>
      <c r="L19" s="0" t="n">
        <v>3618</v>
      </c>
      <c r="M19" s="0" t="n">
        <v>1631</v>
      </c>
      <c r="N19" s="0" t="n">
        <v>1987</v>
      </c>
      <c r="O19" s="0" t="n">
        <v>10543</v>
      </c>
      <c r="P19" s="0" t="n">
        <v>31410</v>
      </c>
      <c r="R19" s="0" t="n">
        <v>12819</v>
      </c>
      <c r="S19" s="0" t="n">
        <v>140</v>
      </c>
      <c r="T19" s="0" t="n">
        <v>316.665</v>
      </c>
      <c r="U19" s="0" t="n">
        <v>41</v>
      </c>
      <c r="V19" s="0" t="n">
        <v>2.06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18418</v>
      </c>
      <c r="C20" s="0" t="n">
        <v>9350</v>
      </c>
      <c r="F20" s="0" t="n">
        <v>3196</v>
      </c>
      <c r="G20" s="0" t="n">
        <v>17.3525898577479</v>
      </c>
      <c r="H20" s="0" t="n">
        <v>4873</v>
      </c>
      <c r="I20" s="0" t="n">
        <v>2044</v>
      </c>
      <c r="J20" s="0" t="n">
        <v>11.0978390704745</v>
      </c>
      <c r="K20" s="0" t="n">
        <v>6.5</v>
      </c>
      <c r="L20" s="0" t="n">
        <v>3936</v>
      </c>
      <c r="M20" s="0" t="n">
        <v>1855</v>
      </c>
      <c r="N20" s="0" t="n">
        <v>2081</v>
      </c>
      <c r="O20" s="0" t="n">
        <v>11407</v>
      </c>
      <c r="P20" s="0" t="n">
        <v>32402</v>
      </c>
      <c r="R20" s="0" t="n">
        <v>12713</v>
      </c>
      <c r="S20" s="0" t="n">
        <v>74</v>
      </c>
      <c r="T20" s="0" t="n">
        <v>314.809</v>
      </c>
      <c r="U20" s="0" t="n">
        <v>42</v>
      </c>
      <c r="V20" s="0" t="n">
        <v>2.23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19027</v>
      </c>
      <c r="C21" s="0" t="n">
        <v>9630</v>
      </c>
      <c r="F21" s="0" t="n">
        <v>3302</v>
      </c>
      <c r="G21" s="0" t="n">
        <v>17.3542860146108</v>
      </c>
      <c r="H21" s="0" t="n">
        <v>5116</v>
      </c>
      <c r="I21" s="0" t="n">
        <v>2139.249</v>
      </c>
      <c r="J21" s="0" t="n">
        <v>11.243228044358</v>
      </c>
      <c r="K21" s="0" t="n">
        <v>6.86</v>
      </c>
      <c r="L21" s="0" t="n">
        <v>4296</v>
      </c>
      <c r="M21" s="0" t="n">
        <v>1887</v>
      </c>
      <c r="N21" s="0" t="n">
        <v>2409</v>
      </c>
      <c r="O21" s="0" t="n">
        <v>11969</v>
      </c>
      <c r="P21" s="0" t="n">
        <v>34366</v>
      </c>
      <c r="R21" s="0" t="n">
        <v>14306</v>
      </c>
      <c r="S21" s="0" t="n">
        <v>76</v>
      </c>
      <c r="T21" s="0" t="n">
        <v>312.168</v>
      </c>
      <c r="V21" s="0" t="n">
        <v>2.41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206.98</v>
      </c>
    </row>
    <row r="3" customFormat="false" ht="15" hidden="false" customHeight="false" outlineLevel="0" collapsed="false">
      <c r="A3" s="0" t="s">
        <v>86</v>
      </c>
      <c r="B3" s="3" t="n">
        <v>307.6</v>
      </c>
    </row>
    <row r="4" customFormat="false" ht="15" hidden="false" customHeight="false" outlineLevel="0" collapsed="false">
      <c r="A4" s="0" t="s">
        <v>87</v>
      </c>
      <c r="B4" s="3" t="n">
        <v>13962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16891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3</v>
      </c>
      <c r="D13" s="3" t="n">
        <v>2.75</v>
      </c>
      <c r="E13" s="3" t="n">
        <v>2.5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31</v>
      </c>
      <c r="D14" s="3" t="n">
        <v>30.7</v>
      </c>
      <c r="E14" s="3" t="n">
        <v>30.4</v>
      </c>
      <c r="F14" s="3" t="n">
        <v>30.2</v>
      </c>
      <c r="G14" s="3" t="n">
        <v>30</v>
      </c>
      <c r="H14" s="3" t="n">
        <v>30</v>
      </c>
      <c r="I14" s="3" t="n">
        <v>30</v>
      </c>
      <c r="J14" s="3" t="n">
        <v>30</v>
      </c>
      <c r="K14" s="3" t="n">
        <v>30</v>
      </c>
      <c r="L14" s="3" t="n">
        <v>30</v>
      </c>
    </row>
    <row r="15" customFormat="false" ht="15" hidden="false" customHeight="false" outlineLevel="0" collapsed="false">
      <c r="A15" s="0" t="s">
        <v>109</v>
      </c>
      <c r="C15" s="3" t="n">
        <v>0.36</v>
      </c>
      <c r="D15" s="3" t="n">
        <v>0.36</v>
      </c>
      <c r="E15" s="3" t="n">
        <v>0.36</v>
      </c>
      <c r="F15" s="3" t="n">
        <v>0.36</v>
      </c>
      <c r="G15" s="3" t="n">
        <v>0.36</v>
      </c>
      <c r="H15" s="3" t="n">
        <v>0.36</v>
      </c>
      <c r="I15" s="3" t="n">
        <v>0.36</v>
      </c>
      <c r="J15" s="3" t="n">
        <v>0.36</v>
      </c>
      <c r="K15" s="3" t="n">
        <v>0.36</v>
      </c>
      <c r="L15" s="3" t="n">
        <v>0.36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11</v>
      </c>
      <c r="D17" s="3" t="n">
        <v>11.1</v>
      </c>
      <c r="E17" s="3" t="n">
        <v>11.2</v>
      </c>
      <c r="F17" s="3" t="n">
        <v>11.3</v>
      </c>
      <c r="G17" s="3" t="n">
        <v>11.3</v>
      </c>
      <c r="H17" s="3" t="n">
        <v>11.3</v>
      </c>
      <c r="I17" s="3" t="n">
        <v>11.3</v>
      </c>
      <c r="J17" s="3" t="n">
        <v>11.3</v>
      </c>
      <c r="K17" s="3" t="n">
        <v>11.3</v>
      </c>
      <c r="L17" s="3" t="n">
        <v>11.3</v>
      </c>
    </row>
    <row r="18" customFormat="false" ht="15" hidden="false" customHeight="false" outlineLevel="0" collapsed="false">
      <c r="A18" s="0" t="s">
        <v>112</v>
      </c>
      <c r="C18" s="3" t="n">
        <v>11.6</v>
      </c>
      <c r="D18" s="3" t="n">
        <v>11.8</v>
      </c>
      <c r="E18" s="3" t="n">
        <v>11.8</v>
      </c>
      <c r="F18" s="3" t="n">
        <v>11.8</v>
      </c>
      <c r="G18" s="3" t="n">
        <v>11.8</v>
      </c>
      <c r="H18" s="3" t="n">
        <v>11.8</v>
      </c>
      <c r="I18" s="3" t="n">
        <v>11.8</v>
      </c>
      <c r="J18" s="3" t="n">
        <v>11.8</v>
      </c>
      <c r="K18" s="3" t="n">
        <v>11.8</v>
      </c>
      <c r="L18" s="3" t="n">
        <v>11.8</v>
      </c>
    </row>
    <row r="19" customFormat="false" ht="15" hidden="false" customHeight="false" outlineLevel="0" collapsed="false">
      <c r="A19" s="0" t="s">
        <v>113</v>
      </c>
      <c r="C19" s="3" t="n">
        <v>16</v>
      </c>
      <c r="D19" s="3" t="n">
        <v>18</v>
      </c>
      <c r="E19" s="3" t="n">
        <v>20</v>
      </c>
      <c r="F19" s="3" t="n">
        <v>22</v>
      </c>
      <c r="G19" s="3" t="n">
        <v>23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114</v>
      </c>
      <c r="B20" s="3" t="n">
        <v>7.5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17</v>
      </c>
    </row>
    <row r="23" customFormat="false" ht="15" hidden="false" customHeight="false" outlineLevel="0" collapsed="false">
      <c r="A23" s="0" t="s">
        <v>117</v>
      </c>
      <c r="B23" s="3" t="n">
        <v>-2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3.9</v>
      </c>
      <c r="D27" s="3" t="n">
        <v>4.5</v>
      </c>
      <c r="E27" s="3" t="n">
        <v>4.5</v>
      </c>
      <c r="F27" s="3" t="n">
        <v>4.5</v>
      </c>
      <c r="G27" s="3" t="n">
        <v>4.25</v>
      </c>
      <c r="H27" s="3" t="n">
        <v>4</v>
      </c>
      <c r="I27" s="3" t="n">
        <v>3.75</v>
      </c>
      <c r="J27" s="3" t="n">
        <v>3.5</v>
      </c>
      <c r="K27" s="3" t="n">
        <v>3.25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31.3</v>
      </c>
      <c r="D28" s="3" t="n">
        <v>31.5</v>
      </c>
      <c r="E28" s="3" t="n">
        <v>31.7</v>
      </c>
      <c r="F28" s="3" t="n">
        <v>31.9</v>
      </c>
      <c r="G28" s="3" t="n">
        <v>32</v>
      </c>
      <c r="H28" s="3" t="n">
        <v>32</v>
      </c>
      <c r="I28" s="3" t="n">
        <v>32</v>
      </c>
      <c r="J28" s="3" t="n">
        <v>32</v>
      </c>
      <c r="K28" s="3" t="n">
        <v>32</v>
      </c>
      <c r="L28" s="3" t="n">
        <v>32</v>
      </c>
    </row>
    <row r="29" customFormat="false" ht="15" hidden="false" customHeight="false" outlineLevel="0" collapsed="false">
      <c r="A29" s="0" t="s">
        <v>109</v>
      </c>
      <c r="C29" s="3" t="n">
        <v>0.36</v>
      </c>
      <c r="D29" s="3" t="n">
        <v>0.36</v>
      </c>
      <c r="E29" s="3" t="n">
        <v>0.35</v>
      </c>
      <c r="F29" s="3" t="n">
        <v>0.35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11</v>
      </c>
      <c r="D31" s="3" t="n">
        <v>11</v>
      </c>
      <c r="E31" s="3" t="n">
        <v>11</v>
      </c>
      <c r="F31" s="3" t="n">
        <v>11</v>
      </c>
      <c r="G31" s="3" t="n">
        <v>11</v>
      </c>
      <c r="H31" s="3" t="n">
        <v>11</v>
      </c>
      <c r="I31" s="3" t="n">
        <v>11</v>
      </c>
      <c r="J31" s="3" t="n">
        <v>11</v>
      </c>
      <c r="K31" s="3" t="n">
        <v>11</v>
      </c>
      <c r="L31" s="3" t="n">
        <v>11</v>
      </c>
    </row>
    <row r="32" customFormat="false" ht="15" hidden="false" customHeight="false" outlineLevel="0" collapsed="false">
      <c r="A32" s="0" t="s">
        <v>112</v>
      </c>
      <c r="C32" s="3" t="n">
        <v>11.4</v>
      </c>
      <c r="D32" s="3" t="n">
        <v>11.3</v>
      </c>
      <c r="E32" s="3" t="n">
        <v>11.2</v>
      </c>
      <c r="F32" s="3" t="n">
        <v>11.2</v>
      </c>
      <c r="G32" s="3" t="n">
        <v>11.2</v>
      </c>
      <c r="H32" s="3" t="n">
        <v>11.2</v>
      </c>
      <c r="I32" s="3" t="n">
        <v>11.2</v>
      </c>
      <c r="J32" s="3" t="n">
        <v>11.2</v>
      </c>
      <c r="K32" s="3" t="n">
        <v>11.2</v>
      </c>
      <c r="L32" s="3" t="n">
        <v>11.2</v>
      </c>
    </row>
    <row r="33" customFormat="false" ht="15" hidden="false" customHeight="false" outlineLevel="0" collapsed="false">
      <c r="A33" s="0" t="s">
        <v>113</v>
      </c>
      <c r="C33" s="3" t="n">
        <v>15</v>
      </c>
      <c r="D33" s="3" t="n">
        <v>16</v>
      </c>
      <c r="E33" s="3" t="n">
        <v>17.5</v>
      </c>
      <c r="F33" s="3" t="n">
        <v>19</v>
      </c>
      <c r="G33" s="3" t="n">
        <v>20</v>
      </c>
      <c r="H33" s="3" t="n">
        <v>21</v>
      </c>
      <c r="I33" s="3" t="n">
        <v>21.5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114</v>
      </c>
      <c r="B34" s="3" t="n">
        <v>7.5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20</v>
      </c>
    </row>
    <row r="37" customFormat="false" ht="15" hidden="false" customHeight="false" outlineLevel="0" collapsed="false">
      <c r="A37" s="0" t="s">
        <v>117</v>
      </c>
      <c r="B37" s="3" t="n">
        <v>-2</v>
      </c>
    </row>
    <row r="38" customFormat="false" ht="15" hidden="false" customHeight="false" outlineLevel="0" collapsed="false">
      <c r="A38" s="0" t="s">
        <v>118</v>
      </c>
      <c r="B38" s="3" t="n">
        <v>0.55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4.3</v>
      </c>
      <c r="D41" s="3" t="n">
        <v>5.5</v>
      </c>
      <c r="E41" s="3" t="n">
        <v>5.5</v>
      </c>
      <c r="F41" s="3" t="n">
        <v>5.5</v>
      </c>
      <c r="G41" s="3" t="n">
        <v>5</v>
      </c>
      <c r="H41" s="3" t="n">
        <v>4.75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31.5</v>
      </c>
      <c r="D42" s="3" t="n">
        <v>31.9</v>
      </c>
      <c r="E42" s="3" t="n">
        <v>32.3</v>
      </c>
      <c r="F42" s="3" t="n">
        <v>32.7</v>
      </c>
      <c r="G42" s="3" t="n">
        <v>33</v>
      </c>
      <c r="H42" s="3" t="n">
        <v>33.2</v>
      </c>
      <c r="I42" s="3" t="n">
        <v>33.3</v>
      </c>
      <c r="J42" s="3" t="n">
        <v>33.3</v>
      </c>
      <c r="K42" s="3" t="n">
        <v>33.3</v>
      </c>
      <c r="L42" s="3" t="n">
        <v>33.3</v>
      </c>
    </row>
    <row r="43" customFormat="false" ht="15" hidden="false" customHeight="false" outlineLevel="0" collapsed="false">
      <c r="A43" s="0" t="s">
        <v>109</v>
      </c>
      <c r="C43" s="3" t="n">
        <v>0.36</v>
      </c>
      <c r="D43" s="3" t="n">
        <v>0.36</v>
      </c>
      <c r="E43" s="3" t="n">
        <v>0.35</v>
      </c>
      <c r="F43" s="3" t="n">
        <v>0.35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11</v>
      </c>
      <c r="D45" s="3" t="n">
        <v>11</v>
      </c>
      <c r="E45" s="3" t="n">
        <v>11</v>
      </c>
      <c r="F45" s="3" t="n">
        <v>11</v>
      </c>
      <c r="G45" s="3" t="n">
        <v>11</v>
      </c>
      <c r="H45" s="3" t="n">
        <v>11</v>
      </c>
      <c r="I45" s="3" t="n">
        <v>11</v>
      </c>
      <c r="J45" s="3" t="n">
        <v>11</v>
      </c>
      <c r="K45" s="3" t="n">
        <v>11</v>
      </c>
      <c r="L45" s="3" t="n">
        <v>11</v>
      </c>
    </row>
    <row r="46" customFormat="false" ht="15" hidden="false" customHeight="false" outlineLevel="0" collapsed="false">
      <c r="A46" s="0" t="s">
        <v>112</v>
      </c>
      <c r="C46" s="3" t="n">
        <v>11.4</v>
      </c>
      <c r="D46" s="3" t="n">
        <v>11.3</v>
      </c>
      <c r="E46" s="3" t="n">
        <v>11.1</v>
      </c>
      <c r="F46" s="3" t="n">
        <v>11</v>
      </c>
      <c r="G46" s="3" t="n">
        <v>11</v>
      </c>
      <c r="H46" s="3" t="n">
        <v>11</v>
      </c>
      <c r="I46" s="3" t="n">
        <v>11</v>
      </c>
      <c r="J46" s="3" t="n">
        <v>11</v>
      </c>
      <c r="K46" s="3" t="n">
        <v>11</v>
      </c>
      <c r="L46" s="3" t="n">
        <v>11</v>
      </c>
    </row>
    <row r="47" customFormat="false" ht="15" hidden="false" customHeight="false" outlineLevel="0" collapsed="false">
      <c r="A47" s="0" t="s">
        <v>113</v>
      </c>
      <c r="C47" s="3" t="n">
        <v>14</v>
      </c>
      <c r="D47" s="3" t="n">
        <v>15</v>
      </c>
      <c r="E47" s="3" t="n">
        <v>16</v>
      </c>
      <c r="F47" s="3" t="n">
        <v>17.5</v>
      </c>
      <c r="G47" s="3" t="n">
        <v>18.5</v>
      </c>
      <c r="H47" s="3" t="n">
        <v>19.5</v>
      </c>
      <c r="I47" s="3" t="n">
        <v>20</v>
      </c>
      <c r="J47" s="3" t="n">
        <v>20.5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114</v>
      </c>
      <c r="B48" s="3" t="n">
        <v>7.5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22</v>
      </c>
    </row>
    <row r="51" customFormat="false" ht="15" hidden="false" customHeight="false" outlineLevel="0" collapsed="false">
      <c r="A51" s="0" t="s">
        <v>117</v>
      </c>
      <c r="B51" s="3" t="n">
        <v>-2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3</v>
      </c>
      <c r="D5" s="4" t="n">
        <f aca="false">Assumptions!D13</f>
        <v>2.75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16891</v>
      </c>
      <c r="C6" s="0" t="n">
        <f aca="false">B6*(1+C5/100)</f>
        <v>17397.73</v>
      </c>
      <c r="D6" s="0" t="n">
        <f aca="false">C6*(1+D5/100)</f>
        <v>17876.167575</v>
      </c>
      <c r="E6" s="0" t="n">
        <f aca="false">D6*(1+E5/100)</f>
        <v>18323.071764375</v>
      </c>
      <c r="F6" s="0" t="n">
        <f aca="false">E6*(1+F5/100)</f>
        <v>18781.1485584844</v>
      </c>
      <c r="G6" s="0" t="n">
        <f aca="false">F6*(1+G5/100)</f>
        <v>19250.6772724465</v>
      </c>
      <c r="H6" s="0" t="n">
        <f aca="false">G6*(1+H5/100)</f>
        <v>19731.9442042576</v>
      </c>
      <c r="I6" s="0" t="n">
        <f aca="false">H6*(1+I5/100)</f>
        <v>20225.2428093641</v>
      </c>
      <c r="J6" s="0" t="n">
        <f aca="false">I6*(1+J5/100)</f>
        <v>20730.8738795982</v>
      </c>
      <c r="K6" s="0" t="n">
        <f aca="false">J6*(1+K5/100)</f>
        <v>21249.1457265881</v>
      </c>
      <c r="L6" s="0" t="n">
        <f aca="false">K6*(1+L5/100)</f>
        <v>21780.3743697528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31</v>
      </c>
      <c r="D7" s="4" t="n">
        <f aca="false">Assumptions!D14</f>
        <v>30.7</v>
      </c>
      <c r="E7" s="4" t="n">
        <f aca="false">Assumptions!E14</f>
        <v>30.4</v>
      </c>
      <c r="F7" s="4" t="n">
        <f aca="false">Assumptions!F14</f>
        <v>30.2</v>
      </c>
      <c r="G7" s="4" t="n">
        <f aca="false">Assumptions!G14</f>
        <v>30</v>
      </c>
      <c r="H7" s="4" t="n">
        <f aca="false">Assumptions!H14</f>
        <v>30</v>
      </c>
      <c r="I7" s="4" t="n">
        <f aca="false">Assumptions!I14</f>
        <v>30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5393.2963</v>
      </c>
      <c r="D8" s="0" t="n">
        <f aca="false">D6*D7/100</f>
        <v>5487.983445525</v>
      </c>
      <c r="E8" s="0" t="n">
        <f aca="false">E6*E7/100</f>
        <v>5570.21381637</v>
      </c>
      <c r="F8" s="0" t="n">
        <f aca="false">F6*F7/100</f>
        <v>5671.90686466228</v>
      </c>
      <c r="G8" s="0" t="n">
        <f aca="false">G6*G7/100</f>
        <v>5775.20318173394</v>
      </c>
      <c r="H8" s="0" t="n">
        <f aca="false">H6*H7/100</f>
        <v>5919.58326127729</v>
      </c>
      <c r="I8" s="0" t="n">
        <f aca="false">I6*I7/100</f>
        <v>6067.57284280922</v>
      </c>
      <c r="J8" s="0" t="n">
        <f aca="false">J6*J7/100</f>
        <v>6219.26216387945</v>
      </c>
      <c r="K8" s="0" t="n">
        <f aca="false">K6*K7/100</f>
        <v>6374.74371797644</v>
      </c>
      <c r="L8" s="0" t="n">
        <f aca="false">L6*L7/100</f>
        <v>6534.11231092585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0.36</v>
      </c>
      <c r="D9" s="4" t="n">
        <f aca="false">Assumptions!D15</f>
        <v>0.36</v>
      </c>
      <c r="E9" s="4" t="n">
        <f aca="false">Assumptions!E15</f>
        <v>0.36</v>
      </c>
      <c r="F9" s="4" t="n">
        <f aca="false">Assumptions!F15</f>
        <v>0.36</v>
      </c>
      <c r="G9" s="4" t="n">
        <f aca="false">Assumptions!G15</f>
        <v>0.36</v>
      </c>
      <c r="H9" s="4" t="n">
        <f aca="false">Assumptions!H15</f>
        <v>0.36</v>
      </c>
      <c r="I9" s="4" t="n">
        <f aca="false">Assumptions!I15</f>
        <v>0.36</v>
      </c>
      <c r="J9" s="4" t="n">
        <f aca="false">Assumptions!J15</f>
        <v>0.36</v>
      </c>
      <c r="K9" s="4" t="n">
        <f aca="false">Assumptions!K15</f>
        <v>0.36</v>
      </c>
      <c r="L9" s="4" t="n">
        <f aca="false">Assumptions!L15</f>
        <v>0.36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-62.631828</v>
      </c>
      <c r="D10" s="0" t="n">
        <f aca="false">-D6*D9/100</f>
        <v>-64.35420327</v>
      </c>
      <c r="E10" s="0" t="n">
        <f aca="false">-E6*E9/100</f>
        <v>-65.96305835175</v>
      </c>
      <c r="F10" s="0" t="n">
        <f aca="false">-F6*F9/100</f>
        <v>-67.6121348105437</v>
      </c>
      <c r="G10" s="0" t="n">
        <f aca="false">-G6*G9/100</f>
        <v>-69.3024381808073</v>
      </c>
      <c r="H10" s="0" t="n">
        <f aca="false">-H6*H9/100</f>
        <v>-71.0349991353275</v>
      </c>
      <c r="I10" s="0" t="n">
        <f aca="false">-I6*I9/100</f>
        <v>-72.8108741137107</v>
      </c>
      <c r="J10" s="0" t="n">
        <f aca="false">-J6*J9/100</f>
        <v>-74.6311459665535</v>
      </c>
      <c r="K10" s="0" t="n">
        <f aca="false">-K6*K9/100</f>
        <v>-76.4969246157173</v>
      </c>
      <c r="L10" s="0" t="n">
        <f aca="false">-L6*L9/100</f>
        <v>-78.4093477311102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5330.664472</v>
      </c>
      <c r="D11" s="0" t="n">
        <f aca="false">D8+D10+D24</f>
        <v>5423.629242255</v>
      </c>
      <c r="E11" s="0" t="n">
        <f aca="false">E8+E10+E24</f>
        <v>5504.25075801825</v>
      </c>
      <c r="F11" s="0" t="n">
        <f aca="false">F8+F10+F24</f>
        <v>5604.29472985174</v>
      </c>
      <c r="G11" s="0" t="n">
        <f aca="false">G8+G10+G24</f>
        <v>5705.90074355314</v>
      </c>
      <c r="H11" s="0" t="n">
        <f aca="false">H8+H10+H24</f>
        <v>5848.54826214197</v>
      </c>
      <c r="I11" s="0" t="n">
        <f aca="false">I8+I10+I24</f>
        <v>5994.76196869551</v>
      </c>
      <c r="J11" s="0" t="n">
        <f aca="false">J8+J10+J24</f>
        <v>6144.6310179129</v>
      </c>
      <c r="K11" s="0" t="n">
        <f aca="false">K8+K10+K24</f>
        <v>6298.24679336072</v>
      </c>
      <c r="L11" s="0" t="n">
        <f aca="false">L8+L10+L24</f>
        <v>6455.70296319474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-1913.7503</v>
      </c>
      <c r="D12" s="4" t="n">
        <f aca="false">-D6*Assumptions!D17/100</f>
        <v>-1984.254600825</v>
      </c>
      <c r="E12" s="4" t="n">
        <f aca="false">-E6*Assumptions!E17/100</f>
        <v>-2052.18403761</v>
      </c>
      <c r="F12" s="4" t="n">
        <f aca="false">-F6*Assumptions!F17/100</f>
        <v>-2122.26978710873</v>
      </c>
      <c r="G12" s="4" t="n">
        <f aca="false">-G6*Assumptions!G17/100</f>
        <v>-2175.32653178645</v>
      </c>
      <c r="H12" s="4" t="n">
        <f aca="false">-H6*Assumptions!H17/100</f>
        <v>-2229.70969508111</v>
      </c>
      <c r="I12" s="4" t="n">
        <f aca="false">-I6*Assumptions!I17/100</f>
        <v>-2285.45243745814</v>
      </c>
      <c r="J12" s="4" t="n">
        <f aca="false">-J6*Assumptions!J17/100</f>
        <v>-2342.58874839459</v>
      </c>
      <c r="K12" s="4" t="n">
        <f aca="false">-K6*Assumptions!K17/100</f>
        <v>-2401.15346710446</v>
      </c>
      <c r="L12" s="4" t="n">
        <f aca="false">-L6*Assumptions!L17/100</f>
        <v>-2461.18230378207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3416.914172</v>
      </c>
      <c r="D13" s="0" t="n">
        <f aca="false">D11+D12</f>
        <v>3439.37464143</v>
      </c>
      <c r="E13" s="0" t="n">
        <f aca="false">E11+E12</f>
        <v>3452.06672040825</v>
      </c>
      <c r="F13" s="0" t="n">
        <f aca="false">F11+F12</f>
        <v>3482.024942743</v>
      </c>
      <c r="G13" s="0" t="n">
        <f aca="false">G11+G12</f>
        <v>3530.57421176668</v>
      </c>
      <c r="H13" s="0" t="n">
        <f aca="false">H11+H12</f>
        <v>3618.83856706085</v>
      </c>
      <c r="I13" s="0" t="n">
        <f aca="false">I11+I12</f>
        <v>3709.30953123737</v>
      </c>
      <c r="J13" s="0" t="n">
        <f aca="false">J11+J12</f>
        <v>3802.04226951831</v>
      </c>
      <c r="K13" s="0" t="n">
        <f aca="false">K11+K12</f>
        <v>3897.09332625626</v>
      </c>
      <c r="L13" s="0" t="n">
        <f aca="false">L11+L12</f>
        <v>3994.52065941267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16</v>
      </c>
      <c r="D14" s="4" t="n">
        <f aca="false">Assumptions!D19</f>
        <v>18</v>
      </c>
      <c r="E14" s="4" t="n">
        <f aca="false">Assumptions!E19</f>
        <v>20</v>
      </c>
      <c r="F14" s="4" t="n">
        <f aca="false">Assumptions!F19</f>
        <v>22</v>
      </c>
      <c r="G14" s="4" t="n">
        <f aca="false">Assumptions!G19</f>
        <v>23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2870.20790448</v>
      </c>
      <c r="D15" s="0" t="n">
        <f aca="false">D13-MAX(0,D13)*D14/100</f>
        <v>2820.2872059726</v>
      </c>
      <c r="E15" s="0" t="n">
        <f aca="false">E13-MAX(0,E13)*E14/100</f>
        <v>2761.6533763266</v>
      </c>
      <c r="F15" s="0" t="n">
        <f aca="false">F13-MAX(0,F13)*F14/100</f>
        <v>2715.97945533954</v>
      </c>
      <c r="G15" s="0" t="n">
        <f aca="false">G13-MAX(0,G13)*G14/100</f>
        <v>2718.54214306035</v>
      </c>
      <c r="H15" s="0" t="n">
        <f aca="false">H13-MAX(0,H13)*H14/100</f>
        <v>2750.31731096625</v>
      </c>
      <c r="I15" s="0" t="n">
        <f aca="false">I13-MAX(0,I13)*I14/100</f>
        <v>2819.0752437404</v>
      </c>
      <c r="J15" s="0" t="n">
        <f aca="false">J13-MAX(0,J13)*J14/100</f>
        <v>2889.55212483391</v>
      </c>
      <c r="K15" s="0" t="n">
        <f aca="false">K13-MAX(0,K13)*K14/100</f>
        <v>2961.79092795476</v>
      </c>
      <c r="L15" s="0" t="n">
        <f aca="false">L13-MAX(0,L13)*L14/100</f>
        <v>3035.83570115363</v>
      </c>
    </row>
    <row r="16" customFormat="false" ht="15" hidden="false" customHeight="false" outlineLevel="0" collapsed="false">
      <c r="A16" s="0" t="s">
        <v>129</v>
      </c>
      <c r="C16" s="0" t="n">
        <f aca="false">-C12</f>
        <v>1913.7503</v>
      </c>
      <c r="D16" s="0" t="n">
        <f aca="false">-D12</f>
        <v>1984.254600825</v>
      </c>
      <c r="E16" s="0" t="n">
        <f aca="false">-E12</f>
        <v>2052.18403761</v>
      </c>
      <c r="F16" s="0" t="n">
        <f aca="false">-F12</f>
        <v>2122.26978710873</v>
      </c>
      <c r="G16" s="0" t="n">
        <f aca="false">-G12</f>
        <v>2175.32653178645</v>
      </c>
      <c r="H16" s="0" t="n">
        <f aca="false">-H12</f>
        <v>2229.70969508111</v>
      </c>
      <c r="I16" s="0" t="n">
        <f aca="false">-I12</f>
        <v>2285.45243745814</v>
      </c>
      <c r="J16" s="0" t="n">
        <f aca="false">-J12</f>
        <v>2342.58874839459</v>
      </c>
      <c r="K16" s="0" t="n">
        <f aca="false">-K12</f>
        <v>2401.15346710446</v>
      </c>
      <c r="L16" s="0" t="n">
        <f aca="false">-L12</f>
        <v>2461.18230378207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-2018.13668</v>
      </c>
      <c r="D17" s="4" t="n">
        <f aca="false">-D6*Assumptions!D18/100</f>
        <v>-2109.38777385</v>
      </c>
      <c r="E17" s="4" t="n">
        <f aca="false">-E6*Assumptions!E18/100</f>
        <v>-2162.12246819625</v>
      </c>
      <c r="F17" s="4" t="n">
        <f aca="false">-F6*Assumptions!F18/100</f>
        <v>-2216.17552990116</v>
      </c>
      <c r="G17" s="4" t="n">
        <f aca="false">-G6*Assumptions!G18/100</f>
        <v>-2271.57991814868</v>
      </c>
      <c r="H17" s="4" t="n">
        <f aca="false">-H6*Assumptions!H18/100</f>
        <v>-2328.3694161024</v>
      </c>
      <c r="I17" s="4" t="n">
        <f aca="false">-I6*Assumptions!I18/100</f>
        <v>-2386.57865150496</v>
      </c>
      <c r="J17" s="4" t="n">
        <f aca="false">-J6*Assumptions!J18/100</f>
        <v>-2446.24311779259</v>
      </c>
      <c r="K17" s="4" t="n">
        <f aca="false">-K6*Assumptions!K18/100</f>
        <v>-2507.3991957374</v>
      </c>
      <c r="L17" s="4" t="n">
        <f aca="false">-L6*Assumptions!L18/100</f>
        <v>-2570.08417563083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-10.1346</v>
      </c>
      <c r="D18" s="4" t="n">
        <f aca="false">(D6-C6)*Assumptions!$B$23/100</f>
        <v>-9.5687515</v>
      </c>
      <c r="E18" s="4" t="n">
        <f aca="false">(E6-D6)*Assumptions!$B$23/100</f>
        <v>-8.9380837875</v>
      </c>
      <c r="F18" s="4" t="n">
        <f aca="false">(F6-E6)*Assumptions!$B$23/100</f>
        <v>-9.16153588218745</v>
      </c>
      <c r="G18" s="4" t="n">
        <f aca="false">(G6-F6)*Assumptions!$B$23/100</f>
        <v>-9.39057427924214</v>
      </c>
      <c r="H18" s="4" t="n">
        <f aca="false">(H6-G6)*Assumptions!$B$23/100</f>
        <v>-9.62533863622324</v>
      </c>
      <c r="I18" s="4" t="n">
        <f aca="false">(I6-H6)*Assumptions!$B$23/100</f>
        <v>-9.8659721021288</v>
      </c>
      <c r="J18" s="4" t="n">
        <f aca="false">(J6-I6)*Assumptions!$B$23/100</f>
        <v>-10.112621404682</v>
      </c>
      <c r="K18" s="4" t="n">
        <f aca="false">(K6-J6)*Assumptions!$B$23/100</f>
        <v>-10.365436939799</v>
      </c>
      <c r="L18" s="4" t="n">
        <f aca="false">(L6-K6)*Assumptions!$B$23/100</f>
        <v>-10.624572863294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2755.68692448</v>
      </c>
      <c r="D19" s="0" t="n">
        <f aca="false">D15+D16+D17+D18</f>
        <v>2685.5852814476</v>
      </c>
      <c r="E19" s="0" t="n">
        <f aca="false">E15+E16+E17+E18</f>
        <v>2642.77686195285</v>
      </c>
      <c r="F19" s="0" t="n">
        <f aca="false">F15+F16+F17+F18</f>
        <v>2612.91217666493</v>
      </c>
      <c r="G19" s="0" t="n">
        <f aca="false">G15+G16+G17+G18</f>
        <v>2612.89818241887</v>
      </c>
      <c r="H19" s="0" t="n">
        <f aca="false">H15+H16+H17+H18</f>
        <v>2642.03225130874</v>
      </c>
      <c r="I19" s="0" t="n">
        <f aca="false">I15+I16+I17+I18</f>
        <v>2708.08305759145</v>
      </c>
      <c r="J19" s="0" t="n">
        <f aca="false">J15+J16+J17+J18</f>
        <v>2775.78513403124</v>
      </c>
      <c r="K19" s="0" t="n">
        <f aca="false">K15+K16+K17+K18</f>
        <v>2845.17976238202</v>
      </c>
      <c r="L19" s="0" t="n">
        <f aca="false">L15+L16+L17+L18</f>
        <v>2916.30925644157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2563.4296971907</v>
      </c>
      <c r="D21" s="0" t="n">
        <f aca="false">D19*D20</f>
        <v>2323.92452694222</v>
      </c>
      <c r="E21" s="0" t="n">
        <f aca="false">E19*E20</f>
        <v>2127.33116788437</v>
      </c>
      <c r="F21" s="0" t="n">
        <f aca="false">F19*F20</f>
        <v>1956.55002214584</v>
      </c>
      <c r="G21" s="0" t="n">
        <f aca="false">G19*G20</f>
        <v>1820.03678441579</v>
      </c>
      <c r="H21" s="0" t="n">
        <f aca="false">H19*H20</f>
        <v>1711.9352293921</v>
      </c>
      <c r="I21" s="0" t="n">
        <f aca="false">I19*I20</f>
        <v>1632.31033500177</v>
      </c>
      <c r="J21" s="0" t="n">
        <f aca="false">J19*J20</f>
        <v>1556.38892407146</v>
      </c>
      <c r="K21" s="0" t="n">
        <f aca="false">K19*K20</f>
        <v>1483.99874155651</v>
      </c>
      <c r="L21" s="0" t="n">
        <f aca="false">L19*L20</f>
        <v>1414.97554427481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18590.8809728756</v>
      </c>
    </row>
    <row r="31" customFormat="false" ht="15" hidden="false" customHeight="false" outlineLevel="0" collapsed="false">
      <c r="A31" s="0" t="s">
        <v>138</v>
      </c>
      <c r="B31" s="0" t="n">
        <f aca="false">L19</f>
        <v>2916.30925644157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59784.3397570522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49577.2573595067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49577.2573595067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24054.5842526718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42645.4652255473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28683.4652255473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93.249236754055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-0.549477066605203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475.653009734206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779.896658544864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97.3309977042471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23913.7359028209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17.893613290172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3.9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4.25</v>
      </c>
      <c r="H5" s="4" t="n">
        <f aca="false">Assumptions!H27</f>
        <v>4</v>
      </c>
      <c r="I5" s="4" t="n">
        <f aca="false">Assumptions!I27</f>
        <v>3.75</v>
      </c>
      <c r="J5" s="4" t="n">
        <f aca="false">Assumptions!J27</f>
        <v>3.5</v>
      </c>
      <c r="K5" s="4" t="n">
        <f aca="false">Assumptions!K27</f>
        <v>3.25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16891</v>
      </c>
      <c r="C6" s="0" t="n">
        <f aca="false">B6*(1+C5/100)</f>
        <v>17549.749</v>
      </c>
      <c r="D6" s="0" t="n">
        <f aca="false">C6*(1+D5/100)</f>
        <v>18339.487705</v>
      </c>
      <c r="E6" s="0" t="n">
        <f aca="false">D6*(1+E5/100)</f>
        <v>19164.764651725</v>
      </c>
      <c r="F6" s="0" t="n">
        <f aca="false">E6*(1+F5/100)</f>
        <v>20027.1790610526</v>
      </c>
      <c r="G6" s="0" t="n">
        <f aca="false">F6*(1+G5/100)</f>
        <v>20878.3341711474</v>
      </c>
      <c r="H6" s="0" t="n">
        <f aca="false">G6*(1+H5/100)</f>
        <v>21713.4675379933</v>
      </c>
      <c r="I6" s="0" t="n">
        <f aca="false">H6*(1+I5/100)</f>
        <v>22527.722570668</v>
      </c>
      <c r="J6" s="0" t="n">
        <f aca="false">I6*(1+J5/100)</f>
        <v>23316.1928606414</v>
      </c>
      <c r="K6" s="0" t="n">
        <f aca="false">J6*(1+K5/100)</f>
        <v>24073.9691286122</v>
      </c>
      <c r="L6" s="0" t="n">
        <f aca="false">K6*(1+L5/100)</f>
        <v>24796.1882024706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31.3</v>
      </c>
      <c r="D7" s="4" t="n">
        <f aca="false">Assumptions!D28</f>
        <v>31.5</v>
      </c>
      <c r="E7" s="4" t="n">
        <f aca="false">Assumptions!E28</f>
        <v>31.7</v>
      </c>
      <c r="F7" s="4" t="n">
        <f aca="false">Assumptions!F28</f>
        <v>31.9</v>
      </c>
      <c r="G7" s="4" t="n">
        <f aca="false">Assumptions!G28</f>
        <v>32</v>
      </c>
      <c r="H7" s="4" t="n">
        <f aca="false">Assumptions!H28</f>
        <v>32</v>
      </c>
      <c r="I7" s="4" t="n">
        <f aca="false">Assumptions!I28</f>
        <v>32</v>
      </c>
      <c r="J7" s="4" t="n">
        <f aca="false">Assumptions!J28</f>
        <v>32</v>
      </c>
      <c r="K7" s="4" t="n">
        <f aca="false">Assumptions!K28</f>
        <v>32</v>
      </c>
      <c r="L7" s="4" t="n">
        <f aca="false">Assumptions!L28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5493.071437</v>
      </c>
      <c r="D8" s="0" t="n">
        <f aca="false">D6*D7/100</f>
        <v>5776.938627075</v>
      </c>
      <c r="E8" s="0" t="n">
        <f aca="false">E6*E7/100</f>
        <v>6075.23039459682</v>
      </c>
      <c r="F8" s="0" t="n">
        <f aca="false">F6*F7/100</f>
        <v>6388.67012047579</v>
      </c>
      <c r="G8" s="0" t="n">
        <f aca="false">G6*G7/100</f>
        <v>6681.06693476716</v>
      </c>
      <c r="H8" s="0" t="n">
        <f aca="false">H6*H7/100</f>
        <v>6948.30961215784</v>
      </c>
      <c r="I8" s="0" t="n">
        <f aca="false">I6*I7/100</f>
        <v>7208.87122261376</v>
      </c>
      <c r="J8" s="0" t="n">
        <f aca="false">J6*J7/100</f>
        <v>7461.18171540524</v>
      </c>
      <c r="K8" s="0" t="n">
        <f aca="false">K6*K7/100</f>
        <v>7703.67012115591</v>
      </c>
      <c r="L8" s="0" t="n">
        <f aca="false">L6*L7/100</f>
        <v>7934.78022479059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0.36</v>
      </c>
      <c r="D9" s="4" t="n">
        <f aca="false">Assumptions!D29</f>
        <v>0.36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-63.1790964</v>
      </c>
      <c r="D10" s="0" t="n">
        <f aca="false">-D6*D9/100</f>
        <v>-66.022155738</v>
      </c>
      <c r="E10" s="0" t="n">
        <f aca="false">-E6*E9/100</f>
        <v>-67.0766762810375</v>
      </c>
      <c r="F10" s="0" t="n">
        <f aca="false">-F6*F9/100</f>
        <v>-70.0951267136842</v>
      </c>
      <c r="G10" s="0" t="n">
        <f aca="false">-G6*G9/100</f>
        <v>-73.0741695990158</v>
      </c>
      <c r="H10" s="0" t="n">
        <f aca="false">-H6*H9/100</f>
        <v>-75.9971363829764</v>
      </c>
      <c r="I10" s="0" t="n">
        <f aca="false">-I6*I9/100</f>
        <v>-78.847028997338</v>
      </c>
      <c r="J10" s="0" t="n">
        <f aca="false">-J6*J9/100</f>
        <v>-81.6066750122448</v>
      </c>
      <c r="K10" s="0" t="n">
        <f aca="false">-K6*K9/100</f>
        <v>-84.2588919501428</v>
      </c>
      <c r="L10" s="0" t="n">
        <f aca="false">-L6*L9/100</f>
        <v>-86.7866587086471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5429.8923406</v>
      </c>
      <c r="D11" s="0" t="n">
        <f aca="false">D8+D10+D24</f>
        <v>5710.916471337</v>
      </c>
      <c r="E11" s="0" t="n">
        <f aca="false">E8+E10+E24</f>
        <v>6008.15371831579</v>
      </c>
      <c r="F11" s="0" t="n">
        <f aca="false">F8+F10+F24</f>
        <v>6318.5749937621</v>
      </c>
      <c r="G11" s="0" t="n">
        <f aca="false">G8+G10+G24</f>
        <v>6607.99276516814</v>
      </c>
      <c r="H11" s="0" t="n">
        <f aca="false">H8+H10+H24</f>
        <v>6872.31247577487</v>
      </c>
      <c r="I11" s="0" t="n">
        <f aca="false">I8+I10+I24</f>
        <v>7130.02419361642</v>
      </c>
      <c r="J11" s="0" t="n">
        <f aca="false">J8+J10+J24</f>
        <v>7379.575040393</v>
      </c>
      <c r="K11" s="0" t="n">
        <f aca="false">K8+K10+K24</f>
        <v>7619.41122920577</v>
      </c>
      <c r="L11" s="0" t="n">
        <f aca="false">L8+L10+L24</f>
        <v>7847.99356608194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-1930.47239</v>
      </c>
      <c r="D12" s="4" t="n">
        <f aca="false">-D6*Assumptions!D31/100</f>
        <v>-2017.34364755</v>
      </c>
      <c r="E12" s="4" t="n">
        <f aca="false">-E6*Assumptions!E31/100</f>
        <v>-2108.12411168975</v>
      </c>
      <c r="F12" s="4" t="n">
        <f aca="false">-F6*Assumptions!F31/100</f>
        <v>-2202.98969671579</v>
      </c>
      <c r="G12" s="4" t="n">
        <f aca="false">-G6*Assumptions!G31/100</f>
        <v>-2296.61675882621</v>
      </c>
      <c r="H12" s="4" t="n">
        <f aca="false">-H6*Assumptions!H31/100</f>
        <v>-2388.48142917926</v>
      </c>
      <c r="I12" s="4" t="n">
        <f aca="false">-I6*Assumptions!I31/100</f>
        <v>-2478.04948277348</v>
      </c>
      <c r="J12" s="4" t="n">
        <f aca="false">-J6*Assumptions!J31/100</f>
        <v>-2564.78121467055</v>
      </c>
      <c r="K12" s="4" t="n">
        <f aca="false">-K6*Assumptions!K31/100</f>
        <v>-2648.13660414734</v>
      </c>
      <c r="L12" s="4" t="n">
        <f aca="false">-L6*Assumptions!L31/100</f>
        <v>-2727.58070227177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3499.4199506</v>
      </c>
      <c r="D13" s="0" t="n">
        <f aca="false">D11+D12</f>
        <v>3693.572823787</v>
      </c>
      <c r="E13" s="0" t="n">
        <f aca="false">E11+E12</f>
        <v>3900.02960662604</v>
      </c>
      <c r="F13" s="0" t="n">
        <f aca="false">F11+F12</f>
        <v>4115.58529704631</v>
      </c>
      <c r="G13" s="0" t="n">
        <f aca="false">G11+G12</f>
        <v>4311.37600634193</v>
      </c>
      <c r="H13" s="0" t="n">
        <f aca="false">H11+H12</f>
        <v>4483.83104659561</v>
      </c>
      <c r="I13" s="0" t="n">
        <f aca="false">I11+I12</f>
        <v>4651.97471084294</v>
      </c>
      <c r="J13" s="0" t="n">
        <f aca="false">J11+J12</f>
        <v>4814.79382572245</v>
      </c>
      <c r="K13" s="0" t="n">
        <f aca="false">K11+K12</f>
        <v>4971.27462505842</v>
      </c>
      <c r="L13" s="0" t="n">
        <f aca="false">L11+L12</f>
        <v>5120.41286381018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15</v>
      </c>
      <c r="D14" s="4" t="n">
        <f aca="false">Assumptions!D33</f>
        <v>16</v>
      </c>
      <c r="E14" s="4" t="n">
        <f aca="false">Assumptions!E33</f>
        <v>17.5</v>
      </c>
      <c r="F14" s="4" t="n">
        <f aca="false">Assumptions!F33</f>
        <v>19</v>
      </c>
      <c r="G14" s="4" t="n">
        <f aca="false">Assumptions!G33</f>
        <v>20</v>
      </c>
      <c r="H14" s="4" t="n">
        <f aca="false">Assumptions!H33</f>
        <v>21</v>
      </c>
      <c r="I14" s="4" t="n">
        <f aca="false">Assumptions!I33</f>
        <v>21.5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2974.50695801</v>
      </c>
      <c r="D15" s="0" t="n">
        <f aca="false">D13-MAX(0,D13)*D14/100</f>
        <v>3102.60117198108</v>
      </c>
      <c r="E15" s="0" t="n">
        <f aca="false">E13-MAX(0,E13)*E14/100</f>
        <v>3217.52442546648</v>
      </c>
      <c r="F15" s="0" t="n">
        <f aca="false">F13-MAX(0,F13)*F14/100</f>
        <v>3333.62409060751</v>
      </c>
      <c r="G15" s="0" t="n">
        <f aca="false">G13-MAX(0,G13)*G14/100</f>
        <v>3449.10080507354</v>
      </c>
      <c r="H15" s="0" t="n">
        <f aca="false">H13-MAX(0,H13)*H14/100</f>
        <v>3542.22652681053</v>
      </c>
      <c r="I15" s="0" t="n">
        <f aca="false">I13-MAX(0,I13)*I14/100</f>
        <v>3651.80014801171</v>
      </c>
      <c r="J15" s="0" t="n">
        <f aca="false">J13-MAX(0,J13)*J14/100</f>
        <v>3755.53918406351</v>
      </c>
      <c r="K15" s="0" t="n">
        <f aca="false">K13-MAX(0,K13)*K14/100</f>
        <v>3877.59420754557</v>
      </c>
      <c r="L15" s="0" t="n">
        <f aca="false">L13-MAX(0,L13)*L14/100</f>
        <v>3993.92203377194</v>
      </c>
    </row>
    <row r="16" customFormat="false" ht="15" hidden="false" customHeight="false" outlineLevel="0" collapsed="false">
      <c r="A16" s="0" t="s">
        <v>129</v>
      </c>
      <c r="C16" s="0" t="n">
        <f aca="false">-C12</f>
        <v>1930.47239</v>
      </c>
      <c r="D16" s="0" t="n">
        <f aca="false">-D12</f>
        <v>2017.34364755</v>
      </c>
      <c r="E16" s="0" t="n">
        <f aca="false">-E12</f>
        <v>2108.12411168975</v>
      </c>
      <c r="F16" s="0" t="n">
        <f aca="false">-F12</f>
        <v>2202.98969671579</v>
      </c>
      <c r="G16" s="0" t="n">
        <f aca="false">-G12</f>
        <v>2296.61675882621</v>
      </c>
      <c r="H16" s="0" t="n">
        <f aca="false">-H12</f>
        <v>2388.48142917926</v>
      </c>
      <c r="I16" s="0" t="n">
        <f aca="false">-I12</f>
        <v>2478.04948277348</v>
      </c>
      <c r="J16" s="0" t="n">
        <f aca="false">-J12</f>
        <v>2564.78121467055</v>
      </c>
      <c r="K16" s="0" t="n">
        <f aca="false">-K12</f>
        <v>2648.13660414734</v>
      </c>
      <c r="L16" s="0" t="n">
        <f aca="false">-L12</f>
        <v>2727.58070227177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-2000.671386</v>
      </c>
      <c r="D17" s="4" t="n">
        <f aca="false">-D6*Assumptions!D32/100</f>
        <v>-2072.362110665</v>
      </c>
      <c r="E17" s="4" t="n">
        <f aca="false">-E6*Assumptions!E32/100</f>
        <v>-2146.4536409932</v>
      </c>
      <c r="F17" s="4" t="n">
        <f aca="false">-F6*Assumptions!F32/100</f>
        <v>-2243.04405483789</v>
      </c>
      <c r="G17" s="4" t="n">
        <f aca="false">-G6*Assumptions!G32/100</f>
        <v>-2338.3734271685</v>
      </c>
      <c r="H17" s="4" t="n">
        <f aca="false">-H6*Assumptions!H32/100</f>
        <v>-2431.90836425524</v>
      </c>
      <c r="I17" s="4" t="n">
        <f aca="false">-I6*Assumptions!I32/100</f>
        <v>-2523.10492791482</v>
      </c>
      <c r="J17" s="4" t="n">
        <f aca="false">-J6*Assumptions!J32/100</f>
        <v>-2611.41360039183</v>
      </c>
      <c r="K17" s="4" t="n">
        <f aca="false">-K6*Assumptions!K32/100</f>
        <v>-2696.28454240457</v>
      </c>
      <c r="L17" s="4" t="n">
        <f aca="false">-L6*Assumptions!L32/100</f>
        <v>-2777.17307867671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-13.17498</v>
      </c>
      <c r="D18" s="4" t="n">
        <f aca="false">(D6-C6)*Assumptions!$B$37/100</f>
        <v>-15.7947741</v>
      </c>
      <c r="E18" s="4" t="n">
        <f aca="false">(E6-D6)*Assumptions!$B$37/100</f>
        <v>-16.5055389345</v>
      </c>
      <c r="F18" s="4" t="n">
        <f aca="false">(F6-E6)*Assumptions!$B$37/100</f>
        <v>-17.2482881865525</v>
      </c>
      <c r="G18" s="4" t="n">
        <f aca="false">(G6-F6)*Assumptions!$B$37/100</f>
        <v>-17.0231022018947</v>
      </c>
      <c r="H18" s="4" t="n">
        <f aca="false">(H6-G6)*Assumptions!$B$37/100</f>
        <v>-16.7026673369179</v>
      </c>
      <c r="I18" s="4" t="n">
        <f aca="false">(I6-H6)*Assumptions!$B$37/100</f>
        <v>-16.285100653495</v>
      </c>
      <c r="J18" s="4" t="n">
        <f aca="false">(J6-I6)*Assumptions!$B$37/100</f>
        <v>-15.7694057994676</v>
      </c>
      <c r="K18" s="4" t="n">
        <f aca="false">(K6-J6)*Assumptions!$B$37/100</f>
        <v>-15.1555253594169</v>
      </c>
      <c r="L18" s="4" t="n">
        <f aca="false">(L6-K6)*Assumptions!$B$37/100</f>
        <v>-14.4443814771673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2891.13298201</v>
      </c>
      <c r="D19" s="0" t="n">
        <f aca="false">D15+D16+D17+D18</f>
        <v>3031.78793476608</v>
      </c>
      <c r="E19" s="0" t="n">
        <f aca="false">E15+E16+E17+E18</f>
        <v>3162.68935722853</v>
      </c>
      <c r="F19" s="0" t="n">
        <f aca="false">F15+F16+F17+F18</f>
        <v>3276.32144429886</v>
      </c>
      <c r="G19" s="0" t="n">
        <f aca="false">G15+G16+G17+G18</f>
        <v>3390.32103452936</v>
      </c>
      <c r="H19" s="0" t="n">
        <f aca="false">H15+H16+H17+H18</f>
        <v>3482.09692439763</v>
      </c>
      <c r="I19" s="0" t="n">
        <f aca="false">I15+I16+I17+I18</f>
        <v>3590.45960221688</v>
      </c>
      <c r="J19" s="0" t="n">
        <f aca="false">J15+J16+J17+J18</f>
        <v>3693.13739254276</v>
      </c>
      <c r="K19" s="0" t="n">
        <f aca="false">K15+K16+K17+K18</f>
        <v>3814.29074392893</v>
      </c>
      <c r="L19" s="0" t="n">
        <f aca="false">L15+L16+L17+L18</f>
        <v>3929.88527588983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2689.42602977674</v>
      </c>
      <c r="D21" s="0" t="n">
        <f aca="false">D19*D20</f>
        <v>2623.50497329677</v>
      </c>
      <c r="E21" s="0" t="n">
        <f aca="false">E19*E20</f>
        <v>2545.84022617664</v>
      </c>
      <c r="F21" s="0" t="n">
        <f aca="false">F19*F20</f>
        <v>2453.31123320868</v>
      </c>
      <c r="G21" s="0" t="n">
        <f aca="false">G19*G20</f>
        <v>2361.5573830396</v>
      </c>
      <c r="H21" s="0" t="n">
        <f aca="false">H19*H20</f>
        <v>2256.26481057577</v>
      </c>
      <c r="I21" s="0" t="n">
        <f aca="false">I19*I20</f>
        <v>2164.16712171209</v>
      </c>
      <c r="J21" s="0" t="n">
        <f aca="false">J19*J20</f>
        <v>2070.75038422733</v>
      </c>
      <c r="K21" s="0" t="n">
        <f aca="false">K19*K20</f>
        <v>1989.4710129606</v>
      </c>
      <c r="L21" s="0" t="n">
        <f aca="false">L19*L20</f>
        <v>1906.75647478307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23061.0496497573</v>
      </c>
    </row>
    <row r="31" customFormat="false" ht="15" hidden="false" customHeight="false" outlineLevel="0" collapsed="false">
      <c r="A31" s="0" t="s">
        <v>138</v>
      </c>
      <c r="B31" s="0" t="n">
        <f aca="false">L19</f>
        <v>3929.88527588983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89950.7074259228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78597.7055177966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78597.7055177966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38135.1294956614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61196.1791454187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47234.1791454187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153.557149367421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-0.258106341832926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501.866271477792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963.813570197715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158.322038319552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33731.515284721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35.5621583527033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4.3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4.75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16891</v>
      </c>
      <c r="C6" s="0" t="n">
        <f aca="false">B6*(1+C5/100)</f>
        <v>17617.313</v>
      </c>
      <c r="D6" s="0" t="n">
        <f aca="false">C6*(1+D5/100)</f>
        <v>18586.265215</v>
      </c>
      <c r="E6" s="0" t="n">
        <f aca="false">D6*(1+E5/100)</f>
        <v>19608.509801825</v>
      </c>
      <c r="F6" s="0" t="n">
        <f aca="false">E6*(1+F5/100)</f>
        <v>20686.9778409254</v>
      </c>
      <c r="G6" s="0" t="n">
        <f aca="false">F6*(1+G5/100)</f>
        <v>21721.3267329716</v>
      </c>
      <c r="H6" s="0" t="n">
        <f aca="false">G6*(1+H5/100)</f>
        <v>22753.0897527878</v>
      </c>
      <c r="I6" s="0" t="n">
        <f aca="false">H6*(1+I5/100)</f>
        <v>23776.9787916632</v>
      </c>
      <c r="J6" s="0" t="n">
        <f aca="false">I6*(1+J5/100)</f>
        <v>24728.0579433298</v>
      </c>
      <c r="K6" s="0" t="n">
        <f aca="false">J6*(1+K5/100)</f>
        <v>25593.5399713463</v>
      </c>
      <c r="L6" s="0" t="n">
        <f aca="false">K6*(1+L5/100)</f>
        <v>26361.3461704867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31.5</v>
      </c>
      <c r="D7" s="4" t="n">
        <f aca="false">Assumptions!D42</f>
        <v>31.9</v>
      </c>
      <c r="E7" s="4" t="n">
        <f aca="false">Assumptions!E42</f>
        <v>32.3</v>
      </c>
      <c r="F7" s="4" t="n">
        <f aca="false">Assumptions!F42</f>
        <v>32.7</v>
      </c>
      <c r="G7" s="4" t="n">
        <f aca="false">Assumptions!G42</f>
        <v>33</v>
      </c>
      <c r="H7" s="4" t="n">
        <f aca="false">Assumptions!H42</f>
        <v>33.2</v>
      </c>
      <c r="I7" s="4" t="n">
        <f aca="false">Assumptions!I42</f>
        <v>33.3</v>
      </c>
      <c r="J7" s="4" t="n">
        <f aca="false">Assumptions!J42</f>
        <v>33.3</v>
      </c>
      <c r="K7" s="4" t="n">
        <f aca="false">Assumptions!K42</f>
        <v>33.3</v>
      </c>
      <c r="L7" s="4" t="n">
        <f aca="false">Assumptions!L42</f>
        <v>33.3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5549.453595</v>
      </c>
      <c r="D8" s="0" t="n">
        <f aca="false">D6*D7/100</f>
        <v>5929.018603585</v>
      </c>
      <c r="E8" s="0" t="n">
        <f aca="false">E6*E7/100</f>
        <v>6333.54866598947</v>
      </c>
      <c r="F8" s="0" t="n">
        <f aca="false">F6*F7/100</f>
        <v>6764.6417539826</v>
      </c>
      <c r="G8" s="0" t="n">
        <f aca="false">G6*G7/100</f>
        <v>7168.03782188064</v>
      </c>
      <c r="H8" s="0" t="n">
        <f aca="false">H6*H7/100</f>
        <v>7554.02579792555</v>
      </c>
      <c r="I8" s="0" t="n">
        <f aca="false">I6*I7/100</f>
        <v>7917.73393762386</v>
      </c>
      <c r="J8" s="0" t="n">
        <f aca="false">J6*J7/100</f>
        <v>8234.44329512881</v>
      </c>
      <c r="K8" s="0" t="n">
        <f aca="false">K6*K7/100</f>
        <v>8522.64881045832</v>
      </c>
      <c r="L8" s="0" t="n">
        <f aca="false">L6*L7/100</f>
        <v>8778.32827477207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0.36</v>
      </c>
      <c r="D9" s="4" t="n">
        <f aca="false">Assumptions!D43</f>
        <v>0.36</v>
      </c>
      <c r="E9" s="4" t="n">
        <f aca="false">Assumptions!E43</f>
        <v>0.35</v>
      </c>
      <c r="F9" s="4" t="n">
        <f aca="false">Assumptions!F43</f>
        <v>0.35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-63.4223268</v>
      </c>
      <c r="D10" s="0" t="n">
        <f aca="false">-D6*D9/100</f>
        <v>-66.910554774</v>
      </c>
      <c r="E10" s="0" t="n">
        <f aca="false">-E6*E9/100</f>
        <v>-68.6297843063875</v>
      </c>
      <c r="F10" s="0" t="n">
        <f aca="false">-F6*F9/100</f>
        <v>-72.4044224432388</v>
      </c>
      <c r="G10" s="0" t="n">
        <f aca="false">-G6*G9/100</f>
        <v>-76.0246435654007</v>
      </c>
      <c r="H10" s="0" t="n">
        <f aca="false">-H6*H9/100</f>
        <v>-79.6358141347573</v>
      </c>
      <c r="I10" s="0" t="n">
        <f aca="false">-I6*I9/100</f>
        <v>-83.2194257708214</v>
      </c>
      <c r="J10" s="0" t="n">
        <f aca="false">-J6*J9/100</f>
        <v>-86.5482028016542</v>
      </c>
      <c r="K10" s="0" t="n">
        <f aca="false">-K6*K9/100</f>
        <v>-89.5773898997121</v>
      </c>
      <c r="L10" s="0" t="n">
        <f aca="false">-L6*L9/100</f>
        <v>-92.2647115967034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5486.0312682</v>
      </c>
      <c r="D11" s="0" t="n">
        <f aca="false">D8+D10+D24</f>
        <v>5862.108048811</v>
      </c>
      <c r="E11" s="0" t="n">
        <f aca="false">E8+E10+E24</f>
        <v>6264.91888168309</v>
      </c>
      <c r="F11" s="0" t="n">
        <f aca="false">F8+F10+F24</f>
        <v>6692.23733153936</v>
      </c>
      <c r="G11" s="0" t="n">
        <f aca="false">G8+G10+G24</f>
        <v>7092.01317831524</v>
      </c>
      <c r="H11" s="0" t="n">
        <f aca="false">H8+H10+H24</f>
        <v>7474.38998379079</v>
      </c>
      <c r="I11" s="0" t="n">
        <f aca="false">I8+I10+I24</f>
        <v>7834.51451185304</v>
      </c>
      <c r="J11" s="0" t="n">
        <f aca="false">J8+J10+J24</f>
        <v>8147.89509232716</v>
      </c>
      <c r="K11" s="0" t="n">
        <f aca="false">K8+K10+K24</f>
        <v>8433.07142055861</v>
      </c>
      <c r="L11" s="0" t="n">
        <f aca="false">L8+L10+L24</f>
        <v>8686.06356317537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-1937.90443</v>
      </c>
      <c r="D12" s="4" t="n">
        <f aca="false">-D6*Assumptions!D45/100</f>
        <v>-2044.48917365</v>
      </c>
      <c r="E12" s="4" t="n">
        <f aca="false">-E6*Assumptions!E45/100</f>
        <v>-2156.93607820075</v>
      </c>
      <c r="F12" s="4" t="n">
        <f aca="false">-F6*Assumptions!F45/100</f>
        <v>-2275.56756250179</v>
      </c>
      <c r="G12" s="4" t="n">
        <f aca="false">-G6*Assumptions!G45/100</f>
        <v>-2389.34594062688</v>
      </c>
      <c r="H12" s="4" t="n">
        <f aca="false">-H6*Assumptions!H45/100</f>
        <v>-2502.83987280666</v>
      </c>
      <c r="I12" s="4" t="n">
        <f aca="false">-I6*Assumptions!I45/100</f>
        <v>-2615.46766708296</v>
      </c>
      <c r="J12" s="4" t="n">
        <f aca="false">-J6*Assumptions!J45/100</f>
        <v>-2720.08637376628</v>
      </c>
      <c r="K12" s="4" t="n">
        <f aca="false">-K6*Assumptions!K45/100</f>
        <v>-2815.28939684809</v>
      </c>
      <c r="L12" s="4" t="n">
        <f aca="false">-L6*Assumptions!L45/100</f>
        <v>-2899.74807875354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3548.1268382</v>
      </c>
      <c r="D13" s="0" t="n">
        <f aca="false">D11+D12</f>
        <v>3817.618875161</v>
      </c>
      <c r="E13" s="0" t="n">
        <f aca="false">E11+E12</f>
        <v>4107.98280348234</v>
      </c>
      <c r="F13" s="0" t="n">
        <f aca="false">F11+F12</f>
        <v>4416.66976903757</v>
      </c>
      <c r="G13" s="0" t="n">
        <f aca="false">G11+G12</f>
        <v>4702.66723768836</v>
      </c>
      <c r="H13" s="0" t="n">
        <f aca="false">H11+H12</f>
        <v>4971.55011098413</v>
      </c>
      <c r="I13" s="0" t="n">
        <f aca="false">I11+I12</f>
        <v>5219.04684477008</v>
      </c>
      <c r="J13" s="0" t="n">
        <f aca="false">J11+J12</f>
        <v>5427.80871856088</v>
      </c>
      <c r="K13" s="0" t="n">
        <f aca="false">K11+K12</f>
        <v>5617.78202371051</v>
      </c>
      <c r="L13" s="0" t="n">
        <f aca="false">L11+L12</f>
        <v>5786.31548442183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14</v>
      </c>
      <c r="D14" s="4" t="n">
        <f aca="false">Assumptions!D47</f>
        <v>15</v>
      </c>
      <c r="E14" s="4" t="n">
        <f aca="false">Assumptions!E47</f>
        <v>16</v>
      </c>
      <c r="F14" s="4" t="n">
        <f aca="false">Assumptions!F47</f>
        <v>17.5</v>
      </c>
      <c r="G14" s="4" t="n">
        <f aca="false">Assumptions!G47</f>
        <v>18.5</v>
      </c>
      <c r="H14" s="4" t="n">
        <f aca="false">Assumptions!H47</f>
        <v>19.5</v>
      </c>
      <c r="I14" s="4" t="n">
        <f aca="false">Assumptions!I47</f>
        <v>20</v>
      </c>
      <c r="J14" s="4" t="n">
        <f aca="false">Assumptions!J47</f>
        <v>20.5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3051.389080852</v>
      </c>
      <c r="D15" s="0" t="n">
        <f aca="false">D13-MAX(0,D13)*D14/100</f>
        <v>3244.97604388685</v>
      </c>
      <c r="E15" s="0" t="n">
        <f aca="false">E13-MAX(0,E13)*E14/100</f>
        <v>3450.70555492516</v>
      </c>
      <c r="F15" s="0" t="n">
        <f aca="false">F13-MAX(0,F13)*F14/100</f>
        <v>3643.75255945599</v>
      </c>
      <c r="G15" s="0" t="n">
        <f aca="false">G13-MAX(0,G13)*G14/100</f>
        <v>3832.67379871601</v>
      </c>
      <c r="H15" s="0" t="n">
        <f aca="false">H13-MAX(0,H13)*H14/100</f>
        <v>4002.09783934223</v>
      </c>
      <c r="I15" s="0" t="n">
        <f aca="false">I13-MAX(0,I13)*I14/100</f>
        <v>4175.23747581606</v>
      </c>
      <c r="J15" s="0" t="n">
        <f aca="false">J13-MAX(0,J13)*J14/100</f>
        <v>4315.1079312559</v>
      </c>
      <c r="K15" s="0" t="n">
        <f aca="false">K13-MAX(0,K13)*K14/100</f>
        <v>4438.04779873131</v>
      </c>
      <c r="L15" s="0" t="n">
        <f aca="false">L13-MAX(0,L13)*L14/100</f>
        <v>4571.18923269325</v>
      </c>
    </row>
    <row r="16" customFormat="false" ht="15" hidden="false" customHeight="false" outlineLevel="0" collapsed="false">
      <c r="A16" s="0" t="s">
        <v>129</v>
      </c>
      <c r="C16" s="0" t="n">
        <f aca="false">-C12</f>
        <v>1937.90443</v>
      </c>
      <c r="D16" s="0" t="n">
        <f aca="false">-D12</f>
        <v>2044.48917365</v>
      </c>
      <c r="E16" s="0" t="n">
        <f aca="false">-E12</f>
        <v>2156.93607820075</v>
      </c>
      <c r="F16" s="0" t="n">
        <f aca="false">-F12</f>
        <v>2275.56756250179</v>
      </c>
      <c r="G16" s="0" t="n">
        <f aca="false">-G12</f>
        <v>2389.34594062688</v>
      </c>
      <c r="H16" s="0" t="n">
        <f aca="false">-H12</f>
        <v>2502.83987280666</v>
      </c>
      <c r="I16" s="0" t="n">
        <f aca="false">-I12</f>
        <v>2615.46766708296</v>
      </c>
      <c r="J16" s="0" t="n">
        <f aca="false">-J12</f>
        <v>2720.08637376628</v>
      </c>
      <c r="K16" s="0" t="n">
        <f aca="false">-K12</f>
        <v>2815.28939684809</v>
      </c>
      <c r="L16" s="0" t="n">
        <f aca="false">-L12</f>
        <v>2899.74807875354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-2008.373682</v>
      </c>
      <c r="D17" s="4" t="n">
        <f aca="false">-D6*Assumptions!D46/100</f>
        <v>-2100.247969295</v>
      </c>
      <c r="E17" s="4" t="n">
        <f aca="false">-E6*Assumptions!E46/100</f>
        <v>-2176.54458800257</v>
      </c>
      <c r="F17" s="4" t="n">
        <f aca="false">-F6*Assumptions!F46/100</f>
        <v>-2275.56756250179</v>
      </c>
      <c r="G17" s="4" t="n">
        <f aca="false">-G6*Assumptions!G46/100</f>
        <v>-2389.34594062688</v>
      </c>
      <c r="H17" s="4" t="n">
        <f aca="false">-H6*Assumptions!H46/100</f>
        <v>-2502.83987280666</v>
      </c>
      <c r="I17" s="4" t="n">
        <f aca="false">-I6*Assumptions!I46/100</f>
        <v>-2615.46766708296</v>
      </c>
      <c r="J17" s="4" t="n">
        <f aca="false">-J6*Assumptions!J46/100</f>
        <v>-2720.08637376628</v>
      </c>
      <c r="K17" s="4" t="n">
        <f aca="false">-K6*Assumptions!K46/100</f>
        <v>-2815.28939684809</v>
      </c>
      <c r="L17" s="4" t="n">
        <f aca="false">-L6*Assumptions!L46/100</f>
        <v>-2899.74807875354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-14.52626</v>
      </c>
      <c r="D18" s="4" t="n">
        <f aca="false">(D6-C6)*Assumptions!$B$51/100</f>
        <v>-19.3790443</v>
      </c>
      <c r="E18" s="4" t="n">
        <f aca="false">(E6-D6)*Assumptions!$B$51/100</f>
        <v>-20.4448917365</v>
      </c>
      <c r="F18" s="4" t="n">
        <f aca="false">(F6-E6)*Assumptions!$B$51/100</f>
        <v>-21.5693607820075</v>
      </c>
      <c r="G18" s="4" t="n">
        <f aca="false">(G6-F6)*Assumptions!$B$51/100</f>
        <v>-20.6869778409254</v>
      </c>
      <c r="H18" s="4" t="n">
        <f aca="false">(H6-G6)*Assumptions!$B$51/100</f>
        <v>-20.6352603963231</v>
      </c>
      <c r="I18" s="4" t="n">
        <f aca="false">(I6-H6)*Assumptions!$B$51/100</f>
        <v>-20.477780777509</v>
      </c>
      <c r="J18" s="4" t="n">
        <f aca="false">(J6-I6)*Assumptions!$B$51/100</f>
        <v>-19.0215830333306</v>
      </c>
      <c r="K18" s="4" t="n">
        <f aca="false">(K6-J6)*Assumptions!$B$51/100</f>
        <v>-17.3096405603308</v>
      </c>
      <c r="L18" s="4" t="n">
        <f aca="false">(L6-K6)*Assumptions!$B$51/100</f>
        <v>-15.3561239828078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2966.393568852</v>
      </c>
      <c r="D19" s="0" t="n">
        <f aca="false">D15+D16+D17+D18</f>
        <v>3169.83820394185</v>
      </c>
      <c r="E19" s="0" t="n">
        <f aca="false">E15+E16+E17+E18</f>
        <v>3410.65215338684</v>
      </c>
      <c r="F19" s="0" t="n">
        <f aca="false">F15+F16+F17+F18</f>
        <v>3622.18319867398</v>
      </c>
      <c r="G19" s="0" t="n">
        <f aca="false">G15+G16+G17+G18</f>
        <v>3811.98682087509</v>
      </c>
      <c r="H19" s="0" t="n">
        <f aca="false">H15+H16+H17+H18</f>
        <v>3981.4625789459</v>
      </c>
      <c r="I19" s="0" t="n">
        <f aca="false">I15+I16+I17+I18</f>
        <v>4154.75969503856</v>
      </c>
      <c r="J19" s="0" t="n">
        <f aca="false">J15+J16+J17+J18</f>
        <v>4296.08634822257</v>
      </c>
      <c r="K19" s="0" t="n">
        <f aca="false">K15+K16+K17+K18</f>
        <v>4420.73815817098</v>
      </c>
      <c r="L19" s="0" t="n">
        <f aca="false">L15+L16+L17+L18</f>
        <v>4555.83310871044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2759.43587800186</v>
      </c>
      <c r="D21" s="0" t="n">
        <f aca="false">D19*D20</f>
        <v>2742.9643733407</v>
      </c>
      <c r="E21" s="0" t="n">
        <f aca="false">E19*E20</f>
        <v>2745.44049978942</v>
      </c>
      <c r="F21" s="0" t="n">
        <f aca="false">F19*F20</f>
        <v>2712.29269811416</v>
      </c>
      <c r="G21" s="0" t="n">
        <f aca="false">G19*G20</f>
        <v>2655.27232648542</v>
      </c>
      <c r="H21" s="0" t="n">
        <f aca="false">H19*H20</f>
        <v>2579.83453836626</v>
      </c>
      <c r="I21" s="0" t="n">
        <f aca="false">I19*I20</f>
        <v>2504.30176823748</v>
      </c>
      <c r="J21" s="0" t="n">
        <f aca="false">J19*J20</f>
        <v>2408.8252102992</v>
      </c>
      <c r="K21" s="0" t="n">
        <f aca="false">K19*K20</f>
        <v>2305.78396142679</v>
      </c>
      <c r="L21" s="0" t="n">
        <f aca="false">L19*L20</f>
        <v>2210.46256270109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25624.6138167624</v>
      </c>
    </row>
    <row r="31" customFormat="false" ht="15" hidden="false" customHeight="false" outlineLevel="0" collapsed="false">
      <c r="A31" s="0" t="s">
        <v>138</v>
      </c>
      <c r="B31" s="0" t="n">
        <f aca="false">L19</f>
        <v>4555.83310871044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104277.957821595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100228.32839163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100228.32839163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48630.176379424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74254.7901961864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60292.7901961864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196.01037124898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-0.0529984962364459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521.091754715135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1024.65035998005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201.035540672567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39104.2341830979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45.381937965571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93.249236754055</v>
      </c>
      <c r="C4" s="0" t="n">
        <f aca="false">B4/Assumptions!$B$2-1</f>
        <v>-0.549477066605203</v>
      </c>
      <c r="D4" s="4" t="n">
        <f aca="false">Assumptions!$B$24</f>
        <v>0.2</v>
      </c>
      <c r="E4" s="4" t="n">
        <f aca="false">DCF_Bear!$B$43</f>
        <v>97.3309977042471</v>
      </c>
      <c r="F4" s="4" t="n">
        <f aca="false">DCF_Bear!$B$47</f>
        <v>17.893613290172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153.557149367421</v>
      </c>
      <c r="C5" s="0" t="n">
        <f aca="false">B5/Assumptions!$B$2-1</f>
        <v>-0.258106341832926</v>
      </c>
      <c r="D5" s="4" t="n">
        <f aca="false">Assumptions!$B$38</f>
        <v>0.55</v>
      </c>
      <c r="E5" s="4" t="n">
        <f aca="false">DCF_Base!$B$43</f>
        <v>158.322038319552</v>
      </c>
      <c r="F5" s="4" t="n">
        <f aca="false">DCF_Base!$B$47</f>
        <v>35.5621583527033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196.01037124898</v>
      </c>
      <c r="C6" s="0" t="n">
        <f aca="false">B6/Assumptions!$B$2-1</f>
        <v>-0.0529984962364459</v>
      </c>
      <c r="D6" s="4" t="n">
        <f aca="false">Assumptions!$B$52</f>
        <v>0.25</v>
      </c>
      <c r="E6" s="4" t="n">
        <f aca="false">DCF_Bull!$B$43</f>
        <v>201.035540672567</v>
      </c>
      <c r="F6" s="4" t="n">
        <f aca="false">DCF_Bull!$B$47</f>
        <v>45.381937965571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152.108872315138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156.802205784745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-0.360735878517204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1169.12910706632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34.4833942434139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153.557149367421</v>
      </c>
      <c r="C15" s="3" t="n">
        <v>7.5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117.08733021926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93.7869733206861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76.3145107937554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62.727172006027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35.5621583527033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186.945699273711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186.945699273711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186.945699273711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186.945699273711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186.945699273711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169.448118099142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169.448118099142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169.448118099142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169.448118099142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169.448118099142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144.540686547782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153.557149367421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153.557149367421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153.557149367421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153.557149367421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114.767000041109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122.627158381191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131.916436419471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139.108135545881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139.108135545881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92.9609855546216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98.3372072552922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104.540539986835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111.777761506969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120.330841485308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2026-10-02T08:42:05Z</dcterms:created>
  <dc:creator>openpyxl</dc:creator>
  <dc:description/>
  <dc:language>en-NZ</dc:language>
  <cp:lastModifiedBy/>
  <dcterms:modified xsi:type="dcterms:W3CDTF">2026-10-02T08:42:05Z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