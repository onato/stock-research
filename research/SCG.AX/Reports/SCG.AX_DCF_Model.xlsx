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<sst xmlns="http://schemas.openxmlformats.org/spreadsheetml/2006/main" count="364" uniqueCount="167">
  <si>
    <t xml:space="preserve">Ticker</t>
  </si>
  <si>
    <t xml:space="preserve">SCG.AX</t>
  </si>
  <si>
    <t xml:space="preserve">Company</t>
  </si>
  <si>
    <t xml:space="preserve">Scentre Group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</si>
  <si>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</si>
  <si>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</si>
  <si>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</si>
  <si>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</si>
  <si>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2026-09-25T04:11:55Z, ASX regular session (intraday, 14:11 AEST)</t>
  </si>
  <si>
    <t xml:space="preserve">Balance sheet date</t>
  </si>
  <si>
    <t xml:space="preserve">2025-12-31 (last audited Group consolidated balance sheet; the H1 FY2026 extract carries only the three stapled trusts' half-year statements, so 30 June 2026 Group gearing/cover are taken from the results release as summarised in the Analysis JSON)</t>
  </si>
  <si>
    <t xml:space="preserve">Model</t>
  </si>
  <si>
    <t xml:space="preserve">REIT AFFO capitalisation at cost of equity (engine route)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</si>
  <si>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</si>
  <si>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</si>
  <si>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</si>
  <si>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</si>
  <si>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</si>
  <si>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</si>
  <si>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</si>
  <si>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</si>
  <si>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2026-09-25T04:37:38Z</t>
  </si>
  <si>
    <t xml:space="preserve">Drivers file</t>
  </si>
  <si>
    <t xml:space="preserve">SCG.AX_Drivers.json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</si>
  <si>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</si>
  <si>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</si>
  <si>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</si>
  <si>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Scentre is valued as a stream of distributable earnings, not as an operating company: FFO (the Group's own NAREIT-basis measure, post-interest, post-tax, post-NCI) less an equity capex charge, capitalised at an 8.5% AUD cost of equity with no debt deduction. The FY2026 guidance year is anchored; everything after it fades to the ten-year record of roughly flat FFO per security. The key judgment is the capex charge: management's payout (78% of FFO) is only sustainable because JV sell-downs and rising gearing fund the difference, so the base case charges more than maintenance capex and the bear charges the full historical run-rate.
key_risks_to_valuation: Cost of equity: each 50bp on the 8.5% moves the base value by roughly 8-9%; the sensitivity grid is the honest range.; Capex definition: maintenance-only (~10%) versus all-in (~15%) of revenue is a ~A$135m/yr swing in AFFO, about 15% of value.; Hedge roll-off through 2029: the FFO margin path assumes NOI growth absorbs the step-up; a higher-for-longer curve is the bear case.; Gearing at 35.5% with a A$3.5bn hybrid layer whose coupons reset; the model treats hybrids as debt (coupons inside FFO), consistent with the Group's FFO table.; Security/regulatory cost after the Bondi Junction coronial findings (Feb 2026) is unquantified by management and sits only in the bear margin path.; The DRP and any equity raise: securities held flat at 5,223m; a discounted raise to repair gearing would dilute per-security value.</t>
  </si>
  <si>
    <t xml:space="preserve">Data sources</t>
  </si>
  <si>
    <t xml:space="preserve">price: Yahoo Finance chart API at inputs.price_as_of; 52-week range 3.275-4.27.
financials: SCG.AX_Metrics.csv / core_metrics (FY2015-FY2025); FY2025 Annual Report FFO table (page 53, lines 2964-3016), cash flow statement (lines 6845-6872), five-year summary (lines 3658-3672), Note 30 share-based payments, Note 11 NTA A$3.62; H1 FY2026 Trust 1/2/3 half-year reports (securities on issue 5,222,977,091 at 30 June 2026; guidance lines 1159-1166); FFO-per-security history from FY2019/FY2020 annual five-year summaries.
qualitative: SCG.AX_Analysis.json (2026-09-25): H1 2026 results (FFO A$612.4m/11.73c, gearing 35.5%, cover 3.6x, cost of debt 5.4%), Mt Gravatt 50% JV (A$882.5m), Bondi coronial findings, bull/bear axes.</t>
  </si>
  <si>
    <t xml:space="preserve">Scenario narrative: bear</t>
  </si>
  <si>
    <t xml:space="preserve">Consumer slowdown plus hedge roll-off into higher rates compresses the FFO margin to 41%; all-in capex (15% of revenue) charged to equity as JV sell-downs stall at 35.5% gearing; 2% terminal growth, 13x exit.</t>
  </si>
  <si>
    <t xml:space="preserve">Scenario narrative: base</t>
  </si>
  <si>
    <t xml:space="preserve">Guidance met in FY2026, then FFO per security fades to its pre-COVID 3% trend and 2.5% terminal growth; FFO margin flat as NOI growth and hedge roll-off offset; AFFO after a 12.5%-of-revenue capex charge capitalised at 8.5% cost of equity with a 16x terminal cap.</t>
  </si>
  <si>
    <t xml:space="preserve">Scenario narrative: bull</t>
  </si>
  <si>
    <t xml:space="preserve">NOI compounding at 4-5% plus a falling cost of debt lifts the FFO margin 150bp; JV recycling keeps the equity capex charge at 10%; land-bank residential conversion supports 3% terminal growth and an 18x exit.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</si>
  <si>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</si>
  <si>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</si>
  <si>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</si>
  <si>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</si>
  <si>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</si>
  <si>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</si>
  <si>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</si>
  <si>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</si>
  <si>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</si>
  <si>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</si>
  <si>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</si>
  <si>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</si>
  <si>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</si>
  <si>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</si>
  <si>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</si>
  <si>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</si>
  <si>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</si>
  <si>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</si>
  <si>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</si>
  <si>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</si>
  <si>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</si>
  <si>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</si>
  <si>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</si>
  <si>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</si>
  <si>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</si>
  <si>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</si>
  <si>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</si>
  <si>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EPSDiluted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</si>
  <si>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</si>
  <si>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</si>
  <si>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</si>
  <si>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</si>
  <si>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</si>
  <si>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</si>
  <si>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</si>
  <si>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</si>
  <si>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</si>
  <si>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</si>
  <si>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</si>
  <si>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</si>
  <si>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</si>
  <si>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</si>
  <si>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</si>
  <si>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</si>
  <si>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</si>
  <si>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</si>
  <si>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</si>
  <si>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</si>
  <si>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</si>
  <si>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</si>
  <si>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</si>
  <si>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</si>
  <si>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</si>
  <si>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</si>
  <si>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</si>
  <si>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</si>
  <si>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</si>
  <si>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</si>
  <si>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</si>
  <si>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</si>
  <si>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</si>
  <si>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</si>
  <si>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</si>
  <si>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</si>
  <si>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</si>
  <si>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</si>
  <si>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</si>
  <si>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</si>
  <si>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</si>
  <si>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</si>
  <si>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</si>
  <si>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</si>
  <si>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</si>
  <si>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</si>
  <si>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</si>
  <si>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</si>
  <si>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SCG.AX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</si>
  <si>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</si>
  <si>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</si>
  <si>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</si>
  <si>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</si>
  <si>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</si>
  <si>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</si>
  <si>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</si>
  <si>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</si>
  <si>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</si>
  <si>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</si>
  <si>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</si>
  <si>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</si>
  <si>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</si>
  <si>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</si>
  <si>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</si>
  <si>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</si>
  <si>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</si>
  <si>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</si>
  <si>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</si>
  <si>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</si>
  <si>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</si>
  <si>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</si>
  <si>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</si>
  <si>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</si>
  <si>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</si>
  <si>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</si>
  <si>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</si>
  <si>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</si>
  <si>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</si>
  <si>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</si>
  <si>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SCG.AX owner-FCF component DCF: base case (millions, AUD)</t>
  </si>
  <si>
    <t xml:space="preserve">SCG.AX owner-FCF component DCF: bull case (millions, AUD)</t>
  </si>
  <si>
    <t xml:space="preserve">SCG.AX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</si>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</sst>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3.355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2867.8</v>
      </c>
      <c r="I2" s="0" t="n">
        <v>2707.8</v>
      </c>
      <c r="J2" s="0" t="n">
        <v>94.4</v>
      </c>
      <c r="K2" s="0" t="n">
        <v>0.5098</v>
      </c>
      <c r="L2" s="0" t="n">
        <v>1189.2</v>
      </c>
      <c r="M2" s="0" t="n">
        <v>579</v>
      </c>
      <c r="N2" s="0" t="n">
        <v>610.2</v>
      </c>
      <c r="O2" s="0" t="n">
        <v>17639.6</v>
      </c>
      <c r="P2" s="0" t="n">
        <v>31841.3</v>
      </c>
      <c r="Q2" s="0" t="n">
        <v>13935.1</v>
      </c>
      <c r="R2" s="0" t="n">
        <v>11142.7</v>
      </c>
      <c r="S2" s="0" t="n">
        <v>142.7</v>
      </c>
      <c r="T2" s="0" t="n">
        <v>5311.5</v>
      </c>
      <c r="AA2" s="0" t="s">
        <v>17</v>
      </c>
      <c r="AB2" s="0" t="s">
        <v>14</v>
      </c>
      <c r="AC2" s="0" t="n">
        <v>0.5083</v>
      </c>
    </row>
    <row r="3" customFormat="false" ht="15" hidden="false" customHeight="false" outlineLevel="0" collapsed="false">
      <c r="A3" s="0" t="s">
        <v>65</v>
      </c>
      <c r="B3" s="0" t="n">
        <v>2520.7</v>
      </c>
      <c r="I3" s="0" t="n">
        <v>2990.5</v>
      </c>
      <c r="J3" s="0" t="n">
        <v>118.6</v>
      </c>
      <c r="K3" s="0" t="n">
        <v>0.563</v>
      </c>
      <c r="L3" s="0" t="n">
        <v>1116.9</v>
      </c>
      <c r="M3" s="0" t="n">
        <v>723.1</v>
      </c>
      <c r="N3" s="0" t="n">
        <v>393.8</v>
      </c>
      <c r="O3" s="0" t="n">
        <v>19487.2</v>
      </c>
      <c r="P3" s="0" t="n">
        <v>33985.2</v>
      </c>
      <c r="Q3" s="0" t="n">
        <v>14230.8</v>
      </c>
      <c r="R3" s="0" t="n">
        <v>11630.6</v>
      </c>
      <c r="S3" s="0" t="n">
        <v>159</v>
      </c>
      <c r="T3" s="0" t="n">
        <v>5311.7</v>
      </c>
      <c r="AA3" s="0" t="s">
        <v>17</v>
      </c>
      <c r="AB3" s="0" t="s">
        <v>14</v>
      </c>
      <c r="AC3" s="0" t="n">
        <v>0.5614</v>
      </c>
    </row>
    <row r="4" customFormat="false" ht="15" hidden="false" customHeight="false" outlineLevel="0" collapsed="false">
      <c r="A4" s="0" t="s">
        <v>66</v>
      </c>
      <c r="B4" s="0" t="n">
        <v>2469.6</v>
      </c>
      <c r="I4" s="0" t="n">
        <v>4217.9</v>
      </c>
      <c r="J4" s="0" t="n">
        <v>170.8</v>
      </c>
      <c r="K4" s="0" t="n">
        <v>0.7941</v>
      </c>
      <c r="L4" s="0" t="n">
        <v>1225.1</v>
      </c>
      <c r="M4" s="0" t="n">
        <v>684.7</v>
      </c>
      <c r="N4" s="0" t="n">
        <v>540.4</v>
      </c>
      <c r="O4" s="0" t="n">
        <v>22533.9</v>
      </c>
      <c r="P4" s="0" t="n">
        <v>37415.6</v>
      </c>
      <c r="Q4" s="0" t="n">
        <v>14634.3</v>
      </c>
      <c r="R4" s="0" t="n">
        <v>12323.7</v>
      </c>
      <c r="S4" s="0" t="n">
        <v>174</v>
      </c>
      <c r="T4" s="0" t="n">
        <v>5311.5</v>
      </c>
      <c r="AA4" s="0" t="s">
        <v>17</v>
      </c>
      <c r="AB4" s="0" t="s">
        <v>14</v>
      </c>
      <c r="AC4" s="0" t="n">
        <v>0.7918</v>
      </c>
    </row>
    <row r="5" customFormat="false" ht="15" hidden="false" customHeight="false" outlineLevel="0" collapsed="false">
      <c r="A5" s="0" t="s">
        <v>67</v>
      </c>
      <c r="B5" s="0" t="n">
        <v>2635.1</v>
      </c>
      <c r="I5" s="0" t="n">
        <v>2287.2</v>
      </c>
      <c r="J5" s="0" t="n">
        <v>86.8</v>
      </c>
      <c r="K5" s="0" t="n">
        <v>0.431</v>
      </c>
      <c r="L5" s="0" t="n">
        <v>1299.3</v>
      </c>
      <c r="M5" s="0" t="n">
        <v>776.1</v>
      </c>
      <c r="N5" s="0" t="n">
        <v>523.2</v>
      </c>
      <c r="O5" s="0" t="n">
        <v>23637.7</v>
      </c>
      <c r="P5" s="0" t="n">
        <v>40875</v>
      </c>
      <c r="Q5" s="0" t="n">
        <v>17009.2</v>
      </c>
      <c r="R5" s="0" t="n">
        <v>14643.1</v>
      </c>
      <c r="S5" s="0" t="n">
        <v>206.1</v>
      </c>
      <c r="T5" s="0" t="n">
        <v>5306.7</v>
      </c>
      <c r="AA5" s="0" t="s">
        <v>17</v>
      </c>
      <c r="AB5" s="0" t="s">
        <v>14</v>
      </c>
      <c r="AC5" s="0" t="n">
        <v>0.4297</v>
      </c>
    </row>
    <row r="6" customFormat="false" ht="15" hidden="false" customHeight="false" outlineLevel="0" collapsed="false">
      <c r="A6" s="0" t="s">
        <v>68</v>
      </c>
      <c r="B6" s="0" t="n">
        <v>2616.4</v>
      </c>
      <c r="I6" s="0" t="n">
        <v>1179.5</v>
      </c>
      <c r="J6" s="0" t="n">
        <v>45.1</v>
      </c>
      <c r="K6" s="0" t="n">
        <v>0.223</v>
      </c>
      <c r="L6" s="0" t="n">
        <v>1300.5</v>
      </c>
      <c r="M6" s="0" t="n">
        <v>358.1</v>
      </c>
      <c r="N6" s="0" t="n">
        <v>942.4</v>
      </c>
      <c r="O6" s="0" t="n">
        <v>23338.6</v>
      </c>
      <c r="P6" s="0" t="n">
        <v>39883.4</v>
      </c>
      <c r="Q6" s="0" t="n">
        <v>16335.5</v>
      </c>
      <c r="R6" s="0" t="n">
        <v>13819.7</v>
      </c>
      <c r="S6" s="0" t="n">
        <v>253</v>
      </c>
      <c r="T6" s="0" t="n">
        <v>5289.2</v>
      </c>
      <c r="AA6" s="0" t="s">
        <v>17</v>
      </c>
      <c r="AB6" s="0" t="s">
        <v>14</v>
      </c>
      <c r="AC6" s="0" t="n">
        <v>0.2223</v>
      </c>
    </row>
    <row r="7" customFormat="false" ht="15" hidden="false" customHeight="false" outlineLevel="0" collapsed="false">
      <c r="A7" s="0" t="s">
        <v>69</v>
      </c>
      <c r="B7" s="0" t="n">
        <v>2162.3</v>
      </c>
      <c r="I7" s="0" t="n">
        <v>-3731.8</v>
      </c>
      <c r="J7" s="0" t="n">
        <v>-172.6</v>
      </c>
      <c r="K7" s="0" t="n">
        <v>-0.7192</v>
      </c>
      <c r="L7" s="0" t="n">
        <v>684.6</v>
      </c>
      <c r="M7" s="0" t="n">
        <v>296</v>
      </c>
      <c r="N7" s="0" t="n">
        <v>388.6</v>
      </c>
      <c r="O7" s="0" t="n">
        <v>18828.4</v>
      </c>
      <c r="P7" s="0" t="n">
        <v>38064.1</v>
      </c>
      <c r="Q7" s="0" t="n">
        <v>19069.7</v>
      </c>
      <c r="R7" s="0" t="n">
        <v>15675.8</v>
      </c>
      <c r="S7" s="0" t="n">
        <v>378.1</v>
      </c>
      <c r="T7" s="0" t="n">
        <v>5188.8</v>
      </c>
      <c r="AA7" s="0" t="s">
        <v>17</v>
      </c>
      <c r="AB7" s="0" t="s">
        <v>14</v>
      </c>
      <c r="AC7" s="0" t="n">
        <v>-0.7192</v>
      </c>
    </row>
    <row r="8" customFormat="false" ht="15" hidden="false" customHeight="false" outlineLevel="0" collapsed="false">
      <c r="A8" s="0" t="s">
        <v>70</v>
      </c>
      <c r="B8" s="0" t="n">
        <v>2280.8</v>
      </c>
      <c r="I8" s="0" t="n">
        <v>887.9</v>
      </c>
      <c r="J8" s="0" t="n">
        <v>38.9</v>
      </c>
      <c r="K8" s="0" t="n">
        <v>0.1713</v>
      </c>
      <c r="L8" s="0" t="n">
        <v>887.2</v>
      </c>
      <c r="M8" s="0" t="n">
        <v>301</v>
      </c>
      <c r="N8" s="0" t="n">
        <v>586.2</v>
      </c>
      <c r="O8" s="0" t="n">
        <v>18998.9</v>
      </c>
      <c r="P8" s="0" t="n">
        <v>36638.4</v>
      </c>
      <c r="Q8" s="0" t="n">
        <v>17463.8</v>
      </c>
      <c r="R8" s="0" t="n">
        <v>14742.1</v>
      </c>
      <c r="S8" s="0" t="n">
        <v>978.7</v>
      </c>
      <c r="T8" s="0" t="n">
        <v>5183.3</v>
      </c>
      <c r="AA8" s="0" t="s">
        <v>17</v>
      </c>
      <c r="AB8" s="0" t="s">
        <v>14</v>
      </c>
      <c r="AC8" s="0" t="n">
        <v>0.1707</v>
      </c>
    </row>
    <row r="9" customFormat="false" ht="15" hidden="false" customHeight="false" outlineLevel="0" collapsed="false">
      <c r="A9" s="0" t="s">
        <v>71</v>
      </c>
      <c r="B9" s="0" t="n">
        <v>2457.9</v>
      </c>
      <c r="I9" s="0" t="n">
        <v>300.6</v>
      </c>
      <c r="J9" s="0" t="n">
        <v>12.2</v>
      </c>
      <c r="K9" s="0" t="n">
        <v>0.058</v>
      </c>
      <c r="L9" s="0" t="n">
        <v>1146.6</v>
      </c>
      <c r="M9" s="0" t="n">
        <v>439.3</v>
      </c>
      <c r="N9" s="0" t="n">
        <v>707.3</v>
      </c>
      <c r="O9" s="0" t="n">
        <v>18530.6</v>
      </c>
      <c r="P9" s="0" t="n">
        <v>37006.7</v>
      </c>
      <c r="Q9" s="0" t="n">
        <v>18286.2</v>
      </c>
      <c r="R9" s="0" t="n">
        <v>15412.1</v>
      </c>
      <c r="S9" s="0" t="n">
        <v>679</v>
      </c>
      <c r="T9" s="0" t="n">
        <v>5182.8</v>
      </c>
      <c r="AA9" s="0" t="s">
        <v>17</v>
      </c>
      <c r="AB9" s="0" t="s">
        <v>14</v>
      </c>
      <c r="AC9" s="0" t="n">
        <v>0.0578</v>
      </c>
    </row>
    <row r="10" customFormat="false" ht="15" hidden="false" customHeight="false" outlineLevel="0" collapsed="false">
      <c r="A10" s="0" t="s">
        <v>72</v>
      </c>
      <c r="B10" s="0" t="n">
        <v>2510.3</v>
      </c>
      <c r="I10" s="0" t="n">
        <v>174.9</v>
      </c>
      <c r="J10" s="0" t="n">
        <v>7</v>
      </c>
      <c r="K10" s="0" t="n">
        <v>0.0337</v>
      </c>
      <c r="L10" s="0" t="n">
        <v>1070.7</v>
      </c>
      <c r="M10" s="0" t="n">
        <v>446.6</v>
      </c>
      <c r="N10" s="0" t="n">
        <v>624.1</v>
      </c>
      <c r="O10" s="0" t="n">
        <v>17841.3</v>
      </c>
      <c r="P10" s="0" t="n">
        <v>35671.5</v>
      </c>
      <c r="Q10" s="0" t="n">
        <v>17648</v>
      </c>
      <c r="R10" s="0" t="n">
        <v>15440.2</v>
      </c>
      <c r="S10" s="0" t="n">
        <v>296.4</v>
      </c>
      <c r="T10" s="0" t="n">
        <v>5189.9</v>
      </c>
      <c r="AA10" s="0" t="s">
        <v>17</v>
      </c>
      <c r="AB10" s="0" t="s">
        <v>14</v>
      </c>
      <c r="AC10" s="0" t="n">
        <v>0.0336</v>
      </c>
    </row>
    <row r="11" customFormat="false" ht="15" hidden="false" customHeight="false" outlineLevel="0" collapsed="false">
      <c r="A11" s="0" t="s">
        <v>73</v>
      </c>
      <c r="B11" s="0" t="n">
        <v>2637.1</v>
      </c>
      <c r="I11" s="0" t="n">
        <v>1049.8</v>
      </c>
      <c r="J11" s="0" t="n">
        <v>39.8</v>
      </c>
      <c r="K11" s="0" t="n">
        <v>0.2023</v>
      </c>
      <c r="L11" s="0" t="n">
        <v>1071.2</v>
      </c>
      <c r="M11" s="0" t="n">
        <v>411</v>
      </c>
      <c r="N11" s="0" t="n">
        <v>660.2</v>
      </c>
      <c r="O11" s="0" t="n">
        <v>18006.3</v>
      </c>
      <c r="P11" s="0" t="n">
        <v>36354.9</v>
      </c>
      <c r="Q11" s="0" t="n">
        <v>18165.5</v>
      </c>
      <c r="R11" s="0" t="n">
        <v>16692.8</v>
      </c>
      <c r="S11" s="0" t="n">
        <v>380.6</v>
      </c>
      <c r="T11" s="0" t="n">
        <v>5189.3</v>
      </c>
      <c r="AA11" s="0" t="s">
        <v>17</v>
      </c>
      <c r="AB11" s="0" t="s">
        <v>14</v>
      </c>
      <c r="AC11" s="0" t="n">
        <v>0.2013</v>
      </c>
    </row>
    <row r="12" customFormat="false" ht="15" hidden="false" customHeight="false" outlineLevel="0" collapsed="false">
      <c r="A12" s="0" t="s">
        <v>74</v>
      </c>
      <c r="B12" s="0" t="n">
        <v>2685</v>
      </c>
      <c r="I12" s="0" t="n">
        <v>1778.5</v>
      </c>
      <c r="J12" s="0" t="n">
        <v>66.2</v>
      </c>
      <c r="K12" s="0" t="n">
        <v>0.3417</v>
      </c>
      <c r="L12" s="0" t="n">
        <v>1052.5</v>
      </c>
      <c r="M12" s="0" t="n">
        <v>378.3</v>
      </c>
      <c r="N12" s="0" t="n">
        <v>674.2</v>
      </c>
      <c r="O12" s="0" t="n">
        <v>18885</v>
      </c>
      <c r="P12" s="0" t="n">
        <v>35397</v>
      </c>
      <c r="Q12" s="0" t="n">
        <v>16320.6</v>
      </c>
      <c r="R12" s="0" t="n">
        <v>14894.7</v>
      </c>
      <c r="S12" s="0" t="n">
        <v>529.4</v>
      </c>
      <c r="T12" s="0" t="n">
        <v>5204.9</v>
      </c>
      <c r="AA12" s="0" t="s">
        <v>17</v>
      </c>
      <c r="AB12" s="0" t="s">
        <v>14</v>
      </c>
      <c r="AC12" s="0" t="n">
        <v>0.3401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3.355</v>
      </c>
    </row>
    <row r="3" customFormat="false" ht="15" hidden="false" customHeight="false" outlineLevel="0" collapsed="false">
      <c r="A3" s="0" t="s">
        <v>78</v>
      </c>
      <c r="B3" s="3" t="n">
        <v>5223</v>
      </c>
    </row>
    <row r="4" customFormat="false" ht="15" hidden="false" customHeight="false" outlineLevel="0" collapsed="false">
      <c r="A4" s="0" t="s">
        <v>79</v>
      </c>
      <c r="B4" s="3" t="n">
        <v>0</v>
      </c>
    </row>
    <row r="5" customFormat="false" ht="15" hidden="false" customHeight="false" outlineLevel="0" collapsed="false">
      <c r="A5" s="0" t="s">
        <v>80</v>
      </c>
      <c r="B5" s="3" t="n">
        <v>0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2685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3.5</v>
      </c>
      <c r="D13" s="3" t="n">
        <v>1</v>
      </c>
      <c r="E13" s="3" t="n">
        <v>0</v>
      </c>
      <c r="F13" s="3" t="n">
        <v>0.5</v>
      </c>
      <c r="G13" s="3" t="n">
        <v>1.5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99</v>
      </c>
      <c r="C14" s="3" t="n">
        <v>44</v>
      </c>
      <c r="D14" s="3" t="n">
        <v>43</v>
      </c>
      <c r="E14" s="3" t="n">
        <v>42</v>
      </c>
      <c r="F14" s="3" t="n">
        <v>41</v>
      </c>
      <c r="G14" s="3" t="n">
        <v>41</v>
      </c>
      <c r="H14" s="3" t="n">
        <v>41</v>
      </c>
      <c r="I14" s="3" t="n">
        <v>41</v>
      </c>
      <c r="J14" s="3" t="n">
        <v>41</v>
      </c>
      <c r="K14" s="3" t="n">
        <v>41</v>
      </c>
      <c r="L14" s="3" t="n">
        <v>41</v>
      </c>
    </row>
    <row r="15" customFormat="false" ht="15" hidden="false" customHeight="false" outlineLevel="0" collapsed="false">
      <c r="A15" s="0" t="s">
        <v>100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102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103</v>
      </c>
      <c r="C18" s="3" t="n">
        <v>14</v>
      </c>
      <c r="D18" s="3" t="n">
        <v>15</v>
      </c>
      <c r="E18" s="3" t="n">
        <v>15</v>
      </c>
      <c r="F18" s="3" t="n">
        <v>15</v>
      </c>
      <c r="G18" s="3" t="n">
        <v>15</v>
      </c>
      <c r="H18" s="3" t="n">
        <v>15</v>
      </c>
      <c r="I18" s="3" t="n">
        <v>15</v>
      </c>
      <c r="J18" s="3" t="n">
        <v>15</v>
      </c>
      <c r="K18" s="3" t="n">
        <v>15</v>
      </c>
      <c r="L18" s="3" t="n">
        <v>15</v>
      </c>
    </row>
    <row r="19" customFormat="false" ht="15" hidden="false" customHeight="false" outlineLevel="0" collapsed="false">
      <c r="A19" s="0" t="s">
        <v>104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105</v>
      </c>
      <c r="B20" s="3" t="n">
        <v>8.5</v>
      </c>
    </row>
    <row r="21" customFormat="false" ht="15" hidden="false" customHeight="false" outlineLevel="0" collapsed="false">
      <c r="A21" s="0" t="s">
        <v>106</v>
      </c>
      <c r="B21" s="3" t="n">
        <v>2</v>
      </c>
    </row>
    <row r="22" customFormat="false" ht="15" hidden="false" customHeight="false" outlineLevel="0" collapsed="false">
      <c r="A22" s="0" t="s">
        <v>107</v>
      </c>
      <c r="B22" s="3" t="n">
        <v>13</v>
      </c>
    </row>
    <row r="23" customFormat="false" ht="15" hidden="false" customHeight="false" outlineLevel="0" collapsed="false">
      <c r="A23" s="0" t="s">
        <v>108</v>
      </c>
      <c r="B23" s="3" t="n">
        <v>0</v>
      </c>
    </row>
    <row r="24" customFormat="false" ht="15" hidden="false" customHeight="false" outlineLevel="0" collapsed="false">
      <c r="A24" s="0" t="s">
        <v>109</v>
      </c>
      <c r="B24" s="3" t="n">
        <v>0.25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4.5</v>
      </c>
      <c r="D27" s="3" t="n">
        <v>3.5</v>
      </c>
      <c r="E27" s="3" t="n">
        <v>3</v>
      </c>
      <c r="F27" s="3" t="n">
        <v>3</v>
      </c>
      <c r="G27" s="3" t="n">
        <v>2.75</v>
      </c>
      <c r="H27" s="3" t="n">
        <v>2.5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99</v>
      </c>
      <c r="C28" s="3" t="n">
        <v>44.5</v>
      </c>
      <c r="D28" s="3" t="n">
        <v>44.5</v>
      </c>
      <c r="E28" s="3" t="n">
        <v>44.5</v>
      </c>
      <c r="F28" s="3" t="n">
        <v>44.5</v>
      </c>
      <c r="G28" s="3" t="n">
        <v>44.5</v>
      </c>
      <c r="H28" s="3" t="n">
        <v>44.5</v>
      </c>
      <c r="I28" s="3" t="n">
        <v>44.5</v>
      </c>
      <c r="J28" s="3" t="n">
        <v>44.5</v>
      </c>
      <c r="K28" s="3" t="n">
        <v>44.5</v>
      </c>
      <c r="L28" s="3" t="n">
        <v>44.5</v>
      </c>
    </row>
    <row r="29" customFormat="false" ht="15" hidden="false" customHeight="false" outlineLevel="0" collapsed="false">
      <c r="A29" s="0" t="s">
        <v>100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102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103</v>
      </c>
      <c r="C32" s="3" t="n">
        <v>12.5</v>
      </c>
      <c r="D32" s="3" t="n">
        <v>12.5</v>
      </c>
      <c r="E32" s="3" t="n">
        <v>12.5</v>
      </c>
      <c r="F32" s="3" t="n">
        <v>12.5</v>
      </c>
      <c r="G32" s="3" t="n">
        <v>12.5</v>
      </c>
      <c r="H32" s="3" t="n">
        <v>12.5</v>
      </c>
      <c r="I32" s="3" t="n">
        <v>12.5</v>
      </c>
      <c r="J32" s="3" t="n">
        <v>12.5</v>
      </c>
      <c r="K32" s="3" t="n">
        <v>12.5</v>
      </c>
      <c r="L32" s="3" t="n">
        <v>12.5</v>
      </c>
    </row>
    <row r="33" customFormat="false" ht="15" hidden="false" customHeight="false" outlineLevel="0" collapsed="false">
      <c r="A33" s="0" t="s">
        <v>104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105</v>
      </c>
      <c r="B34" s="3" t="n">
        <v>8.5</v>
      </c>
    </row>
    <row r="35" customFormat="false" ht="15" hidden="false" customHeight="false" outlineLevel="0" collapsed="false">
      <c r="A35" s="0" t="s">
        <v>106</v>
      </c>
      <c r="B35" s="3" t="n">
        <v>2.5</v>
      </c>
    </row>
    <row r="36" customFormat="false" ht="15" hidden="false" customHeight="false" outlineLevel="0" collapsed="false">
      <c r="A36" s="0" t="s">
        <v>107</v>
      </c>
      <c r="B36" s="3" t="n">
        <v>16</v>
      </c>
    </row>
    <row r="37" customFormat="false" ht="15" hidden="false" customHeight="false" outlineLevel="0" collapsed="false">
      <c r="A37" s="0" t="s">
        <v>108</v>
      </c>
      <c r="B37" s="3" t="n">
        <v>0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5</v>
      </c>
      <c r="D41" s="3" t="n">
        <v>4.5</v>
      </c>
      <c r="E41" s="3" t="n">
        <v>4</v>
      </c>
      <c r="F41" s="3" t="n">
        <v>4</v>
      </c>
      <c r="G41" s="3" t="n">
        <v>3.5</v>
      </c>
      <c r="H41" s="3" t="n">
        <v>3.5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99</v>
      </c>
      <c r="C42" s="3" t="n">
        <v>44.7</v>
      </c>
      <c r="D42" s="3" t="n">
        <v>45</v>
      </c>
      <c r="E42" s="3" t="n">
        <v>45.3</v>
      </c>
      <c r="F42" s="3" t="n">
        <v>45.6</v>
      </c>
      <c r="G42" s="3" t="n">
        <v>46</v>
      </c>
      <c r="H42" s="3" t="n">
        <v>46</v>
      </c>
      <c r="I42" s="3" t="n">
        <v>46</v>
      </c>
      <c r="J42" s="3" t="n">
        <v>46</v>
      </c>
      <c r="K42" s="3" t="n">
        <v>46</v>
      </c>
      <c r="L42" s="3" t="n">
        <v>46</v>
      </c>
    </row>
    <row r="43" customFormat="false" ht="15" hidden="false" customHeight="false" outlineLevel="0" collapsed="false">
      <c r="A43" s="0" t="s">
        <v>100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102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103</v>
      </c>
      <c r="C46" s="3" t="n">
        <v>11</v>
      </c>
      <c r="D46" s="3" t="n">
        <v>10.5</v>
      </c>
      <c r="E46" s="3" t="n">
        <v>10</v>
      </c>
      <c r="F46" s="3" t="n">
        <v>10</v>
      </c>
      <c r="G46" s="3" t="n">
        <v>10</v>
      </c>
      <c r="H46" s="3" t="n">
        <v>10</v>
      </c>
      <c r="I46" s="3" t="n">
        <v>10</v>
      </c>
      <c r="J46" s="3" t="n">
        <v>10</v>
      </c>
      <c r="K46" s="3" t="n">
        <v>10</v>
      </c>
      <c r="L46" s="3" t="n">
        <v>10</v>
      </c>
    </row>
    <row r="47" customFormat="false" ht="15" hidden="false" customHeight="false" outlineLevel="0" collapsed="false">
      <c r="A47" s="0" t="s">
        <v>104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105</v>
      </c>
      <c r="B48" s="3" t="n">
        <v>8.5</v>
      </c>
    </row>
    <row r="49" customFormat="false" ht="15" hidden="false" customHeight="false" outlineLevel="0" collapsed="false">
      <c r="A49" s="0" t="s">
        <v>106</v>
      </c>
      <c r="B49" s="3" t="n">
        <v>3</v>
      </c>
    </row>
    <row r="50" customFormat="false" ht="15" hidden="false" customHeight="false" outlineLevel="0" collapsed="false">
      <c r="A50" s="0" t="s">
        <v>107</v>
      </c>
      <c r="B50" s="3" t="n">
        <v>18</v>
      </c>
    </row>
    <row r="51" customFormat="false" ht="15" hidden="false" customHeight="false" outlineLevel="0" collapsed="false">
      <c r="A51" s="0" t="s">
        <v>108</v>
      </c>
      <c r="B51" s="3" t="n">
        <v>0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3.5</v>
      </c>
      <c r="D5" s="4" t="n">
        <f aca="false">Assumptions!D13</f>
        <v>1</v>
      </c>
      <c r="E5" s="4" t="n">
        <f aca="false">Assumptions!E13</f>
        <v>0</v>
      </c>
      <c r="F5" s="4" t="n">
        <f aca="false">Assumptions!F13</f>
        <v>0.5</v>
      </c>
      <c r="G5" s="4" t="n">
        <f aca="false">Assumptions!G13</f>
        <v>1.5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2685</v>
      </c>
      <c r="C6" s="0" t="n">
        <f aca="false">B6*(1+C5/100)</f>
        <v>2778.975</v>
      </c>
      <c r="D6" s="0" t="n">
        <f aca="false">C6*(1+D5/100)</f>
        <v>2806.76475</v>
      </c>
      <c r="E6" s="0" t="n">
        <f aca="false">D6*(1+E5/100)</f>
        <v>2806.76475</v>
      </c>
      <c r="F6" s="0" t="n">
        <f aca="false">E6*(1+F5/100)</f>
        <v>2820.79857375</v>
      </c>
      <c r="G6" s="0" t="n">
        <f aca="false">F6*(1+G5/100)</f>
        <v>2863.11055235625</v>
      </c>
      <c r="H6" s="0" t="n">
        <f aca="false">G6*(1+H5/100)</f>
        <v>2920.37276340337</v>
      </c>
      <c r="I6" s="0" t="n">
        <f aca="false">H6*(1+I5/100)</f>
        <v>2978.78021867144</v>
      </c>
      <c r="J6" s="0" t="n">
        <f aca="false">I6*(1+J5/100)</f>
        <v>3038.35582304487</v>
      </c>
      <c r="K6" s="0" t="n">
        <f aca="false">J6*(1+K5/100)</f>
        <v>3099.12293950577</v>
      </c>
      <c r="L6" s="0" t="n">
        <f aca="false">K6*(1+L5/100)</f>
        <v>3161.10539829588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44</v>
      </c>
      <c r="D7" s="4" t="n">
        <f aca="false">Assumptions!D14</f>
        <v>43</v>
      </c>
      <c r="E7" s="4" t="n">
        <f aca="false">Assumptions!E14</f>
        <v>42</v>
      </c>
      <c r="F7" s="4" t="n">
        <f aca="false">Assumptions!F14</f>
        <v>41</v>
      </c>
      <c r="G7" s="4" t="n">
        <f aca="false">Assumptions!G14</f>
        <v>41</v>
      </c>
      <c r="H7" s="4" t="n">
        <f aca="false">Assumptions!H14</f>
        <v>41</v>
      </c>
      <c r="I7" s="4" t="n">
        <f aca="false">Assumptions!I14</f>
        <v>41</v>
      </c>
      <c r="J7" s="4" t="n">
        <f aca="false">Assumptions!J14</f>
        <v>41</v>
      </c>
      <c r="K7" s="4" t="n">
        <f aca="false">Assumptions!K14</f>
        <v>41</v>
      </c>
      <c r="L7" s="4" t="n">
        <f aca="false">Assumptions!L14</f>
        <v>41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1222.749</v>
      </c>
      <c r="D8" s="0" t="n">
        <f aca="false">D6*D7/100</f>
        <v>1206.9088425</v>
      </c>
      <c r="E8" s="0" t="n">
        <f aca="false">E6*E7/100</f>
        <v>1178.841195</v>
      </c>
      <c r="F8" s="0" t="n">
        <f aca="false">F6*F7/100</f>
        <v>1156.5274152375</v>
      </c>
      <c r="G8" s="0" t="n">
        <f aca="false">G6*G7/100</f>
        <v>1173.87532646606</v>
      </c>
      <c r="H8" s="0" t="n">
        <f aca="false">H6*H7/100</f>
        <v>1197.35283299538</v>
      </c>
      <c r="I8" s="0" t="n">
        <f aca="false">I6*I7/100</f>
        <v>1221.29988965529</v>
      </c>
      <c r="J8" s="0" t="n">
        <f aca="false">J6*J7/100</f>
        <v>1245.7258874484</v>
      </c>
      <c r="K8" s="0" t="n">
        <f aca="false">K6*K7/100</f>
        <v>1270.64040519737</v>
      </c>
      <c r="L8" s="0" t="n">
        <f aca="false">L6*L7/100</f>
        <v>1296.05321330131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1222.749</v>
      </c>
      <c r="D11" s="0" t="n">
        <f aca="false">D8+D10+D24</f>
        <v>1206.9088425</v>
      </c>
      <c r="E11" s="0" t="n">
        <f aca="false">E8+E10+E24</f>
        <v>1178.841195</v>
      </c>
      <c r="F11" s="0" t="n">
        <f aca="false">F8+F10+F24</f>
        <v>1156.5274152375</v>
      </c>
      <c r="G11" s="0" t="n">
        <f aca="false">G8+G10+G24</f>
        <v>1173.87532646606</v>
      </c>
      <c r="H11" s="0" t="n">
        <f aca="false">H8+H10+H24</f>
        <v>1197.35283299538</v>
      </c>
      <c r="I11" s="0" t="n">
        <f aca="false">I8+I10+I24</f>
        <v>1221.29988965529</v>
      </c>
      <c r="J11" s="0" t="n">
        <f aca="false">J8+J10+J24</f>
        <v>1245.7258874484</v>
      </c>
      <c r="K11" s="0" t="n">
        <f aca="false">K8+K10+K24</f>
        <v>1270.64040519737</v>
      </c>
      <c r="L11" s="0" t="n">
        <f aca="false">L8+L10+L24</f>
        <v>1296.05321330131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1222.749</v>
      </c>
      <c r="D13" s="0" t="n">
        <f aca="false">D11+D12</f>
        <v>1206.9088425</v>
      </c>
      <c r="E13" s="0" t="n">
        <f aca="false">E11+E12</f>
        <v>1178.841195</v>
      </c>
      <c r="F13" s="0" t="n">
        <f aca="false">F11+F12</f>
        <v>1156.5274152375</v>
      </c>
      <c r="G13" s="0" t="n">
        <f aca="false">G11+G12</f>
        <v>1173.87532646606</v>
      </c>
      <c r="H13" s="0" t="n">
        <f aca="false">H11+H12</f>
        <v>1197.35283299538</v>
      </c>
      <c r="I13" s="0" t="n">
        <f aca="false">I11+I12</f>
        <v>1221.29988965529</v>
      </c>
      <c r="J13" s="0" t="n">
        <f aca="false">J11+J12</f>
        <v>1245.7258874484</v>
      </c>
      <c r="K13" s="0" t="n">
        <f aca="false">K11+K12</f>
        <v>1270.64040519737</v>
      </c>
      <c r="L13" s="0" t="n">
        <f aca="false">L11+L12</f>
        <v>1296.05321330131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1222.749</v>
      </c>
      <c r="D15" s="0" t="n">
        <f aca="false">D13-MAX(0,D13)*D14/100</f>
        <v>1206.9088425</v>
      </c>
      <c r="E15" s="0" t="n">
        <f aca="false">E13-MAX(0,E13)*E14/100</f>
        <v>1178.841195</v>
      </c>
      <c r="F15" s="0" t="n">
        <f aca="false">F13-MAX(0,F13)*F14/100</f>
        <v>1156.5274152375</v>
      </c>
      <c r="G15" s="0" t="n">
        <f aca="false">G13-MAX(0,G13)*G14/100</f>
        <v>1173.87532646606</v>
      </c>
      <c r="H15" s="0" t="n">
        <f aca="false">H13-MAX(0,H13)*H14/100</f>
        <v>1197.35283299538</v>
      </c>
      <c r="I15" s="0" t="n">
        <f aca="false">I13-MAX(0,I13)*I14/100</f>
        <v>1221.29988965529</v>
      </c>
      <c r="J15" s="0" t="n">
        <f aca="false">J13-MAX(0,J13)*J14/100</f>
        <v>1245.7258874484</v>
      </c>
      <c r="K15" s="0" t="n">
        <f aca="false">K13-MAX(0,K13)*K14/100</f>
        <v>1270.64040519737</v>
      </c>
      <c r="L15" s="0" t="n">
        <f aca="false">L13-MAX(0,L13)*L14/100</f>
        <v>1296.05321330131</v>
      </c>
    </row>
    <row r="16" customFormat="false" ht="15" hidden="false" customHeight="false" outlineLevel="0" collapsed="false">
      <c r="A16" s="0" t="s">
        <v>120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-389.0565</v>
      </c>
      <c r="D17" s="4" t="n">
        <f aca="false">-D6*Assumptions!D18/100</f>
        <v>-421.0147125</v>
      </c>
      <c r="E17" s="4" t="n">
        <f aca="false">-E6*Assumptions!E18/100</f>
        <v>-421.0147125</v>
      </c>
      <c r="F17" s="4" t="n">
        <f aca="false">-F6*Assumptions!F18/100</f>
        <v>-423.1197860625</v>
      </c>
      <c r="G17" s="4" t="n">
        <f aca="false">-G6*Assumptions!G18/100</f>
        <v>-429.466582853437</v>
      </c>
      <c r="H17" s="4" t="n">
        <f aca="false">-H6*Assumptions!H18/100</f>
        <v>-438.055914510506</v>
      </c>
      <c r="I17" s="4" t="n">
        <f aca="false">-I6*Assumptions!I18/100</f>
        <v>-446.817032800716</v>
      </c>
      <c r="J17" s="4" t="n">
        <f aca="false">-J6*Assumptions!J18/100</f>
        <v>-455.753373456731</v>
      </c>
      <c r="K17" s="4" t="n">
        <f aca="false">-K6*Assumptions!K18/100</f>
        <v>-464.868440925865</v>
      </c>
      <c r="L17" s="4" t="n">
        <f aca="false">-L6*Assumptions!L18/100</f>
        <v>-474.165809744383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833.6925</v>
      </c>
      <c r="D19" s="0" t="n">
        <f aca="false">D15+D16+D17+D18</f>
        <v>785.89413</v>
      </c>
      <c r="E19" s="0" t="n">
        <f aca="false">E15+E16+E17+E18</f>
        <v>757.8264825</v>
      </c>
      <c r="F19" s="0" t="n">
        <f aca="false">F15+F16+F17+F18</f>
        <v>733.407629175</v>
      </c>
      <c r="G19" s="0" t="n">
        <f aca="false">G15+G16+G17+G18</f>
        <v>744.408743612625</v>
      </c>
      <c r="H19" s="0" t="n">
        <f aca="false">H15+H16+H17+H18</f>
        <v>759.296918484877</v>
      </c>
      <c r="I19" s="0" t="n">
        <f aca="false">I15+I16+I17+I18</f>
        <v>774.482856854575</v>
      </c>
      <c r="J19" s="0" t="n">
        <f aca="false">J15+J16+J17+J18</f>
        <v>789.972513991666</v>
      </c>
      <c r="K19" s="0" t="n">
        <f aca="false">K15+K16+K17+K18</f>
        <v>805.7719642715</v>
      </c>
      <c r="L19" s="0" t="n">
        <f aca="false">L15+L16+L17+L18</f>
        <v>821.88740355693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768.380184331797</v>
      </c>
      <c r="D21" s="0" t="n">
        <f aca="false">D19*D20</f>
        <v>667.581923591497</v>
      </c>
      <c r="E21" s="0" t="n">
        <f aca="false">E19*E20</f>
        <v>593.308490354523</v>
      </c>
      <c r="F21" s="0" t="n">
        <f aca="false">F19*F20</f>
        <v>529.208085098607</v>
      </c>
      <c r="G21" s="0" t="n">
        <f aca="false">G19*G20</f>
        <v>495.065627995471</v>
      </c>
      <c r="H21" s="0" t="n">
        <f aca="false">H19*H20</f>
        <v>465.407318484222</v>
      </c>
      <c r="I21" s="0" t="n">
        <f aca="false">I19*I20</f>
        <v>437.5257740589</v>
      </c>
      <c r="J21" s="0" t="n">
        <f aca="false">J19*J20</f>
        <v>411.3145525715</v>
      </c>
      <c r="K21" s="0" t="n">
        <f aca="false">K19*K20</f>
        <v>386.673588592562</v>
      </c>
      <c r="L21" s="0" t="n">
        <f aca="false">L19*L20</f>
        <v>363.508811395773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5117.97435647485</v>
      </c>
    </row>
    <row r="31" customFormat="false" ht="15" hidden="false" customHeight="false" outlineLevel="0" collapsed="false">
      <c r="A31" s="0" t="s">
        <v>129</v>
      </c>
      <c r="B31" s="0" t="n">
        <f aca="false">L19</f>
        <v>821.88740355693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12897.3100250472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10684.5362462401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10684.5362462401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4725.61454814505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9843.5889046199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9843.5889046199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1.88466186188396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-0.438252798246213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1.88466186188396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6448.6550125236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1.05510162303312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4.5</v>
      </c>
      <c r="D5" s="4" t="n">
        <f aca="false">Assumptions!D27</f>
        <v>3.5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2.75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2685</v>
      </c>
      <c r="C6" s="0" t="n">
        <f aca="false">B6*(1+C5/100)</f>
        <v>2805.825</v>
      </c>
      <c r="D6" s="0" t="n">
        <f aca="false">C6*(1+D5/100)</f>
        <v>2904.028875</v>
      </c>
      <c r="E6" s="0" t="n">
        <f aca="false">D6*(1+E5/100)</f>
        <v>2991.14974125</v>
      </c>
      <c r="F6" s="0" t="n">
        <f aca="false">E6*(1+F5/100)</f>
        <v>3080.8842334875</v>
      </c>
      <c r="G6" s="0" t="n">
        <f aca="false">F6*(1+G5/100)</f>
        <v>3165.60854990841</v>
      </c>
      <c r="H6" s="0" t="n">
        <f aca="false">G6*(1+H5/100)</f>
        <v>3244.74876365612</v>
      </c>
      <c r="I6" s="0" t="n">
        <f aca="false">H6*(1+I5/100)</f>
        <v>3325.86748274752</v>
      </c>
      <c r="J6" s="0" t="n">
        <f aca="false">I6*(1+J5/100)</f>
        <v>3409.01416981621</v>
      </c>
      <c r="K6" s="0" t="n">
        <f aca="false">J6*(1+K5/100)</f>
        <v>3494.23952406161</v>
      </c>
      <c r="L6" s="0" t="n">
        <f aca="false">K6*(1+L5/100)</f>
        <v>3581.59551216315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44.5</v>
      </c>
      <c r="D7" s="4" t="n">
        <f aca="false">Assumptions!D28</f>
        <v>44.5</v>
      </c>
      <c r="E7" s="4" t="n">
        <f aca="false">Assumptions!E28</f>
        <v>44.5</v>
      </c>
      <c r="F7" s="4" t="n">
        <f aca="false">Assumptions!F28</f>
        <v>44.5</v>
      </c>
      <c r="G7" s="4" t="n">
        <f aca="false">Assumptions!G28</f>
        <v>44.5</v>
      </c>
      <c r="H7" s="4" t="n">
        <f aca="false">Assumptions!H28</f>
        <v>44.5</v>
      </c>
      <c r="I7" s="4" t="n">
        <f aca="false">Assumptions!I28</f>
        <v>44.5</v>
      </c>
      <c r="J7" s="4" t="n">
        <f aca="false">Assumptions!J28</f>
        <v>44.5</v>
      </c>
      <c r="K7" s="4" t="n">
        <f aca="false">Assumptions!K28</f>
        <v>44.5</v>
      </c>
      <c r="L7" s="4" t="n">
        <f aca="false">Assumptions!L28</f>
        <v>44.5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1248.592125</v>
      </c>
      <c r="D8" s="0" t="n">
        <f aca="false">D6*D7/100</f>
        <v>1292.292849375</v>
      </c>
      <c r="E8" s="0" t="n">
        <f aca="false">E6*E7/100</f>
        <v>1331.06163485625</v>
      </c>
      <c r="F8" s="0" t="n">
        <f aca="false">F6*F7/100</f>
        <v>1370.99348390194</v>
      </c>
      <c r="G8" s="0" t="n">
        <f aca="false">G6*G7/100</f>
        <v>1408.69580470924</v>
      </c>
      <c r="H8" s="0" t="n">
        <f aca="false">H6*H7/100</f>
        <v>1443.91319982697</v>
      </c>
      <c r="I8" s="0" t="n">
        <f aca="false">I6*I7/100</f>
        <v>1480.01102982265</v>
      </c>
      <c r="J8" s="0" t="n">
        <f aca="false">J6*J7/100</f>
        <v>1517.01130556821</v>
      </c>
      <c r="K8" s="0" t="n">
        <f aca="false">K6*K7/100</f>
        <v>1554.93658820742</v>
      </c>
      <c r="L8" s="0" t="n">
        <f aca="false">L6*L7/100</f>
        <v>1593.8100029126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1248.592125</v>
      </c>
      <c r="D11" s="0" t="n">
        <f aca="false">D8+D10+D24</f>
        <v>1292.292849375</v>
      </c>
      <c r="E11" s="0" t="n">
        <f aca="false">E8+E10+E24</f>
        <v>1331.06163485625</v>
      </c>
      <c r="F11" s="0" t="n">
        <f aca="false">F8+F10+F24</f>
        <v>1370.99348390194</v>
      </c>
      <c r="G11" s="0" t="n">
        <f aca="false">G8+G10+G24</f>
        <v>1408.69580470924</v>
      </c>
      <c r="H11" s="0" t="n">
        <f aca="false">H8+H10+H24</f>
        <v>1443.91319982697</v>
      </c>
      <c r="I11" s="0" t="n">
        <f aca="false">I8+I10+I24</f>
        <v>1480.01102982265</v>
      </c>
      <c r="J11" s="0" t="n">
        <f aca="false">J8+J10+J24</f>
        <v>1517.01130556821</v>
      </c>
      <c r="K11" s="0" t="n">
        <f aca="false">K8+K10+K24</f>
        <v>1554.93658820742</v>
      </c>
      <c r="L11" s="0" t="n">
        <f aca="false">L8+L10+L24</f>
        <v>1593.8100029126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1248.592125</v>
      </c>
      <c r="D13" s="0" t="n">
        <f aca="false">D11+D12</f>
        <v>1292.292849375</v>
      </c>
      <c r="E13" s="0" t="n">
        <f aca="false">E11+E12</f>
        <v>1331.06163485625</v>
      </c>
      <c r="F13" s="0" t="n">
        <f aca="false">F11+F12</f>
        <v>1370.99348390194</v>
      </c>
      <c r="G13" s="0" t="n">
        <f aca="false">G11+G12</f>
        <v>1408.69580470924</v>
      </c>
      <c r="H13" s="0" t="n">
        <f aca="false">H11+H12</f>
        <v>1443.91319982697</v>
      </c>
      <c r="I13" s="0" t="n">
        <f aca="false">I11+I12</f>
        <v>1480.01102982265</v>
      </c>
      <c r="J13" s="0" t="n">
        <f aca="false">J11+J12</f>
        <v>1517.01130556821</v>
      </c>
      <c r="K13" s="0" t="n">
        <f aca="false">K11+K12</f>
        <v>1554.93658820742</v>
      </c>
      <c r="L13" s="0" t="n">
        <f aca="false">L11+L12</f>
        <v>1593.8100029126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1248.592125</v>
      </c>
      <c r="D15" s="0" t="n">
        <f aca="false">D13-MAX(0,D13)*D14/100</f>
        <v>1292.292849375</v>
      </c>
      <c r="E15" s="0" t="n">
        <f aca="false">E13-MAX(0,E13)*E14/100</f>
        <v>1331.06163485625</v>
      </c>
      <c r="F15" s="0" t="n">
        <f aca="false">F13-MAX(0,F13)*F14/100</f>
        <v>1370.99348390194</v>
      </c>
      <c r="G15" s="0" t="n">
        <f aca="false">G13-MAX(0,G13)*G14/100</f>
        <v>1408.69580470924</v>
      </c>
      <c r="H15" s="0" t="n">
        <f aca="false">H13-MAX(0,H13)*H14/100</f>
        <v>1443.91319982697</v>
      </c>
      <c r="I15" s="0" t="n">
        <f aca="false">I13-MAX(0,I13)*I14/100</f>
        <v>1480.01102982265</v>
      </c>
      <c r="J15" s="0" t="n">
        <f aca="false">J13-MAX(0,J13)*J14/100</f>
        <v>1517.01130556821</v>
      </c>
      <c r="K15" s="0" t="n">
        <f aca="false">K13-MAX(0,K13)*K14/100</f>
        <v>1554.93658820742</v>
      </c>
      <c r="L15" s="0" t="n">
        <f aca="false">L13-MAX(0,L13)*L14/100</f>
        <v>1593.8100029126</v>
      </c>
    </row>
    <row r="16" customFormat="false" ht="15" hidden="false" customHeight="false" outlineLevel="0" collapsed="false">
      <c r="A16" s="0" t="s">
        <v>120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-350.728125</v>
      </c>
      <c r="D17" s="4" t="n">
        <f aca="false">-D6*Assumptions!D32/100</f>
        <v>-363.003609375</v>
      </c>
      <c r="E17" s="4" t="n">
        <f aca="false">-E6*Assumptions!E32/100</f>
        <v>-373.89371765625</v>
      </c>
      <c r="F17" s="4" t="n">
        <f aca="false">-F6*Assumptions!F32/100</f>
        <v>-385.110529185938</v>
      </c>
      <c r="G17" s="4" t="n">
        <f aca="false">-G6*Assumptions!G32/100</f>
        <v>-395.701068738551</v>
      </c>
      <c r="H17" s="4" t="n">
        <f aca="false">-H6*Assumptions!H32/100</f>
        <v>-405.593595457015</v>
      </c>
      <c r="I17" s="4" t="n">
        <f aca="false">-I6*Assumptions!I32/100</f>
        <v>-415.73343534344</v>
      </c>
      <c r="J17" s="4" t="n">
        <f aca="false">-J6*Assumptions!J32/100</f>
        <v>-426.126771227026</v>
      </c>
      <c r="K17" s="4" t="n">
        <f aca="false">-K6*Assumptions!K32/100</f>
        <v>-436.779940507701</v>
      </c>
      <c r="L17" s="4" t="n">
        <f aca="false">-L6*Assumptions!L32/100</f>
        <v>-447.699439020394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897.864</v>
      </c>
      <c r="D19" s="0" t="n">
        <f aca="false">D15+D16+D17+D18</f>
        <v>929.28924</v>
      </c>
      <c r="E19" s="0" t="n">
        <f aca="false">E15+E16+E17+E18</f>
        <v>957.1679172</v>
      </c>
      <c r="F19" s="0" t="n">
        <f aca="false">F15+F16+F17+F18</f>
        <v>985.882954716</v>
      </c>
      <c r="G19" s="0" t="n">
        <f aca="false">G15+G16+G17+G18</f>
        <v>1012.99473597069</v>
      </c>
      <c r="H19" s="0" t="n">
        <f aca="false">H15+H16+H17+H18</f>
        <v>1038.31960436996</v>
      </c>
      <c r="I19" s="0" t="n">
        <f aca="false">I15+I16+I17+I18</f>
        <v>1064.27759447921</v>
      </c>
      <c r="J19" s="0" t="n">
        <f aca="false">J15+J16+J17+J18</f>
        <v>1090.88453434119</v>
      </c>
      <c r="K19" s="0" t="n">
        <f aca="false">K15+K16+K17+K18</f>
        <v>1118.15664769972</v>
      </c>
      <c r="L19" s="0" t="n">
        <f aca="false">L15+L16+L17+L18</f>
        <v>1146.11056389221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827.524423963134</v>
      </c>
      <c r="D21" s="0" t="n">
        <f aca="false">D19*D20</f>
        <v>789.389657881883</v>
      </c>
      <c r="E21" s="0" t="n">
        <f aca="false">E19*E20</f>
        <v>749.374513933954</v>
      </c>
      <c r="F21" s="0" t="n">
        <f aca="false">F19*F20</f>
        <v>711.387787421173</v>
      </c>
      <c r="G21" s="0" t="n">
        <f aca="false">G19*G20</f>
        <v>673.687512972585</v>
      </c>
      <c r="H21" s="0" t="n">
        <f aca="false">H19*H20</f>
        <v>636.432903960276</v>
      </c>
      <c r="I21" s="0" t="n">
        <f aca="false">I19*I20</f>
        <v>601.238457658326</v>
      </c>
      <c r="J21" s="0" t="n">
        <f aca="false">J19*J20</f>
        <v>567.990248018234</v>
      </c>
      <c r="K21" s="0" t="n">
        <f aca="false">K19*K20</f>
        <v>536.580649049484</v>
      </c>
      <c r="L21" s="0" t="n">
        <f aca="false">L19*L20</f>
        <v>506.907986429236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6600.51414128828</v>
      </c>
    </row>
    <row r="31" customFormat="false" ht="15" hidden="false" customHeight="false" outlineLevel="0" collapsed="false">
      <c r="A31" s="0" t="s">
        <v>129</v>
      </c>
      <c r="B31" s="0" t="n">
        <f aca="false">L19</f>
        <v>1146.11056389221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19579.3887998252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18337.7690222753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18337.7690222753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8110.52778286777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14711.0419241561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14711.0419241561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2.81658853612025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-0.160480317102758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2.81658853612025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9398.10662391611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1.39956479505953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5</v>
      </c>
      <c r="D5" s="4" t="n">
        <f aca="false">Assumptions!D41</f>
        <v>4.5</v>
      </c>
      <c r="E5" s="4" t="n">
        <f aca="false">Assumptions!E41</f>
        <v>4</v>
      </c>
      <c r="F5" s="4" t="n">
        <f aca="false">Assumptions!F41</f>
        <v>4</v>
      </c>
      <c r="G5" s="4" t="n">
        <f aca="false">Assumptions!G41</f>
        <v>3.5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2685</v>
      </c>
      <c r="C6" s="0" t="n">
        <f aca="false">B6*(1+C5/100)</f>
        <v>2819.25</v>
      </c>
      <c r="D6" s="0" t="n">
        <f aca="false">C6*(1+D5/100)</f>
        <v>2946.11625</v>
      </c>
      <c r="E6" s="0" t="n">
        <f aca="false">D6*(1+E5/100)</f>
        <v>3063.9609</v>
      </c>
      <c r="F6" s="0" t="n">
        <f aca="false">E6*(1+F5/100)</f>
        <v>3186.519336</v>
      </c>
      <c r="G6" s="0" t="n">
        <f aca="false">F6*(1+G5/100)</f>
        <v>3298.04751276</v>
      </c>
      <c r="H6" s="0" t="n">
        <f aca="false">G6*(1+H5/100)</f>
        <v>3413.4791757066</v>
      </c>
      <c r="I6" s="0" t="n">
        <f aca="false">H6*(1+I5/100)</f>
        <v>3515.8835509778</v>
      </c>
      <c r="J6" s="0" t="n">
        <f aca="false">I6*(1+J5/100)</f>
        <v>3621.36005750713</v>
      </c>
      <c r="K6" s="0" t="n">
        <f aca="false">J6*(1+K5/100)</f>
        <v>3730.00085923235</v>
      </c>
      <c r="L6" s="0" t="n">
        <f aca="false">K6*(1+L5/100)</f>
        <v>3841.90088500932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44.7</v>
      </c>
      <c r="D7" s="4" t="n">
        <f aca="false">Assumptions!D42</f>
        <v>45</v>
      </c>
      <c r="E7" s="4" t="n">
        <f aca="false">Assumptions!E42</f>
        <v>45.3</v>
      </c>
      <c r="F7" s="4" t="n">
        <f aca="false">Assumptions!F42</f>
        <v>45.6</v>
      </c>
      <c r="G7" s="4" t="n">
        <f aca="false">Assumptions!G42</f>
        <v>46</v>
      </c>
      <c r="H7" s="4" t="n">
        <f aca="false">Assumptions!H42</f>
        <v>46</v>
      </c>
      <c r="I7" s="4" t="n">
        <f aca="false">Assumptions!I42</f>
        <v>46</v>
      </c>
      <c r="J7" s="4" t="n">
        <f aca="false">Assumptions!J42</f>
        <v>46</v>
      </c>
      <c r="K7" s="4" t="n">
        <f aca="false">Assumptions!K42</f>
        <v>46</v>
      </c>
      <c r="L7" s="4" t="n">
        <f aca="false">Assumptions!L42</f>
        <v>46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1260.20475</v>
      </c>
      <c r="D8" s="0" t="n">
        <f aca="false">D6*D7/100</f>
        <v>1325.7523125</v>
      </c>
      <c r="E8" s="0" t="n">
        <f aca="false">E6*E7/100</f>
        <v>1387.9742877</v>
      </c>
      <c r="F8" s="0" t="n">
        <f aca="false">F6*F7/100</f>
        <v>1453.052817216</v>
      </c>
      <c r="G8" s="0" t="n">
        <f aca="false">G6*G7/100</f>
        <v>1517.1018558696</v>
      </c>
      <c r="H8" s="0" t="n">
        <f aca="false">H6*H7/100</f>
        <v>1570.20042082504</v>
      </c>
      <c r="I8" s="0" t="n">
        <f aca="false">I6*I7/100</f>
        <v>1617.30643344979</v>
      </c>
      <c r="J8" s="0" t="n">
        <f aca="false">J6*J7/100</f>
        <v>1665.82562645328</v>
      </c>
      <c r="K8" s="0" t="n">
        <f aca="false">K6*K7/100</f>
        <v>1715.80039524688</v>
      </c>
      <c r="L8" s="0" t="n">
        <f aca="false">L6*L7/100</f>
        <v>1767.27440710429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1260.20475</v>
      </c>
      <c r="D11" s="0" t="n">
        <f aca="false">D8+D10+D24</f>
        <v>1325.7523125</v>
      </c>
      <c r="E11" s="0" t="n">
        <f aca="false">E8+E10+E24</f>
        <v>1387.9742877</v>
      </c>
      <c r="F11" s="0" t="n">
        <f aca="false">F8+F10+F24</f>
        <v>1453.052817216</v>
      </c>
      <c r="G11" s="0" t="n">
        <f aca="false">G8+G10+G24</f>
        <v>1517.1018558696</v>
      </c>
      <c r="H11" s="0" t="n">
        <f aca="false">H8+H10+H24</f>
        <v>1570.20042082504</v>
      </c>
      <c r="I11" s="0" t="n">
        <f aca="false">I8+I10+I24</f>
        <v>1617.30643344979</v>
      </c>
      <c r="J11" s="0" t="n">
        <f aca="false">J8+J10+J24</f>
        <v>1665.82562645328</v>
      </c>
      <c r="K11" s="0" t="n">
        <f aca="false">K8+K10+K24</f>
        <v>1715.80039524688</v>
      </c>
      <c r="L11" s="0" t="n">
        <f aca="false">L8+L10+L24</f>
        <v>1767.27440710429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1260.20475</v>
      </c>
      <c r="D13" s="0" t="n">
        <f aca="false">D11+D12</f>
        <v>1325.7523125</v>
      </c>
      <c r="E13" s="0" t="n">
        <f aca="false">E11+E12</f>
        <v>1387.9742877</v>
      </c>
      <c r="F13" s="0" t="n">
        <f aca="false">F11+F12</f>
        <v>1453.052817216</v>
      </c>
      <c r="G13" s="0" t="n">
        <f aca="false">G11+G12</f>
        <v>1517.1018558696</v>
      </c>
      <c r="H13" s="0" t="n">
        <f aca="false">H11+H12</f>
        <v>1570.20042082504</v>
      </c>
      <c r="I13" s="0" t="n">
        <f aca="false">I11+I12</f>
        <v>1617.30643344979</v>
      </c>
      <c r="J13" s="0" t="n">
        <f aca="false">J11+J12</f>
        <v>1665.82562645328</v>
      </c>
      <c r="K13" s="0" t="n">
        <f aca="false">K11+K12</f>
        <v>1715.80039524688</v>
      </c>
      <c r="L13" s="0" t="n">
        <f aca="false">L11+L12</f>
        <v>1767.27440710429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1260.20475</v>
      </c>
      <c r="D15" s="0" t="n">
        <f aca="false">D13-MAX(0,D13)*D14/100</f>
        <v>1325.7523125</v>
      </c>
      <c r="E15" s="0" t="n">
        <f aca="false">E13-MAX(0,E13)*E14/100</f>
        <v>1387.9742877</v>
      </c>
      <c r="F15" s="0" t="n">
        <f aca="false">F13-MAX(0,F13)*F14/100</f>
        <v>1453.052817216</v>
      </c>
      <c r="G15" s="0" t="n">
        <f aca="false">G13-MAX(0,G13)*G14/100</f>
        <v>1517.1018558696</v>
      </c>
      <c r="H15" s="0" t="n">
        <f aca="false">H13-MAX(0,H13)*H14/100</f>
        <v>1570.20042082504</v>
      </c>
      <c r="I15" s="0" t="n">
        <f aca="false">I13-MAX(0,I13)*I14/100</f>
        <v>1617.30643344979</v>
      </c>
      <c r="J15" s="0" t="n">
        <f aca="false">J13-MAX(0,J13)*J14/100</f>
        <v>1665.82562645328</v>
      </c>
      <c r="K15" s="0" t="n">
        <f aca="false">K13-MAX(0,K13)*K14/100</f>
        <v>1715.80039524688</v>
      </c>
      <c r="L15" s="0" t="n">
        <f aca="false">L13-MAX(0,L13)*L14/100</f>
        <v>1767.27440710429</v>
      </c>
    </row>
    <row r="16" customFormat="false" ht="15" hidden="false" customHeight="false" outlineLevel="0" collapsed="false">
      <c r="A16" s="0" t="s">
        <v>120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-310.1175</v>
      </c>
      <c r="D17" s="4" t="n">
        <f aca="false">-D6*Assumptions!D46/100</f>
        <v>-309.34220625</v>
      </c>
      <c r="E17" s="4" t="n">
        <f aca="false">-E6*Assumptions!E46/100</f>
        <v>-306.39609</v>
      </c>
      <c r="F17" s="4" t="n">
        <f aca="false">-F6*Assumptions!F46/100</f>
        <v>-318.6519336</v>
      </c>
      <c r="G17" s="4" t="n">
        <f aca="false">-G6*Assumptions!G46/100</f>
        <v>-329.804751276</v>
      </c>
      <c r="H17" s="4" t="n">
        <f aca="false">-H6*Assumptions!H46/100</f>
        <v>-341.34791757066</v>
      </c>
      <c r="I17" s="4" t="n">
        <f aca="false">-I6*Assumptions!I46/100</f>
        <v>-351.58835509778</v>
      </c>
      <c r="J17" s="4" t="n">
        <f aca="false">-J6*Assumptions!J46/100</f>
        <v>-362.136005750713</v>
      </c>
      <c r="K17" s="4" t="n">
        <f aca="false">-K6*Assumptions!K46/100</f>
        <v>-373.000085923235</v>
      </c>
      <c r="L17" s="4" t="n">
        <f aca="false">-L6*Assumptions!L46/100</f>
        <v>-384.190088500932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950.08725</v>
      </c>
      <c r="D19" s="0" t="n">
        <f aca="false">D15+D16+D17+D18</f>
        <v>1016.41010625</v>
      </c>
      <c r="E19" s="0" t="n">
        <f aca="false">E15+E16+E17+E18</f>
        <v>1081.5781977</v>
      </c>
      <c r="F19" s="0" t="n">
        <f aca="false">F15+F16+F17+F18</f>
        <v>1134.400883616</v>
      </c>
      <c r="G19" s="0" t="n">
        <f aca="false">G15+G16+G17+G18</f>
        <v>1187.2971045936</v>
      </c>
      <c r="H19" s="0" t="n">
        <f aca="false">H15+H16+H17+H18</f>
        <v>1228.85250325438</v>
      </c>
      <c r="I19" s="0" t="n">
        <f aca="false">I15+I16+I17+I18</f>
        <v>1265.71807835201</v>
      </c>
      <c r="J19" s="0" t="n">
        <f aca="false">J15+J16+J17+J18</f>
        <v>1303.68962070257</v>
      </c>
      <c r="K19" s="0" t="n">
        <f aca="false">K15+K16+K17+K18</f>
        <v>1342.80030932364</v>
      </c>
      <c r="L19" s="0" t="n">
        <f aca="false">L15+L16+L17+L18</f>
        <v>1383.08431860335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875.656451612903</v>
      </c>
      <c r="D21" s="0" t="n">
        <f aca="false">D19*D20</f>
        <v>863.39493830831</v>
      </c>
      <c r="E21" s="0" t="n">
        <f aca="false">E19*E20</f>
        <v>846.776330065442</v>
      </c>
      <c r="F21" s="0" t="n">
        <f aca="false">F19*F20</f>
        <v>818.554505668149</v>
      </c>
      <c r="G21" s="0" t="n">
        <f aca="false">G19*G20</f>
        <v>789.606505493586</v>
      </c>
      <c r="H21" s="0" t="n">
        <f aca="false">H19*H20</f>
        <v>753.219108927061</v>
      </c>
      <c r="I21" s="0" t="n">
        <f aca="false">I19*I20</f>
        <v>715.037495110482</v>
      </c>
      <c r="J21" s="0" t="n">
        <f aca="false">J19*J20</f>
        <v>678.791354805342</v>
      </c>
      <c r="K21" s="0" t="n">
        <f aca="false">K19*K20</f>
        <v>644.382576451154</v>
      </c>
      <c r="L21" s="0" t="n">
        <f aca="false">L19*L20</f>
        <v>611.718021884506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7597.13728832694</v>
      </c>
    </row>
    <row r="31" customFormat="false" ht="15" hidden="false" customHeight="false" outlineLevel="0" collapsed="false">
      <c r="A31" s="0" t="s">
        <v>129</v>
      </c>
      <c r="B31" s="0" t="n">
        <f aca="false">L19</f>
        <v>1383.08431860335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25901.3972392992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24895.5177348604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24895.5177348604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11010.9243939211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18608.061682248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18608.061682248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3.56271523688456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0.0619121421414479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3.56271523688456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11871.4737346788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1.65346951866708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1.88466186188396</v>
      </c>
      <c r="C4" s="0" t="n">
        <f aca="false">B4/Assumptions!$B$2-1</f>
        <v>-0.438252798246213</v>
      </c>
      <c r="D4" s="4" t="n">
        <f aca="false">Assumptions!$B$24</f>
        <v>0.25</v>
      </c>
      <c r="E4" s="4" t="n">
        <f aca="false">DCF_Bear!$B$43</f>
        <v>1.88466186188396</v>
      </c>
      <c r="F4" s="4" t="n">
        <f aca="false">DCF_Bear!$B$47</f>
        <v>1.05510162303312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2.81658853612025</v>
      </c>
      <c r="C5" s="0" t="n">
        <f aca="false">B5/Assumptions!$B$2-1</f>
        <v>-0.160480317102758</v>
      </c>
      <c r="D5" s="4" t="n">
        <f aca="false">Assumptions!$B$38</f>
        <v>0.5</v>
      </c>
      <c r="E5" s="4" t="n">
        <f aca="false">DCF_Base!$B$43</f>
        <v>2.81658853612025</v>
      </c>
      <c r="F5" s="4" t="n">
        <f aca="false">DCF_Base!$B$47</f>
        <v>1.39956479505953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3.56271523688456</v>
      </c>
      <c r="C6" s="0" t="n">
        <f aca="false">B6/Assumptions!$B$2-1</f>
        <v>0.0619121421414479</v>
      </c>
      <c r="D6" s="4" t="n">
        <f aca="false">Assumptions!$B$52</f>
        <v>0.25</v>
      </c>
      <c r="E6" s="4" t="n">
        <f aca="false">DCF_Bull!$B$43</f>
        <v>3.56271523688456</v>
      </c>
      <c r="F6" s="4" t="n">
        <f aca="false">DCF_Bull!$B$47</f>
        <v>1.65346951866708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2.77013854275225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2.77013854275225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-0.211130760509423</v>
      </c>
    </row>
    <row r="11" customFormat="false" ht="15" hidden="false" customHeight="false" outlineLevel="0" collapsed="false">
      <c r="A11" s="0" t="s">
        <v>156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1.37692518295481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2.81658853612025</v>
      </c>
      <c r="C15" s="3" t="n">
        <v>8.5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2.69651603801891</v>
      </c>
      <c r="C16" s="3" t="n">
        <v>9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2.33619385693085</v>
      </c>
      <c r="C17" s="3" t="n">
        <v>10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2.06067499767116</v>
      </c>
      <c r="C18" s="3" t="n">
        <v>11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1.84317864004142</v>
      </c>
      <c r="C19" s="3" t="n">
        <v>12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1.39956479505953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3.26058934758109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3.26058934758109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3.26058934758109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3.26058934758109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3.26058934758109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3.02820450514154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3.02820450514154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3.02820450514154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3.02820450514154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3.02820450514154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2.67100898803603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2.78672606471836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2.81658853612025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2.81658853612025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2.81658853612025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2.33034534361824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2.41114288972076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2.50348294240936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2.61002915705006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2.6236515041274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2.06573830774405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2.12413046989749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2.18982165232011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2.26427165906576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2.34935738106077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2026-09-25T04:37:38Z</dcterms:created>
  <dc:creator>openpyxl</dc:creator>
  <dc:description/>
  <dc:language>en-NZ</dc:language>
  <cp:lastModifiedBy/>
  <dcterms:modified xsi:type="dcterms:W3CDTF">2026-09-25T04:37:38Z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