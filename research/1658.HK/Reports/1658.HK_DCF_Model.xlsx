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<sst xmlns="http://schemas.openxmlformats.org/spreadsheetml/2006/main" count="370" uniqueCount="180">
  <si>
    <t xml:space="preserve">Ticker</t>
  </si>
  <si>
    <t xml:space="preserve">1658.HK</t>
  </si>
  <si>
    <t xml:space="preserve">Company</t>
  </si>
  <si>
    <t xml:space="preserve">Postal Savings Bank of China Co., Ltd. (PSBC)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</si>
  <si>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</si>
  <si>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</si>
  <si>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</si>
  <si>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</si>
  <si>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HKEX regular close</t>
  </si>
  <si>
    <t xml:space="preserve">Balance sheet date</t>
  </si>
  <si>
    <t xml:space="preserve">2026-06-30</t>
  </si>
  <si>
    <t xml:space="preserve">Model</t>
  </si>
  <si>
    <t xml:space="preserve">Bank FCFE at cost of equity on CET1 retention, net debt zero (engine route)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</si>
  <si>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</si>
  <si>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</si>
  <si>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</si>
  <si>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</si>
  <si>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</si>
  <si>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</si>
  <si>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</si>
  <si>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</si>
  <si>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</si>
  <si>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2026-10-16T14:37:39Z</t>
  </si>
  <si>
    <t xml:space="preserve">Drivers file</t>
  </si>
  <si>
    <t xml:space="preserve">1658.HK_Drivers.json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</si>
  <si>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</si>
  <si>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</si>
  <si>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</si>
  <si>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deposit-rich, state-backed retail bank earning ~7-8% on ordinary equity against a 9.5% CNY cost of equity, with balance-sheet growth that consumes more capital than it generates. Value = PV of FCFE (profit less CET1 retention) at the cost of equity, less perpetual bonds at par, converted CNY -&gt; HKD. At 0.54x H1-2026 book (RMB8.71/share) the H-share already prices ROE below CoE; what it does not price is that the ~4.6% dividend yield is being paid out of capital rather than free cash flow while RWA grows 8-12%. The required-return table shows what rate the market is applying -- roughly a 7% dividend-yield lens -- against the house 9.5%.
key_risks_to_valuation: RWA growth path: every 1pp of sustained RWA growth at a 10% CET1 target costs ~RMB10bn/yr of FCFE (~RMB1.2/share of value over the horizon); the single swing variable, as on 0998.HK; CET1 target: holding 10.25% instead of 9.75% is ~RMB50bn of retained capital over the horizon; NIM: each 10bp on RMB17tn of interest-earning assets is ~RMB17bn of revenue (~4.5% of operating income); Deposit agency fee (~RMB112bn/yr, ~30% of operating income): renegotiated downward in Q1-2026; a reversal or a politically-set rate swings the PBT margin by several points either way; Perpetual bonds deducted at par (RMB150bn, RMB1.25/share CNY): capitalising their ~RMB7bn coupons at the cost of equity instead would add ~RMB0.8/share; Cost of equity: the price implies ~7% on the dividend; each 1pp on the 9.5% rate moves the base IV by roughly 15-20%; A/H premium of ~17%: the H-share can re-rate on southbound flows independent of fundamentals</t>
  </si>
  <si>
    <t xml:space="preserve">Data sources</t>
  </si>
  <si>
    <t xml:space="preserve">price: Yahoo Finance chart API for 1658.HK at inputs.price_as_of (HKEX regular close); 52-week range 4.48-5.78 HKD. A-share 601658.SS from the same API for the A/H note.
fx: Yahoo HKDCNY=X at 2026-10-16T14:30Z, inverted to CNY -&gt; HKD.
financials: 1658.HK_Metrics.csv (core_metrics export: FY2018-FY2025 annual, quarterlies and half-years to H1-2026, bank KPIs); H1-2026 interim report for RWA, net CET1 capital, perpetual bonds, allowance coverage, deposit agency fee; FY2025 annual report for RWA history, perpetual-bond distributions (line 17053), tax paid, dividends.
qualitative: 1658.HK_Analysis.json (2026-10-17).</t>
  </si>
  <si>
    <t xml:space="preserve">Scenario narrative: bear</t>
  </si>
  <si>
    <t xml:space="preserve">PBOC easing continues and NIM reaches 1.3-1.4%; with coverage already halved, a property/SME/policy-loan NPL cycle must be provisioned from P&amp;L and the agency-fee rate reverts, taking the PBT margin to 23%. Policy-directed RWA growth continues at 11%/8%/7% while the regulator insists the 10.25% CET1 buffer is held, so retention exceeds profit in 2027-28: FCFE turns negative and the gap is met by another dilutive placement or a dividend cut. After the RMB150bn perpetual claim, ordinary equity is worth little -- this scenario sits at or below the zero floor and says so.</t>
  </si>
  <si>
    <t xml:space="preserve">Scenario narrative: base</t>
  </si>
  <si>
    <t xml:space="preserve">PSBC keeps growing its balance sheet at high-single digits for two more years (RWA +12% in 2026, +8% in 2027) under the 'five priorities' policy mandate, while NIM drifts from 1.63% toward ~1.5% and revenue grows ~4% on volume and fees. The Q1-2026 agency-fee cut and cost-to-income gains hold the PBT margin near 26%. Capital retained to hold CET1 at 10.0% absorbs most of the profit until RWA growth decelerates to 3.5% in the 2030s; the ~RMB32bn dividend is therefore partly funded by letting the MOF buffer drift, exactly as H1-2026 showed (10.53% -&gt; 10.04%). Ordinary holders rank behind RMB150bn of perpetuals. The result is an ROE of ~7-8% against a 9.5% cost of equity: the bank is worth less than book.</t>
  </si>
  <si>
    <t xml:space="preserve">Scenario narrative: bull</t>
  </si>
  <si>
    <t xml:space="preserve">NIM stabilises in 2027 as deposit repricing catches up, fee income keeps compounding double digits, and the agency-fee renegotiation with China Post sticks, lifting the PBT margin to 28.5%. Management lets CET1 settle at 9.75% and RWA growth converges to revenue growth sooner, so payout capacity recovers to ~60% of profit and the dividend becomes earnings-covered. Terminal multiple capped at 16x FCFE.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</si>
  <si>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</si>
  <si>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</si>
  <si>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</si>
  <si>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</si>
  <si>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</si>
  <si>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</si>
  <si>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</si>
  <si>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</si>
  <si>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</si>
  <si>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</si>
  <si>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</si>
  <si>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</si>
  <si>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</si>
  <si>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</si>
  <si>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</si>
  <si>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</si>
  <si>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</si>
  <si>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</si>
  <si>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</si>
  <si>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</si>
  <si>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</si>
  <si>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</si>
  <si>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</si>
  <si>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</si>
  <si>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</si>
  <si>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</si>
  <si>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</si>
  <si>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AllowanceCoverageRatio</t>
  </si>
  <si>
    <t xml:space="preserve">CET1Ratio</t>
  </si>
  <si>
    <t xml:space="preserve">CostToIncomeRatio</t>
  </si>
  <si>
    <t xml:space="preserve">CreditImpairmentCharge</t>
  </si>
  <si>
    <t xml:space="preserve">NIM</t>
  </si>
  <si>
    <t xml:space="preserve">NPLRatio</t>
  </si>
  <si>
    <t xml:space="preserve">NetFeeAndCommissionIncome</t>
  </si>
  <si>
    <t xml:space="preserve">NetIncomeInclNCI</t>
  </si>
  <si>
    <t xml:space="preserve">NetInterestIncome</t>
  </si>
  <si>
    <t xml:space="preserve">OperatingExpenses</t>
  </si>
  <si>
    <t xml:space="preserve">OrdinaryShareholdersEquity</t>
  </si>
  <si>
    <t xml:space="preserve">OtherEquityInstruments</t>
  </si>
  <si>
    <t xml:space="preserve">ROAA</t>
  </si>
  <si>
    <t xml:space="preserve">ROE</t>
  </si>
  <si>
    <t xml:space="preserve">TotalCapitalRatio</t>
  </si>
  <si>
    <t xml:space="preserve">TotalEquityInclNCI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</si>
  <si>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</si>
  <si>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</si>
  <si>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</si>
  <si>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</si>
  <si>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</si>
  <si>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</si>
  <si>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</si>
  <si>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</si>
  <si>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</si>
  <si>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</si>
  <si>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</si>
  <si>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</si>
  <si>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</si>
  <si>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</si>
  <si>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</si>
  <si>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</si>
  <si>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</si>
  <si>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</si>
  <si>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</si>
  <si>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</si>
  <si>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</si>
  <si>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</si>
  <si>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</si>
  <si>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</si>
  <si>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</si>
  <si>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</si>
  <si>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</si>
  <si>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</si>
  <si>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</si>
  <si>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</si>
  <si>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</si>
  <si>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</si>
  <si>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</si>
  <si>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</si>
  <si>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</si>
  <si>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</si>
  <si>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</si>
  <si>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</si>
  <si>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</si>
  <si>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</si>
  <si>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</si>
  <si>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</si>
  <si>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</si>
  <si>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</si>
  <si>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</si>
  <si>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1658.HK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</si>
  <si>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</si>
  <si>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</si>
  <si>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</si>
  <si>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</si>
  <si>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</si>
  <si>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</si>
  <si>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</si>
  <si>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</si>
  <si>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</si>
  <si>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</si>
  <si>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</si>
  <si>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</si>
  <si>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</si>
  <si>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</si>
  <si>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</si>
  <si>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</si>
  <si>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</si>
  <si>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</si>
  <si>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</si>
  <si>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</si>
  <si>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</si>
  <si>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</si>
  <si>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</si>
  <si>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</si>
  <si>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</si>
  <si>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</si>
  <si>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</si>
  <si>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</si>
  <si>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</si>
  <si>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</si>
  <si>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1658.HK owner-FCF component DCF: base case (millions, CNY)</t>
  </si>
  <si>
    <t xml:space="preserve">1658.HK owner-FCF component DCF: bull case (millions, CNY)</t>
  </si>
  <si>
    <t xml:space="preserve">1658.HK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</si>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</sst>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5.515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  <c r="AK1" s="2" t="s">
        <v>72</v>
      </c>
      <c r="AL1" s="2" t="s">
        <v>73</v>
      </c>
      <c r="AM1" s="2" t="s">
        <v>74</v>
      </c>
      <c r="AN1" s="2" t="s">
        <v>75</v>
      </c>
      <c r="AO1" s="2" t="s">
        <v>76</v>
      </c>
      <c r="AP1" s="2" t="s">
        <v>77</v>
      </c>
      <c r="AQ1" s="2" t="s">
        <v>78</v>
      </c>
      <c r="AR1" s="2" t="s">
        <v>79</v>
      </c>
    </row>
    <row r="2" customFormat="false" ht="15" hidden="false" customHeight="false" outlineLevel="0" collapsed="false">
      <c r="A2" s="0" t="s">
        <v>80</v>
      </c>
      <c r="B2" s="0" t="n">
        <v>261245</v>
      </c>
      <c r="F2" s="0" t="n">
        <v>53487</v>
      </c>
      <c r="G2" s="0" t="n">
        <v>20.5</v>
      </c>
      <c r="I2" s="0" t="n">
        <v>52311</v>
      </c>
      <c r="J2" s="0" t="n">
        <v>20</v>
      </c>
      <c r="K2" s="0" t="n">
        <v>0.62</v>
      </c>
      <c r="O2" s="0" t="n">
        <v>474404</v>
      </c>
      <c r="P2" s="0" t="n">
        <v>9516211</v>
      </c>
      <c r="Q2" s="0" t="n">
        <v>9040898</v>
      </c>
      <c r="S2" s="0" t="n">
        <v>1202935</v>
      </c>
      <c r="T2" s="0" t="n">
        <v>81031</v>
      </c>
      <c r="AA2" s="0" t="s">
        <v>18</v>
      </c>
      <c r="AB2" s="0" t="s">
        <v>14</v>
      </c>
      <c r="AC2" s="0" t="n">
        <v>346.8</v>
      </c>
      <c r="AD2" s="0" t="n">
        <v>9.77</v>
      </c>
      <c r="AF2" s="0" t="n">
        <v>55414</v>
      </c>
      <c r="AG2" s="0" t="n">
        <v>2.69</v>
      </c>
      <c r="AH2" s="0" t="n">
        <v>0.86</v>
      </c>
      <c r="AI2" s="0" t="n">
        <v>14434</v>
      </c>
      <c r="AJ2" s="0" t="n">
        <v>52384</v>
      </c>
      <c r="AK2" s="0" t="n">
        <v>234122</v>
      </c>
      <c r="AL2" s="0" t="n">
        <v>152324</v>
      </c>
      <c r="AM2" s="0" t="n">
        <v>426535</v>
      </c>
      <c r="AN2" s="0" t="n">
        <v>47869</v>
      </c>
      <c r="AO2" s="0" t="n">
        <v>0.57</v>
      </c>
      <c r="AQ2" s="0" t="n">
        <v>13.76</v>
      </c>
      <c r="AR2" s="0" t="n">
        <v>475313</v>
      </c>
    </row>
    <row r="3" customFormat="false" ht="15" hidden="false" customHeight="false" outlineLevel="0" collapsed="false">
      <c r="A3" s="0" t="s">
        <v>81</v>
      </c>
      <c r="B3" s="0" t="n">
        <v>277116</v>
      </c>
      <c r="F3" s="0" t="n">
        <v>63745</v>
      </c>
      <c r="G3" s="0" t="n">
        <v>23</v>
      </c>
      <c r="I3" s="0" t="n">
        <v>60933</v>
      </c>
      <c r="J3" s="0" t="n">
        <v>22</v>
      </c>
      <c r="K3" s="0" t="n">
        <v>0.72</v>
      </c>
      <c r="O3" s="0" t="n">
        <v>543867</v>
      </c>
      <c r="P3" s="0" t="n">
        <v>10216706</v>
      </c>
      <c r="Q3" s="0" t="n">
        <v>9671827</v>
      </c>
      <c r="S3" s="0" t="n">
        <v>1154843</v>
      </c>
      <c r="T3" s="0" t="n">
        <v>86203</v>
      </c>
      <c r="AA3" s="0" t="s">
        <v>18</v>
      </c>
      <c r="AB3" s="0" t="s">
        <v>14</v>
      </c>
      <c r="AC3" s="0" t="n">
        <v>389.45</v>
      </c>
      <c r="AD3" s="0" t="n">
        <v>9.9</v>
      </c>
      <c r="AF3" s="0" t="n">
        <v>55384</v>
      </c>
      <c r="AG3" s="0" t="n">
        <v>2.53</v>
      </c>
      <c r="AH3" s="0" t="n">
        <v>0.86</v>
      </c>
      <c r="AI3" s="0" t="n">
        <v>17085</v>
      </c>
      <c r="AJ3" s="0" t="n">
        <v>61036</v>
      </c>
      <c r="AK3" s="0" t="n">
        <v>242686</v>
      </c>
      <c r="AL3" s="0" t="n">
        <v>157976</v>
      </c>
      <c r="AM3" s="0" t="n">
        <v>495998</v>
      </c>
      <c r="AN3" s="0" t="n">
        <v>47869</v>
      </c>
      <c r="AO3" s="0" t="n">
        <v>0.62</v>
      </c>
      <c r="AQ3" s="0" t="n">
        <v>13.52</v>
      </c>
      <c r="AR3" s="0" t="n">
        <v>544879</v>
      </c>
    </row>
    <row r="4" customFormat="false" ht="15" hidden="false" customHeight="false" outlineLevel="0" collapsed="false">
      <c r="A4" s="0" t="s">
        <v>82</v>
      </c>
      <c r="B4" s="0" t="n">
        <v>286537</v>
      </c>
      <c r="F4" s="0" t="n">
        <v>68136</v>
      </c>
      <c r="G4" s="0" t="n">
        <v>23.8</v>
      </c>
      <c r="I4" s="0" t="n">
        <v>64199</v>
      </c>
      <c r="J4" s="0" t="n">
        <v>22.4</v>
      </c>
      <c r="K4" s="0" t="n">
        <v>0.71</v>
      </c>
      <c r="O4" s="0" t="n">
        <v>671799</v>
      </c>
      <c r="P4" s="0" t="n">
        <v>11353263</v>
      </c>
      <c r="Q4" s="0" t="n">
        <v>10680333</v>
      </c>
      <c r="S4" s="0" t="n">
        <v>1219862</v>
      </c>
      <c r="T4" s="0" t="n">
        <v>86979</v>
      </c>
      <c r="AA4" s="0" t="s">
        <v>18</v>
      </c>
      <c r="AB4" s="0" t="s">
        <v>14</v>
      </c>
      <c r="AC4" s="0" t="n">
        <v>408.06</v>
      </c>
      <c r="AD4" s="0" t="n">
        <v>9.6</v>
      </c>
      <c r="AF4" s="0" t="n">
        <v>50398</v>
      </c>
      <c r="AG4" s="0" t="n">
        <v>2.42</v>
      </c>
      <c r="AH4" s="0" t="n">
        <v>0.88</v>
      </c>
      <c r="AI4" s="0" t="n">
        <v>16495</v>
      </c>
      <c r="AJ4" s="0" t="n">
        <v>64318</v>
      </c>
      <c r="AK4" s="0" t="n">
        <v>253378</v>
      </c>
      <c r="AL4" s="0" t="n">
        <v>167984</v>
      </c>
      <c r="AM4" s="0" t="n">
        <v>543941</v>
      </c>
      <c r="AN4" s="0" t="n">
        <v>127858</v>
      </c>
      <c r="AO4" s="0" t="n">
        <v>0.6</v>
      </c>
      <c r="AQ4" s="0" t="n">
        <v>13.88</v>
      </c>
      <c r="AR4" s="0" t="n">
        <v>672930</v>
      </c>
    </row>
    <row r="5" customFormat="false" ht="15" hidden="false" customHeight="false" outlineLevel="0" collapsed="false">
      <c r="A5" s="0" t="s">
        <v>83</v>
      </c>
      <c r="B5" s="0" t="n">
        <v>319107</v>
      </c>
      <c r="F5" s="0" t="n">
        <v>81454</v>
      </c>
      <c r="G5" s="0" t="n">
        <v>25.5</v>
      </c>
      <c r="I5" s="0" t="n">
        <v>76170</v>
      </c>
      <c r="J5" s="0" t="n">
        <v>23.9</v>
      </c>
      <c r="K5" s="0" t="n">
        <v>0.78</v>
      </c>
      <c r="L5" s="0" t="n">
        <v>126900</v>
      </c>
      <c r="O5" s="0" t="n">
        <v>794091</v>
      </c>
      <c r="P5" s="0" t="n">
        <v>12587873</v>
      </c>
      <c r="Q5" s="0" t="n">
        <v>11792324</v>
      </c>
      <c r="S5" s="0" t="n">
        <v>1189458</v>
      </c>
      <c r="T5" s="0" t="n">
        <v>92384</v>
      </c>
      <c r="AA5" s="0" t="s">
        <v>18</v>
      </c>
      <c r="AB5" s="0" t="s">
        <v>14</v>
      </c>
      <c r="AC5" s="0" t="n">
        <v>418.61</v>
      </c>
      <c r="AD5" s="0" t="n">
        <v>9.92</v>
      </c>
      <c r="AE5" s="0" t="n">
        <v>59.08</v>
      </c>
      <c r="AF5" s="0" t="n">
        <v>46638</v>
      </c>
      <c r="AG5" s="0" t="n">
        <v>2.36</v>
      </c>
      <c r="AH5" s="0" t="n">
        <v>0.82</v>
      </c>
      <c r="AI5" s="0" t="n">
        <v>22007</v>
      </c>
      <c r="AJ5" s="0" t="n">
        <v>76532</v>
      </c>
      <c r="AK5" s="0" t="n">
        <v>269382</v>
      </c>
      <c r="AL5" s="0" t="n">
        <v>190995</v>
      </c>
      <c r="AM5" s="0" t="n">
        <v>636236</v>
      </c>
      <c r="AN5" s="0" t="n">
        <v>157855</v>
      </c>
      <c r="AO5" s="0" t="n">
        <v>0.64</v>
      </c>
      <c r="AP5" s="0" t="n">
        <v>11.86</v>
      </c>
      <c r="AQ5" s="0" t="n">
        <v>14.78</v>
      </c>
      <c r="AR5" s="0" t="n">
        <v>795549</v>
      </c>
    </row>
    <row r="6" customFormat="false" ht="15" hidden="false" customHeight="false" outlineLevel="0" collapsed="false">
      <c r="A6" s="0" t="s">
        <v>84</v>
      </c>
      <c r="B6" s="0" t="n">
        <v>335391</v>
      </c>
      <c r="F6" s="0" t="n">
        <v>91364</v>
      </c>
      <c r="G6" s="0" t="n">
        <v>27.2</v>
      </c>
      <c r="I6" s="0" t="n">
        <v>85224</v>
      </c>
      <c r="J6" s="0" t="n">
        <v>25.4</v>
      </c>
      <c r="K6" s="0" t="n">
        <v>0.85</v>
      </c>
      <c r="L6" s="0" t="n">
        <v>487578</v>
      </c>
      <c r="O6" s="0" t="n">
        <v>824225</v>
      </c>
      <c r="P6" s="0" t="n">
        <v>14067282</v>
      </c>
      <c r="Q6" s="0" t="n">
        <v>13241468</v>
      </c>
      <c r="S6" s="0" t="n">
        <v>1263951</v>
      </c>
      <c r="T6" s="0" t="n">
        <v>92384</v>
      </c>
      <c r="AA6" s="0" t="s">
        <v>18</v>
      </c>
      <c r="AB6" s="0" t="s">
        <v>14</v>
      </c>
      <c r="AC6" s="0" t="n">
        <v>385.51</v>
      </c>
      <c r="AD6" s="0" t="n">
        <v>9.36</v>
      </c>
      <c r="AE6" s="0" t="n">
        <v>61.44</v>
      </c>
      <c r="AF6" s="0" t="n">
        <v>35328</v>
      </c>
      <c r="AG6" s="0" t="n">
        <v>2.2</v>
      </c>
      <c r="AH6" s="0" t="n">
        <v>0.84</v>
      </c>
      <c r="AI6" s="0" t="n">
        <v>28434</v>
      </c>
      <c r="AJ6" s="0" t="n">
        <v>85355</v>
      </c>
      <c r="AK6" s="0" t="n">
        <v>273593</v>
      </c>
      <c r="AL6" s="0" t="n">
        <v>208680</v>
      </c>
      <c r="AM6" s="0" t="n">
        <v>684239</v>
      </c>
      <c r="AN6" s="0" t="n">
        <v>139986</v>
      </c>
      <c r="AO6" s="0" t="n">
        <v>0.64</v>
      </c>
      <c r="AP6" s="0" t="n">
        <v>11.89</v>
      </c>
      <c r="AQ6" s="0" t="n">
        <v>13.82</v>
      </c>
      <c r="AR6" s="0" t="n">
        <v>825814</v>
      </c>
    </row>
    <row r="7" customFormat="false" ht="15" hidden="false" customHeight="false" outlineLevel="0" collapsed="false">
      <c r="A7" s="0" t="s">
        <v>85</v>
      </c>
      <c r="B7" s="0" t="n">
        <v>342912</v>
      </c>
      <c r="F7" s="0" t="n">
        <v>91599</v>
      </c>
      <c r="G7" s="0" t="n">
        <v>26.7</v>
      </c>
      <c r="I7" s="0" t="n">
        <v>86270</v>
      </c>
      <c r="J7" s="0" t="n">
        <v>25.2</v>
      </c>
      <c r="K7" s="0" t="n">
        <v>0.83</v>
      </c>
      <c r="L7" s="0" t="n">
        <v>275796</v>
      </c>
      <c r="O7" s="0" t="n">
        <v>954873</v>
      </c>
      <c r="P7" s="0" t="n">
        <v>15726631</v>
      </c>
      <c r="Q7" s="0" t="n">
        <v>14770015</v>
      </c>
      <c r="S7" s="0" t="n">
        <v>1337501</v>
      </c>
      <c r="T7" s="0" t="n">
        <v>99161</v>
      </c>
      <c r="AA7" s="0" t="s">
        <v>18</v>
      </c>
      <c r="AB7" s="0" t="s">
        <v>14</v>
      </c>
      <c r="AC7" s="0" t="n">
        <v>347.57</v>
      </c>
      <c r="AD7" s="0" t="n">
        <v>9.53</v>
      </c>
      <c r="AE7" s="0" t="n">
        <v>64.87</v>
      </c>
      <c r="AF7" s="0" t="n">
        <v>26167</v>
      </c>
      <c r="AG7" s="0" t="n">
        <v>2.01</v>
      </c>
      <c r="AH7" s="0" t="n">
        <v>0.83</v>
      </c>
      <c r="AI7" s="0" t="n">
        <v>28252</v>
      </c>
      <c r="AJ7" s="0" t="n">
        <v>86424</v>
      </c>
      <c r="AK7" s="0" t="n">
        <v>281803</v>
      </c>
      <c r="AL7" s="0" t="n">
        <v>225142</v>
      </c>
      <c r="AM7" s="0" t="n">
        <v>784887</v>
      </c>
      <c r="AN7" s="0" t="n">
        <v>169986</v>
      </c>
      <c r="AO7" s="0" t="n">
        <v>0.58</v>
      </c>
      <c r="AP7" s="0" t="n">
        <v>10.85</v>
      </c>
      <c r="AQ7" s="0" t="n">
        <v>14.23</v>
      </c>
      <c r="AR7" s="0" t="n">
        <v>956616</v>
      </c>
    </row>
    <row r="8" customFormat="false" ht="15" hidden="false" customHeight="false" outlineLevel="0" collapsed="false">
      <c r="A8" s="0" t="s">
        <v>86</v>
      </c>
      <c r="B8" s="0" t="n">
        <v>349133</v>
      </c>
      <c r="F8" s="0" t="n">
        <v>94592</v>
      </c>
      <c r="G8" s="0" t="n">
        <v>27.1</v>
      </c>
      <c r="I8" s="0" t="n">
        <v>86479</v>
      </c>
      <c r="J8" s="0" t="n">
        <v>24.8</v>
      </c>
      <c r="K8" s="0" t="n">
        <v>0.81</v>
      </c>
      <c r="L8" s="0" t="n">
        <v>401069</v>
      </c>
      <c r="O8" s="0" t="n">
        <v>1029669</v>
      </c>
      <c r="P8" s="0" t="n">
        <v>17084910</v>
      </c>
      <c r="Q8" s="0" t="n">
        <v>16053261</v>
      </c>
      <c r="S8" s="0" t="n">
        <v>1314703</v>
      </c>
      <c r="T8" s="0" t="n">
        <v>99161</v>
      </c>
      <c r="AA8" s="0" t="s">
        <v>18</v>
      </c>
      <c r="AB8" s="0" t="s">
        <v>14</v>
      </c>
      <c r="AC8" s="0" t="n">
        <v>286.15</v>
      </c>
      <c r="AD8" s="0" t="n">
        <v>9.56</v>
      </c>
      <c r="AE8" s="0" t="n">
        <v>64.01</v>
      </c>
      <c r="AF8" s="0" t="n">
        <v>28423</v>
      </c>
      <c r="AG8" s="0" t="n">
        <v>1.87</v>
      </c>
      <c r="AH8" s="0" t="n">
        <v>0.9</v>
      </c>
      <c r="AI8" s="0" t="n">
        <v>25282</v>
      </c>
      <c r="AJ8" s="0" t="n">
        <v>86716</v>
      </c>
      <c r="AK8" s="0" t="n">
        <v>286123</v>
      </c>
      <c r="AL8" s="0" t="n">
        <v>226096</v>
      </c>
      <c r="AM8" s="0" t="n">
        <v>829683</v>
      </c>
      <c r="AN8" s="0" t="n">
        <v>199986</v>
      </c>
      <c r="AO8" s="0" t="n">
        <v>0.53</v>
      </c>
      <c r="AP8" s="0" t="n">
        <v>9.84</v>
      </c>
      <c r="AQ8" s="0" t="n">
        <v>14.44</v>
      </c>
      <c r="AR8" s="0" t="n">
        <v>1031649</v>
      </c>
    </row>
    <row r="9" customFormat="false" ht="15" hidden="false" customHeight="false" outlineLevel="0" collapsed="false">
      <c r="A9" s="0" t="s">
        <v>87</v>
      </c>
      <c r="B9" s="0" t="n">
        <v>355866</v>
      </c>
      <c r="F9" s="0" t="n">
        <v>98221</v>
      </c>
      <c r="G9" s="0" t="n">
        <v>27.6</v>
      </c>
      <c r="I9" s="0" t="n">
        <v>87404</v>
      </c>
      <c r="J9" s="0" t="n">
        <v>24.6</v>
      </c>
      <c r="K9" s="0" t="n">
        <v>0.73</v>
      </c>
      <c r="L9" s="0" t="n">
        <v>423949</v>
      </c>
      <c r="O9" s="0" t="n">
        <v>1160146</v>
      </c>
      <c r="P9" s="0" t="n">
        <v>18682067</v>
      </c>
      <c r="Q9" s="0" t="n">
        <v>17519722</v>
      </c>
      <c r="S9" s="0" t="n">
        <v>1319171</v>
      </c>
      <c r="T9" s="0" t="n">
        <v>120095</v>
      </c>
      <c r="AA9" s="0" t="s">
        <v>18</v>
      </c>
      <c r="AB9" s="0" t="s">
        <v>14</v>
      </c>
      <c r="AC9" s="0" t="n">
        <v>227.94</v>
      </c>
      <c r="AD9" s="0" t="n">
        <v>10.53</v>
      </c>
      <c r="AE9" s="0" t="n">
        <v>62.31</v>
      </c>
      <c r="AF9" s="0" t="n">
        <v>32922</v>
      </c>
      <c r="AG9" s="0" t="n">
        <v>1.66</v>
      </c>
      <c r="AH9" s="0" t="n">
        <v>0.95</v>
      </c>
      <c r="AI9" s="0" t="n">
        <v>29365</v>
      </c>
      <c r="AJ9" s="0" t="n">
        <v>87623</v>
      </c>
      <c r="AK9" s="0" t="n">
        <v>281620</v>
      </c>
      <c r="AL9" s="0" t="n">
        <v>224715</v>
      </c>
      <c r="AM9" s="0" t="n">
        <v>1010150</v>
      </c>
      <c r="AN9" s="0" t="n">
        <v>149996</v>
      </c>
      <c r="AO9" s="0" t="n">
        <v>0.49</v>
      </c>
      <c r="AP9" s="0" t="n">
        <v>8.67</v>
      </c>
      <c r="AQ9" s="0" t="n">
        <v>14.52</v>
      </c>
      <c r="AR9" s="0" t="n">
        <v>1162345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88</v>
      </c>
      <c r="B1" s="2" t="s">
        <v>89</v>
      </c>
    </row>
    <row r="2" customFormat="false" ht="15" hidden="false" customHeight="false" outlineLevel="0" collapsed="false">
      <c r="A2" s="0" t="s">
        <v>90</v>
      </c>
      <c r="B2" s="3" t="n">
        <v>5.515</v>
      </c>
    </row>
    <row r="3" customFormat="false" ht="15" hidden="false" customHeight="false" outlineLevel="0" collapsed="false">
      <c r="A3" s="0" t="s">
        <v>91</v>
      </c>
      <c r="B3" s="3" t="n">
        <v>120095</v>
      </c>
    </row>
    <row r="4" customFormat="false" ht="15" hidden="false" customHeight="false" outlineLevel="0" collapsed="false">
      <c r="A4" s="0" t="s">
        <v>92</v>
      </c>
      <c r="B4" s="3" t="n">
        <v>0</v>
      </c>
    </row>
    <row r="5" customFormat="false" ht="15" hidden="false" customHeight="false" outlineLevel="0" collapsed="false">
      <c r="A5" s="0" t="s">
        <v>93</v>
      </c>
      <c r="B5" s="3" t="n">
        <v>-150000</v>
      </c>
    </row>
    <row r="6" customFormat="false" ht="15" hidden="false" customHeight="false" outlineLevel="0" collapsed="false">
      <c r="A6" s="0" t="s">
        <v>94</v>
      </c>
      <c r="B6" s="3" t="n">
        <v>15</v>
      </c>
    </row>
    <row r="7" customFormat="false" ht="15" hidden="false" customHeight="false" outlineLevel="0" collapsed="false">
      <c r="A7" s="0" t="s">
        <v>95</v>
      </c>
      <c r="B7" s="3" t="n">
        <v>355866</v>
      </c>
    </row>
    <row r="8" customFormat="false" ht="15" hidden="false" customHeight="false" outlineLevel="0" collapsed="false">
      <c r="A8" s="0" t="s">
        <v>96</v>
      </c>
      <c r="B8" s="3" t="s">
        <v>87</v>
      </c>
    </row>
    <row r="9" customFormat="false" ht="15" hidden="false" customHeight="false" outlineLevel="0" collapsed="false">
      <c r="A9" s="0" t="s">
        <v>97</v>
      </c>
      <c r="B9" s="3" t="s">
        <v>98</v>
      </c>
    </row>
    <row r="10" customFormat="false" ht="15" hidden="false" customHeight="false" outlineLevel="0" collapsed="false">
      <c r="A10" s="0" t="s">
        <v>99</v>
      </c>
      <c r="B10" s="3" t="n">
        <v>1.1739</v>
      </c>
    </row>
    <row r="12" customFormat="false" ht="15" hidden="false" customHeight="false" outlineLevel="0" collapsed="false">
      <c r="A12" s="2" t="s">
        <v>100</v>
      </c>
      <c r="C12" s="2" t="s">
        <v>101</v>
      </c>
      <c r="D12" s="2" t="s">
        <v>102</v>
      </c>
      <c r="E12" s="2" t="s">
        <v>103</v>
      </c>
      <c r="F12" s="2" t="s">
        <v>104</v>
      </c>
      <c r="G12" s="2" t="s">
        <v>105</v>
      </c>
      <c r="H12" s="2" t="s">
        <v>106</v>
      </c>
      <c r="I12" s="2" t="s">
        <v>107</v>
      </c>
      <c r="J12" s="2" t="s">
        <v>108</v>
      </c>
      <c r="K12" s="2" t="s">
        <v>109</v>
      </c>
      <c r="L12" s="2" t="s">
        <v>110</v>
      </c>
    </row>
    <row r="13" customFormat="false" ht="15" hidden="false" customHeight="false" outlineLevel="0" collapsed="false">
      <c r="A13" s="0" t="s">
        <v>111</v>
      </c>
      <c r="C13" s="3" t="n">
        <v>4</v>
      </c>
      <c r="D13" s="3" t="n">
        <v>1.5</v>
      </c>
      <c r="E13" s="3" t="n">
        <v>1.5</v>
      </c>
      <c r="F13" s="3" t="n">
        <v>2</v>
      </c>
      <c r="G13" s="3" t="n">
        <v>2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112</v>
      </c>
      <c r="C14" s="3" t="n">
        <v>25.5</v>
      </c>
      <c r="D14" s="3" t="n">
        <v>24.5</v>
      </c>
      <c r="E14" s="3" t="n">
        <v>23.5</v>
      </c>
      <c r="F14" s="3" t="n">
        <v>23</v>
      </c>
      <c r="G14" s="3" t="n">
        <v>23</v>
      </c>
      <c r="H14" s="3" t="n">
        <v>23</v>
      </c>
      <c r="I14" s="3" t="n">
        <v>23</v>
      </c>
      <c r="J14" s="3" t="n">
        <v>23</v>
      </c>
      <c r="K14" s="3" t="n">
        <v>23</v>
      </c>
      <c r="L14" s="3" t="n">
        <v>23</v>
      </c>
    </row>
    <row r="15" customFormat="false" ht="15" hidden="false" customHeight="false" outlineLevel="0" collapsed="false">
      <c r="A15" s="0" t="s">
        <v>113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114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115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116</v>
      </c>
      <c r="C18" s="3" t="n">
        <v>21.95</v>
      </c>
      <c r="D18" s="3" t="n">
        <v>23.1</v>
      </c>
      <c r="E18" s="3" t="n">
        <v>21.51</v>
      </c>
      <c r="F18" s="3" t="n">
        <v>19.34</v>
      </c>
      <c r="G18" s="3" t="n">
        <v>16.75</v>
      </c>
      <c r="H18" s="3" t="n">
        <v>15.44</v>
      </c>
      <c r="I18" s="3" t="n">
        <v>13.99</v>
      </c>
      <c r="J18" s="3" t="n">
        <v>14.2</v>
      </c>
      <c r="K18" s="3" t="n">
        <v>14.41</v>
      </c>
      <c r="L18" s="3" t="n">
        <v>14.62</v>
      </c>
    </row>
    <row r="19" customFormat="false" ht="15" hidden="false" customHeight="false" outlineLevel="0" collapsed="false">
      <c r="A19" s="0" t="s">
        <v>117</v>
      </c>
      <c r="C19" s="3" t="n">
        <v>10.5</v>
      </c>
      <c r="D19" s="3" t="n">
        <v>10.5</v>
      </c>
      <c r="E19" s="3" t="n">
        <v>10.5</v>
      </c>
      <c r="F19" s="3" t="n">
        <v>10.5</v>
      </c>
      <c r="G19" s="3" t="n">
        <v>10.5</v>
      </c>
      <c r="H19" s="3" t="n">
        <v>10.5</v>
      </c>
      <c r="I19" s="3" t="n">
        <v>10.5</v>
      </c>
      <c r="J19" s="3" t="n">
        <v>10.5</v>
      </c>
      <c r="K19" s="3" t="n">
        <v>10.5</v>
      </c>
      <c r="L19" s="3" t="n">
        <v>10.5</v>
      </c>
    </row>
    <row r="20" customFormat="false" ht="15" hidden="false" customHeight="false" outlineLevel="0" collapsed="false">
      <c r="A20" s="0" t="s">
        <v>118</v>
      </c>
      <c r="B20" s="3" t="n">
        <v>9.5</v>
      </c>
    </row>
    <row r="21" customFormat="false" ht="15" hidden="false" customHeight="false" outlineLevel="0" collapsed="false">
      <c r="A21" s="0" t="s">
        <v>119</v>
      </c>
      <c r="B21" s="3" t="n">
        <v>2.5</v>
      </c>
    </row>
    <row r="22" customFormat="false" ht="15" hidden="false" customHeight="false" outlineLevel="0" collapsed="false">
      <c r="A22" s="0" t="s">
        <v>120</v>
      </c>
      <c r="B22" s="3" t="n">
        <v>15</v>
      </c>
    </row>
    <row r="23" customFormat="false" ht="15" hidden="false" customHeight="false" outlineLevel="0" collapsed="false">
      <c r="A23" s="0" t="s">
        <v>121</v>
      </c>
      <c r="B23" s="3" t="n">
        <v>0</v>
      </c>
    </row>
    <row r="24" customFormat="false" ht="15" hidden="false" customHeight="false" outlineLevel="0" collapsed="false">
      <c r="A24" s="0" t="s">
        <v>122</v>
      </c>
      <c r="B24" s="3" t="n">
        <v>0.3</v>
      </c>
    </row>
    <row r="26" customFormat="false" ht="15" hidden="false" customHeight="false" outlineLevel="0" collapsed="false">
      <c r="A26" s="2" t="s">
        <v>123</v>
      </c>
      <c r="C26" s="2" t="s">
        <v>101</v>
      </c>
      <c r="D26" s="2" t="s">
        <v>102</v>
      </c>
      <c r="E26" s="2" t="s">
        <v>103</v>
      </c>
      <c r="F26" s="2" t="s">
        <v>104</v>
      </c>
      <c r="G26" s="2" t="s">
        <v>105</v>
      </c>
      <c r="H26" s="2" t="s">
        <v>106</v>
      </c>
      <c r="I26" s="2" t="s">
        <v>107</v>
      </c>
      <c r="J26" s="2" t="s">
        <v>108</v>
      </c>
      <c r="K26" s="2" t="s">
        <v>109</v>
      </c>
      <c r="L26" s="2" t="s">
        <v>110</v>
      </c>
    </row>
    <row r="27" customFormat="false" ht="15" hidden="false" customHeight="false" outlineLevel="0" collapsed="false">
      <c r="A27" s="0" t="s">
        <v>111</v>
      </c>
      <c r="C27" s="3" t="n">
        <v>5.5</v>
      </c>
      <c r="D27" s="3" t="n">
        <v>4</v>
      </c>
      <c r="E27" s="3" t="n">
        <v>4</v>
      </c>
      <c r="F27" s="3" t="n">
        <v>4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112</v>
      </c>
      <c r="C28" s="3" t="n">
        <v>26.3</v>
      </c>
      <c r="D28" s="3" t="n">
        <v>26.3</v>
      </c>
      <c r="E28" s="3" t="n">
        <v>26</v>
      </c>
      <c r="F28" s="3" t="n">
        <v>26</v>
      </c>
      <c r="G28" s="3" t="n">
        <v>26</v>
      </c>
      <c r="H28" s="3" t="n">
        <v>26</v>
      </c>
      <c r="I28" s="3" t="n">
        <v>26</v>
      </c>
      <c r="J28" s="3" t="n">
        <v>26</v>
      </c>
      <c r="K28" s="3" t="n">
        <v>26</v>
      </c>
      <c r="L28" s="3" t="n">
        <v>26</v>
      </c>
    </row>
    <row r="29" customFormat="false" ht="15" hidden="false" customHeight="false" outlineLevel="0" collapsed="false">
      <c r="A29" s="0" t="s">
        <v>113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114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115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116</v>
      </c>
      <c r="C32" s="3" t="n">
        <v>17.13</v>
      </c>
      <c r="D32" s="3" t="n">
        <v>21.88</v>
      </c>
      <c r="E32" s="3" t="n">
        <v>19.88</v>
      </c>
      <c r="F32" s="3" t="n">
        <v>17.53</v>
      </c>
      <c r="G32" s="3" t="n">
        <v>16.38</v>
      </c>
      <c r="H32" s="3" t="n">
        <v>15.18</v>
      </c>
      <c r="I32" s="3" t="n">
        <v>13.86</v>
      </c>
      <c r="J32" s="3" t="n">
        <v>12.5</v>
      </c>
      <c r="K32" s="3" t="n">
        <v>11.04</v>
      </c>
      <c r="L32" s="3" t="n">
        <v>11.1</v>
      </c>
    </row>
    <row r="33" customFormat="false" ht="15" hidden="false" customHeight="false" outlineLevel="0" collapsed="false">
      <c r="A33" s="0" t="s">
        <v>117</v>
      </c>
      <c r="C33" s="3" t="n">
        <v>10.5</v>
      </c>
      <c r="D33" s="3" t="n">
        <v>10.5</v>
      </c>
      <c r="E33" s="3" t="n">
        <v>10.5</v>
      </c>
      <c r="F33" s="3" t="n">
        <v>10.5</v>
      </c>
      <c r="G33" s="3" t="n">
        <v>10.5</v>
      </c>
      <c r="H33" s="3" t="n">
        <v>10.5</v>
      </c>
      <c r="I33" s="3" t="n">
        <v>10.5</v>
      </c>
      <c r="J33" s="3" t="n">
        <v>10.5</v>
      </c>
      <c r="K33" s="3" t="n">
        <v>10.5</v>
      </c>
      <c r="L33" s="3" t="n">
        <v>10.5</v>
      </c>
    </row>
    <row r="34" customFormat="false" ht="15" hidden="false" customHeight="false" outlineLevel="0" collapsed="false">
      <c r="A34" s="0" t="s">
        <v>118</v>
      </c>
      <c r="B34" s="3" t="n">
        <v>9.5</v>
      </c>
    </row>
    <row r="35" customFormat="false" ht="15" hidden="false" customHeight="false" outlineLevel="0" collapsed="false">
      <c r="A35" s="0" t="s">
        <v>119</v>
      </c>
      <c r="B35" s="3" t="n">
        <v>3</v>
      </c>
    </row>
    <row r="36" customFormat="false" ht="15" hidden="false" customHeight="false" outlineLevel="0" collapsed="false">
      <c r="A36" s="0" t="s">
        <v>120</v>
      </c>
      <c r="B36" s="3" t="n">
        <v>16</v>
      </c>
    </row>
    <row r="37" customFormat="false" ht="15" hidden="false" customHeight="false" outlineLevel="0" collapsed="false">
      <c r="A37" s="0" t="s">
        <v>121</v>
      </c>
      <c r="B37" s="3" t="n">
        <v>0</v>
      </c>
    </row>
    <row r="38" customFormat="false" ht="15" hidden="false" customHeight="false" outlineLevel="0" collapsed="false">
      <c r="A38" s="0" t="s">
        <v>122</v>
      </c>
      <c r="B38" s="3" t="n">
        <v>0.5</v>
      </c>
    </row>
    <row r="40" customFormat="false" ht="15" hidden="false" customHeight="false" outlineLevel="0" collapsed="false">
      <c r="A40" s="2" t="s">
        <v>124</v>
      </c>
      <c r="C40" s="2" t="s">
        <v>101</v>
      </c>
      <c r="D40" s="2" t="s">
        <v>102</v>
      </c>
      <c r="E40" s="2" t="s">
        <v>103</v>
      </c>
      <c r="F40" s="2" t="s">
        <v>104</v>
      </c>
      <c r="G40" s="2" t="s">
        <v>105</v>
      </c>
      <c r="H40" s="2" t="s">
        <v>106</v>
      </c>
      <c r="I40" s="2" t="s">
        <v>107</v>
      </c>
      <c r="J40" s="2" t="s">
        <v>108</v>
      </c>
      <c r="K40" s="2" t="s">
        <v>109</v>
      </c>
      <c r="L40" s="2" t="s">
        <v>110</v>
      </c>
    </row>
    <row r="41" customFormat="false" ht="15" hidden="false" customHeight="false" outlineLevel="0" collapsed="false">
      <c r="A41" s="0" t="s">
        <v>111</v>
      </c>
      <c r="C41" s="3" t="n">
        <v>7</v>
      </c>
      <c r="D41" s="3" t="n">
        <v>5.5</v>
      </c>
      <c r="E41" s="3" t="n">
        <v>5</v>
      </c>
      <c r="F41" s="3" t="n">
        <v>5</v>
      </c>
      <c r="G41" s="3" t="n">
        <v>4.5</v>
      </c>
      <c r="H41" s="3" t="n">
        <v>4</v>
      </c>
      <c r="I41" s="3" t="n">
        <v>4</v>
      </c>
      <c r="J41" s="3" t="n">
        <v>3.5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112</v>
      </c>
      <c r="C42" s="3" t="n">
        <v>27</v>
      </c>
      <c r="D42" s="3" t="n">
        <v>27.5</v>
      </c>
      <c r="E42" s="3" t="n">
        <v>28</v>
      </c>
      <c r="F42" s="3" t="n">
        <v>28.5</v>
      </c>
      <c r="G42" s="3" t="n">
        <v>28.5</v>
      </c>
      <c r="H42" s="3" t="n">
        <v>28.5</v>
      </c>
      <c r="I42" s="3" t="n">
        <v>28.5</v>
      </c>
      <c r="J42" s="3" t="n">
        <v>28.5</v>
      </c>
      <c r="K42" s="3" t="n">
        <v>28.5</v>
      </c>
      <c r="L42" s="3" t="n">
        <v>28.5</v>
      </c>
    </row>
    <row r="43" customFormat="false" ht="15" hidden="false" customHeight="false" outlineLevel="0" collapsed="false">
      <c r="A43" s="0" t="s">
        <v>113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114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115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116</v>
      </c>
      <c r="C46" s="3" t="n">
        <v>7.44</v>
      </c>
      <c r="D46" s="3" t="n">
        <v>17.98</v>
      </c>
      <c r="E46" s="3" t="n">
        <v>15.7</v>
      </c>
      <c r="F46" s="3" t="n">
        <v>13.21</v>
      </c>
      <c r="G46" s="3" t="n">
        <v>11.95</v>
      </c>
      <c r="H46" s="3" t="n">
        <v>10.67</v>
      </c>
      <c r="I46" s="3" t="n">
        <v>10.67</v>
      </c>
      <c r="J46" s="3" t="n">
        <v>9.38</v>
      </c>
      <c r="K46" s="3" t="n">
        <v>9.38</v>
      </c>
      <c r="L46" s="3" t="n">
        <v>9.38</v>
      </c>
    </row>
    <row r="47" customFormat="false" ht="15" hidden="false" customHeight="false" outlineLevel="0" collapsed="false">
      <c r="A47" s="0" t="s">
        <v>117</v>
      </c>
      <c r="C47" s="3" t="n">
        <v>10.5</v>
      </c>
      <c r="D47" s="3" t="n">
        <v>10.5</v>
      </c>
      <c r="E47" s="3" t="n">
        <v>10.5</v>
      </c>
      <c r="F47" s="3" t="n">
        <v>10.5</v>
      </c>
      <c r="G47" s="3" t="n">
        <v>10.5</v>
      </c>
      <c r="H47" s="3" t="n">
        <v>10.5</v>
      </c>
      <c r="I47" s="3" t="n">
        <v>10.5</v>
      </c>
      <c r="J47" s="3" t="n">
        <v>10.5</v>
      </c>
      <c r="K47" s="3" t="n">
        <v>10.5</v>
      </c>
      <c r="L47" s="3" t="n">
        <v>10.5</v>
      </c>
    </row>
    <row r="48" customFormat="false" ht="15" hidden="false" customHeight="false" outlineLevel="0" collapsed="false">
      <c r="A48" s="0" t="s">
        <v>118</v>
      </c>
      <c r="B48" s="3" t="n">
        <v>9.5</v>
      </c>
    </row>
    <row r="49" customFormat="false" ht="15" hidden="false" customHeight="false" outlineLevel="0" collapsed="false">
      <c r="A49" s="0" t="s">
        <v>119</v>
      </c>
      <c r="B49" s="3" t="n">
        <v>3.5</v>
      </c>
    </row>
    <row r="50" customFormat="false" ht="15" hidden="false" customHeight="false" outlineLevel="0" collapsed="false">
      <c r="A50" s="0" t="s">
        <v>120</v>
      </c>
      <c r="B50" s="3" t="n">
        <v>16</v>
      </c>
    </row>
    <row r="51" customFormat="false" ht="15" hidden="false" customHeight="false" outlineLevel="0" collapsed="false">
      <c r="A51" s="0" t="s">
        <v>121</v>
      </c>
      <c r="B51" s="3" t="n">
        <v>0</v>
      </c>
    </row>
    <row r="52" customFormat="false" ht="15" hidden="false" customHeight="false" outlineLevel="0" collapsed="false">
      <c r="A52" s="0" t="s">
        <v>122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125</v>
      </c>
    </row>
    <row r="3" customFormat="false" ht="15" hidden="false" customHeight="false" outlineLevel="0" collapsed="false">
      <c r="A3" s="0" t="s">
        <v>126</v>
      </c>
      <c r="B3" s="0" t="s">
        <v>87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</row>
    <row r="4" customFormat="false" ht="15" hidden="false" customHeight="false" outlineLevel="0" collapsed="false">
      <c r="A4" s="0" t="s">
        <v>127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111</v>
      </c>
      <c r="C5" s="4" t="n">
        <f aca="false">Assumptions!C13</f>
        <v>4</v>
      </c>
      <c r="D5" s="4" t="n">
        <f aca="false">Assumptions!D13</f>
        <v>1.5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355866</v>
      </c>
      <c r="C6" s="0" t="n">
        <f aca="false">B6*(1+C5/100)</f>
        <v>370100.64</v>
      </c>
      <c r="D6" s="0" t="n">
        <f aca="false">C6*(1+D5/100)</f>
        <v>375652.1496</v>
      </c>
      <c r="E6" s="0" t="n">
        <f aca="false">D6*(1+E5/100)</f>
        <v>381286.931844</v>
      </c>
      <c r="F6" s="0" t="n">
        <f aca="false">E6*(1+F5/100)</f>
        <v>388912.67048088</v>
      </c>
      <c r="G6" s="0" t="n">
        <f aca="false">F6*(1+G5/100)</f>
        <v>396690.923890498</v>
      </c>
      <c r="H6" s="0" t="n">
        <f aca="false">G6*(1+H5/100)</f>
        <v>406608.19698776</v>
      </c>
      <c r="I6" s="0" t="n">
        <f aca="false">H6*(1+I5/100)</f>
        <v>416773.401912454</v>
      </c>
      <c r="J6" s="0" t="n">
        <f aca="false">I6*(1+J5/100)</f>
        <v>427192.736960265</v>
      </c>
      <c r="K6" s="0" t="n">
        <f aca="false">J6*(1+K5/100)</f>
        <v>437872.555384272</v>
      </c>
      <c r="L6" s="0" t="n">
        <f aca="false">K6*(1+L5/100)</f>
        <v>448819.369268879</v>
      </c>
    </row>
    <row r="7" customFormat="false" ht="15" hidden="false" customHeight="false" outlineLevel="0" collapsed="false">
      <c r="A7" s="0" t="s">
        <v>112</v>
      </c>
      <c r="C7" s="4" t="n">
        <f aca="false">Assumptions!C14</f>
        <v>25.5</v>
      </c>
      <c r="D7" s="4" t="n">
        <f aca="false">Assumptions!D14</f>
        <v>24.5</v>
      </c>
      <c r="E7" s="4" t="n">
        <f aca="false">Assumptions!E14</f>
        <v>23.5</v>
      </c>
      <c r="F7" s="4" t="n">
        <f aca="false">Assumptions!F14</f>
        <v>23</v>
      </c>
      <c r="G7" s="4" t="n">
        <f aca="false">Assumptions!G14</f>
        <v>23</v>
      </c>
      <c r="H7" s="4" t="n">
        <f aca="false">Assumptions!H14</f>
        <v>23</v>
      </c>
      <c r="I7" s="4" t="n">
        <f aca="false">Assumptions!I14</f>
        <v>23</v>
      </c>
      <c r="J7" s="4" t="n">
        <f aca="false">Assumptions!J14</f>
        <v>23</v>
      </c>
      <c r="K7" s="4" t="n">
        <f aca="false">Assumptions!K14</f>
        <v>23</v>
      </c>
      <c r="L7" s="4" t="n">
        <f aca="false">Assumptions!L14</f>
        <v>23</v>
      </c>
    </row>
    <row r="8" customFormat="false" ht="15" hidden="false" customHeight="false" outlineLevel="0" collapsed="false">
      <c r="A8" s="0" t="s">
        <v>44</v>
      </c>
      <c r="C8" s="0" t="n">
        <f aca="false">C6*C7/100</f>
        <v>94375.6632</v>
      </c>
      <c r="D8" s="0" t="n">
        <f aca="false">D6*D7/100</f>
        <v>92034.776652</v>
      </c>
      <c r="E8" s="0" t="n">
        <f aca="false">E6*E7/100</f>
        <v>89602.42898334</v>
      </c>
      <c r="F8" s="0" t="n">
        <f aca="false">F6*F7/100</f>
        <v>89449.9142106024</v>
      </c>
      <c r="G8" s="0" t="n">
        <f aca="false">G6*G7/100</f>
        <v>91238.9124948144</v>
      </c>
      <c r="H8" s="0" t="n">
        <f aca="false">H6*H7/100</f>
        <v>93519.8853071848</v>
      </c>
      <c r="I8" s="0" t="n">
        <f aca="false">I6*I7/100</f>
        <v>95857.8824398644</v>
      </c>
      <c r="J8" s="0" t="n">
        <f aca="false">J6*J7/100</f>
        <v>98254.329500861</v>
      </c>
      <c r="K8" s="0" t="n">
        <f aca="false">K6*K7/100</f>
        <v>100710.687738383</v>
      </c>
      <c r="L8" s="0" t="n">
        <f aca="false">L6*L7/100</f>
        <v>103228.454931842</v>
      </c>
    </row>
    <row r="9" customFormat="false" ht="15" hidden="false" customHeight="false" outlineLevel="0" collapsed="false">
      <c r="A9" s="0" t="s">
        <v>113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129</v>
      </c>
      <c r="C11" s="0" t="n">
        <f aca="false">C8+C10+C24</f>
        <v>94375.6632</v>
      </c>
      <c r="D11" s="0" t="n">
        <f aca="false">D8+D10+D24</f>
        <v>92034.776652</v>
      </c>
      <c r="E11" s="0" t="n">
        <f aca="false">E8+E10+E24</f>
        <v>89602.42898334</v>
      </c>
      <c r="F11" s="0" t="n">
        <f aca="false">F8+F10+F24</f>
        <v>89449.9142106024</v>
      </c>
      <c r="G11" s="0" t="n">
        <f aca="false">G8+G10+G24</f>
        <v>91238.9124948144</v>
      </c>
      <c r="H11" s="0" t="n">
        <f aca="false">H8+H10+H24</f>
        <v>93519.8853071848</v>
      </c>
      <c r="I11" s="0" t="n">
        <f aca="false">I8+I10+I24</f>
        <v>95857.8824398644</v>
      </c>
      <c r="J11" s="0" t="n">
        <f aca="false">J8+J10+J24</f>
        <v>98254.329500861</v>
      </c>
      <c r="K11" s="0" t="n">
        <f aca="false">K8+K10+K24</f>
        <v>100710.687738383</v>
      </c>
      <c r="L11" s="0" t="n">
        <f aca="false">L8+L10+L24</f>
        <v>103228.454931842</v>
      </c>
    </row>
    <row r="12" customFormat="false" ht="15" hidden="false" customHeight="false" outlineLevel="0" collapsed="false">
      <c r="A12" s="0" t="s">
        <v>130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131</v>
      </c>
      <c r="C13" s="0" t="n">
        <f aca="false">C11+C12</f>
        <v>94375.6632</v>
      </c>
      <c r="D13" s="0" t="n">
        <f aca="false">D11+D12</f>
        <v>92034.776652</v>
      </c>
      <c r="E13" s="0" t="n">
        <f aca="false">E11+E12</f>
        <v>89602.42898334</v>
      </c>
      <c r="F13" s="0" t="n">
        <f aca="false">F11+F12</f>
        <v>89449.9142106024</v>
      </c>
      <c r="G13" s="0" t="n">
        <f aca="false">G11+G12</f>
        <v>91238.9124948144</v>
      </c>
      <c r="H13" s="0" t="n">
        <f aca="false">H11+H12</f>
        <v>93519.8853071848</v>
      </c>
      <c r="I13" s="0" t="n">
        <f aca="false">I11+I12</f>
        <v>95857.8824398644</v>
      </c>
      <c r="J13" s="0" t="n">
        <f aca="false">J11+J12</f>
        <v>98254.329500861</v>
      </c>
      <c r="K13" s="0" t="n">
        <f aca="false">K11+K12</f>
        <v>100710.687738383</v>
      </c>
      <c r="L13" s="0" t="n">
        <f aca="false">L11+L12</f>
        <v>103228.454931842</v>
      </c>
    </row>
    <row r="14" customFormat="false" ht="15" hidden="false" customHeight="false" outlineLevel="0" collapsed="false">
      <c r="A14" s="0" t="s">
        <v>117</v>
      </c>
      <c r="C14" s="4" t="n">
        <f aca="false">Assumptions!C19</f>
        <v>10.5</v>
      </c>
      <c r="D14" s="4" t="n">
        <f aca="false">Assumptions!D19</f>
        <v>10.5</v>
      </c>
      <c r="E14" s="4" t="n">
        <f aca="false">Assumptions!E19</f>
        <v>10.5</v>
      </c>
      <c r="F14" s="4" t="n">
        <f aca="false">Assumptions!F19</f>
        <v>10.5</v>
      </c>
      <c r="G14" s="4" t="n">
        <f aca="false">Assumptions!G19</f>
        <v>10.5</v>
      </c>
      <c r="H14" s="4" t="n">
        <f aca="false">Assumptions!H19</f>
        <v>10.5</v>
      </c>
      <c r="I14" s="4" t="n">
        <f aca="false">Assumptions!I19</f>
        <v>10.5</v>
      </c>
      <c r="J14" s="4" t="n">
        <f aca="false">Assumptions!J19</f>
        <v>10.5</v>
      </c>
      <c r="K14" s="4" t="n">
        <f aca="false">Assumptions!K19</f>
        <v>10.5</v>
      </c>
      <c r="L14" s="4" t="n">
        <f aca="false">Assumptions!L19</f>
        <v>10.5</v>
      </c>
    </row>
    <row r="15" customFormat="false" ht="15" hidden="false" customHeight="false" outlineLevel="0" collapsed="false">
      <c r="A15" s="0" t="s">
        <v>132</v>
      </c>
      <c r="C15" s="0" t="n">
        <f aca="false">C13-MAX(0,C13)*C14/100</f>
        <v>84466.218564</v>
      </c>
      <c r="D15" s="0" t="n">
        <f aca="false">D13-MAX(0,D13)*D14/100</f>
        <v>82371.12510354</v>
      </c>
      <c r="E15" s="0" t="n">
        <f aca="false">E13-MAX(0,E13)*E14/100</f>
        <v>80194.1739400893</v>
      </c>
      <c r="F15" s="0" t="n">
        <f aca="false">F13-MAX(0,F13)*F14/100</f>
        <v>80057.6732184891</v>
      </c>
      <c r="G15" s="0" t="n">
        <f aca="false">G13-MAX(0,G13)*G14/100</f>
        <v>81658.8266828589</v>
      </c>
      <c r="H15" s="0" t="n">
        <f aca="false">H13-MAX(0,H13)*H14/100</f>
        <v>83700.2973499304</v>
      </c>
      <c r="I15" s="0" t="n">
        <f aca="false">I13-MAX(0,I13)*I14/100</f>
        <v>85792.8047836786</v>
      </c>
      <c r="J15" s="0" t="n">
        <f aca="false">J13-MAX(0,J13)*J14/100</f>
        <v>87937.6249032706</v>
      </c>
      <c r="K15" s="0" t="n">
        <f aca="false">K13-MAX(0,K13)*K14/100</f>
        <v>90136.0655258524</v>
      </c>
      <c r="L15" s="0" t="n">
        <f aca="false">L13-MAX(0,L13)*L14/100</f>
        <v>92389.4671639987</v>
      </c>
    </row>
    <row r="16" customFormat="false" ht="15" hidden="false" customHeight="false" outlineLevel="0" collapsed="false">
      <c r="A16" s="0" t="s">
        <v>133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134</v>
      </c>
      <c r="C17" s="4" t="n">
        <f aca="false">-C6*Assumptions!C18/100</f>
        <v>-81237.09048</v>
      </c>
      <c r="D17" s="4" t="n">
        <f aca="false">-D6*Assumptions!D18/100</f>
        <v>-86775.6465576</v>
      </c>
      <c r="E17" s="4" t="n">
        <f aca="false">-E6*Assumptions!E18/100</f>
        <v>-82014.8190396444</v>
      </c>
      <c r="F17" s="4" t="n">
        <f aca="false">-F6*Assumptions!F18/100</f>
        <v>-75215.7104710022</v>
      </c>
      <c r="G17" s="4" t="n">
        <f aca="false">-G6*Assumptions!G18/100</f>
        <v>-66445.7297516583</v>
      </c>
      <c r="H17" s="4" t="n">
        <f aca="false">-H6*Assumptions!H18/100</f>
        <v>-62780.3056149101</v>
      </c>
      <c r="I17" s="4" t="n">
        <f aca="false">-I6*Assumptions!I18/100</f>
        <v>-58306.5989275523</v>
      </c>
      <c r="J17" s="4" t="n">
        <f aca="false">-J6*Assumptions!J18/100</f>
        <v>-60661.3686483577</v>
      </c>
      <c r="K17" s="4" t="n">
        <f aca="false">-K6*Assumptions!K18/100</f>
        <v>-63097.4352308736</v>
      </c>
      <c r="L17" s="4" t="n">
        <f aca="false">-L6*Assumptions!L18/100</f>
        <v>-65617.39178711</v>
      </c>
    </row>
    <row r="18" customFormat="false" ht="15" hidden="false" customHeight="false" outlineLevel="0" collapsed="false">
      <c r="A18" s="0" t="s">
        <v>135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136</v>
      </c>
      <c r="C19" s="0" t="n">
        <f aca="false">C15+C16+C17+C18</f>
        <v>3229.12808400001</v>
      </c>
      <c r="D19" s="0" t="n">
        <f aca="false">D15+D16+D17+D18</f>
        <v>-4404.52145406001</v>
      </c>
      <c r="E19" s="0" t="n">
        <f aca="false">E15+E16+E17+E18</f>
        <v>-1820.64509955511</v>
      </c>
      <c r="F19" s="0" t="n">
        <f aca="false">F15+F16+F17+F18</f>
        <v>4841.96274748695</v>
      </c>
      <c r="G19" s="0" t="n">
        <f aca="false">G15+G16+G17+G18</f>
        <v>15213.0969312006</v>
      </c>
      <c r="H19" s="0" t="n">
        <f aca="false">H15+H16+H17+H18</f>
        <v>20919.9917350203</v>
      </c>
      <c r="I19" s="0" t="n">
        <f aca="false">I15+I16+I17+I18</f>
        <v>27486.2058561263</v>
      </c>
      <c r="J19" s="0" t="n">
        <f aca="false">J15+J16+J17+J18</f>
        <v>27276.256254913</v>
      </c>
      <c r="K19" s="0" t="n">
        <f aca="false">K15+K16+K17+K18</f>
        <v>27038.6302949788</v>
      </c>
      <c r="L19" s="0" t="n">
        <f aca="false">L15+L16+L17+L18</f>
        <v>26772.0753768886</v>
      </c>
    </row>
    <row r="20" customFormat="false" ht="15" hidden="false" customHeight="false" outlineLevel="0" collapsed="false">
      <c r="A20" s="0" t="s">
        <v>137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138</v>
      </c>
      <c r="C21" s="0" t="n">
        <f aca="false">C19*C20</f>
        <v>2948.97541917809</v>
      </c>
      <c r="D21" s="0" t="n">
        <f aca="false">D19*D20</f>
        <v>-3673.41919814851</v>
      </c>
      <c r="E21" s="0" t="n">
        <f aca="false">E19*E20</f>
        <v>-1386.70135204421</v>
      </c>
      <c r="F21" s="0" t="n">
        <f aca="false">F19*F20</f>
        <v>3367.94481715733</v>
      </c>
      <c r="G21" s="0" t="n">
        <f aca="false">G19*G20</f>
        <v>9663.78004531319</v>
      </c>
      <c r="H21" s="0" t="n">
        <f aca="false">H19*H20</f>
        <v>12136.0342534728</v>
      </c>
      <c r="I21" s="0" t="n">
        <f aca="false">I19*I20</f>
        <v>14561.8301315183</v>
      </c>
      <c r="J21" s="0" t="n">
        <f aca="false">J19*J20</f>
        <v>13196.8964345465</v>
      </c>
      <c r="K21" s="0" t="n">
        <f aca="false">K19*K20</f>
        <v>11946.9656508594</v>
      </c>
      <c r="L21" s="0" t="n">
        <f aca="false">L19*L20</f>
        <v>10802.9122230323</v>
      </c>
    </row>
    <row r="23" customFormat="false" ht="15" hidden="false" customHeight="false" outlineLevel="0" collapsed="false">
      <c r="A23" s="0" t="s">
        <v>114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140</v>
      </c>
    </row>
    <row r="27" customFormat="false" ht="15" hidden="false" customHeight="false" outlineLevel="0" collapsed="false">
      <c r="A27" s="0" t="s">
        <v>118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119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120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141</v>
      </c>
      <c r="B30" s="0" t="n">
        <f aca="false">SUM(C21:L21)</f>
        <v>73565.2184248853</v>
      </c>
    </row>
    <row r="31" customFormat="false" ht="15" hidden="false" customHeight="false" outlineLevel="0" collapsed="false">
      <c r="A31" s="0" t="s">
        <v>142</v>
      </c>
      <c r="B31" s="0" t="n">
        <f aca="false">L19</f>
        <v>26772.0753768886</v>
      </c>
    </row>
    <row r="32" customFormat="false" ht="15" hidden="false" customHeight="false" outlineLevel="0" collapsed="false">
      <c r="A32" s="0" t="s">
        <v>143</v>
      </c>
      <c r="B32" s="0" t="n">
        <f aca="false">IF(B27&gt;B28,B31*(1+B28/100)/((B27-B28)/100),B31*B29)</f>
        <v>392019.675161583</v>
      </c>
    </row>
    <row r="33" customFormat="false" ht="15" hidden="false" customHeight="false" outlineLevel="0" collapsed="false">
      <c r="A33" s="0" t="s">
        <v>144</v>
      </c>
      <c r="B33" s="0" t="n">
        <f aca="false">B31*B29</f>
        <v>401581.130653329</v>
      </c>
    </row>
    <row r="34" customFormat="false" ht="15" hidden="false" customHeight="false" outlineLevel="0" collapsed="false">
      <c r="A34" s="0" t="s">
        <v>145</v>
      </c>
      <c r="B34" s="0" t="n">
        <f aca="false">MAX(0,MIN(B32,B33))</f>
        <v>392019.675161583</v>
      </c>
    </row>
    <row r="35" customFormat="false" ht="15" hidden="false" customHeight="false" outlineLevel="0" collapsed="false">
      <c r="A35" s="0" t="s">
        <v>146</v>
      </c>
      <c r="B35" s="0" t="n">
        <f aca="false">B34/(1+B27/100)^L4</f>
        <v>158185.500408688</v>
      </c>
    </row>
    <row r="36" customFormat="false" ht="15" hidden="false" customHeight="false" outlineLevel="0" collapsed="false">
      <c r="A36" s="0" t="s">
        <v>147</v>
      </c>
      <c r="B36" s="0" t="n">
        <f aca="false">B30+B35</f>
        <v>231750.718833573</v>
      </c>
    </row>
    <row r="37" customFormat="false" ht="15" hidden="false" customHeight="false" outlineLevel="0" collapsed="false">
      <c r="A37" s="0" t="s">
        <v>148</v>
      </c>
      <c r="B37" s="0" t="n">
        <f aca="false">B36+Assumptions!$B$5-Assumptions!$B$4</f>
        <v>81750.7188335728</v>
      </c>
    </row>
    <row r="38" customFormat="false" ht="15" hidden="false" customHeight="false" outlineLevel="0" collapsed="false">
      <c r="A38" s="0" t="s">
        <v>149</v>
      </c>
      <c r="B38" s="0" t="n">
        <f aca="false">B37/Assumptions!$B$3*Assumptions!$B$10</f>
        <v>0.799093791071494</v>
      </c>
    </row>
    <row r="39" customFormat="false" ht="15" hidden="false" customHeight="false" outlineLevel="0" collapsed="false">
      <c r="A39" s="0" t="s">
        <v>150</v>
      </c>
      <c r="B39" s="4" t="n">
        <f aca="false">B38/Assumptions!$B$2-1</f>
        <v>-0.855105386931733</v>
      </c>
    </row>
    <row r="41" customFormat="false" ht="15" hidden="false" customHeight="false" outlineLevel="0" collapsed="false">
      <c r="A41" s="0" t="s">
        <v>151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153</v>
      </c>
      <c r="B43" s="0" t="n">
        <f aca="false">(B37+B41+B42)/Assumptions!$B$3*Assumptions!$B$10</f>
        <v>0.799093791071494</v>
      </c>
    </row>
    <row r="45" customFormat="false" ht="15" hidden="false" customHeight="false" outlineLevel="0" collapsed="false">
      <c r="A45" s="0" t="s">
        <v>94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154</v>
      </c>
      <c r="B46" s="0" t="n">
        <f aca="false">MAX(0,MIN(IF(B45&gt;B28,B31*(1+B28/100)/((B45-B28)/100),B31*B29),B31*B29))</f>
        <v>219531.018090487</v>
      </c>
    </row>
    <row r="47" customFormat="false" ht="15" hidden="false" customHeight="false" outlineLevel="0" collapsed="false">
      <c r="A47" s="0" t="s">
        <v>155</v>
      </c>
      <c r="B47" s="0" t="n">
        <f aca="false">(SUMPRODUCT(C19:L19/(1+B45/100)^C4:L4)+B46/(1+B45/100)^L4+Assumptions!$B$5-Assumptions!$B$4)/Assumptions!$B$3*Assumptions!$B$10</f>
        <v>-0.435222809369825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156</v>
      </c>
    </row>
    <row r="3" customFormat="false" ht="15" hidden="false" customHeight="false" outlineLevel="0" collapsed="false">
      <c r="A3" s="0" t="s">
        <v>126</v>
      </c>
      <c r="B3" s="0" t="s">
        <v>87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</row>
    <row r="4" customFormat="false" ht="15" hidden="false" customHeight="false" outlineLevel="0" collapsed="false">
      <c r="A4" s="0" t="s">
        <v>127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111</v>
      </c>
      <c r="C5" s="4" t="n">
        <f aca="false">Assumptions!C27</f>
        <v>5.5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355866</v>
      </c>
      <c r="C6" s="0" t="n">
        <f aca="false">B6*(1+C5/100)</f>
        <v>375438.63</v>
      </c>
      <c r="D6" s="0" t="n">
        <f aca="false">C6*(1+D5/100)</f>
        <v>390456.1752</v>
      </c>
      <c r="E6" s="0" t="n">
        <f aca="false">D6*(1+E5/100)</f>
        <v>406074.422208</v>
      </c>
      <c r="F6" s="0" t="n">
        <f aca="false">E6*(1+F5/100)</f>
        <v>422317.39909632</v>
      </c>
      <c r="G6" s="0" t="n">
        <f aca="false">F6*(1+G5/100)</f>
        <v>439210.095060173</v>
      </c>
      <c r="H6" s="0" t="n">
        <f aca="false">G6*(1+H5/100)</f>
        <v>454582.448387279</v>
      </c>
      <c r="I6" s="0" t="n">
        <f aca="false">H6*(1+I5/100)</f>
        <v>470492.834080834</v>
      </c>
      <c r="J6" s="0" t="n">
        <f aca="false">I6*(1+J5/100)</f>
        <v>484607.619103259</v>
      </c>
      <c r="K6" s="0" t="n">
        <f aca="false">J6*(1+K5/100)</f>
        <v>499145.847676356</v>
      </c>
      <c r="L6" s="0" t="n">
        <f aca="false">K6*(1+L5/100)</f>
        <v>514120.223106647</v>
      </c>
    </row>
    <row r="7" customFormat="false" ht="15" hidden="false" customHeight="false" outlineLevel="0" collapsed="false">
      <c r="A7" s="0" t="s">
        <v>112</v>
      </c>
      <c r="C7" s="4" t="n">
        <f aca="false">Assumptions!C28</f>
        <v>26.3</v>
      </c>
      <c r="D7" s="4" t="n">
        <f aca="false">Assumptions!D28</f>
        <v>26.3</v>
      </c>
      <c r="E7" s="4" t="n">
        <f aca="false">Assumptions!E28</f>
        <v>26</v>
      </c>
      <c r="F7" s="4" t="n">
        <f aca="false">Assumptions!F28</f>
        <v>26</v>
      </c>
      <c r="G7" s="4" t="n">
        <f aca="false">Assumptions!G28</f>
        <v>26</v>
      </c>
      <c r="H7" s="4" t="n">
        <f aca="false">Assumptions!H28</f>
        <v>26</v>
      </c>
      <c r="I7" s="4" t="n">
        <f aca="false">Assumptions!I28</f>
        <v>26</v>
      </c>
      <c r="J7" s="4" t="n">
        <f aca="false">Assumptions!J28</f>
        <v>26</v>
      </c>
      <c r="K7" s="4" t="n">
        <f aca="false">Assumptions!K28</f>
        <v>26</v>
      </c>
      <c r="L7" s="4" t="n">
        <f aca="false">Assumptions!L28</f>
        <v>26</v>
      </c>
    </row>
    <row r="8" customFormat="false" ht="15" hidden="false" customHeight="false" outlineLevel="0" collapsed="false">
      <c r="A8" s="0" t="s">
        <v>44</v>
      </c>
      <c r="C8" s="0" t="n">
        <f aca="false">C6*C7/100</f>
        <v>98740.35969</v>
      </c>
      <c r="D8" s="0" t="n">
        <f aca="false">D6*D7/100</f>
        <v>102689.9740776</v>
      </c>
      <c r="E8" s="0" t="n">
        <f aca="false">E6*E7/100</f>
        <v>105579.34977408</v>
      </c>
      <c r="F8" s="0" t="n">
        <f aca="false">F6*F7/100</f>
        <v>109802.523765043</v>
      </c>
      <c r="G8" s="0" t="n">
        <f aca="false">G6*G7/100</f>
        <v>114194.624715645</v>
      </c>
      <c r="H8" s="0" t="n">
        <f aca="false">H6*H7/100</f>
        <v>118191.436580692</v>
      </c>
      <c r="I8" s="0" t="n">
        <f aca="false">I6*I7/100</f>
        <v>122328.136861017</v>
      </c>
      <c r="J8" s="0" t="n">
        <f aca="false">J6*J7/100</f>
        <v>125997.980966847</v>
      </c>
      <c r="K8" s="0" t="n">
        <f aca="false">K6*K7/100</f>
        <v>129777.920395853</v>
      </c>
      <c r="L8" s="0" t="n">
        <f aca="false">L6*L7/100</f>
        <v>133671.258007728</v>
      </c>
    </row>
    <row r="9" customFormat="false" ht="15" hidden="false" customHeight="false" outlineLevel="0" collapsed="false">
      <c r="A9" s="0" t="s">
        <v>113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129</v>
      </c>
      <c r="C11" s="0" t="n">
        <f aca="false">C8+C10+C24</f>
        <v>98740.35969</v>
      </c>
      <c r="D11" s="0" t="n">
        <f aca="false">D8+D10+D24</f>
        <v>102689.9740776</v>
      </c>
      <c r="E11" s="0" t="n">
        <f aca="false">E8+E10+E24</f>
        <v>105579.34977408</v>
      </c>
      <c r="F11" s="0" t="n">
        <f aca="false">F8+F10+F24</f>
        <v>109802.523765043</v>
      </c>
      <c r="G11" s="0" t="n">
        <f aca="false">G8+G10+G24</f>
        <v>114194.624715645</v>
      </c>
      <c r="H11" s="0" t="n">
        <f aca="false">H8+H10+H24</f>
        <v>118191.436580692</v>
      </c>
      <c r="I11" s="0" t="n">
        <f aca="false">I8+I10+I24</f>
        <v>122328.136861017</v>
      </c>
      <c r="J11" s="0" t="n">
        <f aca="false">J8+J10+J24</f>
        <v>125997.980966847</v>
      </c>
      <c r="K11" s="0" t="n">
        <f aca="false">K8+K10+K24</f>
        <v>129777.920395853</v>
      </c>
      <c r="L11" s="0" t="n">
        <f aca="false">L8+L10+L24</f>
        <v>133671.258007728</v>
      </c>
    </row>
    <row r="12" customFormat="false" ht="15" hidden="false" customHeight="false" outlineLevel="0" collapsed="false">
      <c r="A12" s="0" t="s">
        <v>130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131</v>
      </c>
      <c r="C13" s="0" t="n">
        <f aca="false">C11+C12</f>
        <v>98740.35969</v>
      </c>
      <c r="D13" s="0" t="n">
        <f aca="false">D11+D12</f>
        <v>102689.9740776</v>
      </c>
      <c r="E13" s="0" t="n">
        <f aca="false">E11+E12</f>
        <v>105579.34977408</v>
      </c>
      <c r="F13" s="0" t="n">
        <f aca="false">F11+F12</f>
        <v>109802.523765043</v>
      </c>
      <c r="G13" s="0" t="n">
        <f aca="false">G11+G12</f>
        <v>114194.624715645</v>
      </c>
      <c r="H13" s="0" t="n">
        <f aca="false">H11+H12</f>
        <v>118191.436580692</v>
      </c>
      <c r="I13" s="0" t="n">
        <f aca="false">I11+I12</f>
        <v>122328.136861017</v>
      </c>
      <c r="J13" s="0" t="n">
        <f aca="false">J11+J12</f>
        <v>125997.980966847</v>
      </c>
      <c r="K13" s="0" t="n">
        <f aca="false">K11+K12</f>
        <v>129777.920395853</v>
      </c>
      <c r="L13" s="0" t="n">
        <f aca="false">L11+L12</f>
        <v>133671.258007728</v>
      </c>
    </row>
    <row r="14" customFormat="false" ht="15" hidden="false" customHeight="false" outlineLevel="0" collapsed="false">
      <c r="A14" s="0" t="s">
        <v>117</v>
      </c>
      <c r="C14" s="4" t="n">
        <f aca="false">Assumptions!C33</f>
        <v>10.5</v>
      </c>
      <c r="D14" s="4" t="n">
        <f aca="false">Assumptions!D33</f>
        <v>10.5</v>
      </c>
      <c r="E14" s="4" t="n">
        <f aca="false">Assumptions!E33</f>
        <v>10.5</v>
      </c>
      <c r="F14" s="4" t="n">
        <f aca="false">Assumptions!F33</f>
        <v>10.5</v>
      </c>
      <c r="G14" s="4" t="n">
        <f aca="false">Assumptions!G33</f>
        <v>10.5</v>
      </c>
      <c r="H14" s="4" t="n">
        <f aca="false">Assumptions!H33</f>
        <v>10.5</v>
      </c>
      <c r="I14" s="4" t="n">
        <f aca="false">Assumptions!I33</f>
        <v>10.5</v>
      </c>
      <c r="J14" s="4" t="n">
        <f aca="false">Assumptions!J33</f>
        <v>10.5</v>
      </c>
      <c r="K14" s="4" t="n">
        <f aca="false">Assumptions!K33</f>
        <v>10.5</v>
      </c>
      <c r="L14" s="4" t="n">
        <f aca="false">Assumptions!L33</f>
        <v>10.5</v>
      </c>
    </row>
    <row r="15" customFormat="false" ht="15" hidden="false" customHeight="false" outlineLevel="0" collapsed="false">
      <c r="A15" s="0" t="s">
        <v>132</v>
      </c>
      <c r="C15" s="0" t="n">
        <f aca="false">C13-MAX(0,C13)*C14/100</f>
        <v>88372.62192255</v>
      </c>
      <c r="D15" s="0" t="n">
        <f aca="false">D13-MAX(0,D13)*D14/100</f>
        <v>91907.526799452</v>
      </c>
      <c r="E15" s="0" t="n">
        <f aca="false">E13-MAX(0,E13)*E14/100</f>
        <v>94493.5180478016</v>
      </c>
      <c r="F15" s="0" t="n">
        <f aca="false">F13-MAX(0,F13)*F14/100</f>
        <v>98273.2587697137</v>
      </c>
      <c r="G15" s="0" t="n">
        <f aca="false">G13-MAX(0,G13)*G14/100</f>
        <v>102204.189120502</v>
      </c>
      <c r="H15" s="0" t="n">
        <f aca="false">H13-MAX(0,H13)*H14/100</f>
        <v>105781.33573972</v>
      </c>
      <c r="I15" s="0" t="n">
        <f aca="false">I13-MAX(0,I13)*I14/100</f>
        <v>109483.68249061</v>
      </c>
      <c r="J15" s="0" t="n">
        <f aca="false">J13-MAX(0,J13)*J14/100</f>
        <v>112768.192965328</v>
      </c>
      <c r="K15" s="0" t="n">
        <f aca="false">K13-MAX(0,K13)*K14/100</f>
        <v>116151.238754288</v>
      </c>
      <c r="L15" s="0" t="n">
        <f aca="false">L13-MAX(0,L13)*L14/100</f>
        <v>119635.775916917</v>
      </c>
    </row>
    <row r="16" customFormat="false" ht="15" hidden="false" customHeight="false" outlineLevel="0" collapsed="false">
      <c r="A16" s="0" t="s">
        <v>133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134</v>
      </c>
      <c r="C17" s="4" t="n">
        <f aca="false">-C6*Assumptions!C32/100</f>
        <v>-64312.637319</v>
      </c>
      <c r="D17" s="4" t="n">
        <f aca="false">-D6*Assumptions!D32/100</f>
        <v>-85431.81113376</v>
      </c>
      <c r="E17" s="4" t="n">
        <f aca="false">-E6*Assumptions!E32/100</f>
        <v>-80727.5951349504</v>
      </c>
      <c r="F17" s="4" t="n">
        <f aca="false">-F6*Assumptions!F32/100</f>
        <v>-74032.2400615849</v>
      </c>
      <c r="G17" s="4" t="n">
        <f aca="false">-G6*Assumptions!G32/100</f>
        <v>-71942.6135708563</v>
      </c>
      <c r="H17" s="4" t="n">
        <f aca="false">-H6*Assumptions!H32/100</f>
        <v>-69005.6156651889</v>
      </c>
      <c r="I17" s="4" t="n">
        <f aca="false">-I6*Assumptions!I32/100</f>
        <v>-65210.3068036035</v>
      </c>
      <c r="J17" s="4" t="n">
        <f aca="false">-J6*Assumptions!J32/100</f>
        <v>-60575.9523879073</v>
      </c>
      <c r="K17" s="4" t="n">
        <f aca="false">-K6*Assumptions!K32/100</f>
        <v>-55105.7015834697</v>
      </c>
      <c r="L17" s="4" t="n">
        <f aca="false">-L6*Assumptions!L32/100</f>
        <v>-57067.3447648378</v>
      </c>
    </row>
    <row r="18" customFormat="false" ht="15" hidden="false" customHeight="false" outlineLevel="0" collapsed="false">
      <c r="A18" s="0" t="s">
        <v>135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136</v>
      </c>
      <c r="C19" s="0" t="n">
        <f aca="false">C15+C16+C17+C18</f>
        <v>24059.98460355</v>
      </c>
      <c r="D19" s="0" t="n">
        <f aca="false">D15+D16+D17+D18</f>
        <v>6475.71566569201</v>
      </c>
      <c r="E19" s="0" t="n">
        <f aca="false">E15+E16+E17+E18</f>
        <v>13765.9229128512</v>
      </c>
      <c r="F19" s="0" t="n">
        <f aca="false">F15+F16+F17+F18</f>
        <v>24241.0187081288</v>
      </c>
      <c r="G19" s="0" t="n">
        <f aca="false">G15+G16+G17+G18</f>
        <v>30261.5755496459</v>
      </c>
      <c r="H19" s="0" t="n">
        <f aca="false">H15+H16+H17+H18</f>
        <v>36775.7200745309</v>
      </c>
      <c r="I19" s="0" t="n">
        <f aca="false">I15+I16+I17+I18</f>
        <v>44273.3756870064</v>
      </c>
      <c r="J19" s="0" t="n">
        <f aca="false">J15+J16+J17+J18</f>
        <v>52192.2405774209</v>
      </c>
      <c r="K19" s="0" t="n">
        <f aca="false">K15+K16+K17+K18</f>
        <v>61045.5371708184</v>
      </c>
      <c r="L19" s="0" t="n">
        <f aca="false">L15+L16+L17+L18</f>
        <v>62568.431152079</v>
      </c>
    </row>
    <row r="20" customFormat="false" ht="15" hidden="false" customHeight="false" outlineLevel="0" collapsed="false">
      <c r="A20" s="0" t="s">
        <v>137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138</v>
      </c>
      <c r="C21" s="0" t="n">
        <f aca="false">C19*C20</f>
        <v>21972.5886790411</v>
      </c>
      <c r="D21" s="0" t="n">
        <f aca="false">D19*D20</f>
        <v>5400.81788594234</v>
      </c>
      <c r="E21" s="0" t="n">
        <f aca="false">E19*E20</f>
        <v>10484.8682041611</v>
      </c>
      <c r="F21" s="0" t="n">
        <f aca="false">F19*F20</f>
        <v>16861.4294612303</v>
      </c>
      <c r="G21" s="0" t="n">
        <f aca="false">G19*G20</f>
        <v>19222.9899841522</v>
      </c>
      <c r="H21" s="0" t="n">
        <f aca="false">H19*H20</f>
        <v>21334.2052986333</v>
      </c>
      <c r="I21" s="0" t="n">
        <f aca="false">I19*I20</f>
        <v>23455.4517810753</v>
      </c>
      <c r="J21" s="0" t="n">
        <f aca="false">J19*J20</f>
        <v>25251.837611076</v>
      </c>
      <c r="K21" s="0" t="n">
        <f aca="false">K19*K20</f>
        <v>26972.8506126831</v>
      </c>
      <c r="L21" s="0" t="n">
        <f aca="false">L19*L20</f>
        <v>25247.2496118941</v>
      </c>
    </row>
    <row r="23" customFormat="false" ht="15" hidden="false" customHeight="false" outlineLevel="0" collapsed="false">
      <c r="A23" s="0" t="s">
        <v>114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140</v>
      </c>
    </row>
    <row r="27" customFormat="false" ht="15" hidden="false" customHeight="false" outlineLevel="0" collapsed="false">
      <c r="A27" s="0" t="s">
        <v>118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119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120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141</v>
      </c>
      <c r="B30" s="0" t="n">
        <f aca="false">SUM(C21:L21)</f>
        <v>196204.289129889</v>
      </c>
    </row>
    <row r="31" customFormat="false" ht="15" hidden="false" customHeight="false" outlineLevel="0" collapsed="false">
      <c r="A31" s="0" t="s">
        <v>142</v>
      </c>
      <c r="B31" s="0" t="n">
        <f aca="false">L19</f>
        <v>62568.431152079</v>
      </c>
    </row>
    <row r="32" customFormat="false" ht="15" hidden="false" customHeight="false" outlineLevel="0" collapsed="false">
      <c r="A32" s="0" t="s">
        <v>143</v>
      </c>
      <c r="B32" s="0" t="n">
        <f aca="false">IF(B27&gt;B28,B31*(1+B28/100)/((B27-B28)/100),B31*B29)</f>
        <v>991468.985948328</v>
      </c>
    </row>
    <row r="33" customFormat="false" ht="15" hidden="false" customHeight="false" outlineLevel="0" collapsed="false">
      <c r="A33" s="0" t="s">
        <v>144</v>
      </c>
      <c r="B33" s="0" t="n">
        <f aca="false">B31*B29</f>
        <v>1001094.89843326</v>
      </c>
    </row>
    <row r="34" customFormat="false" ht="15" hidden="false" customHeight="false" outlineLevel="0" collapsed="false">
      <c r="A34" s="0" t="s">
        <v>145</v>
      </c>
      <c r="B34" s="0" t="n">
        <f aca="false">MAX(0,MIN(B32,B33))</f>
        <v>991468.985948328</v>
      </c>
    </row>
    <row r="35" customFormat="false" ht="15" hidden="false" customHeight="false" outlineLevel="0" collapsed="false">
      <c r="A35" s="0" t="s">
        <v>146</v>
      </c>
      <c r="B35" s="0" t="n">
        <f aca="false">B34/(1+B27/100)^L4</f>
        <v>400071.801542321</v>
      </c>
    </row>
    <row r="36" customFormat="false" ht="15" hidden="false" customHeight="false" outlineLevel="0" collapsed="false">
      <c r="A36" s="0" t="s">
        <v>147</v>
      </c>
      <c r="B36" s="0" t="n">
        <f aca="false">B30+B35</f>
        <v>596276.09067221</v>
      </c>
    </row>
    <row r="37" customFormat="false" ht="15" hidden="false" customHeight="false" outlineLevel="0" collapsed="false">
      <c r="A37" s="0" t="s">
        <v>148</v>
      </c>
      <c r="B37" s="0" t="n">
        <f aca="false">B36+Assumptions!$B$5-Assumptions!$B$4</f>
        <v>446276.09067221</v>
      </c>
    </row>
    <row r="38" customFormat="false" ht="15" hidden="false" customHeight="false" outlineLevel="0" collapsed="false">
      <c r="A38" s="0" t="s">
        <v>149</v>
      </c>
      <c r="B38" s="0" t="n">
        <f aca="false">B37/Assumptions!$B$3*Assumptions!$B$10</f>
        <v>4.36224241508895</v>
      </c>
    </row>
    <row r="39" customFormat="false" ht="15" hidden="false" customHeight="false" outlineLevel="0" collapsed="false">
      <c r="A39" s="0" t="s">
        <v>150</v>
      </c>
      <c r="B39" s="4" t="n">
        <f aca="false">B38/Assumptions!$B$2-1</f>
        <v>-0.209022227545068</v>
      </c>
    </row>
    <row r="41" customFormat="false" ht="15" hidden="false" customHeight="false" outlineLevel="0" collapsed="false">
      <c r="A41" s="0" t="s">
        <v>151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153</v>
      </c>
      <c r="B43" s="0" t="n">
        <f aca="false">(B37+B41+B42)/Assumptions!$B$3*Assumptions!$B$10</f>
        <v>4.36224241508895</v>
      </c>
    </row>
    <row r="45" customFormat="false" ht="15" hidden="false" customHeight="false" outlineLevel="0" collapsed="false">
      <c r="A45" s="0" t="s">
        <v>94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154</v>
      </c>
      <c r="B46" s="0" t="n">
        <f aca="false">MAX(0,MIN(IF(B45&gt;B28,B31*(1+B28/100)/((B45-B28)/100),B31*B29),B31*B29))</f>
        <v>537045.700722011</v>
      </c>
    </row>
    <row r="47" customFormat="false" ht="15" hidden="false" customHeight="false" outlineLevel="0" collapsed="false">
      <c r="A47" s="0" t="s">
        <v>155</v>
      </c>
      <c r="B47" s="0" t="n">
        <f aca="false">(SUMPRODUCT(C19:L19/(1+B45/100)^C4:L4)+B46/(1+B45/100)^L4+Assumptions!$B$5-Assumptions!$B$4)/Assumptions!$B$3*Assumptions!$B$10</f>
        <v>1.26043731821814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157</v>
      </c>
    </row>
    <row r="3" customFormat="false" ht="15" hidden="false" customHeight="false" outlineLevel="0" collapsed="false">
      <c r="A3" s="0" t="s">
        <v>126</v>
      </c>
      <c r="B3" s="0" t="s">
        <v>87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  <c r="J3" s="2" t="s">
        <v>108</v>
      </c>
      <c r="K3" s="2" t="s">
        <v>109</v>
      </c>
      <c r="L3" s="2" t="s">
        <v>110</v>
      </c>
    </row>
    <row r="4" customFormat="false" ht="15" hidden="false" customHeight="false" outlineLevel="0" collapsed="false">
      <c r="A4" s="0" t="s">
        <v>127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111</v>
      </c>
      <c r="C5" s="4" t="n">
        <f aca="false">Assumptions!C41</f>
        <v>7</v>
      </c>
      <c r="D5" s="4" t="n">
        <f aca="false">Assumptions!D41</f>
        <v>5.5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355866</v>
      </c>
      <c r="C6" s="0" t="n">
        <f aca="false">B6*(1+C5/100)</f>
        <v>380776.62</v>
      </c>
      <c r="D6" s="0" t="n">
        <f aca="false">C6*(1+D5/100)</f>
        <v>401719.3341</v>
      </c>
      <c r="E6" s="0" t="n">
        <f aca="false">D6*(1+E5/100)</f>
        <v>421805.300805</v>
      </c>
      <c r="F6" s="0" t="n">
        <f aca="false">E6*(1+F5/100)</f>
        <v>442895.56584525</v>
      </c>
      <c r="G6" s="0" t="n">
        <f aca="false">F6*(1+G5/100)</f>
        <v>462825.866308286</v>
      </c>
      <c r="H6" s="0" t="n">
        <f aca="false">G6*(1+H5/100)</f>
        <v>481338.900960618</v>
      </c>
      <c r="I6" s="0" t="n">
        <f aca="false">H6*(1+I5/100)</f>
        <v>500592.456999043</v>
      </c>
      <c r="J6" s="0" t="n">
        <f aca="false">I6*(1+J5/100)</f>
        <v>518113.192994009</v>
      </c>
      <c r="K6" s="0" t="n">
        <f aca="false">J6*(1+K5/100)</f>
        <v>536247.154748799</v>
      </c>
      <c r="L6" s="0" t="n">
        <f aca="false">K6*(1+L5/100)</f>
        <v>555015.805165007</v>
      </c>
    </row>
    <row r="7" customFormat="false" ht="15" hidden="false" customHeight="false" outlineLevel="0" collapsed="false">
      <c r="A7" s="0" t="s">
        <v>112</v>
      </c>
      <c r="C7" s="4" t="n">
        <f aca="false">Assumptions!C42</f>
        <v>27</v>
      </c>
      <c r="D7" s="4" t="n">
        <f aca="false">Assumptions!D42</f>
        <v>27.5</v>
      </c>
      <c r="E7" s="4" t="n">
        <f aca="false">Assumptions!E42</f>
        <v>28</v>
      </c>
      <c r="F7" s="4" t="n">
        <f aca="false">Assumptions!F42</f>
        <v>28.5</v>
      </c>
      <c r="G7" s="4" t="n">
        <f aca="false">Assumptions!G42</f>
        <v>28.5</v>
      </c>
      <c r="H7" s="4" t="n">
        <f aca="false">Assumptions!H42</f>
        <v>28.5</v>
      </c>
      <c r="I7" s="4" t="n">
        <f aca="false">Assumptions!I42</f>
        <v>28.5</v>
      </c>
      <c r="J7" s="4" t="n">
        <f aca="false">Assumptions!J42</f>
        <v>28.5</v>
      </c>
      <c r="K7" s="4" t="n">
        <f aca="false">Assumptions!K42</f>
        <v>28.5</v>
      </c>
      <c r="L7" s="4" t="n">
        <f aca="false">Assumptions!L42</f>
        <v>28.5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102809.6874</v>
      </c>
      <c r="D8" s="0" t="n">
        <f aca="false">D6*D7/100</f>
        <v>110472.8168775</v>
      </c>
      <c r="E8" s="0" t="n">
        <f aca="false">E6*E7/100</f>
        <v>118105.4842254</v>
      </c>
      <c r="F8" s="0" t="n">
        <f aca="false">F6*F7/100</f>
        <v>126225.236265896</v>
      </c>
      <c r="G8" s="0" t="n">
        <f aca="false">G6*G7/100</f>
        <v>131905.371897862</v>
      </c>
      <c r="H8" s="0" t="n">
        <f aca="false">H6*H7/100</f>
        <v>137181.586773776</v>
      </c>
      <c r="I8" s="0" t="n">
        <f aca="false">I6*I7/100</f>
        <v>142668.850244727</v>
      </c>
      <c r="J8" s="0" t="n">
        <f aca="false">J6*J7/100</f>
        <v>147662.260003293</v>
      </c>
      <c r="K8" s="0" t="n">
        <f aca="false">K6*K7/100</f>
        <v>152830.439103408</v>
      </c>
      <c r="L8" s="0" t="n">
        <f aca="false">L6*L7/100</f>
        <v>158179.504472027</v>
      </c>
    </row>
    <row r="9" customFormat="false" ht="15" hidden="false" customHeight="false" outlineLevel="0" collapsed="false">
      <c r="A9" s="0" t="s">
        <v>113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128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129</v>
      </c>
      <c r="C11" s="0" t="n">
        <f aca="false">C8+C10+C24</f>
        <v>102809.6874</v>
      </c>
      <c r="D11" s="0" t="n">
        <f aca="false">D8+D10+D24</f>
        <v>110472.8168775</v>
      </c>
      <c r="E11" s="0" t="n">
        <f aca="false">E8+E10+E24</f>
        <v>118105.4842254</v>
      </c>
      <c r="F11" s="0" t="n">
        <f aca="false">F8+F10+F24</f>
        <v>126225.236265896</v>
      </c>
      <c r="G11" s="0" t="n">
        <f aca="false">G8+G10+G24</f>
        <v>131905.371897862</v>
      </c>
      <c r="H11" s="0" t="n">
        <f aca="false">H8+H10+H24</f>
        <v>137181.586773776</v>
      </c>
      <c r="I11" s="0" t="n">
        <f aca="false">I8+I10+I24</f>
        <v>142668.850244727</v>
      </c>
      <c r="J11" s="0" t="n">
        <f aca="false">J8+J10+J24</f>
        <v>147662.260003293</v>
      </c>
      <c r="K11" s="0" t="n">
        <f aca="false">K8+K10+K24</f>
        <v>152830.439103408</v>
      </c>
      <c r="L11" s="0" t="n">
        <f aca="false">L8+L10+L24</f>
        <v>158179.504472027</v>
      </c>
    </row>
    <row r="12" customFormat="false" ht="15" hidden="false" customHeight="false" outlineLevel="0" collapsed="false">
      <c r="A12" s="0" t="s">
        <v>130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131</v>
      </c>
      <c r="C13" s="0" t="n">
        <f aca="false">C11+C12</f>
        <v>102809.6874</v>
      </c>
      <c r="D13" s="0" t="n">
        <f aca="false">D11+D12</f>
        <v>110472.8168775</v>
      </c>
      <c r="E13" s="0" t="n">
        <f aca="false">E11+E12</f>
        <v>118105.4842254</v>
      </c>
      <c r="F13" s="0" t="n">
        <f aca="false">F11+F12</f>
        <v>126225.236265896</v>
      </c>
      <c r="G13" s="0" t="n">
        <f aca="false">G11+G12</f>
        <v>131905.371897862</v>
      </c>
      <c r="H13" s="0" t="n">
        <f aca="false">H11+H12</f>
        <v>137181.586773776</v>
      </c>
      <c r="I13" s="0" t="n">
        <f aca="false">I11+I12</f>
        <v>142668.850244727</v>
      </c>
      <c r="J13" s="0" t="n">
        <f aca="false">J11+J12</f>
        <v>147662.260003293</v>
      </c>
      <c r="K13" s="0" t="n">
        <f aca="false">K11+K12</f>
        <v>152830.439103408</v>
      </c>
      <c r="L13" s="0" t="n">
        <f aca="false">L11+L12</f>
        <v>158179.504472027</v>
      </c>
    </row>
    <row r="14" customFormat="false" ht="15" hidden="false" customHeight="false" outlineLevel="0" collapsed="false">
      <c r="A14" s="0" t="s">
        <v>117</v>
      </c>
      <c r="C14" s="4" t="n">
        <f aca="false">Assumptions!C47</f>
        <v>10.5</v>
      </c>
      <c r="D14" s="4" t="n">
        <f aca="false">Assumptions!D47</f>
        <v>10.5</v>
      </c>
      <c r="E14" s="4" t="n">
        <f aca="false">Assumptions!E47</f>
        <v>10.5</v>
      </c>
      <c r="F14" s="4" t="n">
        <f aca="false">Assumptions!F47</f>
        <v>10.5</v>
      </c>
      <c r="G14" s="4" t="n">
        <f aca="false">Assumptions!G47</f>
        <v>10.5</v>
      </c>
      <c r="H14" s="4" t="n">
        <f aca="false">Assumptions!H47</f>
        <v>10.5</v>
      </c>
      <c r="I14" s="4" t="n">
        <f aca="false">Assumptions!I47</f>
        <v>10.5</v>
      </c>
      <c r="J14" s="4" t="n">
        <f aca="false">Assumptions!J47</f>
        <v>10.5</v>
      </c>
      <c r="K14" s="4" t="n">
        <f aca="false">Assumptions!K47</f>
        <v>10.5</v>
      </c>
      <c r="L14" s="4" t="n">
        <f aca="false">Assumptions!L47</f>
        <v>10.5</v>
      </c>
    </row>
    <row r="15" customFormat="false" ht="15" hidden="false" customHeight="false" outlineLevel="0" collapsed="false">
      <c r="A15" s="0" t="s">
        <v>132</v>
      </c>
      <c r="C15" s="0" t="n">
        <f aca="false">C13-MAX(0,C13)*C14/100</f>
        <v>92014.670223</v>
      </c>
      <c r="D15" s="0" t="n">
        <f aca="false">D13-MAX(0,D13)*D14/100</f>
        <v>98873.1711053625</v>
      </c>
      <c r="E15" s="0" t="n">
        <f aca="false">E13-MAX(0,E13)*E14/100</f>
        <v>105704.408381733</v>
      </c>
      <c r="F15" s="0" t="n">
        <f aca="false">F13-MAX(0,F13)*F14/100</f>
        <v>112971.586457977</v>
      </c>
      <c r="G15" s="0" t="n">
        <f aca="false">G13-MAX(0,G13)*G14/100</f>
        <v>118055.307848586</v>
      </c>
      <c r="H15" s="0" t="n">
        <f aca="false">H13-MAX(0,H13)*H14/100</f>
        <v>122777.52016253</v>
      </c>
      <c r="I15" s="0" t="n">
        <f aca="false">I13-MAX(0,I13)*I14/100</f>
        <v>127688.620969031</v>
      </c>
      <c r="J15" s="0" t="n">
        <f aca="false">J13-MAX(0,J13)*J14/100</f>
        <v>132157.722702947</v>
      </c>
      <c r="K15" s="0" t="n">
        <f aca="false">K13-MAX(0,K13)*K14/100</f>
        <v>136783.24299755</v>
      </c>
      <c r="L15" s="0" t="n">
        <f aca="false">L13-MAX(0,L13)*L14/100</f>
        <v>141570.656502464</v>
      </c>
    </row>
    <row r="16" customFormat="false" ht="15" hidden="false" customHeight="false" outlineLevel="0" collapsed="false">
      <c r="A16" s="0" t="s">
        <v>133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134</v>
      </c>
      <c r="C17" s="4" t="n">
        <f aca="false">-C6*Assumptions!C46/100</f>
        <v>-28329.780528</v>
      </c>
      <c r="D17" s="4" t="n">
        <f aca="false">-D6*Assumptions!D46/100</f>
        <v>-72229.13627118</v>
      </c>
      <c r="E17" s="4" t="n">
        <f aca="false">-E6*Assumptions!E46/100</f>
        <v>-66223.432226385</v>
      </c>
      <c r="F17" s="4" t="n">
        <f aca="false">-F6*Assumptions!F46/100</f>
        <v>-58506.5042481575</v>
      </c>
      <c r="G17" s="4" t="n">
        <f aca="false">-G6*Assumptions!G46/100</f>
        <v>-55307.6910238402</v>
      </c>
      <c r="H17" s="4" t="n">
        <f aca="false">-H6*Assumptions!H46/100</f>
        <v>-51358.8607324979</v>
      </c>
      <c r="I17" s="4" t="n">
        <f aca="false">-I6*Assumptions!I46/100</f>
        <v>-53413.2151617978</v>
      </c>
      <c r="J17" s="4" t="n">
        <f aca="false">-J6*Assumptions!J46/100</f>
        <v>-48599.0175028381</v>
      </c>
      <c r="K17" s="4" t="n">
        <f aca="false">-K6*Assumptions!K46/100</f>
        <v>-50299.9831154374</v>
      </c>
      <c r="L17" s="4" t="n">
        <f aca="false">-L6*Assumptions!L46/100</f>
        <v>-52060.4825244777</v>
      </c>
    </row>
    <row r="18" customFormat="false" ht="15" hidden="false" customHeight="false" outlineLevel="0" collapsed="false">
      <c r="A18" s="0" t="s">
        <v>135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136</v>
      </c>
      <c r="C19" s="0" t="n">
        <f aca="false">C15+C16+C17+C18</f>
        <v>63684.889695</v>
      </c>
      <c r="D19" s="0" t="n">
        <f aca="false">D15+D16+D17+D18</f>
        <v>26644.0348341825</v>
      </c>
      <c r="E19" s="0" t="n">
        <f aca="false">E15+E16+E17+E18</f>
        <v>39480.976155348</v>
      </c>
      <c r="F19" s="0" t="n">
        <f aca="false">F15+F16+F17+F18</f>
        <v>54465.0822098196</v>
      </c>
      <c r="G19" s="0" t="n">
        <f aca="false">G15+G16+G17+G18</f>
        <v>62747.6168247459</v>
      </c>
      <c r="H19" s="0" t="n">
        <f aca="false">H15+H16+H17+H18</f>
        <v>71418.6594300317</v>
      </c>
      <c r="I19" s="0" t="n">
        <f aca="false">I15+I16+I17+I18</f>
        <v>74275.4058072329</v>
      </c>
      <c r="J19" s="0" t="n">
        <f aca="false">J15+J16+J17+J18</f>
        <v>83558.7052001088</v>
      </c>
      <c r="K19" s="0" t="n">
        <f aca="false">K15+K16+K17+K18</f>
        <v>86483.2598821126</v>
      </c>
      <c r="L19" s="0" t="n">
        <f aca="false">L15+L16+L17+L18</f>
        <v>89510.1739779865</v>
      </c>
    </row>
    <row r="20" customFormat="false" ht="15" hidden="false" customHeight="false" outlineLevel="0" collapsed="false">
      <c r="A20" s="0" t="s">
        <v>137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138</v>
      </c>
      <c r="C21" s="0" t="n">
        <f aca="false">C19*C20</f>
        <v>58159.7166164384</v>
      </c>
      <c r="D21" s="0" t="n">
        <f aca="false">D19*D20</f>
        <v>22221.4172633452</v>
      </c>
      <c r="E21" s="0" t="n">
        <f aca="false">E19*E20</f>
        <v>30070.8375443541</v>
      </c>
      <c r="F21" s="0" t="n">
        <f aca="false">F19*F20</f>
        <v>37884.5110776236</v>
      </c>
      <c r="G21" s="0" t="n">
        <f aca="false">G19*G20</f>
        <v>39859.0221375842</v>
      </c>
      <c r="H21" s="0" t="n">
        <f aca="false">H19*H20</f>
        <v>41431.1491208214</v>
      </c>
      <c r="I21" s="0" t="n">
        <f aca="false">I19*I20</f>
        <v>39350.1324983144</v>
      </c>
      <c r="J21" s="0" t="n">
        <f aca="false">J19*J20</f>
        <v>40427.673373688</v>
      </c>
      <c r="K21" s="0" t="n">
        <f aca="false">K19*K20</f>
        <v>38212.4583943078</v>
      </c>
      <c r="L21" s="0" t="n">
        <f aca="false">L19*L20</f>
        <v>36118.6250576334</v>
      </c>
    </row>
    <row r="23" customFormat="false" ht="15" hidden="false" customHeight="false" outlineLevel="0" collapsed="false">
      <c r="A23" s="0" t="s">
        <v>114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140</v>
      </c>
    </row>
    <row r="27" customFormat="false" ht="15" hidden="false" customHeight="false" outlineLevel="0" collapsed="false">
      <c r="A27" s="0" t="s">
        <v>118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119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120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141</v>
      </c>
      <c r="B30" s="0" t="n">
        <f aca="false">SUM(C21:L21)</f>
        <v>383735.54308411</v>
      </c>
    </row>
    <row r="31" customFormat="false" ht="15" hidden="false" customHeight="false" outlineLevel="0" collapsed="false">
      <c r="A31" s="0" t="s">
        <v>142</v>
      </c>
      <c r="B31" s="0" t="n">
        <f aca="false">L19</f>
        <v>89510.1739779865</v>
      </c>
    </row>
    <row r="32" customFormat="false" ht="15" hidden="false" customHeight="false" outlineLevel="0" collapsed="false">
      <c r="A32" s="0" t="s">
        <v>143</v>
      </c>
      <c r="B32" s="0" t="n">
        <f aca="false">IF(B27&gt;B28,B31*(1+B28/100)/((B27-B28)/100),B31*B29)</f>
        <v>1544050.50112027</v>
      </c>
    </row>
    <row r="33" customFormat="false" ht="15" hidden="false" customHeight="false" outlineLevel="0" collapsed="false">
      <c r="A33" s="0" t="s">
        <v>144</v>
      </c>
      <c r="B33" s="0" t="n">
        <f aca="false">B31*B29</f>
        <v>1432162.78364778</v>
      </c>
    </row>
    <row r="34" customFormat="false" ht="15" hidden="false" customHeight="false" outlineLevel="0" collapsed="false">
      <c r="A34" s="0" t="s">
        <v>145</v>
      </c>
      <c r="B34" s="0" t="n">
        <f aca="false">MAX(0,MIN(B32,B33))</f>
        <v>1432162.78364778</v>
      </c>
    </row>
    <row r="35" customFormat="false" ht="15" hidden="false" customHeight="false" outlineLevel="0" collapsed="false">
      <c r="A35" s="0" t="s">
        <v>146</v>
      </c>
      <c r="B35" s="0" t="n">
        <f aca="false">B34/(1+B27/100)^L4</f>
        <v>577898.000922135</v>
      </c>
    </row>
    <row r="36" customFormat="false" ht="15" hidden="false" customHeight="false" outlineLevel="0" collapsed="false">
      <c r="A36" s="0" t="s">
        <v>147</v>
      </c>
      <c r="B36" s="0" t="n">
        <f aca="false">B30+B35</f>
        <v>961633.544006245</v>
      </c>
    </row>
    <row r="37" customFormat="false" ht="15" hidden="false" customHeight="false" outlineLevel="0" collapsed="false">
      <c r="A37" s="0" t="s">
        <v>148</v>
      </c>
      <c r="B37" s="0" t="n">
        <f aca="false">B36+Assumptions!$B$5-Assumptions!$B$4</f>
        <v>811633.544006245</v>
      </c>
    </row>
    <row r="38" customFormat="false" ht="15" hidden="false" customHeight="false" outlineLevel="0" collapsed="false">
      <c r="A38" s="0" t="s">
        <v>149</v>
      </c>
      <c r="B38" s="0" t="n">
        <f aca="false">B37/Assumptions!$B$3*Assumptions!$B$10</f>
        <v>7.93352443739482</v>
      </c>
    </row>
    <row r="39" customFormat="false" ht="15" hidden="false" customHeight="false" outlineLevel="0" collapsed="false">
      <c r="A39" s="0" t="s">
        <v>150</v>
      </c>
      <c r="B39" s="4" t="n">
        <f aca="false">B38/Assumptions!$B$2-1</f>
        <v>0.438535709409759</v>
      </c>
    </row>
    <row r="41" customFormat="false" ht="15" hidden="false" customHeight="false" outlineLevel="0" collapsed="false">
      <c r="A41" s="0" t="s">
        <v>151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152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153</v>
      </c>
      <c r="B43" s="0" t="n">
        <f aca="false">(B37+B41+B42)/Assumptions!$B$3*Assumptions!$B$10</f>
        <v>7.93352443739482</v>
      </c>
    </row>
    <row r="45" customFormat="false" ht="15" hidden="false" customHeight="false" outlineLevel="0" collapsed="false">
      <c r="A45" s="0" t="s">
        <v>94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154</v>
      </c>
      <c r="B46" s="0" t="n">
        <f aca="false">MAX(0,MIN(IF(B45&gt;B28,B31*(1+B28/100)/((B45-B28)/100),B31*B29),B31*B29))</f>
        <v>805591.565801879</v>
      </c>
    </row>
    <row r="47" customFormat="false" ht="15" hidden="false" customHeight="false" outlineLevel="0" collapsed="false">
      <c r="A47" s="0" t="s">
        <v>155</v>
      </c>
      <c r="B47" s="0" t="n">
        <f aca="false">(SUMPRODUCT(C19:L19/(1+B45/100)^C4:L4)+B46/(1+B45/100)^L4+Assumptions!$B$5-Assumptions!$B$4)/Assumptions!$B$3*Assumptions!$B$10</f>
        <v>3.379873405725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158</v>
      </c>
    </row>
    <row r="3" customFormat="false" ht="15" hidden="false" customHeight="false" outlineLevel="0" collapsed="false">
      <c r="A3" s="2" t="s">
        <v>159</v>
      </c>
      <c r="B3" s="2" t="s">
        <v>160</v>
      </c>
      <c r="C3" s="2" t="s">
        <v>150</v>
      </c>
      <c r="D3" s="2" t="s">
        <v>161</v>
      </c>
      <c r="E3" s="2" t="s">
        <v>153</v>
      </c>
      <c r="F3" s="2" t="s">
        <v>162</v>
      </c>
    </row>
    <row r="4" customFormat="false" ht="15" hidden="false" customHeight="false" outlineLevel="0" collapsed="false">
      <c r="A4" s="0" t="s">
        <v>163</v>
      </c>
      <c r="B4" s="4" t="n">
        <f aca="false">DCF_Bear!$B$38</f>
        <v>0.799093791071494</v>
      </c>
      <c r="C4" s="0" t="n">
        <f aca="false">B4/Assumptions!$B$2-1</f>
        <v>-0.855105386931733</v>
      </c>
      <c r="D4" s="4" t="n">
        <f aca="false">Assumptions!$B$24</f>
        <v>0.3</v>
      </c>
      <c r="E4" s="4" t="n">
        <f aca="false">DCF_Bear!$B$43</f>
        <v>0.799093791071494</v>
      </c>
      <c r="F4" s="4" t="n">
        <f aca="false">DCF_Bear!$B$47</f>
        <v>-0.435222809369825</v>
      </c>
    </row>
    <row r="5" customFormat="false" ht="15" hidden="false" customHeight="false" outlineLevel="0" collapsed="false">
      <c r="A5" s="0" t="s">
        <v>164</v>
      </c>
      <c r="B5" s="4" t="n">
        <f aca="false">DCF_Base!$B$38</f>
        <v>4.36224241508895</v>
      </c>
      <c r="C5" s="0" t="n">
        <f aca="false">B5/Assumptions!$B$2-1</f>
        <v>-0.209022227545068</v>
      </c>
      <c r="D5" s="4" t="n">
        <f aca="false">Assumptions!$B$38</f>
        <v>0.5</v>
      </c>
      <c r="E5" s="4" t="n">
        <f aca="false">DCF_Base!$B$43</f>
        <v>4.36224241508895</v>
      </c>
      <c r="F5" s="4" t="n">
        <f aca="false">DCF_Base!$B$47</f>
        <v>1.26043731821814</v>
      </c>
    </row>
    <row r="6" customFormat="false" ht="15" hidden="false" customHeight="false" outlineLevel="0" collapsed="false">
      <c r="A6" s="0" t="s">
        <v>165</v>
      </c>
      <c r="B6" s="4" t="n">
        <f aca="false">DCF_Bull!$B$38</f>
        <v>7.93352443739482</v>
      </c>
      <c r="C6" s="0" t="n">
        <f aca="false">B6/Assumptions!$B$2-1</f>
        <v>0.438535709409759</v>
      </c>
      <c r="D6" s="4" t="n">
        <f aca="false">Assumptions!$B$52</f>
        <v>0.2</v>
      </c>
      <c r="E6" s="4" t="n">
        <f aca="false">DCF_Bull!$B$43</f>
        <v>7.93352443739482</v>
      </c>
      <c r="F6" s="4" t="n">
        <f aca="false">DCF_Bull!$B$47</f>
        <v>3.379873405725</v>
      </c>
    </row>
    <row r="8" customFormat="false" ht="15" hidden="false" customHeight="false" outlineLevel="0" collapsed="false">
      <c r="A8" s="0" t="s">
        <v>166</v>
      </c>
      <c r="B8" s="0" t="n">
        <f aca="false">SUMPRODUCT(B4:B6,D4:D6)</f>
        <v>4.00755423234489</v>
      </c>
    </row>
    <row r="9" customFormat="false" ht="15" hidden="false" customHeight="false" outlineLevel="0" collapsed="false">
      <c r="A9" s="0" t="s">
        <v>167</v>
      </c>
      <c r="B9" s="0" t="n">
        <f aca="false">SUMPRODUCT(E4:E6,D4:D6)</f>
        <v>4.00755423234489</v>
      </c>
    </row>
    <row r="10" customFormat="false" ht="15" hidden="false" customHeight="false" outlineLevel="0" collapsed="false">
      <c r="A10" s="0" t="s">
        <v>168</v>
      </c>
      <c r="B10" s="0" t="n">
        <f aca="false">1-Assumptions!$B$2/B8</f>
        <v>-0.376151058790059</v>
      </c>
    </row>
    <row r="11" customFormat="false" ht="15" hidden="false" customHeight="false" outlineLevel="0" collapsed="false">
      <c r="A11" s="0" t="s">
        <v>169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170</v>
      </c>
      <c r="B12" s="0" t="n">
        <f aca="false">SUMPRODUCT(F4:F6,D4:D6)</f>
        <v>1.17562649744312</v>
      </c>
    </row>
    <row r="14" customFormat="false" ht="15" hidden="false" customHeight="false" outlineLevel="0" collapsed="false">
      <c r="A14" s="2" t="s">
        <v>171</v>
      </c>
      <c r="C14" s="0" t="s">
        <v>172</v>
      </c>
    </row>
    <row r="15" customFormat="false" ht="15" hidden="false" customHeight="false" outlineLevel="0" collapsed="false">
      <c r="A15" s="0" t="s">
        <v>173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4.64052176426687</v>
      </c>
      <c r="C15" s="3" t="n">
        <v>9</v>
      </c>
    </row>
    <row r="16" customFormat="false" ht="15" hidden="false" customHeight="false" outlineLevel="0" collapsed="false">
      <c r="A16" s="0" t="s">
        <v>174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4.36224241508895</v>
      </c>
      <c r="C16" s="3" t="n">
        <v>9.5</v>
      </c>
    </row>
    <row r="17" customFormat="false" ht="15" hidden="false" customHeight="false" outlineLevel="0" collapsed="false">
      <c r="A17" s="0" t="s">
        <v>175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3.86790031635223</v>
      </c>
      <c r="C17" s="3" t="n">
        <v>10</v>
      </c>
    </row>
    <row r="18" customFormat="false" ht="15" hidden="false" customHeight="false" outlineLevel="0" collapsed="false">
      <c r="A18" s="0" t="s">
        <v>176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3.07090489360308</v>
      </c>
      <c r="C18" s="3" t="n">
        <v>11</v>
      </c>
    </row>
    <row r="19" customFormat="false" ht="15" hidden="false" customHeight="false" outlineLevel="0" collapsed="false">
      <c r="A19" s="0" t="s">
        <v>177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2.45805393069468</v>
      </c>
      <c r="C19" s="3" t="n">
        <v>12</v>
      </c>
    </row>
    <row r="20" customFormat="false" ht="15" hidden="false" customHeight="false" outlineLevel="0" collapsed="false">
      <c r="A20" s="0" t="s">
        <v>178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1.26043731821814</v>
      </c>
      <c r="C20" s="3" t="n">
        <v>15</v>
      </c>
    </row>
    <row r="22" customFormat="false" ht="15" hidden="false" customHeight="false" outlineLevel="0" collapsed="false">
      <c r="A22" s="2" t="s">
        <v>179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5.43476344332732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5.43476344332732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5.43476344332732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5.43476344332732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5.43476344332732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4.80938301088865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4.89261316501628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4.89261316501628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4.89261316501628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4.89261316501628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3.80792343522586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4.06528581873373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4.36224241508895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4.40020946850423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4.40020946850423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3.05115209953684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3.2342410061541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3.44174176698701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3.67888549365318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3.95251287057569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2.46121252041329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2.59548639617843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2.74555719850417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2.91438685112064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3.10572712408596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2026-10-16T14:37:39Z</dcterms:created>
  <dc:creator>openpyxl</dc:creator>
  <dc:description/>
  <dc:language>en-NZ</dc:language>
  <cp:lastModifiedBy/>
  <dcterms:modified xsi:type="dcterms:W3CDTF">2026-10-16T14:37:39Z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