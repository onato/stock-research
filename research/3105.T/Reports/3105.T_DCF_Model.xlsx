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<sst xmlns="http://schemas.openxmlformats.org/spreadsheetml/2006/main" count="378" uniqueCount="173">
  <si>
    <t xml:space="preserve">Ticker</t>
  </si>
  <si>
    <t xml:space="preserve">3105.T</t>
  </si>
  <si>
    <t xml:space="preserve">Company</t>
  </si>
  <si>
    <t xml:space="preserve">Nisshinbo Holdings Inc.</t>
  </si>
  <si>
    <t xml:space="preserve">Valuation date</t>
  </si>
  <si>
    <t xml:space="preserve">2026-10-26</t>
  </si>
  <si>
    <t xml:space="preserve">Current price</t>
  </si>
  <si>
    <t xml:space="preserve">Price as of</t>
  </si>
  <si>
    <t xml:space="preserve">2026-10-26T06:30:00Z (TSE regular close 15:30 JST)</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</si>
  <si>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</si>
  <si>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</si>
  <si>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</si>
  <si>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</si>
  <si>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</si>
  <si>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</si>
  <si>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</si>
  <si>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</si>
  <si>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</si>
  <si>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</si>
  <si>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</si>
  <si>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</si>
  <si>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2026-10-26T07:54:28Z</t>
  </si>
  <si>
    <t xml:space="preserve">Drivers file</t>
  </si>
  <si>
    <t xml:space="preserve">3105.T_Drivers.json</t>
  </si>
  <si>
    <t xml:space="preserve">Convention</t>
  </si>
  <si>
    <t xml:space="preserve">Percents stored as percents; formulas divide by 100. Blue = input, green = link, black = formula.</t>
  </si>
  <si>
    <t xml:space="preserve">Methodology</t>
  </si>
  <si>
    <t xml:space="preserve">summary: A JPY owner-FCF DCF on a diversified industrial whose earnings are being re-based upward by the exit from European brakes and by structural reform in Wireless and Micro Devices. The valuation deliberately uses operating profit as the starting point (so the JPY 86bn securities portfolio, its dividends and the equity-method income sit in the bridge, not the flows), charges NCI once in the bridge, holds the share count flat with SBC at an explicit 0%, and applies one JPY WACC (8.0%) across all scenarios so cyclicality and execution risk are priced in the flows and weights rather than stacked into the discount rate. The terminal multiple is capped at 14x FCF because the stock has rarely traded above ~7x EV/EBITDA and the market has never paid a compounder multiple for Nisshinbo. The large working-capital base (~50% of revenue) is charged against growth; real-estate project gains are normalised, not carried forward.
key_risks_to_valuation: FY2026 H2 seasonality: the model assumes H2 OP is positive (+JPY 1-8bn across scenarios); if guidance's implied H2 loss materialises, Y1 EBITDA margin drops ~1.5pp; Wireless margin durability: the H1 FY2026 margin benefited from yen weakness (JPY 200m OP per 1 yen) and a Q1-heavy government delivery schedule; a stronger yen or defence budget slippage erodes it; Micro Devices: a further JPY 5bn+ annual loss is a direct ~1pp EBITDA-margin hit; the restructuring benefit is assumed, not yet reported; Mechatronics carve-out and further divestitures change the revenue base; the FY2027 growth figure is an estimate pending disclosure of the transferred revenue; Securities portfolio at JPY 75bn net (JPY 480/share) is marked to a strong Japanese equity market; a 30% drawdown is ~JPY 145/share; Working-capital capture at -40% is a judgment; receivable timing on government contracts swings annual FCF by JPY 10-30bn; Terminal cap at 14x FCF binds in the bull/base cases; raising it to the Gordon value is a re-rating thesis the market has not historically paid for</t>
  </si>
  <si>
    <t xml:space="preserve">Data sources</t>
  </si>
  <si>
    <t xml:space="preserve">price: Yahoo Finance chart API regularMarketPrice at inputs.price_as_of; 52-week range 1164.5-2837.0
financials: 3105.T_Metrics.csv (core_metrics, 61 periods FY2011-H1 FY2026); FY2025 annual tanshin (3105.T_Annual_FY2025.txt: segment table lines 989-1057, cash-flow statement 794-879, capex/D&amp;A plan 1394-1405) and H1 FY2026 tanshin (3105.T_HalfYear_H1-2026.txt: balance sheet 270-352, income statement 368-409, cash flows 456-532, share count 94-104); FY2025 results presentation (segment FY2026 forecast p.9-10, OP-margin and ROIC targets p.15, transformation targets p.36); H1 FY2026 presentation (guidance reaffirmed, fixed-cost reductions)
qualitative: 3105.T_Analysis.json (2026-10-26)</t>
  </si>
  <si>
    <t xml:space="preserve">Scenario narrative: bear</t>
  </si>
  <si>
    <t xml:space="preserve">The H1 FY2026 margin proves a seasonal/FX peak: Wireless profit slips back toward JPY 10-13bn as R&amp;D and headcount costs rise, Micro Devices stays loss-making through another semiconductor downcycle, the auto segments see a volume downturn and EV-transition pricing pressure, Real Estate project gains dry up, and restructuring charges recur every year. EBITDA margin settles at 9.5%, revenue flat to +1% -- the FY2019-24 earning power, and the conglomerate discount persists.</t>
  </si>
  <si>
    <t xml:space="preserve">Scenario narrative: base</t>
  </si>
  <si>
    <t xml:space="preserve">Nisshinbo's value hinges on whether the Wireless and Communications engine (Japan Radio + KOKUSAI DENKI, half of revenue) holds the margin step-up it showed in FY2025-H1 FY2026 as Japan's defence and disaster-prevention budgets grow, while the materials and semiconductor legacy stops bleeding. Base: Wireless OP stays in the JPY 17-22bn range, Micro Devices reaches break-even on the JPY 4bn fixed-cost cut, Real Estate normalises to a JPY 5-7bn contribution, and the Mechatronics carve-out trims FY2027 revenue. Consolidated EBITDA margin matures at 12% (OP ~7%) -- better than the 3-5% decade but short of the 10% OP target. FY2026 guidance of JPY 21bn OP is treated as sandbagged given JPY 30.3bn was earned in H1.</t>
  </si>
  <si>
    <t xml:space="preserve">Scenario narrative: bull</t>
  </si>
  <si>
    <t xml:space="preserve">The 'Blueprint for Transformation' delivers: consolidated OP margin reaches the 10% target by Y7 (Wireless JPY 30bn by FY2030 on defence/disaster-DX demand, Micro Devices profitable, materials portfolio pruned to the profitable core), revenue compounds 3-4% through the order book, and the TSE capital-efficiency push adds buybacks. EBITDA margin 15% at maturity, g 1.5%.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</si>
  <si>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</si>
  <si>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</si>
  <si>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</si>
  <si>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</si>
  <si>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</si>
  <si>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</si>
  <si>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</si>
  <si>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</si>
  <si>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</si>
  <si>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</si>
  <si>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</si>
  <si>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</si>
  <si>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</si>
  <si>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</si>
  <si>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</si>
  <si>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</si>
  <si>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</si>
  <si>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</si>
  <si>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</si>
  <si>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</si>
  <si>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</si>
  <si>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</si>
  <si>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</si>
  <si>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</si>
  <si>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</si>
  <si>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</si>
  <si>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</si>
  <si>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BookValuePerShare</t>
  </si>
  <si>
    <t xml:space="preserve">SegmentRevenueRealEstate</t>
  </si>
  <si>
    <t xml:space="preserve">SegmentRevenueWireless</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</si>
  <si>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</si>
  <si>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</si>
  <si>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</si>
  <si>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</si>
  <si>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</si>
  <si>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</si>
  <si>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</si>
  <si>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</si>
  <si>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</si>
  <si>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</si>
  <si>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</si>
  <si>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</si>
  <si>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</si>
  <si>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</si>
  <si>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</si>
  <si>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</si>
  <si>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</si>
  <si>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</si>
  <si>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</si>
  <si>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</si>
  <si>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</si>
  <si>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</si>
  <si>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</si>
  <si>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</si>
  <si>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</si>
  <si>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</si>
  <si>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</si>
  <si>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</si>
  <si>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</si>
  <si>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</si>
  <si>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</si>
  <si>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</si>
  <si>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</si>
  <si>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</si>
  <si>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</si>
  <si>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</si>
  <si>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</si>
  <si>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</si>
  <si>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</si>
  <si>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</si>
  <si>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</si>
  <si>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</si>
  <si>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</si>
  <si>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</si>
  <si>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</si>
  <si>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</si>
  <si>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</si>
  <si>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</si>
  <si>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</si>
  <si>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</si>
  <si>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</si>
  <si>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</si>
  <si>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3105.T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</si>
  <si>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</si>
  <si>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</si>
  <si>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</si>
  <si>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</si>
  <si>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</si>
  <si>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</si>
  <si>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</si>
  <si>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</si>
  <si>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</si>
  <si>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</si>
  <si>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</si>
  <si>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</si>
  <si>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</si>
  <si>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</si>
  <si>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</si>
  <si>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</si>
  <si>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</si>
  <si>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</si>
  <si>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</si>
  <si>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</si>
  <si>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</si>
  <si>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</si>
  <si>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</si>
  <si>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</si>
  <si>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</si>
  <si>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</si>
  <si>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</si>
  <si>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</si>
  <si>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</si>
  <si>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</si>
  <si>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3105.T owner-FCF component DCF: base case (millions, JPY)</t>
  </si>
  <si>
    <t xml:space="preserve">3105.T owner-FCF component DCF: bull case (millions, JPY)</t>
  </si>
  <si>
    <t xml:space="preserve">3105.T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</si>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</sst>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2306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row>
    <row r="2" customFormat="false" ht="15" hidden="false" customHeight="false" outlineLevel="0" collapsed="false">
      <c r="A2" s="0" t="s">
        <v>66</v>
      </c>
      <c r="B2" s="0" t="n">
        <v>325555</v>
      </c>
      <c r="F2" s="0" t="n">
        <v>19842</v>
      </c>
      <c r="G2" s="0" t="n">
        <v>6.09</v>
      </c>
      <c r="I2" s="0" t="n">
        <v>11184</v>
      </c>
      <c r="J2" s="0" t="n">
        <v>3.44</v>
      </c>
      <c r="K2" s="0" t="n">
        <v>63.32</v>
      </c>
      <c r="L2" s="0" t="n">
        <v>16529</v>
      </c>
      <c r="O2" s="0" t="n">
        <v>182380</v>
      </c>
      <c r="P2" s="0" t="n">
        <v>479852</v>
      </c>
      <c r="S2" s="0" t="n">
        <v>45563</v>
      </c>
      <c r="T2" s="0" t="n">
        <v>175.91</v>
      </c>
      <c r="V2" s="0" t="n">
        <v>15</v>
      </c>
      <c r="AA2" s="0" t="s">
        <v>17</v>
      </c>
      <c r="AB2" s="0" t="s">
        <v>14</v>
      </c>
      <c r="AC2" s="0" t="n">
        <v>1036.8</v>
      </c>
    </row>
    <row r="3" customFormat="false" ht="15" hidden="false" customHeight="false" outlineLevel="0" collapsed="false">
      <c r="A3" s="0" t="s">
        <v>67</v>
      </c>
      <c r="B3" s="0" t="n">
        <v>379340</v>
      </c>
      <c r="F3" s="0" t="n">
        <v>4170</v>
      </c>
      <c r="G3" s="0" t="n">
        <v>1.1</v>
      </c>
      <c r="I3" s="0" t="n">
        <v>9415</v>
      </c>
      <c r="J3" s="0" t="n">
        <v>2.48</v>
      </c>
      <c r="K3" s="0" t="n">
        <v>53.83</v>
      </c>
      <c r="L3" s="0" t="n">
        <v>12973</v>
      </c>
      <c r="O3" s="0" t="n">
        <v>185732</v>
      </c>
      <c r="P3" s="0" t="n">
        <v>534583</v>
      </c>
      <c r="S3" s="0" t="n">
        <v>16904</v>
      </c>
      <c r="T3" s="0" t="n">
        <v>174.69</v>
      </c>
      <c r="V3" s="0" t="n">
        <v>15</v>
      </c>
      <c r="AA3" s="0" t="s">
        <v>17</v>
      </c>
      <c r="AB3" s="0" t="s">
        <v>14</v>
      </c>
      <c r="AC3" s="0" t="n">
        <v>1063.2</v>
      </c>
    </row>
    <row r="4" customFormat="false" ht="15" hidden="false" customHeight="false" outlineLevel="0" collapsed="false">
      <c r="A4" s="0" t="s">
        <v>68</v>
      </c>
      <c r="B4" s="0" t="n">
        <v>450693</v>
      </c>
      <c r="F4" s="0" t="n">
        <v>13393</v>
      </c>
      <c r="G4" s="0" t="n">
        <v>2.97</v>
      </c>
      <c r="I4" s="0" t="n">
        <v>6418</v>
      </c>
      <c r="J4" s="0" t="n">
        <v>1.42</v>
      </c>
      <c r="K4" s="0" t="n">
        <v>36.74</v>
      </c>
      <c r="L4" s="0" t="n">
        <v>34095</v>
      </c>
      <c r="O4" s="0" t="n">
        <v>209374</v>
      </c>
      <c r="P4" s="0" t="n">
        <v>551933</v>
      </c>
      <c r="S4" s="0" t="n">
        <v>18403</v>
      </c>
      <c r="T4" s="0" t="n">
        <v>174.67</v>
      </c>
      <c r="V4" s="0" t="n">
        <v>15</v>
      </c>
      <c r="AA4" s="0" t="s">
        <v>17</v>
      </c>
      <c r="AB4" s="0" t="s">
        <v>14</v>
      </c>
      <c r="AC4" s="0" t="n">
        <v>1198.67</v>
      </c>
    </row>
    <row r="5" customFormat="false" ht="15" hidden="false" customHeight="false" outlineLevel="0" collapsed="false">
      <c r="A5" s="0" t="s">
        <v>69</v>
      </c>
      <c r="B5" s="0" t="n">
        <v>494350</v>
      </c>
      <c r="F5" s="0" t="n">
        <v>13175</v>
      </c>
      <c r="G5" s="0" t="n">
        <v>2.67</v>
      </c>
      <c r="I5" s="0" t="n">
        <v>9011</v>
      </c>
      <c r="J5" s="0" t="n">
        <v>1.82</v>
      </c>
      <c r="K5" s="0" t="n">
        <v>51.6</v>
      </c>
      <c r="L5" s="0" t="n">
        <v>26075</v>
      </c>
      <c r="O5" s="0" t="n">
        <v>239231</v>
      </c>
      <c r="P5" s="0" t="n">
        <v>611310</v>
      </c>
      <c r="S5" s="0" t="n">
        <v>24824</v>
      </c>
      <c r="T5" s="0" t="n">
        <v>174.65</v>
      </c>
      <c r="V5" s="0" t="n">
        <v>15</v>
      </c>
      <c r="AA5" s="0" t="s">
        <v>17</v>
      </c>
      <c r="AB5" s="0" t="s">
        <v>14</v>
      </c>
      <c r="AC5" s="0" t="n">
        <v>1369.78</v>
      </c>
    </row>
    <row r="6" customFormat="false" ht="15" hidden="false" customHeight="false" outlineLevel="0" collapsed="false">
      <c r="A6" s="0" t="s">
        <v>70</v>
      </c>
      <c r="B6" s="0" t="n">
        <v>523757</v>
      </c>
      <c r="F6" s="0" t="n">
        <v>13744</v>
      </c>
      <c r="G6" s="0" t="n">
        <v>2.62</v>
      </c>
      <c r="I6" s="0" t="n">
        <v>13693</v>
      </c>
      <c r="J6" s="0" t="n">
        <v>2.61</v>
      </c>
      <c r="K6" s="0" t="n">
        <v>80.33</v>
      </c>
      <c r="L6" s="0" t="n">
        <v>37120</v>
      </c>
      <c r="O6" s="0" t="n">
        <v>258910</v>
      </c>
      <c r="P6" s="0" t="n">
        <v>678486</v>
      </c>
      <c r="S6" s="0" t="n">
        <v>36706</v>
      </c>
      <c r="T6" s="0" t="n">
        <v>158.44</v>
      </c>
      <c r="V6" s="0" t="n">
        <v>15</v>
      </c>
      <c r="AA6" s="0" t="s">
        <v>17</v>
      </c>
      <c r="AB6" s="0" t="s">
        <v>14</v>
      </c>
      <c r="AC6" s="0" t="n">
        <v>1634.07</v>
      </c>
    </row>
    <row r="7" customFormat="false" ht="15" hidden="false" customHeight="false" outlineLevel="0" collapsed="false">
      <c r="A7" s="0" t="s">
        <v>71</v>
      </c>
      <c r="B7" s="0" t="n">
        <v>533989</v>
      </c>
      <c r="F7" s="0" t="n">
        <v>12617</v>
      </c>
      <c r="G7" s="0" t="n">
        <v>2.36</v>
      </c>
      <c r="I7" s="0" t="n">
        <v>10775</v>
      </c>
      <c r="J7" s="0" t="n">
        <v>2.02</v>
      </c>
      <c r="K7" s="0" t="n">
        <v>67.93</v>
      </c>
      <c r="L7" s="0" t="n">
        <v>39566</v>
      </c>
      <c r="O7" s="0" t="n">
        <v>233688</v>
      </c>
      <c r="P7" s="0" t="n">
        <v>651793</v>
      </c>
      <c r="S7" s="0" t="n">
        <v>42271</v>
      </c>
      <c r="T7" s="0" t="n">
        <v>158.73</v>
      </c>
      <c r="V7" s="0" t="n">
        <v>30</v>
      </c>
      <c r="AA7" s="0" t="s">
        <v>17</v>
      </c>
      <c r="AB7" s="0" t="s">
        <v>14</v>
      </c>
      <c r="AC7" s="0" t="n">
        <v>1472.26</v>
      </c>
    </row>
    <row r="8" customFormat="false" ht="15" hidden="false" customHeight="false" outlineLevel="0" collapsed="false">
      <c r="A8" s="0" t="s">
        <v>72</v>
      </c>
      <c r="B8" s="0" t="n">
        <v>527274</v>
      </c>
      <c r="F8" s="0" t="n">
        <v>4890</v>
      </c>
      <c r="G8" s="0" t="n">
        <v>0.93</v>
      </c>
      <c r="I8" s="0" t="n">
        <v>3574</v>
      </c>
      <c r="J8" s="0" t="n">
        <v>0.68</v>
      </c>
      <c r="K8" s="0" t="n">
        <v>22.52</v>
      </c>
      <c r="L8" s="0" t="n">
        <v>26768</v>
      </c>
      <c r="O8" s="0" t="n">
        <v>229435</v>
      </c>
      <c r="P8" s="0" t="n">
        <v>646288</v>
      </c>
      <c r="S8" s="0" t="n">
        <v>39850</v>
      </c>
      <c r="T8" s="0" t="n">
        <v>158.79</v>
      </c>
      <c r="V8" s="0" t="n">
        <v>30</v>
      </c>
      <c r="AA8" s="0" t="s">
        <v>17</v>
      </c>
      <c r="AB8" s="0" t="s">
        <v>14</v>
      </c>
      <c r="AC8" s="0" t="n">
        <v>1444.94</v>
      </c>
    </row>
    <row r="9" customFormat="false" ht="15" hidden="false" customHeight="false" outlineLevel="0" collapsed="false">
      <c r="A9" s="0" t="s">
        <v>73</v>
      </c>
      <c r="B9" s="0" t="n">
        <v>512047</v>
      </c>
      <c r="F9" s="0" t="n">
        <v>15085</v>
      </c>
      <c r="G9" s="0" t="n">
        <v>2.95</v>
      </c>
      <c r="I9" s="0" t="n">
        <v>26352</v>
      </c>
      <c r="J9" s="0" t="n">
        <v>5.15</v>
      </c>
      <c r="K9" s="0" t="n">
        <v>160.59</v>
      </c>
      <c r="L9" s="0" t="n">
        <v>32414</v>
      </c>
      <c r="O9" s="0" t="n">
        <v>268771</v>
      </c>
      <c r="P9" s="0" t="n">
        <v>654227</v>
      </c>
      <c r="S9" s="0" t="n">
        <v>36478</v>
      </c>
      <c r="T9" s="0" t="n">
        <v>161.98</v>
      </c>
      <c r="V9" s="0" t="n">
        <v>30</v>
      </c>
      <c r="AA9" s="0" t="s">
        <v>17</v>
      </c>
      <c r="AB9" s="0" t="s">
        <v>14</v>
      </c>
      <c r="AC9" s="0" t="n">
        <v>1659.29</v>
      </c>
    </row>
    <row r="10" customFormat="false" ht="15" hidden="false" customHeight="false" outlineLevel="0" collapsed="false">
      <c r="A10" s="0" t="s">
        <v>74</v>
      </c>
      <c r="B10" s="0" t="n">
        <v>509660</v>
      </c>
      <c r="F10" s="0" t="n">
        <v>6482</v>
      </c>
      <c r="G10" s="0" t="n">
        <v>1.27</v>
      </c>
      <c r="I10" s="0" t="n">
        <v>-6604</v>
      </c>
      <c r="J10" s="0" t="n">
        <v>-1.3</v>
      </c>
      <c r="K10" s="0" t="n">
        <v>-39.45</v>
      </c>
      <c r="L10" s="0" t="n">
        <v>26249</v>
      </c>
      <c r="O10" s="0" t="n">
        <v>238104</v>
      </c>
      <c r="P10" s="0" t="n">
        <v>617527</v>
      </c>
      <c r="S10" s="0" t="n">
        <v>37268</v>
      </c>
      <c r="T10" s="0" t="n">
        <v>166.29</v>
      </c>
      <c r="V10" s="0" t="n">
        <v>30</v>
      </c>
      <c r="AA10" s="0" t="s">
        <v>17</v>
      </c>
      <c r="AB10" s="0" t="s">
        <v>14</v>
      </c>
      <c r="AC10" s="0" t="n">
        <v>1431.87</v>
      </c>
      <c r="AD10" s="0" t="n">
        <v>11655</v>
      </c>
      <c r="AE10" s="0" t="n">
        <v>152212</v>
      </c>
    </row>
    <row r="11" customFormat="false" ht="15" hidden="false" customHeight="false" outlineLevel="0" collapsed="false">
      <c r="A11" s="0" t="s">
        <v>75</v>
      </c>
      <c r="B11" s="0" t="n">
        <v>457051</v>
      </c>
      <c r="F11" s="0" t="n">
        <v>1248</v>
      </c>
      <c r="G11" s="0" t="n">
        <v>0.27</v>
      </c>
      <c r="I11" s="0" t="n">
        <v>13540</v>
      </c>
      <c r="J11" s="0" t="n">
        <v>2.96</v>
      </c>
      <c r="K11" s="0" t="n">
        <v>81.38</v>
      </c>
      <c r="L11" s="0" t="n">
        <v>42590</v>
      </c>
      <c r="O11" s="0" t="n">
        <v>228872</v>
      </c>
      <c r="P11" s="0" t="n">
        <v>581204</v>
      </c>
      <c r="S11" s="0" t="n">
        <v>48699</v>
      </c>
      <c r="T11" s="0" t="n">
        <v>166.43</v>
      </c>
      <c r="V11" s="0" t="n">
        <v>30</v>
      </c>
      <c r="AA11" s="0" t="s">
        <v>17</v>
      </c>
      <c r="AB11" s="0" t="s">
        <v>14</v>
      </c>
      <c r="AC11" s="0" t="n">
        <v>1375.19</v>
      </c>
      <c r="AD11" s="0" t="n">
        <v>20279</v>
      </c>
      <c r="AE11" s="0" t="n">
        <v>144312</v>
      </c>
    </row>
    <row r="12" customFormat="false" ht="15" hidden="false" customHeight="false" outlineLevel="0" collapsed="false">
      <c r="A12" s="0" t="s">
        <v>76</v>
      </c>
      <c r="B12" s="0" t="n">
        <v>510643</v>
      </c>
      <c r="F12" s="0" t="n">
        <v>21788</v>
      </c>
      <c r="G12" s="0" t="n">
        <v>4.27</v>
      </c>
      <c r="I12" s="0" t="n">
        <v>24816</v>
      </c>
      <c r="J12" s="0" t="n">
        <v>4.86</v>
      </c>
      <c r="K12" s="0" t="n">
        <v>149.08</v>
      </c>
      <c r="L12" s="0" t="n">
        <v>39827</v>
      </c>
      <c r="O12" s="0" t="n">
        <v>259060</v>
      </c>
      <c r="P12" s="0" t="n">
        <v>604799</v>
      </c>
      <c r="S12" s="0" t="n">
        <v>42596</v>
      </c>
      <c r="T12" s="0" t="n">
        <v>166.49</v>
      </c>
      <c r="V12" s="0" t="n">
        <v>30</v>
      </c>
      <c r="AA12" s="0" t="s">
        <v>17</v>
      </c>
      <c r="AB12" s="0" t="s">
        <v>14</v>
      </c>
      <c r="AC12" s="0" t="n">
        <v>1556</v>
      </c>
      <c r="AD12" s="0" t="n">
        <v>15584</v>
      </c>
      <c r="AE12" s="0" t="n">
        <v>155084</v>
      </c>
    </row>
    <row r="13" customFormat="false" ht="15" hidden="false" customHeight="false" outlineLevel="0" collapsed="false">
      <c r="A13" s="0" t="s">
        <v>77</v>
      </c>
      <c r="B13" s="0" t="n">
        <v>516085</v>
      </c>
      <c r="F13" s="0" t="n">
        <v>15435</v>
      </c>
      <c r="G13" s="0" t="n">
        <v>2.99</v>
      </c>
      <c r="I13" s="0" t="n">
        <v>19740</v>
      </c>
      <c r="J13" s="0" t="n">
        <v>3.82</v>
      </c>
      <c r="K13" s="0" t="n">
        <v>121.06</v>
      </c>
      <c r="L13" s="0" t="n">
        <v>19585</v>
      </c>
      <c r="O13" s="0" t="n">
        <v>263749</v>
      </c>
      <c r="P13" s="0" t="n">
        <v>616273</v>
      </c>
      <c r="S13" s="0" t="n">
        <v>45092</v>
      </c>
      <c r="T13" s="0" t="n">
        <v>157.04</v>
      </c>
      <c r="V13" s="0" t="n">
        <v>34</v>
      </c>
      <c r="AA13" s="0" t="s">
        <v>17</v>
      </c>
      <c r="AB13" s="0" t="s">
        <v>14</v>
      </c>
      <c r="AC13" s="0" t="n">
        <v>1679.52</v>
      </c>
      <c r="AD13" s="0" t="n">
        <v>11178</v>
      </c>
      <c r="AE13" s="0" t="n">
        <v>150392</v>
      </c>
    </row>
    <row r="14" customFormat="false" ht="15" hidden="false" customHeight="false" outlineLevel="0" collapsed="false">
      <c r="A14" s="0" t="s">
        <v>78</v>
      </c>
      <c r="B14" s="0" t="n">
        <v>541211</v>
      </c>
      <c r="F14" s="0" t="n">
        <v>12453</v>
      </c>
      <c r="G14" s="0" t="n">
        <v>2.3</v>
      </c>
      <c r="I14" s="0" t="n">
        <v>-20045</v>
      </c>
      <c r="J14" s="0" t="n">
        <v>-3.7</v>
      </c>
      <c r="K14" s="0" t="n">
        <v>-127.61</v>
      </c>
      <c r="L14" s="0" t="n">
        <v>24158</v>
      </c>
      <c r="O14" s="0" t="n">
        <v>250597</v>
      </c>
      <c r="P14" s="0" t="n">
        <v>672217</v>
      </c>
      <c r="S14" s="0" t="n">
        <v>49918</v>
      </c>
      <c r="T14" s="0" t="n">
        <v>157.11</v>
      </c>
      <c r="V14" s="0" t="n">
        <v>36</v>
      </c>
      <c r="AA14" s="0" t="s">
        <v>17</v>
      </c>
      <c r="AB14" s="0" t="s">
        <v>14</v>
      </c>
      <c r="AC14" s="0" t="n">
        <v>1594.99</v>
      </c>
      <c r="AD14" s="0" t="n">
        <v>11263</v>
      </c>
      <c r="AE14" s="0" t="n">
        <v>158081</v>
      </c>
    </row>
    <row r="15" customFormat="false" ht="15" hidden="false" customHeight="false" outlineLevel="0" collapsed="false">
      <c r="A15" s="0" t="s">
        <v>79</v>
      </c>
      <c r="B15" s="0" t="n">
        <v>494746</v>
      </c>
      <c r="C15" s="0" t="n">
        <v>385413</v>
      </c>
      <c r="D15" s="0" t="n">
        <v>109332</v>
      </c>
      <c r="E15" s="0" t="n">
        <v>22.1</v>
      </c>
      <c r="F15" s="0" t="n">
        <v>16581</v>
      </c>
      <c r="G15" s="0" t="n">
        <v>3.35</v>
      </c>
      <c r="H15" s="0" t="n">
        <v>42518</v>
      </c>
      <c r="I15" s="0" t="n">
        <v>10277</v>
      </c>
      <c r="J15" s="0" t="n">
        <v>2.08</v>
      </c>
      <c r="K15" s="0" t="n">
        <v>65.4</v>
      </c>
      <c r="L15" s="0" t="n">
        <v>28371</v>
      </c>
      <c r="M15" s="0" t="n">
        <v>24848</v>
      </c>
      <c r="N15" s="0" t="n">
        <v>3523</v>
      </c>
      <c r="O15" s="0" t="n">
        <v>269788</v>
      </c>
      <c r="P15" s="0" t="n">
        <v>680112</v>
      </c>
      <c r="Q15" s="0" t="n">
        <v>382327</v>
      </c>
      <c r="R15" s="0" t="n">
        <v>217185</v>
      </c>
      <c r="S15" s="0" t="n">
        <v>50411</v>
      </c>
      <c r="T15" s="0" t="n">
        <v>157.17</v>
      </c>
      <c r="V15" s="0" t="n">
        <v>36</v>
      </c>
      <c r="AA15" s="0" t="s">
        <v>17</v>
      </c>
      <c r="AB15" s="0" t="s">
        <v>14</v>
      </c>
      <c r="AC15" s="0" t="n">
        <v>1716.57</v>
      </c>
      <c r="AD15" s="0" t="n">
        <v>23539</v>
      </c>
      <c r="AE15" s="0" t="n">
        <v>234515</v>
      </c>
    </row>
    <row r="16" customFormat="false" ht="15" hidden="false" customHeight="false" outlineLevel="0" collapsed="false">
      <c r="A16" s="0" t="s">
        <v>80</v>
      </c>
      <c r="B16" s="0" t="n">
        <v>502339</v>
      </c>
      <c r="C16" s="0" t="n">
        <v>384789</v>
      </c>
      <c r="D16" s="0" t="n">
        <v>117550</v>
      </c>
      <c r="E16" s="0" t="n">
        <v>23.4</v>
      </c>
      <c r="F16" s="0" t="n">
        <v>26401</v>
      </c>
      <c r="G16" s="0" t="n">
        <v>5.26</v>
      </c>
      <c r="H16" s="0" t="n">
        <v>52000</v>
      </c>
      <c r="I16" s="0" t="n">
        <v>13920</v>
      </c>
      <c r="J16" s="0" t="n">
        <v>2.77</v>
      </c>
      <c r="K16" s="0" t="n">
        <v>89.07</v>
      </c>
      <c r="L16" s="0" t="n">
        <v>49337</v>
      </c>
      <c r="M16" s="0" t="n">
        <v>16839</v>
      </c>
      <c r="N16" s="0" t="n">
        <v>32498</v>
      </c>
      <c r="O16" s="0" t="n">
        <v>287322</v>
      </c>
      <c r="P16" s="0" t="n">
        <v>667817</v>
      </c>
      <c r="Q16" s="0" t="n">
        <v>351225</v>
      </c>
      <c r="R16" s="0" t="n">
        <v>179591</v>
      </c>
      <c r="S16" s="0" t="n">
        <v>44055</v>
      </c>
      <c r="T16" s="0" t="n">
        <v>156.2</v>
      </c>
      <c r="V16" s="0" t="n">
        <v>36</v>
      </c>
      <c r="AA16" s="0" t="s">
        <v>17</v>
      </c>
      <c r="AB16" s="0" t="s">
        <v>14</v>
      </c>
      <c r="AC16" s="0" t="n">
        <v>1839.47</v>
      </c>
      <c r="AD16" s="0" t="n">
        <v>17939</v>
      </c>
      <c r="AE16" s="0" t="n">
        <v>251837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81</v>
      </c>
      <c r="B1" s="2" t="s">
        <v>82</v>
      </c>
    </row>
    <row r="2" customFormat="false" ht="15" hidden="false" customHeight="false" outlineLevel="0" collapsed="false">
      <c r="A2" s="0" t="s">
        <v>83</v>
      </c>
      <c r="B2" s="3" t="n">
        <v>2306</v>
      </c>
    </row>
    <row r="3" customFormat="false" ht="15" hidden="false" customHeight="false" outlineLevel="0" collapsed="false">
      <c r="A3" s="0" t="s">
        <v>84</v>
      </c>
      <c r="B3" s="3" t="n">
        <v>156.23</v>
      </c>
    </row>
    <row r="4" customFormat="false" ht="15" hidden="false" customHeight="false" outlineLevel="0" collapsed="false">
      <c r="A4" s="0" t="s">
        <v>85</v>
      </c>
      <c r="B4" s="3" t="n">
        <v>83270</v>
      </c>
    </row>
    <row r="5" customFormat="false" ht="15" hidden="false" customHeight="false" outlineLevel="0" collapsed="false">
      <c r="A5" s="0" t="s">
        <v>86</v>
      </c>
      <c r="B5" s="3" t="n">
        <v>44871</v>
      </c>
    </row>
    <row r="6" customFormat="false" ht="15" hidden="false" customHeight="false" outlineLevel="0" collapsed="false">
      <c r="A6" s="0" t="s">
        <v>87</v>
      </c>
      <c r="B6" s="3" t="n">
        <v>15</v>
      </c>
    </row>
    <row r="7" customFormat="false" ht="15" hidden="false" customHeight="false" outlineLevel="0" collapsed="false">
      <c r="A7" s="0" t="s">
        <v>88</v>
      </c>
      <c r="B7" s="3" t="n">
        <v>502339</v>
      </c>
    </row>
    <row r="8" customFormat="false" ht="15" hidden="false" customHeight="false" outlineLevel="0" collapsed="false">
      <c r="A8" s="0" t="s">
        <v>89</v>
      </c>
      <c r="B8" s="3" t="s">
        <v>80</v>
      </c>
    </row>
    <row r="9" customFormat="false" ht="15" hidden="false" customHeight="false" outlineLevel="0" collapsed="false">
      <c r="A9" s="0" t="s">
        <v>90</v>
      </c>
      <c r="B9" s="3" t="s">
        <v>91</v>
      </c>
    </row>
    <row r="10" customFormat="false" ht="15" hidden="false" customHeight="false" outlineLevel="0" collapsed="false">
      <c r="A10" s="0" t="s">
        <v>92</v>
      </c>
      <c r="B10" s="3" t="n">
        <v>1</v>
      </c>
    </row>
    <row r="12" customFormat="false" ht="15" hidden="false" customHeight="false" outlineLevel="0" collapsed="false">
      <c r="A12" s="2" t="s">
        <v>93</v>
      </c>
      <c r="C12" s="2" t="s">
        <v>94</v>
      </c>
      <c r="D12" s="2" t="s">
        <v>95</v>
      </c>
      <c r="E12" s="2" t="s">
        <v>96</v>
      </c>
      <c r="F12" s="2" t="s">
        <v>97</v>
      </c>
      <c r="G12" s="2" t="s">
        <v>98</v>
      </c>
      <c r="H12" s="2" t="s">
        <v>99</v>
      </c>
      <c r="I12" s="2" t="s">
        <v>100</v>
      </c>
      <c r="J12" s="2" t="s">
        <v>101</v>
      </c>
      <c r="K12" s="2" t="s">
        <v>102</v>
      </c>
      <c r="L12" s="2" t="s">
        <v>103</v>
      </c>
    </row>
    <row r="13" customFormat="false" ht="15" hidden="false" customHeight="false" outlineLevel="0" collapsed="false">
      <c r="A13" s="0" t="s">
        <v>104</v>
      </c>
      <c r="C13" s="3" t="n">
        <v>1</v>
      </c>
      <c r="D13" s="3" t="n">
        <v>-2</v>
      </c>
      <c r="E13" s="3" t="n">
        <v>0.5</v>
      </c>
      <c r="F13" s="3" t="n">
        <v>1</v>
      </c>
      <c r="G13" s="3" t="n">
        <v>1</v>
      </c>
      <c r="H13" s="3" t="n">
        <v>1</v>
      </c>
      <c r="I13" s="3" t="n">
        <v>1</v>
      </c>
      <c r="J13" s="3" t="n">
        <v>1</v>
      </c>
      <c r="K13" s="3" t="n">
        <v>1</v>
      </c>
      <c r="L13" s="3" t="n">
        <v>1</v>
      </c>
    </row>
    <row r="14" customFormat="false" ht="15" hidden="false" customHeight="false" outlineLevel="0" collapsed="false">
      <c r="A14" s="0" t="s">
        <v>105</v>
      </c>
      <c r="C14" s="3" t="n">
        <v>10</v>
      </c>
      <c r="D14" s="3" t="n">
        <v>9</v>
      </c>
      <c r="E14" s="3" t="n">
        <v>9</v>
      </c>
      <c r="F14" s="3" t="n">
        <v>9.5</v>
      </c>
      <c r="G14" s="3" t="n">
        <v>9.5</v>
      </c>
      <c r="H14" s="3" t="n">
        <v>9.5</v>
      </c>
      <c r="I14" s="3" t="n">
        <v>9.5</v>
      </c>
      <c r="J14" s="3" t="n">
        <v>9.5</v>
      </c>
      <c r="K14" s="3" t="n">
        <v>9.5</v>
      </c>
      <c r="L14" s="3" t="n">
        <v>9.5</v>
      </c>
    </row>
    <row r="15" customFormat="false" ht="15" hidden="false" customHeight="false" outlineLevel="0" collapsed="false">
      <c r="A15" s="0" t="s">
        <v>106</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107</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108</v>
      </c>
      <c r="C17" s="3" t="n">
        <v>5.3</v>
      </c>
      <c r="D17" s="3" t="n">
        <v>5.3</v>
      </c>
      <c r="E17" s="3" t="n">
        <v>5.2</v>
      </c>
      <c r="F17" s="3" t="n">
        <v>5.1</v>
      </c>
      <c r="G17" s="3" t="n">
        <v>5</v>
      </c>
      <c r="H17" s="3" t="n">
        <v>5</v>
      </c>
      <c r="I17" s="3" t="n">
        <v>5</v>
      </c>
      <c r="J17" s="3" t="n">
        <v>5</v>
      </c>
      <c r="K17" s="3" t="n">
        <v>5</v>
      </c>
      <c r="L17" s="3" t="n">
        <v>5</v>
      </c>
    </row>
    <row r="18" customFormat="false" ht="15" hidden="false" customHeight="false" outlineLevel="0" collapsed="false">
      <c r="A18" s="0" t="s">
        <v>109</v>
      </c>
      <c r="C18" s="3" t="n">
        <v>4.7</v>
      </c>
      <c r="D18" s="3" t="n">
        <v>4.7</v>
      </c>
      <c r="E18" s="3" t="n">
        <v>4.8</v>
      </c>
      <c r="F18" s="3" t="n">
        <v>4.8</v>
      </c>
      <c r="G18" s="3" t="n">
        <v>4.8</v>
      </c>
      <c r="H18" s="3" t="n">
        <v>4.9</v>
      </c>
      <c r="I18" s="3" t="n">
        <v>4.9</v>
      </c>
      <c r="J18" s="3" t="n">
        <v>4.9</v>
      </c>
      <c r="K18" s="3" t="n">
        <v>4.9</v>
      </c>
      <c r="L18" s="3" t="n">
        <v>4.9</v>
      </c>
    </row>
    <row r="19" customFormat="false" ht="15" hidden="false" customHeight="false" outlineLevel="0" collapsed="false">
      <c r="A19" s="0" t="s">
        <v>110</v>
      </c>
      <c r="C19" s="3" t="n">
        <v>31</v>
      </c>
      <c r="D19" s="3" t="n">
        <v>31</v>
      </c>
      <c r="E19" s="3" t="n">
        <v>31</v>
      </c>
      <c r="F19" s="3" t="n">
        <v>31</v>
      </c>
      <c r="G19" s="3" t="n">
        <v>31</v>
      </c>
      <c r="H19" s="3" t="n">
        <v>31</v>
      </c>
      <c r="I19" s="3" t="n">
        <v>31</v>
      </c>
      <c r="J19" s="3" t="n">
        <v>31</v>
      </c>
      <c r="K19" s="3" t="n">
        <v>31</v>
      </c>
      <c r="L19" s="3" t="n">
        <v>31</v>
      </c>
    </row>
    <row r="20" customFormat="false" ht="15" hidden="false" customHeight="false" outlineLevel="0" collapsed="false">
      <c r="A20" s="0" t="s">
        <v>111</v>
      </c>
      <c r="B20" s="3" t="n">
        <v>8</v>
      </c>
    </row>
    <row r="21" customFormat="false" ht="15" hidden="false" customHeight="false" outlineLevel="0" collapsed="false">
      <c r="A21" s="0" t="s">
        <v>112</v>
      </c>
      <c r="B21" s="3" t="n">
        <v>0.5</v>
      </c>
    </row>
    <row r="22" customFormat="false" ht="15" hidden="false" customHeight="false" outlineLevel="0" collapsed="false">
      <c r="A22" s="0" t="s">
        <v>113</v>
      </c>
      <c r="B22" s="3" t="n">
        <v>14</v>
      </c>
    </row>
    <row r="23" customFormat="false" ht="15" hidden="false" customHeight="false" outlineLevel="0" collapsed="false">
      <c r="A23" s="0" t="s">
        <v>114</v>
      </c>
      <c r="B23" s="3" t="n">
        <v>-40</v>
      </c>
    </row>
    <row r="24" customFormat="false" ht="15" hidden="false" customHeight="false" outlineLevel="0" collapsed="false">
      <c r="A24" s="0" t="s">
        <v>115</v>
      </c>
      <c r="B24" s="3" t="n">
        <v>0.25</v>
      </c>
    </row>
    <row r="26" customFormat="false" ht="15" hidden="false" customHeight="false" outlineLevel="0" collapsed="false">
      <c r="A26" s="2" t="s">
        <v>116</v>
      </c>
      <c r="C26" s="2" t="s">
        <v>94</v>
      </c>
      <c r="D26" s="2" t="s">
        <v>95</v>
      </c>
      <c r="E26" s="2" t="s">
        <v>96</v>
      </c>
      <c r="F26" s="2" t="s">
        <v>97</v>
      </c>
      <c r="G26" s="2" t="s">
        <v>98</v>
      </c>
      <c r="H26" s="2" t="s">
        <v>99</v>
      </c>
      <c r="I26" s="2" t="s">
        <v>100</v>
      </c>
      <c r="J26" s="2" t="s">
        <v>101</v>
      </c>
      <c r="K26" s="2" t="s">
        <v>102</v>
      </c>
      <c r="L26" s="2" t="s">
        <v>103</v>
      </c>
    </row>
    <row r="27" customFormat="false" ht="15" hidden="false" customHeight="false" outlineLevel="0" collapsed="false">
      <c r="A27" s="0" t="s">
        <v>104</v>
      </c>
      <c r="C27" s="3" t="n">
        <v>1.7</v>
      </c>
      <c r="D27" s="3" t="n">
        <v>0.5</v>
      </c>
      <c r="E27" s="3" t="n">
        <v>2.5</v>
      </c>
      <c r="F27" s="3" t="n">
        <v>2.5</v>
      </c>
      <c r="G27" s="3" t="n">
        <v>2</v>
      </c>
      <c r="H27" s="3" t="n">
        <v>2</v>
      </c>
      <c r="I27" s="3" t="n">
        <v>1.5</v>
      </c>
      <c r="J27" s="3" t="n">
        <v>1.5</v>
      </c>
      <c r="K27" s="3" t="n">
        <v>1.5</v>
      </c>
      <c r="L27" s="3" t="n">
        <v>1.5</v>
      </c>
    </row>
    <row r="28" customFormat="false" ht="15" hidden="false" customHeight="false" outlineLevel="0" collapsed="false">
      <c r="A28" s="0" t="s">
        <v>105</v>
      </c>
      <c r="C28" s="3" t="n">
        <v>11.5</v>
      </c>
      <c r="D28" s="3" t="n">
        <v>11.3</v>
      </c>
      <c r="E28" s="3" t="n">
        <v>11.5</v>
      </c>
      <c r="F28" s="3" t="n">
        <v>11.8</v>
      </c>
      <c r="G28" s="3" t="n">
        <v>12</v>
      </c>
      <c r="H28" s="3" t="n">
        <v>12</v>
      </c>
      <c r="I28" s="3" t="n">
        <v>12</v>
      </c>
      <c r="J28" s="3" t="n">
        <v>12</v>
      </c>
      <c r="K28" s="3" t="n">
        <v>12</v>
      </c>
      <c r="L28" s="3" t="n">
        <v>12</v>
      </c>
    </row>
    <row r="29" customFormat="false" ht="15" hidden="false" customHeight="false" outlineLevel="0" collapsed="false">
      <c r="A29" s="0" t="s">
        <v>106</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107</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108</v>
      </c>
      <c r="C31" s="3" t="n">
        <v>5.3</v>
      </c>
      <c r="D31" s="3" t="n">
        <v>5.2</v>
      </c>
      <c r="E31" s="3" t="n">
        <v>5.1</v>
      </c>
      <c r="F31" s="3" t="n">
        <v>5</v>
      </c>
      <c r="G31" s="3" t="n">
        <v>5</v>
      </c>
      <c r="H31" s="3" t="n">
        <v>4.9</v>
      </c>
      <c r="I31" s="3" t="n">
        <v>4.9</v>
      </c>
      <c r="J31" s="3" t="n">
        <v>4.9</v>
      </c>
      <c r="K31" s="3" t="n">
        <v>4.9</v>
      </c>
      <c r="L31" s="3" t="n">
        <v>4.9</v>
      </c>
    </row>
    <row r="32" customFormat="false" ht="15" hidden="false" customHeight="false" outlineLevel="0" collapsed="false">
      <c r="A32" s="0" t="s">
        <v>109</v>
      </c>
      <c r="C32" s="3" t="n">
        <v>4.7</v>
      </c>
      <c r="D32" s="3" t="n">
        <v>4.7</v>
      </c>
      <c r="E32" s="3" t="n">
        <v>4.8</v>
      </c>
      <c r="F32" s="3" t="n">
        <v>4.8</v>
      </c>
      <c r="G32" s="3" t="n">
        <v>4.8</v>
      </c>
      <c r="H32" s="3" t="n">
        <v>4.9</v>
      </c>
      <c r="I32" s="3" t="n">
        <v>4.9</v>
      </c>
      <c r="J32" s="3" t="n">
        <v>4.9</v>
      </c>
      <c r="K32" s="3" t="n">
        <v>4.9</v>
      </c>
      <c r="L32" s="3" t="n">
        <v>4.9</v>
      </c>
    </row>
    <row r="33" customFormat="false" ht="15" hidden="false" customHeight="false" outlineLevel="0" collapsed="false">
      <c r="A33" s="0" t="s">
        <v>110</v>
      </c>
      <c r="C33" s="3" t="n">
        <v>31</v>
      </c>
      <c r="D33" s="3" t="n">
        <v>31</v>
      </c>
      <c r="E33" s="3" t="n">
        <v>31</v>
      </c>
      <c r="F33" s="3" t="n">
        <v>31</v>
      </c>
      <c r="G33" s="3" t="n">
        <v>31</v>
      </c>
      <c r="H33" s="3" t="n">
        <v>31</v>
      </c>
      <c r="I33" s="3" t="n">
        <v>31</v>
      </c>
      <c r="J33" s="3" t="n">
        <v>31</v>
      </c>
      <c r="K33" s="3" t="n">
        <v>31</v>
      </c>
      <c r="L33" s="3" t="n">
        <v>31</v>
      </c>
    </row>
    <row r="34" customFormat="false" ht="15" hidden="false" customHeight="false" outlineLevel="0" collapsed="false">
      <c r="A34" s="0" t="s">
        <v>111</v>
      </c>
      <c r="B34" s="3" t="n">
        <v>8</v>
      </c>
    </row>
    <row r="35" customFormat="false" ht="15" hidden="false" customHeight="false" outlineLevel="0" collapsed="false">
      <c r="A35" s="0" t="s">
        <v>112</v>
      </c>
      <c r="B35" s="3" t="n">
        <v>1</v>
      </c>
    </row>
    <row r="36" customFormat="false" ht="15" hidden="false" customHeight="false" outlineLevel="0" collapsed="false">
      <c r="A36" s="0" t="s">
        <v>113</v>
      </c>
      <c r="B36" s="3" t="n">
        <v>14</v>
      </c>
    </row>
    <row r="37" customFormat="false" ht="15" hidden="false" customHeight="false" outlineLevel="0" collapsed="false">
      <c r="A37" s="0" t="s">
        <v>114</v>
      </c>
      <c r="B37" s="3" t="n">
        <v>-40</v>
      </c>
    </row>
    <row r="38" customFormat="false" ht="15" hidden="false" customHeight="false" outlineLevel="0" collapsed="false">
      <c r="A38" s="0" t="s">
        <v>115</v>
      </c>
      <c r="B38" s="3" t="n">
        <v>0.5</v>
      </c>
    </row>
    <row r="40" customFormat="false" ht="15" hidden="false" customHeight="false" outlineLevel="0" collapsed="false">
      <c r="A40" s="2" t="s">
        <v>117</v>
      </c>
      <c r="C40" s="2" t="s">
        <v>94</v>
      </c>
      <c r="D40" s="2" t="s">
        <v>95</v>
      </c>
      <c r="E40" s="2" t="s">
        <v>96</v>
      </c>
      <c r="F40" s="2" t="s">
        <v>97</v>
      </c>
      <c r="G40" s="2" t="s">
        <v>98</v>
      </c>
      <c r="H40" s="2" t="s">
        <v>99</v>
      </c>
      <c r="I40" s="2" t="s">
        <v>100</v>
      </c>
      <c r="J40" s="2" t="s">
        <v>101</v>
      </c>
      <c r="K40" s="2" t="s">
        <v>102</v>
      </c>
      <c r="L40" s="2" t="s">
        <v>103</v>
      </c>
    </row>
    <row r="41" customFormat="false" ht="15" hidden="false" customHeight="false" outlineLevel="0" collapsed="false">
      <c r="A41" s="0" t="s">
        <v>104</v>
      </c>
      <c r="C41" s="3" t="n">
        <v>3.5</v>
      </c>
      <c r="D41" s="3" t="n">
        <v>2</v>
      </c>
      <c r="E41" s="3" t="n">
        <v>4</v>
      </c>
      <c r="F41" s="3" t="n">
        <v>4</v>
      </c>
      <c r="G41" s="3" t="n">
        <v>3.5</v>
      </c>
      <c r="H41" s="3" t="n">
        <v>3</v>
      </c>
      <c r="I41" s="3" t="n">
        <v>2.5</v>
      </c>
      <c r="J41" s="3" t="n">
        <v>2.5</v>
      </c>
      <c r="K41" s="3" t="n">
        <v>2</v>
      </c>
      <c r="L41" s="3" t="n">
        <v>2</v>
      </c>
    </row>
    <row r="42" customFormat="false" ht="15" hidden="false" customHeight="false" outlineLevel="0" collapsed="false">
      <c r="A42" s="0" t="s">
        <v>105</v>
      </c>
      <c r="C42" s="3" t="n">
        <v>12.5</v>
      </c>
      <c r="D42" s="3" t="n">
        <v>12.5</v>
      </c>
      <c r="E42" s="3" t="n">
        <v>13</v>
      </c>
      <c r="F42" s="3" t="n">
        <v>13.5</v>
      </c>
      <c r="G42" s="3" t="n">
        <v>14</v>
      </c>
      <c r="H42" s="3" t="n">
        <v>14.5</v>
      </c>
      <c r="I42" s="3" t="n">
        <v>15</v>
      </c>
      <c r="J42" s="3" t="n">
        <v>15</v>
      </c>
      <c r="K42" s="3" t="n">
        <v>15</v>
      </c>
      <c r="L42" s="3" t="n">
        <v>15</v>
      </c>
    </row>
    <row r="43" customFormat="false" ht="15" hidden="false" customHeight="false" outlineLevel="0" collapsed="false">
      <c r="A43" s="0" t="s">
        <v>106</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107</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108</v>
      </c>
      <c r="C45" s="3" t="n">
        <v>5.3</v>
      </c>
      <c r="D45" s="3" t="n">
        <v>5.2</v>
      </c>
      <c r="E45" s="3" t="n">
        <v>5.1</v>
      </c>
      <c r="F45" s="3" t="n">
        <v>5</v>
      </c>
      <c r="G45" s="3" t="n">
        <v>5</v>
      </c>
      <c r="H45" s="3" t="n">
        <v>4.9</v>
      </c>
      <c r="I45" s="3" t="n">
        <v>4.9</v>
      </c>
      <c r="J45" s="3" t="n">
        <v>4.9</v>
      </c>
      <c r="K45" s="3" t="n">
        <v>4.9</v>
      </c>
      <c r="L45" s="3" t="n">
        <v>4.9</v>
      </c>
    </row>
    <row r="46" customFormat="false" ht="15" hidden="false" customHeight="false" outlineLevel="0" collapsed="false">
      <c r="A46" s="0" t="s">
        <v>109</v>
      </c>
      <c r="C46" s="3" t="n">
        <v>4.7</v>
      </c>
      <c r="D46" s="3" t="n">
        <v>4.7</v>
      </c>
      <c r="E46" s="3" t="n">
        <v>4.8</v>
      </c>
      <c r="F46" s="3" t="n">
        <v>4.8</v>
      </c>
      <c r="G46" s="3" t="n">
        <v>4.8</v>
      </c>
      <c r="H46" s="3" t="n">
        <v>4.9</v>
      </c>
      <c r="I46" s="3" t="n">
        <v>4.9</v>
      </c>
      <c r="J46" s="3" t="n">
        <v>4.9</v>
      </c>
      <c r="K46" s="3" t="n">
        <v>4.9</v>
      </c>
      <c r="L46" s="3" t="n">
        <v>4.9</v>
      </c>
    </row>
    <row r="47" customFormat="false" ht="15" hidden="false" customHeight="false" outlineLevel="0" collapsed="false">
      <c r="A47" s="0" t="s">
        <v>110</v>
      </c>
      <c r="C47" s="3" t="n">
        <v>31</v>
      </c>
      <c r="D47" s="3" t="n">
        <v>31</v>
      </c>
      <c r="E47" s="3" t="n">
        <v>31</v>
      </c>
      <c r="F47" s="3" t="n">
        <v>31</v>
      </c>
      <c r="G47" s="3" t="n">
        <v>31</v>
      </c>
      <c r="H47" s="3" t="n">
        <v>31</v>
      </c>
      <c r="I47" s="3" t="n">
        <v>31</v>
      </c>
      <c r="J47" s="3" t="n">
        <v>31</v>
      </c>
      <c r="K47" s="3" t="n">
        <v>31</v>
      </c>
      <c r="L47" s="3" t="n">
        <v>31</v>
      </c>
    </row>
    <row r="48" customFormat="false" ht="15" hidden="false" customHeight="false" outlineLevel="0" collapsed="false">
      <c r="A48" s="0" t="s">
        <v>111</v>
      </c>
      <c r="B48" s="3" t="n">
        <v>8</v>
      </c>
    </row>
    <row r="49" customFormat="false" ht="15" hidden="false" customHeight="false" outlineLevel="0" collapsed="false">
      <c r="A49" s="0" t="s">
        <v>112</v>
      </c>
      <c r="B49" s="3" t="n">
        <v>1.5</v>
      </c>
    </row>
    <row r="50" customFormat="false" ht="15" hidden="false" customHeight="false" outlineLevel="0" collapsed="false">
      <c r="A50" s="0" t="s">
        <v>113</v>
      </c>
      <c r="B50" s="3" t="n">
        <v>14</v>
      </c>
    </row>
    <row r="51" customFormat="false" ht="15" hidden="false" customHeight="false" outlineLevel="0" collapsed="false">
      <c r="A51" s="0" t="s">
        <v>114</v>
      </c>
      <c r="B51" s="3" t="n">
        <v>-40</v>
      </c>
    </row>
    <row r="52" customFormat="false" ht="15" hidden="false" customHeight="false" outlineLevel="0" collapsed="false">
      <c r="A52" s="0" t="s">
        <v>115</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118</v>
      </c>
    </row>
    <row r="3" customFormat="false" ht="15" hidden="false" customHeight="false" outlineLevel="0" collapsed="false">
      <c r="A3" s="0" t="s">
        <v>119</v>
      </c>
      <c r="B3" s="0" t="s">
        <v>80</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Assumptions!C13</f>
        <v>1</v>
      </c>
      <c r="D5" s="4" t="n">
        <f aca="false">Assumptions!D13</f>
        <v>-2</v>
      </c>
      <c r="E5" s="4" t="n">
        <f aca="false">Assumptions!E13</f>
        <v>0.5</v>
      </c>
      <c r="F5" s="4" t="n">
        <f aca="false">Assumptions!F13</f>
        <v>1</v>
      </c>
      <c r="G5" s="4" t="n">
        <f aca="false">Assumptions!G13</f>
        <v>1</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37</v>
      </c>
      <c r="B6" s="3" t="n">
        <v>502339</v>
      </c>
      <c r="C6" s="0" t="n">
        <f aca="false">B6*(1+C5/100)</f>
        <v>507362.39</v>
      </c>
      <c r="D6" s="0" t="n">
        <f aca="false">C6*(1+D5/100)</f>
        <v>497215.1422</v>
      </c>
      <c r="E6" s="0" t="n">
        <f aca="false">D6*(1+E5/100)</f>
        <v>499701.217911</v>
      </c>
      <c r="F6" s="0" t="n">
        <f aca="false">E6*(1+F5/100)</f>
        <v>504698.23009011</v>
      </c>
      <c r="G6" s="0" t="n">
        <f aca="false">F6*(1+G5/100)</f>
        <v>509745.212391011</v>
      </c>
      <c r="H6" s="0" t="n">
        <f aca="false">G6*(1+H5/100)</f>
        <v>514842.664514921</v>
      </c>
      <c r="I6" s="0" t="n">
        <f aca="false">H6*(1+I5/100)</f>
        <v>519991.09116007</v>
      </c>
      <c r="J6" s="0" t="n">
        <f aca="false">I6*(1+J5/100)</f>
        <v>525191.002071671</v>
      </c>
      <c r="K6" s="0" t="n">
        <f aca="false">J6*(1+K5/100)</f>
        <v>530442.912092388</v>
      </c>
      <c r="L6" s="0" t="n">
        <f aca="false">K6*(1+L5/100)</f>
        <v>535747.341213312</v>
      </c>
    </row>
    <row r="7" customFormat="false" ht="15" hidden="false" customHeight="false" outlineLevel="0" collapsed="false">
      <c r="A7" s="0" t="s">
        <v>105</v>
      </c>
      <c r="C7" s="4" t="n">
        <f aca="false">Assumptions!C14</f>
        <v>10</v>
      </c>
      <c r="D7" s="4" t="n">
        <f aca="false">Assumptions!D14</f>
        <v>9</v>
      </c>
      <c r="E7" s="4" t="n">
        <f aca="false">Assumptions!E14</f>
        <v>9</v>
      </c>
      <c r="F7" s="4" t="n">
        <f aca="false">Assumptions!F14</f>
        <v>9.5</v>
      </c>
      <c r="G7" s="4" t="n">
        <f aca="false">Assumptions!G14</f>
        <v>9.5</v>
      </c>
      <c r="H7" s="4" t="n">
        <f aca="false">Assumptions!H14</f>
        <v>9.5</v>
      </c>
      <c r="I7" s="4" t="n">
        <f aca="false">Assumptions!I14</f>
        <v>9.5</v>
      </c>
      <c r="J7" s="4" t="n">
        <f aca="false">Assumptions!J14</f>
        <v>9.5</v>
      </c>
      <c r="K7" s="4" t="n">
        <f aca="false">Assumptions!K14</f>
        <v>9.5</v>
      </c>
      <c r="L7" s="4" t="n">
        <f aca="false">Assumptions!L14</f>
        <v>9.5</v>
      </c>
    </row>
    <row r="8" customFormat="false" ht="15" hidden="false" customHeight="false" outlineLevel="0" collapsed="false">
      <c r="A8" s="0" t="s">
        <v>43</v>
      </c>
      <c r="C8" s="0" t="n">
        <f aca="false">C6*C7/100</f>
        <v>50736.239</v>
      </c>
      <c r="D8" s="0" t="n">
        <f aca="false">D6*D7/100</f>
        <v>44749.362798</v>
      </c>
      <c r="E8" s="0" t="n">
        <f aca="false">E6*E7/100</f>
        <v>44973.10961199</v>
      </c>
      <c r="F8" s="0" t="n">
        <f aca="false">F6*F7/100</f>
        <v>47946.3318585605</v>
      </c>
      <c r="G8" s="0" t="n">
        <f aca="false">G6*G7/100</f>
        <v>48425.7951771461</v>
      </c>
      <c r="H8" s="0" t="n">
        <f aca="false">H6*H7/100</f>
        <v>48910.0531289175</v>
      </c>
      <c r="I8" s="0" t="n">
        <f aca="false">I6*I7/100</f>
        <v>49399.1536602067</v>
      </c>
      <c r="J8" s="0" t="n">
        <f aca="false">J6*J7/100</f>
        <v>49893.1451968088</v>
      </c>
      <c r="K8" s="0" t="n">
        <f aca="false">K6*K7/100</f>
        <v>50392.0766487769</v>
      </c>
      <c r="L8" s="0" t="n">
        <f aca="false">L6*L7/100</f>
        <v>50895.9974152646</v>
      </c>
    </row>
    <row r="9" customFormat="false" ht="15" hidden="false" customHeight="false" outlineLevel="0" collapsed="false">
      <c r="A9" s="0" t="s">
        <v>106</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122</v>
      </c>
      <c r="C11" s="0" t="n">
        <f aca="false">C8+C10+C24</f>
        <v>50736.239</v>
      </c>
      <c r="D11" s="0" t="n">
        <f aca="false">D8+D10+D24</f>
        <v>44749.362798</v>
      </c>
      <c r="E11" s="0" t="n">
        <f aca="false">E8+E10+E24</f>
        <v>44973.10961199</v>
      </c>
      <c r="F11" s="0" t="n">
        <f aca="false">F8+F10+F24</f>
        <v>47946.3318585605</v>
      </c>
      <c r="G11" s="0" t="n">
        <f aca="false">G8+G10+G24</f>
        <v>48425.7951771461</v>
      </c>
      <c r="H11" s="0" t="n">
        <f aca="false">H8+H10+H24</f>
        <v>48910.0531289175</v>
      </c>
      <c r="I11" s="0" t="n">
        <f aca="false">I8+I10+I24</f>
        <v>49399.1536602067</v>
      </c>
      <c r="J11" s="0" t="n">
        <f aca="false">J8+J10+J24</f>
        <v>49893.1451968088</v>
      </c>
      <c r="K11" s="0" t="n">
        <f aca="false">K8+K10+K24</f>
        <v>50392.0766487769</v>
      </c>
      <c r="L11" s="0" t="n">
        <f aca="false">L8+L10+L24</f>
        <v>50895.9974152646</v>
      </c>
    </row>
    <row r="12" customFormat="false" ht="15" hidden="false" customHeight="false" outlineLevel="0" collapsed="false">
      <c r="A12" s="0" t="s">
        <v>123</v>
      </c>
      <c r="C12" s="4" t="n">
        <f aca="false">-C6*Assumptions!C17/100</f>
        <v>-26890.20667</v>
      </c>
      <c r="D12" s="4" t="n">
        <f aca="false">-D6*Assumptions!D17/100</f>
        <v>-26352.4025366</v>
      </c>
      <c r="E12" s="4" t="n">
        <f aca="false">-E6*Assumptions!E17/100</f>
        <v>-25984.463331372</v>
      </c>
      <c r="F12" s="4" t="n">
        <f aca="false">-F6*Assumptions!F17/100</f>
        <v>-25739.6097345956</v>
      </c>
      <c r="G12" s="4" t="n">
        <f aca="false">-G6*Assumptions!G17/100</f>
        <v>-25487.2606195506</v>
      </c>
      <c r="H12" s="4" t="n">
        <f aca="false">-H6*Assumptions!H17/100</f>
        <v>-25742.1332257461</v>
      </c>
      <c r="I12" s="4" t="n">
        <f aca="false">-I6*Assumptions!I17/100</f>
        <v>-25999.5545580035</v>
      </c>
      <c r="J12" s="4" t="n">
        <f aca="false">-J6*Assumptions!J17/100</f>
        <v>-26259.5501035836</v>
      </c>
      <c r="K12" s="4" t="n">
        <f aca="false">-K6*Assumptions!K17/100</f>
        <v>-26522.1456046194</v>
      </c>
      <c r="L12" s="4" t="n">
        <f aca="false">-L6*Assumptions!L17/100</f>
        <v>-26787.3670606656</v>
      </c>
    </row>
    <row r="13" customFormat="false" ht="15" hidden="false" customHeight="false" outlineLevel="0" collapsed="false">
      <c r="A13" s="0" t="s">
        <v>124</v>
      </c>
      <c r="C13" s="0" t="n">
        <f aca="false">C11+C12</f>
        <v>23846.03233</v>
      </c>
      <c r="D13" s="0" t="n">
        <f aca="false">D11+D12</f>
        <v>18396.9602614</v>
      </c>
      <c r="E13" s="0" t="n">
        <f aca="false">E11+E12</f>
        <v>18988.646280618</v>
      </c>
      <c r="F13" s="0" t="n">
        <f aca="false">F11+F12</f>
        <v>22206.7221239648</v>
      </c>
      <c r="G13" s="0" t="n">
        <f aca="false">G11+G12</f>
        <v>22938.5345575955</v>
      </c>
      <c r="H13" s="0" t="n">
        <f aca="false">H11+H12</f>
        <v>23167.9199031715</v>
      </c>
      <c r="I13" s="0" t="n">
        <f aca="false">I11+I12</f>
        <v>23399.5991022032</v>
      </c>
      <c r="J13" s="0" t="n">
        <f aca="false">J11+J12</f>
        <v>23633.5950932252</v>
      </c>
      <c r="K13" s="0" t="n">
        <f aca="false">K11+K12</f>
        <v>23869.9310441575</v>
      </c>
      <c r="L13" s="0" t="n">
        <f aca="false">L11+L12</f>
        <v>24108.630354599</v>
      </c>
    </row>
    <row r="14" customFormat="false" ht="15" hidden="false" customHeight="false" outlineLevel="0" collapsed="false">
      <c r="A14" s="0" t="s">
        <v>110</v>
      </c>
      <c r="C14" s="4" t="n">
        <f aca="false">Assumptions!C19</f>
        <v>31</v>
      </c>
      <c r="D14" s="4" t="n">
        <f aca="false">Assumptions!D19</f>
        <v>31</v>
      </c>
      <c r="E14" s="4" t="n">
        <f aca="false">Assumptions!E19</f>
        <v>31</v>
      </c>
      <c r="F14" s="4" t="n">
        <f aca="false">Assumptions!F19</f>
        <v>31</v>
      </c>
      <c r="G14" s="4" t="n">
        <f aca="false">Assumptions!G19</f>
        <v>31</v>
      </c>
      <c r="H14" s="4" t="n">
        <f aca="false">Assumptions!H19</f>
        <v>31</v>
      </c>
      <c r="I14" s="4" t="n">
        <f aca="false">Assumptions!I19</f>
        <v>31</v>
      </c>
      <c r="J14" s="4" t="n">
        <f aca="false">Assumptions!J19</f>
        <v>31</v>
      </c>
      <c r="K14" s="4" t="n">
        <f aca="false">Assumptions!K19</f>
        <v>31</v>
      </c>
      <c r="L14" s="4" t="n">
        <f aca="false">Assumptions!L19</f>
        <v>31</v>
      </c>
    </row>
    <row r="15" customFormat="false" ht="15" hidden="false" customHeight="false" outlineLevel="0" collapsed="false">
      <c r="A15" s="0" t="s">
        <v>125</v>
      </c>
      <c r="C15" s="0" t="n">
        <f aca="false">C13-MAX(0,C13)*C14/100</f>
        <v>16453.7623077</v>
      </c>
      <c r="D15" s="0" t="n">
        <f aca="false">D13-MAX(0,D13)*D14/100</f>
        <v>12693.902580366</v>
      </c>
      <c r="E15" s="0" t="n">
        <f aca="false">E13-MAX(0,E13)*E14/100</f>
        <v>13102.1659336264</v>
      </c>
      <c r="F15" s="0" t="n">
        <f aca="false">F13-MAX(0,F13)*F14/100</f>
        <v>15322.6382655357</v>
      </c>
      <c r="G15" s="0" t="n">
        <f aca="false">G13-MAX(0,G13)*G14/100</f>
        <v>15827.5888447409</v>
      </c>
      <c r="H15" s="0" t="n">
        <f aca="false">H13-MAX(0,H13)*H14/100</f>
        <v>15985.8647331883</v>
      </c>
      <c r="I15" s="0" t="n">
        <f aca="false">I13-MAX(0,I13)*I14/100</f>
        <v>16145.7233805202</v>
      </c>
      <c r="J15" s="0" t="n">
        <f aca="false">J13-MAX(0,J13)*J14/100</f>
        <v>16307.1806143254</v>
      </c>
      <c r="K15" s="0" t="n">
        <f aca="false">K13-MAX(0,K13)*K14/100</f>
        <v>16470.2524204686</v>
      </c>
      <c r="L15" s="0" t="n">
        <f aca="false">L13-MAX(0,L13)*L14/100</f>
        <v>16634.9549446733</v>
      </c>
    </row>
    <row r="16" customFormat="false" ht="15" hidden="false" customHeight="false" outlineLevel="0" collapsed="false">
      <c r="A16" s="0" t="s">
        <v>126</v>
      </c>
      <c r="C16" s="0" t="n">
        <f aca="false">-C12</f>
        <v>26890.20667</v>
      </c>
      <c r="D16" s="0" t="n">
        <f aca="false">-D12</f>
        <v>26352.4025366</v>
      </c>
      <c r="E16" s="0" t="n">
        <f aca="false">-E12</f>
        <v>25984.463331372</v>
      </c>
      <c r="F16" s="0" t="n">
        <f aca="false">-F12</f>
        <v>25739.6097345956</v>
      </c>
      <c r="G16" s="0" t="n">
        <f aca="false">-G12</f>
        <v>25487.2606195506</v>
      </c>
      <c r="H16" s="0" t="n">
        <f aca="false">-H12</f>
        <v>25742.1332257461</v>
      </c>
      <c r="I16" s="0" t="n">
        <f aca="false">-I12</f>
        <v>25999.5545580035</v>
      </c>
      <c r="J16" s="0" t="n">
        <f aca="false">-J12</f>
        <v>26259.5501035836</v>
      </c>
      <c r="K16" s="0" t="n">
        <f aca="false">-K12</f>
        <v>26522.1456046194</v>
      </c>
      <c r="L16" s="0" t="n">
        <f aca="false">-L12</f>
        <v>26787.3670606656</v>
      </c>
    </row>
    <row r="17" customFormat="false" ht="15" hidden="false" customHeight="false" outlineLevel="0" collapsed="false">
      <c r="A17" s="0" t="s">
        <v>127</v>
      </c>
      <c r="C17" s="4" t="n">
        <f aca="false">-C6*Assumptions!C18/100</f>
        <v>-23846.03233</v>
      </c>
      <c r="D17" s="4" t="n">
        <f aca="false">-D6*Assumptions!D18/100</f>
        <v>-23369.1116834</v>
      </c>
      <c r="E17" s="4" t="n">
        <f aca="false">-E6*Assumptions!E18/100</f>
        <v>-23985.658459728</v>
      </c>
      <c r="F17" s="4" t="n">
        <f aca="false">-F6*Assumptions!F18/100</f>
        <v>-24225.5150443253</v>
      </c>
      <c r="G17" s="4" t="n">
        <f aca="false">-G6*Assumptions!G18/100</f>
        <v>-24467.7701947685</v>
      </c>
      <c r="H17" s="4" t="n">
        <f aca="false">-H6*Assumptions!H18/100</f>
        <v>-25227.2905612311</v>
      </c>
      <c r="I17" s="4" t="n">
        <f aca="false">-I6*Assumptions!I18/100</f>
        <v>-25479.5634668435</v>
      </c>
      <c r="J17" s="4" t="n">
        <f aca="false">-J6*Assumptions!J18/100</f>
        <v>-25734.3591015119</v>
      </c>
      <c r="K17" s="4" t="n">
        <f aca="false">-K6*Assumptions!K18/100</f>
        <v>-25991.702692527</v>
      </c>
      <c r="L17" s="4" t="n">
        <f aca="false">-L6*Assumptions!L18/100</f>
        <v>-26251.6197194523</v>
      </c>
    </row>
    <row r="18" customFormat="false" ht="15" hidden="false" customHeight="false" outlineLevel="0" collapsed="false">
      <c r="A18" s="0" t="s">
        <v>128</v>
      </c>
      <c r="C18" s="4" t="n">
        <f aca="false">(C6-B6)*Assumptions!$B$23/100</f>
        <v>-2009.35600000001</v>
      </c>
      <c r="D18" s="4" t="n">
        <f aca="false">(D6-C6)*Assumptions!$B$23/100</f>
        <v>4058.89912</v>
      </c>
      <c r="E18" s="4" t="n">
        <f aca="false">(E6-D6)*Assumptions!$B$23/100</f>
        <v>-994.430284399982</v>
      </c>
      <c r="F18" s="4" t="n">
        <f aca="false">(F6-E6)*Assumptions!$B$23/100</f>
        <v>-1998.80487164401</v>
      </c>
      <c r="G18" s="4" t="n">
        <f aca="false">(G6-F6)*Assumptions!$B$23/100</f>
        <v>-2018.79292036044</v>
      </c>
      <c r="H18" s="4" t="n">
        <f aca="false">(H6-G6)*Assumptions!$B$23/100</f>
        <v>-2038.98084956405</v>
      </c>
      <c r="I18" s="4" t="n">
        <f aca="false">(I6-H6)*Assumptions!$B$23/100</f>
        <v>-2059.3706580597</v>
      </c>
      <c r="J18" s="4" t="n">
        <f aca="false">(J6-I6)*Assumptions!$B$23/100</f>
        <v>-2079.9643646403</v>
      </c>
      <c r="K18" s="4" t="n">
        <f aca="false">(K6-J6)*Assumptions!$B$23/100</f>
        <v>-2100.76400828669</v>
      </c>
      <c r="L18" s="4" t="n">
        <f aca="false">(L6-K6)*Assumptions!$B$23/100</f>
        <v>-2121.77164836954</v>
      </c>
    </row>
    <row r="19" customFormat="false" ht="15" hidden="false" customHeight="false" outlineLevel="0" collapsed="false">
      <c r="A19" s="0" t="s">
        <v>129</v>
      </c>
      <c r="C19" s="0" t="n">
        <f aca="false">C15+C16+C17+C18</f>
        <v>17488.5806477</v>
      </c>
      <c r="D19" s="0" t="n">
        <f aca="false">D15+D16+D17+D18</f>
        <v>19736.092553566</v>
      </c>
      <c r="E19" s="0" t="n">
        <f aca="false">E15+E16+E17+E18</f>
        <v>14106.5405208704</v>
      </c>
      <c r="F19" s="0" t="n">
        <f aca="false">F15+F16+F17+F18</f>
        <v>14837.9280841621</v>
      </c>
      <c r="G19" s="0" t="n">
        <f aca="false">G15+G16+G17+G18</f>
        <v>14828.2863491625</v>
      </c>
      <c r="H19" s="0" t="n">
        <f aca="false">H15+H16+H17+H18</f>
        <v>14461.7265481392</v>
      </c>
      <c r="I19" s="0" t="n">
        <f aca="false">I15+I16+I17+I18</f>
        <v>14606.3438136206</v>
      </c>
      <c r="J19" s="0" t="n">
        <f aca="false">J15+J16+J17+J18</f>
        <v>14752.4072517568</v>
      </c>
      <c r="K19" s="0" t="n">
        <f aca="false">K15+K16+K17+K18</f>
        <v>14899.9313242743</v>
      </c>
      <c r="L19" s="0" t="n">
        <f aca="false">L15+L16+L17+L18</f>
        <v>15048.9306375171</v>
      </c>
    </row>
    <row r="20" customFormat="false" ht="15" hidden="false" customHeight="false" outlineLevel="0" collapsed="false">
      <c r="A20" s="0" t="s">
        <v>130</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131</v>
      </c>
      <c r="C21" s="0" t="n">
        <f aca="false">C19*C20</f>
        <v>16193.1302293518</v>
      </c>
      <c r="D21" s="0" t="n">
        <f aca="false">D19*D20</f>
        <v>16920.5183072411</v>
      </c>
      <c r="E21" s="0" t="n">
        <f aca="false">E19*E20</f>
        <v>11198.2266747244</v>
      </c>
      <c r="F21" s="0" t="n">
        <f aca="false">F19*F20</f>
        <v>10906.320095506</v>
      </c>
      <c r="G21" s="0" t="n">
        <f aca="false">G19*G20</f>
        <v>10091.882530045</v>
      </c>
      <c r="H21" s="0" t="n">
        <f aca="false">H19*H20</f>
        <v>9113.34082292635</v>
      </c>
      <c r="I21" s="0" t="n">
        <f aca="false">I19*I20</f>
        <v>8522.66132514408</v>
      </c>
      <c r="J21" s="0" t="n">
        <f aca="false">J19*J20</f>
        <v>7970.26660962549</v>
      </c>
      <c r="K21" s="0" t="n">
        <f aca="false">K19*K20</f>
        <v>7453.67525529791</v>
      </c>
      <c r="L21" s="0" t="n">
        <f aca="false">L19*L20</f>
        <v>6970.56667393602</v>
      </c>
    </row>
    <row r="23" customFormat="false" ht="15" hidden="false" customHeight="false" outlineLevel="0" collapsed="false">
      <c r="A23" s="0" t="s">
        <v>107</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Assumptions!$B$20</f>
        <v>8</v>
      </c>
    </row>
    <row r="28" customFormat="false" ht="15" hidden="false" customHeight="false" outlineLevel="0" collapsed="false">
      <c r="A28" s="0" t="s">
        <v>112</v>
      </c>
      <c r="B28" s="4" t="n">
        <f aca="false">Assumptions!$B$21</f>
        <v>0.5</v>
      </c>
    </row>
    <row r="29" customFormat="false" ht="15" hidden="false" customHeight="false" outlineLevel="0" collapsed="false">
      <c r="A29" s="0" t="s">
        <v>113</v>
      </c>
      <c r="B29" s="4" t="n">
        <f aca="false">Assumptions!$B$22</f>
        <v>14</v>
      </c>
    </row>
    <row r="30" customFormat="false" ht="15" hidden="false" customHeight="false" outlineLevel="0" collapsed="false">
      <c r="A30" s="0" t="s">
        <v>134</v>
      </c>
      <c r="B30" s="0" t="n">
        <f aca="false">SUM(C21:L21)</f>
        <v>105340.588523798</v>
      </c>
    </row>
    <row r="31" customFormat="false" ht="15" hidden="false" customHeight="false" outlineLevel="0" collapsed="false">
      <c r="A31" s="0" t="s">
        <v>135</v>
      </c>
      <c r="B31" s="0" t="n">
        <f aca="false">L19</f>
        <v>15048.9306375171</v>
      </c>
    </row>
    <row r="32" customFormat="false" ht="15" hidden="false" customHeight="false" outlineLevel="0" collapsed="false">
      <c r="A32" s="0" t="s">
        <v>136</v>
      </c>
      <c r="B32" s="0" t="n">
        <f aca="false">IF(B27&gt;B28,B31*(1+B28/100)/((B27-B28)/100),B31*B29)</f>
        <v>201655.670542729</v>
      </c>
    </row>
    <row r="33" customFormat="false" ht="15" hidden="false" customHeight="false" outlineLevel="0" collapsed="false">
      <c r="A33" s="0" t="s">
        <v>137</v>
      </c>
      <c r="B33" s="0" t="n">
        <f aca="false">B31*B29</f>
        <v>210685.028925239</v>
      </c>
    </row>
    <row r="34" customFormat="false" ht="15" hidden="false" customHeight="false" outlineLevel="0" collapsed="false">
      <c r="A34" s="0" t="s">
        <v>138</v>
      </c>
      <c r="B34" s="0" t="n">
        <f aca="false">MAX(0,MIN(B32,B33))</f>
        <v>201655.670542729</v>
      </c>
    </row>
    <row r="35" customFormat="false" ht="15" hidden="false" customHeight="false" outlineLevel="0" collapsed="false">
      <c r="A35" s="0" t="s">
        <v>139</v>
      </c>
      <c r="B35" s="0" t="n">
        <f aca="false">B34/(1+B27/100)^L4</f>
        <v>93405.5934307426</v>
      </c>
    </row>
    <row r="36" customFormat="false" ht="15" hidden="false" customHeight="false" outlineLevel="0" collapsed="false">
      <c r="A36" s="0" t="s">
        <v>140</v>
      </c>
      <c r="B36" s="0" t="n">
        <f aca="false">B30+B35</f>
        <v>198746.181954541</v>
      </c>
    </row>
    <row r="37" customFormat="false" ht="15" hidden="false" customHeight="false" outlineLevel="0" collapsed="false">
      <c r="A37" s="0" t="s">
        <v>141</v>
      </c>
      <c r="B37" s="0" t="n">
        <f aca="false">B36+Assumptions!$B$5-Assumptions!$B$4</f>
        <v>160347.181954541</v>
      </c>
    </row>
    <row r="38" customFormat="false" ht="15" hidden="false" customHeight="false" outlineLevel="0" collapsed="false">
      <c r="A38" s="0" t="s">
        <v>142</v>
      </c>
      <c r="B38" s="0" t="n">
        <f aca="false">B37/Assumptions!$B$3*Assumptions!$B$10</f>
        <v>1026.35333773629</v>
      </c>
    </row>
    <row r="39" customFormat="false" ht="15" hidden="false" customHeight="false" outlineLevel="0" collapsed="false">
      <c r="A39" s="0" t="s">
        <v>143</v>
      </c>
      <c r="B39" s="4" t="n">
        <f aca="false">B38/Assumptions!$B$2-1</f>
        <v>-0.554920495344193</v>
      </c>
    </row>
    <row r="41" customFormat="false" ht="15" hidden="false" customHeight="false" outlineLevel="0" collapsed="false">
      <c r="A41" s="0" t="s">
        <v>144</v>
      </c>
      <c r="B41" s="0" t="n">
        <f aca="false">SUMPRODUCT(-C10:L10/(1+$B$27/100)^C4:L4)</f>
        <v>0</v>
      </c>
    </row>
    <row r="42" customFormat="false" ht="15" hidden="false" customHeight="false" outlineLevel="0" collapsed="false">
      <c r="A42" s="0" t="s">
        <v>145</v>
      </c>
      <c r="B42" s="0" t="n">
        <f aca="false">IF(B27&gt;B28,-L10*(1+B28/100)/((B27-B28)/100),-L10*20)/(1+B27/100)^L4</f>
        <v>0</v>
      </c>
    </row>
    <row r="43" customFormat="false" ht="15" hidden="false" customHeight="false" outlineLevel="0" collapsed="false">
      <c r="A43" s="0" t="s">
        <v>146</v>
      </c>
      <c r="B43" s="0" t="n">
        <f aca="false">(B37+B41+B42)/Assumptions!$B$3*Assumptions!$B$10</f>
        <v>1026.35333773629</v>
      </c>
    </row>
    <row r="45" customFormat="false" ht="15" hidden="false" customHeight="false" outlineLevel="0" collapsed="false">
      <c r="A45" s="0" t="s">
        <v>87</v>
      </c>
      <c r="B45" s="4" t="n">
        <f aca="false">Assumptions!$B$6</f>
        <v>15</v>
      </c>
    </row>
    <row r="46" customFormat="false" ht="15" hidden="false" customHeight="false" outlineLevel="0" collapsed="false">
      <c r="A46" s="0" t="s">
        <v>147</v>
      </c>
      <c r="B46" s="0" t="n">
        <f aca="false">MAX(0,MIN(IF(B45&gt;B28,B31*(1+B28/100)/((B45-B28)/100),B31*B29),B31*B29))</f>
        <v>104304.657177274</v>
      </c>
    </row>
    <row r="47" customFormat="false" ht="15" hidden="false" customHeight="false" outlineLevel="0" collapsed="false">
      <c r="A47" s="0" t="s">
        <v>148</v>
      </c>
      <c r="B47" s="0" t="n">
        <f aca="false">(SUMPRODUCT(C19:L19/(1+B45/100)^C4:L4)+B46/(1+B45/100)^L4+Assumptions!$B$5-Assumptions!$B$4)/Assumptions!$B$3*Assumptions!$B$10</f>
        <v>429.921935103735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119</v>
      </c>
      <c r="B3" s="0" t="s">
        <v>80</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Assumptions!C27</f>
        <v>1.7</v>
      </c>
      <c r="D5" s="4" t="n">
        <f aca="false">Assumptions!D27</f>
        <v>0.5</v>
      </c>
      <c r="E5" s="4" t="n">
        <f aca="false">Assumptions!E27</f>
        <v>2.5</v>
      </c>
      <c r="F5" s="4" t="n">
        <f aca="false">Assumptions!F27</f>
        <v>2.5</v>
      </c>
      <c r="G5" s="4" t="n">
        <f aca="false">Assumptions!G27</f>
        <v>2</v>
      </c>
      <c r="H5" s="4" t="n">
        <f aca="false">Assumptions!H27</f>
        <v>2</v>
      </c>
      <c r="I5" s="4" t="n">
        <f aca="false">Assumptions!I27</f>
        <v>1.5</v>
      </c>
      <c r="J5" s="4" t="n">
        <f aca="false">Assumptions!J27</f>
        <v>1.5</v>
      </c>
      <c r="K5" s="4" t="n">
        <f aca="false">Assumptions!K27</f>
        <v>1.5</v>
      </c>
      <c r="L5" s="4" t="n">
        <f aca="false">Assumptions!L27</f>
        <v>1.5</v>
      </c>
    </row>
    <row r="6" customFormat="false" ht="15" hidden="false" customHeight="false" outlineLevel="0" collapsed="false">
      <c r="A6" s="0" t="s">
        <v>37</v>
      </c>
      <c r="B6" s="3" t="n">
        <v>502339</v>
      </c>
      <c r="C6" s="0" t="n">
        <f aca="false">B6*(1+C5/100)</f>
        <v>510878.763</v>
      </c>
      <c r="D6" s="0" t="n">
        <f aca="false">C6*(1+D5/100)</f>
        <v>513433.156815</v>
      </c>
      <c r="E6" s="0" t="n">
        <f aca="false">D6*(1+E5/100)</f>
        <v>526268.985735375</v>
      </c>
      <c r="F6" s="0" t="n">
        <f aca="false">E6*(1+F5/100)</f>
        <v>539425.710378759</v>
      </c>
      <c r="G6" s="0" t="n">
        <f aca="false">F6*(1+G5/100)</f>
        <v>550214.224586334</v>
      </c>
      <c r="H6" s="0" t="n">
        <f aca="false">G6*(1+H5/100)</f>
        <v>561218.509078061</v>
      </c>
      <c r="I6" s="0" t="n">
        <f aca="false">H6*(1+I5/100)</f>
        <v>569636.786714232</v>
      </c>
      <c r="J6" s="0" t="n">
        <f aca="false">I6*(1+J5/100)</f>
        <v>578181.338514945</v>
      </c>
      <c r="K6" s="0" t="n">
        <f aca="false">J6*(1+K5/100)</f>
        <v>586854.058592669</v>
      </c>
      <c r="L6" s="0" t="n">
        <f aca="false">K6*(1+L5/100)</f>
        <v>595656.869471559</v>
      </c>
    </row>
    <row r="7" customFormat="false" ht="15" hidden="false" customHeight="false" outlineLevel="0" collapsed="false">
      <c r="A7" s="0" t="s">
        <v>105</v>
      </c>
      <c r="C7" s="4" t="n">
        <f aca="false">Assumptions!C28</f>
        <v>11.5</v>
      </c>
      <c r="D7" s="4" t="n">
        <f aca="false">Assumptions!D28</f>
        <v>11.3</v>
      </c>
      <c r="E7" s="4" t="n">
        <f aca="false">Assumptions!E28</f>
        <v>11.5</v>
      </c>
      <c r="F7" s="4" t="n">
        <f aca="false">Assumptions!F28</f>
        <v>11.8</v>
      </c>
      <c r="G7" s="4" t="n">
        <f aca="false">Assumptions!G28</f>
        <v>12</v>
      </c>
      <c r="H7" s="4" t="n">
        <f aca="false">Assumptions!H28</f>
        <v>12</v>
      </c>
      <c r="I7" s="4" t="n">
        <f aca="false">Assumptions!I28</f>
        <v>12</v>
      </c>
      <c r="J7" s="4" t="n">
        <f aca="false">Assumptions!J28</f>
        <v>12</v>
      </c>
      <c r="K7" s="4" t="n">
        <f aca="false">Assumptions!K28</f>
        <v>12</v>
      </c>
      <c r="L7" s="4" t="n">
        <f aca="false">Assumptions!L28</f>
        <v>12</v>
      </c>
    </row>
    <row r="8" customFormat="false" ht="15" hidden="false" customHeight="false" outlineLevel="0" collapsed="false">
      <c r="A8" s="0" t="s">
        <v>43</v>
      </c>
      <c r="C8" s="0" t="n">
        <f aca="false">C6*C7/100</f>
        <v>58751.057745</v>
      </c>
      <c r="D8" s="0" t="n">
        <f aca="false">D6*D7/100</f>
        <v>58017.946720095</v>
      </c>
      <c r="E8" s="0" t="n">
        <f aca="false">E6*E7/100</f>
        <v>60520.9333595681</v>
      </c>
      <c r="F8" s="0" t="n">
        <f aca="false">F6*F7/100</f>
        <v>63652.2338246936</v>
      </c>
      <c r="G8" s="0" t="n">
        <f aca="false">G6*G7/100</f>
        <v>66025.7069503601</v>
      </c>
      <c r="H8" s="0" t="n">
        <f aca="false">H6*H7/100</f>
        <v>67346.2210893673</v>
      </c>
      <c r="I8" s="0" t="n">
        <f aca="false">I6*I7/100</f>
        <v>68356.4144057078</v>
      </c>
      <c r="J8" s="0" t="n">
        <f aca="false">J6*J7/100</f>
        <v>69381.7606217934</v>
      </c>
      <c r="K8" s="0" t="n">
        <f aca="false">K6*K7/100</f>
        <v>70422.4870311203</v>
      </c>
      <c r="L8" s="0" t="n">
        <f aca="false">L6*L7/100</f>
        <v>71478.8243365871</v>
      </c>
    </row>
    <row r="9" customFormat="false" ht="15" hidden="false" customHeight="false" outlineLevel="0" collapsed="false">
      <c r="A9" s="0" t="s">
        <v>106</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122</v>
      </c>
      <c r="C11" s="0" t="n">
        <f aca="false">C8+C10+C24</f>
        <v>58751.057745</v>
      </c>
      <c r="D11" s="0" t="n">
        <f aca="false">D8+D10+D24</f>
        <v>58017.946720095</v>
      </c>
      <c r="E11" s="0" t="n">
        <f aca="false">E8+E10+E24</f>
        <v>60520.9333595681</v>
      </c>
      <c r="F11" s="0" t="n">
        <f aca="false">F8+F10+F24</f>
        <v>63652.2338246936</v>
      </c>
      <c r="G11" s="0" t="n">
        <f aca="false">G8+G10+G24</f>
        <v>66025.7069503601</v>
      </c>
      <c r="H11" s="0" t="n">
        <f aca="false">H8+H10+H24</f>
        <v>67346.2210893673</v>
      </c>
      <c r="I11" s="0" t="n">
        <f aca="false">I8+I10+I24</f>
        <v>68356.4144057078</v>
      </c>
      <c r="J11" s="0" t="n">
        <f aca="false">J8+J10+J24</f>
        <v>69381.7606217934</v>
      </c>
      <c r="K11" s="0" t="n">
        <f aca="false">K8+K10+K24</f>
        <v>70422.4870311203</v>
      </c>
      <c r="L11" s="0" t="n">
        <f aca="false">L8+L10+L24</f>
        <v>71478.8243365871</v>
      </c>
    </row>
    <row r="12" customFormat="false" ht="15" hidden="false" customHeight="false" outlineLevel="0" collapsed="false">
      <c r="A12" s="0" t="s">
        <v>123</v>
      </c>
      <c r="C12" s="4" t="n">
        <f aca="false">-C6*Assumptions!C31/100</f>
        <v>-27076.574439</v>
      </c>
      <c r="D12" s="4" t="n">
        <f aca="false">-D6*Assumptions!D31/100</f>
        <v>-26698.52415438</v>
      </c>
      <c r="E12" s="4" t="n">
        <f aca="false">-E6*Assumptions!E31/100</f>
        <v>-26839.7182725041</v>
      </c>
      <c r="F12" s="4" t="n">
        <f aca="false">-F6*Assumptions!F31/100</f>
        <v>-26971.285518938</v>
      </c>
      <c r="G12" s="4" t="n">
        <f aca="false">-G6*Assumptions!G31/100</f>
        <v>-27510.7112293167</v>
      </c>
      <c r="H12" s="4" t="n">
        <f aca="false">-H6*Assumptions!H31/100</f>
        <v>-27499.706944825</v>
      </c>
      <c r="I12" s="4" t="n">
        <f aca="false">-I6*Assumptions!I31/100</f>
        <v>-27912.2025489974</v>
      </c>
      <c r="J12" s="4" t="n">
        <f aca="false">-J6*Assumptions!J31/100</f>
        <v>-28330.8855872323</v>
      </c>
      <c r="K12" s="4" t="n">
        <f aca="false">-K6*Assumptions!K31/100</f>
        <v>-28755.8488710408</v>
      </c>
      <c r="L12" s="4" t="n">
        <f aca="false">-L6*Assumptions!L31/100</f>
        <v>-29187.1866041064</v>
      </c>
    </row>
    <row r="13" customFormat="false" ht="15" hidden="false" customHeight="false" outlineLevel="0" collapsed="false">
      <c r="A13" s="0" t="s">
        <v>124</v>
      </c>
      <c r="C13" s="0" t="n">
        <f aca="false">C11+C12</f>
        <v>31674.483306</v>
      </c>
      <c r="D13" s="0" t="n">
        <f aca="false">D11+D12</f>
        <v>31319.422565715</v>
      </c>
      <c r="E13" s="0" t="n">
        <f aca="false">E11+E12</f>
        <v>33681.215087064</v>
      </c>
      <c r="F13" s="0" t="n">
        <f aca="false">F11+F12</f>
        <v>36680.9483057556</v>
      </c>
      <c r="G13" s="0" t="n">
        <f aca="false">G11+G12</f>
        <v>38514.9957210434</v>
      </c>
      <c r="H13" s="0" t="n">
        <f aca="false">H11+H12</f>
        <v>39846.5141445423</v>
      </c>
      <c r="I13" s="0" t="n">
        <f aca="false">I11+I12</f>
        <v>40444.2118567105</v>
      </c>
      <c r="J13" s="0" t="n">
        <f aca="false">J11+J12</f>
        <v>41050.8750345611</v>
      </c>
      <c r="K13" s="0" t="n">
        <f aca="false">K11+K12</f>
        <v>41666.6381600795</v>
      </c>
      <c r="L13" s="0" t="n">
        <f aca="false">L11+L12</f>
        <v>42291.6377324807</v>
      </c>
    </row>
    <row r="14" customFormat="false" ht="15" hidden="false" customHeight="false" outlineLevel="0" collapsed="false">
      <c r="A14" s="0" t="s">
        <v>110</v>
      </c>
      <c r="C14" s="4" t="n">
        <f aca="false">Assumptions!C33</f>
        <v>31</v>
      </c>
      <c r="D14" s="4" t="n">
        <f aca="false">Assumptions!D33</f>
        <v>31</v>
      </c>
      <c r="E14" s="4" t="n">
        <f aca="false">Assumptions!E33</f>
        <v>31</v>
      </c>
      <c r="F14" s="4" t="n">
        <f aca="false">Assumptions!F33</f>
        <v>31</v>
      </c>
      <c r="G14" s="4" t="n">
        <f aca="false">Assumptions!G33</f>
        <v>31</v>
      </c>
      <c r="H14" s="4" t="n">
        <f aca="false">Assumptions!H33</f>
        <v>31</v>
      </c>
      <c r="I14" s="4" t="n">
        <f aca="false">Assumptions!I33</f>
        <v>31</v>
      </c>
      <c r="J14" s="4" t="n">
        <f aca="false">Assumptions!J33</f>
        <v>31</v>
      </c>
      <c r="K14" s="4" t="n">
        <f aca="false">Assumptions!K33</f>
        <v>31</v>
      </c>
      <c r="L14" s="4" t="n">
        <f aca="false">Assumptions!L33</f>
        <v>31</v>
      </c>
    </row>
    <row r="15" customFormat="false" ht="15" hidden="false" customHeight="false" outlineLevel="0" collapsed="false">
      <c r="A15" s="0" t="s">
        <v>125</v>
      </c>
      <c r="C15" s="0" t="n">
        <f aca="false">C13-MAX(0,C13)*C14/100</f>
        <v>21855.39348114</v>
      </c>
      <c r="D15" s="0" t="n">
        <f aca="false">D13-MAX(0,D13)*D14/100</f>
        <v>21610.4015703433</v>
      </c>
      <c r="E15" s="0" t="n">
        <f aca="false">E13-MAX(0,E13)*E14/100</f>
        <v>23240.0384100742</v>
      </c>
      <c r="F15" s="0" t="n">
        <f aca="false">F13-MAX(0,F13)*F14/100</f>
        <v>25309.8543309714</v>
      </c>
      <c r="G15" s="0" t="n">
        <f aca="false">G13-MAX(0,G13)*G14/100</f>
        <v>26575.3470475199</v>
      </c>
      <c r="H15" s="0" t="n">
        <f aca="false">H13-MAX(0,H13)*H14/100</f>
        <v>27494.0947597342</v>
      </c>
      <c r="I15" s="0" t="n">
        <f aca="false">I13-MAX(0,I13)*I14/100</f>
        <v>27906.5061811302</v>
      </c>
      <c r="J15" s="0" t="n">
        <f aca="false">J13-MAX(0,J13)*J14/100</f>
        <v>28325.1037738472</v>
      </c>
      <c r="K15" s="0" t="n">
        <f aca="false">K13-MAX(0,K13)*K14/100</f>
        <v>28749.9803304549</v>
      </c>
      <c r="L15" s="0" t="n">
        <f aca="false">L13-MAX(0,L13)*L14/100</f>
        <v>29181.2300354117</v>
      </c>
    </row>
    <row r="16" customFormat="false" ht="15" hidden="false" customHeight="false" outlineLevel="0" collapsed="false">
      <c r="A16" s="0" t="s">
        <v>126</v>
      </c>
      <c r="C16" s="0" t="n">
        <f aca="false">-C12</f>
        <v>27076.574439</v>
      </c>
      <c r="D16" s="0" t="n">
        <f aca="false">-D12</f>
        <v>26698.52415438</v>
      </c>
      <c r="E16" s="0" t="n">
        <f aca="false">-E12</f>
        <v>26839.7182725041</v>
      </c>
      <c r="F16" s="0" t="n">
        <f aca="false">-F12</f>
        <v>26971.285518938</v>
      </c>
      <c r="G16" s="0" t="n">
        <f aca="false">-G12</f>
        <v>27510.7112293167</v>
      </c>
      <c r="H16" s="0" t="n">
        <f aca="false">-H12</f>
        <v>27499.706944825</v>
      </c>
      <c r="I16" s="0" t="n">
        <f aca="false">-I12</f>
        <v>27912.2025489974</v>
      </c>
      <c r="J16" s="0" t="n">
        <f aca="false">-J12</f>
        <v>28330.8855872323</v>
      </c>
      <c r="K16" s="0" t="n">
        <f aca="false">-K12</f>
        <v>28755.8488710408</v>
      </c>
      <c r="L16" s="0" t="n">
        <f aca="false">-L12</f>
        <v>29187.1866041064</v>
      </c>
    </row>
    <row r="17" customFormat="false" ht="15" hidden="false" customHeight="false" outlineLevel="0" collapsed="false">
      <c r="A17" s="0" t="s">
        <v>127</v>
      </c>
      <c r="C17" s="4" t="n">
        <f aca="false">-C6*Assumptions!C32/100</f>
        <v>-24011.301861</v>
      </c>
      <c r="D17" s="4" t="n">
        <f aca="false">-D6*Assumptions!D32/100</f>
        <v>-24131.358370305</v>
      </c>
      <c r="E17" s="4" t="n">
        <f aca="false">-E6*Assumptions!E32/100</f>
        <v>-25260.911315298</v>
      </c>
      <c r="F17" s="4" t="n">
        <f aca="false">-F6*Assumptions!F32/100</f>
        <v>-25892.4340981804</v>
      </c>
      <c r="G17" s="4" t="n">
        <f aca="false">-G6*Assumptions!G32/100</f>
        <v>-26410.2827801441</v>
      </c>
      <c r="H17" s="4" t="n">
        <f aca="false">-H6*Assumptions!H32/100</f>
        <v>-27499.706944825</v>
      </c>
      <c r="I17" s="4" t="n">
        <f aca="false">-I6*Assumptions!I32/100</f>
        <v>-27912.2025489974</v>
      </c>
      <c r="J17" s="4" t="n">
        <f aca="false">-J6*Assumptions!J32/100</f>
        <v>-28330.8855872323</v>
      </c>
      <c r="K17" s="4" t="n">
        <f aca="false">-K6*Assumptions!K32/100</f>
        <v>-28755.8488710408</v>
      </c>
      <c r="L17" s="4" t="n">
        <f aca="false">-L6*Assumptions!L32/100</f>
        <v>-29187.1866041064</v>
      </c>
    </row>
    <row r="18" customFormat="false" ht="15" hidden="false" customHeight="false" outlineLevel="0" collapsed="false">
      <c r="A18" s="0" t="s">
        <v>128</v>
      </c>
      <c r="C18" s="4" t="n">
        <f aca="false">(C6-B6)*Assumptions!$B$37/100</f>
        <v>-3415.90519999999</v>
      </c>
      <c r="D18" s="4" t="n">
        <f aca="false">(D6-C6)*Assumptions!$B$37/100</f>
        <v>-1021.75752599998</v>
      </c>
      <c r="E18" s="4" t="n">
        <f aca="false">(E6-D6)*Assumptions!$B$37/100</f>
        <v>-5134.33156814997</v>
      </c>
      <c r="F18" s="4" t="n">
        <f aca="false">(F6-E6)*Assumptions!$B$37/100</f>
        <v>-5262.68985735374</v>
      </c>
      <c r="G18" s="4" t="n">
        <f aca="false">(G6-F6)*Assumptions!$B$37/100</f>
        <v>-4315.4056830301</v>
      </c>
      <c r="H18" s="4" t="n">
        <f aca="false">(H6-G6)*Assumptions!$B$37/100</f>
        <v>-4401.71379669067</v>
      </c>
      <c r="I18" s="4" t="n">
        <f aca="false">(I6-H6)*Assumptions!$B$37/100</f>
        <v>-3367.31105446834</v>
      </c>
      <c r="J18" s="4" t="n">
        <f aca="false">(J6-I6)*Assumptions!$B$37/100</f>
        <v>-3417.82072028536</v>
      </c>
      <c r="K18" s="4" t="n">
        <f aca="false">(K6-J6)*Assumptions!$B$37/100</f>
        <v>-3469.08803108963</v>
      </c>
      <c r="L18" s="4" t="n">
        <f aca="false">(L6-K6)*Assumptions!$B$37/100</f>
        <v>-3521.12435155599</v>
      </c>
    </row>
    <row r="19" customFormat="false" ht="15" hidden="false" customHeight="false" outlineLevel="0" collapsed="false">
      <c r="A19" s="0" t="s">
        <v>129</v>
      </c>
      <c r="C19" s="0" t="n">
        <f aca="false">C15+C16+C17+C18</f>
        <v>21504.76085914</v>
      </c>
      <c r="D19" s="0" t="n">
        <f aca="false">D15+D16+D17+D18</f>
        <v>23155.8098284184</v>
      </c>
      <c r="E19" s="0" t="n">
        <f aca="false">E15+E16+E17+E18</f>
        <v>19684.5137991303</v>
      </c>
      <c r="F19" s="0" t="n">
        <f aca="false">F15+F16+F17+F18</f>
        <v>21126.0158943752</v>
      </c>
      <c r="G19" s="0" t="n">
        <f aca="false">G15+G16+G17+G18</f>
        <v>23360.3698136625</v>
      </c>
      <c r="H19" s="0" t="n">
        <f aca="false">H15+H16+H17+H18</f>
        <v>23092.3809630436</v>
      </c>
      <c r="I19" s="0" t="n">
        <f aca="false">I15+I16+I17+I18</f>
        <v>24539.1951266619</v>
      </c>
      <c r="J19" s="0" t="n">
        <f aca="false">J15+J16+J17+J18</f>
        <v>24907.2830535618</v>
      </c>
      <c r="K19" s="0" t="n">
        <f aca="false">K15+K16+K17+K18</f>
        <v>25280.8922993652</v>
      </c>
      <c r="L19" s="0" t="n">
        <f aca="false">L15+L16+L17+L18</f>
        <v>25660.1056838557</v>
      </c>
    </row>
    <row r="20" customFormat="false" ht="15" hidden="false" customHeight="false" outlineLevel="0" collapsed="false">
      <c r="A20" s="0" t="s">
        <v>130</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131</v>
      </c>
      <c r="C21" s="0" t="n">
        <f aca="false">C19*C20</f>
        <v>19911.8156103148</v>
      </c>
      <c r="D21" s="0" t="n">
        <f aca="false">D19*D20</f>
        <v>19852.3746814286</v>
      </c>
      <c r="E21" s="0" t="n">
        <f aca="false">E19*E20</f>
        <v>15626.2017025561</v>
      </c>
      <c r="F21" s="0" t="n">
        <f aca="false">F19*F20</f>
        <v>15528.2523530181</v>
      </c>
      <c r="G21" s="0" t="n">
        <f aca="false">G19*G20</f>
        <v>15898.6751716732</v>
      </c>
      <c r="H21" s="0" t="n">
        <f aca="false">H19*H20</f>
        <v>14552.1170953237</v>
      </c>
      <c r="I21" s="0" t="n">
        <f aca="false">I19*I20</f>
        <v>14318.3846638706</v>
      </c>
      <c r="J21" s="0" t="n">
        <f aca="false">J19*J20</f>
        <v>13456.6300313228</v>
      </c>
      <c r="K21" s="0" t="n">
        <f aca="false">K19*K20</f>
        <v>12646.7402609191</v>
      </c>
      <c r="L21" s="0" t="n">
        <f aca="false">L19*L20</f>
        <v>11885.5938563268</v>
      </c>
    </row>
    <row r="23" customFormat="false" ht="15" hidden="false" customHeight="false" outlineLevel="0" collapsed="false">
      <c r="A23" s="0" t="s">
        <v>107</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Assumptions!$B$34</f>
        <v>8</v>
      </c>
    </row>
    <row r="28" customFormat="false" ht="15" hidden="false" customHeight="false" outlineLevel="0" collapsed="false">
      <c r="A28" s="0" t="s">
        <v>112</v>
      </c>
      <c r="B28" s="4" t="n">
        <f aca="false">Assumptions!$B$35</f>
        <v>1</v>
      </c>
    </row>
    <row r="29" customFormat="false" ht="15" hidden="false" customHeight="false" outlineLevel="0" collapsed="false">
      <c r="A29" s="0" t="s">
        <v>113</v>
      </c>
      <c r="B29" s="4" t="n">
        <f aca="false">Assumptions!$B$36</f>
        <v>14</v>
      </c>
    </row>
    <row r="30" customFormat="false" ht="15" hidden="false" customHeight="false" outlineLevel="0" collapsed="false">
      <c r="A30" s="0" t="s">
        <v>134</v>
      </c>
      <c r="B30" s="0" t="n">
        <f aca="false">SUM(C21:L21)</f>
        <v>153676.785426754</v>
      </c>
    </row>
    <row r="31" customFormat="false" ht="15" hidden="false" customHeight="false" outlineLevel="0" collapsed="false">
      <c r="A31" s="0" t="s">
        <v>135</v>
      </c>
      <c r="B31" s="0" t="n">
        <f aca="false">L19</f>
        <v>25660.1056838557</v>
      </c>
    </row>
    <row r="32" customFormat="false" ht="15" hidden="false" customHeight="false" outlineLevel="0" collapsed="false">
      <c r="A32" s="0" t="s">
        <v>136</v>
      </c>
      <c r="B32" s="0" t="n">
        <f aca="false">IF(B27&gt;B28,B31*(1+B28/100)/((B27-B28)/100),B31*B29)</f>
        <v>370238.667724204</v>
      </c>
    </row>
    <row r="33" customFormat="false" ht="15" hidden="false" customHeight="false" outlineLevel="0" collapsed="false">
      <c r="A33" s="0" t="s">
        <v>137</v>
      </c>
      <c r="B33" s="0" t="n">
        <f aca="false">B31*B29</f>
        <v>359241.47957398</v>
      </c>
    </row>
    <row r="34" customFormat="false" ht="15" hidden="false" customHeight="false" outlineLevel="0" collapsed="false">
      <c r="A34" s="0" t="s">
        <v>138</v>
      </c>
      <c r="B34" s="0" t="n">
        <f aca="false">MAX(0,MIN(B32,B33))</f>
        <v>359241.47957398</v>
      </c>
    </row>
    <row r="35" customFormat="false" ht="15" hidden="false" customHeight="false" outlineLevel="0" collapsed="false">
      <c r="A35" s="0" t="s">
        <v>139</v>
      </c>
      <c r="B35" s="0" t="n">
        <f aca="false">B34/(1+B27/100)^L4</f>
        <v>166398.313988575</v>
      </c>
    </row>
    <row r="36" customFormat="false" ht="15" hidden="false" customHeight="false" outlineLevel="0" collapsed="false">
      <c r="A36" s="0" t="s">
        <v>140</v>
      </c>
      <c r="B36" s="0" t="n">
        <f aca="false">B30+B35</f>
        <v>320075.099415328</v>
      </c>
    </row>
    <row r="37" customFormat="false" ht="15" hidden="false" customHeight="false" outlineLevel="0" collapsed="false">
      <c r="A37" s="0" t="s">
        <v>141</v>
      </c>
      <c r="B37" s="0" t="n">
        <f aca="false">B36+Assumptions!$B$5-Assumptions!$B$4</f>
        <v>281676.099415328</v>
      </c>
    </row>
    <row r="38" customFormat="false" ht="15" hidden="false" customHeight="false" outlineLevel="0" collapsed="false">
      <c r="A38" s="0" t="s">
        <v>142</v>
      </c>
      <c r="B38" s="0" t="n">
        <f aca="false">B37/Assumptions!$B$3*Assumptions!$B$10</f>
        <v>1802.9578148584</v>
      </c>
    </row>
    <row r="39" customFormat="false" ht="15" hidden="false" customHeight="false" outlineLevel="0" collapsed="false">
      <c r="A39" s="0" t="s">
        <v>143</v>
      </c>
      <c r="B39" s="4" t="n">
        <f aca="false">B38/Assumptions!$B$2-1</f>
        <v>-0.218144919835905</v>
      </c>
    </row>
    <row r="41" customFormat="false" ht="15" hidden="false" customHeight="false" outlineLevel="0" collapsed="false">
      <c r="A41" s="0" t="s">
        <v>144</v>
      </c>
      <c r="B41" s="0" t="n">
        <f aca="false">SUMPRODUCT(-C10:L10/(1+$B$27/100)^C4:L4)</f>
        <v>0</v>
      </c>
    </row>
    <row r="42" customFormat="false" ht="15" hidden="false" customHeight="false" outlineLevel="0" collapsed="false">
      <c r="A42" s="0" t="s">
        <v>145</v>
      </c>
      <c r="B42" s="0" t="n">
        <f aca="false">IF(B27&gt;B28,-L10*(1+B28/100)/((B27-B28)/100),-L10*20)/(1+B27/100)^L4</f>
        <v>0</v>
      </c>
    </row>
    <row r="43" customFormat="false" ht="15" hidden="false" customHeight="false" outlineLevel="0" collapsed="false">
      <c r="A43" s="0" t="s">
        <v>146</v>
      </c>
      <c r="B43" s="0" t="n">
        <f aca="false">(B37+B41+B42)/Assumptions!$B$3*Assumptions!$B$10</f>
        <v>1802.9578148584</v>
      </c>
    </row>
    <row r="45" customFormat="false" ht="15" hidden="false" customHeight="false" outlineLevel="0" collapsed="false">
      <c r="A45" s="0" t="s">
        <v>87</v>
      </c>
      <c r="B45" s="4" t="n">
        <f aca="false">Assumptions!$B$6</f>
        <v>15</v>
      </c>
    </row>
    <row r="46" customFormat="false" ht="15" hidden="false" customHeight="false" outlineLevel="0" collapsed="false">
      <c r="A46" s="0" t="s">
        <v>147</v>
      </c>
      <c r="B46" s="0" t="n">
        <f aca="false">MAX(0,MIN(IF(B45&gt;B28,B31*(1+B28/100)/((B45-B28)/100),B31*B29),B31*B29))</f>
        <v>185119.333862102</v>
      </c>
    </row>
    <row r="47" customFormat="false" ht="15" hidden="false" customHeight="false" outlineLevel="0" collapsed="false">
      <c r="A47" s="0" t="s">
        <v>148</v>
      </c>
      <c r="B47" s="0" t="n">
        <f aca="false">(SUMPRODUCT(C19:L19/(1+B45/100)^C4:L4)+B46/(1+B45/100)^L4+Assumptions!$B$5-Assumptions!$B$4)/Assumptions!$B$3*Assumptions!$B$10</f>
        <v>775.041036279396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119</v>
      </c>
      <c r="B3" s="0" t="s">
        <v>80</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Assumptions!C41</f>
        <v>3.5</v>
      </c>
      <c r="D5" s="4" t="n">
        <f aca="false">Assumptions!D41</f>
        <v>2</v>
      </c>
      <c r="E5" s="4" t="n">
        <f aca="false">Assumptions!E41</f>
        <v>4</v>
      </c>
      <c r="F5" s="4" t="n">
        <f aca="false">Assumptions!F41</f>
        <v>4</v>
      </c>
      <c r="G5" s="4" t="n">
        <f aca="false">Assumptions!G41</f>
        <v>3.5</v>
      </c>
      <c r="H5" s="4" t="n">
        <f aca="false">Assumptions!H41</f>
        <v>3</v>
      </c>
      <c r="I5" s="4" t="n">
        <f aca="false">Assumptions!I41</f>
        <v>2.5</v>
      </c>
      <c r="J5" s="4" t="n">
        <f aca="false">Assumptions!J41</f>
        <v>2.5</v>
      </c>
      <c r="K5" s="4" t="n">
        <f aca="false">Assumptions!K41</f>
        <v>2</v>
      </c>
      <c r="L5" s="4" t="n">
        <f aca="false">Assumptions!L41</f>
        <v>2</v>
      </c>
    </row>
    <row r="6" customFormat="false" ht="15" hidden="false" customHeight="false" outlineLevel="0" collapsed="false">
      <c r="A6" s="0" t="s">
        <v>37</v>
      </c>
      <c r="B6" s="3" t="n">
        <v>502339</v>
      </c>
      <c r="C6" s="0" t="n">
        <f aca="false">B6*(1+C5/100)</f>
        <v>519920.865</v>
      </c>
      <c r="D6" s="0" t="n">
        <f aca="false">C6*(1+D5/100)</f>
        <v>530319.2823</v>
      </c>
      <c r="E6" s="0" t="n">
        <f aca="false">D6*(1+E5/100)</f>
        <v>551532.053592</v>
      </c>
      <c r="F6" s="0" t="n">
        <f aca="false">E6*(1+F5/100)</f>
        <v>573593.33573568</v>
      </c>
      <c r="G6" s="0" t="n">
        <f aca="false">F6*(1+G5/100)</f>
        <v>593669.102486429</v>
      </c>
      <c r="H6" s="0" t="n">
        <f aca="false">G6*(1+H5/100)</f>
        <v>611479.175561022</v>
      </c>
      <c r="I6" s="0" t="n">
        <f aca="false">H6*(1+I5/100)</f>
        <v>626766.154950047</v>
      </c>
      <c r="J6" s="0" t="n">
        <f aca="false">I6*(1+J5/100)</f>
        <v>642435.308823798</v>
      </c>
      <c r="K6" s="0" t="n">
        <f aca="false">J6*(1+K5/100)</f>
        <v>655284.015000274</v>
      </c>
      <c r="L6" s="0" t="n">
        <f aca="false">K6*(1+L5/100)</f>
        <v>668389.69530028</v>
      </c>
    </row>
    <row r="7" customFormat="false" ht="15" hidden="false" customHeight="false" outlineLevel="0" collapsed="false">
      <c r="A7" s="0" t="s">
        <v>105</v>
      </c>
      <c r="C7" s="4" t="n">
        <f aca="false">Assumptions!C42</f>
        <v>12.5</v>
      </c>
      <c r="D7" s="4" t="n">
        <f aca="false">Assumptions!D42</f>
        <v>12.5</v>
      </c>
      <c r="E7" s="4" t="n">
        <f aca="false">Assumptions!E42</f>
        <v>13</v>
      </c>
      <c r="F7" s="4" t="n">
        <f aca="false">Assumptions!F42</f>
        <v>13.5</v>
      </c>
      <c r="G7" s="4" t="n">
        <f aca="false">Assumptions!G42</f>
        <v>14</v>
      </c>
      <c r="H7" s="4" t="n">
        <f aca="false">Assumptions!H42</f>
        <v>14.5</v>
      </c>
      <c r="I7" s="4" t="n">
        <f aca="false">Assumptions!I42</f>
        <v>15</v>
      </c>
      <c r="J7" s="4" t="n">
        <f aca="false">Assumptions!J42</f>
        <v>15</v>
      </c>
      <c r="K7" s="4" t="n">
        <f aca="false">Assumptions!K42</f>
        <v>15</v>
      </c>
      <c r="L7" s="4" t="n">
        <f aca="false">Assumptions!L42</f>
        <v>15</v>
      </c>
    </row>
    <row r="8" customFormat="false" ht="15" hidden="false" customHeight="false" outlineLevel="0" collapsed="false">
      <c r="A8" s="0" t="s">
        <v>43</v>
      </c>
      <c r="C8" s="0" t="n">
        <f aca="false">C6*C7/100</f>
        <v>64990.108125</v>
      </c>
      <c r="D8" s="0" t="n">
        <f aca="false">D6*D7/100</f>
        <v>66289.9102875</v>
      </c>
      <c r="E8" s="0" t="n">
        <f aca="false">E6*E7/100</f>
        <v>71699.16696696</v>
      </c>
      <c r="F8" s="0" t="n">
        <f aca="false">F6*F7/100</f>
        <v>77435.1003243168</v>
      </c>
      <c r="G8" s="0" t="n">
        <f aca="false">G6*G7/100</f>
        <v>83113.6743481</v>
      </c>
      <c r="H8" s="0" t="n">
        <f aca="false">H6*H7/100</f>
        <v>88664.4804563481</v>
      </c>
      <c r="I8" s="0" t="n">
        <f aca="false">I6*I7/100</f>
        <v>94014.9232425071</v>
      </c>
      <c r="J8" s="0" t="n">
        <f aca="false">J6*J7/100</f>
        <v>96365.2963235697</v>
      </c>
      <c r="K8" s="0" t="n">
        <f aca="false">K6*K7/100</f>
        <v>98292.6022500411</v>
      </c>
      <c r="L8" s="0" t="n">
        <f aca="false">L6*L7/100</f>
        <v>100258.454295042</v>
      </c>
    </row>
    <row r="9" customFormat="false" ht="15" hidden="false" customHeight="false" outlineLevel="0" collapsed="false">
      <c r="A9" s="0" t="s">
        <v>106</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122</v>
      </c>
      <c r="C11" s="0" t="n">
        <f aca="false">C8+C10+C24</f>
        <v>64990.108125</v>
      </c>
      <c r="D11" s="0" t="n">
        <f aca="false">D8+D10+D24</f>
        <v>66289.9102875</v>
      </c>
      <c r="E11" s="0" t="n">
        <f aca="false">E8+E10+E24</f>
        <v>71699.16696696</v>
      </c>
      <c r="F11" s="0" t="n">
        <f aca="false">F8+F10+F24</f>
        <v>77435.1003243168</v>
      </c>
      <c r="G11" s="0" t="n">
        <f aca="false">G8+G10+G24</f>
        <v>83113.6743481</v>
      </c>
      <c r="H11" s="0" t="n">
        <f aca="false">H8+H10+H24</f>
        <v>88664.4804563481</v>
      </c>
      <c r="I11" s="0" t="n">
        <f aca="false">I8+I10+I24</f>
        <v>94014.9232425071</v>
      </c>
      <c r="J11" s="0" t="n">
        <f aca="false">J8+J10+J24</f>
        <v>96365.2963235697</v>
      </c>
      <c r="K11" s="0" t="n">
        <f aca="false">K8+K10+K24</f>
        <v>98292.6022500411</v>
      </c>
      <c r="L11" s="0" t="n">
        <f aca="false">L8+L10+L24</f>
        <v>100258.454295042</v>
      </c>
    </row>
    <row r="12" customFormat="false" ht="15" hidden="false" customHeight="false" outlineLevel="0" collapsed="false">
      <c r="A12" s="0" t="s">
        <v>123</v>
      </c>
      <c r="C12" s="4" t="n">
        <f aca="false">-C6*Assumptions!C45/100</f>
        <v>-27555.805845</v>
      </c>
      <c r="D12" s="4" t="n">
        <f aca="false">-D6*Assumptions!D45/100</f>
        <v>-27576.6026796</v>
      </c>
      <c r="E12" s="4" t="n">
        <f aca="false">-E6*Assumptions!E45/100</f>
        <v>-28128.134733192</v>
      </c>
      <c r="F12" s="4" t="n">
        <f aca="false">-F6*Assumptions!F45/100</f>
        <v>-28679.666786784</v>
      </c>
      <c r="G12" s="4" t="n">
        <f aca="false">-G6*Assumptions!G45/100</f>
        <v>-29683.4551243214</v>
      </c>
      <c r="H12" s="4" t="n">
        <f aca="false">-H6*Assumptions!H45/100</f>
        <v>-29962.4796024901</v>
      </c>
      <c r="I12" s="4" t="n">
        <f aca="false">-I6*Assumptions!I45/100</f>
        <v>-30711.5415925523</v>
      </c>
      <c r="J12" s="4" t="n">
        <f aca="false">-J6*Assumptions!J45/100</f>
        <v>-31479.3301323661</v>
      </c>
      <c r="K12" s="4" t="n">
        <f aca="false">-K6*Assumptions!K45/100</f>
        <v>-32108.9167350134</v>
      </c>
      <c r="L12" s="4" t="n">
        <f aca="false">-L6*Assumptions!L45/100</f>
        <v>-32751.0950697137</v>
      </c>
    </row>
    <row r="13" customFormat="false" ht="15" hidden="false" customHeight="false" outlineLevel="0" collapsed="false">
      <c r="A13" s="0" t="s">
        <v>124</v>
      </c>
      <c r="C13" s="0" t="n">
        <f aca="false">C11+C12</f>
        <v>37434.30228</v>
      </c>
      <c r="D13" s="0" t="n">
        <f aca="false">D11+D12</f>
        <v>38713.3076079</v>
      </c>
      <c r="E13" s="0" t="n">
        <f aca="false">E11+E12</f>
        <v>43571.032233768</v>
      </c>
      <c r="F13" s="0" t="n">
        <f aca="false">F11+F12</f>
        <v>48755.4335375328</v>
      </c>
      <c r="G13" s="0" t="n">
        <f aca="false">G11+G12</f>
        <v>53430.2192237786</v>
      </c>
      <c r="H13" s="0" t="n">
        <f aca="false">H11+H12</f>
        <v>58702.0008538581</v>
      </c>
      <c r="I13" s="0" t="n">
        <f aca="false">I11+I12</f>
        <v>63303.3816499547</v>
      </c>
      <c r="J13" s="0" t="n">
        <f aca="false">J11+J12</f>
        <v>64885.9661912036</v>
      </c>
      <c r="K13" s="0" t="n">
        <f aca="false">K11+K12</f>
        <v>66183.6855150277</v>
      </c>
      <c r="L13" s="0" t="n">
        <f aca="false">L11+L12</f>
        <v>67507.3592253283</v>
      </c>
    </row>
    <row r="14" customFormat="false" ht="15" hidden="false" customHeight="false" outlineLevel="0" collapsed="false">
      <c r="A14" s="0" t="s">
        <v>110</v>
      </c>
      <c r="C14" s="4" t="n">
        <f aca="false">Assumptions!C47</f>
        <v>31</v>
      </c>
      <c r="D14" s="4" t="n">
        <f aca="false">Assumptions!D47</f>
        <v>31</v>
      </c>
      <c r="E14" s="4" t="n">
        <f aca="false">Assumptions!E47</f>
        <v>31</v>
      </c>
      <c r="F14" s="4" t="n">
        <f aca="false">Assumptions!F47</f>
        <v>31</v>
      </c>
      <c r="G14" s="4" t="n">
        <f aca="false">Assumptions!G47</f>
        <v>31</v>
      </c>
      <c r="H14" s="4" t="n">
        <f aca="false">Assumptions!H47</f>
        <v>31</v>
      </c>
      <c r="I14" s="4" t="n">
        <f aca="false">Assumptions!I47</f>
        <v>31</v>
      </c>
      <c r="J14" s="4" t="n">
        <f aca="false">Assumptions!J47</f>
        <v>31</v>
      </c>
      <c r="K14" s="4" t="n">
        <f aca="false">Assumptions!K47</f>
        <v>31</v>
      </c>
      <c r="L14" s="4" t="n">
        <f aca="false">Assumptions!L47</f>
        <v>31</v>
      </c>
    </row>
    <row r="15" customFormat="false" ht="15" hidden="false" customHeight="false" outlineLevel="0" collapsed="false">
      <c r="A15" s="0" t="s">
        <v>125</v>
      </c>
      <c r="C15" s="0" t="n">
        <f aca="false">C13-MAX(0,C13)*C14/100</f>
        <v>25829.6685732</v>
      </c>
      <c r="D15" s="0" t="n">
        <f aca="false">D13-MAX(0,D13)*D14/100</f>
        <v>26712.182249451</v>
      </c>
      <c r="E15" s="0" t="n">
        <f aca="false">E13-MAX(0,E13)*E14/100</f>
        <v>30064.0122412999</v>
      </c>
      <c r="F15" s="0" t="n">
        <f aca="false">F13-MAX(0,F13)*F14/100</f>
        <v>33641.2491408976</v>
      </c>
      <c r="G15" s="0" t="n">
        <f aca="false">G13-MAX(0,G13)*G14/100</f>
        <v>36866.8512644072</v>
      </c>
      <c r="H15" s="0" t="n">
        <f aca="false">H13-MAX(0,H13)*H14/100</f>
        <v>40504.3805891621</v>
      </c>
      <c r="I15" s="0" t="n">
        <f aca="false">I13-MAX(0,I13)*I14/100</f>
        <v>43679.3333384688</v>
      </c>
      <c r="J15" s="0" t="n">
        <f aca="false">J13-MAX(0,J13)*J14/100</f>
        <v>44771.3166719305</v>
      </c>
      <c r="K15" s="0" t="n">
        <f aca="false">K13-MAX(0,K13)*K14/100</f>
        <v>45666.7430053691</v>
      </c>
      <c r="L15" s="0" t="n">
        <f aca="false">L13-MAX(0,L13)*L14/100</f>
        <v>46580.0778654765</v>
      </c>
    </row>
    <row r="16" customFormat="false" ht="15" hidden="false" customHeight="false" outlineLevel="0" collapsed="false">
      <c r="A16" s="0" t="s">
        <v>126</v>
      </c>
      <c r="C16" s="0" t="n">
        <f aca="false">-C12</f>
        <v>27555.805845</v>
      </c>
      <c r="D16" s="0" t="n">
        <f aca="false">-D12</f>
        <v>27576.6026796</v>
      </c>
      <c r="E16" s="0" t="n">
        <f aca="false">-E12</f>
        <v>28128.134733192</v>
      </c>
      <c r="F16" s="0" t="n">
        <f aca="false">-F12</f>
        <v>28679.666786784</v>
      </c>
      <c r="G16" s="0" t="n">
        <f aca="false">-G12</f>
        <v>29683.4551243214</v>
      </c>
      <c r="H16" s="0" t="n">
        <f aca="false">-H12</f>
        <v>29962.4796024901</v>
      </c>
      <c r="I16" s="0" t="n">
        <f aca="false">-I12</f>
        <v>30711.5415925523</v>
      </c>
      <c r="J16" s="0" t="n">
        <f aca="false">-J12</f>
        <v>31479.3301323661</v>
      </c>
      <c r="K16" s="0" t="n">
        <f aca="false">-K12</f>
        <v>32108.9167350134</v>
      </c>
      <c r="L16" s="0" t="n">
        <f aca="false">-L12</f>
        <v>32751.0950697137</v>
      </c>
    </row>
    <row r="17" customFormat="false" ht="15" hidden="false" customHeight="false" outlineLevel="0" collapsed="false">
      <c r="A17" s="0" t="s">
        <v>127</v>
      </c>
      <c r="C17" s="4" t="n">
        <f aca="false">-C6*Assumptions!C46/100</f>
        <v>-24436.280655</v>
      </c>
      <c r="D17" s="4" t="n">
        <f aca="false">-D6*Assumptions!D46/100</f>
        <v>-24925.0062681</v>
      </c>
      <c r="E17" s="4" t="n">
        <f aca="false">-E6*Assumptions!E46/100</f>
        <v>-26473.538572416</v>
      </c>
      <c r="F17" s="4" t="n">
        <f aca="false">-F6*Assumptions!F46/100</f>
        <v>-27532.4801153126</v>
      </c>
      <c r="G17" s="4" t="n">
        <f aca="false">-G6*Assumptions!G46/100</f>
        <v>-28496.1169193486</v>
      </c>
      <c r="H17" s="4" t="n">
        <f aca="false">-H6*Assumptions!H46/100</f>
        <v>-29962.4796024901</v>
      </c>
      <c r="I17" s="4" t="n">
        <f aca="false">-I6*Assumptions!I46/100</f>
        <v>-30711.5415925523</v>
      </c>
      <c r="J17" s="4" t="n">
        <f aca="false">-J6*Assumptions!J46/100</f>
        <v>-31479.3301323661</v>
      </c>
      <c r="K17" s="4" t="n">
        <f aca="false">-K6*Assumptions!K46/100</f>
        <v>-32108.9167350134</v>
      </c>
      <c r="L17" s="4" t="n">
        <f aca="false">-L6*Assumptions!L46/100</f>
        <v>-32751.0950697137</v>
      </c>
    </row>
    <row r="18" customFormat="false" ht="15" hidden="false" customHeight="false" outlineLevel="0" collapsed="false">
      <c r="A18" s="0" t="s">
        <v>128</v>
      </c>
      <c r="C18" s="4" t="n">
        <f aca="false">(C6-B6)*Assumptions!$B$51/100</f>
        <v>-7032.74599999997</v>
      </c>
      <c r="D18" s="4" t="n">
        <f aca="false">(D6-C6)*Assumptions!$B$51/100</f>
        <v>-4159.36692000001</v>
      </c>
      <c r="E18" s="4" t="n">
        <f aca="false">(E6-D6)*Assumptions!$B$51/100</f>
        <v>-8485.10851679998</v>
      </c>
      <c r="F18" s="4" t="n">
        <f aca="false">(F6-E6)*Assumptions!$B$51/100</f>
        <v>-8824.51285747201</v>
      </c>
      <c r="G18" s="4" t="n">
        <f aca="false">(G6-F6)*Assumptions!$B$51/100</f>
        <v>-8030.30670029949</v>
      </c>
      <c r="H18" s="4" t="n">
        <f aca="false">(H6-G6)*Assumptions!$B$51/100</f>
        <v>-7124.02922983714</v>
      </c>
      <c r="I18" s="4" t="n">
        <f aca="false">(I6-H6)*Assumptions!$B$51/100</f>
        <v>-6114.79175561019</v>
      </c>
      <c r="J18" s="4" t="n">
        <f aca="false">(J6-I6)*Assumptions!$B$51/100</f>
        <v>-6267.66154950047</v>
      </c>
      <c r="K18" s="4" t="n">
        <f aca="false">(K6-J6)*Assumptions!$B$51/100</f>
        <v>-5139.48247059039</v>
      </c>
      <c r="L18" s="4" t="n">
        <f aca="false">(L6-K6)*Assumptions!$B$51/100</f>
        <v>-5242.27212000219</v>
      </c>
    </row>
    <row r="19" customFormat="false" ht="15" hidden="false" customHeight="false" outlineLevel="0" collapsed="false">
      <c r="A19" s="0" t="s">
        <v>129</v>
      </c>
      <c r="C19" s="0" t="n">
        <f aca="false">C15+C16+C17+C18</f>
        <v>21916.4477632</v>
      </c>
      <c r="D19" s="0" t="n">
        <f aca="false">D15+D16+D17+D18</f>
        <v>25204.411740951</v>
      </c>
      <c r="E19" s="0" t="n">
        <f aca="false">E15+E16+E17+E18</f>
        <v>23233.4998852759</v>
      </c>
      <c r="F19" s="0" t="n">
        <f aca="false">F15+F16+F17+F18</f>
        <v>25963.922954897</v>
      </c>
      <c r="G19" s="0" t="n">
        <f aca="false">G15+G16+G17+G18</f>
        <v>30023.8827690806</v>
      </c>
      <c r="H19" s="0" t="n">
        <f aca="false">H15+H16+H17+H18</f>
        <v>33380.3513593249</v>
      </c>
      <c r="I19" s="0" t="n">
        <f aca="false">I15+I16+I17+I18</f>
        <v>37564.5415828586</v>
      </c>
      <c r="J19" s="0" t="n">
        <f aca="false">J15+J16+J17+J18</f>
        <v>38503.65512243</v>
      </c>
      <c r="K19" s="0" t="n">
        <f aca="false">K15+K16+K17+K18</f>
        <v>40527.2605347787</v>
      </c>
      <c r="L19" s="0" t="n">
        <f aca="false">L15+L16+L17+L18</f>
        <v>41337.8057454743</v>
      </c>
    </row>
    <row r="20" customFormat="false" ht="15" hidden="false" customHeight="false" outlineLevel="0" collapsed="false">
      <c r="A20" s="0" t="s">
        <v>130</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131</v>
      </c>
      <c r="C21" s="0" t="n">
        <f aca="false">C19*C20</f>
        <v>20293.0071881482</v>
      </c>
      <c r="D21" s="0" t="n">
        <f aca="false">D19*D20</f>
        <v>21608.7206283873</v>
      </c>
      <c r="E21" s="0" t="n">
        <f aca="false">E19*E20</f>
        <v>18443.5012806705</v>
      </c>
      <c r="F21" s="0" t="n">
        <f aca="false">F19*F20</f>
        <v>19084.2584675564</v>
      </c>
      <c r="G21" s="0" t="n">
        <f aca="false">G19*G20</f>
        <v>20433.7501223475</v>
      </c>
      <c r="H21" s="0" t="n">
        <f aca="false">H19*H20</f>
        <v>21035.2835613327</v>
      </c>
      <c r="I21" s="0" t="n">
        <f aca="false">I19*I20</f>
        <v>21918.549216023</v>
      </c>
      <c r="J21" s="0" t="n">
        <f aca="false">J19*J20</f>
        <v>20802.3268022441</v>
      </c>
      <c r="K21" s="0" t="n">
        <f aca="false">K19*K20</f>
        <v>20273.7202231906</v>
      </c>
      <c r="L21" s="0" t="n">
        <f aca="false">L19*L20</f>
        <v>19147.4024330133</v>
      </c>
    </row>
    <row r="23" customFormat="false" ht="15" hidden="false" customHeight="false" outlineLevel="0" collapsed="false">
      <c r="A23" s="0" t="s">
        <v>107</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Assumptions!$B$48</f>
        <v>8</v>
      </c>
    </row>
    <row r="28" customFormat="false" ht="15" hidden="false" customHeight="false" outlineLevel="0" collapsed="false">
      <c r="A28" s="0" t="s">
        <v>112</v>
      </c>
      <c r="B28" s="4" t="n">
        <f aca="false">Assumptions!$B$49</f>
        <v>1.5</v>
      </c>
    </row>
    <row r="29" customFormat="false" ht="15" hidden="false" customHeight="false" outlineLevel="0" collapsed="false">
      <c r="A29" s="0" t="s">
        <v>113</v>
      </c>
      <c r="B29" s="4" t="n">
        <f aca="false">Assumptions!$B$50</f>
        <v>14</v>
      </c>
    </row>
    <row r="30" customFormat="false" ht="15" hidden="false" customHeight="false" outlineLevel="0" collapsed="false">
      <c r="A30" s="0" t="s">
        <v>134</v>
      </c>
      <c r="B30" s="0" t="n">
        <f aca="false">SUM(C21:L21)</f>
        <v>203040.519922914</v>
      </c>
    </row>
    <row r="31" customFormat="false" ht="15" hidden="false" customHeight="false" outlineLevel="0" collapsed="false">
      <c r="A31" s="0" t="s">
        <v>135</v>
      </c>
      <c r="B31" s="0" t="n">
        <f aca="false">L19</f>
        <v>41337.8057454743</v>
      </c>
    </row>
    <row r="32" customFormat="false" ht="15" hidden="false" customHeight="false" outlineLevel="0" collapsed="false">
      <c r="A32" s="0" t="s">
        <v>136</v>
      </c>
      <c r="B32" s="0" t="n">
        <f aca="false">IF(B27&gt;B28,B31*(1+B28/100)/((B27-B28)/100),B31*B29)</f>
        <v>645505.735871637</v>
      </c>
    </row>
    <row r="33" customFormat="false" ht="15" hidden="false" customHeight="false" outlineLevel="0" collapsed="false">
      <c r="A33" s="0" t="s">
        <v>137</v>
      </c>
      <c r="B33" s="0" t="n">
        <f aca="false">B31*B29</f>
        <v>578729.28043664</v>
      </c>
    </row>
    <row r="34" customFormat="false" ht="15" hidden="false" customHeight="false" outlineLevel="0" collapsed="false">
      <c r="A34" s="0" t="s">
        <v>138</v>
      </c>
      <c r="B34" s="0" t="n">
        <f aca="false">MAX(0,MIN(B32,B33))</f>
        <v>578729.28043664</v>
      </c>
    </row>
    <row r="35" customFormat="false" ht="15" hidden="false" customHeight="false" outlineLevel="0" collapsed="false">
      <c r="A35" s="0" t="s">
        <v>139</v>
      </c>
      <c r="B35" s="0" t="n">
        <f aca="false">B34/(1+B27/100)^L4</f>
        <v>268063.634062187</v>
      </c>
    </row>
    <row r="36" customFormat="false" ht="15" hidden="false" customHeight="false" outlineLevel="0" collapsed="false">
      <c r="A36" s="0" t="s">
        <v>140</v>
      </c>
      <c r="B36" s="0" t="n">
        <f aca="false">B30+B35</f>
        <v>471104.1539851</v>
      </c>
    </row>
    <row r="37" customFormat="false" ht="15" hidden="false" customHeight="false" outlineLevel="0" collapsed="false">
      <c r="A37" s="0" t="s">
        <v>141</v>
      </c>
      <c r="B37" s="0" t="n">
        <f aca="false">B36+Assumptions!$B$5-Assumptions!$B$4</f>
        <v>432705.1539851</v>
      </c>
    </row>
    <row r="38" customFormat="false" ht="15" hidden="false" customHeight="false" outlineLevel="0" collapsed="false">
      <c r="A38" s="0" t="s">
        <v>142</v>
      </c>
      <c r="B38" s="0" t="n">
        <f aca="false">B37/Assumptions!$B$3*Assumptions!$B$10</f>
        <v>2769.66750294502</v>
      </c>
    </row>
    <row r="39" customFormat="false" ht="15" hidden="false" customHeight="false" outlineLevel="0" collapsed="false">
      <c r="A39" s="0" t="s">
        <v>143</v>
      </c>
      <c r="B39" s="4" t="n">
        <f aca="false">B38/Assumptions!$B$2-1</f>
        <v>0.201070035969219</v>
      </c>
    </row>
    <row r="41" customFormat="false" ht="15" hidden="false" customHeight="false" outlineLevel="0" collapsed="false">
      <c r="A41" s="0" t="s">
        <v>144</v>
      </c>
      <c r="B41" s="0" t="n">
        <f aca="false">SUMPRODUCT(-C10:L10/(1+$B$27/100)^C4:L4)</f>
        <v>0</v>
      </c>
    </row>
    <row r="42" customFormat="false" ht="15" hidden="false" customHeight="false" outlineLevel="0" collapsed="false">
      <c r="A42" s="0" t="s">
        <v>145</v>
      </c>
      <c r="B42" s="0" t="n">
        <f aca="false">IF(B27&gt;B28,-L10*(1+B28/100)/((B27-B28)/100),-L10*20)/(1+B27/100)^L4</f>
        <v>0</v>
      </c>
    </row>
    <row r="43" customFormat="false" ht="15" hidden="false" customHeight="false" outlineLevel="0" collapsed="false">
      <c r="A43" s="0" t="s">
        <v>146</v>
      </c>
      <c r="B43" s="0" t="n">
        <f aca="false">(B37+B41+B42)/Assumptions!$B$3*Assumptions!$B$10</f>
        <v>2769.66750294502</v>
      </c>
    </row>
    <row r="45" customFormat="false" ht="15" hidden="false" customHeight="false" outlineLevel="0" collapsed="false">
      <c r="A45" s="0" t="s">
        <v>87</v>
      </c>
      <c r="B45" s="4" t="n">
        <f aca="false">Assumptions!$B$6</f>
        <v>15</v>
      </c>
    </row>
    <row r="46" customFormat="false" ht="15" hidden="false" customHeight="false" outlineLevel="0" collapsed="false">
      <c r="A46" s="0" t="s">
        <v>147</v>
      </c>
      <c r="B46" s="0" t="n">
        <f aca="false">MAX(0,MIN(IF(B45&gt;B28,B31*(1+B28/100)/((B45-B28)/100),B31*B29),B31*B29))</f>
        <v>310799.05801227</v>
      </c>
    </row>
    <row r="47" customFormat="false" ht="15" hidden="false" customHeight="false" outlineLevel="0" collapsed="false">
      <c r="A47" s="0" t="s">
        <v>148</v>
      </c>
      <c r="B47" s="0" t="n">
        <f aca="false">(SUMPRODUCT(C19:L19/(1+B45/100)^C4:L4)+B46/(1+B45/100)^L4+Assumptions!$B$5-Assumptions!$B$4)/Assumptions!$B$3*Assumptions!$B$10</f>
        <v>1180.75120227542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151</v>
      </c>
    </row>
    <row r="3" customFormat="false" ht="15" hidden="false" customHeight="false" outlineLevel="0" collapsed="false">
      <c r="A3" s="2" t="s">
        <v>152</v>
      </c>
      <c r="B3" s="2" t="s">
        <v>153</v>
      </c>
      <c r="C3" s="2" t="s">
        <v>143</v>
      </c>
      <c r="D3" s="2" t="s">
        <v>154</v>
      </c>
      <c r="E3" s="2" t="s">
        <v>146</v>
      </c>
      <c r="F3" s="2" t="s">
        <v>155</v>
      </c>
    </row>
    <row r="4" customFormat="false" ht="15" hidden="false" customHeight="false" outlineLevel="0" collapsed="false">
      <c r="A4" s="0" t="s">
        <v>156</v>
      </c>
      <c r="B4" s="4" t="n">
        <f aca="false">DCF_Bear!$B$38</f>
        <v>1026.35333773629</v>
      </c>
      <c r="C4" s="0" t="n">
        <f aca="false">B4/Assumptions!$B$2-1</f>
        <v>-0.554920495344193</v>
      </c>
      <c r="D4" s="4" t="n">
        <f aca="false">Assumptions!$B$24</f>
        <v>0.25</v>
      </c>
      <c r="E4" s="4" t="n">
        <f aca="false">DCF_Bear!$B$43</f>
        <v>1026.35333773629</v>
      </c>
      <c r="F4" s="4" t="n">
        <f aca="false">DCF_Bear!$B$47</f>
        <v>429.921935103735</v>
      </c>
    </row>
    <row r="5" customFormat="false" ht="15" hidden="false" customHeight="false" outlineLevel="0" collapsed="false">
      <c r="A5" s="0" t="s">
        <v>157</v>
      </c>
      <c r="B5" s="4" t="n">
        <f aca="false">DCF_Base!$B$38</f>
        <v>1802.9578148584</v>
      </c>
      <c r="C5" s="0" t="n">
        <f aca="false">B5/Assumptions!$B$2-1</f>
        <v>-0.218144919835905</v>
      </c>
      <c r="D5" s="4" t="n">
        <f aca="false">Assumptions!$B$38</f>
        <v>0.5</v>
      </c>
      <c r="E5" s="4" t="n">
        <f aca="false">DCF_Base!$B$43</f>
        <v>1802.9578148584</v>
      </c>
      <c r="F5" s="4" t="n">
        <f aca="false">DCF_Base!$B$47</f>
        <v>775.041036279396</v>
      </c>
    </row>
    <row r="6" customFormat="false" ht="15" hidden="false" customHeight="false" outlineLevel="0" collapsed="false">
      <c r="A6" s="0" t="s">
        <v>158</v>
      </c>
      <c r="B6" s="4" t="n">
        <f aca="false">DCF_Bull!$B$38</f>
        <v>2769.66750294502</v>
      </c>
      <c r="C6" s="0" t="n">
        <f aca="false">B6/Assumptions!$B$2-1</f>
        <v>0.201070035969219</v>
      </c>
      <c r="D6" s="4" t="n">
        <f aca="false">Assumptions!$B$52</f>
        <v>0.25</v>
      </c>
      <c r="E6" s="4" t="n">
        <f aca="false">DCF_Bull!$B$43</f>
        <v>2769.66750294502</v>
      </c>
      <c r="F6" s="4" t="n">
        <f aca="false">DCF_Bull!$B$47</f>
        <v>1180.75120227542</v>
      </c>
    </row>
    <row r="8" customFormat="false" ht="15" hidden="false" customHeight="false" outlineLevel="0" collapsed="false">
      <c r="A8" s="0" t="s">
        <v>159</v>
      </c>
      <c r="B8" s="0" t="n">
        <f aca="false">SUMPRODUCT(B4:B6,D4:D6)</f>
        <v>1850.48411759953</v>
      </c>
    </row>
    <row r="9" customFormat="false" ht="15" hidden="false" customHeight="false" outlineLevel="0" collapsed="false">
      <c r="A9" s="0" t="s">
        <v>160</v>
      </c>
      <c r="B9" s="0" t="n">
        <f aca="false">SUMPRODUCT(E4:E6,D4:D6)</f>
        <v>1850.48411759953</v>
      </c>
    </row>
    <row r="10" customFormat="false" ht="15" hidden="false" customHeight="false" outlineLevel="0" collapsed="false">
      <c r="A10" s="0" t="s">
        <v>161</v>
      </c>
      <c r="B10" s="0" t="n">
        <f aca="false">1-Assumptions!$B$2/B8</f>
        <v>-0.246160384770755</v>
      </c>
    </row>
    <row r="11" customFormat="false" ht="15" hidden="false" customHeight="false" outlineLevel="0" collapsed="false">
      <c r="A11" s="0" t="s">
        <v>162</v>
      </c>
      <c r="B11" s="0" t="str">
        <f aca="false">IF(ABS(B9-B8)&gt;0.01*ABS(B8),(Assumptions!$B$2-B8)/(B9-B8)*100,"n/a")</f>
        <v>n/a</v>
      </c>
    </row>
    <row r="12" customFormat="false" ht="15" hidden="false" customHeight="false" outlineLevel="0" collapsed="false">
      <c r="A12" s="0" t="s">
        <v>163</v>
      </c>
      <c r="B12" s="0" t="n">
        <f aca="false">SUMPRODUCT(F4:F6,D4:D6)</f>
        <v>790.188802484487</v>
      </c>
    </row>
    <row r="14" customFormat="false" ht="15" hidden="false" customHeight="false" outlineLevel="0" collapsed="false">
      <c r="A14" s="2" t="s">
        <v>164</v>
      </c>
      <c r="C14" s="0" t="s">
        <v>165</v>
      </c>
    </row>
    <row r="15" customFormat="false" ht="15" hidden="false" customHeight="false" outlineLevel="0" collapsed="false">
      <c r="A15" s="0" t="s">
        <v>166</v>
      </c>
      <c r="B15" s="0" t="n">
        <f aca="false">(SUMPRODUCT(DCF_Base!$C$19:$L$19/(1+$C$15/100)^DCF_Base!$C$4:$L$4)+MAX(0,MIN(IF($C$15&gt;DCF_Base!$B$28,DCF_Base!$L$19*(1+DCF_Base!$B$28/100)/(($C$15-DCF_Base!$B$28)/100),DCF_Base!$L$19*DCF_Base!$B$29),DCF_Base!$L$19*DCF_Base!$B$29))/(1+$C$15/100)^DCF_Base!$L$4+Assumptions!$B$5-Assumptions!$B$4)/Assumptions!$B$3*Assumptions!$B$10</f>
        <v>1802.9578148584</v>
      </c>
      <c r="C15" s="3" t="n">
        <v>8</v>
      </c>
    </row>
    <row r="16" customFormat="false" ht="15" hidden="false" customHeight="false" outlineLevel="0" collapsed="false">
      <c r="A16" s="0" t="s">
        <v>167</v>
      </c>
      <c r="B16" s="0" t="n">
        <f aca="false">(SUMPRODUCT(DCF_Base!$C$19:$L$19/(1+$C$16/100)^DCF_Base!$C$4:$L$4)+MAX(0,MIN(IF($C$16&gt;DCF_Base!$B$28,DCF_Base!$L$19*(1+DCF_Base!$B$28/100)/(($C$16-DCF_Base!$B$28)/100),DCF_Base!$L$19*DCF_Base!$B$29),DCF_Base!$L$19*DCF_Base!$B$29))/(1+$C$16/100)^DCF_Base!$L$4+Assumptions!$B$5-Assumptions!$B$4)/Assumptions!$B$3*Assumptions!$B$10</f>
        <v>1569.38358764198</v>
      </c>
      <c r="C16" s="3" t="n">
        <v>9</v>
      </c>
    </row>
    <row r="17" customFormat="false" ht="15" hidden="false" customHeight="false" outlineLevel="0" collapsed="false">
      <c r="A17" s="0" t="s">
        <v>168</v>
      </c>
      <c r="B17" s="0" t="n">
        <f aca="false">(SUMPRODUCT(DCF_Base!$C$19:$L$19/(1+$C$17/100)^DCF_Base!$C$4:$L$4)+MAX(0,MIN(IF($C$17&gt;DCF_Base!$B$28,DCF_Base!$L$19*(1+DCF_Base!$B$28/100)/(($C$17-DCF_Base!$B$28)/100),DCF_Base!$L$19*DCF_Base!$B$29),DCF_Base!$L$19*DCF_Base!$B$29))/(1+$C$17/100)^DCF_Base!$L$4+Assumptions!$B$5-Assumptions!$B$4)/Assumptions!$B$3*Assumptions!$B$10</f>
        <v>1362.70472978554</v>
      </c>
      <c r="C17" s="3" t="n">
        <v>10</v>
      </c>
    </row>
    <row r="18" customFormat="false" ht="15" hidden="false" customHeight="false" outlineLevel="0" collapsed="false">
      <c r="A18" s="0" t="s">
        <v>169</v>
      </c>
      <c r="B18" s="0" t="n">
        <f aca="false">(SUMPRODUCT(DCF_Base!$C$19:$L$19/(1+$C$18/100)^DCF_Base!$C$4:$L$4)+MAX(0,MIN(IF($C$18&gt;DCF_Base!$B$28,DCF_Base!$L$19*(1+DCF_Base!$B$28/100)/(($C$18-DCF_Base!$B$28)/100),DCF_Base!$L$19*DCF_Base!$B$29),DCF_Base!$L$19*DCF_Base!$B$29))/(1+$C$18/100)^DCF_Base!$L$4+Assumptions!$B$5-Assumptions!$B$4)/Assumptions!$B$3*Assumptions!$B$10</f>
        <v>1197.65339374751</v>
      </c>
      <c r="C18" s="3" t="n">
        <v>11</v>
      </c>
    </row>
    <row r="19" customFormat="false" ht="15" hidden="false" customHeight="false" outlineLevel="0" collapsed="false">
      <c r="A19" s="0" t="s">
        <v>170</v>
      </c>
      <c r="B19" s="0" t="n">
        <f aca="false">(SUMPRODUCT(DCF_Base!$C$19:$L$19/(1+$C$19/100)^DCF_Base!$C$4:$L$4)+MAX(0,MIN(IF($C$19&gt;DCF_Base!$B$28,DCF_Base!$L$19*(1+DCF_Base!$B$28/100)/(($C$19-DCF_Base!$B$28)/100),DCF_Base!$L$19*DCF_Base!$B$29),DCF_Base!$L$19*DCF_Base!$B$29))/(1+$C$19/100)^DCF_Base!$L$4+Assumptions!$B$5-Assumptions!$B$4)/Assumptions!$B$3*Assumptions!$B$10</f>
        <v>1062.8578094009</v>
      </c>
      <c r="C19" s="3" t="n">
        <v>12</v>
      </c>
    </row>
    <row r="20" customFormat="false" ht="15" hidden="false" customHeight="false" outlineLevel="0" collapsed="false">
      <c r="A20" s="0" t="s">
        <v>171</v>
      </c>
      <c r="B20" s="0" t="n">
        <f aca="false">(SUMPRODUCT(DCF_Base!$C$19:$L$19/(1+$C$20/100)^DCF_Base!$C$4:$L$4)+MAX(0,MIN(IF($C$20&gt;DCF_Base!$B$28,DCF_Base!$L$19*(1+DCF_Base!$B$28/100)/(($C$20-DCF_Base!$B$28)/100),DCF_Base!$L$19*DCF_Base!$B$29),DCF_Base!$L$19*DCF_Base!$B$29))/(1+$C$20/100)^DCF_Base!$L$4+Assumptions!$B$5-Assumptions!$B$4)/Assumptions!$B$3*Assumptions!$B$10</f>
        <v>775.041036279396</v>
      </c>
      <c r="C20" s="3" t="n">
        <v>15</v>
      </c>
    </row>
    <row r="22" customFormat="false" ht="15" hidden="false" customHeight="false" outlineLevel="0" collapsed="false">
      <c r="A22" s="2" t="s">
        <v>172</v>
      </c>
    </row>
    <row r="23" customFormat="false" ht="15" hidden="false" customHeight="false" outlineLevel="0" collapsed="false">
      <c r="B23" s="3" t="n">
        <v>0</v>
      </c>
      <c r="C23" s="3" t="n">
        <v>0.5</v>
      </c>
      <c r="D23" s="3" t="n">
        <v>1</v>
      </c>
      <c r="E23" s="3" t="n">
        <v>1.5</v>
      </c>
      <c r="F23" s="3" t="n">
        <v>2</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2120.79423808943</v>
      </c>
      <c r="C24" s="0" t="n">
        <f aca="false">(SUMPRODUCT(DCF_Base!$C$19:$L$19/(1+$A$24/100)^DCF_Base!$C$4:$L$4)+MAX(0,MIN(IF($A$24&gt;$C$23,DCF_Base!$L$19*(1+$C$23/100)/(($A$24-$C$23)/100),DCF_Base!$L$19*DCF_Base!$B$29),DCF_Base!$L$19*DCF_Base!$B$29))/(1+$A$24/100)^DCF_Base!$L$4+Assumptions!$B$5-Assumptions!$B$4)/Assumptions!$B$3*Assumptions!$B$10</f>
        <v>2120.79423808943</v>
      </c>
      <c r="D24" s="0" t="n">
        <f aca="false">(SUMPRODUCT(DCF_Base!$C$19:$L$19/(1+$A$24/100)^DCF_Base!$C$4:$L$4)+MAX(0,MIN(IF($A$24&gt;$D$23,DCF_Base!$L$19*(1+$D$23/100)/(($A$24-$D$23)/100),DCF_Base!$L$19*DCF_Base!$B$29),DCF_Base!$L$19*DCF_Base!$B$29))/(1+$A$24/100)^DCF_Base!$L$4+Assumptions!$B$5-Assumptions!$B$4)/Assumptions!$B$3*Assumptions!$B$10</f>
        <v>2120.79423808943</v>
      </c>
      <c r="E24" s="0" t="n">
        <f aca="false">(SUMPRODUCT(DCF_Base!$C$19:$L$19/(1+$A$24/100)^DCF_Base!$C$4:$L$4)+MAX(0,MIN(IF($A$24&gt;$E$23,DCF_Base!$L$19*(1+$E$23/100)/(($A$24-$E$23)/100),DCF_Base!$L$19*DCF_Base!$B$29),DCF_Base!$L$19*DCF_Base!$B$29))/(1+$A$24/100)^DCF_Base!$L$4+Assumptions!$B$5-Assumptions!$B$4)/Assumptions!$B$3*Assumptions!$B$10</f>
        <v>2120.79423808943</v>
      </c>
      <c r="F24" s="0" t="n">
        <f aca="false">(SUMPRODUCT(DCF_Base!$C$19:$L$19/(1+$A$24/100)^DCF_Base!$C$4:$L$4)+MAX(0,MIN(IF($A$24&gt;$F$23,DCF_Base!$L$19*(1+$F$23/100)/(($A$24-$F$23)/100),DCF_Base!$L$19*DCF_Base!$B$29),DCF_Base!$L$19*DCF_Base!$B$29))/(1+$A$24/100)^DCF_Base!$L$4+Assumptions!$B$5-Assumptions!$B$4)/Assumptions!$B$3*Assumptions!$B$10</f>
        <v>2120.79423808943</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1954.46535652453</v>
      </c>
      <c r="C25" s="0" t="n">
        <f aca="false">(SUMPRODUCT(DCF_Base!$C$19:$L$19/(1+$A$25/100)^DCF_Base!$C$4:$L$4)+MAX(0,MIN(IF($A$25&gt;$C$23,DCF_Base!$L$19*(1+$C$23/100)/(($A$25-$C$23)/100),DCF_Base!$L$19*DCF_Base!$B$29),DCF_Base!$L$19*DCF_Base!$B$29))/(1+$A$25/100)^DCF_Base!$L$4+Assumptions!$B$5-Assumptions!$B$4)/Assumptions!$B$3*Assumptions!$B$10</f>
        <v>1954.46535652453</v>
      </c>
      <c r="D25" s="0" t="n">
        <f aca="false">(SUMPRODUCT(DCF_Base!$C$19:$L$19/(1+$A$25/100)^DCF_Base!$C$4:$L$4)+MAX(0,MIN(IF($A$25&gt;$D$23,DCF_Base!$L$19*(1+$D$23/100)/(($A$25-$D$23)/100),DCF_Base!$L$19*DCF_Base!$B$29),DCF_Base!$L$19*DCF_Base!$B$29))/(1+$A$25/100)^DCF_Base!$L$4+Assumptions!$B$5-Assumptions!$B$4)/Assumptions!$B$3*Assumptions!$B$10</f>
        <v>1954.46535652453</v>
      </c>
      <c r="E25" s="0" t="n">
        <f aca="false">(SUMPRODUCT(DCF_Base!$C$19:$L$19/(1+$A$25/100)^DCF_Base!$C$4:$L$4)+MAX(0,MIN(IF($A$25&gt;$E$23,DCF_Base!$L$19*(1+$E$23/100)/(($A$25-$E$23)/100),DCF_Base!$L$19*DCF_Base!$B$29),DCF_Base!$L$19*DCF_Base!$B$29))/(1+$A$25/100)^DCF_Base!$L$4+Assumptions!$B$5-Assumptions!$B$4)/Assumptions!$B$3*Assumptions!$B$10</f>
        <v>1954.46535652453</v>
      </c>
      <c r="F25" s="0" t="n">
        <f aca="false">(SUMPRODUCT(DCF_Base!$C$19:$L$19/(1+$A$25/100)^DCF_Base!$C$4:$L$4)+MAX(0,MIN(IF($A$25&gt;$F$23,DCF_Base!$L$19*(1+$F$23/100)/(($A$25-$F$23)/100),DCF_Base!$L$19*DCF_Base!$B$29),DCF_Base!$L$19*DCF_Base!$B$29))/(1+$A$25/100)^DCF_Base!$L$4+Assumptions!$B$5-Assumptions!$B$4)/Assumptions!$B$3*Assumptions!$B$10</f>
        <v>1954.46535652453</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1688.84150695025</v>
      </c>
      <c r="C26" s="0" t="n">
        <f aca="false">(SUMPRODUCT(DCF_Base!$C$19:$L$19/(1+$A$26/100)^DCF_Base!$C$4:$L$4)+MAX(0,MIN(IF($A$26&gt;$C$23,DCF_Base!$L$19*(1+$C$23/100)/(($A$26-$C$23)/100),DCF_Base!$L$19*DCF_Base!$B$29),DCF_Base!$L$19*DCF_Base!$B$29))/(1+$A$26/100)^DCF_Base!$L$4+Assumptions!$B$5-Assumptions!$B$4)/Assumptions!$B$3*Assumptions!$B$10</f>
        <v>1757.31129169514</v>
      </c>
      <c r="D26" s="0" t="n">
        <f aca="false">(SUMPRODUCT(DCF_Base!$C$19:$L$19/(1+$A$26/100)^DCF_Base!$C$4:$L$4)+MAX(0,MIN(IF($A$26&gt;$D$23,DCF_Base!$L$19*(1+$D$23/100)/(($A$26-$D$23)/100),DCF_Base!$L$19*DCF_Base!$B$29),DCF_Base!$L$19*DCF_Base!$B$29))/(1+$A$26/100)^DCF_Base!$L$4+Assumptions!$B$5-Assumptions!$B$4)/Assumptions!$B$3*Assumptions!$B$10</f>
        <v>1802.9578148584</v>
      </c>
      <c r="E26" s="0" t="n">
        <f aca="false">(SUMPRODUCT(DCF_Base!$C$19:$L$19/(1+$A$26/100)^DCF_Base!$C$4:$L$4)+MAX(0,MIN(IF($A$26&gt;$E$23,DCF_Base!$L$19*(1+$E$23/100)/(($A$26-$E$23)/100),DCF_Base!$L$19*DCF_Base!$B$29),DCF_Base!$L$19*DCF_Base!$B$29))/(1+$A$26/100)^DCF_Base!$L$4+Assumptions!$B$5-Assumptions!$B$4)/Assumptions!$B$3*Assumptions!$B$10</f>
        <v>1802.9578148584</v>
      </c>
      <c r="F26" s="0" t="n">
        <f aca="false">(SUMPRODUCT(DCF_Base!$C$19:$L$19/(1+$A$26/100)^DCF_Base!$C$4:$L$4)+MAX(0,MIN(IF($A$26&gt;$F$23,DCF_Base!$L$19*(1+$F$23/100)/(($A$26-$F$23)/100),DCF_Base!$L$19*DCF_Base!$B$29),DCF_Base!$L$19*DCF_Base!$B$29))/(1+$A$26/100)^DCF_Base!$L$4+Assumptions!$B$5-Assumptions!$B$4)/Assumptions!$B$3*Assumptions!$B$10</f>
        <v>1802.9578148584</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1464.35125032795</v>
      </c>
      <c r="C27" s="0" t="n">
        <f aca="false">(SUMPRODUCT(DCF_Base!$C$19:$L$19/(1+$A$27/100)^DCF_Base!$C$4:$L$4)+MAX(0,MIN(IF($A$27&gt;$C$23,DCF_Base!$L$19*(1+$C$23/100)/(($A$27-$C$23)/100),DCF_Base!$L$19*DCF_Base!$B$29),DCF_Base!$L$19*DCF_Base!$B$29))/(1+$A$27/100)^DCF_Base!$L$4+Assumptions!$B$5-Assumptions!$B$4)/Assumptions!$B$3*Assumptions!$B$10</f>
        <v>1513.77823259337</v>
      </c>
      <c r="D27" s="0" t="n">
        <f aca="false">(SUMPRODUCT(DCF_Base!$C$19:$L$19/(1+$A$27/100)^DCF_Base!$C$4:$L$4)+MAX(0,MIN(IF($A$27&gt;$D$23,DCF_Base!$L$19*(1+$D$23/100)/(($A$27-$D$23)/100),DCF_Base!$L$19*DCF_Base!$B$29),DCF_Base!$L$19*DCF_Base!$B$29))/(1+$A$27/100)^DCF_Base!$L$4+Assumptions!$B$5-Assumptions!$B$4)/Assumptions!$B$3*Assumptions!$B$10</f>
        <v>1569.38358764198</v>
      </c>
      <c r="E27" s="0" t="n">
        <f aca="false">(SUMPRODUCT(DCF_Base!$C$19:$L$19/(1+$A$27/100)^DCF_Base!$C$4:$L$4)+MAX(0,MIN(IF($A$27&gt;$E$23,DCF_Base!$L$19*(1+$E$23/100)/(($A$27-$E$23)/100),DCF_Base!$L$19*DCF_Base!$B$29),DCF_Base!$L$19*DCF_Base!$B$29))/(1+$A$27/100)^DCF_Base!$L$4+Assumptions!$B$5-Assumptions!$B$4)/Assumptions!$B$3*Assumptions!$B$10</f>
        <v>1632.4029900304</v>
      </c>
      <c r="F27" s="0" t="n">
        <f aca="false">(SUMPRODUCT(DCF_Base!$C$19:$L$19/(1+$A$27/100)^DCF_Base!$C$4:$L$4)+MAX(0,MIN(IF($A$27&gt;$F$23,DCF_Base!$L$19*(1+$F$23/100)/(($A$27-$F$23)/100),DCF_Base!$L$19*DCF_Base!$B$29),DCF_Base!$L$19*DCF_Base!$B$29))/(1+$A$27/100)^DCF_Base!$L$4+Assumptions!$B$5-Assumptions!$B$4)/Assumptions!$B$3*Assumptions!$B$10</f>
        <v>1664.77993070702</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1285.30894075861</v>
      </c>
      <c r="C28" s="0" t="n">
        <f aca="false">(SUMPRODUCT(DCF_Base!$C$19:$L$19/(1+$A$28/100)^DCF_Base!$C$4:$L$4)+MAX(0,MIN(IF($A$28&gt;$C$23,DCF_Base!$L$19*(1+$C$23/100)/(($A$28-$C$23)/100),DCF_Base!$L$19*DCF_Base!$B$29),DCF_Base!$L$19*DCF_Base!$B$29))/(1+$A$28/100)^DCF_Base!$L$4+Assumptions!$B$5-Assumptions!$B$4)/Assumptions!$B$3*Assumptions!$B$10</f>
        <v>1321.97010398189</v>
      </c>
      <c r="D28" s="0" t="n">
        <f aca="false">(SUMPRODUCT(DCF_Base!$C$19:$L$19/(1+$A$28/100)^DCF_Base!$C$4:$L$4)+MAX(0,MIN(IF($A$28&gt;$D$23,DCF_Base!$L$19*(1+$D$23/100)/(($A$28-$D$23)/100),DCF_Base!$L$19*DCF_Base!$B$29),DCF_Base!$L$19*DCF_Base!$B$29))/(1+$A$28/100)^DCF_Base!$L$4+Assumptions!$B$5-Assumptions!$B$4)/Assumptions!$B$3*Assumptions!$B$10</f>
        <v>1362.70472978554</v>
      </c>
      <c r="E28" s="0" t="n">
        <f aca="false">(SUMPRODUCT(DCF_Base!$C$19:$L$19/(1+$A$28/100)^DCF_Base!$C$4:$L$4)+MAX(0,MIN(IF($A$28&gt;$E$23,DCF_Base!$L$19*(1+$E$23/100)/(($A$28-$E$23)/100),DCF_Base!$L$19*DCF_Base!$B$29),DCF_Base!$L$19*DCF_Base!$B$29))/(1+$A$28/100)^DCF_Base!$L$4+Assumptions!$B$5-Assumptions!$B$4)/Assumptions!$B$3*Assumptions!$B$10</f>
        <v>1408.23166450726</v>
      </c>
      <c r="F28" s="0" t="n">
        <f aca="false">(SUMPRODUCT(DCF_Base!$C$19:$L$19/(1+$A$28/100)^DCF_Base!$C$4:$L$4)+MAX(0,MIN(IF($A$28&gt;$F$23,DCF_Base!$L$19*(1+$F$23/100)/(($A$28-$F$23)/100),DCF_Base!$L$19*DCF_Base!$B$29),DCF_Base!$L$19*DCF_Base!$B$29))/(1+$A$28/100)^DCF_Base!$L$4+Assumptions!$B$5-Assumptions!$B$4)/Assumptions!$B$3*Assumptions!$B$10</f>
        <v>1459.4494660692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2026-10-26T07:54:28Z</dcterms:created>
  <dc:creator>openpyxl</dc:creator>
  <dc:description/>
  <dc:language>en-NZ</dc:language>
  <cp:lastModifiedBy/>
  <dcterms:modified xsi:type="dcterms:W3CDTF">2026-10-26T07:54:28Z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