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<sst xmlns="http://schemas.openxmlformats.org/spreadsheetml/2006/main" count="348" uniqueCount="164">
  <si>
    <t xml:space="preserve">Ticker</t>
  </si>
  <si>
    <t xml:space="preserve">6699.HK</t>
  </si>
  <si>
    <t xml:space="preserve">Company</t>
  </si>
  <si>
    <t xml:space="preserve">Angelalign Technology Inc.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</si>
  <si>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</si>
  <si>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</si>
  <si>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</si>
  <si>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</si>
  <si>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(HKEX regular close, Friday; valuation written Saturday 2026-10-24, no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</si>
  <si>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</si>
  <si>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</si>
  <si>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</si>
  <si>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</si>
  <si>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</si>
  <si>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</si>
  <si>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</si>
  <si>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</si>
  <si>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</si>
  <si>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</si>
  <si>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</si>
  <si>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</si>
  <si>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</si>
  <si>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2026-10-23T15:48:25Z</t>
  </si>
  <si>
    <t xml:space="preserve">Drivers file</t>
  </si>
  <si>
    <t xml:space="preserve">6699.HK_Drivers.json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</si>
  <si>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</si>
  <si>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</si>
  <si>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</si>
  <si>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USD, converted to HKD at the pegged rate. SBC (2.5% of revenue, falling) is expensed and the diluted count held flat; interest is not double-stripped because the company already reports it outside OCF; the USD384m post-dividend cash pile (incl. term deposits and wealth-management products) is added once in the bridge. The valuation turns on whether the global segment can reach China-like margins before growth fades; the terminal value is capped at 18x year-10 owner FCF in the base case.
key_risks_to_valuation: China ASP compression from provincial volume-based procurement or further 'strategic pricing adjustments' (H1 FY2026: cases +37%, China revenue +25%); Align Technology patent litigation in E.D. Texas, the ITC and the UPC: an exclusion order would shut the US channel inside the global segment; Global segment margin may never converge to China's: clinical-support and sales headcount scale with cases, and ex-China manufacturing ramp-up costs were deferred in FY2025; Repatriation: most cash is onshore RMB; 5-10% withholding tax applies on distribution and letters-of-credit borrowing (USD69m) was used to bridge dividends in H1 FY2026; HNTE 15% preferential tax status requires periodic re-approval; statutory PRC rate is 25%; Geopolitics and tariffs on medical devices shipped from China; evolving data-protection rules on patient scans; Capital allocation: USD219m of special dividends in 12 months is shareholder-friendly but reduces the cash cushion the bridge relies on; the model deducts the September 2026 payment</t>
  </si>
  <si>
    <t xml:space="preserve">Data sources</t>
  </si>
  <si>
    <t xml:space="preserve">price: Yahoo Finance chart API at inputs.price_as_of; 52-week range 58.40-100.00 HKD; USDHKD=X 7.8414 same date
financials: 6699.HK_Metrics.csv (core_metrics; CNY FY2020-FY2022, USD FY2023 onward), FY2025 annual report (segment summary, adjusted-EBITDA reconciliation, cash-flow notes, tax note), H1 FY2026 interim report (balance sheet 30 June 2026, segment note 6, diluted EPS note 11, dividends note 24, borrowings paragraph)
qualitative: FY2025 annual report business review and outlook; H1 FY2026 interim MD&amp;A and outlook. 6699.HK_Analysis.json did not exist at build time.</t>
  </si>
  <si>
    <t xml:space="preserve">Scenario narrative: bear</t>
  </si>
  <si>
    <t xml:space="preserve">China pricing policy and Align's competitive/legal response compress both growth and margin: revenue growth falls to single digits by FY2029 and the group plateaus at a 20% pre-SBC EBITDA margin with 24% cash tax.</t>
  </si>
  <si>
    <t xml:space="preserve">Scenario narrative: base</t>
  </si>
  <si>
    <t xml:space="preserve">Angelalign compounds revenue at ~25% for the next three years then decelerates to low single digits by FY2035, while the global segment (now over half of cases, just breakeven) converges toward the China segment's 24% operating margin. Operating leverage is the thesis: gross margin has been stable at 62-63% for three years, so every point of growth above opex growth drops through. Year-10 owner-FCF margin ~14.5% on ~USD1.35bn revenue.</t>
  </si>
  <si>
    <t xml:space="preserve">Scenario narrative: bull</t>
  </si>
  <si>
    <t xml:space="preserve">Global ex-China keeps growing 50%+ for two more years, Align litigation resolves benignly, China ASP stabilises as KiD and complex cases lift mix, and group margins reach Align-like 28% pre-SBC.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</si>
  <si>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</si>
  <si>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</si>
  <si>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</si>
  <si>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</si>
  <si>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</si>
  <si>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</si>
  <si>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</si>
  <si>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</si>
  <si>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</si>
  <si>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</si>
  <si>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</si>
  <si>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</si>
  <si>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</si>
  <si>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</si>
  <si>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</si>
  <si>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</si>
  <si>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</si>
  <si>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</si>
  <si>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</si>
  <si>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</si>
  <si>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</si>
  <si>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</si>
  <si>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</si>
  <si>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</si>
  <si>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</si>
  <si>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</si>
  <si>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</si>
  <si>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SalesVolume</t>
  </si>
  <si>
    <t xml:space="preserve">FY2020</t>
  </si>
  <si>
    <t xml:space="preserve">thousands</t>
  </si>
  <si>
    <t xml:space="preserve">CNY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</si>
  <si>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</si>
  <si>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</si>
  <si>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</si>
  <si>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</si>
  <si>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</si>
  <si>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</si>
  <si>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</si>
  <si>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</si>
  <si>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</si>
  <si>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</si>
  <si>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</si>
  <si>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</si>
  <si>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</si>
  <si>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</si>
  <si>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</si>
  <si>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</si>
  <si>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</si>
  <si>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</si>
  <si>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</si>
  <si>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</si>
  <si>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</si>
  <si>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</si>
  <si>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</si>
  <si>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</si>
  <si>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</si>
  <si>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</si>
  <si>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</si>
  <si>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</si>
  <si>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</si>
  <si>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</si>
  <si>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</si>
  <si>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</si>
  <si>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</si>
  <si>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</si>
  <si>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</si>
  <si>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</si>
  <si>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</si>
  <si>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</si>
  <si>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</si>
  <si>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</si>
  <si>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</si>
  <si>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</si>
  <si>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6699.HK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</si>
  <si>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</si>
  <si>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</si>
  <si>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</si>
  <si>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</si>
  <si>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</si>
  <si>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</si>
  <si>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</si>
  <si>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</si>
  <si>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</si>
  <si>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</si>
  <si>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</si>
  <si>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</si>
  <si>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</si>
  <si>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</si>
  <si>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</si>
  <si>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</si>
  <si>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</si>
  <si>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</si>
  <si>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</si>
  <si>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</si>
  <si>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</si>
  <si>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</si>
  <si>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</si>
  <si>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</si>
  <si>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</si>
  <si>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</si>
  <si>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</si>
  <si>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</si>
  <si>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</si>
  <si>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</si>
  <si>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6699.HK owner-FCF component DCF: base case (millions, USD)</t>
  </si>
  <si>
    <t xml:space="preserve">6699.HK owner-FCF component DCF: bull case (millions, USD)</t>
  </si>
  <si>
    <t xml:space="preserve">6699.HK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</si>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</sst>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81.2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816528</v>
      </c>
      <c r="C2" s="0" t="n">
        <v>241479</v>
      </c>
      <c r="D2" s="0" t="n">
        <v>575049</v>
      </c>
      <c r="E2" s="0" t="n">
        <v>70.4</v>
      </c>
      <c r="F2" s="0" t="n">
        <v>187885</v>
      </c>
      <c r="G2" s="0" t="n">
        <v>23</v>
      </c>
      <c r="H2" s="0" t="n">
        <v>220355</v>
      </c>
      <c r="I2" s="0" t="n">
        <v>150932</v>
      </c>
      <c r="J2" s="0" t="n">
        <v>18.5</v>
      </c>
      <c r="K2" s="0" t="n">
        <v>1.04</v>
      </c>
      <c r="L2" s="0" t="n">
        <v>408279</v>
      </c>
      <c r="M2" s="0" t="n">
        <v>41668</v>
      </c>
      <c r="N2" s="0" t="n">
        <v>366611</v>
      </c>
      <c r="O2" s="0" t="n">
        <v>497674</v>
      </c>
      <c r="P2" s="0" t="n">
        <v>1210139</v>
      </c>
      <c r="Q2" s="0" t="n">
        <v>712465</v>
      </c>
      <c r="R2" s="0" t="n">
        <v>0</v>
      </c>
      <c r="S2" s="0" t="n">
        <v>877578</v>
      </c>
      <c r="T2" s="0" t="n">
        <v>145439.3</v>
      </c>
      <c r="U2" s="0" t="n">
        <v>66319</v>
      </c>
      <c r="AA2" s="0" t="s">
        <v>66</v>
      </c>
      <c r="AB2" s="0" t="s">
        <v>67</v>
      </c>
    </row>
    <row r="3" customFormat="false" ht="15" hidden="false" customHeight="false" outlineLevel="0" collapsed="false">
      <c r="A3" s="0" t="s">
        <v>68</v>
      </c>
      <c r="B3" s="0" t="n">
        <v>1271677</v>
      </c>
      <c r="C3" s="0" t="n">
        <v>445031</v>
      </c>
      <c r="D3" s="0" t="n">
        <v>826646</v>
      </c>
      <c r="E3" s="0" t="n">
        <v>65</v>
      </c>
      <c r="F3" s="0" t="n">
        <v>318274</v>
      </c>
      <c r="G3" s="0" t="n">
        <v>25</v>
      </c>
      <c r="H3" s="0" t="n">
        <v>355583</v>
      </c>
      <c r="I3" s="0" t="n">
        <v>285572</v>
      </c>
      <c r="J3" s="0" t="n">
        <v>22.5</v>
      </c>
      <c r="K3" s="0" t="n">
        <v>1.79</v>
      </c>
      <c r="L3" s="0" t="n">
        <v>441713</v>
      </c>
      <c r="M3" s="0" t="n">
        <v>199761</v>
      </c>
      <c r="N3" s="0" t="n">
        <v>241952</v>
      </c>
      <c r="O3" s="0" t="n">
        <v>3314732</v>
      </c>
      <c r="P3" s="0" t="n">
        <v>4140844</v>
      </c>
      <c r="Q3" s="0" t="n">
        <v>826112</v>
      </c>
      <c r="R3" s="0" t="n">
        <v>0</v>
      </c>
      <c r="S3" s="0" t="n">
        <v>3626983</v>
      </c>
      <c r="T3" s="0" t="n">
        <v>159579.9</v>
      </c>
      <c r="U3" s="0" t="n">
        <v>26454</v>
      </c>
      <c r="AA3" s="0" t="s">
        <v>66</v>
      </c>
      <c r="AB3" s="0" t="s">
        <v>67</v>
      </c>
      <c r="AC3" s="0" t="n">
        <v>183200</v>
      </c>
    </row>
    <row r="4" customFormat="false" ht="15" hidden="false" customHeight="false" outlineLevel="0" collapsed="false">
      <c r="A4" s="0" t="s">
        <v>69</v>
      </c>
      <c r="B4" s="0" t="n">
        <v>1269706</v>
      </c>
      <c r="C4" s="0" t="n">
        <v>484016</v>
      </c>
      <c r="D4" s="0" t="n">
        <v>785690</v>
      </c>
      <c r="E4" s="0" t="n">
        <v>61.9</v>
      </c>
      <c r="F4" s="0" t="n">
        <v>211318</v>
      </c>
      <c r="G4" s="0" t="n">
        <v>16.6</v>
      </c>
      <c r="H4" s="0" t="n">
        <v>276360</v>
      </c>
      <c r="I4" s="0" t="n">
        <v>213157</v>
      </c>
      <c r="J4" s="0" t="n">
        <v>16.8</v>
      </c>
      <c r="K4" s="0" t="n">
        <v>1.27</v>
      </c>
      <c r="L4" s="0" t="n">
        <v>146870</v>
      </c>
      <c r="M4" s="0" t="n">
        <v>95389</v>
      </c>
      <c r="N4" s="0" t="n">
        <v>51481</v>
      </c>
      <c r="O4" s="0" t="n">
        <v>3602197</v>
      </c>
      <c r="P4" s="0" t="n">
        <v>4486209</v>
      </c>
      <c r="Q4" s="0" t="n">
        <v>884012</v>
      </c>
      <c r="R4" s="0" t="n">
        <v>0</v>
      </c>
      <c r="S4" s="0" t="n">
        <v>3649376</v>
      </c>
      <c r="T4" s="0" t="n">
        <v>168810.495</v>
      </c>
      <c r="U4" s="0" t="n">
        <v>19261</v>
      </c>
      <c r="AA4" s="0" t="s">
        <v>66</v>
      </c>
      <c r="AB4" s="0" t="s">
        <v>67</v>
      </c>
      <c r="AC4" s="0" t="n">
        <v>183900</v>
      </c>
    </row>
    <row r="5" customFormat="false" ht="15" hidden="false" customHeight="false" outlineLevel="0" collapsed="false">
      <c r="A5" s="0" t="s">
        <v>70</v>
      </c>
      <c r="B5" s="0" t="n">
        <v>209616</v>
      </c>
      <c r="C5" s="0" t="n">
        <v>78908</v>
      </c>
      <c r="D5" s="0" t="n">
        <v>130708</v>
      </c>
      <c r="E5" s="0" t="n">
        <v>62.4</v>
      </c>
      <c r="F5" s="0" t="n">
        <v>-3926</v>
      </c>
      <c r="G5" s="0" t="n">
        <v>-1.9</v>
      </c>
      <c r="H5" s="0" t="n">
        <v>8263</v>
      </c>
      <c r="I5" s="0" t="n">
        <v>6833</v>
      </c>
      <c r="J5" s="0" t="n">
        <v>3.3</v>
      </c>
      <c r="K5" s="0" t="n">
        <v>0.04</v>
      </c>
      <c r="L5" s="0" t="n">
        <v>22288</v>
      </c>
      <c r="M5" s="0" t="n">
        <v>15749</v>
      </c>
      <c r="N5" s="0" t="n">
        <v>6539</v>
      </c>
      <c r="O5" s="0" t="n">
        <v>481130</v>
      </c>
      <c r="P5" s="0" t="n">
        <v>671601</v>
      </c>
      <c r="Q5" s="0" t="n">
        <v>190471</v>
      </c>
      <c r="R5" s="0" t="n">
        <v>2450</v>
      </c>
      <c r="S5" s="0" t="n">
        <v>379734</v>
      </c>
      <c r="T5" s="0" t="n">
        <v>168719.897</v>
      </c>
      <c r="U5" s="0" t="n">
        <v>10195</v>
      </c>
      <c r="AA5" s="0" t="s">
        <v>66</v>
      </c>
      <c r="AB5" s="0" t="s">
        <v>14</v>
      </c>
      <c r="AC5" s="0" t="n">
        <v>245000</v>
      </c>
    </row>
    <row r="6" customFormat="false" ht="15" hidden="false" customHeight="false" outlineLevel="0" collapsed="false">
      <c r="A6" s="0" t="s">
        <v>71</v>
      </c>
      <c r="B6" s="0" t="n">
        <v>268787</v>
      </c>
      <c r="C6" s="0" t="n">
        <v>100559</v>
      </c>
      <c r="D6" s="0" t="n">
        <v>168228</v>
      </c>
      <c r="E6" s="0" t="n">
        <v>62.6</v>
      </c>
      <c r="F6" s="0" t="n">
        <v>6281</v>
      </c>
      <c r="G6" s="0" t="n">
        <v>2.3</v>
      </c>
      <c r="H6" s="0" t="n">
        <v>21868</v>
      </c>
      <c r="I6" s="0" t="n">
        <v>10016</v>
      </c>
      <c r="J6" s="0" t="n">
        <v>3.7</v>
      </c>
      <c r="K6" s="0" t="n">
        <v>0.07</v>
      </c>
      <c r="L6" s="0" t="n">
        <v>16917</v>
      </c>
      <c r="M6" s="0" t="n">
        <v>28291</v>
      </c>
      <c r="N6" s="0" t="n">
        <v>-11374</v>
      </c>
      <c r="O6" s="0" t="n">
        <v>480242</v>
      </c>
      <c r="P6" s="0" t="n">
        <v>678111</v>
      </c>
      <c r="Q6" s="0" t="n">
        <v>197869</v>
      </c>
      <c r="R6" s="0" t="n">
        <v>3348</v>
      </c>
      <c r="S6" s="0" t="n">
        <v>227103</v>
      </c>
      <c r="T6" s="0" t="n">
        <v>169043.309</v>
      </c>
      <c r="U6" s="0" t="n">
        <v>11290</v>
      </c>
      <c r="AA6" s="0" t="s">
        <v>66</v>
      </c>
      <c r="AB6" s="0" t="s">
        <v>14</v>
      </c>
      <c r="AC6" s="0" t="n">
        <v>359400</v>
      </c>
    </row>
    <row r="7" customFormat="false" ht="15" hidden="false" customHeight="false" outlineLevel="0" collapsed="false">
      <c r="A7" s="0" t="s">
        <v>72</v>
      </c>
      <c r="B7" s="0" t="n">
        <v>370281</v>
      </c>
      <c r="C7" s="0" t="n">
        <v>137392</v>
      </c>
      <c r="D7" s="0" t="n">
        <v>232889</v>
      </c>
      <c r="E7" s="0" t="n">
        <v>62.9</v>
      </c>
      <c r="F7" s="0" t="n">
        <v>30563</v>
      </c>
      <c r="G7" s="0" t="n">
        <v>8.3</v>
      </c>
      <c r="H7" s="0" t="n">
        <v>48173</v>
      </c>
      <c r="I7" s="0" t="n">
        <v>26327</v>
      </c>
      <c r="J7" s="0" t="n">
        <v>7.1</v>
      </c>
      <c r="K7" s="0" t="n">
        <v>0.17</v>
      </c>
      <c r="L7" s="0" t="n">
        <v>78567</v>
      </c>
      <c r="M7" s="0" t="n">
        <v>28180</v>
      </c>
      <c r="N7" s="0" t="n">
        <v>50387</v>
      </c>
      <c r="O7" s="0" t="n">
        <v>504160</v>
      </c>
      <c r="P7" s="0" t="n">
        <v>764445</v>
      </c>
      <c r="Q7" s="0" t="n">
        <v>260285</v>
      </c>
      <c r="R7" s="0" t="n">
        <v>2517</v>
      </c>
      <c r="S7" s="0" t="n">
        <v>126706</v>
      </c>
      <c r="T7" s="0" t="n">
        <v>169949.689</v>
      </c>
      <c r="U7" s="0" t="n">
        <v>9133</v>
      </c>
      <c r="AA7" s="0" t="s">
        <v>66</v>
      </c>
      <c r="AB7" s="0" t="s">
        <v>14</v>
      </c>
      <c r="AC7" s="0" t="n">
        <v>532400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81.2</v>
      </c>
    </row>
    <row r="3" customFormat="false" ht="15" hidden="false" customHeight="false" outlineLevel="0" collapsed="false">
      <c r="A3" s="0" t="s">
        <v>76</v>
      </c>
      <c r="B3" s="3" t="n">
        <v>170.45</v>
      </c>
    </row>
    <row r="4" customFormat="false" ht="15" hidden="false" customHeight="false" outlineLevel="0" collapsed="false">
      <c r="A4" s="0" t="s">
        <v>77</v>
      </c>
      <c r="B4" s="3" t="n">
        <v>-312.155</v>
      </c>
    </row>
    <row r="5" customFormat="false" ht="15" hidden="false" customHeight="false" outlineLevel="0" collapsed="false">
      <c r="A5" s="0" t="s">
        <v>78</v>
      </c>
      <c r="B5" s="3" t="n">
        <v>48.901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370.281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7.8414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28</v>
      </c>
      <c r="D13" s="3" t="n">
        <v>15</v>
      </c>
      <c r="E13" s="3" t="n">
        <v>10</v>
      </c>
      <c r="F13" s="3" t="n">
        <v>7</v>
      </c>
      <c r="G13" s="3" t="n">
        <v>5</v>
      </c>
      <c r="H13" s="3" t="n">
        <v>4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97</v>
      </c>
      <c r="C14" s="3" t="n">
        <v>16</v>
      </c>
      <c r="D14" s="3" t="n">
        <v>16.5</v>
      </c>
      <c r="E14" s="3" t="n">
        <v>17</v>
      </c>
      <c r="F14" s="3" t="n">
        <v>17.5</v>
      </c>
      <c r="G14" s="3" t="n">
        <v>18</v>
      </c>
      <c r="H14" s="3" t="n">
        <v>18.5</v>
      </c>
      <c r="I14" s="3" t="n">
        <v>19</v>
      </c>
      <c r="J14" s="3" t="n">
        <v>19.5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98</v>
      </c>
      <c r="C15" s="3" t="n">
        <v>2</v>
      </c>
      <c r="D15" s="3" t="n">
        <v>2</v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99</v>
      </c>
      <c r="C16" s="3" t="n">
        <v>1.4</v>
      </c>
      <c r="D16" s="3" t="n">
        <v>1.4</v>
      </c>
      <c r="E16" s="3" t="n">
        <v>1.4</v>
      </c>
      <c r="F16" s="3" t="n">
        <v>1.4</v>
      </c>
      <c r="G16" s="3" t="n">
        <v>1.4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100</v>
      </c>
      <c r="C17" s="3" t="n">
        <v>3.5</v>
      </c>
      <c r="D17" s="3" t="n">
        <v>3.5</v>
      </c>
      <c r="E17" s="3" t="n">
        <v>3.5</v>
      </c>
      <c r="F17" s="3" t="n">
        <v>3.5</v>
      </c>
      <c r="G17" s="3" t="n">
        <v>3.5</v>
      </c>
      <c r="H17" s="3" t="n">
        <v>3.4</v>
      </c>
      <c r="I17" s="3" t="n">
        <v>3.3</v>
      </c>
      <c r="J17" s="3" t="n">
        <v>3.2</v>
      </c>
      <c r="K17" s="3" t="n">
        <v>3.1</v>
      </c>
      <c r="L17" s="3" t="n">
        <v>3</v>
      </c>
    </row>
    <row r="18" customFormat="false" ht="15" hidden="false" customHeight="false" outlineLevel="0" collapsed="false">
      <c r="A18" s="0" t="s">
        <v>101</v>
      </c>
      <c r="C18" s="3" t="n">
        <v>7</v>
      </c>
      <c r="D18" s="3" t="n">
        <v>6.5</v>
      </c>
      <c r="E18" s="3" t="n">
        <v>6</v>
      </c>
      <c r="F18" s="3" t="n">
        <v>5.5</v>
      </c>
      <c r="G18" s="3" t="n">
        <v>5</v>
      </c>
      <c r="H18" s="3" t="n">
        <v>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102</v>
      </c>
      <c r="C19" s="3" t="n">
        <v>16</v>
      </c>
      <c r="D19" s="3" t="n">
        <v>18</v>
      </c>
      <c r="E19" s="3" t="n">
        <v>20</v>
      </c>
      <c r="F19" s="3" t="n">
        <v>22</v>
      </c>
      <c r="G19" s="3" t="n">
        <v>23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103</v>
      </c>
      <c r="B20" s="3" t="n">
        <v>11</v>
      </c>
    </row>
    <row r="21" customFormat="false" ht="15" hidden="false" customHeight="false" outlineLevel="0" collapsed="false">
      <c r="A21" s="0" t="s">
        <v>104</v>
      </c>
      <c r="B21" s="3" t="n">
        <v>2.5</v>
      </c>
    </row>
    <row r="22" customFormat="false" ht="15" hidden="false" customHeight="false" outlineLevel="0" collapsed="false">
      <c r="A22" s="0" t="s">
        <v>105</v>
      </c>
      <c r="B22" s="3" t="n">
        <v>15</v>
      </c>
    </row>
    <row r="23" customFormat="false" ht="15" hidden="false" customHeight="false" outlineLevel="0" collapsed="false">
      <c r="A23" s="0" t="s">
        <v>106</v>
      </c>
      <c r="B23" s="3" t="n">
        <v>3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35</v>
      </c>
      <c r="D27" s="3" t="n">
        <v>25</v>
      </c>
      <c r="E27" s="3" t="n">
        <v>20</v>
      </c>
      <c r="F27" s="3" t="n">
        <v>16</v>
      </c>
      <c r="G27" s="3" t="n">
        <v>13</v>
      </c>
      <c r="H27" s="3" t="n">
        <v>10</v>
      </c>
      <c r="I27" s="3" t="n">
        <v>8</v>
      </c>
      <c r="J27" s="3" t="n">
        <v>6</v>
      </c>
      <c r="K27" s="3" t="n">
        <v>5</v>
      </c>
      <c r="L27" s="3" t="n">
        <v>4</v>
      </c>
    </row>
    <row r="28" customFormat="false" ht="15" hidden="false" customHeight="false" outlineLevel="0" collapsed="false">
      <c r="A28" s="0" t="s">
        <v>97</v>
      </c>
      <c r="C28" s="3" t="n">
        <v>17</v>
      </c>
      <c r="D28" s="3" t="n">
        <v>18.5</v>
      </c>
      <c r="E28" s="3" t="n">
        <v>20</v>
      </c>
      <c r="F28" s="3" t="n">
        <v>21.5</v>
      </c>
      <c r="G28" s="3" t="n">
        <v>22.5</v>
      </c>
      <c r="H28" s="3" t="n">
        <v>23.5</v>
      </c>
      <c r="I28" s="3" t="n">
        <v>24</v>
      </c>
      <c r="J28" s="3" t="n">
        <v>24.5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98</v>
      </c>
      <c r="C29" s="3" t="n">
        <v>2</v>
      </c>
      <c r="D29" s="3" t="n">
        <v>2</v>
      </c>
      <c r="E29" s="3" t="n">
        <v>1.9</v>
      </c>
      <c r="F29" s="3" t="n">
        <v>1.8</v>
      </c>
      <c r="G29" s="3" t="n">
        <v>1.7</v>
      </c>
      <c r="H29" s="3" t="n">
        <v>1.6</v>
      </c>
      <c r="I29" s="3" t="n">
        <v>1.5</v>
      </c>
      <c r="J29" s="3" t="n">
        <v>1.5</v>
      </c>
      <c r="K29" s="3" t="n">
        <v>1.5</v>
      </c>
      <c r="L29" s="3" t="n">
        <v>1.5</v>
      </c>
    </row>
    <row r="30" customFormat="false" ht="15" hidden="false" customHeight="false" outlineLevel="0" collapsed="false">
      <c r="A30" s="0" t="s">
        <v>99</v>
      </c>
      <c r="C30" s="3" t="n">
        <v>1.4</v>
      </c>
      <c r="D30" s="3" t="n">
        <v>1.4</v>
      </c>
      <c r="E30" s="3" t="n">
        <v>1.3</v>
      </c>
      <c r="F30" s="3" t="n">
        <v>1.3</v>
      </c>
      <c r="G30" s="3" t="n">
        <v>1.3</v>
      </c>
      <c r="H30" s="3" t="n">
        <v>1.2</v>
      </c>
      <c r="I30" s="3" t="n">
        <v>1.2</v>
      </c>
      <c r="J30" s="3" t="n">
        <v>1.2</v>
      </c>
      <c r="K30" s="3" t="n">
        <v>1.2</v>
      </c>
      <c r="L30" s="3" t="n">
        <v>1.2</v>
      </c>
    </row>
    <row r="31" customFormat="false" ht="15" hidden="false" customHeight="false" outlineLevel="0" collapsed="false">
      <c r="A31" s="0" t="s">
        <v>100</v>
      </c>
      <c r="C31" s="3" t="n">
        <v>3.5</v>
      </c>
      <c r="D31" s="3" t="n">
        <v>3.5</v>
      </c>
      <c r="E31" s="3" t="n">
        <v>3.4</v>
      </c>
      <c r="F31" s="3" t="n">
        <v>3.3</v>
      </c>
      <c r="G31" s="3" t="n">
        <v>3.2</v>
      </c>
      <c r="H31" s="3" t="n">
        <v>3.1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101</v>
      </c>
      <c r="C32" s="3" t="n">
        <v>6.5</v>
      </c>
      <c r="D32" s="3" t="n">
        <v>6</v>
      </c>
      <c r="E32" s="3" t="n">
        <v>5.5</v>
      </c>
      <c r="F32" s="3" t="n">
        <v>5</v>
      </c>
      <c r="G32" s="3" t="n">
        <v>4.5</v>
      </c>
      <c r="H32" s="3" t="n">
        <v>4.5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102</v>
      </c>
      <c r="C33" s="3" t="n">
        <v>16</v>
      </c>
      <c r="D33" s="3" t="n">
        <v>17</v>
      </c>
      <c r="E33" s="3" t="n">
        <v>18</v>
      </c>
      <c r="F33" s="3" t="n">
        <v>19</v>
      </c>
      <c r="G33" s="3" t="n">
        <v>20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103</v>
      </c>
      <c r="B34" s="3" t="n">
        <v>11</v>
      </c>
    </row>
    <row r="35" customFormat="false" ht="15" hidden="false" customHeight="false" outlineLevel="0" collapsed="false">
      <c r="A35" s="0" t="s">
        <v>104</v>
      </c>
      <c r="B35" s="3" t="n">
        <v>3</v>
      </c>
    </row>
    <row r="36" customFormat="false" ht="15" hidden="false" customHeight="false" outlineLevel="0" collapsed="false">
      <c r="A36" s="0" t="s">
        <v>105</v>
      </c>
      <c r="B36" s="3" t="n">
        <v>18</v>
      </c>
    </row>
    <row r="37" customFormat="false" ht="15" hidden="false" customHeight="false" outlineLevel="0" collapsed="false">
      <c r="A37" s="0" t="s">
        <v>106</v>
      </c>
      <c r="B37" s="3" t="n">
        <v>8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40</v>
      </c>
      <c r="D41" s="3" t="n">
        <v>32</v>
      </c>
      <c r="E41" s="3" t="n">
        <v>26</v>
      </c>
      <c r="F41" s="3" t="n">
        <v>21</v>
      </c>
      <c r="G41" s="3" t="n">
        <v>17</v>
      </c>
      <c r="H41" s="3" t="n">
        <v>13</v>
      </c>
      <c r="I41" s="3" t="n">
        <v>10</v>
      </c>
      <c r="J41" s="3" t="n">
        <v>8</v>
      </c>
      <c r="K41" s="3" t="n">
        <v>6</v>
      </c>
      <c r="L41" s="3" t="n">
        <v>5</v>
      </c>
    </row>
    <row r="42" customFormat="false" ht="15" hidden="false" customHeight="false" outlineLevel="0" collapsed="false">
      <c r="A42" s="0" t="s">
        <v>97</v>
      </c>
      <c r="C42" s="3" t="n">
        <v>18</v>
      </c>
      <c r="D42" s="3" t="n">
        <v>20</v>
      </c>
      <c r="E42" s="3" t="n">
        <v>22</v>
      </c>
      <c r="F42" s="3" t="n">
        <v>24</v>
      </c>
      <c r="G42" s="3" t="n">
        <v>25.5</v>
      </c>
      <c r="H42" s="3" t="n">
        <v>26.5</v>
      </c>
      <c r="I42" s="3" t="n">
        <v>27.5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98</v>
      </c>
      <c r="C43" s="3" t="n">
        <v>2</v>
      </c>
      <c r="D43" s="3" t="n">
        <v>1.9</v>
      </c>
      <c r="E43" s="3" t="n">
        <v>1.8</v>
      </c>
      <c r="F43" s="3" t="n">
        <v>1.7</v>
      </c>
      <c r="G43" s="3" t="n">
        <v>1.6</v>
      </c>
      <c r="H43" s="3" t="n">
        <v>1.5</v>
      </c>
      <c r="I43" s="3" t="n">
        <v>1.5</v>
      </c>
      <c r="J43" s="3" t="n">
        <v>1.5</v>
      </c>
      <c r="K43" s="3" t="n">
        <v>1.5</v>
      </c>
      <c r="L43" s="3" t="n">
        <v>1.5</v>
      </c>
    </row>
    <row r="44" customFormat="false" ht="15" hidden="false" customHeight="false" outlineLevel="0" collapsed="false">
      <c r="A44" s="0" t="s">
        <v>99</v>
      </c>
      <c r="C44" s="3" t="n">
        <v>1.4</v>
      </c>
      <c r="D44" s="3" t="n">
        <v>1.3</v>
      </c>
      <c r="E44" s="3" t="n">
        <v>1.3</v>
      </c>
      <c r="F44" s="3" t="n">
        <v>1.2</v>
      </c>
      <c r="G44" s="3" t="n">
        <v>1.2</v>
      </c>
      <c r="H44" s="3" t="n">
        <v>1.2</v>
      </c>
      <c r="I44" s="3" t="n">
        <v>1.1</v>
      </c>
      <c r="J44" s="3" t="n">
        <v>1.1</v>
      </c>
      <c r="K44" s="3" t="n">
        <v>1.1</v>
      </c>
      <c r="L44" s="3" t="n">
        <v>1.1</v>
      </c>
    </row>
    <row r="45" customFormat="false" ht="15" hidden="false" customHeight="false" outlineLevel="0" collapsed="false">
      <c r="A45" s="0" t="s">
        <v>100</v>
      </c>
      <c r="C45" s="3" t="n">
        <v>3.5</v>
      </c>
      <c r="D45" s="3" t="n">
        <v>3.4</v>
      </c>
      <c r="E45" s="3" t="n">
        <v>3.3</v>
      </c>
      <c r="F45" s="3" t="n">
        <v>3.2</v>
      </c>
      <c r="G45" s="3" t="n">
        <v>3.1</v>
      </c>
      <c r="H45" s="3" t="n">
        <v>3</v>
      </c>
      <c r="I45" s="3" t="n">
        <v>3</v>
      </c>
      <c r="J45" s="3" t="n">
        <v>3</v>
      </c>
      <c r="K45" s="3" t="n">
        <v>3</v>
      </c>
      <c r="L45" s="3" t="n">
        <v>3</v>
      </c>
    </row>
    <row r="46" customFormat="false" ht="15" hidden="false" customHeight="false" outlineLevel="0" collapsed="false">
      <c r="A46" s="0" t="s">
        <v>101</v>
      </c>
      <c r="C46" s="3" t="n">
        <v>6.5</v>
      </c>
      <c r="D46" s="3" t="n">
        <v>6</v>
      </c>
      <c r="E46" s="3" t="n">
        <v>5.5</v>
      </c>
      <c r="F46" s="3" t="n">
        <v>5</v>
      </c>
      <c r="G46" s="3" t="n">
        <v>4.5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102</v>
      </c>
      <c r="C47" s="3" t="n">
        <v>16</v>
      </c>
      <c r="D47" s="3" t="n">
        <v>17</v>
      </c>
      <c r="E47" s="3" t="n">
        <v>18</v>
      </c>
      <c r="F47" s="3" t="n">
        <v>19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103</v>
      </c>
      <c r="B48" s="3" t="n">
        <v>11</v>
      </c>
    </row>
    <row r="49" customFormat="false" ht="15" hidden="false" customHeight="false" outlineLevel="0" collapsed="false">
      <c r="A49" s="0" t="s">
        <v>104</v>
      </c>
      <c r="B49" s="3" t="n">
        <v>3.5</v>
      </c>
    </row>
    <row r="50" customFormat="false" ht="15" hidden="false" customHeight="false" outlineLevel="0" collapsed="false">
      <c r="A50" s="0" t="s">
        <v>105</v>
      </c>
      <c r="B50" s="3" t="n">
        <v>20</v>
      </c>
    </row>
    <row r="51" customFormat="false" ht="15" hidden="false" customHeight="false" outlineLevel="0" collapsed="false">
      <c r="A51" s="0" t="s">
        <v>106</v>
      </c>
      <c r="B51" s="3" t="n">
        <v>10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28</v>
      </c>
      <c r="D5" s="4" t="n">
        <f aca="false">Assumptions!D13</f>
        <v>15</v>
      </c>
      <c r="E5" s="4" t="n">
        <f aca="false">Assumptions!E13</f>
        <v>10</v>
      </c>
      <c r="F5" s="4" t="n">
        <f aca="false">Assumptions!F13</f>
        <v>7</v>
      </c>
      <c r="G5" s="4" t="n">
        <f aca="false">Assumptions!G13</f>
        <v>5</v>
      </c>
      <c r="H5" s="4" t="n">
        <f aca="false">Assumptions!H13</f>
        <v>4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38</v>
      </c>
      <c r="B6" s="3" t="n">
        <v>370.281</v>
      </c>
      <c r="C6" s="0" t="n">
        <f aca="false">B6*(1+C5/100)</f>
        <v>473.95968</v>
      </c>
      <c r="D6" s="0" t="n">
        <f aca="false">C6*(1+D5/100)</f>
        <v>545.053632</v>
      </c>
      <c r="E6" s="0" t="n">
        <f aca="false">D6*(1+E5/100)</f>
        <v>599.5589952</v>
      </c>
      <c r="F6" s="0" t="n">
        <f aca="false">E6*(1+F5/100)</f>
        <v>641.528124864</v>
      </c>
      <c r="G6" s="0" t="n">
        <f aca="false">F6*(1+G5/100)</f>
        <v>673.6045311072</v>
      </c>
      <c r="H6" s="0" t="n">
        <f aca="false">G6*(1+H5/100)</f>
        <v>700.548712351488</v>
      </c>
      <c r="I6" s="0" t="n">
        <f aca="false">H6*(1+I5/100)</f>
        <v>721.565173722033</v>
      </c>
      <c r="J6" s="0" t="n">
        <f aca="false">I6*(1+J5/100)</f>
        <v>743.212128933694</v>
      </c>
      <c r="K6" s="0" t="n">
        <f aca="false">J6*(1+K5/100)</f>
        <v>765.508492801705</v>
      </c>
      <c r="L6" s="0" t="n">
        <f aca="false">K6*(1+L5/100)</f>
        <v>788.473747585756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16</v>
      </c>
      <c r="D7" s="4" t="n">
        <f aca="false">Assumptions!D14</f>
        <v>16.5</v>
      </c>
      <c r="E7" s="4" t="n">
        <f aca="false">Assumptions!E14</f>
        <v>17</v>
      </c>
      <c r="F7" s="4" t="n">
        <f aca="false">Assumptions!F14</f>
        <v>17.5</v>
      </c>
      <c r="G7" s="4" t="n">
        <f aca="false">Assumptions!G14</f>
        <v>18</v>
      </c>
      <c r="H7" s="4" t="n">
        <f aca="false">Assumptions!H14</f>
        <v>18.5</v>
      </c>
      <c r="I7" s="4" t="n">
        <f aca="false">Assumptions!I14</f>
        <v>19</v>
      </c>
      <c r="J7" s="4" t="n">
        <f aca="false">Assumptions!J14</f>
        <v>19.5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75.8335488</v>
      </c>
      <c r="D8" s="0" t="n">
        <f aca="false">D6*D7/100</f>
        <v>89.93384928</v>
      </c>
      <c r="E8" s="0" t="n">
        <f aca="false">E6*E7/100</f>
        <v>101.925029184</v>
      </c>
      <c r="F8" s="0" t="n">
        <f aca="false">F6*F7/100</f>
        <v>112.2674218512</v>
      </c>
      <c r="G8" s="0" t="n">
        <f aca="false">G6*G7/100</f>
        <v>121.248815599296</v>
      </c>
      <c r="H8" s="0" t="n">
        <f aca="false">H6*H7/100</f>
        <v>129.601511785025</v>
      </c>
      <c r="I8" s="0" t="n">
        <f aca="false">I6*I7/100</f>
        <v>137.097383007186</v>
      </c>
      <c r="J8" s="0" t="n">
        <f aca="false">J6*J7/100</f>
        <v>144.92636514207</v>
      </c>
      <c r="K8" s="0" t="n">
        <f aca="false">K6*K7/100</f>
        <v>153.101698560341</v>
      </c>
      <c r="L8" s="0" t="n">
        <f aca="false">L6*L7/100</f>
        <v>157.694749517151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2</v>
      </c>
      <c r="D9" s="4" t="n">
        <f aca="false">Assumptions!D15</f>
        <v>2</v>
      </c>
      <c r="E9" s="4" t="n">
        <f aca="false">Assumptions!E15</f>
        <v>2</v>
      </c>
      <c r="F9" s="4" t="n">
        <f aca="false">Assumptions!F15</f>
        <v>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-9.4791936</v>
      </c>
      <c r="D10" s="0" t="n">
        <f aca="false">-D6*D9/100</f>
        <v>-10.90107264</v>
      </c>
      <c r="E10" s="0" t="n">
        <f aca="false">-E6*E9/100</f>
        <v>-11.991179904</v>
      </c>
      <c r="F10" s="0" t="n">
        <f aca="false">-F6*F9/100</f>
        <v>-12.83056249728</v>
      </c>
      <c r="G10" s="0" t="n">
        <f aca="false">-G6*G9/100</f>
        <v>-13.472090622144</v>
      </c>
      <c r="H10" s="0" t="n">
        <f aca="false">-H6*H9/100</f>
        <v>-14.0109742470298</v>
      </c>
      <c r="I10" s="0" t="n">
        <f aca="false">-I6*I9/100</f>
        <v>-14.4313034744407</v>
      </c>
      <c r="J10" s="0" t="n">
        <f aca="false">-J6*J9/100</f>
        <v>-14.8642425786739</v>
      </c>
      <c r="K10" s="0" t="n">
        <f aca="false">-K6*K9/100</f>
        <v>-15.3101698560341</v>
      </c>
      <c r="L10" s="0" t="n">
        <f aca="false">-L6*L9/100</f>
        <v>-15.7694749517151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59.71891968</v>
      </c>
      <c r="D11" s="0" t="n">
        <f aca="false">D8+D10+D24</f>
        <v>71.402025792</v>
      </c>
      <c r="E11" s="0" t="n">
        <f aca="false">E8+E10+E24</f>
        <v>81.5400233472</v>
      </c>
      <c r="F11" s="0" t="n">
        <f aca="false">F8+F10+F24</f>
        <v>90.455465605824</v>
      </c>
      <c r="G11" s="0" t="n">
        <f aca="false">G8+G10+G24</f>
        <v>98.3462615416512</v>
      </c>
      <c r="H11" s="0" t="n">
        <f aca="false">H8+H10+H24</f>
        <v>106.483404277426</v>
      </c>
      <c r="I11" s="0" t="n">
        <f aca="false">I8+I10+I24</f>
        <v>113.285732274359</v>
      </c>
      <c r="J11" s="0" t="n">
        <f aca="false">J8+J10+J24</f>
        <v>120.400364887258</v>
      </c>
      <c r="K11" s="0" t="n">
        <f aca="false">K8+K10+K24</f>
        <v>127.839918297885</v>
      </c>
      <c r="L11" s="0" t="n">
        <f aca="false">L8+L10+L24</f>
        <v>131.675115846821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-16.5885888</v>
      </c>
      <c r="D12" s="4" t="n">
        <f aca="false">-D6*Assumptions!D17/100</f>
        <v>-19.07687712</v>
      </c>
      <c r="E12" s="4" t="n">
        <f aca="false">-E6*Assumptions!E17/100</f>
        <v>-20.984564832</v>
      </c>
      <c r="F12" s="4" t="n">
        <f aca="false">-F6*Assumptions!F17/100</f>
        <v>-22.45348437024</v>
      </c>
      <c r="G12" s="4" t="n">
        <f aca="false">-G6*Assumptions!G17/100</f>
        <v>-23.576158588752</v>
      </c>
      <c r="H12" s="4" t="n">
        <f aca="false">-H6*Assumptions!H17/100</f>
        <v>-23.8186562199506</v>
      </c>
      <c r="I12" s="4" t="n">
        <f aca="false">-I6*Assumptions!I17/100</f>
        <v>-23.8116507328271</v>
      </c>
      <c r="J12" s="4" t="n">
        <f aca="false">-J6*Assumptions!J17/100</f>
        <v>-23.7827881258782</v>
      </c>
      <c r="K12" s="4" t="n">
        <f aca="false">-K6*Assumptions!K17/100</f>
        <v>-23.7307632768528</v>
      </c>
      <c r="L12" s="4" t="n">
        <f aca="false">-L6*Assumptions!L17/100</f>
        <v>-23.6542124275727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43.13033088</v>
      </c>
      <c r="D13" s="0" t="n">
        <f aca="false">D11+D12</f>
        <v>52.325148672</v>
      </c>
      <c r="E13" s="0" t="n">
        <f aca="false">E11+E12</f>
        <v>60.5554585152</v>
      </c>
      <c r="F13" s="0" t="n">
        <f aca="false">F11+F12</f>
        <v>68.001981235584</v>
      </c>
      <c r="G13" s="0" t="n">
        <f aca="false">G11+G12</f>
        <v>74.7701029528992</v>
      </c>
      <c r="H13" s="0" t="n">
        <f aca="false">H11+H12</f>
        <v>82.6647480574756</v>
      </c>
      <c r="I13" s="0" t="n">
        <f aca="false">I11+I12</f>
        <v>89.4740815415321</v>
      </c>
      <c r="J13" s="0" t="n">
        <f aca="false">J11+J12</f>
        <v>96.6175767613802</v>
      </c>
      <c r="K13" s="0" t="n">
        <f aca="false">K11+K12</f>
        <v>104.109155021032</v>
      </c>
      <c r="L13" s="0" t="n">
        <f aca="false">L11+L12</f>
        <v>108.020903419249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16</v>
      </c>
      <c r="D14" s="4" t="n">
        <f aca="false">Assumptions!D19</f>
        <v>18</v>
      </c>
      <c r="E14" s="4" t="n">
        <f aca="false">Assumptions!E19</f>
        <v>20</v>
      </c>
      <c r="F14" s="4" t="n">
        <f aca="false">Assumptions!F19</f>
        <v>22</v>
      </c>
      <c r="G14" s="4" t="n">
        <f aca="false">Assumptions!G19</f>
        <v>23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36.2294779392</v>
      </c>
      <c r="D15" s="0" t="n">
        <f aca="false">D13-MAX(0,D13)*D14/100</f>
        <v>42.90662191104</v>
      </c>
      <c r="E15" s="0" t="n">
        <f aca="false">E13-MAX(0,E13)*E14/100</f>
        <v>48.44436681216</v>
      </c>
      <c r="F15" s="0" t="n">
        <f aca="false">F13-MAX(0,F13)*F14/100</f>
        <v>53.0415453637555</v>
      </c>
      <c r="G15" s="0" t="n">
        <f aca="false">G13-MAX(0,G13)*G14/100</f>
        <v>57.5729792737324</v>
      </c>
      <c r="H15" s="0" t="n">
        <f aca="false">H13-MAX(0,H13)*H14/100</f>
        <v>62.8252085236815</v>
      </c>
      <c r="I15" s="0" t="n">
        <f aca="false">I13-MAX(0,I13)*I14/100</f>
        <v>68.0003019715644</v>
      </c>
      <c r="J15" s="0" t="n">
        <f aca="false">J13-MAX(0,J13)*J14/100</f>
        <v>73.429358338649</v>
      </c>
      <c r="K15" s="0" t="n">
        <f aca="false">K13-MAX(0,K13)*K14/100</f>
        <v>79.1229578159842</v>
      </c>
      <c r="L15" s="0" t="n">
        <f aca="false">L13-MAX(0,L13)*L14/100</f>
        <v>82.0958865986289</v>
      </c>
    </row>
    <row r="16" customFormat="false" ht="15" hidden="false" customHeight="false" outlineLevel="0" collapsed="false">
      <c r="A16" s="0" t="s">
        <v>118</v>
      </c>
      <c r="C16" s="0" t="n">
        <f aca="false">-C12</f>
        <v>16.5885888</v>
      </c>
      <c r="D16" s="0" t="n">
        <f aca="false">-D12</f>
        <v>19.07687712</v>
      </c>
      <c r="E16" s="0" t="n">
        <f aca="false">-E12</f>
        <v>20.984564832</v>
      </c>
      <c r="F16" s="0" t="n">
        <f aca="false">-F12</f>
        <v>22.45348437024</v>
      </c>
      <c r="G16" s="0" t="n">
        <f aca="false">-G12</f>
        <v>23.576158588752</v>
      </c>
      <c r="H16" s="0" t="n">
        <f aca="false">-H12</f>
        <v>23.8186562199506</v>
      </c>
      <c r="I16" s="0" t="n">
        <f aca="false">-I12</f>
        <v>23.8116507328271</v>
      </c>
      <c r="J16" s="0" t="n">
        <f aca="false">-J12</f>
        <v>23.7827881258782</v>
      </c>
      <c r="K16" s="0" t="n">
        <f aca="false">-K12</f>
        <v>23.7307632768528</v>
      </c>
      <c r="L16" s="0" t="n">
        <f aca="false">-L12</f>
        <v>23.6542124275727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-33.1771776</v>
      </c>
      <c r="D17" s="4" t="n">
        <f aca="false">-D6*Assumptions!D18/100</f>
        <v>-35.42848608</v>
      </c>
      <c r="E17" s="4" t="n">
        <f aca="false">-E6*Assumptions!E18/100</f>
        <v>-35.973539712</v>
      </c>
      <c r="F17" s="4" t="n">
        <f aca="false">-F6*Assumptions!F18/100</f>
        <v>-35.28404686752</v>
      </c>
      <c r="G17" s="4" t="n">
        <f aca="false">-G6*Assumptions!G18/100</f>
        <v>-33.68022655536</v>
      </c>
      <c r="H17" s="4" t="n">
        <f aca="false">-H6*Assumptions!H18/100</f>
        <v>-35.0274356175744</v>
      </c>
      <c r="I17" s="4" t="n">
        <f aca="false">-I6*Assumptions!I18/100</f>
        <v>-32.4704328174915</v>
      </c>
      <c r="J17" s="4" t="n">
        <f aca="false">-J6*Assumptions!J18/100</f>
        <v>-33.4445458020162</v>
      </c>
      <c r="K17" s="4" t="n">
        <f aca="false">-K6*Assumptions!K18/100</f>
        <v>-34.4478821760767</v>
      </c>
      <c r="L17" s="4" t="n">
        <f aca="false">-L6*Assumptions!L18/100</f>
        <v>-35.481318641359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3.1103604</v>
      </c>
      <c r="D18" s="4" t="n">
        <f aca="false">(D6-C6)*Assumptions!$B$23/100</f>
        <v>2.13281856</v>
      </c>
      <c r="E18" s="4" t="n">
        <f aca="false">(E6-D6)*Assumptions!$B$23/100</f>
        <v>1.635160896</v>
      </c>
      <c r="F18" s="4" t="n">
        <f aca="false">(F6-E6)*Assumptions!$B$23/100</f>
        <v>1.25907388992</v>
      </c>
      <c r="G18" s="4" t="n">
        <f aca="false">(G6-F6)*Assumptions!$B$23/100</f>
        <v>0.962292187296001</v>
      </c>
      <c r="H18" s="4" t="n">
        <f aca="false">(H6-G6)*Assumptions!$B$23/100</f>
        <v>0.808325437328642</v>
      </c>
      <c r="I18" s="4" t="n">
        <f aca="false">(I6-H6)*Assumptions!$B$23/100</f>
        <v>0.63049384111634</v>
      </c>
      <c r="J18" s="4" t="n">
        <f aca="false">(J6-I6)*Assumptions!$B$23/100</f>
        <v>0.649408656349829</v>
      </c>
      <c r="K18" s="4" t="n">
        <f aca="false">(K6-J6)*Assumptions!$B$23/100</f>
        <v>0.668890916040326</v>
      </c>
      <c r="L18" s="4" t="n">
        <f aca="false">(L6-K6)*Assumptions!$B$23/100</f>
        <v>0.688957643521534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22.7512495392</v>
      </c>
      <c r="D19" s="0" t="n">
        <f aca="false">D15+D16+D17+D18</f>
        <v>28.68783151104</v>
      </c>
      <c r="E19" s="0" t="n">
        <f aca="false">E15+E16+E17+E18</f>
        <v>35.09055282816</v>
      </c>
      <c r="F19" s="0" t="n">
        <f aca="false">F15+F16+F17+F18</f>
        <v>41.4700567563955</v>
      </c>
      <c r="G19" s="0" t="n">
        <f aca="false">G15+G16+G17+G18</f>
        <v>48.4312034944204</v>
      </c>
      <c r="H19" s="0" t="n">
        <f aca="false">H15+H16+H17+H18</f>
        <v>52.4247545633863</v>
      </c>
      <c r="I19" s="0" t="n">
        <f aca="false">I15+I16+I17+I18</f>
        <v>59.9720137280163</v>
      </c>
      <c r="J19" s="0" t="n">
        <f aca="false">J15+J16+J17+J18</f>
        <v>64.4170093188608</v>
      </c>
      <c r="K19" s="0" t="n">
        <f aca="false">K15+K16+K17+K18</f>
        <v>69.0747298328007</v>
      </c>
      <c r="L19" s="0" t="n">
        <f aca="false">L15+L16+L17+L18</f>
        <v>70.9577380283641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20.4966212064865</v>
      </c>
      <c r="D21" s="0" t="n">
        <f aca="false">D19*D20</f>
        <v>23.2836876154857</v>
      </c>
      <c r="E21" s="0" t="n">
        <f aca="false">E19*E20</f>
        <v>25.6579097930363</v>
      </c>
      <c r="F21" s="0" t="n">
        <f aca="false">F19*F20</f>
        <v>27.3176108849889</v>
      </c>
      <c r="G21" s="0" t="n">
        <f aca="false">G19*G20</f>
        <v>28.7415620332381</v>
      </c>
      <c r="H21" s="0" t="n">
        <f aca="false">H19*H20</f>
        <v>28.0284146115185</v>
      </c>
      <c r="I21" s="0" t="n">
        <f aca="false">I19*I20</f>
        <v>28.8860248301578</v>
      </c>
      <c r="J21" s="0" t="n">
        <f aca="false">J19*J20</f>
        <v>27.9522471557302</v>
      </c>
      <c r="K21" s="0" t="n">
        <f aca="false">K19*K20</f>
        <v>27.0030229721437</v>
      </c>
      <c r="L21" s="0" t="n">
        <f aca="false">L19*L20</f>
        <v>24.9902139825346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1.4</v>
      </c>
      <c r="D23" s="4" t="n">
        <f aca="false">Assumptions!D16</f>
        <v>1.4</v>
      </c>
      <c r="E23" s="4" t="n">
        <f aca="false">Assumptions!E16</f>
        <v>1.4</v>
      </c>
      <c r="F23" s="4" t="n">
        <f aca="false">Assumptions!F16</f>
        <v>1.4</v>
      </c>
      <c r="G23" s="4" t="n">
        <f aca="false">Assumptions!G16</f>
        <v>1.4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-6.63543552</v>
      </c>
      <c r="D24" s="0" t="n">
        <f aca="false">-D6*D23/100</f>
        <v>-7.630750848</v>
      </c>
      <c r="E24" s="0" t="n">
        <f aca="false">-E6*E23/100</f>
        <v>-8.3938259328</v>
      </c>
      <c r="F24" s="0" t="n">
        <f aca="false">-F6*F23/100</f>
        <v>-8.981393748096</v>
      </c>
      <c r="G24" s="0" t="n">
        <f aca="false">-G6*G23/100</f>
        <v>-9.4304634355008</v>
      </c>
      <c r="H24" s="0" t="n">
        <f aca="false">-H6*H23/100</f>
        <v>-9.10713326056935</v>
      </c>
      <c r="I24" s="0" t="n">
        <f aca="false">-I6*I23/100</f>
        <v>-9.38034725838643</v>
      </c>
      <c r="J24" s="0" t="n">
        <f aca="false">-J6*J23/100</f>
        <v>-9.66175767613802</v>
      </c>
      <c r="K24" s="0" t="n">
        <f aca="false">-K6*K23/100</f>
        <v>-9.95161040642216</v>
      </c>
      <c r="L24" s="0" t="n">
        <f aca="false">-L6*L23/100</f>
        <v>-10.2501587186148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262.35731508532</v>
      </c>
    </row>
    <row r="31" customFormat="false" ht="15" hidden="false" customHeight="false" outlineLevel="0" collapsed="false">
      <c r="A31" s="0" t="s">
        <v>127</v>
      </c>
      <c r="B31" s="0" t="n">
        <f aca="false">L19</f>
        <v>70.9577380283641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855.666840930273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1064.36607042546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855.666840930273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301.352580377623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563.709895462943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924.765895462943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42.5430289978476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-0.476071071455079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75.0328109114428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66.9718638156144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49.0758272167079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581.853451832585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33.1534404937272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35</v>
      </c>
      <c r="D5" s="4" t="n">
        <f aca="false">Assumptions!D27</f>
        <v>25</v>
      </c>
      <c r="E5" s="4" t="n">
        <f aca="false">Assumptions!E27</f>
        <v>20</v>
      </c>
      <c r="F5" s="4" t="n">
        <f aca="false">Assumptions!F27</f>
        <v>16</v>
      </c>
      <c r="G5" s="4" t="n">
        <f aca="false">Assumptions!G27</f>
        <v>13</v>
      </c>
      <c r="H5" s="4" t="n">
        <f aca="false">Assumptions!H27</f>
        <v>10</v>
      </c>
      <c r="I5" s="4" t="n">
        <f aca="false">Assumptions!I27</f>
        <v>8</v>
      </c>
      <c r="J5" s="4" t="n">
        <f aca="false">Assumptions!J27</f>
        <v>6</v>
      </c>
      <c r="K5" s="4" t="n">
        <f aca="false">Assumptions!K27</f>
        <v>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38</v>
      </c>
      <c r="B6" s="3" t="n">
        <v>370.281</v>
      </c>
      <c r="C6" s="0" t="n">
        <f aca="false">B6*(1+C5/100)</f>
        <v>499.87935</v>
      </c>
      <c r="D6" s="0" t="n">
        <f aca="false">C6*(1+D5/100)</f>
        <v>624.8491875</v>
      </c>
      <c r="E6" s="0" t="n">
        <f aca="false">D6*(1+E5/100)</f>
        <v>749.819025</v>
      </c>
      <c r="F6" s="0" t="n">
        <f aca="false">E6*(1+F5/100)</f>
        <v>869.790069</v>
      </c>
      <c r="G6" s="0" t="n">
        <f aca="false">F6*(1+G5/100)</f>
        <v>982.86277797</v>
      </c>
      <c r="H6" s="0" t="n">
        <f aca="false">G6*(1+H5/100)</f>
        <v>1081.149055767</v>
      </c>
      <c r="I6" s="0" t="n">
        <f aca="false">H6*(1+I5/100)</f>
        <v>1167.64098022836</v>
      </c>
      <c r="J6" s="0" t="n">
        <f aca="false">I6*(1+J5/100)</f>
        <v>1237.69943904206</v>
      </c>
      <c r="K6" s="0" t="n">
        <f aca="false">J6*(1+K5/100)</f>
        <v>1299.58441099417</v>
      </c>
      <c r="L6" s="0" t="n">
        <f aca="false">K6*(1+L5/100)</f>
        <v>1351.56778743393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17</v>
      </c>
      <c r="D7" s="4" t="n">
        <f aca="false">Assumptions!D28</f>
        <v>18.5</v>
      </c>
      <c r="E7" s="4" t="n">
        <f aca="false">Assumptions!E28</f>
        <v>20</v>
      </c>
      <c r="F7" s="4" t="n">
        <f aca="false">Assumptions!F28</f>
        <v>21.5</v>
      </c>
      <c r="G7" s="4" t="n">
        <f aca="false">Assumptions!G28</f>
        <v>22.5</v>
      </c>
      <c r="H7" s="4" t="n">
        <f aca="false">Assumptions!H28</f>
        <v>23.5</v>
      </c>
      <c r="I7" s="4" t="n">
        <f aca="false">Assumptions!I28</f>
        <v>24</v>
      </c>
      <c r="J7" s="4" t="n">
        <f aca="false">Assumptions!J28</f>
        <v>24.5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84.9794895</v>
      </c>
      <c r="D8" s="0" t="n">
        <f aca="false">D6*D7/100</f>
        <v>115.5970996875</v>
      </c>
      <c r="E8" s="0" t="n">
        <f aca="false">E6*E7/100</f>
        <v>149.963805</v>
      </c>
      <c r="F8" s="0" t="n">
        <f aca="false">F6*F7/100</f>
        <v>187.004864835</v>
      </c>
      <c r="G8" s="0" t="n">
        <f aca="false">G6*G7/100</f>
        <v>221.14412504325</v>
      </c>
      <c r="H8" s="0" t="n">
        <f aca="false">H6*H7/100</f>
        <v>254.070028105245</v>
      </c>
      <c r="I8" s="0" t="n">
        <f aca="false">I6*I7/100</f>
        <v>280.233835254806</v>
      </c>
      <c r="J8" s="0" t="n">
        <f aca="false">J6*J7/100</f>
        <v>303.236362565305</v>
      </c>
      <c r="K8" s="0" t="n">
        <f aca="false">K6*K7/100</f>
        <v>324.896102748541</v>
      </c>
      <c r="L8" s="0" t="n">
        <f aca="false">L6*L7/100</f>
        <v>337.891946858483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2</v>
      </c>
      <c r="D9" s="4" t="n">
        <f aca="false">Assumptions!D29</f>
        <v>2</v>
      </c>
      <c r="E9" s="4" t="n">
        <f aca="false">Assumptions!E29</f>
        <v>1.9</v>
      </c>
      <c r="F9" s="4" t="n">
        <f aca="false">Assumptions!F29</f>
        <v>1.8</v>
      </c>
      <c r="G9" s="4" t="n">
        <f aca="false">Assumptions!G29</f>
        <v>1.7</v>
      </c>
      <c r="H9" s="4" t="n">
        <f aca="false">Assumptions!H29</f>
        <v>1.6</v>
      </c>
      <c r="I9" s="4" t="n">
        <f aca="false">Assumptions!I29</f>
        <v>1.5</v>
      </c>
      <c r="J9" s="4" t="n">
        <f aca="false">Assumptions!J29</f>
        <v>1.5</v>
      </c>
      <c r="K9" s="4" t="n">
        <f aca="false">Assumptions!K29</f>
        <v>1.5</v>
      </c>
      <c r="L9" s="4" t="n">
        <f aca="false">Assumptions!L29</f>
        <v>1.5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-9.997587</v>
      </c>
      <c r="D10" s="0" t="n">
        <f aca="false">-D6*D9/100</f>
        <v>-12.49698375</v>
      </c>
      <c r="E10" s="0" t="n">
        <f aca="false">-E6*E9/100</f>
        <v>-14.246561475</v>
      </c>
      <c r="F10" s="0" t="n">
        <f aca="false">-F6*F9/100</f>
        <v>-15.656221242</v>
      </c>
      <c r="G10" s="0" t="n">
        <f aca="false">-G6*G9/100</f>
        <v>-16.70866722549</v>
      </c>
      <c r="H10" s="0" t="n">
        <f aca="false">-H6*H9/100</f>
        <v>-17.298384892272</v>
      </c>
      <c r="I10" s="0" t="n">
        <f aca="false">-I6*I9/100</f>
        <v>-17.5146147034254</v>
      </c>
      <c r="J10" s="0" t="n">
        <f aca="false">-J6*J9/100</f>
        <v>-18.5654915856309</v>
      </c>
      <c r="K10" s="0" t="n">
        <f aca="false">-K6*K9/100</f>
        <v>-19.4937661649125</v>
      </c>
      <c r="L10" s="0" t="n">
        <f aca="false">-L6*L9/100</f>
        <v>-20.273516811509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67.9835916</v>
      </c>
      <c r="D11" s="0" t="n">
        <f aca="false">D8+D10+D24</f>
        <v>94.3522273125</v>
      </c>
      <c r="E11" s="0" t="n">
        <f aca="false">E8+E10+E24</f>
        <v>125.9695962</v>
      </c>
      <c r="F11" s="0" t="n">
        <f aca="false">F8+F10+F24</f>
        <v>160.041372696</v>
      </c>
      <c r="G11" s="0" t="n">
        <f aca="false">G8+G10+G24</f>
        <v>191.65824170415</v>
      </c>
      <c r="H11" s="0" t="n">
        <f aca="false">H8+H10+H24</f>
        <v>223.797854543769</v>
      </c>
      <c r="I11" s="0" t="n">
        <f aca="false">I8+I10+I24</f>
        <v>248.707528788641</v>
      </c>
      <c r="J11" s="0" t="n">
        <f aca="false">J8+J10+J24</f>
        <v>269.818477711169</v>
      </c>
      <c r="K11" s="0" t="n">
        <f aca="false">K8+K10+K24</f>
        <v>289.807323651699</v>
      </c>
      <c r="L11" s="0" t="n">
        <f aca="false">L8+L10+L24</f>
        <v>301.399616597767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-17.49577725</v>
      </c>
      <c r="D12" s="4" t="n">
        <f aca="false">-D6*Assumptions!D31/100</f>
        <v>-21.8697215625</v>
      </c>
      <c r="E12" s="4" t="n">
        <f aca="false">-E6*Assumptions!E31/100</f>
        <v>-25.49384685</v>
      </c>
      <c r="F12" s="4" t="n">
        <f aca="false">-F6*Assumptions!F31/100</f>
        <v>-28.703072277</v>
      </c>
      <c r="G12" s="4" t="n">
        <f aca="false">-G6*Assumptions!G31/100</f>
        <v>-31.45160889504</v>
      </c>
      <c r="H12" s="4" t="n">
        <f aca="false">-H6*Assumptions!H31/100</f>
        <v>-33.515620728777</v>
      </c>
      <c r="I12" s="4" t="n">
        <f aca="false">-I6*Assumptions!I31/100</f>
        <v>-35.0292294068508</v>
      </c>
      <c r="J12" s="4" t="n">
        <f aca="false">-J6*Assumptions!J31/100</f>
        <v>-37.1309831712619</v>
      </c>
      <c r="K12" s="4" t="n">
        <f aca="false">-K6*Assumptions!K31/100</f>
        <v>-38.987532329825</v>
      </c>
      <c r="L12" s="4" t="n">
        <f aca="false">-L6*Assumptions!L31/100</f>
        <v>-40.547033623018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50.48781435</v>
      </c>
      <c r="D13" s="0" t="n">
        <f aca="false">D11+D12</f>
        <v>72.48250575</v>
      </c>
      <c r="E13" s="0" t="n">
        <f aca="false">E11+E12</f>
        <v>100.47574935</v>
      </c>
      <c r="F13" s="0" t="n">
        <f aca="false">F11+F12</f>
        <v>131.338300419</v>
      </c>
      <c r="G13" s="0" t="n">
        <f aca="false">G11+G12</f>
        <v>160.20663280911</v>
      </c>
      <c r="H13" s="0" t="n">
        <f aca="false">H11+H12</f>
        <v>190.282233814992</v>
      </c>
      <c r="I13" s="0" t="n">
        <f aca="false">I11+I12</f>
        <v>213.67829938179</v>
      </c>
      <c r="J13" s="0" t="n">
        <f aca="false">J11+J12</f>
        <v>232.687494539908</v>
      </c>
      <c r="K13" s="0" t="n">
        <f aca="false">K11+K12</f>
        <v>250.819791321874</v>
      </c>
      <c r="L13" s="0" t="n">
        <f aca="false">L11+L12</f>
        <v>260.852582974749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16</v>
      </c>
      <c r="D14" s="4" t="n">
        <f aca="false">Assumptions!D33</f>
        <v>17</v>
      </c>
      <c r="E14" s="4" t="n">
        <f aca="false">Assumptions!E33</f>
        <v>18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42.409764054</v>
      </c>
      <c r="D15" s="0" t="n">
        <f aca="false">D13-MAX(0,D13)*D14/100</f>
        <v>60.1604797725</v>
      </c>
      <c r="E15" s="0" t="n">
        <f aca="false">E13-MAX(0,E13)*E14/100</f>
        <v>82.390114467</v>
      </c>
      <c r="F15" s="0" t="n">
        <f aca="false">F13-MAX(0,F13)*F14/100</f>
        <v>106.38402333939</v>
      </c>
      <c r="G15" s="0" t="n">
        <f aca="false">G13-MAX(0,G13)*G14/100</f>
        <v>128.165306247288</v>
      </c>
      <c r="H15" s="0" t="n">
        <f aca="false">H13-MAX(0,H13)*H14/100</f>
        <v>150.322964713844</v>
      </c>
      <c r="I15" s="0" t="n">
        <f aca="false">I13-MAX(0,I13)*I14/100</f>
        <v>168.805856511614</v>
      </c>
      <c r="J15" s="0" t="n">
        <f aca="false">J13-MAX(0,J13)*J14/100</f>
        <v>183.823120686527</v>
      </c>
      <c r="K15" s="0" t="n">
        <f aca="false">K13-MAX(0,K13)*K14/100</f>
        <v>198.14763514428</v>
      </c>
      <c r="L15" s="0" t="n">
        <f aca="false">L13-MAX(0,L13)*L14/100</f>
        <v>206.073540550052</v>
      </c>
    </row>
    <row r="16" customFormat="false" ht="15" hidden="false" customHeight="false" outlineLevel="0" collapsed="false">
      <c r="A16" s="0" t="s">
        <v>118</v>
      </c>
      <c r="C16" s="0" t="n">
        <f aca="false">-C12</f>
        <v>17.49577725</v>
      </c>
      <c r="D16" s="0" t="n">
        <f aca="false">-D12</f>
        <v>21.8697215625</v>
      </c>
      <c r="E16" s="0" t="n">
        <f aca="false">-E12</f>
        <v>25.49384685</v>
      </c>
      <c r="F16" s="0" t="n">
        <f aca="false">-F12</f>
        <v>28.703072277</v>
      </c>
      <c r="G16" s="0" t="n">
        <f aca="false">-G12</f>
        <v>31.45160889504</v>
      </c>
      <c r="H16" s="0" t="n">
        <f aca="false">-H12</f>
        <v>33.515620728777</v>
      </c>
      <c r="I16" s="0" t="n">
        <f aca="false">-I12</f>
        <v>35.0292294068508</v>
      </c>
      <c r="J16" s="0" t="n">
        <f aca="false">-J12</f>
        <v>37.1309831712619</v>
      </c>
      <c r="K16" s="0" t="n">
        <f aca="false">-K12</f>
        <v>38.987532329825</v>
      </c>
      <c r="L16" s="0" t="n">
        <f aca="false">-L12</f>
        <v>40.547033623018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-32.49215775</v>
      </c>
      <c r="D17" s="4" t="n">
        <f aca="false">-D6*Assumptions!D32/100</f>
        <v>-37.49095125</v>
      </c>
      <c r="E17" s="4" t="n">
        <f aca="false">-E6*Assumptions!E32/100</f>
        <v>-41.240046375</v>
      </c>
      <c r="F17" s="4" t="n">
        <f aca="false">-F6*Assumptions!F32/100</f>
        <v>-43.48950345</v>
      </c>
      <c r="G17" s="4" t="n">
        <f aca="false">-G6*Assumptions!G32/100</f>
        <v>-44.22882500865</v>
      </c>
      <c r="H17" s="4" t="n">
        <f aca="false">-H6*Assumptions!H32/100</f>
        <v>-48.651707509515</v>
      </c>
      <c r="I17" s="4" t="n">
        <f aca="false">-I6*Assumptions!I32/100</f>
        <v>-46.7056392091344</v>
      </c>
      <c r="J17" s="4" t="n">
        <f aca="false">-J6*Assumptions!J32/100</f>
        <v>-49.5079775616825</v>
      </c>
      <c r="K17" s="4" t="n">
        <f aca="false">-K6*Assumptions!K32/100</f>
        <v>-51.9833764397666</v>
      </c>
      <c r="L17" s="4" t="n">
        <f aca="false">-L6*Assumptions!L32/100</f>
        <v>-54.0627114973573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10.367868</v>
      </c>
      <c r="D18" s="4" t="n">
        <f aca="false">(D6-C6)*Assumptions!$B$37/100</f>
        <v>9.997587</v>
      </c>
      <c r="E18" s="4" t="n">
        <f aca="false">(E6-D6)*Assumptions!$B$37/100</f>
        <v>9.997587</v>
      </c>
      <c r="F18" s="4" t="n">
        <f aca="false">(F6-E6)*Assumptions!$B$37/100</f>
        <v>9.59768352</v>
      </c>
      <c r="G18" s="4" t="n">
        <f aca="false">(G6-F6)*Assumptions!$B$37/100</f>
        <v>9.04581671759999</v>
      </c>
      <c r="H18" s="4" t="n">
        <f aca="false">(H6-G6)*Assumptions!$B$37/100</f>
        <v>7.86290222376001</v>
      </c>
      <c r="I18" s="4" t="n">
        <f aca="false">(I6-H6)*Assumptions!$B$37/100</f>
        <v>6.9193539569088</v>
      </c>
      <c r="J18" s="4" t="n">
        <f aca="false">(J6-I6)*Assumptions!$B$37/100</f>
        <v>5.60467670509614</v>
      </c>
      <c r="K18" s="4" t="n">
        <f aca="false">(K6-J6)*Assumptions!$B$37/100</f>
        <v>4.95079775616825</v>
      </c>
      <c r="L18" s="4" t="n">
        <f aca="false">(L6-K6)*Assumptions!$B$37/100</f>
        <v>4.15867011518134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37.781251554</v>
      </c>
      <c r="D19" s="0" t="n">
        <f aca="false">D15+D16+D17+D18</f>
        <v>54.536837085</v>
      </c>
      <c r="E19" s="0" t="n">
        <f aca="false">E15+E16+E17+E18</f>
        <v>76.641501942</v>
      </c>
      <c r="F19" s="0" t="n">
        <f aca="false">F15+F16+F17+F18</f>
        <v>101.19527568639</v>
      </c>
      <c r="G19" s="0" t="n">
        <f aca="false">G15+G16+G17+G18</f>
        <v>124.433906851278</v>
      </c>
      <c r="H19" s="0" t="n">
        <f aca="false">H15+H16+H17+H18</f>
        <v>143.049780156866</v>
      </c>
      <c r="I19" s="0" t="n">
        <f aca="false">I15+I16+I17+I18</f>
        <v>164.048800666239</v>
      </c>
      <c r="J19" s="0" t="n">
        <f aca="false">J15+J16+J17+J18</f>
        <v>177.050803001203</v>
      </c>
      <c r="K19" s="0" t="n">
        <f aca="false">K15+K16+K17+K18</f>
        <v>190.102588790507</v>
      </c>
      <c r="L19" s="0" t="n">
        <f aca="false">L15+L16+L17+L18</f>
        <v>196.716532790894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34.0371635621622</v>
      </c>
      <c r="D21" s="0" t="n">
        <f aca="false">D19*D20</f>
        <v>44.2633204163623</v>
      </c>
      <c r="E21" s="0" t="n">
        <f aca="false">E19*E20</f>
        <v>56.0396056699505</v>
      </c>
      <c r="F21" s="0" t="n">
        <f aca="false">F19*F20</f>
        <v>66.6604625317676</v>
      </c>
      <c r="G21" s="0" t="n">
        <f aca="false">G19*G20</f>
        <v>73.8454672764059</v>
      </c>
      <c r="H21" s="0" t="n">
        <f aca="false">H19*H20</f>
        <v>76.4802540653845</v>
      </c>
      <c r="I21" s="0" t="n">
        <f aca="false">I19*I20</f>
        <v>79.0154846374429</v>
      </c>
      <c r="J21" s="0" t="n">
        <f aca="false">J19*J20</f>
        <v>76.8270346130629</v>
      </c>
      <c r="K21" s="0" t="n">
        <f aca="false">K19*K20</f>
        <v>74.3158110730163</v>
      </c>
      <c r="L21" s="0" t="n">
        <f aca="false">L19*L20</f>
        <v>69.2805095672812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1.4</v>
      </c>
      <c r="D23" s="4" t="n">
        <f aca="false">Assumptions!D30</f>
        <v>1.4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1.3</v>
      </c>
      <c r="H23" s="4" t="n">
        <f aca="false">Assumptions!H30</f>
        <v>1.2</v>
      </c>
      <c r="I23" s="4" t="n">
        <f aca="false">Assumptions!I30</f>
        <v>1.2</v>
      </c>
      <c r="J23" s="4" t="n">
        <f aca="false">Assumptions!J30</f>
        <v>1.2</v>
      </c>
      <c r="K23" s="4" t="n">
        <f aca="false">Assumptions!K30</f>
        <v>1.2</v>
      </c>
      <c r="L23" s="4" t="n">
        <f aca="false">Assumptions!L30</f>
        <v>1.2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-6.9983109</v>
      </c>
      <c r="D24" s="0" t="n">
        <f aca="false">-D6*D23/100</f>
        <v>-8.747888625</v>
      </c>
      <c r="E24" s="0" t="n">
        <f aca="false">-E6*E23/100</f>
        <v>-9.747647325</v>
      </c>
      <c r="F24" s="0" t="n">
        <f aca="false">-F6*F23/100</f>
        <v>-11.307270897</v>
      </c>
      <c r="G24" s="0" t="n">
        <f aca="false">-G6*G23/100</f>
        <v>-12.77721611361</v>
      </c>
      <c r="H24" s="0" t="n">
        <f aca="false">-H6*H23/100</f>
        <v>-12.973788669204</v>
      </c>
      <c r="I24" s="0" t="n">
        <f aca="false">-I6*I23/100</f>
        <v>-14.0116917627403</v>
      </c>
      <c r="J24" s="0" t="n">
        <f aca="false">-J6*J23/100</f>
        <v>-14.8523932685047</v>
      </c>
      <c r="K24" s="0" t="n">
        <f aca="false">-K6*K23/100</f>
        <v>-15.59501293193</v>
      </c>
      <c r="L24" s="0" t="n">
        <f aca="false">-L6*L23/100</f>
        <v>-16.2188134492072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650.765113412836</v>
      </c>
    </row>
    <row r="31" customFormat="false" ht="15" hidden="false" customHeight="false" outlineLevel="0" collapsed="false">
      <c r="A31" s="0" t="s">
        <v>127</v>
      </c>
      <c r="B31" s="0" t="n">
        <f aca="false">L19</f>
        <v>196.716532790894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2532.72535968276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3540.89759023609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2532.72535968276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891.986560678746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1542.75167409158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1903.80767409158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87.5829715202214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0.0786080236480462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90.2968062801566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91.9277311215285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95.9660485960886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1688.48357312184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60.1131344805229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40</v>
      </c>
      <c r="D5" s="4" t="n">
        <f aca="false">Assumptions!D41</f>
        <v>32</v>
      </c>
      <c r="E5" s="4" t="n">
        <f aca="false">Assumptions!E41</f>
        <v>26</v>
      </c>
      <c r="F5" s="4" t="n">
        <f aca="false">Assumptions!F41</f>
        <v>21</v>
      </c>
      <c r="G5" s="4" t="n">
        <f aca="false">Assumptions!G41</f>
        <v>17</v>
      </c>
      <c r="H5" s="4" t="n">
        <f aca="false">Assumptions!H41</f>
        <v>13</v>
      </c>
      <c r="I5" s="4" t="n">
        <f aca="false">Assumptions!I41</f>
        <v>10</v>
      </c>
      <c r="J5" s="4" t="n">
        <f aca="false">Assumptions!J41</f>
        <v>8</v>
      </c>
      <c r="K5" s="4" t="n">
        <f aca="false">Assumptions!K41</f>
        <v>6</v>
      </c>
      <c r="L5" s="4" t="n">
        <f aca="false">Assumptions!L41</f>
        <v>5</v>
      </c>
    </row>
    <row r="6" customFormat="false" ht="15" hidden="false" customHeight="false" outlineLevel="0" collapsed="false">
      <c r="A6" s="0" t="s">
        <v>38</v>
      </c>
      <c r="B6" s="3" t="n">
        <v>370.281</v>
      </c>
      <c r="C6" s="0" t="n">
        <f aca="false">B6*(1+C5/100)</f>
        <v>518.3934</v>
      </c>
      <c r="D6" s="0" t="n">
        <f aca="false">C6*(1+D5/100)</f>
        <v>684.279288</v>
      </c>
      <c r="E6" s="0" t="n">
        <f aca="false">D6*(1+E5/100)</f>
        <v>862.19190288</v>
      </c>
      <c r="F6" s="0" t="n">
        <f aca="false">E6*(1+F5/100)</f>
        <v>1043.2522024848</v>
      </c>
      <c r="G6" s="0" t="n">
        <f aca="false">F6*(1+G5/100)</f>
        <v>1220.60507690722</v>
      </c>
      <c r="H6" s="0" t="n">
        <f aca="false">G6*(1+H5/100)</f>
        <v>1379.28373690515</v>
      </c>
      <c r="I6" s="0" t="n">
        <f aca="false">H6*(1+I5/100)</f>
        <v>1517.21211059567</v>
      </c>
      <c r="J6" s="0" t="n">
        <f aca="false">I6*(1+J5/100)</f>
        <v>1638.58907944332</v>
      </c>
      <c r="K6" s="0" t="n">
        <f aca="false">J6*(1+K5/100)</f>
        <v>1736.90442420992</v>
      </c>
      <c r="L6" s="0" t="n">
        <f aca="false">K6*(1+L5/100)</f>
        <v>1823.74964542042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18</v>
      </c>
      <c r="D7" s="4" t="n">
        <f aca="false">Assumptions!D42</f>
        <v>20</v>
      </c>
      <c r="E7" s="4" t="n">
        <f aca="false">Assumptions!E42</f>
        <v>22</v>
      </c>
      <c r="F7" s="4" t="n">
        <f aca="false">Assumptions!F42</f>
        <v>24</v>
      </c>
      <c r="G7" s="4" t="n">
        <f aca="false">Assumptions!G42</f>
        <v>25.5</v>
      </c>
      <c r="H7" s="4" t="n">
        <f aca="false">Assumptions!H42</f>
        <v>26.5</v>
      </c>
      <c r="I7" s="4" t="n">
        <f aca="false">Assumptions!I42</f>
        <v>27.5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93.310812</v>
      </c>
      <c r="D8" s="0" t="n">
        <f aca="false">D6*D7/100</f>
        <v>136.8558576</v>
      </c>
      <c r="E8" s="0" t="n">
        <f aca="false">E6*E7/100</f>
        <v>189.6822186336</v>
      </c>
      <c r="F8" s="0" t="n">
        <f aca="false">F6*F7/100</f>
        <v>250.380528596352</v>
      </c>
      <c r="G8" s="0" t="n">
        <f aca="false">G6*G7/100</f>
        <v>311.25429461134</v>
      </c>
      <c r="H8" s="0" t="n">
        <f aca="false">H6*H7/100</f>
        <v>365.510190279866</v>
      </c>
      <c r="I8" s="0" t="n">
        <f aca="false">I6*I7/100</f>
        <v>417.233330413809</v>
      </c>
      <c r="J8" s="0" t="n">
        <f aca="false">J6*J7/100</f>
        <v>458.80494224413</v>
      </c>
      <c r="K8" s="0" t="n">
        <f aca="false">K6*K7/100</f>
        <v>486.333238778778</v>
      </c>
      <c r="L8" s="0" t="n">
        <f aca="false">L6*L7/100</f>
        <v>510.649900717717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2</v>
      </c>
      <c r="D9" s="4" t="n">
        <f aca="false">Assumptions!D43</f>
        <v>1.9</v>
      </c>
      <c r="E9" s="4" t="n">
        <f aca="false">Assumptions!E43</f>
        <v>1.8</v>
      </c>
      <c r="F9" s="4" t="n">
        <f aca="false">Assumptions!F43</f>
        <v>1.7</v>
      </c>
      <c r="G9" s="4" t="n">
        <f aca="false">Assumptions!G43</f>
        <v>1.6</v>
      </c>
      <c r="H9" s="4" t="n">
        <f aca="false">Assumptions!H43</f>
        <v>1.5</v>
      </c>
      <c r="I9" s="4" t="n">
        <f aca="false">Assumptions!I43</f>
        <v>1.5</v>
      </c>
      <c r="J9" s="4" t="n">
        <f aca="false">Assumptions!J43</f>
        <v>1.5</v>
      </c>
      <c r="K9" s="4" t="n">
        <f aca="false">Assumptions!K43</f>
        <v>1.5</v>
      </c>
      <c r="L9" s="4" t="n">
        <f aca="false">Assumptions!L43</f>
        <v>1.5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-10.367868</v>
      </c>
      <c r="D10" s="0" t="n">
        <f aca="false">-D6*D9/100</f>
        <v>-13.001306472</v>
      </c>
      <c r="E10" s="0" t="n">
        <f aca="false">-E6*E9/100</f>
        <v>-15.51945425184</v>
      </c>
      <c r="F10" s="0" t="n">
        <f aca="false">-F6*F9/100</f>
        <v>-17.7352874422416</v>
      </c>
      <c r="G10" s="0" t="n">
        <f aca="false">-G6*G9/100</f>
        <v>-19.5296812305155</v>
      </c>
      <c r="H10" s="0" t="n">
        <f aca="false">-H6*H9/100</f>
        <v>-20.6892560535773</v>
      </c>
      <c r="I10" s="0" t="n">
        <f aca="false">-I6*I9/100</f>
        <v>-22.758181658935</v>
      </c>
      <c r="J10" s="0" t="n">
        <f aca="false">-J6*J9/100</f>
        <v>-24.5788361916498</v>
      </c>
      <c r="K10" s="0" t="n">
        <f aca="false">-K6*K9/100</f>
        <v>-26.0535663631488</v>
      </c>
      <c r="L10" s="0" t="n">
        <f aca="false">-L6*L9/100</f>
        <v>-27.3562446813063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75.6854364</v>
      </c>
      <c r="D11" s="0" t="n">
        <f aca="false">D8+D10+D24</f>
        <v>114.958920384</v>
      </c>
      <c r="E11" s="0" t="n">
        <f aca="false">E8+E10+E24</f>
        <v>162.95426964432</v>
      </c>
      <c r="F11" s="0" t="n">
        <f aca="false">F8+F10+F24</f>
        <v>220.126214724293</v>
      </c>
      <c r="G11" s="0" t="n">
        <f aca="false">G8+G10+G24</f>
        <v>277.077352457938</v>
      </c>
      <c r="H11" s="0" t="n">
        <f aca="false">H8+H10+H24</f>
        <v>328.269529383427</v>
      </c>
      <c r="I11" s="0" t="n">
        <f aca="false">I8+I10+I24</f>
        <v>377.785815538322</v>
      </c>
      <c r="J11" s="0" t="n">
        <f aca="false">J8+J10+J24</f>
        <v>416.201626178604</v>
      </c>
      <c r="K11" s="0" t="n">
        <f aca="false">K8+K10+K24</f>
        <v>441.17372374932</v>
      </c>
      <c r="L11" s="0" t="n">
        <f aca="false">L8+L10+L24</f>
        <v>463.232409936786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-18.143769</v>
      </c>
      <c r="D12" s="4" t="n">
        <f aca="false">-D6*Assumptions!D45/100</f>
        <v>-23.265495792</v>
      </c>
      <c r="E12" s="4" t="n">
        <f aca="false">-E6*Assumptions!E45/100</f>
        <v>-28.45233279504</v>
      </c>
      <c r="F12" s="4" t="n">
        <f aca="false">-F6*Assumptions!F45/100</f>
        <v>-33.3840704795136</v>
      </c>
      <c r="G12" s="4" t="n">
        <f aca="false">-G6*Assumptions!G45/100</f>
        <v>-37.8387573841237</v>
      </c>
      <c r="H12" s="4" t="n">
        <f aca="false">-H6*Assumptions!H45/100</f>
        <v>-41.3785121071546</v>
      </c>
      <c r="I12" s="4" t="n">
        <f aca="false">-I6*Assumptions!I45/100</f>
        <v>-45.5163633178701</v>
      </c>
      <c r="J12" s="4" t="n">
        <f aca="false">-J6*Assumptions!J45/100</f>
        <v>-49.1576723832997</v>
      </c>
      <c r="K12" s="4" t="n">
        <f aca="false">-K6*Assumptions!K45/100</f>
        <v>-52.1071327262977</v>
      </c>
      <c r="L12" s="4" t="n">
        <f aca="false">-L6*Assumptions!L45/100</f>
        <v>-54.7124893626126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57.5416674</v>
      </c>
      <c r="D13" s="0" t="n">
        <f aca="false">D11+D12</f>
        <v>91.693424592</v>
      </c>
      <c r="E13" s="0" t="n">
        <f aca="false">E11+E12</f>
        <v>134.50193684928</v>
      </c>
      <c r="F13" s="0" t="n">
        <f aca="false">F11+F12</f>
        <v>186.742144244779</v>
      </c>
      <c r="G13" s="0" t="n">
        <f aca="false">G11+G12</f>
        <v>239.238595073814</v>
      </c>
      <c r="H13" s="0" t="n">
        <f aca="false">H11+H12</f>
        <v>286.891017276272</v>
      </c>
      <c r="I13" s="0" t="n">
        <f aca="false">I11+I12</f>
        <v>332.269452220452</v>
      </c>
      <c r="J13" s="0" t="n">
        <f aca="false">J11+J12</f>
        <v>367.043953795304</v>
      </c>
      <c r="K13" s="0" t="n">
        <f aca="false">K11+K12</f>
        <v>389.066591023023</v>
      </c>
      <c r="L13" s="0" t="n">
        <f aca="false">L11+L12</f>
        <v>408.519920574174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16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19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48.335000616</v>
      </c>
      <c r="D15" s="0" t="n">
        <f aca="false">D13-MAX(0,D13)*D14/100</f>
        <v>76.10554241136</v>
      </c>
      <c r="E15" s="0" t="n">
        <f aca="false">E13-MAX(0,E13)*E14/100</f>
        <v>110.29158821641</v>
      </c>
      <c r="F15" s="0" t="n">
        <f aca="false">F13-MAX(0,F13)*F14/100</f>
        <v>151.261136838271</v>
      </c>
      <c r="G15" s="0" t="n">
        <f aca="false">G13-MAX(0,G13)*G14/100</f>
        <v>191.390876059051</v>
      </c>
      <c r="H15" s="0" t="n">
        <f aca="false">H13-MAX(0,H13)*H14/100</f>
        <v>229.512813821018</v>
      </c>
      <c r="I15" s="0" t="n">
        <f aca="false">I13-MAX(0,I13)*I14/100</f>
        <v>265.815561776361</v>
      </c>
      <c r="J15" s="0" t="n">
        <f aca="false">J13-MAX(0,J13)*J14/100</f>
        <v>293.635163036243</v>
      </c>
      <c r="K15" s="0" t="n">
        <f aca="false">K13-MAX(0,K13)*K14/100</f>
        <v>311.253272818418</v>
      </c>
      <c r="L15" s="0" t="n">
        <f aca="false">L13-MAX(0,L13)*L14/100</f>
        <v>326.815936459339</v>
      </c>
    </row>
    <row r="16" customFormat="false" ht="15" hidden="false" customHeight="false" outlineLevel="0" collapsed="false">
      <c r="A16" s="0" t="s">
        <v>118</v>
      </c>
      <c r="C16" s="0" t="n">
        <f aca="false">-C12</f>
        <v>18.143769</v>
      </c>
      <c r="D16" s="0" t="n">
        <f aca="false">-D12</f>
        <v>23.265495792</v>
      </c>
      <c r="E16" s="0" t="n">
        <f aca="false">-E12</f>
        <v>28.45233279504</v>
      </c>
      <c r="F16" s="0" t="n">
        <f aca="false">-F12</f>
        <v>33.3840704795136</v>
      </c>
      <c r="G16" s="0" t="n">
        <f aca="false">-G12</f>
        <v>37.8387573841237</v>
      </c>
      <c r="H16" s="0" t="n">
        <f aca="false">-H12</f>
        <v>41.3785121071546</v>
      </c>
      <c r="I16" s="0" t="n">
        <f aca="false">-I12</f>
        <v>45.5163633178701</v>
      </c>
      <c r="J16" s="0" t="n">
        <f aca="false">-J12</f>
        <v>49.1576723832997</v>
      </c>
      <c r="K16" s="0" t="n">
        <f aca="false">-K12</f>
        <v>52.1071327262977</v>
      </c>
      <c r="L16" s="0" t="n">
        <f aca="false">-L12</f>
        <v>54.7124893626126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-33.695571</v>
      </c>
      <c r="D17" s="4" t="n">
        <f aca="false">-D6*Assumptions!D46/100</f>
        <v>-41.05675728</v>
      </c>
      <c r="E17" s="4" t="n">
        <f aca="false">-E6*Assumptions!E46/100</f>
        <v>-47.4205546584</v>
      </c>
      <c r="F17" s="4" t="n">
        <f aca="false">-F6*Assumptions!F46/100</f>
        <v>-52.16261012424</v>
      </c>
      <c r="G17" s="4" t="n">
        <f aca="false">-G6*Assumptions!G46/100</f>
        <v>-54.9272284608247</v>
      </c>
      <c r="H17" s="4" t="n">
        <f aca="false">-H6*Assumptions!H46/100</f>
        <v>-55.1713494762062</v>
      </c>
      <c r="I17" s="4" t="n">
        <f aca="false">-I6*Assumptions!I46/100</f>
        <v>-60.6884844238268</v>
      </c>
      <c r="J17" s="4" t="n">
        <f aca="false">-J6*Assumptions!J46/100</f>
        <v>-65.5435631777329</v>
      </c>
      <c r="K17" s="4" t="n">
        <f aca="false">-K6*Assumptions!K46/100</f>
        <v>-69.4761769683969</v>
      </c>
      <c r="L17" s="4" t="n">
        <f aca="false">-L6*Assumptions!L46/100</f>
        <v>-72.9499858168168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14.81124</v>
      </c>
      <c r="D18" s="4" t="n">
        <f aca="false">(D6-C6)*Assumptions!$B$51/100</f>
        <v>16.5885888</v>
      </c>
      <c r="E18" s="4" t="n">
        <f aca="false">(E6-D6)*Assumptions!$B$51/100</f>
        <v>17.791261488</v>
      </c>
      <c r="F18" s="4" t="n">
        <f aca="false">(F6-E6)*Assumptions!$B$51/100</f>
        <v>18.10602996048</v>
      </c>
      <c r="G18" s="4" t="n">
        <f aca="false">(G6-F6)*Assumptions!$B$51/100</f>
        <v>17.7352874422416</v>
      </c>
      <c r="H18" s="4" t="n">
        <f aca="false">(H6-G6)*Assumptions!$B$51/100</f>
        <v>15.8678659997938</v>
      </c>
      <c r="I18" s="4" t="n">
        <f aca="false">(I6-H6)*Assumptions!$B$51/100</f>
        <v>13.7928373690515</v>
      </c>
      <c r="J18" s="4" t="n">
        <f aca="false">(J6-I6)*Assumptions!$B$51/100</f>
        <v>12.1376968847654</v>
      </c>
      <c r="K18" s="4" t="n">
        <f aca="false">(K6-J6)*Assumptions!$B$51/100</f>
        <v>9.83153447665995</v>
      </c>
      <c r="L18" s="4" t="n">
        <f aca="false">(L6-K6)*Assumptions!$B$51/100</f>
        <v>8.68452212104962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47.594438616</v>
      </c>
      <c r="D19" s="0" t="n">
        <f aca="false">D15+D16+D17+D18</f>
        <v>74.90286972336</v>
      </c>
      <c r="E19" s="0" t="n">
        <f aca="false">E15+E16+E17+E18</f>
        <v>109.11462784105</v>
      </c>
      <c r="F19" s="0" t="n">
        <f aca="false">F15+F16+F17+F18</f>
        <v>150.588627154025</v>
      </c>
      <c r="G19" s="0" t="n">
        <f aca="false">G15+G16+G17+G18</f>
        <v>192.037692424592</v>
      </c>
      <c r="H19" s="0" t="n">
        <f aca="false">H15+H16+H17+H18</f>
        <v>231.58784245176</v>
      </c>
      <c r="I19" s="0" t="n">
        <f aca="false">I15+I16+I17+I18</f>
        <v>264.436278039456</v>
      </c>
      <c r="J19" s="0" t="n">
        <f aca="false">J15+J16+J17+J18</f>
        <v>289.386969126576</v>
      </c>
      <c r="K19" s="0" t="n">
        <f aca="false">K15+K16+K17+K18</f>
        <v>303.715763052979</v>
      </c>
      <c r="L19" s="0" t="n">
        <f aca="false">L15+L16+L17+L18</f>
        <v>317.262962126184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42.877872627027</v>
      </c>
      <c r="D21" s="0" t="n">
        <f aca="false">D19*D20</f>
        <v>60.7928493818359</v>
      </c>
      <c r="E21" s="0" t="n">
        <f aca="false">E19*E20</f>
        <v>79.7836754512362</v>
      </c>
      <c r="F21" s="0" t="n">
        <f aca="false">F19*F20</f>
        <v>99.197393060329</v>
      </c>
      <c r="G21" s="0" t="n">
        <f aca="false">G19*G20</f>
        <v>113.965023606675</v>
      </c>
      <c r="H21" s="0" t="n">
        <f aca="false">H19*H20</f>
        <v>123.816317716408</v>
      </c>
      <c r="I21" s="0" t="n">
        <f aca="false">I19*I20</f>
        <v>127.367957462363</v>
      </c>
      <c r="J21" s="0" t="n">
        <f aca="false">J19*J20</f>
        <v>125.572673587398</v>
      </c>
      <c r="K21" s="0" t="n">
        <f aca="false">K19*K20</f>
        <v>118.730015254107</v>
      </c>
      <c r="L21" s="0" t="n">
        <f aca="false">L19*L20</f>
        <v>111.735090950854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1.4</v>
      </c>
      <c r="D23" s="4" t="n">
        <f aca="false">Assumptions!D44</f>
        <v>1.3</v>
      </c>
      <c r="E23" s="4" t="n">
        <f aca="false">Assumptions!E44</f>
        <v>1.3</v>
      </c>
      <c r="F23" s="4" t="n">
        <f aca="false">Assumptions!F44</f>
        <v>1.2</v>
      </c>
      <c r="G23" s="4" t="n">
        <f aca="false">Assumptions!G44</f>
        <v>1.2</v>
      </c>
      <c r="H23" s="4" t="n">
        <f aca="false">Assumptions!H44</f>
        <v>1.2</v>
      </c>
      <c r="I23" s="4" t="n">
        <f aca="false">Assumptions!I44</f>
        <v>1.1</v>
      </c>
      <c r="J23" s="4" t="n">
        <f aca="false">Assumptions!J44</f>
        <v>1.1</v>
      </c>
      <c r="K23" s="4" t="n">
        <f aca="false">Assumptions!K44</f>
        <v>1.1</v>
      </c>
      <c r="L23" s="4" t="n">
        <f aca="false">Assumptions!L44</f>
        <v>1.1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-7.2575076</v>
      </c>
      <c r="D24" s="0" t="n">
        <f aca="false">-D6*D23/100</f>
        <v>-8.895630744</v>
      </c>
      <c r="E24" s="0" t="n">
        <f aca="false">-E6*E23/100</f>
        <v>-11.20849473744</v>
      </c>
      <c r="F24" s="0" t="n">
        <f aca="false">-F6*F23/100</f>
        <v>-12.5190264298176</v>
      </c>
      <c r="G24" s="0" t="n">
        <f aca="false">-G6*G23/100</f>
        <v>-14.6472609228866</v>
      </c>
      <c r="H24" s="0" t="n">
        <f aca="false">-H6*H23/100</f>
        <v>-16.5514048428618</v>
      </c>
      <c r="I24" s="0" t="n">
        <f aca="false">-I6*I23/100</f>
        <v>-16.6893332165524</v>
      </c>
      <c r="J24" s="0" t="n">
        <f aca="false">-J6*J23/100</f>
        <v>-18.0244798738766</v>
      </c>
      <c r="K24" s="0" t="n">
        <f aca="false">-K6*K23/100</f>
        <v>-19.1059486663091</v>
      </c>
      <c r="L24" s="0" t="n">
        <f aca="false">-L6*L23/100</f>
        <v>-20.0612460996246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1003.83886909823</v>
      </c>
    </row>
    <row r="31" customFormat="false" ht="15" hidden="false" customHeight="false" outlineLevel="0" collapsed="false">
      <c r="A31" s="0" t="s">
        <v>127</v>
      </c>
      <c r="B31" s="0" t="n">
        <f aca="false">L19</f>
        <v>317.262962126184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4378.22887734135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6345.25924252369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4378.22887734135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1541.94425512178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2545.78312422002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2906.83912422002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133.726537451797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0.646878540046763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107.020791532484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132.955337885514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144.766424933277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2855.36665913566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86.3541001333115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42.5430289978476</v>
      </c>
      <c r="C4" s="0" t="n">
        <f aca="false">B4/Assumptions!$B$2-1</f>
        <v>-0.476071071455079</v>
      </c>
      <c r="D4" s="4" t="n">
        <f aca="false">Assumptions!$B$24</f>
        <v>0.25</v>
      </c>
      <c r="E4" s="4" t="n">
        <f aca="false">DCF_Bear!$B$43</f>
        <v>49.0758272167079</v>
      </c>
      <c r="F4" s="4" t="n">
        <f aca="false">DCF_Bear!$B$47</f>
        <v>33.1534404937272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87.5829715202214</v>
      </c>
      <c r="C5" s="0" t="n">
        <f aca="false">B5/Assumptions!$B$2-1</f>
        <v>0.0786080236480462</v>
      </c>
      <c r="D5" s="4" t="n">
        <f aca="false">Assumptions!$B$38</f>
        <v>0.5</v>
      </c>
      <c r="E5" s="4" t="n">
        <f aca="false">DCF_Base!$B$43</f>
        <v>95.9660485960886</v>
      </c>
      <c r="F5" s="4" t="n">
        <f aca="false">DCF_Base!$B$47</f>
        <v>60.1131344805229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133.726537451797</v>
      </c>
      <c r="C6" s="0" t="n">
        <f aca="false">B6/Assumptions!$B$2-1</f>
        <v>0.646878540046763</v>
      </c>
      <c r="D6" s="4" t="n">
        <f aca="false">Assumptions!$B$52</f>
        <v>0.25</v>
      </c>
      <c r="E6" s="4" t="n">
        <f aca="false">DCF_Bull!$B$43</f>
        <v>144.766424933277</v>
      </c>
      <c r="F6" s="4" t="n">
        <f aca="false">DCF_Bull!$B$47</f>
        <v>86.3541001333115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87.8588773725219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96.4435873355406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0.0757906038827267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-77.5667133916815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59.9334523970211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115.670311785629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99.5713132402879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87.5829715202214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78.3301446546522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60.1131344805229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105.749443309558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110.328305683129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115.670311785629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118.85591175501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118.85591175501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92.7177682109645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95.9160892246487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99.5713132402879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103.788879412179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108.709373279386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82.6693900824408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84.9816637002199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87.5829715202214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90.5311203828897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93.9004333687963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74.7041033198926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76.421701846884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78.3301446546522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80.4631101456872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82.8626963231016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68.2494221738832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69.5535479916514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70.9880863911964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72.5736288327988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74.3353426568014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2026-10-23T15:48:25Z</dcterms:created>
  <dc:creator>openpyxl</dc:creator>
  <dc:description/>
  <dc:language>en-NZ</dc:language>
  <cp:lastModifiedBy/>
  <dcterms:modified xsi:type="dcterms:W3CDTF">2026-10-23T15:48:25Z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