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<sst xmlns="http://schemas.openxmlformats.org/spreadsheetml/2006/main" count="390" uniqueCount="175">
  <si>
    <t xml:space="preserve">Ticker</t>
  </si>
  <si>
    <t xml:space="preserve">BSX</t>
  </si>
  <si>
    <t xml:space="preserve">Company</t>
  </si>
  <si>
    <t xml:space="preserve">Boston Scientific Corporation</t>
  </si>
  <si>
    <t xml:space="preserve">Valuation date</t>
  </si>
  <si>
    <t xml:space="preserve">2026-09-26</t>
  </si>
  <si>
    <t xml:space="preserve">Current price</t>
  </si>
  <si>
    <t xml:space="preserve">Price as of</t>
  </si>
  <si>
    <t xml:space="preserve">2026-09-25T20:00:02Z regular close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</si>
  <si>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</si>
  <si>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</si>
  <si>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</si>
  <si>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</si>
  <si>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</si>
  <si>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</si>
  <si>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</si>
  <si>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</si>
  <si>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</si>
  <si>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</si>
  <si>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</si>
  <si>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</si>
  <si>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2026-09-25T23:45:33Z</t>
  </si>
  <si>
    <t xml:space="preserve">Drivers file</t>
  </si>
  <si>
    <t xml:space="preserve">BSX_Drivers.json</t>
  </si>
  <si>
    <t xml:space="preserve">Convention</t>
  </si>
  <si>
    <t xml:space="preserve">Percents stored as percents; formulas divide by 100. Blue = input, green = link, black = formula.</t>
  </si>
  <si>
    <t xml:space="preserve">Methodology</t>
  </si>
  <si>
    <t xml:space="preserve">summary: Boston Scientific is a diversified, innovation-driven medtech compounder (Farapulse PFA, WATCHMAN LAAC, TAVR/IVL, renal denervation) working through a genuine, acknowledged rough patch in 2026 -- two guidance cuts, a cyberattack that has disrupted Q3 operations, and faster-than-expected competitive share losses in its two highest-profile franchises (WATCHMAN standalone, Farapulse PFA). None of this reads as a going-concern issue: the balance sheet is investment-grade, EBITDA margins have expanded steadily for five straight years, and the company continues to convert minority stakes in innovative device startups (Bolt Medical, SoniVie) into full ownership. The valuation therefore keeps the base case as a still-growing, margin-expanding compounder, but widens the bear weighting materially to reflect that the two acute 2026 problems (WATCHMAN patient-selection uncertainty, PFA competitive intensity) look structural rather than one-quarter noise, and that the cyberattack's full financial impact remains genuinely unknown as of the valuation date.
key_risks_to_valuation: Unquantified financial magnitude and duration of the August 2026 cyberattack -- Q3/FY2026 results have not yet been reported as of this valuation; WATCHMAN standalone procedure deceleration may be a durable shift in physician referral patterns (OCEAN/CHAMPION-AF), not a temporary air pocket; PFA category is already ~80% penetrated in the US with Medtronic, J&amp;J and Abbott all gaining share -- Farapulse's growth runway may be narrower than the base case assumes; Two guidance cuts within a single year raise a real question about near-term forecasting visibility into core franchise trends; Restructuring plan (~$500M annual savings targeted by 2029) carries execution risk and near-term cash/charge drag ($700-800M pre-tax charges, $600-700M cash outlays through 2029); Continued M&amp;A pace (Bolt Medical, SoniVie) adds integration and contingent-consideration risk on top of already-softening organic growth</t>
  </si>
  <si>
    <t xml:space="preserve">Data sources</t>
  </si>
  <si>
    <t xml:space="preserve">price: Yahoo Finance chart API at inputs.price_as_of; 52-week range 42.20-105.65
financials: SEC XBRL companyfacts API (CIK0000885725), cross-checked against research/BSX/Reports/BSX_Metrics.csv and the BSX.duckdb metrics_normalized view
qualitative: research/BSX/Reports/BSX_Analysis.json (2026-09-26)</t>
  </si>
  <si>
    <t xml:space="preserve">Scenario narrative: bear</t>
  </si>
  <si>
    <t xml:space="preserve">Cyberattack fallout extends into 2027, WATCHMAN standalone volumes keep deteriorating post-OCEAN/CHAMPION-AF, and PFA share losses to Medtronic/J&amp;J/Abbott continue faster than expected; two 2026 guidance cuts prove to be a pattern, restructuring charges run ahead of savings, and margin compresses under pricing pressure.</t>
  </si>
  <si>
    <t xml:space="preserve">Scenario narrative: base</t>
  </si>
  <si>
    <t xml:space="preserve">FY2026 growth lands near the low end of guidance (~5%) as the cyberattack and WATCHMAN/PFA softness weigh on the year, reaccelerating to 6.5-7% in FY2027-28 on FARAWATCH, WATCHMAN FLX Pro, TAVR/IVL and SoniVie, then decelerating to a 3% terminal rate. EBITDA margin expands to a 27.5% plateau as restructuring savings largely offset competitive pricing pressure.</t>
  </si>
  <si>
    <t xml:space="preserve">Scenario narrative: bull</t>
  </si>
  <si>
    <t xml:space="preserve">Cyberattack disruption proves transient and contained to Q3 2026; WATCHMAN FLX Pro/FARAWATCH and continued PFA category expansion (not just share reallocation) sustain high-single/low-double-digit growth for several years; restructuring savings arrive ahead of schedule and further disciplined tuck-in M&amp;A adds new platforms.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</si>
  <si>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</si>
  <si>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</si>
  <si>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</si>
  <si>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</si>
  <si>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</si>
  <si>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</si>
  <si>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</si>
  <si>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</si>
  <si>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</si>
  <si>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</si>
  <si>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</si>
  <si>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</si>
  <si>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</si>
  <si>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</si>
  <si>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</si>
  <si>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</si>
  <si>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</si>
  <si>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</si>
  <si>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</si>
  <si>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</si>
  <si>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</si>
  <si>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</si>
  <si>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</si>
  <si>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</si>
  <si>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</si>
  <si>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</si>
  <si>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</si>
  <si>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</si>
  <si>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</si>
  <si>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</si>
  <si>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</si>
  <si>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</si>
  <si>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</si>
  <si>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</si>
  <si>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</si>
  <si>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</si>
  <si>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</si>
  <si>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</si>
  <si>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</si>
  <si>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</si>
  <si>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</si>
  <si>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</si>
  <si>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</si>
  <si>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</si>
  <si>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</si>
  <si>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</si>
  <si>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</si>
  <si>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</si>
  <si>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</si>
  <si>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</si>
  <si>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</si>
  <si>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</si>
  <si>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</si>
  <si>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</si>
  <si>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</si>
  <si>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</si>
  <si>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</si>
  <si>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</si>
  <si>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</si>
  <si>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</si>
  <si>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</si>
  <si>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</si>
  <si>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</si>
  <si>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</si>
  <si>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</si>
  <si>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</si>
  <si>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</si>
  <si>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</si>
  <si>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</si>
  <si>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</si>
  <si>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</si>
  <si>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</si>
  <si>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</si>
  <si>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</si>
  <si>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</si>
  <si>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</si>
  <si>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</si>
  <si>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</si>
  <si>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</si>
  <si>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</si>
  <si>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</si>
  <si>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</si>
  <si>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</si>
  <si>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</si>
  <si>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BSX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</si>
  <si>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</si>
  <si>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</si>
  <si>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</si>
  <si>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</si>
  <si>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</si>
  <si>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</si>
  <si>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</si>
  <si>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</si>
  <si>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</si>
  <si>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</si>
  <si>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</si>
  <si>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</si>
  <si>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</si>
  <si>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</si>
  <si>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</si>
  <si>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</si>
  <si>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</si>
  <si>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</si>
  <si>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</si>
  <si>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</si>
  <si>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</si>
  <si>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</si>
  <si>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</si>
  <si>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</si>
  <si>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</si>
  <si>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</si>
  <si>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</si>
  <si>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</si>
  <si>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</si>
  <si>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</si>
  <si>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BSX owner-FCF component DCF: base case (millions, USD)</t>
  </si>
  <si>
    <t xml:space="preserve">BSX owner-FCF component DCF: bull case (millions, USD)</t>
  </si>
  <si>
    <t xml:space="preserve">BSX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</si>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</sst>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43.92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S2" s="0" t="n">
        <v>1668</v>
      </c>
      <c r="AA2" s="0" t="s">
        <v>17</v>
      </c>
      <c r="AB2" s="0" t="s">
        <v>14</v>
      </c>
    </row>
    <row r="3" customFormat="false" ht="15" hidden="false" customHeight="false" outlineLevel="0" collapsed="false">
      <c r="A3" s="0" t="s">
        <v>64</v>
      </c>
      <c r="B3" s="0" t="n">
        <v>8357</v>
      </c>
      <c r="C3" s="0" t="n">
        <v>2342</v>
      </c>
      <c r="D3" s="0" t="n">
        <v>6015</v>
      </c>
      <c r="E3" s="0" t="n">
        <v>71.9755893263133</v>
      </c>
      <c r="F3" s="0" t="n">
        <v>-14</v>
      </c>
      <c r="G3" s="0" t="n">
        <v>-0.167524231183439</v>
      </c>
      <c r="H3" s="0" t="n">
        <v>904</v>
      </c>
      <c r="I3" s="0" t="n">
        <v>-495</v>
      </c>
      <c r="J3" s="0" t="n">
        <v>-5.92317817398588</v>
      </c>
      <c r="K3" s="0" t="n">
        <v>-0.33</v>
      </c>
      <c r="L3" s="0" t="n">
        <v>934</v>
      </c>
      <c r="M3" s="0" t="n">
        <v>363</v>
      </c>
      <c r="N3" s="0" t="n">
        <v>571</v>
      </c>
      <c r="S3" s="0" t="n">
        <v>1452</v>
      </c>
      <c r="T3" s="0" t="n">
        <v>1486.9</v>
      </c>
      <c r="U3" s="0" t="n">
        <v>122</v>
      </c>
      <c r="AA3" s="0" t="s">
        <v>17</v>
      </c>
      <c r="AB3" s="0" t="s">
        <v>14</v>
      </c>
    </row>
    <row r="4" customFormat="false" ht="15" hidden="false" customHeight="false" outlineLevel="0" collapsed="false">
      <c r="A4" s="0" t="s">
        <v>65</v>
      </c>
      <c r="B4" s="0" t="n">
        <v>8050</v>
      </c>
      <c r="C4" s="0" t="n">
        <v>2469</v>
      </c>
      <c r="D4" s="0" t="n">
        <v>5581</v>
      </c>
      <c r="E4" s="0" t="n">
        <v>69.3291925465839</v>
      </c>
      <c r="F4" s="0" t="n">
        <v>-1505</v>
      </c>
      <c r="G4" s="0" t="n">
        <v>-18.695652173913</v>
      </c>
      <c r="H4" s="0" t="n">
        <v>-641</v>
      </c>
      <c r="I4" s="0" t="n">
        <v>-2036</v>
      </c>
      <c r="J4" s="0" t="n">
        <v>-25.2919254658385</v>
      </c>
      <c r="K4" s="0" t="n">
        <v>-1.36</v>
      </c>
      <c r="L4" s="0" t="n">
        <v>1216</v>
      </c>
      <c r="M4" s="0" t="n">
        <v>362</v>
      </c>
      <c r="N4" s="0" t="n">
        <v>854</v>
      </c>
      <c r="O4" s="0" t="n">
        <v>13174</v>
      </c>
      <c r="P4" s="0" t="n">
        <v>27139</v>
      </c>
      <c r="R4" s="0" t="n">
        <v>6745</v>
      </c>
      <c r="S4" s="0" t="n">
        <v>1641</v>
      </c>
      <c r="T4" s="0" t="n">
        <v>1498.5</v>
      </c>
      <c r="U4" s="0" t="n">
        <v>138</v>
      </c>
      <c r="AA4" s="0" t="s">
        <v>17</v>
      </c>
      <c r="AB4" s="0" t="s">
        <v>14</v>
      </c>
    </row>
    <row r="5" customFormat="false" ht="15" hidden="false" customHeight="false" outlineLevel="0" collapsed="false">
      <c r="A5" s="0" t="s">
        <v>66</v>
      </c>
      <c r="B5" s="0" t="n">
        <v>8188</v>
      </c>
      <c r="C5" s="0" t="n">
        <v>2576</v>
      </c>
      <c r="D5" s="0" t="n">
        <v>5612</v>
      </c>
      <c r="E5" s="0" t="n">
        <v>68.5393258426966</v>
      </c>
      <c r="F5" s="0" t="n">
        <v>-894</v>
      </c>
      <c r="G5" s="0" t="n">
        <v>-10.9184171958964</v>
      </c>
      <c r="H5" s="0" t="n">
        <v>-60</v>
      </c>
      <c r="I5" s="0" t="n">
        <v>-1025</v>
      </c>
      <c r="J5" s="0" t="n">
        <v>-12.5183194919394</v>
      </c>
      <c r="K5" s="0" t="n">
        <v>-0.68</v>
      </c>
      <c r="L5" s="0" t="n">
        <v>835</v>
      </c>
      <c r="M5" s="0" t="n">
        <v>312</v>
      </c>
      <c r="N5" s="0" t="n">
        <v>523</v>
      </c>
      <c r="O5" s="0" t="n">
        <v>12301</v>
      </c>
      <c r="P5" s="0" t="n">
        <v>25177</v>
      </c>
      <c r="R5" s="0" t="n">
        <v>5918</v>
      </c>
      <c r="S5" s="0" t="n">
        <v>864</v>
      </c>
      <c r="T5" s="0" t="n">
        <v>1507.9</v>
      </c>
      <c r="U5" s="0" t="n">
        <v>144</v>
      </c>
      <c r="AA5" s="0" t="s">
        <v>17</v>
      </c>
      <c r="AB5" s="0" t="s">
        <v>14</v>
      </c>
    </row>
    <row r="6" customFormat="false" ht="15" hidden="false" customHeight="false" outlineLevel="0" collapsed="false">
      <c r="A6" s="0" t="s">
        <v>67</v>
      </c>
      <c r="B6" s="0" t="n">
        <v>7806</v>
      </c>
      <c r="C6" s="0" t="n">
        <v>2599</v>
      </c>
      <c r="D6" s="0" t="n">
        <v>5207</v>
      </c>
      <c r="E6" s="0" t="n">
        <v>66.7050986420702</v>
      </c>
      <c r="F6" s="0" t="n">
        <v>-656</v>
      </c>
      <c r="G6" s="0" t="n">
        <v>-8.40379195490648</v>
      </c>
      <c r="H6" s="0" t="n">
        <v>160</v>
      </c>
      <c r="I6" s="0" t="n">
        <v>-1065</v>
      </c>
      <c r="J6" s="0" t="n">
        <v>-13.6433512682552</v>
      </c>
      <c r="K6" s="0" t="n">
        <v>-0.7</v>
      </c>
      <c r="L6" s="0" t="n">
        <v>325</v>
      </c>
      <c r="M6" s="0" t="n">
        <v>272</v>
      </c>
      <c r="N6" s="0" t="n">
        <v>53</v>
      </c>
      <c r="O6" s="0" t="n">
        <v>11296</v>
      </c>
      <c r="P6" s="0" t="n">
        <v>22128</v>
      </c>
      <c r="R6" s="0" t="n">
        <v>5438</v>
      </c>
      <c r="S6" s="0" t="n">
        <v>213</v>
      </c>
      <c r="T6" s="0" t="n">
        <v>1520.780112</v>
      </c>
      <c r="U6" s="0" t="n">
        <v>150</v>
      </c>
      <c r="AA6" s="0" t="s">
        <v>17</v>
      </c>
      <c r="AB6" s="0" t="s">
        <v>14</v>
      </c>
    </row>
    <row r="7" customFormat="false" ht="15" hidden="false" customHeight="false" outlineLevel="0" collapsed="false">
      <c r="A7" s="0" t="s">
        <v>68</v>
      </c>
      <c r="B7" s="0" t="n">
        <v>7622</v>
      </c>
      <c r="C7" s="0" t="n">
        <v>2659</v>
      </c>
      <c r="D7" s="0" t="n">
        <v>4963</v>
      </c>
      <c r="E7" s="0" t="n">
        <v>65.1141432694831</v>
      </c>
      <c r="F7" s="0" t="n">
        <v>904</v>
      </c>
      <c r="G7" s="0" t="n">
        <v>11.8604040934138</v>
      </c>
      <c r="H7" s="0" t="n">
        <v>1621</v>
      </c>
      <c r="I7" s="0" t="n">
        <v>441</v>
      </c>
      <c r="J7" s="0" t="n">
        <v>5.78588297034899</v>
      </c>
      <c r="K7" s="0" t="n">
        <v>0.29</v>
      </c>
      <c r="L7" s="0" t="n">
        <v>1008</v>
      </c>
      <c r="M7" s="0" t="n">
        <v>304</v>
      </c>
      <c r="N7" s="0" t="n">
        <v>704</v>
      </c>
      <c r="O7" s="0" t="n">
        <v>11353</v>
      </c>
      <c r="P7" s="0" t="n">
        <v>21290</v>
      </c>
      <c r="R7" s="0" t="n">
        <v>4261</v>
      </c>
      <c r="S7" s="0" t="n">
        <v>267</v>
      </c>
      <c r="T7" s="0" t="n">
        <v>1519</v>
      </c>
      <c r="U7" s="0" t="n">
        <v>128</v>
      </c>
      <c r="AA7" s="0" t="s">
        <v>17</v>
      </c>
      <c r="AB7" s="0" t="s">
        <v>14</v>
      </c>
    </row>
    <row r="8" customFormat="false" ht="15" hidden="false" customHeight="false" outlineLevel="0" collapsed="false">
      <c r="A8" s="0" t="s">
        <v>69</v>
      </c>
      <c r="B8" s="0" t="n">
        <v>7249</v>
      </c>
      <c r="C8" s="0" t="n">
        <v>2349</v>
      </c>
      <c r="D8" s="0" t="n">
        <v>4900</v>
      </c>
      <c r="E8" s="0" t="n">
        <v>67.5955304179887</v>
      </c>
      <c r="F8" s="0" t="n">
        <v>-3868</v>
      </c>
      <c r="G8" s="0" t="n">
        <v>-53.3590840115878</v>
      </c>
      <c r="H8" s="0" t="n">
        <v>-3185</v>
      </c>
      <c r="I8" s="0" t="n">
        <v>-4068</v>
      </c>
      <c r="J8" s="0" t="n">
        <v>-56.1180852531384</v>
      </c>
      <c r="K8" s="0" t="n">
        <v>-2.89</v>
      </c>
      <c r="L8" s="0" t="n">
        <v>1280</v>
      </c>
      <c r="M8" s="0" t="n">
        <v>226</v>
      </c>
      <c r="N8" s="0" t="n">
        <v>1054</v>
      </c>
      <c r="O8" s="0" t="n">
        <v>6870</v>
      </c>
      <c r="P8" s="0" t="n">
        <v>17154</v>
      </c>
      <c r="R8" s="0" t="n">
        <v>4256</v>
      </c>
      <c r="S8" s="0" t="n">
        <v>207</v>
      </c>
      <c r="T8" s="0" t="n">
        <v>1406.7</v>
      </c>
      <c r="U8" s="0" t="n">
        <v>108</v>
      </c>
      <c r="AA8" s="0" t="s">
        <v>17</v>
      </c>
      <c r="AB8" s="0" t="s">
        <v>14</v>
      </c>
    </row>
    <row r="9" customFormat="false" ht="15" hidden="false" customHeight="false" outlineLevel="0" collapsed="false">
      <c r="A9" s="0" t="s">
        <v>70</v>
      </c>
      <c r="B9" s="0" t="n">
        <v>7143</v>
      </c>
      <c r="C9" s="0" t="n">
        <v>2174</v>
      </c>
      <c r="D9" s="0" t="n">
        <v>4969</v>
      </c>
      <c r="E9" s="0" t="n">
        <v>69.5646087078259</v>
      </c>
      <c r="F9" s="0" t="n">
        <v>120</v>
      </c>
      <c r="G9" s="0" t="n">
        <v>1.67996640067199</v>
      </c>
      <c r="H9" s="0" t="n">
        <v>809</v>
      </c>
      <c r="I9" s="0" t="n">
        <v>-121</v>
      </c>
      <c r="J9" s="0" t="n">
        <v>-1.69396612067759</v>
      </c>
      <c r="K9" s="0" t="n">
        <v>-0.09</v>
      </c>
      <c r="L9" s="0" t="n">
        <v>1110</v>
      </c>
      <c r="M9" s="0" t="n">
        <v>245</v>
      </c>
      <c r="N9" s="0" t="n">
        <v>865</v>
      </c>
      <c r="O9" s="0" t="n">
        <v>6539</v>
      </c>
      <c r="P9" s="0" t="n">
        <v>16571</v>
      </c>
      <c r="R9" s="0" t="n">
        <v>4240</v>
      </c>
      <c r="S9" s="0" t="n">
        <v>217</v>
      </c>
      <c r="T9" s="0" t="n">
        <v>1341.2</v>
      </c>
      <c r="U9" s="0" t="n">
        <v>105</v>
      </c>
      <c r="AA9" s="0" t="s">
        <v>17</v>
      </c>
      <c r="AB9" s="0" t="s">
        <v>14</v>
      </c>
    </row>
    <row r="10" customFormat="false" ht="15" hidden="false" customHeight="false" outlineLevel="0" collapsed="false">
      <c r="A10" s="0" t="s">
        <v>71</v>
      </c>
      <c r="B10" s="0" t="n">
        <v>7462</v>
      </c>
      <c r="C10" s="0" t="n">
        <v>2210</v>
      </c>
      <c r="D10" s="0" t="n">
        <v>5170</v>
      </c>
      <c r="E10" s="0" t="n">
        <v>69.284374162423</v>
      </c>
      <c r="F10" s="0" t="n">
        <v>-301</v>
      </c>
      <c r="G10" s="0" t="n">
        <v>-4.03377110694184</v>
      </c>
      <c r="H10" s="0" t="n">
        <v>424</v>
      </c>
      <c r="I10" s="0" t="n">
        <v>-119</v>
      </c>
      <c r="J10" s="0" t="n">
        <v>-1.59474671669794</v>
      </c>
      <c r="K10" s="0" t="n">
        <v>-0.09</v>
      </c>
      <c r="L10" s="0" t="n">
        <v>1269</v>
      </c>
      <c r="M10" s="0" t="n">
        <v>259</v>
      </c>
      <c r="N10" s="0" t="n">
        <v>1010</v>
      </c>
      <c r="O10" s="0" t="n">
        <v>6457</v>
      </c>
      <c r="P10" s="0" t="n">
        <v>17024</v>
      </c>
      <c r="R10" s="0" t="n">
        <v>4244</v>
      </c>
      <c r="S10" s="0" t="n">
        <v>587</v>
      </c>
      <c r="T10" s="0" t="n">
        <v>1327.451966</v>
      </c>
      <c r="U10" s="0" t="n">
        <v>103</v>
      </c>
      <c r="AA10" s="0" t="s">
        <v>17</v>
      </c>
      <c r="AB10" s="0" t="s">
        <v>14</v>
      </c>
    </row>
    <row r="11" customFormat="false" ht="15" hidden="false" customHeight="false" outlineLevel="0" collapsed="false">
      <c r="A11" s="0" t="s">
        <v>72</v>
      </c>
      <c r="B11" s="0" t="n">
        <v>7477</v>
      </c>
      <c r="C11" s="0" t="n">
        <v>2173</v>
      </c>
      <c r="D11" s="0" t="n">
        <v>5304</v>
      </c>
      <c r="E11" s="0" t="n">
        <v>70.9375417948375</v>
      </c>
      <c r="F11" s="0" t="n">
        <v>-283</v>
      </c>
      <c r="G11" s="0" t="n">
        <v>-3.7849404841514</v>
      </c>
      <c r="H11" s="0" t="n">
        <v>486</v>
      </c>
      <c r="I11" s="0" t="n">
        <v>-239</v>
      </c>
      <c r="J11" s="0" t="n">
        <v>-3.19646917212786</v>
      </c>
      <c r="K11" s="0" t="n">
        <v>-0.18</v>
      </c>
      <c r="L11" s="0" t="n">
        <v>691</v>
      </c>
      <c r="M11" s="0" t="n">
        <v>247</v>
      </c>
      <c r="N11" s="0" t="n">
        <v>444</v>
      </c>
      <c r="O11" s="0" t="n">
        <v>6320</v>
      </c>
      <c r="P11" s="0" t="n">
        <v>18133</v>
      </c>
      <c r="R11" s="0" t="n">
        <v>5677</v>
      </c>
      <c r="S11" s="0" t="n">
        <v>319</v>
      </c>
      <c r="T11" s="0" t="n">
        <v>1346.647516</v>
      </c>
      <c r="U11" s="0" t="n">
        <v>107</v>
      </c>
      <c r="AA11" s="0" t="s">
        <v>17</v>
      </c>
      <c r="AB11" s="0" t="s">
        <v>14</v>
      </c>
    </row>
    <row r="12" customFormat="false" ht="15" hidden="false" customHeight="false" outlineLevel="0" collapsed="false">
      <c r="A12" s="0" t="s">
        <v>73</v>
      </c>
      <c r="B12" s="0" t="n">
        <v>8386</v>
      </c>
      <c r="C12" s="0" t="n">
        <v>2424</v>
      </c>
      <c r="D12" s="0" t="n">
        <v>5962</v>
      </c>
      <c r="E12" s="0" t="n">
        <v>71.0946816122108</v>
      </c>
      <c r="F12" s="0" t="n">
        <v>447</v>
      </c>
      <c r="G12" s="0" t="n">
        <v>5.33031242547102</v>
      </c>
      <c r="H12" s="0" t="n">
        <v>1262</v>
      </c>
      <c r="I12" s="0" t="n">
        <v>347</v>
      </c>
      <c r="J12" s="0" t="n">
        <v>4.13784879561173</v>
      </c>
      <c r="K12" s="0" t="n">
        <v>0.26</v>
      </c>
      <c r="L12" s="0" t="n">
        <v>1182</v>
      </c>
      <c r="M12" s="0" t="n">
        <v>376</v>
      </c>
      <c r="N12" s="0" t="n">
        <v>806</v>
      </c>
      <c r="O12" s="0" t="n">
        <v>6733</v>
      </c>
      <c r="P12" s="0" t="n">
        <v>18096</v>
      </c>
      <c r="R12" s="0" t="n">
        <v>5670</v>
      </c>
      <c r="S12" s="0" t="n">
        <v>196</v>
      </c>
      <c r="T12" s="0" t="n">
        <v>1377.2</v>
      </c>
      <c r="U12" s="0" t="n">
        <v>116</v>
      </c>
      <c r="AA12" s="0" t="s">
        <v>17</v>
      </c>
      <c r="AB12" s="0" t="s">
        <v>14</v>
      </c>
    </row>
    <row r="13" customFormat="false" ht="15" hidden="false" customHeight="false" outlineLevel="0" collapsed="false">
      <c r="A13" s="0" t="s">
        <v>74</v>
      </c>
      <c r="B13" s="0" t="n">
        <v>9048</v>
      </c>
      <c r="C13" s="0" t="n">
        <v>2593</v>
      </c>
      <c r="D13" s="0" t="n">
        <v>6455</v>
      </c>
      <c r="E13" s="0" t="n">
        <v>71.341732979664</v>
      </c>
      <c r="F13" s="0" t="n">
        <v>1285</v>
      </c>
      <c r="G13" s="0" t="n">
        <v>14.2020335985853</v>
      </c>
      <c r="H13" s="0" t="n">
        <v>2129</v>
      </c>
      <c r="I13" s="0" t="n">
        <v>104</v>
      </c>
      <c r="J13" s="0" t="n">
        <v>1.14942528735632</v>
      </c>
      <c r="K13" s="0" t="n">
        <v>0.08</v>
      </c>
      <c r="L13" s="0" t="n">
        <v>1426</v>
      </c>
      <c r="M13" s="0" t="n">
        <v>319</v>
      </c>
      <c r="N13" s="0" t="n">
        <v>1107</v>
      </c>
      <c r="O13" s="0" t="n">
        <v>7012</v>
      </c>
      <c r="P13" s="0" t="n">
        <v>19042</v>
      </c>
      <c r="R13" s="0" t="n">
        <v>5616</v>
      </c>
      <c r="S13" s="0" t="n">
        <v>188</v>
      </c>
      <c r="T13" s="0" t="n">
        <v>1392.7</v>
      </c>
      <c r="U13" s="0" t="n">
        <v>127</v>
      </c>
      <c r="AA13" s="0" t="s">
        <v>17</v>
      </c>
      <c r="AB13" s="0" t="s">
        <v>14</v>
      </c>
    </row>
    <row r="14" customFormat="false" ht="15" hidden="false" customHeight="false" outlineLevel="0" collapsed="false">
      <c r="A14" s="0" t="s">
        <v>75</v>
      </c>
      <c r="B14" s="0" t="n">
        <v>9823</v>
      </c>
      <c r="C14" s="0" t="n">
        <v>2813</v>
      </c>
      <c r="D14" s="0" t="n">
        <v>7011</v>
      </c>
      <c r="E14" s="0" t="n">
        <v>71.3733075435203</v>
      </c>
      <c r="F14" s="0" t="n">
        <v>1506</v>
      </c>
      <c r="G14" s="0" t="n">
        <v>15.331365163392</v>
      </c>
      <c r="H14" s="0" t="n">
        <v>2400</v>
      </c>
      <c r="I14" s="0" t="n">
        <v>1671</v>
      </c>
      <c r="J14" s="0" t="n">
        <v>17.0110964063932</v>
      </c>
      <c r="K14" s="0" t="n">
        <v>1.21</v>
      </c>
      <c r="L14" s="0" t="n">
        <v>310</v>
      </c>
      <c r="M14" s="0" t="n">
        <v>316</v>
      </c>
      <c r="N14" s="0" t="n">
        <v>-6</v>
      </c>
      <c r="O14" s="0" t="n">
        <v>8726</v>
      </c>
      <c r="P14" s="0" t="n">
        <v>20999</v>
      </c>
      <c r="R14" s="0" t="n">
        <v>7056</v>
      </c>
      <c r="S14" s="0" t="n">
        <v>146</v>
      </c>
      <c r="T14" s="0" t="n">
        <v>1401.4</v>
      </c>
      <c r="U14" s="0" t="n">
        <v>140</v>
      </c>
      <c r="AA14" s="0" t="s">
        <v>17</v>
      </c>
      <c r="AB14" s="0" t="s">
        <v>14</v>
      </c>
    </row>
    <row r="15" customFormat="false" ht="15" hidden="false" customHeight="false" outlineLevel="0" collapsed="false">
      <c r="A15" s="0" t="s">
        <v>76</v>
      </c>
      <c r="B15" s="0" t="n">
        <v>10735</v>
      </c>
      <c r="C15" s="0" t="n">
        <v>3116</v>
      </c>
      <c r="D15" s="0" t="n">
        <v>7620</v>
      </c>
      <c r="E15" s="0" t="n">
        <v>70.9827666511411</v>
      </c>
      <c r="F15" s="0" t="n">
        <v>1518</v>
      </c>
      <c r="G15" s="0" t="n">
        <v>14.1406613879832</v>
      </c>
      <c r="H15" s="0" t="n">
        <v>2529</v>
      </c>
      <c r="I15" s="0" t="n">
        <v>4700</v>
      </c>
      <c r="J15" s="0" t="n">
        <v>43.7820214252445</v>
      </c>
      <c r="K15" s="0" t="n">
        <v>3.38</v>
      </c>
      <c r="L15" s="0" t="n">
        <v>1836</v>
      </c>
      <c r="M15" s="0" t="n">
        <v>461</v>
      </c>
      <c r="N15" s="0" t="n">
        <v>1375</v>
      </c>
      <c r="O15" s="0" t="n">
        <v>13877</v>
      </c>
      <c r="P15" s="0" t="n">
        <v>30565</v>
      </c>
      <c r="R15" s="0" t="n">
        <v>10008</v>
      </c>
      <c r="S15" s="0" t="n">
        <v>217</v>
      </c>
      <c r="T15" s="0" t="n">
        <v>1410.6</v>
      </c>
      <c r="U15" s="0" t="n">
        <v>157</v>
      </c>
      <c r="AA15" s="0" t="s">
        <v>17</v>
      </c>
      <c r="AB15" s="0" t="s">
        <v>14</v>
      </c>
    </row>
    <row r="16" customFormat="false" ht="15" hidden="false" customHeight="false" outlineLevel="0" collapsed="false">
      <c r="A16" s="0" t="s">
        <v>77</v>
      </c>
      <c r="B16" s="0" t="n">
        <v>9913</v>
      </c>
      <c r="C16" s="0" t="n">
        <v>3465</v>
      </c>
      <c r="D16" s="0" t="n">
        <v>6448</v>
      </c>
      <c r="E16" s="0" t="n">
        <v>65.0458993241198</v>
      </c>
      <c r="F16" s="0" t="n">
        <v>-80</v>
      </c>
      <c r="G16" s="0" t="n">
        <v>-0.807021083425804</v>
      </c>
      <c r="H16" s="0" t="n">
        <v>1043</v>
      </c>
      <c r="I16" s="0" t="n">
        <v>-82</v>
      </c>
      <c r="J16" s="0" t="n">
        <v>-0.82719661051145</v>
      </c>
      <c r="K16" s="0" t="n">
        <v>-0.08</v>
      </c>
      <c r="L16" s="0" t="n">
        <v>1508</v>
      </c>
      <c r="M16" s="0" t="n">
        <v>376</v>
      </c>
      <c r="N16" s="0" t="n">
        <v>1132</v>
      </c>
      <c r="O16" s="0" t="n">
        <v>15326</v>
      </c>
      <c r="P16" s="0" t="n">
        <v>30777</v>
      </c>
      <c r="R16" s="0" t="n">
        <v>9143</v>
      </c>
      <c r="S16" s="0" t="n">
        <v>1734</v>
      </c>
      <c r="T16" s="0" t="n">
        <v>1416.7</v>
      </c>
      <c r="U16" s="0" t="n">
        <v>170</v>
      </c>
      <c r="AA16" s="0" t="s">
        <v>17</v>
      </c>
      <c r="AB16" s="0" t="s">
        <v>14</v>
      </c>
    </row>
    <row r="17" customFormat="false" ht="15" hidden="false" customHeight="false" outlineLevel="0" collapsed="false">
      <c r="A17" s="0" t="s">
        <v>78</v>
      </c>
      <c r="B17" s="0" t="n">
        <v>11888</v>
      </c>
      <c r="C17" s="0" t="n">
        <v>3711</v>
      </c>
      <c r="D17" s="0" t="n">
        <v>8177</v>
      </c>
      <c r="E17" s="0" t="n">
        <v>68.7836473755047</v>
      </c>
      <c r="F17" s="0" t="n">
        <v>1199</v>
      </c>
      <c r="G17" s="0" t="n">
        <v>10.085800807537</v>
      </c>
      <c r="H17" s="0" t="n">
        <v>2292</v>
      </c>
      <c r="I17" s="0" t="n">
        <v>1041</v>
      </c>
      <c r="J17" s="0" t="n">
        <v>8.75672947510094</v>
      </c>
      <c r="K17" s="0" t="n">
        <v>0.69</v>
      </c>
      <c r="L17" s="0" t="n">
        <v>1870</v>
      </c>
      <c r="M17" s="0" t="n">
        <v>554</v>
      </c>
      <c r="N17" s="0" t="n">
        <v>1316</v>
      </c>
      <c r="O17" s="0" t="n">
        <v>16622</v>
      </c>
      <c r="P17" s="0" t="n">
        <v>32229</v>
      </c>
      <c r="R17" s="0" t="n">
        <v>9065</v>
      </c>
      <c r="S17" s="0" t="n">
        <v>1925</v>
      </c>
      <c r="T17" s="0" t="n">
        <v>1433.8</v>
      </c>
      <c r="U17" s="0" t="n">
        <v>194</v>
      </c>
      <c r="AA17" s="0" t="s">
        <v>17</v>
      </c>
      <c r="AB17" s="0" t="s">
        <v>14</v>
      </c>
    </row>
    <row r="18" customFormat="false" ht="15" hidden="false" customHeight="false" outlineLevel="0" collapsed="false">
      <c r="A18" s="0" t="s">
        <v>79</v>
      </c>
      <c r="B18" s="0" t="n">
        <v>12682</v>
      </c>
      <c r="C18" s="0" t="n">
        <v>3956</v>
      </c>
      <c r="D18" s="0" t="n">
        <v>8727</v>
      </c>
      <c r="E18" s="0" t="n">
        <v>68.8140671818325</v>
      </c>
      <c r="F18" s="0" t="n">
        <v>1649</v>
      </c>
      <c r="G18" s="0" t="n">
        <v>13.0026809651475</v>
      </c>
      <c r="H18" s="0" t="n">
        <v>2785</v>
      </c>
      <c r="I18" s="0" t="n">
        <v>698</v>
      </c>
      <c r="J18" s="0" t="n">
        <v>5.50386374388898</v>
      </c>
      <c r="K18" s="0" t="n">
        <v>0.45</v>
      </c>
      <c r="L18" s="0" t="n">
        <v>1526</v>
      </c>
      <c r="M18" s="0" t="n">
        <v>588</v>
      </c>
      <c r="N18" s="0" t="n">
        <v>938</v>
      </c>
      <c r="O18" s="0" t="n">
        <v>17573</v>
      </c>
      <c r="P18" s="0" t="n">
        <v>32469</v>
      </c>
      <c r="R18" s="0" t="n">
        <v>8935</v>
      </c>
      <c r="S18" s="0" t="n">
        <v>928</v>
      </c>
      <c r="T18" s="0" t="n">
        <v>1439.7</v>
      </c>
      <c r="U18" s="0" t="n">
        <v>220</v>
      </c>
      <c r="AA18" s="0" t="s">
        <v>17</v>
      </c>
      <c r="AB18" s="0" t="s">
        <v>14</v>
      </c>
    </row>
    <row r="19" customFormat="false" ht="15" hidden="false" customHeight="false" outlineLevel="0" collapsed="false">
      <c r="A19" s="0" t="s">
        <v>80</v>
      </c>
      <c r="B19" s="0" t="n">
        <v>14240</v>
      </c>
      <c r="C19" s="0" t="n">
        <v>4345</v>
      </c>
      <c r="D19" s="0" t="n">
        <v>9896</v>
      </c>
      <c r="E19" s="0" t="n">
        <v>69.4943820224719</v>
      </c>
      <c r="F19" s="0" t="n">
        <v>2343</v>
      </c>
      <c r="G19" s="0" t="n">
        <v>16.4536516853933</v>
      </c>
      <c r="H19" s="0" t="n">
        <v>3539</v>
      </c>
      <c r="I19" s="0" t="n">
        <v>1592</v>
      </c>
      <c r="J19" s="0" t="n">
        <v>11.1797752808989</v>
      </c>
      <c r="K19" s="0" t="n">
        <v>1.08</v>
      </c>
      <c r="L19" s="0" t="n">
        <v>2503</v>
      </c>
      <c r="M19" s="0" t="n">
        <v>711</v>
      </c>
      <c r="N19" s="0" t="n">
        <v>1792</v>
      </c>
      <c r="O19" s="0" t="n">
        <v>19530</v>
      </c>
      <c r="P19" s="0" t="n">
        <v>35136</v>
      </c>
      <c r="R19" s="0" t="n">
        <v>9102</v>
      </c>
      <c r="S19" s="0" t="n">
        <v>865</v>
      </c>
      <c r="T19" s="0" t="n">
        <v>1463.5</v>
      </c>
      <c r="U19" s="0" t="n">
        <v>233</v>
      </c>
      <c r="AA19" s="0" t="s">
        <v>17</v>
      </c>
      <c r="AB19" s="0" t="s">
        <v>14</v>
      </c>
    </row>
    <row r="20" customFormat="false" ht="15" hidden="false" customHeight="false" outlineLevel="0" collapsed="false">
      <c r="A20" s="0" t="s">
        <v>81</v>
      </c>
      <c r="B20" s="0" t="n">
        <v>16747</v>
      </c>
      <c r="C20" s="0" t="n">
        <v>5257</v>
      </c>
      <c r="D20" s="0" t="n">
        <v>11490</v>
      </c>
      <c r="E20" s="0" t="n">
        <v>68.6093031587747</v>
      </c>
      <c r="F20" s="0" t="n">
        <v>2603</v>
      </c>
      <c r="G20" s="0" t="n">
        <v>15.5430823431062</v>
      </c>
      <c r="H20" s="0" t="n">
        <v>3872</v>
      </c>
      <c r="I20" s="0" t="n">
        <v>1846</v>
      </c>
      <c r="J20" s="0" t="n">
        <v>11.0228697677196</v>
      </c>
      <c r="K20" s="0" t="n">
        <v>1.26</v>
      </c>
      <c r="L20" s="0" t="n">
        <v>3435</v>
      </c>
      <c r="M20" s="0" t="n">
        <v>790</v>
      </c>
      <c r="N20" s="0" t="n">
        <v>2645</v>
      </c>
      <c r="O20" s="0" t="n">
        <v>22003</v>
      </c>
      <c r="P20" s="0" t="n">
        <v>39395</v>
      </c>
      <c r="R20" s="0" t="n">
        <v>10746</v>
      </c>
      <c r="S20" s="0" t="n">
        <v>414</v>
      </c>
      <c r="T20" s="0" t="n">
        <v>1485.9</v>
      </c>
      <c r="U20" s="0" t="n">
        <v>266</v>
      </c>
      <c r="AA20" s="0" t="s">
        <v>17</v>
      </c>
      <c r="AB20" s="0" t="s">
        <v>14</v>
      </c>
    </row>
    <row r="21" customFormat="false" ht="15" hidden="false" customHeight="false" outlineLevel="0" collapsed="false">
      <c r="A21" s="0" t="s">
        <v>82</v>
      </c>
      <c r="B21" s="0" t="n">
        <v>20074</v>
      </c>
      <c r="C21" s="0" t="n">
        <v>6221</v>
      </c>
      <c r="D21" s="0" t="n">
        <v>13854</v>
      </c>
      <c r="E21" s="0" t="n">
        <v>69.0146458105011</v>
      </c>
      <c r="F21" s="0" t="n">
        <v>3613</v>
      </c>
      <c r="G21" s="0" t="n">
        <v>17.9984058981768</v>
      </c>
      <c r="H21" s="0" t="n">
        <v>4981</v>
      </c>
      <c r="I21" s="0" t="n">
        <v>2892</v>
      </c>
      <c r="J21" s="0" t="n">
        <v>14.4066952276577</v>
      </c>
      <c r="K21" s="0" t="n">
        <v>1.96</v>
      </c>
      <c r="L21" s="0" t="n">
        <v>4534</v>
      </c>
      <c r="M21" s="0" t="n">
        <v>876</v>
      </c>
      <c r="N21" s="0" t="n">
        <v>3658</v>
      </c>
      <c r="O21" s="0" t="n">
        <v>24472</v>
      </c>
      <c r="P21" s="0" t="n">
        <v>43673</v>
      </c>
      <c r="R21" s="0" t="n">
        <v>11436</v>
      </c>
      <c r="S21" s="0" t="n">
        <v>1965</v>
      </c>
      <c r="T21" s="0" t="n">
        <v>1494.5</v>
      </c>
      <c r="U21" s="0" t="n">
        <v>299</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43.92</v>
      </c>
    </row>
    <row r="3" customFormat="false" ht="15" hidden="false" customHeight="false" outlineLevel="0" collapsed="false">
      <c r="A3" s="0" t="s">
        <v>86</v>
      </c>
      <c r="B3" s="3" t="n">
        <v>1474.8</v>
      </c>
    </row>
    <row r="4" customFormat="false" ht="15" hidden="false" customHeight="false" outlineLevel="0" collapsed="false">
      <c r="A4" s="0" t="s">
        <v>87</v>
      </c>
      <c r="B4" s="3" t="n">
        <v>12085</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20074</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1</v>
      </c>
      <c r="D13" s="3" t="n">
        <v>2</v>
      </c>
      <c r="E13" s="3" t="n">
        <v>2.5</v>
      </c>
      <c r="F13" s="3" t="n">
        <v>3</v>
      </c>
      <c r="G13" s="3" t="n">
        <v>3</v>
      </c>
      <c r="H13" s="3" t="n">
        <v>3</v>
      </c>
      <c r="I13" s="3" t="n">
        <v>2.8</v>
      </c>
      <c r="J13" s="3" t="n">
        <v>2.5</v>
      </c>
      <c r="K13" s="3" t="n">
        <v>2.5</v>
      </c>
      <c r="L13" s="3" t="n">
        <v>2.5</v>
      </c>
    </row>
    <row r="14" customFormat="false" ht="15" hidden="false" customHeight="false" outlineLevel="0" collapsed="false">
      <c r="A14" s="0" t="s">
        <v>107</v>
      </c>
      <c r="C14" s="3" t="n">
        <v>23.5</v>
      </c>
      <c r="D14" s="3" t="n">
        <v>23</v>
      </c>
      <c r="E14" s="3" t="n">
        <v>23</v>
      </c>
      <c r="F14" s="3" t="n">
        <v>23.5</v>
      </c>
      <c r="G14" s="3" t="n">
        <v>24</v>
      </c>
      <c r="H14" s="3" t="n">
        <v>24.5</v>
      </c>
      <c r="I14" s="3" t="n">
        <v>24.5</v>
      </c>
      <c r="J14" s="3" t="n">
        <v>24.5</v>
      </c>
      <c r="K14" s="3" t="n">
        <v>24.5</v>
      </c>
      <c r="L14" s="3" t="n">
        <v>24.5</v>
      </c>
    </row>
    <row r="15" customFormat="false" ht="15" hidden="false" customHeight="false" outlineLevel="0" collapsed="false">
      <c r="A15" s="0" t="s">
        <v>108</v>
      </c>
      <c r="C15" s="3" t="n">
        <v>1.6</v>
      </c>
      <c r="D15" s="3" t="n">
        <v>1.6</v>
      </c>
      <c r="E15" s="3" t="n">
        <v>1.55</v>
      </c>
      <c r="F15" s="3" t="n">
        <v>1.5</v>
      </c>
      <c r="G15" s="3" t="n">
        <v>1.5</v>
      </c>
      <c r="H15" s="3" t="n">
        <v>1.5</v>
      </c>
      <c r="I15" s="3" t="n">
        <v>1.5</v>
      </c>
      <c r="J15" s="3" t="n">
        <v>1.5</v>
      </c>
      <c r="K15" s="3" t="n">
        <v>1.5</v>
      </c>
      <c r="L15" s="3" t="n">
        <v>1.5</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7</v>
      </c>
      <c r="D17" s="3" t="n">
        <v>7</v>
      </c>
      <c r="E17" s="3" t="n">
        <v>6.8</v>
      </c>
      <c r="F17" s="3" t="n">
        <v>6.6</v>
      </c>
      <c r="G17" s="3" t="n">
        <v>6.5</v>
      </c>
      <c r="H17" s="3" t="n">
        <v>6.4</v>
      </c>
      <c r="I17" s="3" t="n">
        <v>6.4</v>
      </c>
      <c r="J17" s="3" t="n">
        <v>6.4</v>
      </c>
      <c r="K17" s="3" t="n">
        <v>6.4</v>
      </c>
      <c r="L17" s="3" t="n">
        <v>6.4</v>
      </c>
    </row>
    <row r="18" customFormat="false" ht="15" hidden="false" customHeight="false" outlineLevel="0" collapsed="false">
      <c r="A18" s="0" t="s">
        <v>111</v>
      </c>
      <c r="C18" s="3" t="n">
        <v>4.8</v>
      </c>
      <c r="D18" s="3" t="n">
        <v>4.8</v>
      </c>
      <c r="E18" s="3" t="n">
        <v>4.8</v>
      </c>
      <c r="F18" s="3" t="n">
        <v>4.7</v>
      </c>
      <c r="G18" s="3" t="n">
        <v>4.7</v>
      </c>
      <c r="H18" s="3" t="n">
        <v>4.6</v>
      </c>
      <c r="I18" s="3" t="n">
        <v>4.6</v>
      </c>
      <c r="J18" s="3" t="n">
        <v>4.6</v>
      </c>
      <c r="K18" s="3" t="n">
        <v>4.6</v>
      </c>
      <c r="L18" s="3" t="n">
        <v>4.6</v>
      </c>
    </row>
    <row r="19" customFormat="false" ht="15" hidden="false" customHeight="false" outlineLevel="0" collapsed="false">
      <c r="A19" s="0" t="s">
        <v>112</v>
      </c>
      <c r="C19" s="3" t="n">
        <v>20</v>
      </c>
      <c r="D19" s="3" t="n">
        <v>20.5</v>
      </c>
      <c r="E19" s="3" t="n">
        <v>21</v>
      </c>
      <c r="F19" s="3" t="n">
        <v>21</v>
      </c>
      <c r="G19" s="3" t="n">
        <v>21</v>
      </c>
      <c r="H19" s="3" t="n">
        <v>21</v>
      </c>
      <c r="I19" s="3" t="n">
        <v>21</v>
      </c>
      <c r="J19" s="3" t="n">
        <v>21</v>
      </c>
      <c r="K19" s="3" t="n">
        <v>21</v>
      </c>
      <c r="L19" s="3" t="n">
        <v>21</v>
      </c>
    </row>
    <row r="20" customFormat="false" ht="15" hidden="false" customHeight="false" outlineLevel="0" collapsed="false">
      <c r="A20" s="0" t="s">
        <v>113</v>
      </c>
      <c r="B20" s="3" t="n">
        <v>9.5</v>
      </c>
    </row>
    <row r="21" customFormat="false" ht="15" hidden="false" customHeight="false" outlineLevel="0" collapsed="false">
      <c r="A21" s="0" t="s">
        <v>114</v>
      </c>
      <c r="B21" s="3" t="n">
        <v>2</v>
      </c>
    </row>
    <row r="22" customFormat="false" ht="15" hidden="false" customHeight="false" outlineLevel="0" collapsed="false">
      <c r="A22" s="0" t="s">
        <v>115</v>
      </c>
      <c r="B22" s="3" t="n">
        <v>14</v>
      </c>
    </row>
    <row r="23" customFormat="false" ht="15" hidden="false" customHeight="false" outlineLevel="0" collapsed="false">
      <c r="A23" s="0" t="s">
        <v>116</v>
      </c>
      <c r="B23" s="3" t="n">
        <v>-10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5</v>
      </c>
      <c r="D27" s="3" t="n">
        <v>6.5</v>
      </c>
      <c r="E27" s="3" t="n">
        <v>7</v>
      </c>
      <c r="F27" s="3" t="n">
        <v>6.5</v>
      </c>
      <c r="G27" s="3" t="n">
        <v>6</v>
      </c>
      <c r="H27" s="3" t="n">
        <v>5</v>
      </c>
      <c r="I27" s="3" t="n">
        <v>4.5</v>
      </c>
      <c r="J27" s="3" t="n">
        <v>4</v>
      </c>
      <c r="K27" s="3" t="n">
        <v>3.5</v>
      </c>
      <c r="L27" s="3" t="n">
        <v>3</v>
      </c>
    </row>
    <row r="28" customFormat="false" ht="15" hidden="false" customHeight="false" outlineLevel="0" collapsed="false">
      <c r="A28" s="0" t="s">
        <v>107</v>
      </c>
      <c r="C28" s="3" t="n">
        <v>25.5</v>
      </c>
      <c r="D28" s="3" t="n">
        <v>26</v>
      </c>
      <c r="E28" s="3" t="n">
        <v>26.5</v>
      </c>
      <c r="F28" s="3" t="n">
        <v>27</v>
      </c>
      <c r="G28" s="3" t="n">
        <v>27.3</v>
      </c>
      <c r="H28" s="3" t="n">
        <v>27.5</v>
      </c>
      <c r="I28" s="3" t="n">
        <v>27.5</v>
      </c>
      <c r="J28" s="3" t="n">
        <v>27.5</v>
      </c>
      <c r="K28" s="3" t="n">
        <v>27.5</v>
      </c>
      <c r="L28" s="3" t="n">
        <v>27.5</v>
      </c>
    </row>
    <row r="29" customFormat="false" ht="15" hidden="false" customHeight="false" outlineLevel="0" collapsed="false">
      <c r="A29" s="0" t="s">
        <v>108</v>
      </c>
      <c r="C29" s="3" t="n">
        <v>1.49</v>
      </c>
      <c r="D29" s="3" t="n">
        <v>1.47</v>
      </c>
      <c r="E29" s="3" t="n">
        <v>1.45</v>
      </c>
      <c r="F29" s="3" t="n">
        <v>1.43</v>
      </c>
      <c r="G29" s="3" t="n">
        <v>1.41</v>
      </c>
      <c r="H29" s="3" t="n">
        <v>1.4</v>
      </c>
      <c r="I29" s="3" t="n">
        <v>1.4</v>
      </c>
      <c r="J29" s="3" t="n">
        <v>1.4</v>
      </c>
      <c r="K29" s="3" t="n">
        <v>1.4</v>
      </c>
      <c r="L29" s="3" t="n">
        <v>1.4</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6.6</v>
      </c>
      <c r="D31" s="3" t="n">
        <v>6.4</v>
      </c>
      <c r="E31" s="3" t="n">
        <v>6.2</v>
      </c>
      <c r="F31" s="3" t="n">
        <v>6</v>
      </c>
      <c r="G31" s="3" t="n">
        <v>5.9</v>
      </c>
      <c r="H31" s="3" t="n">
        <v>5.8</v>
      </c>
      <c r="I31" s="3" t="n">
        <v>5.8</v>
      </c>
      <c r="J31" s="3" t="n">
        <v>5.8</v>
      </c>
      <c r="K31" s="3" t="n">
        <v>5.8</v>
      </c>
      <c r="L31" s="3" t="n">
        <v>5.8</v>
      </c>
    </row>
    <row r="32" customFormat="false" ht="15" hidden="false" customHeight="false" outlineLevel="0" collapsed="false">
      <c r="A32" s="0" t="s">
        <v>111</v>
      </c>
      <c r="C32" s="3" t="n">
        <v>4.6</v>
      </c>
      <c r="D32" s="3" t="n">
        <v>4.6</v>
      </c>
      <c r="E32" s="3" t="n">
        <v>4.6</v>
      </c>
      <c r="F32" s="3" t="n">
        <v>4.6</v>
      </c>
      <c r="G32" s="3" t="n">
        <v>4.6</v>
      </c>
      <c r="H32" s="3" t="n">
        <v>4.6</v>
      </c>
      <c r="I32" s="3" t="n">
        <v>4.6</v>
      </c>
      <c r="J32" s="3" t="n">
        <v>4.6</v>
      </c>
      <c r="K32" s="3" t="n">
        <v>4.6</v>
      </c>
      <c r="L32" s="3" t="n">
        <v>4.6</v>
      </c>
    </row>
    <row r="33" customFormat="false" ht="15" hidden="false" customHeight="false" outlineLevel="0" collapsed="false">
      <c r="A33" s="0" t="s">
        <v>112</v>
      </c>
      <c r="C33" s="3" t="n">
        <v>19</v>
      </c>
      <c r="D33" s="3" t="n">
        <v>19.5</v>
      </c>
      <c r="E33" s="3" t="n">
        <v>20</v>
      </c>
      <c r="F33" s="3" t="n">
        <v>20</v>
      </c>
      <c r="G33" s="3" t="n">
        <v>20</v>
      </c>
      <c r="H33" s="3" t="n">
        <v>20</v>
      </c>
      <c r="I33" s="3" t="n">
        <v>20</v>
      </c>
      <c r="J33" s="3" t="n">
        <v>20</v>
      </c>
      <c r="K33" s="3" t="n">
        <v>20</v>
      </c>
      <c r="L33" s="3" t="n">
        <v>20</v>
      </c>
    </row>
    <row r="34" customFormat="false" ht="15" hidden="false" customHeight="false" outlineLevel="0" collapsed="false">
      <c r="A34" s="0" t="s">
        <v>113</v>
      </c>
      <c r="B34" s="3" t="n">
        <v>8.5</v>
      </c>
    </row>
    <row r="35" customFormat="false" ht="15" hidden="false" customHeight="false" outlineLevel="0" collapsed="false">
      <c r="A35" s="0" t="s">
        <v>114</v>
      </c>
      <c r="B35" s="3" t="n">
        <v>3</v>
      </c>
    </row>
    <row r="36" customFormat="false" ht="15" hidden="false" customHeight="false" outlineLevel="0" collapsed="false">
      <c r="A36" s="0" t="s">
        <v>115</v>
      </c>
      <c r="B36" s="3" t="n">
        <v>18</v>
      </c>
    </row>
    <row r="37" customFormat="false" ht="15" hidden="false" customHeight="false" outlineLevel="0" collapsed="false">
      <c r="A37" s="0" t="s">
        <v>116</v>
      </c>
      <c r="B37" s="3" t="n">
        <v>-8</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7</v>
      </c>
      <c r="D41" s="3" t="n">
        <v>9</v>
      </c>
      <c r="E41" s="3" t="n">
        <v>9.5</v>
      </c>
      <c r="F41" s="3" t="n">
        <v>9</v>
      </c>
      <c r="G41" s="3" t="n">
        <v>8</v>
      </c>
      <c r="H41" s="3" t="n">
        <v>7</v>
      </c>
      <c r="I41" s="3" t="n">
        <v>6</v>
      </c>
      <c r="J41" s="3" t="n">
        <v>5</v>
      </c>
      <c r="K41" s="3" t="n">
        <v>4</v>
      </c>
      <c r="L41" s="3" t="n">
        <v>3.5</v>
      </c>
    </row>
    <row r="42" customFormat="false" ht="15" hidden="false" customHeight="false" outlineLevel="0" collapsed="false">
      <c r="A42" s="0" t="s">
        <v>107</v>
      </c>
      <c r="C42" s="3" t="n">
        <v>26.5</v>
      </c>
      <c r="D42" s="3" t="n">
        <v>27.5</v>
      </c>
      <c r="E42" s="3" t="n">
        <v>28.5</v>
      </c>
      <c r="F42" s="3" t="n">
        <v>29.5</v>
      </c>
      <c r="G42" s="3" t="n">
        <v>30</v>
      </c>
      <c r="H42" s="3" t="n">
        <v>30.5</v>
      </c>
      <c r="I42" s="3" t="n">
        <v>30.5</v>
      </c>
      <c r="J42" s="3" t="n">
        <v>30.5</v>
      </c>
      <c r="K42" s="3" t="n">
        <v>30.5</v>
      </c>
      <c r="L42" s="3" t="n">
        <v>30.5</v>
      </c>
    </row>
    <row r="43" customFormat="false" ht="15" hidden="false" customHeight="false" outlineLevel="0" collapsed="false">
      <c r="A43" s="0" t="s">
        <v>108</v>
      </c>
      <c r="C43" s="3" t="n">
        <v>1.45</v>
      </c>
      <c r="D43" s="3" t="n">
        <v>1.4</v>
      </c>
      <c r="E43" s="3" t="n">
        <v>1.35</v>
      </c>
      <c r="F43" s="3" t="n">
        <v>1.3</v>
      </c>
      <c r="G43" s="3" t="n">
        <v>1.25</v>
      </c>
      <c r="H43" s="3" t="n">
        <v>1.2</v>
      </c>
      <c r="I43" s="3" t="n">
        <v>1.2</v>
      </c>
      <c r="J43" s="3" t="n">
        <v>1.2</v>
      </c>
      <c r="K43" s="3" t="n">
        <v>1.2</v>
      </c>
      <c r="L43" s="3" t="n">
        <v>1.2</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6.4</v>
      </c>
      <c r="D45" s="3" t="n">
        <v>6</v>
      </c>
      <c r="E45" s="3" t="n">
        <v>5.7</v>
      </c>
      <c r="F45" s="3" t="n">
        <v>5.5</v>
      </c>
      <c r="G45" s="3" t="n">
        <v>5.3</v>
      </c>
      <c r="H45" s="3" t="n">
        <v>5.2</v>
      </c>
      <c r="I45" s="3" t="n">
        <v>5.2</v>
      </c>
      <c r="J45" s="3" t="n">
        <v>5.2</v>
      </c>
      <c r="K45" s="3" t="n">
        <v>5.2</v>
      </c>
      <c r="L45" s="3" t="n">
        <v>5.2</v>
      </c>
    </row>
    <row r="46" customFormat="false" ht="15" hidden="false" customHeight="false" outlineLevel="0" collapsed="false">
      <c r="A46" s="0" t="s">
        <v>111</v>
      </c>
      <c r="C46" s="3" t="n">
        <v>4.6</v>
      </c>
      <c r="D46" s="3" t="n">
        <v>4.6</v>
      </c>
      <c r="E46" s="3" t="n">
        <v>4.6</v>
      </c>
      <c r="F46" s="3" t="n">
        <v>4.5</v>
      </c>
      <c r="G46" s="3" t="n">
        <v>4.5</v>
      </c>
      <c r="H46" s="3" t="n">
        <v>4.5</v>
      </c>
      <c r="I46" s="3" t="n">
        <v>4.5</v>
      </c>
      <c r="J46" s="3" t="n">
        <v>4.5</v>
      </c>
      <c r="K46" s="3" t="n">
        <v>4.5</v>
      </c>
      <c r="L46" s="3" t="n">
        <v>4.5</v>
      </c>
    </row>
    <row r="47" customFormat="false" ht="15" hidden="false" customHeight="false" outlineLevel="0" collapsed="false">
      <c r="A47" s="0" t="s">
        <v>112</v>
      </c>
      <c r="C47" s="3" t="n">
        <v>18.5</v>
      </c>
      <c r="D47" s="3" t="n">
        <v>18.5</v>
      </c>
      <c r="E47" s="3" t="n">
        <v>19</v>
      </c>
      <c r="F47" s="3" t="n">
        <v>19</v>
      </c>
      <c r="G47" s="3" t="n">
        <v>19.5</v>
      </c>
      <c r="H47" s="3" t="n">
        <v>19.5</v>
      </c>
      <c r="I47" s="3" t="n">
        <v>19.5</v>
      </c>
      <c r="J47" s="3" t="n">
        <v>19.5</v>
      </c>
      <c r="K47" s="3" t="n">
        <v>19.5</v>
      </c>
      <c r="L47" s="3" t="n">
        <v>19.5</v>
      </c>
    </row>
    <row r="48" customFormat="false" ht="15" hidden="false" customHeight="false" outlineLevel="0" collapsed="false">
      <c r="A48" s="0" t="s">
        <v>113</v>
      </c>
      <c r="B48" s="3" t="n">
        <v>8</v>
      </c>
    </row>
    <row r="49" customFormat="false" ht="15" hidden="false" customHeight="false" outlineLevel="0" collapsed="false">
      <c r="A49" s="0" t="s">
        <v>114</v>
      </c>
      <c r="B49" s="3" t="n">
        <v>3.5</v>
      </c>
    </row>
    <row r="50" customFormat="false" ht="15" hidden="false" customHeight="false" outlineLevel="0" collapsed="false">
      <c r="A50" s="0" t="s">
        <v>115</v>
      </c>
      <c r="B50" s="3" t="n">
        <v>20</v>
      </c>
    </row>
    <row r="51" customFormat="false" ht="15" hidden="false" customHeight="false" outlineLevel="0" collapsed="false">
      <c r="A51" s="0" t="s">
        <v>116</v>
      </c>
      <c r="B51" s="3" t="n">
        <v>-6</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1</v>
      </c>
      <c r="D5" s="4" t="n">
        <f aca="false">Assumptions!D13</f>
        <v>2</v>
      </c>
      <c r="E5" s="4" t="n">
        <f aca="false">Assumptions!E13</f>
        <v>2.5</v>
      </c>
      <c r="F5" s="4" t="n">
        <f aca="false">Assumptions!F13</f>
        <v>3</v>
      </c>
      <c r="G5" s="4" t="n">
        <f aca="false">Assumptions!G13</f>
        <v>3</v>
      </c>
      <c r="H5" s="4" t="n">
        <f aca="false">Assumptions!H13</f>
        <v>3</v>
      </c>
      <c r="I5" s="4" t="n">
        <f aca="false">Assumptions!I13</f>
        <v>2.8</v>
      </c>
      <c r="J5" s="4" t="n">
        <f aca="false">Assumptions!J13</f>
        <v>2.5</v>
      </c>
      <c r="K5" s="4" t="n">
        <f aca="false">Assumptions!K13</f>
        <v>2.5</v>
      </c>
      <c r="L5" s="4" t="n">
        <f aca="false">Assumptions!L13</f>
        <v>2.5</v>
      </c>
    </row>
    <row r="6" customFormat="false" ht="15" hidden="false" customHeight="false" outlineLevel="0" collapsed="false">
      <c r="A6" s="0" t="s">
        <v>37</v>
      </c>
      <c r="B6" s="3" t="n">
        <v>20074</v>
      </c>
      <c r="C6" s="0" t="n">
        <f aca="false">B6*(1+C5/100)</f>
        <v>20274.74</v>
      </c>
      <c r="D6" s="0" t="n">
        <f aca="false">C6*(1+D5/100)</f>
        <v>20680.2348</v>
      </c>
      <c r="E6" s="0" t="n">
        <f aca="false">D6*(1+E5/100)</f>
        <v>21197.24067</v>
      </c>
      <c r="F6" s="0" t="n">
        <f aca="false">E6*(1+F5/100)</f>
        <v>21833.1578901</v>
      </c>
      <c r="G6" s="0" t="n">
        <f aca="false">F6*(1+G5/100)</f>
        <v>22488.152626803</v>
      </c>
      <c r="H6" s="0" t="n">
        <f aca="false">G6*(1+H5/100)</f>
        <v>23162.7972056071</v>
      </c>
      <c r="I6" s="0" t="n">
        <f aca="false">H6*(1+I5/100)</f>
        <v>23811.3555273641</v>
      </c>
      <c r="J6" s="0" t="n">
        <f aca="false">I6*(1+J5/100)</f>
        <v>24406.6394155482</v>
      </c>
      <c r="K6" s="0" t="n">
        <f aca="false">J6*(1+K5/100)</f>
        <v>25016.8054009369</v>
      </c>
      <c r="L6" s="0" t="n">
        <f aca="false">K6*(1+L5/100)</f>
        <v>25642.2255359603</v>
      </c>
    </row>
    <row r="7" customFormat="false" ht="15" hidden="false" customHeight="false" outlineLevel="0" collapsed="false">
      <c r="A7" s="0" t="s">
        <v>107</v>
      </c>
      <c r="C7" s="4" t="n">
        <f aca="false">Assumptions!C14</f>
        <v>23.5</v>
      </c>
      <c r="D7" s="4" t="n">
        <f aca="false">Assumptions!D14</f>
        <v>23</v>
      </c>
      <c r="E7" s="4" t="n">
        <f aca="false">Assumptions!E14</f>
        <v>23</v>
      </c>
      <c r="F7" s="4" t="n">
        <f aca="false">Assumptions!F14</f>
        <v>23.5</v>
      </c>
      <c r="G7" s="4" t="n">
        <f aca="false">Assumptions!G14</f>
        <v>24</v>
      </c>
      <c r="H7" s="4" t="n">
        <f aca="false">Assumptions!H14</f>
        <v>24.5</v>
      </c>
      <c r="I7" s="4" t="n">
        <f aca="false">Assumptions!I14</f>
        <v>24.5</v>
      </c>
      <c r="J7" s="4" t="n">
        <f aca="false">Assumptions!J14</f>
        <v>24.5</v>
      </c>
      <c r="K7" s="4" t="n">
        <f aca="false">Assumptions!K14</f>
        <v>24.5</v>
      </c>
      <c r="L7" s="4" t="n">
        <f aca="false">Assumptions!L14</f>
        <v>24.5</v>
      </c>
    </row>
    <row r="8" customFormat="false" ht="15" hidden="false" customHeight="false" outlineLevel="0" collapsed="false">
      <c r="A8" s="0" t="s">
        <v>43</v>
      </c>
      <c r="C8" s="0" t="n">
        <f aca="false">C6*C7/100</f>
        <v>4764.5639</v>
      </c>
      <c r="D8" s="0" t="n">
        <f aca="false">D6*D7/100</f>
        <v>4756.454004</v>
      </c>
      <c r="E8" s="0" t="n">
        <f aca="false">E6*E7/100</f>
        <v>4875.3653541</v>
      </c>
      <c r="F8" s="0" t="n">
        <f aca="false">F6*F7/100</f>
        <v>5130.7921041735</v>
      </c>
      <c r="G8" s="0" t="n">
        <f aca="false">G6*G7/100</f>
        <v>5397.15663043272</v>
      </c>
      <c r="H8" s="0" t="n">
        <f aca="false">H6*H7/100</f>
        <v>5674.88531537374</v>
      </c>
      <c r="I8" s="0" t="n">
        <f aca="false">I6*I7/100</f>
        <v>5833.7821042042</v>
      </c>
      <c r="J8" s="0" t="n">
        <f aca="false">J6*J7/100</f>
        <v>5979.62665680931</v>
      </c>
      <c r="K8" s="0" t="n">
        <f aca="false">K6*K7/100</f>
        <v>6129.11732322954</v>
      </c>
      <c r="L8" s="0" t="n">
        <f aca="false">L6*L7/100</f>
        <v>6282.34525631028</v>
      </c>
    </row>
    <row r="9" customFormat="false" ht="15" hidden="false" customHeight="false" outlineLevel="0" collapsed="false">
      <c r="A9" s="0" t="s">
        <v>108</v>
      </c>
      <c r="C9" s="4" t="n">
        <f aca="false">Assumptions!C15</f>
        <v>1.6</v>
      </c>
      <c r="D9" s="4" t="n">
        <f aca="false">Assumptions!D15</f>
        <v>1.6</v>
      </c>
      <c r="E9" s="4" t="n">
        <f aca="false">Assumptions!E15</f>
        <v>1.55</v>
      </c>
      <c r="F9" s="4" t="n">
        <f aca="false">Assumptions!F15</f>
        <v>1.5</v>
      </c>
      <c r="G9" s="4" t="n">
        <f aca="false">Assumptions!G15</f>
        <v>1.5</v>
      </c>
      <c r="H9" s="4" t="n">
        <f aca="false">Assumptions!H15</f>
        <v>1.5</v>
      </c>
      <c r="I9" s="4" t="n">
        <f aca="false">Assumptions!I15</f>
        <v>1.5</v>
      </c>
      <c r="J9" s="4" t="n">
        <f aca="false">Assumptions!J15</f>
        <v>1.5</v>
      </c>
      <c r="K9" s="4" t="n">
        <f aca="false">Assumptions!K15</f>
        <v>1.5</v>
      </c>
      <c r="L9" s="4" t="n">
        <f aca="false">Assumptions!L15</f>
        <v>1.5</v>
      </c>
    </row>
    <row r="10" customFormat="false" ht="15" hidden="false" customHeight="false" outlineLevel="0" collapsed="false">
      <c r="A10" s="0" t="s">
        <v>123</v>
      </c>
      <c r="C10" s="0" t="n">
        <f aca="false">-C6*C9/100</f>
        <v>-324.39584</v>
      </c>
      <c r="D10" s="0" t="n">
        <f aca="false">-D6*D9/100</f>
        <v>-330.8837568</v>
      </c>
      <c r="E10" s="0" t="n">
        <f aca="false">-E6*E9/100</f>
        <v>-328.557230385</v>
      </c>
      <c r="F10" s="0" t="n">
        <f aca="false">-F6*F9/100</f>
        <v>-327.4973683515</v>
      </c>
      <c r="G10" s="0" t="n">
        <f aca="false">-G6*G9/100</f>
        <v>-337.322289402045</v>
      </c>
      <c r="H10" s="0" t="n">
        <f aca="false">-H6*H9/100</f>
        <v>-347.441958084106</v>
      </c>
      <c r="I10" s="0" t="n">
        <f aca="false">-I6*I9/100</f>
        <v>-357.170332910461</v>
      </c>
      <c r="J10" s="0" t="n">
        <f aca="false">-J6*J9/100</f>
        <v>-366.099591233223</v>
      </c>
      <c r="K10" s="0" t="n">
        <f aca="false">-K6*K9/100</f>
        <v>-375.252081014053</v>
      </c>
      <c r="L10" s="0" t="n">
        <f aca="false">-L6*L9/100</f>
        <v>-384.633383039405</v>
      </c>
    </row>
    <row r="11" customFormat="false" ht="15" hidden="false" customHeight="false" outlineLevel="0" collapsed="false">
      <c r="A11" s="0" t="s">
        <v>124</v>
      </c>
      <c r="C11" s="0" t="n">
        <f aca="false">C8+C10+C24</f>
        <v>4440.16806</v>
      </c>
      <c r="D11" s="0" t="n">
        <f aca="false">D8+D10+D24</f>
        <v>4425.5702472</v>
      </c>
      <c r="E11" s="0" t="n">
        <f aca="false">E8+E10+E24</f>
        <v>4546.808123715</v>
      </c>
      <c r="F11" s="0" t="n">
        <f aca="false">F8+F10+F24</f>
        <v>4803.294735822</v>
      </c>
      <c r="G11" s="0" t="n">
        <f aca="false">G8+G10+G24</f>
        <v>5059.83434103068</v>
      </c>
      <c r="H11" s="0" t="n">
        <f aca="false">H8+H10+H24</f>
        <v>5327.44335728963</v>
      </c>
      <c r="I11" s="0" t="n">
        <f aca="false">I8+I10+I24</f>
        <v>5476.61177129374</v>
      </c>
      <c r="J11" s="0" t="n">
        <f aca="false">J8+J10+J24</f>
        <v>5613.52706557608</v>
      </c>
      <c r="K11" s="0" t="n">
        <f aca="false">K8+K10+K24</f>
        <v>5753.86524221549</v>
      </c>
      <c r="L11" s="0" t="n">
        <f aca="false">L8+L10+L24</f>
        <v>5897.71187327087</v>
      </c>
    </row>
    <row r="12" customFormat="false" ht="15" hidden="false" customHeight="false" outlineLevel="0" collapsed="false">
      <c r="A12" s="0" t="s">
        <v>125</v>
      </c>
      <c r="C12" s="4" t="n">
        <f aca="false">-C6*Assumptions!C17/100</f>
        <v>-1419.2318</v>
      </c>
      <c r="D12" s="4" t="n">
        <f aca="false">-D6*Assumptions!D17/100</f>
        <v>-1447.616436</v>
      </c>
      <c r="E12" s="4" t="n">
        <f aca="false">-E6*Assumptions!E17/100</f>
        <v>-1441.41236556</v>
      </c>
      <c r="F12" s="4" t="n">
        <f aca="false">-F6*Assumptions!F17/100</f>
        <v>-1440.9884207466</v>
      </c>
      <c r="G12" s="4" t="n">
        <f aca="false">-G6*Assumptions!G17/100</f>
        <v>-1461.7299207422</v>
      </c>
      <c r="H12" s="4" t="n">
        <f aca="false">-H6*Assumptions!H17/100</f>
        <v>-1482.41902115885</v>
      </c>
      <c r="I12" s="4" t="n">
        <f aca="false">-I6*Assumptions!I17/100</f>
        <v>-1523.9267537513</v>
      </c>
      <c r="J12" s="4" t="n">
        <f aca="false">-J6*Assumptions!J17/100</f>
        <v>-1562.02492259508</v>
      </c>
      <c r="K12" s="4" t="n">
        <f aca="false">-K6*Assumptions!K17/100</f>
        <v>-1601.07554565996</v>
      </c>
      <c r="L12" s="4" t="n">
        <f aca="false">-L6*Assumptions!L17/100</f>
        <v>-1641.10243430146</v>
      </c>
    </row>
    <row r="13" customFormat="false" ht="15" hidden="false" customHeight="false" outlineLevel="0" collapsed="false">
      <c r="A13" s="0" t="s">
        <v>126</v>
      </c>
      <c r="C13" s="0" t="n">
        <f aca="false">C11+C12</f>
        <v>3020.93626</v>
      </c>
      <c r="D13" s="0" t="n">
        <f aca="false">D11+D12</f>
        <v>2977.9538112</v>
      </c>
      <c r="E13" s="0" t="n">
        <f aca="false">E11+E12</f>
        <v>3105.395758155</v>
      </c>
      <c r="F13" s="0" t="n">
        <f aca="false">F11+F12</f>
        <v>3362.3063150754</v>
      </c>
      <c r="G13" s="0" t="n">
        <f aca="false">G11+G12</f>
        <v>3598.10442028848</v>
      </c>
      <c r="H13" s="0" t="n">
        <f aca="false">H11+H12</f>
        <v>3845.02433613078</v>
      </c>
      <c r="I13" s="0" t="n">
        <f aca="false">I11+I12</f>
        <v>3952.68501754244</v>
      </c>
      <c r="J13" s="0" t="n">
        <f aca="false">J11+J12</f>
        <v>4051.502142981</v>
      </c>
      <c r="K13" s="0" t="n">
        <f aca="false">K11+K12</f>
        <v>4152.78969655553</v>
      </c>
      <c r="L13" s="0" t="n">
        <f aca="false">L11+L12</f>
        <v>4256.60943896941</v>
      </c>
    </row>
    <row r="14" customFormat="false" ht="15" hidden="false" customHeight="false" outlineLevel="0" collapsed="false">
      <c r="A14" s="0" t="s">
        <v>112</v>
      </c>
      <c r="C14" s="4" t="n">
        <f aca="false">Assumptions!C19</f>
        <v>20</v>
      </c>
      <c r="D14" s="4" t="n">
        <f aca="false">Assumptions!D19</f>
        <v>20.5</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127</v>
      </c>
      <c r="C15" s="0" t="n">
        <f aca="false">C13-MAX(0,C13)*C14/100</f>
        <v>2416.749008</v>
      </c>
      <c r="D15" s="0" t="n">
        <f aca="false">D13-MAX(0,D13)*D14/100</f>
        <v>2367.473279904</v>
      </c>
      <c r="E15" s="0" t="n">
        <f aca="false">E13-MAX(0,E13)*E14/100</f>
        <v>2453.26264894245</v>
      </c>
      <c r="F15" s="0" t="n">
        <f aca="false">F13-MAX(0,F13)*F14/100</f>
        <v>2656.22198890957</v>
      </c>
      <c r="G15" s="0" t="n">
        <f aca="false">G13-MAX(0,G13)*G14/100</f>
        <v>2842.5024920279</v>
      </c>
      <c r="H15" s="0" t="n">
        <f aca="false">H13-MAX(0,H13)*H14/100</f>
        <v>3037.56922554331</v>
      </c>
      <c r="I15" s="0" t="n">
        <f aca="false">I13-MAX(0,I13)*I14/100</f>
        <v>3122.62116385853</v>
      </c>
      <c r="J15" s="0" t="n">
        <f aca="false">J13-MAX(0,J13)*J14/100</f>
        <v>3200.68669295499</v>
      </c>
      <c r="K15" s="0" t="n">
        <f aca="false">K13-MAX(0,K13)*K14/100</f>
        <v>3280.70386027886</v>
      </c>
      <c r="L15" s="0" t="n">
        <f aca="false">L13-MAX(0,L13)*L14/100</f>
        <v>3362.72145678584</v>
      </c>
    </row>
    <row r="16" customFormat="false" ht="15" hidden="false" customHeight="false" outlineLevel="0" collapsed="false">
      <c r="A16" s="0" t="s">
        <v>128</v>
      </c>
      <c r="C16" s="0" t="n">
        <f aca="false">-C12</f>
        <v>1419.2318</v>
      </c>
      <c r="D16" s="0" t="n">
        <f aca="false">-D12</f>
        <v>1447.616436</v>
      </c>
      <c r="E16" s="0" t="n">
        <f aca="false">-E12</f>
        <v>1441.41236556</v>
      </c>
      <c r="F16" s="0" t="n">
        <f aca="false">-F12</f>
        <v>1440.9884207466</v>
      </c>
      <c r="G16" s="0" t="n">
        <f aca="false">-G12</f>
        <v>1461.7299207422</v>
      </c>
      <c r="H16" s="0" t="n">
        <f aca="false">-H12</f>
        <v>1482.41902115885</v>
      </c>
      <c r="I16" s="0" t="n">
        <f aca="false">-I12</f>
        <v>1523.9267537513</v>
      </c>
      <c r="J16" s="0" t="n">
        <f aca="false">-J12</f>
        <v>1562.02492259508</v>
      </c>
      <c r="K16" s="0" t="n">
        <f aca="false">-K12</f>
        <v>1601.07554565996</v>
      </c>
      <c r="L16" s="0" t="n">
        <f aca="false">-L12</f>
        <v>1641.10243430146</v>
      </c>
    </row>
    <row r="17" customFormat="false" ht="15" hidden="false" customHeight="false" outlineLevel="0" collapsed="false">
      <c r="A17" s="0" t="s">
        <v>129</v>
      </c>
      <c r="C17" s="4" t="n">
        <f aca="false">-C6*Assumptions!C18/100</f>
        <v>-973.18752</v>
      </c>
      <c r="D17" s="4" t="n">
        <f aca="false">-D6*Assumptions!D18/100</f>
        <v>-992.6512704</v>
      </c>
      <c r="E17" s="4" t="n">
        <f aca="false">-E6*Assumptions!E18/100</f>
        <v>-1017.46755216</v>
      </c>
      <c r="F17" s="4" t="n">
        <f aca="false">-F6*Assumptions!F18/100</f>
        <v>-1026.1584208347</v>
      </c>
      <c r="G17" s="4" t="n">
        <f aca="false">-G6*Assumptions!G18/100</f>
        <v>-1056.94317345974</v>
      </c>
      <c r="H17" s="4" t="n">
        <f aca="false">-H6*Assumptions!H18/100</f>
        <v>-1065.48867145793</v>
      </c>
      <c r="I17" s="4" t="n">
        <f aca="false">-I6*Assumptions!I18/100</f>
        <v>-1095.32235425875</v>
      </c>
      <c r="J17" s="4" t="n">
        <f aca="false">-J6*Assumptions!J18/100</f>
        <v>-1122.70541311522</v>
      </c>
      <c r="K17" s="4" t="n">
        <f aca="false">-K6*Assumptions!K18/100</f>
        <v>-1150.7730484431</v>
      </c>
      <c r="L17" s="4" t="n">
        <f aca="false">-L6*Assumptions!L18/100</f>
        <v>-1179.54237465417</v>
      </c>
    </row>
    <row r="18" customFormat="false" ht="15" hidden="false" customHeight="false" outlineLevel="0" collapsed="false">
      <c r="A18" s="0" t="s">
        <v>130</v>
      </c>
      <c r="C18" s="4" t="n">
        <f aca="false">(C6-B6)*Assumptions!$B$23/100</f>
        <v>-20.0740000000002</v>
      </c>
      <c r="D18" s="4" t="n">
        <f aca="false">(D6-C6)*Assumptions!$B$23/100</f>
        <v>-40.54948</v>
      </c>
      <c r="E18" s="4" t="n">
        <f aca="false">(E6-D6)*Assumptions!$B$23/100</f>
        <v>-51.7005869999997</v>
      </c>
      <c r="F18" s="4" t="n">
        <f aca="false">(F6-E6)*Assumptions!$B$23/100</f>
        <v>-63.59172201</v>
      </c>
      <c r="G18" s="4" t="n">
        <f aca="false">(G6-F6)*Assumptions!$B$23/100</f>
        <v>-65.4994736703</v>
      </c>
      <c r="H18" s="4" t="n">
        <f aca="false">(H6-G6)*Assumptions!$B$23/100</f>
        <v>-67.4644578804091</v>
      </c>
      <c r="I18" s="4" t="n">
        <f aca="false">(I6-H6)*Assumptions!$B$23/100</f>
        <v>-64.8558321756998</v>
      </c>
      <c r="J18" s="4" t="n">
        <f aca="false">(J6-I6)*Assumptions!$B$23/100</f>
        <v>-59.5283888184102</v>
      </c>
      <c r="K18" s="4" t="n">
        <f aca="false">(K6-J6)*Assumptions!$B$23/100</f>
        <v>-61.0165985388703</v>
      </c>
      <c r="L18" s="4" t="n">
        <f aca="false">(L6-K6)*Assumptions!$B$23/100</f>
        <v>-62.5420135023422</v>
      </c>
    </row>
    <row r="19" customFormat="false" ht="15" hidden="false" customHeight="false" outlineLevel="0" collapsed="false">
      <c r="A19" s="0" t="s">
        <v>131</v>
      </c>
      <c r="C19" s="0" t="n">
        <f aca="false">C15+C16+C17+C18</f>
        <v>2842.719288</v>
      </c>
      <c r="D19" s="0" t="n">
        <f aca="false">D15+D16+D17+D18</f>
        <v>2781.888965504</v>
      </c>
      <c r="E19" s="0" t="n">
        <f aca="false">E15+E16+E17+E18</f>
        <v>2825.50687534245</v>
      </c>
      <c r="F19" s="0" t="n">
        <f aca="false">F15+F16+F17+F18</f>
        <v>3007.46026681147</v>
      </c>
      <c r="G19" s="0" t="n">
        <f aca="false">G15+G16+G17+G18</f>
        <v>3181.78976564005</v>
      </c>
      <c r="H19" s="0" t="n">
        <f aca="false">H15+H16+H17+H18</f>
        <v>3387.03511736383</v>
      </c>
      <c r="I19" s="0" t="n">
        <f aca="false">I15+I16+I17+I18</f>
        <v>3486.36973117538</v>
      </c>
      <c r="J19" s="0" t="n">
        <f aca="false">J15+J16+J17+J18</f>
        <v>3580.47781361645</v>
      </c>
      <c r="K19" s="0" t="n">
        <f aca="false">K15+K16+K17+K18</f>
        <v>3669.98975895686</v>
      </c>
      <c r="L19" s="0" t="n">
        <f aca="false">L15+L16+L17+L18</f>
        <v>3761.73950293078</v>
      </c>
    </row>
    <row r="20" customFormat="false" ht="15" hidden="false" customHeight="false" outlineLevel="0" collapsed="false">
      <c r="A20" s="0" t="s">
        <v>132</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133</v>
      </c>
      <c r="C21" s="0" t="n">
        <f aca="false">C19*C20</f>
        <v>2596.0906739726</v>
      </c>
      <c r="D21" s="0" t="n">
        <f aca="false">D19*D20</f>
        <v>2320.12590688601</v>
      </c>
      <c r="E21" s="0" t="n">
        <f aca="false">E19*E20</f>
        <v>2152.05819366169</v>
      </c>
      <c r="F21" s="0" t="n">
        <f aca="false">F19*F20</f>
        <v>2091.9120502675</v>
      </c>
      <c r="G21" s="0" t="n">
        <f aca="false">G19*G20</f>
        <v>2021.16088424525</v>
      </c>
      <c r="H21" s="0" t="n">
        <f aca="false">H19*H20</f>
        <v>1964.87526011936</v>
      </c>
      <c r="I21" s="0" t="n">
        <f aca="false">I19*I20</f>
        <v>1847.03280135434</v>
      </c>
      <c r="J21" s="0" t="n">
        <f aca="false">J19*J20</f>
        <v>1732.31965746681</v>
      </c>
      <c r="K21" s="0" t="n">
        <f aca="false">K19*K20</f>
        <v>1621.57776155569</v>
      </c>
      <c r="L21" s="0" t="n">
        <f aca="false">L19*L20</f>
        <v>1517.91525625076</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9.5</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14</v>
      </c>
    </row>
    <row r="30" customFormat="false" ht="15" hidden="false" customHeight="false" outlineLevel="0" collapsed="false">
      <c r="A30" s="0" t="s">
        <v>136</v>
      </c>
      <c r="B30" s="0" t="n">
        <f aca="false">SUM(C21:L21)</f>
        <v>19865.06844578</v>
      </c>
    </row>
    <row r="31" customFormat="false" ht="15" hidden="false" customHeight="false" outlineLevel="0" collapsed="false">
      <c r="A31" s="0" t="s">
        <v>137</v>
      </c>
      <c r="B31" s="0" t="n">
        <f aca="false">L19</f>
        <v>3761.73950293078</v>
      </c>
    </row>
    <row r="32" customFormat="false" ht="15" hidden="false" customHeight="false" outlineLevel="0" collapsed="false">
      <c r="A32" s="0" t="s">
        <v>138</v>
      </c>
      <c r="B32" s="0" t="n">
        <f aca="false">IF(B27&gt;B28,B31*(1+B28/100)/((B27-B28)/100),B31*B29)</f>
        <v>51159.6572398586</v>
      </c>
    </row>
    <row r="33" customFormat="false" ht="15" hidden="false" customHeight="false" outlineLevel="0" collapsed="false">
      <c r="A33" s="0" t="s">
        <v>139</v>
      </c>
      <c r="B33" s="0" t="n">
        <f aca="false">B31*B29</f>
        <v>52664.3530410309</v>
      </c>
    </row>
    <row r="34" customFormat="false" ht="15" hidden="false" customHeight="false" outlineLevel="0" collapsed="false">
      <c r="A34" s="0" t="s">
        <v>140</v>
      </c>
      <c r="B34" s="0" t="n">
        <f aca="false">MAX(0,MIN(B32,B33))</f>
        <v>51159.6572398586</v>
      </c>
    </row>
    <row r="35" customFormat="false" ht="15" hidden="false" customHeight="false" outlineLevel="0" collapsed="false">
      <c r="A35" s="0" t="s">
        <v>141</v>
      </c>
      <c r="B35" s="0" t="n">
        <f aca="false">B34/(1+B27/100)^L4</f>
        <v>20643.6474850103</v>
      </c>
    </row>
    <row r="36" customFormat="false" ht="15" hidden="false" customHeight="false" outlineLevel="0" collapsed="false">
      <c r="A36" s="0" t="s">
        <v>142</v>
      </c>
      <c r="B36" s="0" t="n">
        <f aca="false">B30+B35</f>
        <v>40508.7159307903</v>
      </c>
    </row>
    <row r="37" customFormat="false" ht="15" hidden="false" customHeight="false" outlineLevel="0" collapsed="false">
      <c r="A37" s="0" t="s">
        <v>143</v>
      </c>
      <c r="B37" s="0" t="n">
        <f aca="false">B36+Assumptions!$B$5-Assumptions!$B$4</f>
        <v>28423.7159307903</v>
      </c>
    </row>
    <row r="38" customFormat="false" ht="15" hidden="false" customHeight="false" outlineLevel="0" collapsed="false">
      <c r="A38" s="0" t="s">
        <v>144</v>
      </c>
      <c r="B38" s="0" t="n">
        <f aca="false">B37/Assumptions!$B$3*Assumptions!$B$10</f>
        <v>19.2729291638122</v>
      </c>
    </row>
    <row r="39" customFormat="false" ht="15" hidden="false" customHeight="false" outlineLevel="0" collapsed="false">
      <c r="A39" s="0" t="s">
        <v>145</v>
      </c>
      <c r="B39" s="4" t="n">
        <f aca="false">B38/Assumptions!$B$2-1</f>
        <v>-0.561181029967846</v>
      </c>
    </row>
    <row r="41" customFormat="false" ht="15" hidden="false" customHeight="false" outlineLevel="0" collapsed="false">
      <c r="A41" s="0" t="s">
        <v>146</v>
      </c>
      <c r="B41" s="0" t="n">
        <f aca="false">SUMPRODUCT(-C10:L10/(1+$B$27/100)^C4:L4)</f>
        <v>2153.45269970102</v>
      </c>
    </row>
    <row r="42" customFormat="false" ht="15" hidden="false" customHeight="false" outlineLevel="0" collapsed="false">
      <c r="A42" s="0" t="s">
        <v>147</v>
      </c>
      <c r="B42" s="0" t="n">
        <f aca="false">IF(B27&gt;B28,-L10*(1+B28/100)/((B27-B28)/100),-L10*20)/(1+B27/100)^L4</f>
        <v>2110.78836379982</v>
      </c>
    </row>
    <row r="43" customFormat="false" ht="15" hidden="false" customHeight="false" outlineLevel="0" collapsed="false">
      <c r="A43" s="0" t="s">
        <v>148</v>
      </c>
      <c r="B43" s="0" t="n">
        <f aca="false">(B37+B41+B42)/Assumptions!$B$3*Assumptions!$B$10</f>
        <v>22.1643321089579</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29515.1868691492</v>
      </c>
    </row>
    <row r="47" customFormat="false" ht="15" hidden="false" customHeight="false" outlineLevel="0" collapsed="false">
      <c r="A47" s="0" t="s">
        <v>150</v>
      </c>
      <c r="B47" s="0" t="n">
        <f aca="false">(SUMPRODUCT(C19:L19/(1+B45/100)^C4:L4)+B46/(1+B45/100)^L4+Assumptions!$B$5-Assumptions!$B$4)/Assumptions!$B$3*Assumptions!$B$10</f>
        <v>7.36635978700939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5</v>
      </c>
      <c r="D5" s="4" t="n">
        <f aca="false">Assumptions!D27</f>
        <v>6.5</v>
      </c>
      <c r="E5" s="4" t="n">
        <f aca="false">Assumptions!E27</f>
        <v>7</v>
      </c>
      <c r="F5" s="4" t="n">
        <f aca="false">Assumptions!F27</f>
        <v>6.5</v>
      </c>
      <c r="G5" s="4" t="n">
        <f aca="false">Assumptions!G27</f>
        <v>6</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37</v>
      </c>
      <c r="B6" s="3" t="n">
        <v>20074</v>
      </c>
      <c r="C6" s="0" t="n">
        <f aca="false">B6*(1+C5/100)</f>
        <v>21077.7</v>
      </c>
      <c r="D6" s="0" t="n">
        <f aca="false">C6*(1+D5/100)</f>
        <v>22447.7505</v>
      </c>
      <c r="E6" s="0" t="n">
        <f aca="false">D6*(1+E5/100)</f>
        <v>24019.093035</v>
      </c>
      <c r="F6" s="0" t="n">
        <f aca="false">E6*(1+F5/100)</f>
        <v>25580.334082275</v>
      </c>
      <c r="G6" s="0" t="n">
        <f aca="false">F6*(1+G5/100)</f>
        <v>27115.1541272115</v>
      </c>
      <c r="H6" s="0" t="n">
        <f aca="false">G6*(1+H5/100)</f>
        <v>28470.9118335721</v>
      </c>
      <c r="I6" s="0" t="n">
        <f aca="false">H6*(1+I5/100)</f>
        <v>29752.1028660828</v>
      </c>
      <c r="J6" s="0" t="n">
        <f aca="false">I6*(1+J5/100)</f>
        <v>30942.1869807261</v>
      </c>
      <c r="K6" s="0" t="n">
        <f aca="false">J6*(1+K5/100)</f>
        <v>32025.1635250515</v>
      </c>
      <c r="L6" s="0" t="n">
        <f aca="false">K6*(1+L5/100)</f>
        <v>32985.9184308031</v>
      </c>
    </row>
    <row r="7" customFormat="false" ht="15" hidden="false" customHeight="false" outlineLevel="0" collapsed="false">
      <c r="A7" s="0" t="s">
        <v>107</v>
      </c>
      <c r="C7" s="4" t="n">
        <f aca="false">Assumptions!C28</f>
        <v>25.5</v>
      </c>
      <c r="D7" s="4" t="n">
        <f aca="false">Assumptions!D28</f>
        <v>26</v>
      </c>
      <c r="E7" s="4" t="n">
        <f aca="false">Assumptions!E28</f>
        <v>26.5</v>
      </c>
      <c r="F7" s="4" t="n">
        <f aca="false">Assumptions!F28</f>
        <v>27</v>
      </c>
      <c r="G7" s="4" t="n">
        <f aca="false">Assumptions!G28</f>
        <v>27.3</v>
      </c>
      <c r="H7" s="4" t="n">
        <f aca="false">Assumptions!H28</f>
        <v>27.5</v>
      </c>
      <c r="I7" s="4" t="n">
        <f aca="false">Assumptions!I28</f>
        <v>27.5</v>
      </c>
      <c r="J7" s="4" t="n">
        <f aca="false">Assumptions!J28</f>
        <v>27.5</v>
      </c>
      <c r="K7" s="4" t="n">
        <f aca="false">Assumptions!K28</f>
        <v>27.5</v>
      </c>
      <c r="L7" s="4" t="n">
        <f aca="false">Assumptions!L28</f>
        <v>27.5</v>
      </c>
    </row>
    <row r="8" customFormat="false" ht="15" hidden="false" customHeight="false" outlineLevel="0" collapsed="false">
      <c r="A8" s="0" t="s">
        <v>43</v>
      </c>
      <c r="C8" s="0" t="n">
        <f aca="false">C6*C7/100</f>
        <v>5374.8135</v>
      </c>
      <c r="D8" s="0" t="n">
        <f aca="false">D6*D7/100</f>
        <v>5836.41513</v>
      </c>
      <c r="E8" s="0" t="n">
        <f aca="false">E6*E7/100</f>
        <v>6365.059654275</v>
      </c>
      <c r="F8" s="0" t="n">
        <f aca="false">F6*F7/100</f>
        <v>6906.69020221425</v>
      </c>
      <c r="G8" s="0" t="n">
        <f aca="false">G6*G7/100</f>
        <v>7402.43707672874</v>
      </c>
      <c r="H8" s="0" t="n">
        <f aca="false">H6*H7/100</f>
        <v>7829.50075423232</v>
      </c>
      <c r="I8" s="0" t="n">
        <f aca="false">I6*I7/100</f>
        <v>8181.82828817277</v>
      </c>
      <c r="J8" s="0" t="n">
        <f aca="false">J6*J7/100</f>
        <v>8509.10141969968</v>
      </c>
      <c r="K8" s="0" t="n">
        <f aca="false">K6*K7/100</f>
        <v>8806.91996938917</v>
      </c>
      <c r="L8" s="0" t="n">
        <f aca="false">L6*L7/100</f>
        <v>9071.12756847085</v>
      </c>
    </row>
    <row r="9" customFormat="false" ht="15" hidden="false" customHeight="false" outlineLevel="0" collapsed="false">
      <c r="A9" s="0" t="s">
        <v>108</v>
      </c>
      <c r="C9" s="4" t="n">
        <f aca="false">Assumptions!C29</f>
        <v>1.49</v>
      </c>
      <c r="D9" s="4" t="n">
        <f aca="false">Assumptions!D29</f>
        <v>1.47</v>
      </c>
      <c r="E9" s="4" t="n">
        <f aca="false">Assumptions!E29</f>
        <v>1.45</v>
      </c>
      <c r="F9" s="4" t="n">
        <f aca="false">Assumptions!F29</f>
        <v>1.43</v>
      </c>
      <c r="G9" s="4" t="n">
        <f aca="false">Assumptions!G29</f>
        <v>1.41</v>
      </c>
      <c r="H9" s="4" t="n">
        <f aca="false">Assumptions!H29</f>
        <v>1.4</v>
      </c>
      <c r="I9" s="4" t="n">
        <f aca="false">Assumptions!I29</f>
        <v>1.4</v>
      </c>
      <c r="J9" s="4" t="n">
        <f aca="false">Assumptions!J29</f>
        <v>1.4</v>
      </c>
      <c r="K9" s="4" t="n">
        <f aca="false">Assumptions!K29</f>
        <v>1.4</v>
      </c>
      <c r="L9" s="4" t="n">
        <f aca="false">Assumptions!L29</f>
        <v>1.4</v>
      </c>
    </row>
    <row r="10" customFormat="false" ht="15" hidden="false" customHeight="false" outlineLevel="0" collapsed="false">
      <c r="A10" s="0" t="s">
        <v>123</v>
      </c>
      <c r="C10" s="0" t="n">
        <f aca="false">-C6*C9/100</f>
        <v>-314.05773</v>
      </c>
      <c r="D10" s="0" t="n">
        <f aca="false">-D6*D9/100</f>
        <v>-329.98193235</v>
      </c>
      <c r="E10" s="0" t="n">
        <f aca="false">-E6*E9/100</f>
        <v>-348.2768490075</v>
      </c>
      <c r="F10" s="0" t="n">
        <f aca="false">-F6*F9/100</f>
        <v>-365.798777376532</v>
      </c>
      <c r="G10" s="0" t="n">
        <f aca="false">-G6*G9/100</f>
        <v>-382.323673193682</v>
      </c>
      <c r="H10" s="0" t="n">
        <f aca="false">-H6*H9/100</f>
        <v>-398.592765670009</v>
      </c>
      <c r="I10" s="0" t="n">
        <f aca="false">-I6*I9/100</f>
        <v>-416.529440125159</v>
      </c>
      <c r="J10" s="0" t="n">
        <f aca="false">-J6*J9/100</f>
        <v>-433.190617730166</v>
      </c>
      <c r="K10" s="0" t="n">
        <f aca="false">-K6*K9/100</f>
        <v>-448.352289350722</v>
      </c>
      <c r="L10" s="0" t="n">
        <f aca="false">-L6*L9/100</f>
        <v>-461.802858031243</v>
      </c>
    </row>
    <row r="11" customFormat="false" ht="15" hidden="false" customHeight="false" outlineLevel="0" collapsed="false">
      <c r="A11" s="0" t="s">
        <v>124</v>
      </c>
      <c r="C11" s="0" t="n">
        <f aca="false">C8+C10+C24</f>
        <v>5060.75577</v>
      </c>
      <c r="D11" s="0" t="n">
        <f aca="false">D8+D10+D24</f>
        <v>5506.43319765</v>
      </c>
      <c r="E11" s="0" t="n">
        <f aca="false">E8+E10+E24</f>
        <v>6016.7828052675</v>
      </c>
      <c r="F11" s="0" t="n">
        <f aca="false">F8+F10+F24</f>
        <v>6540.89142483772</v>
      </c>
      <c r="G11" s="0" t="n">
        <f aca="false">G8+G10+G24</f>
        <v>7020.11340353506</v>
      </c>
      <c r="H11" s="0" t="n">
        <f aca="false">H8+H10+H24</f>
        <v>7430.90798856231</v>
      </c>
      <c r="I11" s="0" t="n">
        <f aca="false">I8+I10+I24</f>
        <v>7765.29884804761</v>
      </c>
      <c r="J11" s="0" t="n">
        <f aca="false">J8+J10+J24</f>
        <v>8075.91080196952</v>
      </c>
      <c r="K11" s="0" t="n">
        <f aca="false">K8+K10+K24</f>
        <v>8358.56768003845</v>
      </c>
      <c r="L11" s="0" t="n">
        <f aca="false">L8+L10+L24</f>
        <v>8609.3247104396</v>
      </c>
    </row>
    <row r="12" customFormat="false" ht="15" hidden="false" customHeight="false" outlineLevel="0" collapsed="false">
      <c r="A12" s="0" t="s">
        <v>125</v>
      </c>
      <c r="C12" s="4" t="n">
        <f aca="false">-C6*Assumptions!C31/100</f>
        <v>-1391.1282</v>
      </c>
      <c r="D12" s="4" t="n">
        <f aca="false">-D6*Assumptions!D31/100</f>
        <v>-1436.656032</v>
      </c>
      <c r="E12" s="4" t="n">
        <f aca="false">-E6*Assumptions!E31/100</f>
        <v>-1489.18376817</v>
      </c>
      <c r="F12" s="4" t="n">
        <f aca="false">-F6*Assumptions!F31/100</f>
        <v>-1534.8200449365</v>
      </c>
      <c r="G12" s="4" t="n">
        <f aca="false">-G6*Assumptions!G31/100</f>
        <v>-1599.79409350548</v>
      </c>
      <c r="H12" s="4" t="n">
        <f aca="false">-H6*Assumptions!H31/100</f>
        <v>-1651.31288634718</v>
      </c>
      <c r="I12" s="4" t="n">
        <f aca="false">-I6*Assumptions!I31/100</f>
        <v>-1725.6219662328</v>
      </c>
      <c r="J12" s="4" t="n">
        <f aca="false">-J6*Assumptions!J31/100</f>
        <v>-1794.64684488212</v>
      </c>
      <c r="K12" s="4" t="n">
        <f aca="false">-K6*Assumptions!K31/100</f>
        <v>-1857.45948445299</v>
      </c>
      <c r="L12" s="4" t="n">
        <f aca="false">-L6*Assumptions!L31/100</f>
        <v>-1913.18326898658</v>
      </c>
    </row>
    <row r="13" customFormat="false" ht="15" hidden="false" customHeight="false" outlineLevel="0" collapsed="false">
      <c r="A13" s="0" t="s">
        <v>126</v>
      </c>
      <c r="C13" s="0" t="n">
        <f aca="false">C11+C12</f>
        <v>3669.62757</v>
      </c>
      <c r="D13" s="0" t="n">
        <f aca="false">D11+D12</f>
        <v>4069.77716565</v>
      </c>
      <c r="E13" s="0" t="n">
        <f aca="false">E11+E12</f>
        <v>4527.5990370975</v>
      </c>
      <c r="F13" s="0" t="n">
        <f aca="false">F11+F12</f>
        <v>5006.07137990122</v>
      </c>
      <c r="G13" s="0" t="n">
        <f aca="false">G11+G12</f>
        <v>5420.31931002958</v>
      </c>
      <c r="H13" s="0" t="n">
        <f aca="false">H11+H12</f>
        <v>5779.59510221513</v>
      </c>
      <c r="I13" s="0" t="n">
        <f aca="false">I11+I12</f>
        <v>6039.67688181481</v>
      </c>
      <c r="J13" s="0" t="n">
        <f aca="false">J11+J12</f>
        <v>6281.2639570874</v>
      </c>
      <c r="K13" s="0" t="n">
        <f aca="false">K11+K12</f>
        <v>6501.10819558546</v>
      </c>
      <c r="L13" s="0" t="n">
        <f aca="false">L11+L12</f>
        <v>6696.14144145302</v>
      </c>
    </row>
    <row r="14" customFormat="false" ht="15" hidden="false" customHeight="false" outlineLevel="0" collapsed="false">
      <c r="A14" s="0" t="s">
        <v>112</v>
      </c>
      <c r="C14" s="4" t="n">
        <f aca="false">Assumptions!C33</f>
        <v>19</v>
      </c>
      <c r="D14" s="4" t="n">
        <f aca="false">Assumptions!D33</f>
        <v>19.5</v>
      </c>
      <c r="E14" s="4" t="n">
        <f aca="false">Assumptions!E33</f>
        <v>20</v>
      </c>
      <c r="F14" s="4" t="n">
        <f aca="false">Assumptions!F33</f>
        <v>20</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127</v>
      </c>
      <c r="C15" s="0" t="n">
        <f aca="false">C13-MAX(0,C13)*C14/100</f>
        <v>2972.3983317</v>
      </c>
      <c r="D15" s="0" t="n">
        <f aca="false">D13-MAX(0,D13)*D14/100</f>
        <v>3276.17061834825</v>
      </c>
      <c r="E15" s="0" t="n">
        <f aca="false">E13-MAX(0,E13)*E14/100</f>
        <v>3622.079229678</v>
      </c>
      <c r="F15" s="0" t="n">
        <f aca="false">F13-MAX(0,F13)*F14/100</f>
        <v>4004.85710392097</v>
      </c>
      <c r="G15" s="0" t="n">
        <f aca="false">G13-MAX(0,G13)*G14/100</f>
        <v>4336.25544802366</v>
      </c>
      <c r="H15" s="0" t="n">
        <f aca="false">H13-MAX(0,H13)*H14/100</f>
        <v>4623.6760817721</v>
      </c>
      <c r="I15" s="0" t="n">
        <f aca="false">I13-MAX(0,I13)*I14/100</f>
        <v>4831.74150545185</v>
      </c>
      <c r="J15" s="0" t="n">
        <f aca="false">J13-MAX(0,J13)*J14/100</f>
        <v>5025.01116566992</v>
      </c>
      <c r="K15" s="0" t="n">
        <f aca="false">K13-MAX(0,K13)*K14/100</f>
        <v>5200.88655646837</v>
      </c>
      <c r="L15" s="0" t="n">
        <f aca="false">L13-MAX(0,L13)*L14/100</f>
        <v>5356.91315316242</v>
      </c>
    </row>
    <row r="16" customFormat="false" ht="15" hidden="false" customHeight="false" outlineLevel="0" collapsed="false">
      <c r="A16" s="0" t="s">
        <v>128</v>
      </c>
      <c r="C16" s="0" t="n">
        <f aca="false">-C12</f>
        <v>1391.1282</v>
      </c>
      <c r="D16" s="0" t="n">
        <f aca="false">-D12</f>
        <v>1436.656032</v>
      </c>
      <c r="E16" s="0" t="n">
        <f aca="false">-E12</f>
        <v>1489.18376817</v>
      </c>
      <c r="F16" s="0" t="n">
        <f aca="false">-F12</f>
        <v>1534.8200449365</v>
      </c>
      <c r="G16" s="0" t="n">
        <f aca="false">-G12</f>
        <v>1599.79409350548</v>
      </c>
      <c r="H16" s="0" t="n">
        <f aca="false">-H12</f>
        <v>1651.31288634718</v>
      </c>
      <c r="I16" s="0" t="n">
        <f aca="false">-I12</f>
        <v>1725.6219662328</v>
      </c>
      <c r="J16" s="0" t="n">
        <f aca="false">-J12</f>
        <v>1794.64684488212</v>
      </c>
      <c r="K16" s="0" t="n">
        <f aca="false">-K12</f>
        <v>1857.45948445299</v>
      </c>
      <c r="L16" s="0" t="n">
        <f aca="false">-L12</f>
        <v>1913.18326898658</v>
      </c>
    </row>
    <row r="17" customFormat="false" ht="15" hidden="false" customHeight="false" outlineLevel="0" collapsed="false">
      <c r="A17" s="0" t="s">
        <v>129</v>
      </c>
      <c r="C17" s="4" t="n">
        <f aca="false">-C6*Assumptions!C32/100</f>
        <v>-969.5742</v>
      </c>
      <c r="D17" s="4" t="n">
        <f aca="false">-D6*Assumptions!D32/100</f>
        <v>-1032.596523</v>
      </c>
      <c r="E17" s="4" t="n">
        <f aca="false">-E6*Assumptions!E32/100</f>
        <v>-1104.87827961</v>
      </c>
      <c r="F17" s="4" t="n">
        <f aca="false">-F6*Assumptions!F32/100</f>
        <v>-1176.69536778465</v>
      </c>
      <c r="G17" s="4" t="n">
        <f aca="false">-G6*Assumptions!G32/100</f>
        <v>-1247.29708985173</v>
      </c>
      <c r="H17" s="4" t="n">
        <f aca="false">-H6*Assumptions!H32/100</f>
        <v>-1309.66194434432</v>
      </c>
      <c r="I17" s="4" t="n">
        <f aca="false">-I6*Assumptions!I32/100</f>
        <v>-1368.59673183981</v>
      </c>
      <c r="J17" s="4" t="n">
        <f aca="false">-J6*Assumptions!J32/100</f>
        <v>-1423.3406011134</v>
      </c>
      <c r="K17" s="4" t="n">
        <f aca="false">-K6*Assumptions!K32/100</f>
        <v>-1473.15752215237</v>
      </c>
      <c r="L17" s="4" t="n">
        <f aca="false">-L6*Assumptions!L32/100</f>
        <v>-1517.35224781694</v>
      </c>
    </row>
    <row r="18" customFormat="false" ht="15" hidden="false" customHeight="false" outlineLevel="0" collapsed="false">
      <c r="A18" s="0" t="s">
        <v>130</v>
      </c>
      <c r="C18" s="4" t="n">
        <f aca="false">(C6-B6)*Assumptions!$B$37/100</f>
        <v>-80.2960000000001</v>
      </c>
      <c r="D18" s="4" t="n">
        <f aca="false">(D6-C6)*Assumptions!$B$37/100</f>
        <v>-109.60404</v>
      </c>
      <c r="E18" s="4" t="n">
        <f aca="false">(E6-D6)*Assumptions!$B$37/100</f>
        <v>-125.7074028</v>
      </c>
      <c r="F18" s="4" t="n">
        <f aca="false">(F6-E6)*Assumptions!$B$37/100</f>
        <v>-124.899283782</v>
      </c>
      <c r="G18" s="4" t="n">
        <f aca="false">(G6-F6)*Assumptions!$B$37/100</f>
        <v>-122.78560359492</v>
      </c>
      <c r="H18" s="4" t="n">
        <f aca="false">(H6-G6)*Assumptions!$B$37/100</f>
        <v>-108.460616508846</v>
      </c>
      <c r="I18" s="4" t="n">
        <f aca="false">(I6-H6)*Assumptions!$B$37/100</f>
        <v>-102.495282600859</v>
      </c>
      <c r="J18" s="4" t="n">
        <f aca="false">(J6-I6)*Assumptions!$B$37/100</f>
        <v>-95.206729171465</v>
      </c>
      <c r="K18" s="4" t="n">
        <f aca="false">(K6-J6)*Assumptions!$B$37/100</f>
        <v>-86.6381235460329</v>
      </c>
      <c r="L18" s="4" t="n">
        <f aca="false">(L6-K6)*Assumptions!$B$37/100</f>
        <v>-76.8603924601237</v>
      </c>
    </row>
    <row r="19" customFormat="false" ht="15" hidden="false" customHeight="false" outlineLevel="0" collapsed="false">
      <c r="A19" s="0" t="s">
        <v>131</v>
      </c>
      <c r="C19" s="0" t="n">
        <f aca="false">C15+C16+C17+C18</f>
        <v>3313.6563317</v>
      </c>
      <c r="D19" s="0" t="n">
        <f aca="false">D15+D16+D17+D18</f>
        <v>3570.62608734825</v>
      </c>
      <c r="E19" s="0" t="n">
        <f aca="false">E15+E16+E17+E18</f>
        <v>3880.677315438</v>
      </c>
      <c r="F19" s="0" t="n">
        <f aca="false">F15+F16+F17+F18</f>
        <v>4238.08249729082</v>
      </c>
      <c r="G19" s="0" t="n">
        <f aca="false">G15+G16+G17+G18</f>
        <v>4565.96684808249</v>
      </c>
      <c r="H19" s="0" t="n">
        <f aca="false">H15+H16+H17+H18</f>
        <v>4856.86640726612</v>
      </c>
      <c r="I19" s="0" t="n">
        <f aca="false">I15+I16+I17+I18</f>
        <v>5086.27145724398</v>
      </c>
      <c r="J19" s="0" t="n">
        <f aca="false">J15+J16+J17+J18</f>
        <v>5301.11068026717</v>
      </c>
      <c r="K19" s="0" t="n">
        <f aca="false">K15+K16+K17+K18</f>
        <v>5498.55039522295</v>
      </c>
      <c r="L19" s="0" t="n">
        <f aca="false">L15+L16+L17+L18</f>
        <v>5675.88378187193</v>
      </c>
    </row>
    <row r="20" customFormat="false" ht="15" hidden="false" customHeight="false" outlineLevel="0" collapsed="false">
      <c r="A20" s="0" t="s">
        <v>132</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133</v>
      </c>
      <c r="C21" s="0" t="n">
        <f aca="false">C19*C20</f>
        <v>3054.06113520737</v>
      </c>
      <c r="D21" s="0" t="n">
        <f aca="false">D19*D20</f>
        <v>3033.08720707448</v>
      </c>
      <c r="E21" s="0" t="n">
        <f aca="false">E19*E20</f>
        <v>3038.21369765283</v>
      </c>
      <c r="F21" s="0" t="n">
        <f aca="false">F19*F20</f>
        <v>3058.09134465117</v>
      </c>
      <c r="G21" s="0" t="n">
        <f aca="false">G19*G20</f>
        <v>3036.57535520399</v>
      </c>
      <c r="H21" s="0" t="n">
        <f aca="false">H19*H20</f>
        <v>2976.99241997759</v>
      </c>
      <c r="I21" s="0" t="n">
        <f aca="false">I19*I20</f>
        <v>2873.36877338038</v>
      </c>
      <c r="J21" s="0" t="n">
        <f aca="false">J19*J20</f>
        <v>2760.12637018039</v>
      </c>
      <c r="K21" s="0" t="n">
        <f aca="false">K19*K20</f>
        <v>2638.64257836293</v>
      </c>
      <c r="L21" s="0" t="n">
        <f aca="false">L19*L20</f>
        <v>2510.36061416641</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8.5</v>
      </c>
    </row>
    <row r="28" customFormat="false" ht="15" hidden="false" customHeight="false" outlineLevel="0" collapsed="false">
      <c r="A28" s="0" t="s">
        <v>114</v>
      </c>
      <c r="B28" s="4" t="n">
        <f aca="false">Assumptions!$B$35</f>
        <v>3</v>
      </c>
    </row>
    <row r="29" customFormat="false" ht="15" hidden="false" customHeight="false" outlineLevel="0" collapsed="false">
      <c r="A29" s="0" t="s">
        <v>115</v>
      </c>
      <c r="B29" s="4" t="n">
        <f aca="false">Assumptions!$B$36</f>
        <v>18</v>
      </c>
    </row>
    <row r="30" customFormat="false" ht="15" hidden="false" customHeight="false" outlineLevel="0" collapsed="false">
      <c r="A30" s="0" t="s">
        <v>136</v>
      </c>
      <c r="B30" s="0" t="n">
        <f aca="false">SUM(C21:L21)</f>
        <v>28979.5194958575</v>
      </c>
    </row>
    <row r="31" customFormat="false" ht="15" hidden="false" customHeight="false" outlineLevel="0" collapsed="false">
      <c r="A31" s="0" t="s">
        <v>137</v>
      </c>
      <c r="B31" s="0" t="n">
        <f aca="false">L19</f>
        <v>5675.88378187193</v>
      </c>
    </row>
    <row r="32" customFormat="false" ht="15" hidden="false" customHeight="false" outlineLevel="0" collapsed="false">
      <c r="A32" s="0" t="s">
        <v>138</v>
      </c>
      <c r="B32" s="0" t="n">
        <f aca="false">IF(B27&gt;B28,B31*(1+B28/100)/((B27-B28)/100),B31*B29)</f>
        <v>106293.82355142</v>
      </c>
    </row>
    <row r="33" customFormat="false" ht="15" hidden="false" customHeight="false" outlineLevel="0" collapsed="false">
      <c r="A33" s="0" t="s">
        <v>139</v>
      </c>
      <c r="B33" s="0" t="n">
        <f aca="false">B31*B29</f>
        <v>102165.908073695</v>
      </c>
    </row>
    <row r="34" customFormat="false" ht="15" hidden="false" customHeight="false" outlineLevel="0" collapsed="false">
      <c r="A34" s="0" t="s">
        <v>140</v>
      </c>
      <c r="B34" s="0" t="n">
        <f aca="false">MAX(0,MIN(B32,B33))</f>
        <v>102165.908073695</v>
      </c>
    </row>
    <row r="35" customFormat="false" ht="15" hidden="false" customHeight="false" outlineLevel="0" collapsed="false">
      <c r="A35" s="0" t="s">
        <v>141</v>
      </c>
      <c r="B35" s="0" t="n">
        <f aca="false">B34/(1+B27/100)^L4</f>
        <v>45186.4910549954</v>
      </c>
    </row>
    <row r="36" customFormat="false" ht="15" hidden="false" customHeight="false" outlineLevel="0" collapsed="false">
      <c r="A36" s="0" t="s">
        <v>142</v>
      </c>
      <c r="B36" s="0" t="n">
        <f aca="false">B30+B35</f>
        <v>74166.0105508529</v>
      </c>
    </row>
    <row r="37" customFormat="false" ht="15" hidden="false" customHeight="false" outlineLevel="0" collapsed="false">
      <c r="A37" s="0" t="s">
        <v>143</v>
      </c>
      <c r="B37" s="0" t="n">
        <f aca="false">B36+Assumptions!$B$5-Assumptions!$B$4</f>
        <v>62081.0105508529</v>
      </c>
    </row>
    <row r="38" customFormat="false" ht="15" hidden="false" customHeight="false" outlineLevel="0" collapsed="false">
      <c r="A38" s="0" t="s">
        <v>144</v>
      </c>
      <c r="B38" s="0" t="n">
        <f aca="false">B37/Assumptions!$B$3*Assumptions!$B$10</f>
        <v>42.0945284451132</v>
      </c>
    </row>
    <row r="39" customFormat="false" ht="15" hidden="false" customHeight="false" outlineLevel="0" collapsed="false">
      <c r="A39" s="0" t="s">
        <v>145</v>
      </c>
      <c r="B39" s="4" t="n">
        <f aca="false">B38/Assumptions!$B$2-1</f>
        <v>-0.0415635599928692</v>
      </c>
    </row>
    <row r="41" customFormat="false" ht="15" hidden="false" customHeight="false" outlineLevel="0" collapsed="false">
      <c r="A41" s="0" t="s">
        <v>146</v>
      </c>
      <c r="B41" s="0" t="n">
        <f aca="false">SUMPRODUCT(-C10:L10/(1+$B$27/100)^C4:L4)</f>
        <v>2485.21826656275</v>
      </c>
    </row>
    <row r="42" customFormat="false" ht="15" hidden="false" customHeight="false" outlineLevel="0" collapsed="false">
      <c r="A42" s="0" t="s">
        <v>147</v>
      </c>
      <c r="B42" s="0" t="n">
        <f aca="false">IF(B27&gt;B28,-L10*(1+B28/100)/((B27-B28)/100),-L10*20)/(1+B27/100)^L4</f>
        <v>3825.02052348109</v>
      </c>
    </row>
    <row r="43" customFormat="false" ht="15" hidden="false" customHeight="false" outlineLevel="0" collapsed="false">
      <c r="A43" s="0" t="s">
        <v>148</v>
      </c>
      <c r="B43" s="0" t="n">
        <f aca="false">(B37+B41+B42)/Assumptions!$B$3*Assumptions!$B$10</f>
        <v>46.3732366021812</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48718.0024610674</v>
      </c>
    </row>
    <row r="47" customFormat="false" ht="15" hidden="false" customHeight="false" outlineLevel="0" collapsed="false">
      <c r="A47" s="0" t="s">
        <v>150</v>
      </c>
      <c r="B47" s="0" t="n">
        <f aca="false">(SUMPRODUCT(C19:L19/(1+B45/100)^C4:L4)+B46/(1+B45/100)^L4+Assumptions!$B$5-Assumptions!$B$4)/Assumptions!$B$3*Assumptions!$B$10</f>
        <v>14.5744307813373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7</v>
      </c>
      <c r="D5" s="4" t="n">
        <f aca="false">Assumptions!D41</f>
        <v>9</v>
      </c>
      <c r="E5" s="4" t="n">
        <f aca="false">Assumptions!E41</f>
        <v>9.5</v>
      </c>
      <c r="F5" s="4" t="n">
        <f aca="false">Assumptions!F41</f>
        <v>9</v>
      </c>
      <c r="G5" s="4" t="n">
        <f aca="false">Assumptions!G41</f>
        <v>8</v>
      </c>
      <c r="H5" s="4" t="n">
        <f aca="false">Assumptions!H41</f>
        <v>7</v>
      </c>
      <c r="I5" s="4" t="n">
        <f aca="false">Assumptions!I41</f>
        <v>6</v>
      </c>
      <c r="J5" s="4" t="n">
        <f aca="false">Assumptions!J41</f>
        <v>5</v>
      </c>
      <c r="K5" s="4" t="n">
        <f aca="false">Assumptions!K41</f>
        <v>4</v>
      </c>
      <c r="L5" s="4" t="n">
        <f aca="false">Assumptions!L41</f>
        <v>3.5</v>
      </c>
    </row>
    <row r="6" customFormat="false" ht="15" hidden="false" customHeight="false" outlineLevel="0" collapsed="false">
      <c r="A6" s="0" t="s">
        <v>37</v>
      </c>
      <c r="B6" s="3" t="n">
        <v>20074</v>
      </c>
      <c r="C6" s="0" t="n">
        <f aca="false">B6*(1+C5/100)</f>
        <v>21479.18</v>
      </c>
      <c r="D6" s="0" t="n">
        <f aca="false">C6*(1+D5/100)</f>
        <v>23412.3062</v>
      </c>
      <c r="E6" s="0" t="n">
        <f aca="false">D6*(1+E5/100)</f>
        <v>25636.475289</v>
      </c>
      <c r="F6" s="0" t="n">
        <f aca="false">E6*(1+F5/100)</f>
        <v>27943.75806501</v>
      </c>
      <c r="G6" s="0" t="n">
        <f aca="false">F6*(1+G5/100)</f>
        <v>30179.2587102108</v>
      </c>
      <c r="H6" s="0" t="n">
        <f aca="false">G6*(1+H5/100)</f>
        <v>32291.8068199256</v>
      </c>
      <c r="I6" s="0" t="n">
        <f aca="false">H6*(1+I5/100)</f>
        <v>34229.3152291211</v>
      </c>
      <c r="J6" s="0" t="n">
        <f aca="false">I6*(1+J5/100)</f>
        <v>35940.7809905772</v>
      </c>
      <c r="K6" s="0" t="n">
        <f aca="false">J6*(1+K5/100)</f>
        <v>37378.4122302002</v>
      </c>
      <c r="L6" s="0" t="n">
        <f aca="false">K6*(1+L5/100)</f>
        <v>38686.6566582572</v>
      </c>
    </row>
    <row r="7" customFormat="false" ht="15" hidden="false" customHeight="false" outlineLevel="0" collapsed="false">
      <c r="A7" s="0" t="s">
        <v>107</v>
      </c>
      <c r="C7" s="4" t="n">
        <f aca="false">Assumptions!C42</f>
        <v>26.5</v>
      </c>
      <c r="D7" s="4" t="n">
        <f aca="false">Assumptions!D42</f>
        <v>27.5</v>
      </c>
      <c r="E7" s="4" t="n">
        <f aca="false">Assumptions!E42</f>
        <v>28.5</v>
      </c>
      <c r="F7" s="4" t="n">
        <f aca="false">Assumptions!F42</f>
        <v>29.5</v>
      </c>
      <c r="G7" s="4" t="n">
        <f aca="false">Assumptions!G42</f>
        <v>30</v>
      </c>
      <c r="H7" s="4" t="n">
        <f aca="false">Assumptions!H42</f>
        <v>30.5</v>
      </c>
      <c r="I7" s="4" t="n">
        <f aca="false">Assumptions!I42</f>
        <v>30.5</v>
      </c>
      <c r="J7" s="4" t="n">
        <f aca="false">Assumptions!J42</f>
        <v>30.5</v>
      </c>
      <c r="K7" s="4" t="n">
        <f aca="false">Assumptions!K42</f>
        <v>30.5</v>
      </c>
      <c r="L7" s="4" t="n">
        <f aca="false">Assumptions!L42</f>
        <v>30.5</v>
      </c>
    </row>
    <row r="8" customFormat="false" ht="15" hidden="false" customHeight="false" outlineLevel="0" collapsed="false">
      <c r="A8" s="0" t="s">
        <v>43</v>
      </c>
      <c r="C8" s="0" t="n">
        <f aca="false">C6*C7/100</f>
        <v>5691.9827</v>
      </c>
      <c r="D8" s="0" t="n">
        <f aca="false">D6*D7/100</f>
        <v>6438.384205</v>
      </c>
      <c r="E8" s="0" t="n">
        <f aca="false">E6*E7/100</f>
        <v>7306.395457365</v>
      </c>
      <c r="F8" s="0" t="n">
        <f aca="false">F6*F7/100</f>
        <v>8243.40862917795</v>
      </c>
      <c r="G8" s="0" t="n">
        <f aca="false">G6*G7/100</f>
        <v>9053.77761306324</v>
      </c>
      <c r="H8" s="0" t="n">
        <f aca="false">H6*H7/100</f>
        <v>9849.0010800773</v>
      </c>
      <c r="I8" s="0" t="n">
        <f aca="false">I6*I7/100</f>
        <v>10439.9411448819</v>
      </c>
      <c r="J8" s="0" t="n">
        <f aca="false">J6*J7/100</f>
        <v>10961.938202126</v>
      </c>
      <c r="K8" s="0" t="n">
        <f aca="false">K6*K7/100</f>
        <v>11400.4157302111</v>
      </c>
      <c r="L8" s="0" t="n">
        <f aca="false">L6*L7/100</f>
        <v>11799.4302807685</v>
      </c>
    </row>
    <row r="9" customFormat="false" ht="15" hidden="false" customHeight="false" outlineLevel="0" collapsed="false">
      <c r="A9" s="0" t="s">
        <v>108</v>
      </c>
      <c r="C9" s="4" t="n">
        <f aca="false">Assumptions!C43</f>
        <v>1.45</v>
      </c>
      <c r="D9" s="4" t="n">
        <f aca="false">Assumptions!D43</f>
        <v>1.4</v>
      </c>
      <c r="E9" s="4" t="n">
        <f aca="false">Assumptions!E43</f>
        <v>1.35</v>
      </c>
      <c r="F9" s="4" t="n">
        <f aca="false">Assumptions!F43</f>
        <v>1.3</v>
      </c>
      <c r="G9" s="4" t="n">
        <f aca="false">Assumptions!G43</f>
        <v>1.25</v>
      </c>
      <c r="H9" s="4" t="n">
        <f aca="false">Assumptions!H43</f>
        <v>1.2</v>
      </c>
      <c r="I9" s="4" t="n">
        <f aca="false">Assumptions!I43</f>
        <v>1.2</v>
      </c>
      <c r="J9" s="4" t="n">
        <f aca="false">Assumptions!J43</f>
        <v>1.2</v>
      </c>
      <c r="K9" s="4" t="n">
        <f aca="false">Assumptions!K43</f>
        <v>1.2</v>
      </c>
      <c r="L9" s="4" t="n">
        <f aca="false">Assumptions!L43</f>
        <v>1.2</v>
      </c>
    </row>
    <row r="10" customFormat="false" ht="15" hidden="false" customHeight="false" outlineLevel="0" collapsed="false">
      <c r="A10" s="0" t="s">
        <v>123</v>
      </c>
      <c r="C10" s="0" t="n">
        <f aca="false">-C6*C9/100</f>
        <v>-311.44811</v>
      </c>
      <c r="D10" s="0" t="n">
        <f aca="false">-D6*D9/100</f>
        <v>-327.7722868</v>
      </c>
      <c r="E10" s="0" t="n">
        <f aca="false">-E6*E9/100</f>
        <v>-346.0924164015</v>
      </c>
      <c r="F10" s="0" t="n">
        <f aca="false">-F6*F9/100</f>
        <v>-363.26885484513</v>
      </c>
      <c r="G10" s="0" t="n">
        <f aca="false">-G6*G9/100</f>
        <v>-377.240733877635</v>
      </c>
      <c r="H10" s="0" t="n">
        <f aca="false">-H6*H9/100</f>
        <v>-387.501681839107</v>
      </c>
      <c r="I10" s="0" t="n">
        <f aca="false">-I6*I9/100</f>
        <v>-410.751782749453</v>
      </c>
      <c r="J10" s="0" t="n">
        <f aca="false">-J6*J9/100</f>
        <v>-431.289371886926</v>
      </c>
      <c r="K10" s="0" t="n">
        <f aca="false">-K6*K9/100</f>
        <v>-448.540946762403</v>
      </c>
      <c r="L10" s="0" t="n">
        <f aca="false">-L6*L9/100</f>
        <v>-464.239879899087</v>
      </c>
    </row>
    <row r="11" customFormat="false" ht="15" hidden="false" customHeight="false" outlineLevel="0" collapsed="false">
      <c r="A11" s="0" t="s">
        <v>124</v>
      </c>
      <c r="C11" s="0" t="n">
        <f aca="false">C8+C10+C24</f>
        <v>5380.53459</v>
      </c>
      <c r="D11" s="0" t="n">
        <f aca="false">D8+D10+D24</f>
        <v>6110.6119182</v>
      </c>
      <c r="E11" s="0" t="n">
        <f aca="false">E8+E10+E24</f>
        <v>6960.3030409635</v>
      </c>
      <c r="F11" s="0" t="n">
        <f aca="false">F8+F10+F24</f>
        <v>7880.13977433282</v>
      </c>
      <c r="G11" s="0" t="n">
        <f aca="false">G8+G10+G24</f>
        <v>8676.53687918561</v>
      </c>
      <c r="H11" s="0" t="n">
        <f aca="false">H8+H10+H24</f>
        <v>9461.49939823819</v>
      </c>
      <c r="I11" s="0" t="n">
        <f aca="false">I8+I10+I24</f>
        <v>10029.1893621325</v>
      </c>
      <c r="J11" s="0" t="n">
        <f aca="false">J8+J10+J24</f>
        <v>10530.6488302391</v>
      </c>
      <c r="K11" s="0" t="n">
        <f aca="false">K8+K10+K24</f>
        <v>10951.8747834487</v>
      </c>
      <c r="L11" s="0" t="n">
        <f aca="false">L8+L10+L24</f>
        <v>11335.1904008694</v>
      </c>
    </row>
    <row r="12" customFormat="false" ht="15" hidden="false" customHeight="false" outlineLevel="0" collapsed="false">
      <c r="A12" s="0" t="s">
        <v>125</v>
      </c>
      <c r="C12" s="4" t="n">
        <f aca="false">-C6*Assumptions!C45/100</f>
        <v>-1374.66752</v>
      </c>
      <c r="D12" s="4" t="n">
        <f aca="false">-D6*Assumptions!D45/100</f>
        <v>-1404.738372</v>
      </c>
      <c r="E12" s="4" t="n">
        <f aca="false">-E6*Assumptions!E45/100</f>
        <v>-1461.279091473</v>
      </c>
      <c r="F12" s="4" t="n">
        <f aca="false">-F6*Assumptions!F45/100</f>
        <v>-1536.90669357555</v>
      </c>
      <c r="G12" s="4" t="n">
        <f aca="false">-G6*Assumptions!G45/100</f>
        <v>-1599.50071164117</v>
      </c>
      <c r="H12" s="4" t="n">
        <f aca="false">-H6*Assumptions!H45/100</f>
        <v>-1679.17395463613</v>
      </c>
      <c r="I12" s="4" t="n">
        <f aca="false">-I6*Assumptions!I45/100</f>
        <v>-1779.9243919143</v>
      </c>
      <c r="J12" s="4" t="n">
        <f aca="false">-J6*Assumptions!J45/100</f>
        <v>-1868.92061151001</v>
      </c>
      <c r="K12" s="4" t="n">
        <f aca="false">-K6*Assumptions!K45/100</f>
        <v>-1943.67743597041</v>
      </c>
      <c r="L12" s="4" t="n">
        <f aca="false">-L6*Assumptions!L45/100</f>
        <v>-2011.70614622938</v>
      </c>
    </row>
    <row r="13" customFormat="false" ht="15" hidden="false" customHeight="false" outlineLevel="0" collapsed="false">
      <c r="A13" s="0" t="s">
        <v>126</v>
      </c>
      <c r="C13" s="0" t="n">
        <f aca="false">C11+C12</f>
        <v>4005.86707</v>
      </c>
      <c r="D13" s="0" t="n">
        <f aca="false">D11+D12</f>
        <v>4705.8735462</v>
      </c>
      <c r="E13" s="0" t="n">
        <f aca="false">E11+E12</f>
        <v>5499.0239494905</v>
      </c>
      <c r="F13" s="0" t="n">
        <f aca="false">F11+F12</f>
        <v>6343.23308075727</v>
      </c>
      <c r="G13" s="0" t="n">
        <f aca="false">G11+G12</f>
        <v>7077.03616754443</v>
      </c>
      <c r="H13" s="0" t="n">
        <f aca="false">H11+H12</f>
        <v>7782.32544360206</v>
      </c>
      <c r="I13" s="0" t="n">
        <f aca="false">I11+I12</f>
        <v>8249.26497021818</v>
      </c>
      <c r="J13" s="0" t="n">
        <f aca="false">J11+J12</f>
        <v>8661.7282187291</v>
      </c>
      <c r="K13" s="0" t="n">
        <f aca="false">K11+K12</f>
        <v>9008.19734747826</v>
      </c>
      <c r="L13" s="0" t="n">
        <f aca="false">L11+L12</f>
        <v>9323.48425464</v>
      </c>
    </row>
    <row r="14" customFormat="false" ht="15" hidden="false" customHeight="false" outlineLevel="0" collapsed="false">
      <c r="A14" s="0" t="s">
        <v>112</v>
      </c>
      <c r="C14" s="4" t="n">
        <f aca="false">Assumptions!C47</f>
        <v>18.5</v>
      </c>
      <c r="D14" s="4" t="n">
        <f aca="false">Assumptions!D47</f>
        <v>18.5</v>
      </c>
      <c r="E14" s="4" t="n">
        <f aca="false">Assumptions!E47</f>
        <v>19</v>
      </c>
      <c r="F14" s="4" t="n">
        <f aca="false">Assumptions!F47</f>
        <v>19</v>
      </c>
      <c r="G14" s="4" t="n">
        <f aca="false">Assumptions!G47</f>
        <v>19.5</v>
      </c>
      <c r="H14" s="4" t="n">
        <f aca="false">Assumptions!H47</f>
        <v>19.5</v>
      </c>
      <c r="I14" s="4" t="n">
        <f aca="false">Assumptions!I47</f>
        <v>19.5</v>
      </c>
      <c r="J14" s="4" t="n">
        <f aca="false">Assumptions!J47</f>
        <v>19.5</v>
      </c>
      <c r="K14" s="4" t="n">
        <f aca="false">Assumptions!K47</f>
        <v>19.5</v>
      </c>
      <c r="L14" s="4" t="n">
        <f aca="false">Assumptions!L47</f>
        <v>19.5</v>
      </c>
    </row>
    <row r="15" customFormat="false" ht="15" hidden="false" customHeight="false" outlineLevel="0" collapsed="false">
      <c r="A15" s="0" t="s">
        <v>127</v>
      </c>
      <c r="C15" s="0" t="n">
        <f aca="false">C13-MAX(0,C13)*C14/100</f>
        <v>3264.78166205</v>
      </c>
      <c r="D15" s="0" t="n">
        <f aca="false">D13-MAX(0,D13)*D14/100</f>
        <v>3835.286940153</v>
      </c>
      <c r="E15" s="0" t="n">
        <f aca="false">E13-MAX(0,E13)*E14/100</f>
        <v>4454.20939908731</v>
      </c>
      <c r="F15" s="0" t="n">
        <f aca="false">F13-MAX(0,F13)*F14/100</f>
        <v>5138.01879541339</v>
      </c>
      <c r="G15" s="0" t="n">
        <f aca="false">G13-MAX(0,G13)*G14/100</f>
        <v>5697.01411487327</v>
      </c>
      <c r="H15" s="0" t="n">
        <f aca="false">H13-MAX(0,H13)*H14/100</f>
        <v>6264.77198209966</v>
      </c>
      <c r="I15" s="0" t="n">
        <f aca="false">I13-MAX(0,I13)*I14/100</f>
        <v>6640.65830102564</v>
      </c>
      <c r="J15" s="0" t="n">
        <f aca="false">J13-MAX(0,J13)*J14/100</f>
        <v>6972.69121607692</v>
      </c>
      <c r="K15" s="0" t="n">
        <f aca="false">K13-MAX(0,K13)*K14/100</f>
        <v>7251.59886472</v>
      </c>
      <c r="L15" s="0" t="n">
        <f aca="false">L13-MAX(0,L13)*L14/100</f>
        <v>7505.4048249852</v>
      </c>
    </row>
    <row r="16" customFormat="false" ht="15" hidden="false" customHeight="false" outlineLevel="0" collapsed="false">
      <c r="A16" s="0" t="s">
        <v>128</v>
      </c>
      <c r="C16" s="0" t="n">
        <f aca="false">-C12</f>
        <v>1374.66752</v>
      </c>
      <c r="D16" s="0" t="n">
        <f aca="false">-D12</f>
        <v>1404.738372</v>
      </c>
      <c r="E16" s="0" t="n">
        <f aca="false">-E12</f>
        <v>1461.279091473</v>
      </c>
      <c r="F16" s="0" t="n">
        <f aca="false">-F12</f>
        <v>1536.90669357555</v>
      </c>
      <c r="G16" s="0" t="n">
        <f aca="false">-G12</f>
        <v>1599.50071164117</v>
      </c>
      <c r="H16" s="0" t="n">
        <f aca="false">-H12</f>
        <v>1679.17395463613</v>
      </c>
      <c r="I16" s="0" t="n">
        <f aca="false">-I12</f>
        <v>1779.9243919143</v>
      </c>
      <c r="J16" s="0" t="n">
        <f aca="false">-J12</f>
        <v>1868.92061151001</v>
      </c>
      <c r="K16" s="0" t="n">
        <f aca="false">-K12</f>
        <v>1943.67743597041</v>
      </c>
      <c r="L16" s="0" t="n">
        <f aca="false">-L12</f>
        <v>2011.70614622938</v>
      </c>
    </row>
    <row r="17" customFormat="false" ht="15" hidden="false" customHeight="false" outlineLevel="0" collapsed="false">
      <c r="A17" s="0" t="s">
        <v>129</v>
      </c>
      <c r="C17" s="4" t="n">
        <f aca="false">-C6*Assumptions!C46/100</f>
        <v>-988.04228</v>
      </c>
      <c r="D17" s="4" t="n">
        <f aca="false">-D6*Assumptions!D46/100</f>
        <v>-1076.9660852</v>
      </c>
      <c r="E17" s="4" t="n">
        <f aca="false">-E6*Assumptions!E46/100</f>
        <v>-1179.277863294</v>
      </c>
      <c r="F17" s="4" t="n">
        <f aca="false">-F6*Assumptions!F46/100</f>
        <v>-1257.46911292545</v>
      </c>
      <c r="G17" s="4" t="n">
        <f aca="false">-G6*Assumptions!G46/100</f>
        <v>-1358.06664195949</v>
      </c>
      <c r="H17" s="4" t="n">
        <f aca="false">-H6*Assumptions!H46/100</f>
        <v>-1453.13130689665</v>
      </c>
      <c r="I17" s="4" t="n">
        <f aca="false">-I6*Assumptions!I46/100</f>
        <v>-1540.31918531045</v>
      </c>
      <c r="J17" s="4" t="n">
        <f aca="false">-J6*Assumptions!J46/100</f>
        <v>-1617.33514457597</v>
      </c>
      <c r="K17" s="4" t="n">
        <f aca="false">-K6*Assumptions!K46/100</f>
        <v>-1682.02855035901</v>
      </c>
      <c r="L17" s="4" t="n">
        <f aca="false">-L6*Assumptions!L46/100</f>
        <v>-1740.89954962158</v>
      </c>
    </row>
    <row r="18" customFormat="false" ht="15" hidden="false" customHeight="false" outlineLevel="0" collapsed="false">
      <c r="A18" s="0" t="s">
        <v>130</v>
      </c>
      <c r="C18" s="4" t="n">
        <f aca="false">(C6-B6)*Assumptions!$B$51/100</f>
        <v>-84.3108</v>
      </c>
      <c r="D18" s="4" t="n">
        <f aca="false">(D6-C6)*Assumptions!$B$51/100</f>
        <v>-115.987572</v>
      </c>
      <c r="E18" s="4" t="n">
        <f aca="false">(E6-D6)*Assumptions!$B$51/100</f>
        <v>-133.45014534</v>
      </c>
      <c r="F18" s="4" t="n">
        <f aca="false">(F6-E6)*Assumptions!$B$51/100</f>
        <v>-138.4369665606</v>
      </c>
      <c r="G18" s="4" t="n">
        <f aca="false">(G6-F6)*Assumptions!$B$51/100</f>
        <v>-134.130038712048</v>
      </c>
      <c r="H18" s="4" t="n">
        <f aca="false">(H6-G6)*Assumptions!$B$51/100</f>
        <v>-126.752886582885</v>
      </c>
      <c r="I18" s="4" t="n">
        <f aca="false">(I6-H6)*Assumptions!$B$51/100</f>
        <v>-116.250504551732</v>
      </c>
      <c r="J18" s="4" t="n">
        <f aca="false">(J6-I6)*Assumptions!$B$51/100</f>
        <v>-102.687945687363</v>
      </c>
      <c r="K18" s="4" t="n">
        <f aca="false">(K6-J6)*Assumptions!$B$51/100</f>
        <v>-86.2578743773852</v>
      </c>
      <c r="L18" s="4" t="n">
        <f aca="false">(L6-K6)*Assumptions!$B$51/100</f>
        <v>-78.4946656834203</v>
      </c>
    </row>
    <row r="19" customFormat="false" ht="15" hidden="false" customHeight="false" outlineLevel="0" collapsed="false">
      <c r="A19" s="0" t="s">
        <v>131</v>
      </c>
      <c r="C19" s="0" t="n">
        <f aca="false">C15+C16+C17+C18</f>
        <v>3567.09610205</v>
      </c>
      <c r="D19" s="0" t="n">
        <f aca="false">D15+D16+D17+D18</f>
        <v>4047.071654953</v>
      </c>
      <c r="E19" s="0" t="n">
        <f aca="false">E15+E16+E17+E18</f>
        <v>4602.76048192631</v>
      </c>
      <c r="F19" s="0" t="n">
        <f aca="false">F15+F16+F17+F18</f>
        <v>5279.01940950289</v>
      </c>
      <c r="G19" s="0" t="n">
        <f aca="false">G15+G16+G17+G18</f>
        <v>5804.31814584291</v>
      </c>
      <c r="H19" s="0" t="n">
        <f aca="false">H15+H16+H17+H18</f>
        <v>6364.06174325625</v>
      </c>
      <c r="I19" s="0" t="n">
        <f aca="false">I15+I16+I17+I18</f>
        <v>6764.01300307775</v>
      </c>
      <c r="J19" s="0" t="n">
        <f aca="false">J15+J16+J17+J18</f>
        <v>7121.5887373236</v>
      </c>
      <c r="K19" s="0" t="n">
        <f aca="false">K15+K16+K17+K18</f>
        <v>7426.98987595401</v>
      </c>
      <c r="L19" s="0" t="n">
        <f aca="false">L15+L16+L17+L18</f>
        <v>7697.71675590958</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3302.86676115741</v>
      </c>
      <c r="D21" s="0" t="n">
        <f aca="false">D19*D20</f>
        <v>3469.71163833419</v>
      </c>
      <c r="E21" s="0" t="n">
        <f aca="false">E19*E20</f>
        <v>3653.81966824664</v>
      </c>
      <c r="F21" s="0" t="n">
        <f aca="false">F19*F20</f>
        <v>3880.23685947653</v>
      </c>
      <c r="G21" s="0" t="n">
        <f aca="false">G19*G20</f>
        <v>3950.32140029879</v>
      </c>
      <c r="H21" s="0" t="n">
        <f aca="false">H19*H20</f>
        <v>4010.43841420883</v>
      </c>
      <c r="I21" s="0" t="n">
        <f aca="false">I19*I20</f>
        <v>3946.73662072405</v>
      </c>
      <c r="J21" s="0" t="n">
        <f aca="false">J19*J20</f>
        <v>3847.57280299566</v>
      </c>
      <c r="K21" s="0" t="n">
        <f aca="false">K19*K20</f>
        <v>3715.3440143418</v>
      </c>
      <c r="L21" s="0" t="n">
        <f aca="false">L19*L20</f>
        <v>3565.53227445768</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8</v>
      </c>
    </row>
    <row r="28" customFormat="false" ht="15" hidden="false" customHeight="false" outlineLevel="0" collapsed="false">
      <c r="A28" s="0" t="s">
        <v>114</v>
      </c>
      <c r="B28" s="4" t="n">
        <f aca="false">Assumptions!$B$49</f>
        <v>3.5</v>
      </c>
    </row>
    <row r="29" customFormat="false" ht="15" hidden="false" customHeight="false" outlineLevel="0" collapsed="false">
      <c r="A29" s="0" t="s">
        <v>115</v>
      </c>
      <c r="B29" s="4" t="n">
        <f aca="false">Assumptions!$B$50</f>
        <v>20</v>
      </c>
    </row>
    <row r="30" customFormat="false" ht="15" hidden="false" customHeight="false" outlineLevel="0" collapsed="false">
      <c r="A30" s="0" t="s">
        <v>136</v>
      </c>
      <c r="B30" s="0" t="n">
        <f aca="false">SUM(C21:L21)</f>
        <v>37342.5804542416</v>
      </c>
    </row>
    <row r="31" customFormat="false" ht="15" hidden="false" customHeight="false" outlineLevel="0" collapsed="false">
      <c r="A31" s="0" t="s">
        <v>137</v>
      </c>
      <c r="B31" s="0" t="n">
        <f aca="false">L19</f>
        <v>7697.71675590958</v>
      </c>
    </row>
    <row r="32" customFormat="false" ht="15" hidden="false" customHeight="false" outlineLevel="0" collapsed="false">
      <c r="A32" s="0" t="s">
        <v>138</v>
      </c>
      <c r="B32" s="0" t="n">
        <f aca="false">IF(B27&gt;B28,B31*(1+B28/100)/((B27-B28)/100),B31*B29)</f>
        <v>177047.48538592</v>
      </c>
    </row>
    <row r="33" customFormat="false" ht="15" hidden="false" customHeight="false" outlineLevel="0" collapsed="false">
      <c r="A33" s="0" t="s">
        <v>139</v>
      </c>
      <c r="B33" s="0" t="n">
        <f aca="false">B31*B29</f>
        <v>153954.335118192</v>
      </c>
    </row>
    <row r="34" customFormat="false" ht="15" hidden="false" customHeight="false" outlineLevel="0" collapsed="false">
      <c r="A34" s="0" t="s">
        <v>140</v>
      </c>
      <c r="B34" s="0" t="n">
        <f aca="false">MAX(0,MIN(B32,B33))</f>
        <v>153954.335118192</v>
      </c>
    </row>
    <row r="35" customFormat="false" ht="15" hidden="false" customHeight="false" outlineLevel="0" collapsed="false">
      <c r="A35" s="0" t="s">
        <v>141</v>
      </c>
      <c r="B35" s="0" t="n">
        <f aca="false">B34/(1+B27/100)^L4</f>
        <v>71310.6454891535</v>
      </c>
    </row>
    <row r="36" customFormat="false" ht="15" hidden="false" customHeight="false" outlineLevel="0" collapsed="false">
      <c r="A36" s="0" t="s">
        <v>142</v>
      </c>
      <c r="B36" s="0" t="n">
        <f aca="false">B30+B35</f>
        <v>108653.225943395</v>
      </c>
    </row>
    <row r="37" customFormat="false" ht="15" hidden="false" customHeight="false" outlineLevel="0" collapsed="false">
      <c r="A37" s="0" t="s">
        <v>143</v>
      </c>
      <c r="B37" s="0" t="n">
        <f aca="false">B36+Assumptions!$B$5-Assumptions!$B$4</f>
        <v>96568.2259433951</v>
      </c>
    </row>
    <row r="38" customFormat="false" ht="15" hidden="false" customHeight="false" outlineLevel="0" collapsed="false">
      <c r="A38" s="0" t="s">
        <v>144</v>
      </c>
      <c r="B38" s="0" t="n">
        <f aca="false">B37/Assumptions!$B$3*Assumptions!$B$10</f>
        <v>65.4788621802245</v>
      </c>
    </row>
    <row r="39" customFormat="false" ht="15" hidden="false" customHeight="false" outlineLevel="0" collapsed="false">
      <c r="A39" s="0" t="s">
        <v>145</v>
      </c>
      <c r="B39" s="4" t="n">
        <f aca="false">B38/Assumptions!$B$2-1</f>
        <v>0.490866625232798</v>
      </c>
    </row>
    <row r="41" customFormat="false" ht="15" hidden="false" customHeight="false" outlineLevel="0" collapsed="false">
      <c r="A41" s="0" t="s">
        <v>146</v>
      </c>
      <c r="B41" s="0" t="n">
        <f aca="false">SUMPRODUCT(-C10:L10/(1+$B$27/100)^C4:L4)</f>
        <v>2524.17503424227</v>
      </c>
    </row>
    <row r="42" customFormat="false" ht="15" hidden="false" customHeight="false" outlineLevel="0" collapsed="false">
      <c r="A42" s="0" t="s">
        <v>147</v>
      </c>
      <c r="B42" s="0" t="n">
        <f aca="false">IF(B27&gt;B28,-L10*(1+B28/100)/((B27-B28)/100),-L10*20)/(1+B27/100)^L4</f>
        <v>4945.75645340488</v>
      </c>
    </row>
    <row r="43" customFormat="false" ht="15" hidden="false" customHeight="false" outlineLevel="0" collapsed="false">
      <c r="A43" s="0" t="s">
        <v>148</v>
      </c>
      <c r="B43" s="0" t="n">
        <f aca="false">(B37+B41+B42)/Assumptions!$B$3*Assumptions!$B$10</f>
        <v>70.5439092968825</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69279.4508031862</v>
      </c>
    </row>
    <row r="47" customFormat="false" ht="15" hidden="false" customHeight="false" outlineLevel="0" collapsed="false">
      <c r="A47" s="0" t="s">
        <v>150</v>
      </c>
      <c r="B47" s="0" t="n">
        <f aca="false">(SUMPRODUCT(C19:L19/(1+B45/100)^C4:L4)+B46/(1+B45/100)^L4+Assumptions!$B$5-Assumptions!$B$4)/Assumptions!$B$3*Assumptions!$B$10</f>
        <v>21.5408893321357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19.2729291638122</v>
      </c>
      <c r="C4" s="0" t="n">
        <f aca="false">B4/Assumptions!$B$2-1</f>
        <v>-0.561181029967846</v>
      </c>
      <c r="D4" s="4" t="n">
        <f aca="false">Assumptions!$B$24</f>
        <v>0.25</v>
      </c>
      <c r="E4" s="4" t="n">
        <f aca="false">DCF_Bear!$B$43</f>
        <v>22.1643321089579</v>
      </c>
      <c r="F4" s="4" t="n">
        <f aca="false">DCF_Bear!$B$47</f>
        <v>7.36635978700939</v>
      </c>
    </row>
    <row r="5" customFormat="false" ht="15" hidden="false" customHeight="false" outlineLevel="0" collapsed="false">
      <c r="A5" s="0" t="s">
        <v>159</v>
      </c>
      <c r="B5" s="4" t="n">
        <f aca="false">DCF_Base!$B$38</f>
        <v>42.0945284451132</v>
      </c>
      <c r="C5" s="0" t="n">
        <f aca="false">B5/Assumptions!$B$2-1</f>
        <v>-0.0415635599928692</v>
      </c>
      <c r="D5" s="4" t="n">
        <f aca="false">Assumptions!$B$38</f>
        <v>0.5</v>
      </c>
      <c r="E5" s="4" t="n">
        <f aca="false">DCF_Base!$B$43</f>
        <v>46.3732366021812</v>
      </c>
      <c r="F5" s="4" t="n">
        <f aca="false">DCF_Base!$B$47</f>
        <v>14.5744307813373</v>
      </c>
    </row>
    <row r="6" customFormat="false" ht="15" hidden="false" customHeight="false" outlineLevel="0" collapsed="false">
      <c r="A6" s="0" t="s">
        <v>160</v>
      </c>
      <c r="B6" s="4" t="n">
        <f aca="false">DCF_Bull!$B$38</f>
        <v>65.4788621802245</v>
      </c>
      <c r="C6" s="0" t="n">
        <f aca="false">B6/Assumptions!$B$2-1</f>
        <v>0.490866625232798</v>
      </c>
      <c r="D6" s="4" t="n">
        <f aca="false">Assumptions!$B$52</f>
        <v>0.25</v>
      </c>
      <c r="E6" s="4" t="n">
        <f aca="false">DCF_Bull!$B$43</f>
        <v>70.5439092968825</v>
      </c>
      <c r="F6" s="4" t="n">
        <f aca="false">DCF_Bull!$B$47</f>
        <v>21.5408893321357</v>
      </c>
    </row>
    <row r="8" customFormat="false" ht="15" hidden="false" customHeight="false" outlineLevel="0" collapsed="false">
      <c r="A8" s="0" t="s">
        <v>161</v>
      </c>
      <c r="B8" s="0" t="n">
        <f aca="false">SUMPRODUCT(B4:B6,D4:D6)</f>
        <v>42.2352120585658</v>
      </c>
    </row>
    <row r="9" customFormat="false" ht="15" hidden="false" customHeight="false" outlineLevel="0" collapsed="false">
      <c r="A9" s="0" t="s">
        <v>162</v>
      </c>
      <c r="B9" s="0" t="n">
        <f aca="false">SUMPRODUCT(E4:E6,D4:D6)</f>
        <v>46.3636786525507</v>
      </c>
    </row>
    <row r="10" customFormat="false" ht="15" hidden="false" customHeight="false" outlineLevel="0" collapsed="false">
      <c r="A10" s="0" t="s">
        <v>163</v>
      </c>
      <c r="B10" s="0" t="n">
        <f aca="false">1-Assumptions!$B$2/B8</f>
        <v>-0.0398905997937931</v>
      </c>
    </row>
    <row r="11" customFormat="false" ht="15" hidden="false" customHeight="false" outlineLevel="0" collapsed="false">
      <c r="A11" s="0" t="s">
        <v>164</v>
      </c>
      <c r="B11" s="0" t="n">
        <f aca="false">IF(ABS(B9-B8)&gt;0.01*ABS(B8),(Assumptions!$B$2-B8)/(B9-B8)*100,"n/a")</f>
        <v>40.8090486644349</v>
      </c>
    </row>
    <row r="12" customFormat="false" ht="15" hidden="false" customHeight="false" outlineLevel="0" collapsed="false">
      <c r="A12" s="0" t="s">
        <v>165</v>
      </c>
      <c r="B12" s="0" t="n">
        <f aca="false">SUMPRODUCT(F4:F6,D4:D6)</f>
        <v>14.5140276704549</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42.0945284451132</v>
      </c>
      <c r="C15" s="3" t="n">
        <v>8.5</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38.8886400560657</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31.9147334494346</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26.6945419227758</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22.6429359542362</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14.5744307813373</v>
      </c>
      <c r="C20" s="3" t="n">
        <v>15</v>
      </c>
    </row>
    <row r="22" customFormat="false" ht="15" hidden="false" customHeight="false" outlineLevel="0" collapsed="false">
      <c r="A22" s="2" t="s">
        <v>174</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50.4397523864431</v>
      </c>
      <c r="C24" s="0" t="n">
        <f aca="false">(SUMPRODUCT(DCF_Base!$C$19:$L$19/(1+$A$24/100)^DCF_Base!$C$4:$L$4)+MAX(0,MIN(IF($A$24&gt;$C$23,DCF_Base!$L$19*(1+$C$23/100)/(($A$24-$C$23)/100),DCF_Base!$L$19*DCF_Base!$B$29),DCF_Base!$L$19*DCF_Base!$B$29))/(1+$A$24/100)^DCF_Base!$L$4+Assumptions!$B$5-Assumptions!$B$4)/Assumptions!$B$3*Assumptions!$B$10</f>
        <v>50.4397523864431</v>
      </c>
      <c r="D24" s="0" t="n">
        <f aca="false">(SUMPRODUCT(DCF_Base!$C$19:$L$19/(1+$A$24/100)^DCF_Base!$C$4:$L$4)+MAX(0,MIN(IF($A$24&gt;$D$23,DCF_Base!$L$19*(1+$D$23/100)/(($A$24-$D$23)/100),DCF_Base!$L$19*DCF_Base!$B$29),DCF_Base!$L$19*DCF_Base!$B$29))/(1+$A$24/100)^DCF_Base!$L$4+Assumptions!$B$5-Assumptions!$B$4)/Assumptions!$B$3*Assumptions!$B$10</f>
        <v>50.4397523864431</v>
      </c>
      <c r="E24" s="0" t="n">
        <f aca="false">(SUMPRODUCT(DCF_Base!$C$19:$L$19/(1+$A$24/100)^DCF_Base!$C$4:$L$4)+MAX(0,MIN(IF($A$24&gt;$E$23,DCF_Base!$L$19*(1+$E$23/100)/(($A$24-$E$23)/100),DCF_Base!$L$19*DCF_Base!$B$29),DCF_Base!$L$19*DCF_Base!$B$29))/(1+$A$24/100)^DCF_Base!$L$4+Assumptions!$B$5-Assumptions!$B$4)/Assumptions!$B$3*Assumptions!$B$10</f>
        <v>50.4397523864431</v>
      </c>
      <c r="F24" s="0" t="n">
        <f aca="false">(SUMPRODUCT(DCF_Base!$C$19:$L$19/(1+$A$24/100)^DCF_Base!$C$4:$L$4)+MAX(0,MIN(IF($A$24&gt;$F$23,DCF_Base!$L$19*(1+$F$23/100)/(($A$24-$F$23)/100),DCF_Base!$L$19*DCF_Base!$B$29),DCF_Base!$L$19*DCF_Base!$B$29))/(1+$A$24/100)^DCF_Base!$L$4+Assumptions!$B$5-Assumptions!$B$4)/Assumptions!$B$3*Assumptions!$B$10</f>
        <v>50.4397523864431</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46.0688244404577</v>
      </c>
      <c r="C25" s="0" t="n">
        <f aca="false">(SUMPRODUCT(DCF_Base!$C$19:$L$19/(1+$A$25/100)^DCF_Base!$C$4:$L$4)+MAX(0,MIN(IF($A$25&gt;$C$23,DCF_Base!$L$19*(1+$C$23/100)/(($A$25-$C$23)/100),DCF_Base!$L$19*DCF_Base!$B$29),DCF_Base!$L$19*DCF_Base!$B$29))/(1+$A$25/100)^DCF_Base!$L$4+Assumptions!$B$5-Assumptions!$B$4)/Assumptions!$B$3*Assumptions!$B$10</f>
        <v>46.0688244404577</v>
      </c>
      <c r="D25" s="0" t="n">
        <f aca="false">(SUMPRODUCT(DCF_Base!$C$19:$L$19/(1+$A$25/100)^DCF_Base!$C$4:$L$4)+MAX(0,MIN(IF($A$25&gt;$D$23,DCF_Base!$L$19*(1+$D$23/100)/(($A$25-$D$23)/100),DCF_Base!$L$19*DCF_Base!$B$29),DCF_Base!$L$19*DCF_Base!$B$29))/(1+$A$25/100)^DCF_Base!$L$4+Assumptions!$B$5-Assumptions!$B$4)/Assumptions!$B$3*Assumptions!$B$10</f>
        <v>46.0688244404577</v>
      </c>
      <c r="E25" s="0" t="n">
        <f aca="false">(SUMPRODUCT(DCF_Base!$C$19:$L$19/(1+$A$25/100)^DCF_Base!$C$4:$L$4)+MAX(0,MIN(IF($A$25&gt;$E$23,DCF_Base!$L$19*(1+$E$23/100)/(($A$25-$E$23)/100),DCF_Base!$L$19*DCF_Base!$B$29),DCF_Base!$L$19*DCF_Base!$B$29))/(1+$A$25/100)^DCF_Base!$L$4+Assumptions!$B$5-Assumptions!$B$4)/Assumptions!$B$3*Assumptions!$B$10</f>
        <v>46.0688244404577</v>
      </c>
      <c r="F25" s="0" t="n">
        <f aca="false">(SUMPRODUCT(DCF_Base!$C$19:$L$19/(1+$A$25/100)^DCF_Base!$C$4:$L$4)+MAX(0,MIN(IF($A$25&gt;$F$23,DCF_Base!$L$19*(1+$F$23/100)/(($A$25-$F$23)/100),DCF_Base!$L$19*DCF_Base!$B$29),DCF_Base!$L$19*DCF_Base!$B$29))/(1+$A$25/100)^DCF_Base!$L$4+Assumptions!$B$5-Assumptions!$B$4)/Assumptions!$B$3*Assumptions!$B$10</f>
        <v>46.0688244404577</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38.1664433631729</v>
      </c>
      <c r="C26" s="0" t="n">
        <f aca="false">(SUMPRODUCT(DCF_Base!$C$19:$L$19/(1+$A$26/100)^DCF_Base!$C$4:$L$4)+MAX(0,MIN(IF($A$26&gt;$C$23,DCF_Base!$L$19*(1+$C$23/100)/(($A$26-$C$23)/100),DCF_Base!$L$19*DCF_Base!$B$29),DCF_Base!$L$19*DCF_Base!$B$29))/(1+$A$26/100)^DCF_Base!$L$4+Assumptions!$B$5-Assumptions!$B$4)/Assumptions!$B$3*Assumptions!$B$10</f>
        <v>40.5342057597869</v>
      </c>
      <c r="D26" s="0" t="n">
        <f aca="false">(SUMPRODUCT(DCF_Base!$C$19:$L$19/(1+$A$26/100)^DCF_Base!$C$4:$L$4)+MAX(0,MIN(IF($A$26&gt;$D$23,DCF_Base!$L$19*(1+$D$23/100)/(($A$26-$D$23)/100),DCF_Base!$L$19*DCF_Base!$B$29),DCF_Base!$L$19*DCF_Base!$B$29))/(1+$A$26/100)^DCF_Base!$L$4+Assumptions!$B$5-Assumptions!$B$4)/Assumptions!$B$3*Assumptions!$B$10</f>
        <v>42.0945284451132</v>
      </c>
      <c r="E26" s="0" t="n">
        <f aca="false">(SUMPRODUCT(DCF_Base!$C$19:$L$19/(1+$A$26/100)^DCF_Base!$C$4:$L$4)+MAX(0,MIN(IF($A$26&gt;$E$23,DCF_Base!$L$19*(1+$E$23/100)/(($A$26-$E$23)/100),DCF_Base!$L$19*DCF_Base!$B$29),DCF_Base!$L$19*DCF_Base!$B$29))/(1+$A$26/100)^DCF_Base!$L$4+Assumptions!$B$5-Assumptions!$B$4)/Assumptions!$B$3*Assumptions!$B$10</f>
        <v>42.0945284451132</v>
      </c>
      <c r="F26" s="0" t="n">
        <f aca="false">(SUMPRODUCT(DCF_Base!$C$19:$L$19/(1+$A$26/100)^DCF_Base!$C$4:$L$4)+MAX(0,MIN(IF($A$26&gt;$F$23,DCF_Base!$L$19*(1+$F$23/100)/(($A$26-$F$23)/100),DCF_Base!$L$19*DCF_Base!$B$29),DCF_Base!$L$19*DCF_Base!$B$29))/(1+$A$26/100)^DCF_Base!$L$4+Assumptions!$B$5-Assumptions!$B$4)/Assumptions!$B$3*Assumptions!$B$10</f>
        <v>42.0945284451132</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31.6436555189767</v>
      </c>
      <c r="C27" s="0" t="n">
        <f aca="false">(SUMPRODUCT(DCF_Base!$C$19:$L$19/(1+$A$27/100)^DCF_Base!$C$4:$L$4)+MAX(0,MIN(IF($A$27&gt;$C$23,DCF_Base!$L$19*(1+$C$23/100)/(($A$27-$C$23)/100),DCF_Base!$L$19*DCF_Base!$B$29),DCF_Base!$L$19*DCF_Base!$B$29))/(1+$A$27/100)^DCF_Base!$L$4+Assumptions!$B$5-Assumptions!$B$4)/Assumptions!$B$3*Assumptions!$B$10</f>
        <v>33.2631668605987</v>
      </c>
      <c r="D27" s="0" t="n">
        <f aca="false">(SUMPRODUCT(DCF_Base!$C$19:$L$19/(1+$A$27/100)^DCF_Base!$C$4:$L$4)+MAX(0,MIN(IF($A$27&gt;$D$23,DCF_Base!$L$19*(1+$D$23/100)/(($A$27-$D$23)/100),DCF_Base!$L$19*DCF_Base!$B$29),DCF_Base!$L$19*DCF_Base!$B$29))/(1+$A$27/100)^DCF_Base!$L$4+Assumptions!$B$5-Assumptions!$B$4)/Assumptions!$B$3*Assumptions!$B$10</f>
        <v>35.1318337932394</v>
      </c>
      <c r="E27" s="0" t="n">
        <f aca="false">(SUMPRODUCT(DCF_Base!$C$19:$L$19/(1+$A$27/100)^DCF_Base!$C$4:$L$4)+MAX(0,MIN(IF($A$27&gt;$E$23,DCF_Base!$L$19*(1+$E$23/100)/(($A$27-$E$23)/100),DCF_Base!$L$19*DCF_Base!$B$29),DCF_Base!$L$19*DCF_Base!$B$29))/(1+$A$27/100)^DCF_Base!$L$4+Assumptions!$B$5-Assumptions!$B$4)/Assumptions!$B$3*Assumptions!$B$10</f>
        <v>37.3119452146536</v>
      </c>
      <c r="F27" s="0" t="n">
        <f aca="false">(SUMPRODUCT(DCF_Base!$C$19:$L$19/(1+$A$27/100)^DCF_Base!$C$4:$L$4)+MAX(0,MIN(IF($A$27&gt;$F$23,DCF_Base!$L$19*(1+$F$23/100)/(($A$27-$F$23)/100),DCF_Base!$L$19*DCF_Base!$B$29),DCF_Base!$L$19*DCF_Base!$B$29))/(1+$A$27/100)^DCF_Base!$L$4+Assumptions!$B$5-Assumptions!$B$4)/Assumptions!$B$3*Assumptions!$B$10</f>
        <v>38.4766622754091</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26.6714348917863</v>
      </c>
      <c r="C28" s="0" t="n">
        <f aca="false">(SUMPRODUCT(DCF_Base!$C$19:$L$19/(1+$A$28/100)^DCF_Base!$C$4:$L$4)+MAX(0,MIN(IF($A$28&gt;$C$23,DCF_Base!$L$19*(1+$C$23/100)/(($A$28-$C$23)/100),DCF_Base!$L$19*DCF_Base!$B$29),DCF_Base!$L$19*DCF_Base!$B$29))/(1+$A$28/100)^DCF_Base!$L$4+Assumptions!$B$5-Assumptions!$B$4)/Assumptions!$B$3*Assumptions!$B$10</f>
        <v>27.8235634847466</v>
      </c>
      <c r="D28" s="0" t="n">
        <f aca="false">(SUMPRODUCT(DCF_Base!$C$19:$L$19/(1+$A$28/100)^DCF_Base!$C$4:$L$4)+MAX(0,MIN(IF($A$28&gt;$D$23,DCF_Base!$L$19*(1+$D$23/100)/(($A$28-$D$23)/100),DCF_Base!$L$19*DCF_Base!$B$29),DCF_Base!$L$19*DCF_Base!$B$29))/(1+$A$28/100)^DCF_Base!$L$4+Assumptions!$B$5-Assumptions!$B$4)/Assumptions!$B$3*Assumptions!$B$10</f>
        <v>29.129309223435</v>
      </c>
      <c r="E28" s="0" t="n">
        <f aca="false">(SUMPRODUCT(DCF_Base!$C$19:$L$19/(1+$A$28/100)^DCF_Base!$C$4:$L$4)+MAX(0,MIN(IF($A$28&gt;$E$23,DCF_Base!$L$19*(1+$E$23/100)/(($A$28-$E$23)/100),DCF_Base!$L$19*DCF_Base!$B$29),DCF_Base!$L$19*DCF_Base!$B$29))/(1+$A$28/100)^DCF_Base!$L$4+Assumptions!$B$5-Assumptions!$B$4)/Assumptions!$B$3*Assumptions!$B$10</f>
        <v>30.6215900676502</v>
      </c>
      <c r="F28" s="0" t="n">
        <f aca="false">(SUMPRODUCT(DCF_Base!$C$19:$L$19/(1+$A$28/100)^DCF_Base!$C$4:$L$4)+MAX(0,MIN(IF($A$28&gt;$F$23,DCF_Base!$L$19*(1+$F$23/100)/(($A$28-$F$23)/100),DCF_Base!$L$19*DCF_Base!$B$29),DCF_Base!$L$19*DCF_Base!$B$29))/(1+$A$28/100)^DCF_Base!$L$4+Assumptions!$B$5-Assumptions!$B$4)/Assumptions!$B$3*Assumptions!$B$10</f>
        <v>32.3434525802063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2026-09-25T23:45:33Z</dcterms:created>
  <dc:creator>openpyxl</dc:creator>
  <dc:description/>
  <dc:language>en-NZ</dc:language>
  <cp:lastModifiedBy/>
  <dcterms:modified xsi:type="dcterms:W3CDTF">2026-09-25T23:45:33Z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