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<sst xmlns="http://schemas.openxmlformats.org/spreadsheetml/2006/main" count="364" uniqueCount="174">
  <si>
    <t xml:space="preserve">Ticker</t>
  </si>
  <si>
    <t xml:space="preserve">0700.HK</t>
  </si>
  <si>
    <t xml:space="preserve">Company</t>
  </si>
  <si>
    <t xml:space="preserve">Tencent Holdings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</si>
  <si>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</si>
  <si>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</si>
  <si>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</si>
  <si>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</si>
  <si>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 Friday session; valuation written Sunday 2026-10-11)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</si>
  <si>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</si>
  <si>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</si>
  <si>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</si>
  <si>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</si>
  <si>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</si>
  <si>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</si>
  <si>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</si>
  <si>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</si>
  <si>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</si>
  <si>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</si>
  <si>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</si>
  <si>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</si>
  <si>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</si>
  <si>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2026-10-11T06:26:00Z</t>
  </si>
  <si>
    <t xml:space="preserve">Drivers file</t>
  </si>
  <si>
    <t xml:space="preserve">0700.HK_Drivers.json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</si>
  <si>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</si>
  <si>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</si>
  <si>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</si>
  <si>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House basis: owner FCF with SBC fully expensed, the AI capex step-up modelled explicitly year by year rather than mid-cycled (capex 30% of revenue in FY2026 settling at 12.5%, D&amp;A catching up on a lag), leases charged as an operating cost, NCI deducted once, and the RMB903bn investment portfolio added to the bridge at a 15-30% haircut because its income is already outside the flows. Flows in RMB discounted at an 8.5% CNY WACC with no stacked risk premium; China regulatory, geopolitical and AI-return risk is charged once through a 25% bear weight. Per-share values computed in RMB and converted to HKD at 1.1721, verified against the 80700.HK RMB counter. The stock sits at the bottom of its 52-week range (411-664) because the market is pricing the FY2026 FCF collapse as if it were permanent; the model's answer depends on whether capex normalises, which is the central thing to monitor.
key_risks_to_valuation: Capex path: every 1pp of permanently higher steady-state capex (12.5% base) costs roughly RMB14bn of terminal FCF; if the AI fleet needs 15%+ of revenue indefinitely (bear) the value falls sharply. Watch quarterly capex and the compute prepayment line.; Investment portfolio: ~RMB694bn after haircuts (~HKD89/share, ~21% of the price) rests on fair values that moved RMB-10bn in one quarter; a deeper China-tech drawdown or a larger holdco discount erodes it directly.; Regulatory/geopolitical: NPPA licence slowdowns, minor-protection rules, SAMR platform actions, and escalation of the US 1260H listing into chip, data or capital-markets restrictions are modelled only through the bear weight.; M&amp;A and associate investments (RMB36bn in FY2025) are excluded from the flows on the assumption they are funded by portfolio turnover; if they are a recurring cost of growth, owner FCF is overstated by ~4-5% of the base.; Cash tax: preferential 15% HNTE rates and withholding-tax provisioning are policy-dependent; each 1pp on the cash tax rate is ~RMB4bn of terminal FCF.; FX: a 5% RMB move against HKD shifts every HKD figure 5%; fx_rate is not refreshed by refresh_price.py.</t>
  </si>
  <si>
    <t xml:space="preserve">Data sources</t>
  </si>
  <si>
    <t xml:space="preserve">price: Yahoo Finance chart API at inputs.price_as_of; 52-week range 411.0-664.0 HKD. FX from Yahoo CNYHKD=X at the date in fx_note; parity against 80700.HK RMB counter and TCEHY ADR.
financials: 0700.HK_Metrics.csv (FY2018-FY2025 annual, H1 FY2023-FY2026 interim) and kpis (adjusted EBITDA/EBIT, segment revenue, capex split, term deposits, lease principal, SBC, buybacks, cash taxes); H1 FY2026 interim report for the 30 June 2026 balance sheet, share count, fair-value hierarchy and net-cash note; FY2025 annual report for the cash flow statement, non-IFRS reconciliation, tax reconciliation and the SBC one-off.
qualitative: 0700.HK_Analysis.json (2026-10-11): business model, segment trends, Q2 2026 results, AI capex commentary, 1260H designation, buyback mandate, bull/bear cases.</t>
  </si>
  <si>
    <t xml:space="preserve">Scenario narrative: bear</t>
  </si>
  <si>
    <t xml:space="preserve">Prolonged AI arms race with weak returns, gaming/platform regulation and a hardening US 1260H posture: growth fades to 2.5%, adjusted EBITDA margin compresses to 41%, capex stays above 20% of revenue through FY2029 and settles at 14%, cash tax rises to 22%, terminal multiple capped at 15x.</t>
  </si>
  <si>
    <t xml:space="preserve">Scenario narrative: base</t>
  </si>
  <si>
    <t xml:space="preserve">Steady compounding through the AI build: revenue +11% in FY2026 decelerating to 3% by FY2035, adjusted EBITDA margin ~45-46%, capex peaks at 30% of revenue in FY2026 and settles at 12.5% from FY2033 with D&amp;A catching up on a lag. Owner FCF is depressed to ~5% of revenue in FY2026 and recovers to the low-20s% by the terminal year. Axes: AI-ad targeting and Video Accounts (Marketing Services), International vs Domestic games growth, cloud's AI-driven acceleration, and the pace at which the compute build moderates.</t>
  </si>
  <si>
    <t xml:space="preserve">Scenario narrative: bull</t>
  </si>
  <si>
    <t xml:space="preserve">AI monetisation arrives: Hy3-powered applications, closed-loop Weixin commerce ads, International Games &gt;15% and a cloud profit inflection hold revenue growth at 10-12% for four years and lift adjusted EBITDA margin to 48%; capex moderates to 11.5% of revenue by FY2032. Owner-FCF margin reaches the high-20s.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</si>
  <si>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</si>
  <si>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</si>
  <si>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</si>
  <si>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</si>
  <si>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</si>
  <si>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</si>
  <si>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</si>
  <si>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</si>
  <si>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</si>
  <si>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</si>
  <si>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</si>
  <si>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</si>
  <si>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</si>
  <si>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</si>
  <si>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</si>
  <si>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</si>
  <si>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</si>
  <si>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</si>
  <si>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</si>
  <si>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</si>
  <si>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</si>
  <si>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</si>
  <si>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</si>
  <si>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</si>
  <si>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</si>
  <si>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</si>
  <si>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</si>
  <si>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</t>
  </si>
  <si>
    <t xml:space="preserve">AdjustedEBITDA</t>
  </si>
  <si>
    <t xml:space="preserve">CapexIntangibles</t>
  </si>
  <si>
    <t xml:space="preserve">CapexPPE</t>
  </si>
  <si>
    <t xml:space="preserve">EPSBasic</t>
  </si>
  <si>
    <t xml:space="preserve">LeasePrincipalPaid</t>
  </si>
  <si>
    <t xml:space="preserve">NetIncomeTotal</t>
  </si>
  <si>
    <t xml:space="preserve">ShareAwardSettlement</t>
  </si>
  <si>
    <t xml:space="preserve">TermDeposits</t>
  </si>
  <si>
    <t xml:space="preserve">TotalEquityInclNCI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</si>
  <si>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</si>
  <si>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</si>
  <si>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</si>
  <si>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</si>
  <si>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</si>
  <si>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</si>
  <si>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</si>
  <si>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</si>
  <si>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</si>
  <si>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</si>
  <si>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</si>
  <si>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</si>
  <si>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</si>
  <si>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</si>
  <si>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</si>
  <si>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</si>
  <si>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</si>
  <si>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</si>
  <si>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</si>
  <si>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</si>
  <si>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</si>
  <si>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</si>
  <si>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</si>
  <si>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</si>
  <si>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</si>
  <si>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</si>
  <si>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</si>
  <si>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</si>
  <si>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</si>
  <si>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</si>
  <si>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</si>
  <si>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</si>
  <si>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</si>
  <si>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</si>
  <si>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</si>
  <si>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</si>
  <si>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</si>
  <si>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</si>
  <si>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</si>
  <si>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</si>
  <si>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</si>
  <si>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</si>
  <si>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</si>
  <si>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</si>
  <si>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</si>
  <si>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0700.HK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</si>
  <si>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</si>
  <si>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</si>
  <si>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</si>
  <si>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</si>
  <si>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</si>
  <si>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</si>
  <si>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</si>
  <si>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</si>
  <si>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</si>
  <si>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</si>
  <si>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</si>
  <si>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</si>
  <si>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</si>
  <si>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</si>
  <si>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</si>
  <si>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</si>
  <si>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</si>
  <si>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</si>
  <si>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</si>
  <si>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</si>
  <si>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</si>
  <si>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</si>
  <si>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</si>
  <si>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</si>
  <si>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</si>
  <si>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</si>
  <si>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</si>
  <si>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</si>
  <si>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</si>
  <si>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</si>
  <si>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0700.HK owner-FCF component DCF: base case (millions, CNY)</t>
  </si>
  <si>
    <t xml:space="preserve">0700.HK owner-FCF component DCF: bull case (millions, CNY)</t>
  </si>
  <si>
    <t xml:space="preserve">0700.HK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</si>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</sst>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424.8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</row>
    <row r="2" customFormat="false" ht="15" hidden="false" customHeight="false" outlineLevel="0" collapsed="false">
      <c r="A2" s="0" t="s">
        <v>74</v>
      </c>
      <c r="B2" s="0" t="n">
        <v>312694</v>
      </c>
      <c r="C2" s="0" t="n">
        <v>170574</v>
      </c>
      <c r="D2" s="0" t="n">
        <v>142120</v>
      </c>
      <c r="E2" s="0" t="n">
        <v>45.5</v>
      </c>
      <c r="F2" s="0" t="n">
        <v>97648</v>
      </c>
      <c r="G2" s="0" t="n">
        <v>31.2</v>
      </c>
      <c r="H2" s="0" t="n">
        <v>110404</v>
      </c>
      <c r="I2" s="0" t="n">
        <v>78719</v>
      </c>
      <c r="J2" s="0" t="n">
        <v>25.2</v>
      </c>
      <c r="K2" s="0" t="n">
        <v>8.228</v>
      </c>
      <c r="L2" s="0" t="n">
        <v>106443</v>
      </c>
      <c r="M2" s="0" t="n">
        <v>54061</v>
      </c>
      <c r="N2" s="0" t="n">
        <v>52382</v>
      </c>
      <c r="O2" s="0" t="n">
        <v>323510</v>
      </c>
      <c r="P2" s="0" t="n">
        <v>723521</v>
      </c>
      <c r="Q2" s="0" t="n">
        <v>367314</v>
      </c>
      <c r="R2" s="0" t="n">
        <v>179289</v>
      </c>
      <c r="S2" s="0" t="n">
        <v>97814</v>
      </c>
      <c r="T2" s="0" t="n">
        <v>9568</v>
      </c>
      <c r="U2" s="0" t="n">
        <v>7900</v>
      </c>
      <c r="AA2" s="0" t="s">
        <v>18</v>
      </c>
      <c r="AB2" s="0" t="s">
        <v>14</v>
      </c>
      <c r="AD2" s="0" t="n">
        <v>118273</v>
      </c>
      <c r="AE2" s="0" t="n">
        <v>31877</v>
      </c>
      <c r="AF2" s="0" t="n">
        <v>19743</v>
      </c>
      <c r="AG2" s="0" t="n">
        <v>8.336</v>
      </c>
      <c r="AI2" s="0" t="n">
        <v>79984</v>
      </c>
      <c r="AJ2" s="0" t="n">
        <v>1967</v>
      </c>
      <c r="AK2" s="0" t="n">
        <v>62918</v>
      </c>
      <c r="AL2" s="0" t="n">
        <v>356207</v>
      </c>
    </row>
    <row r="3" customFormat="false" ht="15" hidden="false" customHeight="false" outlineLevel="0" collapsed="false">
      <c r="A3" s="0" t="s">
        <v>75</v>
      </c>
      <c r="B3" s="0" t="n">
        <v>377289</v>
      </c>
      <c r="C3" s="0" t="n">
        <v>209756</v>
      </c>
      <c r="D3" s="0" t="n">
        <v>167533</v>
      </c>
      <c r="E3" s="0" t="n">
        <v>44.4</v>
      </c>
      <c r="F3" s="0" t="n">
        <v>118694</v>
      </c>
      <c r="G3" s="0" t="n">
        <v>31.5</v>
      </c>
      <c r="H3" s="0" t="n">
        <v>137268</v>
      </c>
      <c r="I3" s="0" t="n">
        <v>93310</v>
      </c>
      <c r="J3" s="0" t="n">
        <v>24.7</v>
      </c>
      <c r="K3" s="0" t="n">
        <v>9.643</v>
      </c>
      <c r="L3" s="0" t="n">
        <v>148590</v>
      </c>
      <c r="M3" s="0" t="n">
        <v>56988</v>
      </c>
      <c r="N3" s="0" t="n">
        <v>91602</v>
      </c>
      <c r="O3" s="0" t="n">
        <v>432706</v>
      </c>
      <c r="P3" s="0" t="n">
        <v>953986</v>
      </c>
      <c r="Q3" s="0" t="n">
        <v>465162</v>
      </c>
      <c r="R3" s="0" t="n">
        <v>220813</v>
      </c>
      <c r="S3" s="0" t="n">
        <v>132991</v>
      </c>
      <c r="T3" s="0" t="n">
        <v>9603</v>
      </c>
      <c r="U3" s="0" t="n">
        <v>10500</v>
      </c>
      <c r="AA3" s="0" t="s">
        <v>18</v>
      </c>
      <c r="AB3" s="0" t="s">
        <v>14</v>
      </c>
      <c r="AD3" s="0" t="n">
        <v>147395</v>
      </c>
      <c r="AE3" s="0" t="n">
        <v>29866</v>
      </c>
      <c r="AF3" s="0" t="n">
        <v>22766</v>
      </c>
      <c r="AG3" s="0" t="n">
        <v>9.856</v>
      </c>
      <c r="AH3" s="0" t="n">
        <v>2400</v>
      </c>
      <c r="AI3" s="0" t="n">
        <v>95888</v>
      </c>
      <c r="AJ3" s="0" t="n">
        <v>1406</v>
      </c>
      <c r="AK3" s="0" t="n">
        <v>46911</v>
      </c>
      <c r="AL3" s="0" t="n">
        <v>488824</v>
      </c>
    </row>
    <row r="4" customFormat="false" ht="15" hidden="false" customHeight="false" outlineLevel="0" collapsed="false">
      <c r="A4" s="0" t="s">
        <v>76</v>
      </c>
      <c r="B4" s="0" t="n">
        <v>482064</v>
      </c>
      <c r="C4" s="0" t="n">
        <v>260532</v>
      </c>
      <c r="D4" s="0" t="n">
        <v>221532</v>
      </c>
      <c r="E4" s="0" t="n">
        <v>46</v>
      </c>
      <c r="F4" s="0" t="n">
        <v>184237</v>
      </c>
      <c r="G4" s="0" t="n">
        <v>38.2</v>
      </c>
      <c r="H4" s="0" t="n">
        <v>170680</v>
      </c>
      <c r="I4" s="0" t="n">
        <v>159847</v>
      </c>
      <c r="J4" s="0" t="n">
        <v>33.2</v>
      </c>
      <c r="K4" s="0" t="n">
        <v>16.523</v>
      </c>
      <c r="L4" s="0" t="n">
        <v>194119</v>
      </c>
      <c r="M4" s="0" t="n">
        <v>66599</v>
      </c>
      <c r="N4" s="0" t="n">
        <v>127520</v>
      </c>
      <c r="O4" s="0" t="n">
        <v>703984</v>
      </c>
      <c r="P4" s="0" t="n">
        <v>1333425</v>
      </c>
      <c r="Q4" s="0" t="n">
        <v>555382</v>
      </c>
      <c r="R4" s="0" t="n">
        <v>248444</v>
      </c>
      <c r="S4" s="0" t="n">
        <v>152798</v>
      </c>
      <c r="T4" s="0" t="n">
        <v>9650</v>
      </c>
      <c r="U4" s="0" t="n">
        <v>13745</v>
      </c>
      <c r="AA4" s="0" t="s">
        <v>18</v>
      </c>
      <c r="AB4" s="0" t="s">
        <v>14</v>
      </c>
      <c r="AD4" s="0" t="n">
        <v>183314</v>
      </c>
      <c r="AE4" s="0" t="n">
        <v>27182</v>
      </c>
      <c r="AF4" s="0" t="n">
        <v>34070</v>
      </c>
      <c r="AG4" s="0" t="n">
        <v>16.844</v>
      </c>
      <c r="AH4" s="0" t="n">
        <v>3537</v>
      </c>
      <c r="AI4" s="0" t="n">
        <v>160125</v>
      </c>
      <c r="AJ4" s="0" t="n">
        <v>1865</v>
      </c>
      <c r="AK4" s="0" t="n">
        <v>68487</v>
      </c>
      <c r="AL4" s="0" t="n">
        <v>778043</v>
      </c>
    </row>
    <row r="5" customFormat="false" ht="15" hidden="false" customHeight="false" outlineLevel="0" collapsed="false">
      <c r="A5" s="0" t="s">
        <v>77</v>
      </c>
      <c r="B5" s="0" t="n">
        <v>560118</v>
      </c>
      <c r="C5" s="0" t="n">
        <v>314174</v>
      </c>
      <c r="D5" s="0" t="n">
        <v>245944</v>
      </c>
      <c r="E5" s="0" t="n">
        <v>43.9</v>
      </c>
      <c r="F5" s="0" t="n">
        <v>271620</v>
      </c>
      <c r="G5" s="0" t="n">
        <v>48.5</v>
      </c>
      <c r="H5" s="0" t="n">
        <v>173173</v>
      </c>
      <c r="I5" s="0" t="n">
        <v>224822</v>
      </c>
      <c r="J5" s="0" t="n">
        <v>40.1</v>
      </c>
      <c r="K5" s="0" t="n">
        <v>23.164</v>
      </c>
      <c r="L5" s="0" t="n">
        <v>175186</v>
      </c>
      <c r="M5" s="0" t="n">
        <v>62165</v>
      </c>
      <c r="N5" s="0" t="n">
        <v>113021</v>
      </c>
      <c r="O5" s="0" t="n">
        <v>806299</v>
      </c>
      <c r="P5" s="0" t="n">
        <v>1612364</v>
      </c>
      <c r="Q5" s="0" t="n">
        <v>735671</v>
      </c>
      <c r="R5" s="0" t="n">
        <v>301529</v>
      </c>
      <c r="S5" s="0" t="n">
        <v>167966</v>
      </c>
      <c r="T5" s="0" t="n">
        <v>9696</v>
      </c>
      <c r="U5" s="0" t="n">
        <v>22222</v>
      </c>
      <c r="AA5" s="0" t="s">
        <v>18</v>
      </c>
      <c r="AB5" s="0" t="s">
        <v>14</v>
      </c>
      <c r="AD5" s="0" t="n">
        <v>194798</v>
      </c>
      <c r="AE5" s="0" t="n">
        <v>31159</v>
      </c>
      <c r="AF5" s="0" t="n">
        <v>29302</v>
      </c>
      <c r="AG5" s="0" t="n">
        <v>23.597</v>
      </c>
      <c r="AH5" s="0" t="n">
        <v>4423</v>
      </c>
      <c r="AI5" s="0" t="n">
        <v>227810</v>
      </c>
      <c r="AJ5" s="0" t="n">
        <v>2827</v>
      </c>
      <c r="AK5" s="0" t="n">
        <v>83813</v>
      </c>
      <c r="AL5" s="0" t="n">
        <v>876693</v>
      </c>
    </row>
    <row r="6" customFormat="false" ht="15" hidden="false" customHeight="false" outlineLevel="0" collapsed="false">
      <c r="A6" s="0" t="s">
        <v>78</v>
      </c>
      <c r="B6" s="0" t="n">
        <v>554552</v>
      </c>
      <c r="C6" s="0" t="n">
        <v>315806</v>
      </c>
      <c r="D6" s="0" t="n">
        <v>238746</v>
      </c>
      <c r="E6" s="0" t="n">
        <v>43.1</v>
      </c>
      <c r="F6" s="0" t="n">
        <v>235706</v>
      </c>
      <c r="G6" s="0" t="n">
        <v>42.5</v>
      </c>
      <c r="H6" s="0" t="n">
        <v>164037</v>
      </c>
      <c r="I6" s="0" t="n">
        <v>188243</v>
      </c>
      <c r="J6" s="0" t="n">
        <v>33.9</v>
      </c>
      <c r="K6" s="0" t="n">
        <v>19.341</v>
      </c>
      <c r="L6" s="0" t="n">
        <v>146091</v>
      </c>
      <c r="M6" s="0" t="n">
        <v>50850</v>
      </c>
      <c r="N6" s="0" t="n">
        <v>95241</v>
      </c>
      <c r="O6" s="0" t="n">
        <v>721391</v>
      </c>
      <c r="P6" s="0" t="n">
        <v>1578131</v>
      </c>
      <c r="Q6" s="0" t="n">
        <v>795271</v>
      </c>
      <c r="R6" s="0" t="n">
        <v>334363</v>
      </c>
      <c r="S6" s="0" t="n">
        <v>156739</v>
      </c>
      <c r="T6" s="0" t="n">
        <v>9695</v>
      </c>
      <c r="U6" s="0" t="n">
        <v>26248</v>
      </c>
      <c r="AA6" s="0" t="s">
        <v>18</v>
      </c>
      <c r="AB6" s="0" t="s">
        <v>14</v>
      </c>
      <c r="AD6" s="0" t="n">
        <v>188986</v>
      </c>
      <c r="AE6" s="0" t="n">
        <v>27645</v>
      </c>
      <c r="AF6" s="0" t="n">
        <v>22679</v>
      </c>
      <c r="AG6" s="0" t="n">
        <v>19.757</v>
      </c>
      <c r="AH6" s="0" t="n">
        <v>5969</v>
      </c>
      <c r="AI6" s="0" t="n">
        <v>188709</v>
      </c>
      <c r="AJ6" s="0" t="n">
        <v>2882</v>
      </c>
      <c r="AK6" s="0" t="n">
        <v>104776</v>
      </c>
      <c r="AL6" s="0" t="n">
        <v>782860</v>
      </c>
    </row>
    <row r="7" customFormat="false" ht="15" hidden="false" customHeight="false" outlineLevel="0" collapsed="false">
      <c r="A7" s="0" t="s">
        <v>79</v>
      </c>
      <c r="B7" s="0" t="n">
        <v>609015</v>
      </c>
      <c r="C7" s="0" t="n">
        <v>315906</v>
      </c>
      <c r="D7" s="0" t="n">
        <v>293109</v>
      </c>
      <c r="E7" s="0" t="n">
        <v>48.1</v>
      </c>
      <c r="F7" s="0" t="n">
        <v>160074</v>
      </c>
      <c r="G7" s="0" t="n">
        <v>26.3</v>
      </c>
      <c r="H7" s="0" t="n">
        <v>214381</v>
      </c>
      <c r="I7" s="0" t="n">
        <v>115216</v>
      </c>
      <c r="J7" s="0" t="n">
        <v>18.9</v>
      </c>
      <c r="K7" s="0" t="n">
        <v>11.887</v>
      </c>
      <c r="L7" s="0" t="n">
        <v>221962</v>
      </c>
      <c r="M7" s="0" t="n">
        <v>47407</v>
      </c>
      <c r="N7" s="0" t="n">
        <v>174555</v>
      </c>
      <c r="O7" s="0" t="n">
        <v>808591</v>
      </c>
      <c r="P7" s="0" t="n">
        <v>1577246</v>
      </c>
      <c r="Q7" s="0" t="n">
        <v>703565</v>
      </c>
      <c r="R7" s="0" t="n">
        <v>348618</v>
      </c>
      <c r="S7" s="0" t="n">
        <v>172320</v>
      </c>
      <c r="T7" s="0" t="n">
        <v>9610</v>
      </c>
      <c r="U7" s="0" t="n">
        <v>22782</v>
      </c>
      <c r="AA7" s="0" t="s">
        <v>18</v>
      </c>
      <c r="AB7" s="0" t="s">
        <v>14</v>
      </c>
      <c r="AC7" s="0" t="n">
        <v>191886</v>
      </c>
      <c r="AD7" s="0" t="n">
        <v>235454</v>
      </c>
      <c r="AE7" s="0" t="n">
        <v>26042</v>
      </c>
      <c r="AF7" s="0" t="n">
        <v>21008</v>
      </c>
      <c r="AG7" s="0" t="n">
        <v>12.186</v>
      </c>
      <c r="AH7" s="0" t="n">
        <v>6652</v>
      </c>
      <c r="AI7" s="0" t="n">
        <v>118048</v>
      </c>
      <c r="AJ7" s="0" t="n">
        <v>4378</v>
      </c>
      <c r="AK7" s="0" t="n">
        <v>185983</v>
      </c>
      <c r="AL7" s="0" t="n">
        <v>873681</v>
      </c>
    </row>
    <row r="8" customFormat="false" ht="15" hidden="false" customHeight="false" outlineLevel="0" collapsed="false">
      <c r="A8" s="0" t="s">
        <v>80</v>
      </c>
      <c r="B8" s="0" t="n">
        <v>660257</v>
      </c>
      <c r="C8" s="0" t="n">
        <v>311011</v>
      </c>
      <c r="D8" s="0" t="n">
        <v>349246</v>
      </c>
      <c r="E8" s="0" t="n">
        <v>52.9</v>
      </c>
      <c r="F8" s="0" t="n">
        <v>208099</v>
      </c>
      <c r="G8" s="0" t="n">
        <v>31.5</v>
      </c>
      <c r="H8" s="0" t="n">
        <v>256310</v>
      </c>
      <c r="I8" s="0" t="n">
        <v>194073</v>
      </c>
      <c r="J8" s="0" t="n">
        <v>29.4</v>
      </c>
      <c r="K8" s="0" t="n">
        <v>20.486</v>
      </c>
      <c r="L8" s="0" t="n">
        <v>258521</v>
      </c>
      <c r="M8" s="0" t="n">
        <v>96048</v>
      </c>
      <c r="N8" s="0" t="n">
        <v>162473</v>
      </c>
      <c r="O8" s="0" t="n">
        <v>973548</v>
      </c>
      <c r="P8" s="0" t="n">
        <v>1780995</v>
      </c>
      <c r="Q8" s="0" t="n">
        <v>727099</v>
      </c>
      <c r="R8" s="0" t="n">
        <v>338615</v>
      </c>
      <c r="S8" s="0" t="n">
        <v>132519</v>
      </c>
      <c r="T8" s="0" t="n">
        <v>9408</v>
      </c>
      <c r="U8" s="0" t="n">
        <v>23424</v>
      </c>
      <c r="AA8" s="0" t="s">
        <v>18</v>
      </c>
      <c r="AB8" s="0" t="s">
        <v>14</v>
      </c>
      <c r="AC8" s="0" t="n">
        <v>237811</v>
      </c>
      <c r="AD8" s="0" t="n">
        <v>277012</v>
      </c>
      <c r="AE8" s="0" t="n">
        <v>26394</v>
      </c>
      <c r="AF8" s="0" t="n">
        <v>62927</v>
      </c>
      <c r="AG8" s="0" t="n">
        <v>20.938</v>
      </c>
      <c r="AH8" s="0" t="n">
        <v>6369</v>
      </c>
      <c r="AI8" s="0" t="n">
        <v>196467</v>
      </c>
      <c r="AJ8" s="0" t="n">
        <v>3420</v>
      </c>
      <c r="AK8" s="0" t="n">
        <v>192977</v>
      </c>
      <c r="AL8" s="0" t="n">
        <v>1053896</v>
      </c>
    </row>
    <row r="9" customFormat="false" ht="15" hidden="false" customHeight="false" outlineLevel="0" collapsed="false">
      <c r="A9" s="0" t="s">
        <v>81</v>
      </c>
      <c r="B9" s="0" t="n">
        <v>751766</v>
      </c>
      <c r="C9" s="0" t="n">
        <v>329173</v>
      </c>
      <c r="D9" s="0" t="n">
        <v>422593</v>
      </c>
      <c r="E9" s="0" t="n">
        <v>56.2</v>
      </c>
      <c r="F9" s="0" t="n">
        <v>241562</v>
      </c>
      <c r="G9" s="0" t="n">
        <v>32.1</v>
      </c>
      <c r="H9" s="0" t="n">
        <v>310767</v>
      </c>
      <c r="I9" s="0" t="n">
        <v>224842</v>
      </c>
      <c r="J9" s="0" t="n">
        <v>29.9</v>
      </c>
      <c r="K9" s="0" t="n">
        <v>24.153</v>
      </c>
      <c r="L9" s="0" t="n">
        <v>303052</v>
      </c>
      <c r="M9" s="0" t="n">
        <v>112875</v>
      </c>
      <c r="N9" s="0" t="n">
        <v>190177</v>
      </c>
      <c r="O9" s="0" t="n">
        <v>1154152</v>
      </c>
      <c r="P9" s="0" t="n">
        <v>2038986</v>
      </c>
      <c r="Q9" s="0" t="n">
        <v>797921</v>
      </c>
      <c r="R9" s="0" t="n">
        <v>387733</v>
      </c>
      <c r="S9" s="0" t="n">
        <v>141041</v>
      </c>
      <c r="T9" s="0" t="n">
        <v>9244</v>
      </c>
      <c r="U9" s="0" t="n">
        <v>31859</v>
      </c>
      <c r="AA9" s="0" t="s">
        <v>18</v>
      </c>
      <c r="AB9" s="0" t="s">
        <v>14</v>
      </c>
      <c r="AC9" s="0" t="n">
        <v>280656</v>
      </c>
      <c r="AD9" s="0" t="n">
        <v>336427</v>
      </c>
      <c r="AE9" s="0" t="n">
        <v>25399</v>
      </c>
      <c r="AF9" s="0" t="n">
        <v>87482</v>
      </c>
      <c r="AG9" s="0" t="n">
        <v>24.749</v>
      </c>
      <c r="AH9" s="0" t="n">
        <v>6783</v>
      </c>
      <c r="AI9" s="0" t="n">
        <v>229801</v>
      </c>
      <c r="AJ9" s="0" t="n">
        <v>4869</v>
      </c>
      <c r="AK9" s="0" t="n">
        <v>236801</v>
      </c>
      <c r="AL9" s="0" t="n">
        <v>1241065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424.8</v>
      </c>
    </row>
    <row r="3" customFormat="false" ht="15" hidden="false" customHeight="false" outlineLevel="0" collapsed="false">
      <c r="A3" s="0" t="s">
        <v>85</v>
      </c>
      <c r="B3" s="3" t="n">
        <v>9163</v>
      </c>
    </row>
    <row r="4" customFormat="false" ht="15" hidden="false" customHeight="false" outlineLevel="0" collapsed="false">
      <c r="A4" s="0" t="s">
        <v>86</v>
      </c>
      <c r="B4" s="3" t="n">
        <v>-21966</v>
      </c>
    </row>
    <row r="5" customFormat="false" ht="15" hidden="false" customHeight="false" outlineLevel="0" collapsed="false">
      <c r="A5" s="0" t="s">
        <v>87</v>
      </c>
      <c r="B5" s="3" t="n">
        <v>607604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751766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1.1721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8</v>
      </c>
      <c r="D13" s="3" t="n">
        <v>6</v>
      </c>
      <c r="E13" s="3" t="n">
        <v>5</v>
      </c>
      <c r="F13" s="3" t="n">
        <v>4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44</v>
      </c>
      <c r="D14" s="3" t="n">
        <v>43</v>
      </c>
      <c r="E14" s="3" t="n">
        <v>42.5</v>
      </c>
      <c r="F14" s="3" t="n">
        <v>42</v>
      </c>
      <c r="G14" s="3" t="n">
        <v>41.5</v>
      </c>
      <c r="H14" s="3" t="n">
        <v>41</v>
      </c>
      <c r="I14" s="3" t="n">
        <v>41</v>
      </c>
      <c r="J14" s="3" t="n">
        <v>41</v>
      </c>
      <c r="K14" s="3" t="n">
        <v>41</v>
      </c>
      <c r="L14" s="3" t="n">
        <v>41</v>
      </c>
    </row>
    <row r="15" customFormat="false" ht="15" hidden="false" customHeight="false" outlineLevel="0" collapsed="false">
      <c r="A15" s="0" t="s">
        <v>107</v>
      </c>
      <c r="C15" s="3" t="n">
        <v>4</v>
      </c>
      <c r="D15" s="3" t="n">
        <v>4</v>
      </c>
      <c r="E15" s="3" t="n">
        <v>3.9</v>
      </c>
      <c r="F15" s="3" t="n">
        <v>3.8</v>
      </c>
      <c r="G15" s="3" t="n">
        <v>3.8</v>
      </c>
      <c r="H15" s="3" t="n">
        <v>3.7</v>
      </c>
      <c r="I15" s="3" t="n">
        <v>3.6</v>
      </c>
      <c r="J15" s="3" t="n">
        <v>3.6</v>
      </c>
      <c r="K15" s="3" t="n">
        <v>3.5</v>
      </c>
      <c r="L15" s="3" t="n">
        <v>3.5</v>
      </c>
    </row>
    <row r="16" customFormat="false" ht="15" hidden="false" customHeight="false" outlineLevel="0" collapsed="false">
      <c r="A16" s="0" t="s">
        <v>108</v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</row>
    <row r="17" customFormat="false" ht="15" hidden="false" customHeight="false" outlineLevel="0" collapsed="false">
      <c r="A17" s="0" t="s">
        <v>109</v>
      </c>
      <c r="C17" s="3" t="n">
        <v>8.5</v>
      </c>
      <c r="D17" s="3" t="n">
        <v>10.5</v>
      </c>
      <c r="E17" s="3" t="n">
        <v>12.5</v>
      </c>
      <c r="F17" s="3" t="n">
        <v>13.5</v>
      </c>
      <c r="G17" s="3" t="n">
        <v>14</v>
      </c>
      <c r="H17" s="3" t="n">
        <v>14</v>
      </c>
      <c r="I17" s="3" t="n">
        <v>14</v>
      </c>
      <c r="J17" s="3" t="n">
        <v>14</v>
      </c>
      <c r="K17" s="3" t="n">
        <v>14</v>
      </c>
      <c r="L17" s="3" t="n">
        <v>14</v>
      </c>
    </row>
    <row r="18" customFormat="false" ht="15" hidden="false" customHeight="false" outlineLevel="0" collapsed="false">
      <c r="A18" s="0" t="s">
        <v>110</v>
      </c>
      <c r="C18" s="3" t="n">
        <v>32</v>
      </c>
      <c r="D18" s="3" t="n">
        <v>28</v>
      </c>
      <c r="E18" s="3" t="n">
        <v>24</v>
      </c>
      <c r="F18" s="3" t="n">
        <v>20</v>
      </c>
      <c r="G18" s="3" t="n">
        <v>17</v>
      </c>
      <c r="H18" s="3" t="n">
        <v>15</v>
      </c>
      <c r="I18" s="3" t="n">
        <v>14</v>
      </c>
      <c r="J18" s="3" t="n">
        <v>14</v>
      </c>
      <c r="K18" s="3" t="n">
        <v>14</v>
      </c>
      <c r="L18" s="3" t="n">
        <v>14</v>
      </c>
    </row>
    <row r="19" customFormat="false" ht="15" hidden="false" customHeight="false" outlineLevel="0" collapsed="false">
      <c r="A19" s="0" t="s">
        <v>111</v>
      </c>
      <c r="C19" s="3" t="n">
        <v>20</v>
      </c>
      <c r="D19" s="3" t="n">
        <v>20</v>
      </c>
      <c r="E19" s="3" t="n">
        <v>20.5</v>
      </c>
      <c r="F19" s="3" t="n">
        <v>21</v>
      </c>
      <c r="G19" s="3" t="n">
        <v>21.5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112</v>
      </c>
      <c r="B20" s="3" t="n">
        <v>8.5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5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11</v>
      </c>
      <c r="D27" s="3" t="n">
        <v>10</v>
      </c>
      <c r="E27" s="3" t="n">
        <v>9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45</v>
      </c>
      <c r="D28" s="3" t="n">
        <v>45</v>
      </c>
      <c r="E28" s="3" t="n">
        <v>45</v>
      </c>
      <c r="F28" s="3" t="n">
        <v>45.5</v>
      </c>
      <c r="G28" s="3" t="n">
        <v>45.5</v>
      </c>
      <c r="H28" s="3" t="n">
        <v>46</v>
      </c>
      <c r="I28" s="3" t="n">
        <v>46</v>
      </c>
      <c r="J28" s="3" t="n">
        <v>46</v>
      </c>
      <c r="K28" s="3" t="n">
        <v>46</v>
      </c>
      <c r="L28" s="3" t="n">
        <v>46</v>
      </c>
    </row>
    <row r="29" customFormat="false" ht="15" hidden="false" customHeight="false" outlineLevel="0" collapsed="false">
      <c r="A29" s="0" t="s">
        <v>107</v>
      </c>
      <c r="C29" s="3" t="n">
        <v>3.5</v>
      </c>
      <c r="D29" s="3" t="n">
        <v>3.4</v>
      </c>
      <c r="E29" s="3" t="n">
        <v>3.3</v>
      </c>
      <c r="F29" s="3" t="n">
        <v>3.3</v>
      </c>
      <c r="G29" s="3" t="n">
        <v>3.2</v>
      </c>
      <c r="H29" s="3" t="n">
        <v>3.2</v>
      </c>
      <c r="I29" s="3" t="n">
        <v>3.1</v>
      </c>
      <c r="J29" s="3" t="n">
        <v>3.1</v>
      </c>
      <c r="K29" s="3" t="n">
        <v>3</v>
      </c>
      <c r="L29" s="3" t="n">
        <v>3</v>
      </c>
    </row>
    <row r="30" customFormat="false" ht="15" hidden="false" customHeight="false" outlineLevel="0" collapsed="false">
      <c r="A30" s="0" t="s">
        <v>108</v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</row>
    <row r="31" customFormat="false" ht="15" hidden="false" customHeight="false" outlineLevel="0" collapsed="false">
      <c r="A31" s="0" t="s">
        <v>109</v>
      </c>
      <c r="C31" s="3" t="n">
        <v>8.5</v>
      </c>
      <c r="D31" s="3" t="n">
        <v>10</v>
      </c>
      <c r="E31" s="3" t="n">
        <v>11.5</v>
      </c>
      <c r="F31" s="3" t="n">
        <v>12.5</v>
      </c>
      <c r="G31" s="3" t="n">
        <v>13</v>
      </c>
      <c r="H31" s="3" t="n">
        <v>13</v>
      </c>
      <c r="I31" s="3" t="n">
        <v>12.8</v>
      </c>
      <c r="J31" s="3" t="n">
        <v>12.5</v>
      </c>
      <c r="K31" s="3" t="n">
        <v>12.5</v>
      </c>
      <c r="L31" s="3" t="n">
        <v>12.5</v>
      </c>
    </row>
    <row r="32" customFormat="false" ht="15" hidden="false" customHeight="false" outlineLevel="0" collapsed="false">
      <c r="A32" s="0" t="s">
        <v>110</v>
      </c>
      <c r="C32" s="3" t="n">
        <v>30</v>
      </c>
      <c r="D32" s="3" t="n">
        <v>25</v>
      </c>
      <c r="E32" s="3" t="n">
        <v>20</v>
      </c>
      <c r="F32" s="3" t="n">
        <v>17</v>
      </c>
      <c r="G32" s="3" t="n">
        <v>15</v>
      </c>
      <c r="H32" s="3" t="n">
        <v>14</v>
      </c>
      <c r="I32" s="3" t="n">
        <v>13</v>
      </c>
      <c r="J32" s="3" t="n">
        <v>12.5</v>
      </c>
      <c r="K32" s="3" t="n">
        <v>12.5</v>
      </c>
      <c r="L32" s="3" t="n">
        <v>12.5</v>
      </c>
    </row>
    <row r="33" customFormat="false" ht="15" hidden="false" customHeight="false" outlineLevel="0" collapsed="false">
      <c r="A33" s="0" t="s">
        <v>111</v>
      </c>
      <c r="C33" s="3" t="n">
        <v>18</v>
      </c>
      <c r="D33" s="3" t="n">
        <v>18</v>
      </c>
      <c r="E33" s="3" t="n">
        <v>18.5</v>
      </c>
      <c r="F33" s="3" t="n">
        <v>19</v>
      </c>
      <c r="G33" s="3" t="n">
        <v>19.5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20</v>
      </c>
    </row>
    <row r="37" customFormat="false" ht="15" hidden="false" customHeight="false" outlineLevel="0" collapsed="false">
      <c r="A37" s="0" t="s">
        <v>115</v>
      </c>
      <c r="B37" s="3" t="n">
        <v>8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12</v>
      </c>
      <c r="D41" s="3" t="n">
        <v>12</v>
      </c>
      <c r="E41" s="3" t="n">
        <v>11</v>
      </c>
      <c r="F41" s="3" t="n">
        <v>10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106</v>
      </c>
      <c r="C42" s="3" t="n">
        <v>45.5</v>
      </c>
      <c r="D42" s="3" t="n">
        <v>46</v>
      </c>
      <c r="E42" s="3" t="n">
        <v>46.5</v>
      </c>
      <c r="F42" s="3" t="n">
        <v>47</v>
      </c>
      <c r="G42" s="3" t="n">
        <v>47.5</v>
      </c>
      <c r="H42" s="3" t="n">
        <v>48</v>
      </c>
      <c r="I42" s="3" t="n">
        <v>48</v>
      </c>
      <c r="J42" s="3" t="n">
        <v>48</v>
      </c>
      <c r="K42" s="3" t="n">
        <v>48</v>
      </c>
      <c r="L42" s="3" t="n">
        <v>48</v>
      </c>
    </row>
    <row r="43" customFormat="false" ht="15" hidden="false" customHeight="false" outlineLevel="0" collapsed="false">
      <c r="A43" s="0" t="s">
        <v>107</v>
      </c>
      <c r="C43" s="3" t="n">
        <v>3.3</v>
      </c>
      <c r="D43" s="3" t="n">
        <v>3.2</v>
      </c>
      <c r="E43" s="3" t="n">
        <v>3.1</v>
      </c>
      <c r="F43" s="3" t="n">
        <v>3</v>
      </c>
      <c r="G43" s="3" t="n">
        <v>2.9</v>
      </c>
      <c r="H43" s="3" t="n">
        <v>2.8</v>
      </c>
      <c r="I43" s="3" t="n">
        <v>2.7</v>
      </c>
      <c r="J43" s="3" t="n">
        <v>2.6</v>
      </c>
      <c r="K43" s="3" t="n">
        <v>2.5</v>
      </c>
      <c r="L43" s="3" t="n">
        <v>2.5</v>
      </c>
    </row>
    <row r="44" customFormat="false" ht="15" hidden="false" customHeight="false" outlineLevel="0" collapsed="false">
      <c r="A44" s="0" t="s">
        <v>108</v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1</v>
      </c>
      <c r="L44" s="3" t="n">
        <v>1</v>
      </c>
    </row>
    <row r="45" customFormat="false" ht="15" hidden="false" customHeight="false" outlineLevel="0" collapsed="false">
      <c r="A45" s="0" t="s">
        <v>109</v>
      </c>
      <c r="C45" s="3" t="n">
        <v>8.5</v>
      </c>
      <c r="D45" s="3" t="n">
        <v>9.5</v>
      </c>
      <c r="E45" s="3" t="n">
        <v>10.5</v>
      </c>
      <c r="F45" s="3" t="n">
        <v>11.5</v>
      </c>
      <c r="G45" s="3" t="n">
        <v>12</v>
      </c>
      <c r="H45" s="3" t="n">
        <v>12</v>
      </c>
      <c r="I45" s="3" t="n">
        <v>11.8</v>
      </c>
      <c r="J45" s="3" t="n">
        <v>11.5</v>
      </c>
      <c r="K45" s="3" t="n">
        <v>11.5</v>
      </c>
      <c r="L45" s="3" t="n">
        <v>11.5</v>
      </c>
    </row>
    <row r="46" customFormat="false" ht="15" hidden="false" customHeight="false" outlineLevel="0" collapsed="false">
      <c r="A46" s="0" t="s">
        <v>110</v>
      </c>
      <c r="C46" s="3" t="n">
        <v>30</v>
      </c>
      <c r="D46" s="3" t="n">
        <v>24</v>
      </c>
      <c r="E46" s="3" t="n">
        <v>19</v>
      </c>
      <c r="F46" s="3" t="n">
        <v>15.5</v>
      </c>
      <c r="G46" s="3" t="n">
        <v>13.5</v>
      </c>
      <c r="H46" s="3" t="n">
        <v>12.5</v>
      </c>
      <c r="I46" s="3" t="n">
        <v>12</v>
      </c>
      <c r="J46" s="3" t="n">
        <v>11.5</v>
      </c>
      <c r="K46" s="3" t="n">
        <v>11.5</v>
      </c>
      <c r="L46" s="3" t="n">
        <v>11.5</v>
      </c>
    </row>
    <row r="47" customFormat="false" ht="15" hidden="false" customHeight="false" outlineLevel="0" collapsed="false">
      <c r="A47" s="0" t="s">
        <v>111</v>
      </c>
      <c r="C47" s="3" t="n">
        <v>17</v>
      </c>
      <c r="D47" s="3" t="n">
        <v>17</v>
      </c>
      <c r="E47" s="3" t="n">
        <v>17.5</v>
      </c>
      <c r="F47" s="3" t="n">
        <v>18</v>
      </c>
      <c r="G47" s="3" t="n">
        <v>18.5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112</v>
      </c>
      <c r="B48" s="3" t="n">
        <v>8.5</v>
      </c>
    </row>
    <row r="49" customFormat="false" ht="15" hidden="false" customHeight="false" outlineLevel="0" collapsed="false">
      <c r="A49" s="0" t="s">
        <v>113</v>
      </c>
      <c r="B49" s="3" t="n">
        <v>3.5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10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8</v>
      </c>
      <c r="D5" s="4" t="n">
        <f aca="false">Assumptions!D13</f>
        <v>6</v>
      </c>
      <c r="E5" s="4" t="n">
        <f aca="false">Assumptions!E13</f>
        <v>5</v>
      </c>
      <c r="F5" s="4" t="n">
        <f aca="false">Assumptions!F13</f>
        <v>4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751766</v>
      </c>
      <c r="C6" s="0" t="n">
        <f aca="false">B6*(1+C5/100)</f>
        <v>811907.28</v>
      </c>
      <c r="D6" s="0" t="n">
        <f aca="false">C6*(1+D5/100)</f>
        <v>860621.7168</v>
      </c>
      <c r="E6" s="0" t="n">
        <f aca="false">D6*(1+E5/100)</f>
        <v>903652.80264</v>
      </c>
      <c r="F6" s="0" t="n">
        <f aca="false">E6*(1+F5/100)</f>
        <v>939798.9147456</v>
      </c>
      <c r="G6" s="0" t="n">
        <f aca="false">F6*(1+G5/100)</f>
        <v>967992.882187968</v>
      </c>
      <c r="H6" s="0" t="n">
        <f aca="false">G6*(1+H5/100)</f>
        <v>997032.668653607</v>
      </c>
      <c r="I6" s="0" t="n">
        <f aca="false">H6*(1+I5/100)</f>
        <v>1021958.48536995</v>
      </c>
      <c r="J6" s="0" t="n">
        <f aca="false">I6*(1+J5/100)</f>
        <v>1047507.4475042</v>
      </c>
      <c r="K6" s="0" t="n">
        <f aca="false">J6*(1+K5/100)</f>
        <v>1073695.1336918</v>
      </c>
      <c r="L6" s="0" t="n">
        <f aca="false">K6*(1+L5/100)</f>
        <v>1100537.5120341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44</v>
      </c>
      <c r="D7" s="4" t="n">
        <f aca="false">Assumptions!D14</f>
        <v>43</v>
      </c>
      <c r="E7" s="4" t="n">
        <f aca="false">Assumptions!E14</f>
        <v>42.5</v>
      </c>
      <c r="F7" s="4" t="n">
        <f aca="false">Assumptions!F14</f>
        <v>42</v>
      </c>
      <c r="G7" s="4" t="n">
        <f aca="false">Assumptions!G14</f>
        <v>41.5</v>
      </c>
      <c r="H7" s="4" t="n">
        <f aca="false">Assumptions!H14</f>
        <v>41</v>
      </c>
      <c r="I7" s="4" t="n">
        <f aca="false">Assumptions!I14</f>
        <v>41</v>
      </c>
      <c r="J7" s="4" t="n">
        <f aca="false">Assumptions!J14</f>
        <v>41</v>
      </c>
      <c r="K7" s="4" t="n">
        <f aca="false">Assumptions!K14</f>
        <v>41</v>
      </c>
      <c r="L7" s="4" t="n">
        <f aca="false">Assumptions!L14</f>
        <v>41</v>
      </c>
    </row>
    <row r="8" customFormat="false" ht="15" hidden="false" customHeight="false" outlineLevel="0" collapsed="false">
      <c r="A8" s="0" t="s">
        <v>44</v>
      </c>
      <c r="C8" s="0" t="n">
        <f aca="false">C6*C7/100</f>
        <v>357239.2032</v>
      </c>
      <c r="D8" s="0" t="n">
        <f aca="false">D6*D7/100</f>
        <v>370067.338224</v>
      </c>
      <c r="E8" s="0" t="n">
        <f aca="false">E6*E7/100</f>
        <v>384052.441122</v>
      </c>
      <c r="F8" s="0" t="n">
        <f aca="false">F6*F7/100</f>
        <v>394715.544193152</v>
      </c>
      <c r="G8" s="0" t="n">
        <f aca="false">G6*G7/100</f>
        <v>401717.046108007</v>
      </c>
      <c r="H8" s="0" t="n">
        <f aca="false">H6*H7/100</f>
        <v>408783.394147979</v>
      </c>
      <c r="I8" s="0" t="n">
        <f aca="false">I6*I7/100</f>
        <v>419002.979001678</v>
      </c>
      <c r="J8" s="0" t="n">
        <f aca="false">J6*J7/100</f>
        <v>429478.05347672</v>
      </c>
      <c r="K8" s="0" t="n">
        <f aca="false">K6*K7/100</f>
        <v>440215.004813638</v>
      </c>
      <c r="L8" s="0" t="n">
        <f aca="false">L6*L7/100</f>
        <v>451220.379933979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4</v>
      </c>
      <c r="D9" s="4" t="n">
        <f aca="false">Assumptions!D15</f>
        <v>4</v>
      </c>
      <c r="E9" s="4" t="n">
        <f aca="false">Assumptions!E15</f>
        <v>3.9</v>
      </c>
      <c r="F9" s="4" t="n">
        <f aca="false">Assumptions!F15</f>
        <v>3.8</v>
      </c>
      <c r="G9" s="4" t="n">
        <f aca="false">Assumptions!G15</f>
        <v>3.8</v>
      </c>
      <c r="H9" s="4" t="n">
        <f aca="false">Assumptions!H15</f>
        <v>3.7</v>
      </c>
      <c r="I9" s="4" t="n">
        <f aca="false">Assumptions!I15</f>
        <v>3.6</v>
      </c>
      <c r="J9" s="4" t="n">
        <f aca="false">Assumptions!J15</f>
        <v>3.6</v>
      </c>
      <c r="K9" s="4" t="n">
        <f aca="false">Assumptions!K15</f>
        <v>3.5</v>
      </c>
      <c r="L9" s="4" t="n">
        <f aca="false">Assumptions!L15</f>
        <v>3.5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-32476.2912</v>
      </c>
      <c r="D10" s="0" t="n">
        <f aca="false">-D6*D9/100</f>
        <v>-34424.868672</v>
      </c>
      <c r="E10" s="0" t="n">
        <f aca="false">-E6*E9/100</f>
        <v>-35242.45930296</v>
      </c>
      <c r="F10" s="0" t="n">
        <f aca="false">-F6*F9/100</f>
        <v>-35712.3587603328</v>
      </c>
      <c r="G10" s="0" t="n">
        <f aca="false">-G6*G9/100</f>
        <v>-36783.7295231428</v>
      </c>
      <c r="H10" s="0" t="n">
        <f aca="false">-H6*H9/100</f>
        <v>-36890.2087401835</v>
      </c>
      <c r="I10" s="0" t="n">
        <f aca="false">-I6*I9/100</f>
        <v>-36790.5054733181</v>
      </c>
      <c r="J10" s="0" t="n">
        <f aca="false">-J6*J9/100</f>
        <v>-37710.2681101511</v>
      </c>
      <c r="K10" s="0" t="n">
        <f aca="false">-K6*K9/100</f>
        <v>-37579.329679213</v>
      </c>
      <c r="L10" s="0" t="n">
        <f aca="false">-L6*L9/100</f>
        <v>-38518.8129211933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316643.8392</v>
      </c>
      <c r="D11" s="0" t="n">
        <f aca="false">D8+D10+D24</f>
        <v>327036.252384</v>
      </c>
      <c r="E11" s="0" t="n">
        <f aca="false">E8+E10+E24</f>
        <v>339773.45379264</v>
      </c>
      <c r="F11" s="0" t="n">
        <f aca="false">F8+F10+F24</f>
        <v>349605.196285363</v>
      </c>
      <c r="G11" s="0" t="n">
        <f aca="false">G8+G10+G24</f>
        <v>355253.387762984</v>
      </c>
      <c r="H11" s="0" t="n">
        <f aca="false">H8+H10+H24</f>
        <v>361922.858721259</v>
      </c>
      <c r="I11" s="0" t="n">
        <f aca="false">I8+I10+I24</f>
        <v>371992.888674661</v>
      </c>
      <c r="J11" s="0" t="n">
        <f aca="false">J8+J10+J24</f>
        <v>381292.710891527</v>
      </c>
      <c r="K11" s="0" t="n">
        <f aca="false">K8+K10+K24</f>
        <v>391898.723797507</v>
      </c>
      <c r="L11" s="0" t="n">
        <f aca="false">L8+L10+L24</f>
        <v>401696.191892445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-69012.1188</v>
      </c>
      <c r="D12" s="4" t="n">
        <f aca="false">-D6*Assumptions!D17/100</f>
        <v>-90365.280264</v>
      </c>
      <c r="E12" s="4" t="n">
        <f aca="false">-E6*Assumptions!E17/100</f>
        <v>-112956.60033</v>
      </c>
      <c r="F12" s="4" t="n">
        <f aca="false">-F6*Assumptions!F17/100</f>
        <v>-126872.853490656</v>
      </c>
      <c r="G12" s="4" t="n">
        <f aca="false">-G6*Assumptions!G17/100</f>
        <v>-135519.003506316</v>
      </c>
      <c r="H12" s="4" t="n">
        <f aca="false">-H6*Assumptions!H17/100</f>
        <v>-139584.573611505</v>
      </c>
      <c r="I12" s="4" t="n">
        <f aca="false">-I6*Assumptions!I17/100</f>
        <v>-143074.187951793</v>
      </c>
      <c r="J12" s="4" t="n">
        <f aca="false">-J6*Assumptions!J17/100</f>
        <v>-146651.042650587</v>
      </c>
      <c r="K12" s="4" t="n">
        <f aca="false">-K6*Assumptions!K17/100</f>
        <v>-150317.318716852</v>
      </c>
      <c r="L12" s="4" t="n">
        <f aca="false">-L6*Assumptions!L17/100</f>
        <v>-154075.251684773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247631.7204</v>
      </c>
      <c r="D13" s="0" t="n">
        <f aca="false">D11+D12</f>
        <v>236670.97212</v>
      </c>
      <c r="E13" s="0" t="n">
        <f aca="false">E11+E12</f>
        <v>226816.85346264</v>
      </c>
      <c r="F13" s="0" t="n">
        <f aca="false">F11+F12</f>
        <v>222732.342794707</v>
      </c>
      <c r="G13" s="0" t="n">
        <f aca="false">G11+G12</f>
        <v>219734.384256669</v>
      </c>
      <c r="H13" s="0" t="n">
        <f aca="false">H11+H12</f>
        <v>222338.285109754</v>
      </c>
      <c r="I13" s="0" t="n">
        <f aca="false">I11+I12</f>
        <v>228918.700722868</v>
      </c>
      <c r="J13" s="0" t="n">
        <f aca="false">J11+J12</f>
        <v>234641.66824094</v>
      </c>
      <c r="K13" s="0" t="n">
        <f aca="false">K11+K12</f>
        <v>241581.405080655</v>
      </c>
      <c r="L13" s="0" t="n">
        <f aca="false">L11+L12</f>
        <v>247620.940207672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20.5</v>
      </c>
      <c r="F14" s="4" t="n">
        <f aca="false">Assumptions!F19</f>
        <v>21</v>
      </c>
      <c r="G14" s="4" t="n">
        <f aca="false">Assumptions!G19</f>
        <v>21.5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198105.37632</v>
      </c>
      <c r="D15" s="0" t="n">
        <f aca="false">D13-MAX(0,D13)*D14/100</f>
        <v>189336.777696</v>
      </c>
      <c r="E15" s="0" t="n">
        <f aca="false">E13-MAX(0,E13)*E14/100</f>
        <v>180319.398502799</v>
      </c>
      <c r="F15" s="0" t="n">
        <f aca="false">F13-MAX(0,F13)*F14/100</f>
        <v>175958.550807819</v>
      </c>
      <c r="G15" s="0" t="n">
        <f aca="false">G13-MAX(0,G13)*G14/100</f>
        <v>172491.491641485</v>
      </c>
      <c r="H15" s="0" t="n">
        <f aca="false">H13-MAX(0,H13)*H14/100</f>
        <v>173423.862385608</v>
      </c>
      <c r="I15" s="0" t="n">
        <f aca="false">I13-MAX(0,I13)*I14/100</f>
        <v>178556.586563837</v>
      </c>
      <c r="J15" s="0" t="n">
        <f aca="false">J13-MAX(0,J13)*J14/100</f>
        <v>183020.501227933</v>
      </c>
      <c r="K15" s="0" t="n">
        <f aca="false">K13-MAX(0,K13)*K14/100</f>
        <v>188433.495962911</v>
      </c>
      <c r="L15" s="0" t="n">
        <f aca="false">L13-MAX(0,L13)*L14/100</f>
        <v>193144.333361984</v>
      </c>
    </row>
    <row r="16" customFormat="false" ht="15" hidden="false" customHeight="false" outlineLevel="0" collapsed="false">
      <c r="A16" s="0" t="s">
        <v>127</v>
      </c>
      <c r="C16" s="0" t="n">
        <f aca="false">-C12</f>
        <v>69012.1188</v>
      </c>
      <c r="D16" s="0" t="n">
        <f aca="false">-D12</f>
        <v>90365.280264</v>
      </c>
      <c r="E16" s="0" t="n">
        <f aca="false">-E12</f>
        <v>112956.60033</v>
      </c>
      <c r="F16" s="0" t="n">
        <f aca="false">-F12</f>
        <v>126872.853490656</v>
      </c>
      <c r="G16" s="0" t="n">
        <f aca="false">-G12</f>
        <v>135519.003506316</v>
      </c>
      <c r="H16" s="0" t="n">
        <f aca="false">-H12</f>
        <v>139584.573611505</v>
      </c>
      <c r="I16" s="0" t="n">
        <f aca="false">-I12</f>
        <v>143074.187951793</v>
      </c>
      <c r="J16" s="0" t="n">
        <f aca="false">-J12</f>
        <v>146651.042650587</v>
      </c>
      <c r="K16" s="0" t="n">
        <f aca="false">-K12</f>
        <v>150317.318716852</v>
      </c>
      <c r="L16" s="0" t="n">
        <f aca="false">-L12</f>
        <v>154075.251684773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-259810.3296</v>
      </c>
      <c r="D17" s="4" t="n">
        <f aca="false">-D6*Assumptions!D18/100</f>
        <v>-240974.080704</v>
      </c>
      <c r="E17" s="4" t="n">
        <f aca="false">-E6*Assumptions!E18/100</f>
        <v>-216876.6726336</v>
      </c>
      <c r="F17" s="4" t="n">
        <f aca="false">-F6*Assumptions!F18/100</f>
        <v>-187959.78294912</v>
      </c>
      <c r="G17" s="4" t="n">
        <f aca="false">-G6*Assumptions!G18/100</f>
        <v>-164558.789971955</v>
      </c>
      <c r="H17" s="4" t="n">
        <f aca="false">-H6*Assumptions!H18/100</f>
        <v>-149554.900298041</v>
      </c>
      <c r="I17" s="4" t="n">
        <f aca="false">-I6*Assumptions!I18/100</f>
        <v>-143074.187951793</v>
      </c>
      <c r="J17" s="4" t="n">
        <f aca="false">-J6*Assumptions!J18/100</f>
        <v>-146651.042650587</v>
      </c>
      <c r="K17" s="4" t="n">
        <f aca="false">-K6*Assumptions!K18/100</f>
        <v>-150317.318716852</v>
      </c>
      <c r="L17" s="4" t="n">
        <f aca="false">-L6*Assumptions!L18/100</f>
        <v>-154075.251684773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3007.064</v>
      </c>
      <c r="D18" s="4" t="n">
        <f aca="false">(D6-C6)*Assumptions!$B$23/100</f>
        <v>2435.72184</v>
      </c>
      <c r="E18" s="4" t="n">
        <f aca="false">(E6-D6)*Assumptions!$B$23/100</f>
        <v>2151.554292</v>
      </c>
      <c r="F18" s="4" t="n">
        <f aca="false">(F6-E6)*Assumptions!$B$23/100</f>
        <v>1807.30560528</v>
      </c>
      <c r="G18" s="4" t="n">
        <f aca="false">(G6-F6)*Assumptions!$B$23/100</f>
        <v>1409.6983721184</v>
      </c>
      <c r="H18" s="4" t="n">
        <f aca="false">(H6-G6)*Assumptions!$B$23/100</f>
        <v>1451.98932328195</v>
      </c>
      <c r="I18" s="4" t="n">
        <f aca="false">(I6-H6)*Assumptions!$B$23/100</f>
        <v>1246.29083581701</v>
      </c>
      <c r="J18" s="4" t="n">
        <f aca="false">(J6-I6)*Assumptions!$B$23/100</f>
        <v>1277.44810671243</v>
      </c>
      <c r="K18" s="4" t="n">
        <f aca="false">(K6-J6)*Assumptions!$B$23/100</f>
        <v>1309.38430938024</v>
      </c>
      <c r="L18" s="4" t="n">
        <f aca="false">(L6-K6)*Assumptions!$B$23/100</f>
        <v>1342.11891711474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10314.22952</v>
      </c>
      <c r="D19" s="0" t="n">
        <f aca="false">D15+D16+D17+D18</f>
        <v>41163.699096</v>
      </c>
      <c r="E19" s="0" t="n">
        <f aca="false">E15+E16+E17+E18</f>
        <v>78550.8804911988</v>
      </c>
      <c r="F19" s="0" t="n">
        <f aca="false">F15+F16+F17+F18</f>
        <v>116678.926954635</v>
      </c>
      <c r="G19" s="0" t="n">
        <f aca="false">G15+G16+G17+G18</f>
        <v>144861.403547964</v>
      </c>
      <c r="H19" s="0" t="n">
        <f aca="false">H15+H16+H17+H18</f>
        <v>164905.525022354</v>
      </c>
      <c r="I19" s="0" t="n">
        <f aca="false">I15+I16+I17+I18</f>
        <v>179802.877399654</v>
      </c>
      <c r="J19" s="0" t="n">
        <f aca="false">J15+J16+J17+J18</f>
        <v>184297.949334646</v>
      </c>
      <c r="K19" s="0" t="n">
        <f aca="false">K15+K16+K17+K18</f>
        <v>189742.880272291</v>
      </c>
      <c r="L19" s="0" t="n">
        <f aca="false">L15+L16+L17+L18</f>
        <v>194486.452279099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9506.20232258063</v>
      </c>
      <c r="D21" s="0" t="n">
        <f aca="false">D19*D20</f>
        <v>34966.7218212321</v>
      </c>
      <c r="E21" s="0" t="n">
        <f aca="false">E19*E20</f>
        <v>61498.1204754239</v>
      </c>
      <c r="F21" s="0" t="n">
        <f aca="false">F19*F20</f>
        <v>84192.5132064434</v>
      </c>
      <c r="G21" s="0" t="n">
        <f aca="false">G19*G20</f>
        <v>96339.4134407129</v>
      </c>
      <c r="H21" s="0" t="n">
        <f aca="false">H19*H20</f>
        <v>101078.031973358</v>
      </c>
      <c r="I21" s="0" t="n">
        <f aca="false">I19*I20</f>
        <v>101575.383387825</v>
      </c>
      <c r="J21" s="0" t="n">
        <f aca="false">J19*J20</f>
        <v>95958.3114954104</v>
      </c>
      <c r="K21" s="0" t="n">
        <f aca="false">K19*K20</f>
        <v>91053.751778406</v>
      </c>
      <c r="L21" s="0" t="n">
        <f aca="false">L19*L20</f>
        <v>86018.5212653144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1</v>
      </c>
      <c r="D23" s="4" t="n">
        <f aca="false">Assumptions!D16</f>
        <v>1</v>
      </c>
      <c r="E23" s="4" t="n">
        <f aca="false">Assumptions!E16</f>
        <v>1</v>
      </c>
      <c r="F23" s="4" t="n">
        <f aca="false">Assumptions!F16</f>
        <v>1</v>
      </c>
      <c r="G23" s="4" t="n">
        <f aca="false">Assumptions!G16</f>
        <v>1</v>
      </c>
      <c r="H23" s="4" t="n">
        <f aca="false">Assumptions!H16</f>
        <v>1</v>
      </c>
      <c r="I23" s="4" t="n">
        <f aca="false">Assumptions!I16</f>
        <v>1</v>
      </c>
      <c r="J23" s="4" t="n">
        <f aca="false">Assumptions!J16</f>
        <v>1</v>
      </c>
      <c r="K23" s="4" t="n">
        <f aca="false">Assumptions!K16</f>
        <v>1</v>
      </c>
      <c r="L23" s="4" t="n">
        <f aca="false">Assumptions!L16</f>
        <v>1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-8119.0728</v>
      </c>
      <c r="D24" s="0" t="n">
        <f aca="false">-D6*D23/100</f>
        <v>-8606.217168</v>
      </c>
      <c r="E24" s="0" t="n">
        <f aca="false">-E6*E23/100</f>
        <v>-9036.5280264</v>
      </c>
      <c r="F24" s="0" t="n">
        <f aca="false">-F6*F23/100</f>
        <v>-9397.989147456</v>
      </c>
      <c r="G24" s="0" t="n">
        <f aca="false">-G6*G23/100</f>
        <v>-9679.92882187968</v>
      </c>
      <c r="H24" s="0" t="n">
        <f aca="false">-H6*H23/100</f>
        <v>-9970.32668653607</v>
      </c>
      <c r="I24" s="0" t="n">
        <f aca="false">-I6*I23/100</f>
        <v>-10219.5848536995</v>
      </c>
      <c r="J24" s="0" t="n">
        <f aca="false">-J6*J23/100</f>
        <v>-10475.074475042</v>
      </c>
      <c r="K24" s="0" t="n">
        <f aca="false">-K6*K23/100</f>
        <v>-10736.951336918</v>
      </c>
      <c r="L24" s="0" t="n">
        <f aca="false">-L6*L23/100</f>
        <v>-11005.375120341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762186.971166706</v>
      </c>
    </row>
    <row r="31" customFormat="false" ht="15" hidden="false" customHeight="false" outlineLevel="0" collapsed="false">
      <c r="A31" s="0" t="s">
        <v>136</v>
      </c>
      <c r="B31" s="0" t="n">
        <f aca="false">L19</f>
        <v>194486.452279099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3322476.89310127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2917296.78418648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2917296.78418648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1290277.81897972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2052464.79014642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2682034.79014642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343.076828280107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-0.192380347739861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235098.078285575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291036.9481428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410.378243152605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1594788.90868861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198.961472926947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11</v>
      </c>
      <c r="D5" s="4" t="n">
        <f aca="false">Assumptions!D27</f>
        <v>10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751766</v>
      </c>
      <c r="C6" s="0" t="n">
        <f aca="false">B6*(1+C5/100)</f>
        <v>834460.26</v>
      </c>
      <c r="D6" s="0" t="n">
        <f aca="false">C6*(1+D5/100)</f>
        <v>917906.286</v>
      </c>
      <c r="E6" s="0" t="n">
        <f aca="false">D6*(1+E5/100)</f>
        <v>1000517.85174</v>
      </c>
      <c r="F6" s="0" t="n">
        <f aca="false">E6*(1+F5/100)</f>
        <v>1080559.2798792</v>
      </c>
      <c r="G6" s="0" t="n">
        <f aca="false">F6*(1+G5/100)</f>
        <v>1156198.42947074</v>
      </c>
      <c r="H6" s="0" t="n">
        <f aca="false">G6*(1+H5/100)</f>
        <v>1225570.33523899</v>
      </c>
      <c r="I6" s="0" t="n">
        <f aca="false">H6*(1+I5/100)</f>
        <v>1286848.85200094</v>
      </c>
      <c r="J6" s="0" t="n">
        <f aca="false">I6*(1+J5/100)</f>
        <v>1338322.80608098</v>
      </c>
      <c r="K6" s="0" t="n">
        <f aca="false">J6*(1+K5/100)</f>
        <v>1385164.10429381</v>
      </c>
      <c r="L6" s="0" t="n">
        <f aca="false">K6*(1+L5/100)</f>
        <v>1426719.02742263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45</v>
      </c>
      <c r="D7" s="4" t="n">
        <f aca="false">Assumptions!D28</f>
        <v>45</v>
      </c>
      <c r="E7" s="4" t="n">
        <f aca="false">Assumptions!E28</f>
        <v>45</v>
      </c>
      <c r="F7" s="4" t="n">
        <f aca="false">Assumptions!F28</f>
        <v>45.5</v>
      </c>
      <c r="G7" s="4" t="n">
        <f aca="false">Assumptions!G28</f>
        <v>45.5</v>
      </c>
      <c r="H7" s="4" t="n">
        <f aca="false">Assumptions!H28</f>
        <v>46</v>
      </c>
      <c r="I7" s="4" t="n">
        <f aca="false">Assumptions!I28</f>
        <v>46</v>
      </c>
      <c r="J7" s="4" t="n">
        <f aca="false">Assumptions!J28</f>
        <v>46</v>
      </c>
      <c r="K7" s="4" t="n">
        <f aca="false">Assumptions!K28</f>
        <v>46</v>
      </c>
      <c r="L7" s="4" t="n">
        <f aca="false">Assumptions!L28</f>
        <v>46</v>
      </c>
    </row>
    <row r="8" customFormat="false" ht="15" hidden="false" customHeight="false" outlineLevel="0" collapsed="false">
      <c r="A8" s="0" t="s">
        <v>44</v>
      </c>
      <c r="C8" s="0" t="n">
        <f aca="false">C6*C7/100</f>
        <v>375507.117</v>
      </c>
      <c r="D8" s="0" t="n">
        <f aca="false">D6*D7/100</f>
        <v>413057.8287</v>
      </c>
      <c r="E8" s="0" t="n">
        <f aca="false">E6*E7/100</f>
        <v>450233.033283</v>
      </c>
      <c r="F8" s="0" t="n">
        <f aca="false">F6*F7/100</f>
        <v>491654.472345036</v>
      </c>
      <c r="G8" s="0" t="n">
        <f aca="false">G6*G7/100</f>
        <v>526070.285409189</v>
      </c>
      <c r="H8" s="0" t="n">
        <f aca="false">H6*H7/100</f>
        <v>563762.354209935</v>
      </c>
      <c r="I8" s="0" t="n">
        <f aca="false">I6*I7/100</f>
        <v>591950.471920432</v>
      </c>
      <c r="J8" s="0" t="n">
        <f aca="false">J6*J7/100</f>
        <v>615628.490797249</v>
      </c>
      <c r="K8" s="0" t="n">
        <f aca="false">K6*K7/100</f>
        <v>637175.487975153</v>
      </c>
      <c r="L8" s="0" t="n">
        <f aca="false">L6*L7/100</f>
        <v>656290.752614408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3.5</v>
      </c>
      <c r="D9" s="4" t="n">
        <f aca="false">Assumptions!D29</f>
        <v>3.4</v>
      </c>
      <c r="E9" s="4" t="n">
        <f aca="false">Assumptions!E29</f>
        <v>3.3</v>
      </c>
      <c r="F9" s="4" t="n">
        <f aca="false">Assumptions!F29</f>
        <v>3.3</v>
      </c>
      <c r="G9" s="4" t="n">
        <f aca="false">Assumptions!G29</f>
        <v>3.2</v>
      </c>
      <c r="H9" s="4" t="n">
        <f aca="false">Assumptions!H29</f>
        <v>3.2</v>
      </c>
      <c r="I9" s="4" t="n">
        <f aca="false">Assumptions!I29</f>
        <v>3.1</v>
      </c>
      <c r="J9" s="4" t="n">
        <f aca="false">Assumptions!J29</f>
        <v>3.1</v>
      </c>
      <c r="K9" s="4" t="n">
        <f aca="false">Assumptions!K29</f>
        <v>3</v>
      </c>
      <c r="L9" s="4" t="n">
        <f aca="false">Assumptions!L29</f>
        <v>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-29206.1091</v>
      </c>
      <c r="D10" s="0" t="n">
        <f aca="false">-D6*D9/100</f>
        <v>-31208.813724</v>
      </c>
      <c r="E10" s="0" t="n">
        <f aca="false">-E6*E9/100</f>
        <v>-33017.08910742</v>
      </c>
      <c r="F10" s="0" t="n">
        <f aca="false">-F6*F9/100</f>
        <v>-35658.4562360136</v>
      </c>
      <c r="G10" s="0" t="n">
        <f aca="false">-G6*G9/100</f>
        <v>-36998.3497430638</v>
      </c>
      <c r="H10" s="0" t="n">
        <f aca="false">-H6*H9/100</f>
        <v>-39218.2507276477</v>
      </c>
      <c r="I10" s="0" t="n">
        <f aca="false">-I6*I9/100</f>
        <v>-39892.3144120291</v>
      </c>
      <c r="J10" s="0" t="n">
        <f aca="false">-J6*J9/100</f>
        <v>-41488.0069885103</v>
      </c>
      <c r="K10" s="0" t="n">
        <f aca="false">-K6*K9/100</f>
        <v>-41554.9231288143</v>
      </c>
      <c r="L10" s="0" t="n">
        <f aca="false">-L6*L9/100</f>
        <v>-42801.5708226788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337956.4053</v>
      </c>
      <c r="D11" s="0" t="n">
        <f aca="false">D8+D10+D24</f>
        <v>372669.952116</v>
      </c>
      <c r="E11" s="0" t="n">
        <f aca="false">E8+E10+E24</f>
        <v>407210.76565818</v>
      </c>
      <c r="F11" s="0" t="n">
        <f aca="false">F8+F10+F24</f>
        <v>445190.423310231</v>
      </c>
      <c r="G11" s="0" t="n">
        <f aca="false">G8+G10+G24</f>
        <v>477509.951371418</v>
      </c>
      <c r="H11" s="0" t="n">
        <f aca="false">H8+H10+H24</f>
        <v>512288.400129898</v>
      </c>
      <c r="I11" s="0" t="n">
        <f aca="false">I8+I10+I24</f>
        <v>539189.668988393</v>
      </c>
      <c r="J11" s="0" t="n">
        <f aca="false">J8+J10+J24</f>
        <v>560757.255747929</v>
      </c>
      <c r="K11" s="0" t="n">
        <f aca="false">K8+K10+K24</f>
        <v>581768.923803401</v>
      </c>
      <c r="L11" s="0" t="n">
        <f aca="false">L8+L10+L24</f>
        <v>599221.991517503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-70929.1221</v>
      </c>
      <c r="D12" s="4" t="n">
        <f aca="false">-D6*Assumptions!D31/100</f>
        <v>-91790.6286</v>
      </c>
      <c r="E12" s="4" t="n">
        <f aca="false">-E6*Assumptions!E31/100</f>
        <v>-115059.5529501</v>
      </c>
      <c r="F12" s="4" t="n">
        <f aca="false">-F6*Assumptions!F31/100</f>
        <v>-135069.9099849</v>
      </c>
      <c r="G12" s="4" t="n">
        <f aca="false">-G6*Assumptions!G31/100</f>
        <v>-150305.795831197</v>
      </c>
      <c r="H12" s="4" t="n">
        <f aca="false">-H6*Assumptions!H31/100</f>
        <v>-159324.143581069</v>
      </c>
      <c r="I12" s="4" t="n">
        <f aca="false">-I6*Assumptions!I31/100</f>
        <v>-164716.65305612</v>
      </c>
      <c r="J12" s="4" t="n">
        <f aca="false">-J6*Assumptions!J31/100</f>
        <v>-167290.350760122</v>
      </c>
      <c r="K12" s="4" t="n">
        <f aca="false">-K6*Assumptions!K31/100</f>
        <v>-173145.513036726</v>
      </c>
      <c r="L12" s="4" t="n">
        <f aca="false">-L6*Assumptions!L31/100</f>
        <v>-178339.878427828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267027.2832</v>
      </c>
      <c r="D13" s="0" t="n">
        <f aca="false">D11+D12</f>
        <v>280879.323516</v>
      </c>
      <c r="E13" s="0" t="n">
        <f aca="false">E11+E12</f>
        <v>292151.21270808</v>
      </c>
      <c r="F13" s="0" t="n">
        <f aca="false">F11+F12</f>
        <v>310120.513325331</v>
      </c>
      <c r="G13" s="0" t="n">
        <f aca="false">G11+G12</f>
        <v>327204.155540221</v>
      </c>
      <c r="H13" s="0" t="n">
        <f aca="false">H11+H12</f>
        <v>352964.256548829</v>
      </c>
      <c r="I13" s="0" t="n">
        <f aca="false">I11+I12</f>
        <v>374473.015932273</v>
      </c>
      <c r="J13" s="0" t="n">
        <f aca="false">J11+J12</f>
        <v>393466.904987807</v>
      </c>
      <c r="K13" s="0" t="n">
        <f aca="false">K11+K12</f>
        <v>408623.410766674</v>
      </c>
      <c r="L13" s="0" t="n">
        <f aca="false">L11+L12</f>
        <v>420882.113089674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18</v>
      </c>
      <c r="D14" s="4" t="n">
        <f aca="false">Assumptions!D33</f>
        <v>18</v>
      </c>
      <c r="E14" s="4" t="n">
        <f aca="false">Assumptions!E33</f>
        <v>18.5</v>
      </c>
      <c r="F14" s="4" t="n">
        <f aca="false">Assumptions!F33</f>
        <v>19</v>
      </c>
      <c r="G14" s="4" t="n">
        <f aca="false">Assumptions!G33</f>
        <v>19.5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218962.372224</v>
      </c>
      <c r="D15" s="0" t="n">
        <f aca="false">D13-MAX(0,D13)*D14/100</f>
        <v>230321.04528312</v>
      </c>
      <c r="E15" s="0" t="n">
        <f aca="false">E13-MAX(0,E13)*E14/100</f>
        <v>238103.238357085</v>
      </c>
      <c r="F15" s="0" t="n">
        <f aca="false">F13-MAX(0,F13)*F14/100</f>
        <v>251197.615793518</v>
      </c>
      <c r="G15" s="0" t="n">
        <f aca="false">G13-MAX(0,G13)*G14/100</f>
        <v>263399.345209878</v>
      </c>
      <c r="H15" s="0" t="n">
        <f aca="false">H13-MAX(0,H13)*H14/100</f>
        <v>282371.405239063</v>
      </c>
      <c r="I15" s="0" t="n">
        <f aca="false">I13-MAX(0,I13)*I14/100</f>
        <v>299578.412745819</v>
      </c>
      <c r="J15" s="0" t="n">
        <f aca="false">J13-MAX(0,J13)*J14/100</f>
        <v>314773.523990246</v>
      </c>
      <c r="K15" s="0" t="n">
        <f aca="false">K13-MAX(0,K13)*K14/100</f>
        <v>326898.728613339</v>
      </c>
      <c r="L15" s="0" t="n">
        <f aca="false">L13-MAX(0,L13)*L14/100</f>
        <v>336705.69047174</v>
      </c>
    </row>
    <row r="16" customFormat="false" ht="15" hidden="false" customHeight="false" outlineLevel="0" collapsed="false">
      <c r="A16" s="0" t="s">
        <v>127</v>
      </c>
      <c r="C16" s="0" t="n">
        <f aca="false">-C12</f>
        <v>70929.1221</v>
      </c>
      <c r="D16" s="0" t="n">
        <f aca="false">-D12</f>
        <v>91790.6286</v>
      </c>
      <c r="E16" s="0" t="n">
        <f aca="false">-E12</f>
        <v>115059.5529501</v>
      </c>
      <c r="F16" s="0" t="n">
        <f aca="false">-F12</f>
        <v>135069.9099849</v>
      </c>
      <c r="G16" s="0" t="n">
        <f aca="false">-G12</f>
        <v>150305.795831197</v>
      </c>
      <c r="H16" s="0" t="n">
        <f aca="false">-H12</f>
        <v>159324.143581069</v>
      </c>
      <c r="I16" s="0" t="n">
        <f aca="false">-I12</f>
        <v>164716.65305612</v>
      </c>
      <c r="J16" s="0" t="n">
        <f aca="false">-J12</f>
        <v>167290.350760122</v>
      </c>
      <c r="K16" s="0" t="n">
        <f aca="false">-K12</f>
        <v>173145.513036726</v>
      </c>
      <c r="L16" s="0" t="n">
        <f aca="false">-L12</f>
        <v>178339.878427828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-250338.078</v>
      </c>
      <c r="D17" s="4" t="n">
        <f aca="false">-D6*Assumptions!D32/100</f>
        <v>-229476.5715</v>
      </c>
      <c r="E17" s="4" t="n">
        <f aca="false">-E6*Assumptions!E32/100</f>
        <v>-200103.570348</v>
      </c>
      <c r="F17" s="4" t="n">
        <f aca="false">-F6*Assumptions!F32/100</f>
        <v>-183695.077579464</v>
      </c>
      <c r="G17" s="4" t="n">
        <f aca="false">-G6*Assumptions!G32/100</f>
        <v>-173429.764420612</v>
      </c>
      <c r="H17" s="4" t="n">
        <f aca="false">-H6*Assumptions!H32/100</f>
        <v>-171579.846933459</v>
      </c>
      <c r="I17" s="4" t="n">
        <f aca="false">-I6*Assumptions!I32/100</f>
        <v>-167290.350760122</v>
      </c>
      <c r="J17" s="4" t="n">
        <f aca="false">-J6*Assumptions!J32/100</f>
        <v>-167290.350760122</v>
      </c>
      <c r="K17" s="4" t="n">
        <f aca="false">-K6*Assumptions!K32/100</f>
        <v>-173145.513036726</v>
      </c>
      <c r="L17" s="4" t="n">
        <f aca="false">-L6*Assumptions!L32/100</f>
        <v>-178339.878427828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6615.54080000001</v>
      </c>
      <c r="D18" s="4" t="n">
        <f aca="false">(D6-C6)*Assumptions!$B$37/100</f>
        <v>6675.68208000001</v>
      </c>
      <c r="E18" s="4" t="n">
        <f aca="false">(E6-D6)*Assumptions!$B$37/100</f>
        <v>6608.92525920001</v>
      </c>
      <c r="F18" s="4" t="n">
        <f aca="false">(F6-E6)*Assumptions!$B$37/100</f>
        <v>6403.31425113602</v>
      </c>
      <c r="G18" s="4" t="n">
        <f aca="false">(G6-F6)*Assumptions!$B$37/100</f>
        <v>6051.13196732353</v>
      </c>
      <c r="H18" s="4" t="n">
        <f aca="false">(H6-G6)*Assumptions!$B$37/100</f>
        <v>5549.75246145958</v>
      </c>
      <c r="I18" s="4" t="n">
        <f aca="false">(I6-H6)*Assumptions!$B$37/100</f>
        <v>4902.28134095596</v>
      </c>
      <c r="J18" s="4" t="n">
        <f aca="false">(J6-I6)*Assumptions!$B$37/100</f>
        <v>4117.916326403</v>
      </c>
      <c r="K18" s="4" t="n">
        <f aca="false">(K6-J6)*Assumptions!$B$37/100</f>
        <v>3747.30385702673</v>
      </c>
      <c r="L18" s="4" t="n">
        <f aca="false">(L6-K6)*Assumptions!$B$37/100</f>
        <v>3324.39385030516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46168.9571240001</v>
      </c>
      <c r="D19" s="0" t="n">
        <f aca="false">D15+D16+D17+D18</f>
        <v>99310.7844631201</v>
      </c>
      <c r="E19" s="0" t="n">
        <f aca="false">E15+E16+E17+E18</f>
        <v>159668.146218385</v>
      </c>
      <c r="F19" s="0" t="n">
        <f aca="false">F15+F16+F17+F18</f>
        <v>208975.76245009</v>
      </c>
      <c r="G19" s="0" t="n">
        <f aca="false">G15+G16+G17+G18</f>
        <v>246326.508587786</v>
      </c>
      <c r="H19" s="0" t="n">
        <f aca="false">H15+H16+H17+H18</f>
        <v>275665.454348133</v>
      </c>
      <c r="I19" s="0" t="n">
        <f aca="false">I15+I16+I17+I18</f>
        <v>301906.996382773</v>
      </c>
      <c r="J19" s="0" t="n">
        <f aca="false">J15+J16+J17+J18</f>
        <v>318891.440316649</v>
      </c>
      <c r="K19" s="0" t="n">
        <f aca="false">K15+K16+K17+K18</f>
        <v>330646.032470366</v>
      </c>
      <c r="L19" s="0" t="n">
        <f aca="false">L15+L16+L17+L18</f>
        <v>340030.084322045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42552.0342156683</v>
      </c>
      <c r="D21" s="0" t="n">
        <f aca="false">D19*D20</f>
        <v>84360.0708981886</v>
      </c>
      <c r="E21" s="0" t="n">
        <f aca="false">E19*E20</f>
        <v>125005.484735796</v>
      </c>
      <c r="F21" s="0" t="n">
        <f aca="false">F19*F20</f>
        <v>150791.536219273</v>
      </c>
      <c r="G21" s="0" t="n">
        <f aca="false">G19*G20</f>
        <v>163818.317170927</v>
      </c>
      <c r="H21" s="0" t="n">
        <f aca="false">H19*H20</f>
        <v>168967.786887514</v>
      </c>
      <c r="I21" s="0" t="n">
        <f aca="false">I19*I20</f>
        <v>170555.217739278</v>
      </c>
      <c r="J21" s="0" t="n">
        <f aca="false">J19*J20</f>
        <v>166037.030111287</v>
      </c>
      <c r="K21" s="0" t="n">
        <f aca="false">K19*K20</f>
        <v>158670.310706083</v>
      </c>
      <c r="L21" s="0" t="n">
        <f aca="false">L19*L20</f>
        <v>150390.346969406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1</v>
      </c>
      <c r="D23" s="4" t="n">
        <f aca="false">Assumptions!D30</f>
        <v>1</v>
      </c>
      <c r="E23" s="4" t="n">
        <f aca="false">Assumptions!E30</f>
        <v>1</v>
      </c>
      <c r="F23" s="4" t="n">
        <f aca="false">Assumptions!F30</f>
        <v>1</v>
      </c>
      <c r="G23" s="4" t="n">
        <f aca="false">Assumptions!G30</f>
        <v>1</v>
      </c>
      <c r="H23" s="4" t="n">
        <f aca="false">Assumptions!H30</f>
        <v>1</v>
      </c>
      <c r="I23" s="4" t="n">
        <f aca="false">Assumptions!I30</f>
        <v>1</v>
      </c>
      <c r="J23" s="4" t="n">
        <f aca="false">Assumptions!J30</f>
        <v>1</v>
      </c>
      <c r="K23" s="4" t="n">
        <f aca="false">Assumptions!K30</f>
        <v>1</v>
      </c>
      <c r="L23" s="4" t="n">
        <f aca="false">Assumptions!L30</f>
        <v>1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-8344.6026</v>
      </c>
      <c r="D24" s="0" t="n">
        <f aca="false">-D6*D23/100</f>
        <v>-9179.06286</v>
      </c>
      <c r="E24" s="0" t="n">
        <f aca="false">-E6*E23/100</f>
        <v>-10005.1785174</v>
      </c>
      <c r="F24" s="0" t="n">
        <f aca="false">-F6*F23/100</f>
        <v>-10805.592798792</v>
      </c>
      <c r="G24" s="0" t="n">
        <f aca="false">-G6*G23/100</f>
        <v>-11561.9842947074</v>
      </c>
      <c r="H24" s="0" t="n">
        <f aca="false">-H6*H23/100</f>
        <v>-12255.7033523899</v>
      </c>
      <c r="I24" s="0" t="n">
        <f aca="false">-I6*I23/100</f>
        <v>-12868.4885200094</v>
      </c>
      <c r="J24" s="0" t="n">
        <f aca="false">-J6*J23/100</f>
        <v>-13383.2280608098</v>
      </c>
      <c r="K24" s="0" t="n">
        <f aca="false">-K6*K23/100</f>
        <v>-13851.6410429381</v>
      </c>
      <c r="L24" s="0" t="n">
        <f aca="false">-L6*L23/100</f>
        <v>-14267.1902742263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1381148.13565342</v>
      </c>
    </row>
    <row r="31" customFormat="false" ht="15" hidden="false" customHeight="false" outlineLevel="0" collapsed="false">
      <c r="A31" s="0" t="s">
        <v>136</v>
      </c>
      <c r="B31" s="0" t="n">
        <f aca="false">L19</f>
        <v>340030.084322045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6367836.12457648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6800601.68644089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6367836.12457648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2816401.04324524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4197549.17889866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4827119.17889866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617.468775465145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0.453551731320963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236661.984436569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354516.833291013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693.090372350281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2918591.55709755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297.807619860593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12</v>
      </c>
      <c r="D5" s="4" t="n">
        <f aca="false">Assumptions!D41</f>
        <v>12</v>
      </c>
      <c r="E5" s="4" t="n">
        <f aca="false">Assumptions!E41</f>
        <v>11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751766</v>
      </c>
      <c r="C6" s="0" t="n">
        <f aca="false">B6*(1+C5/100)</f>
        <v>841977.92</v>
      </c>
      <c r="D6" s="0" t="n">
        <f aca="false">C6*(1+D5/100)</f>
        <v>943015.2704</v>
      </c>
      <c r="E6" s="0" t="n">
        <f aca="false">D6*(1+E5/100)</f>
        <v>1046746.950144</v>
      </c>
      <c r="F6" s="0" t="n">
        <f aca="false">E6*(1+F5/100)</f>
        <v>1151421.6451584</v>
      </c>
      <c r="G6" s="0" t="n">
        <f aca="false">F6*(1+G5/100)</f>
        <v>1255049.59322266</v>
      </c>
      <c r="H6" s="0" t="n">
        <f aca="false">G6*(1+H5/100)</f>
        <v>1355453.56068047</v>
      </c>
      <c r="I6" s="0" t="n">
        <f aca="false">H6*(1+I5/100)</f>
        <v>1450335.3099281</v>
      </c>
      <c r="J6" s="0" t="n">
        <f aca="false">I6*(1+J5/100)</f>
        <v>1537355.42852379</v>
      </c>
      <c r="K6" s="0" t="n">
        <f aca="false">J6*(1+K5/100)</f>
        <v>1614223.19994998</v>
      </c>
      <c r="L6" s="0" t="n">
        <f aca="false">K6*(1+L5/100)</f>
        <v>1678792.12794798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45.5</v>
      </c>
      <c r="D7" s="4" t="n">
        <f aca="false">Assumptions!D42</f>
        <v>46</v>
      </c>
      <c r="E7" s="4" t="n">
        <f aca="false">Assumptions!E42</f>
        <v>46.5</v>
      </c>
      <c r="F7" s="4" t="n">
        <f aca="false">Assumptions!F42</f>
        <v>47</v>
      </c>
      <c r="G7" s="4" t="n">
        <f aca="false">Assumptions!G42</f>
        <v>47.5</v>
      </c>
      <c r="H7" s="4" t="n">
        <f aca="false">Assumptions!H42</f>
        <v>48</v>
      </c>
      <c r="I7" s="4" t="n">
        <f aca="false">Assumptions!I42</f>
        <v>48</v>
      </c>
      <c r="J7" s="4" t="n">
        <f aca="false">Assumptions!J42</f>
        <v>48</v>
      </c>
      <c r="K7" s="4" t="n">
        <f aca="false">Assumptions!K42</f>
        <v>48</v>
      </c>
      <c r="L7" s="4" t="n">
        <f aca="false">Assumptions!L42</f>
        <v>48</v>
      </c>
    </row>
    <row r="8" customFormat="false" ht="15" hidden="false" customHeight="false" outlineLevel="0" collapsed="false">
      <c r="A8" s="0" t="s">
        <v>44</v>
      </c>
      <c r="C8" s="0" t="n">
        <f aca="false">C6*C7/100</f>
        <v>383099.9536</v>
      </c>
      <c r="D8" s="0" t="n">
        <f aca="false">D6*D7/100</f>
        <v>433787.024384</v>
      </c>
      <c r="E8" s="0" t="n">
        <f aca="false">E6*E7/100</f>
        <v>486737.33181696</v>
      </c>
      <c r="F8" s="0" t="n">
        <f aca="false">F6*F7/100</f>
        <v>541168.173224448</v>
      </c>
      <c r="G8" s="0" t="n">
        <f aca="false">G6*G7/100</f>
        <v>596148.556780762</v>
      </c>
      <c r="H8" s="0" t="n">
        <f aca="false">H6*H7/100</f>
        <v>650617.709126625</v>
      </c>
      <c r="I8" s="0" t="n">
        <f aca="false">I6*I7/100</f>
        <v>696160.948765489</v>
      </c>
      <c r="J8" s="0" t="n">
        <f aca="false">J6*J7/100</f>
        <v>737930.605691418</v>
      </c>
      <c r="K8" s="0" t="n">
        <f aca="false">K6*K7/100</f>
        <v>774827.135975989</v>
      </c>
      <c r="L8" s="0" t="n">
        <f aca="false">L6*L7/100</f>
        <v>805820.221415029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3.3</v>
      </c>
      <c r="D9" s="4" t="n">
        <f aca="false">Assumptions!D43</f>
        <v>3.2</v>
      </c>
      <c r="E9" s="4" t="n">
        <f aca="false">Assumptions!E43</f>
        <v>3.1</v>
      </c>
      <c r="F9" s="4" t="n">
        <f aca="false">Assumptions!F43</f>
        <v>3</v>
      </c>
      <c r="G9" s="4" t="n">
        <f aca="false">Assumptions!G43</f>
        <v>2.9</v>
      </c>
      <c r="H9" s="4" t="n">
        <f aca="false">Assumptions!H43</f>
        <v>2.8</v>
      </c>
      <c r="I9" s="4" t="n">
        <f aca="false">Assumptions!I43</f>
        <v>2.7</v>
      </c>
      <c r="J9" s="4" t="n">
        <f aca="false">Assumptions!J43</f>
        <v>2.6</v>
      </c>
      <c r="K9" s="4" t="n">
        <f aca="false">Assumptions!K43</f>
        <v>2.5</v>
      </c>
      <c r="L9" s="4" t="n">
        <f aca="false">Assumptions!L43</f>
        <v>2.5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-27785.27136</v>
      </c>
      <c r="D10" s="0" t="n">
        <f aca="false">-D6*D9/100</f>
        <v>-30176.4886528</v>
      </c>
      <c r="E10" s="0" t="n">
        <f aca="false">-E6*E9/100</f>
        <v>-32449.155454464</v>
      </c>
      <c r="F10" s="0" t="n">
        <f aca="false">-F6*F9/100</f>
        <v>-34542.649354752</v>
      </c>
      <c r="G10" s="0" t="n">
        <f aca="false">-G6*G9/100</f>
        <v>-36396.438203457</v>
      </c>
      <c r="H10" s="0" t="n">
        <f aca="false">-H6*H9/100</f>
        <v>-37952.6996990531</v>
      </c>
      <c r="I10" s="0" t="n">
        <f aca="false">-I6*I9/100</f>
        <v>-39159.0533680588</v>
      </c>
      <c r="J10" s="0" t="n">
        <f aca="false">-J6*J9/100</f>
        <v>-39971.2411416185</v>
      </c>
      <c r="K10" s="0" t="n">
        <f aca="false">-K6*K9/100</f>
        <v>-40355.5799987495</v>
      </c>
      <c r="L10" s="0" t="n">
        <f aca="false">-L6*L9/100</f>
        <v>-41969.8031986994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346894.90304</v>
      </c>
      <c r="D11" s="0" t="n">
        <f aca="false">D8+D10+D24</f>
        <v>394180.3830272</v>
      </c>
      <c r="E11" s="0" t="n">
        <f aca="false">E8+E10+E24</f>
        <v>443820.706861056</v>
      </c>
      <c r="F11" s="0" t="n">
        <f aca="false">F8+F10+F24</f>
        <v>495111.307418112</v>
      </c>
      <c r="G11" s="0" t="n">
        <f aca="false">G8+G10+G24</f>
        <v>547201.622645078</v>
      </c>
      <c r="H11" s="0" t="n">
        <f aca="false">H8+H10+H24</f>
        <v>599110.473820767</v>
      </c>
      <c r="I11" s="0" t="n">
        <f aca="false">I8+I10+I24</f>
        <v>642498.542298149</v>
      </c>
      <c r="J11" s="0" t="n">
        <f aca="false">J8+J10+J24</f>
        <v>682585.810264562</v>
      </c>
      <c r="K11" s="0" t="n">
        <f aca="false">K8+K10+K24</f>
        <v>718329.32397774</v>
      </c>
      <c r="L11" s="0" t="n">
        <f aca="false">L8+L10+L24</f>
        <v>747062.49693685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-71568.1232</v>
      </c>
      <c r="D12" s="4" t="n">
        <f aca="false">-D6*Assumptions!D45/100</f>
        <v>-89586.450688</v>
      </c>
      <c r="E12" s="4" t="n">
        <f aca="false">-E6*Assumptions!E45/100</f>
        <v>-109908.42976512</v>
      </c>
      <c r="F12" s="4" t="n">
        <f aca="false">-F6*Assumptions!F45/100</f>
        <v>-132413.489193216</v>
      </c>
      <c r="G12" s="4" t="n">
        <f aca="false">-G6*Assumptions!G45/100</f>
        <v>-150605.951186719</v>
      </c>
      <c r="H12" s="4" t="n">
        <f aca="false">-H6*Assumptions!H45/100</f>
        <v>-162654.427281656</v>
      </c>
      <c r="I12" s="4" t="n">
        <f aca="false">-I6*Assumptions!I45/100</f>
        <v>-171139.566571516</v>
      </c>
      <c r="J12" s="4" t="n">
        <f aca="false">-J6*Assumptions!J45/100</f>
        <v>-176795.874280236</v>
      </c>
      <c r="K12" s="4" t="n">
        <f aca="false">-K6*Assumptions!K45/100</f>
        <v>-185635.667994247</v>
      </c>
      <c r="L12" s="4" t="n">
        <f aca="false">-L6*Assumptions!L45/100</f>
        <v>-193061.094714017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275326.77984</v>
      </c>
      <c r="D13" s="0" t="n">
        <f aca="false">D11+D12</f>
        <v>304593.9323392</v>
      </c>
      <c r="E13" s="0" t="n">
        <f aca="false">E11+E12</f>
        <v>333912.277095936</v>
      </c>
      <c r="F13" s="0" t="n">
        <f aca="false">F11+F12</f>
        <v>362697.818224896</v>
      </c>
      <c r="G13" s="0" t="n">
        <f aca="false">G11+G12</f>
        <v>396595.671458359</v>
      </c>
      <c r="H13" s="0" t="n">
        <f aca="false">H11+H12</f>
        <v>436456.046539111</v>
      </c>
      <c r="I13" s="0" t="n">
        <f aca="false">I11+I12</f>
        <v>471358.975726633</v>
      </c>
      <c r="J13" s="0" t="n">
        <f aca="false">J11+J12</f>
        <v>505789.935984326</v>
      </c>
      <c r="K13" s="0" t="n">
        <f aca="false">K11+K12</f>
        <v>532693.655983493</v>
      </c>
      <c r="L13" s="0" t="n">
        <f aca="false">L11+L12</f>
        <v>554001.402222832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17.5</v>
      </c>
      <c r="F14" s="4" t="n">
        <f aca="false">Assumptions!F47</f>
        <v>18</v>
      </c>
      <c r="G14" s="4" t="n">
        <f aca="false">Assumptions!G47</f>
        <v>18.5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228521.2272672</v>
      </c>
      <c r="D15" s="0" t="n">
        <f aca="false">D13-MAX(0,D13)*D14/100</f>
        <v>252812.963841536</v>
      </c>
      <c r="E15" s="0" t="n">
        <f aca="false">E13-MAX(0,E13)*E14/100</f>
        <v>275477.628604147</v>
      </c>
      <c r="F15" s="0" t="n">
        <f aca="false">F13-MAX(0,F13)*F14/100</f>
        <v>297412.210944415</v>
      </c>
      <c r="G15" s="0" t="n">
        <f aca="false">G13-MAX(0,G13)*G14/100</f>
        <v>323225.472238563</v>
      </c>
      <c r="H15" s="0" t="n">
        <f aca="false">H13-MAX(0,H13)*H14/100</f>
        <v>353529.39769668</v>
      </c>
      <c r="I15" s="0" t="n">
        <f aca="false">I13-MAX(0,I13)*I14/100</f>
        <v>381800.770338573</v>
      </c>
      <c r="J15" s="0" t="n">
        <f aca="false">J13-MAX(0,J13)*J14/100</f>
        <v>409689.848147304</v>
      </c>
      <c r="K15" s="0" t="n">
        <f aca="false">K13-MAX(0,K13)*K14/100</f>
        <v>431481.861346629</v>
      </c>
      <c r="L15" s="0" t="n">
        <f aca="false">L13-MAX(0,L13)*L14/100</f>
        <v>448741.135800494</v>
      </c>
    </row>
    <row r="16" customFormat="false" ht="15" hidden="false" customHeight="false" outlineLevel="0" collapsed="false">
      <c r="A16" s="0" t="s">
        <v>127</v>
      </c>
      <c r="C16" s="0" t="n">
        <f aca="false">-C12</f>
        <v>71568.1232</v>
      </c>
      <c r="D16" s="0" t="n">
        <f aca="false">-D12</f>
        <v>89586.450688</v>
      </c>
      <c r="E16" s="0" t="n">
        <f aca="false">-E12</f>
        <v>109908.42976512</v>
      </c>
      <c r="F16" s="0" t="n">
        <f aca="false">-F12</f>
        <v>132413.489193216</v>
      </c>
      <c r="G16" s="0" t="n">
        <f aca="false">-G12</f>
        <v>150605.951186719</v>
      </c>
      <c r="H16" s="0" t="n">
        <f aca="false">-H12</f>
        <v>162654.427281656</v>
      </c>
      <c r="I16" s="0" t="n">
        <f aca="false">-I12</f>
        <v>171139.566571516</v>
      </c>
      <c r="J16" s="0" t="n">
        <f aca="false">-J12</f>
        <v>176795.874280236</v>
      </c>
      <c r="K16" s="0" t="n">
        <f aca="false">-K12</f>
        <v>185635.667994247</v>
      </c>
      <c r="L16" s="0" t="n">
        <f aca="false">-L12</f>
        <v>193061.094714017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-252593.376</v>
      </c>
      <c r="D17" s="4" t="n">
        <f aca="false">-D6*Assumptions!D46/100</f>
        <v>-226323.664896</v>
      </c>
      <c r="E17" s="4" t="n">
        <f aca="false">-E6*Assumptions!E46/100</f>
        <v>-198881.92052736</v>
      </c>
      <c r="F17" s="4" t="n">
        <f aca="false">-F6*Assumptions!F46/100</f>
        <v>-178470.354999552</v>
      </c>
      <c r="G17" s="4" t="n">
        <f aca="false">-G6*Assumptions!G46/100</f>
        <v>-169431.695085059</v>
      </c>
      <c r="H17" s="4" t="n">
        <f aca="false">-H6*Assumptions!H46/100</f>
        <v>-169431.695085059</v>
      </c>
      <c r="I17" s="4" t="n">
        <f aca="false">-I6*Assumptions!I46/100</f>
        <v>-174040.237191372</v>
      </c>
      <c r="J17" s="4" t="n">
        <f aca="false">-J6*Assumptions!J46/100</f>
        <v>-176795.874280236</v>
      </c>
      <c r="K17" s="4" t="n">
        <f aca="false">-K6*Assumptions!K46/100</f>
        <v>-185635.667994247</v>
      </c>
      <c r="L17" s="4" t="n">
        <f aca="false">-L6*Assumptions!L46/100</f>
        <v>-193061.094714017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9021.19200000001</v>
      </c>
      <c r="D18" s="4" t="n">
        <f aca="false">(D6-C6)*Assumptions!$B$51/100</f>
        <v>10103.73504</v>
      </c>
      <c r="E18" s="4" t="n">
        <f aca="false">(E6-D6)*Assumptions!$B$51/100</f>
        <v>10373.1679744</v>
      </c>
      <c r="F18" s="4" t="n">
        <f aca="false">(F6-E6)*Assumptions!$B$51/100</f>
        <v>10467.46950144</v>
      </c>
      <c r="G18" s="4" t="n">
        <f aca="false">(G6-F6)*Assumptions!$B$51/100</f>
        <v>10362.7948064256</v>
      </c>
      <c r="H18" s="4" t="n">
        <f aca="false">(H6-G6)*Assumptions!$B$51/100</f>
        <v>10040.3967457813</v>
      </c>
      <c r="I18" s="4" t="n">
        <f aca="false">(I6-H6)*Assumptions!$B$51/100</f>
        <v>9488.17492476329</v>
      </c>
      <c r="J18" s="4" t="n">
        <f aca="false">(J6-I6)*Assumptions!$B$51/100</f>
        <v>8702.01185956863</v>
      </c>
      <c r="K18" s="4" t="n">
        <f aca="false">(K6-J6)*Assumptions!$B$51/100</f>
        <v>7686.77714261895</v>
      </c>
      <c r="L18" s="4" t="n">
        <f aca="false">(L6-K6)*Assumptions!$B$51/100</f>
        <v>6456.89279979991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56517.1664672</v>
      </c>
      <c r="D19" s="0" t="n">
        <f aca="false">D15+D16+D17+D18</f>
        <v>126179.484673536</v>
      </c>
      <c r="E19" s="0" t="n">
        <f aca="false">E15+E16+E17+E18</f>
        <v>196877.305816307</v>
      </c>
      <c r="F19" s="0" t="n">
        <f aca="false">F15+F16+F17+F18</f>
        <v>261822.814639519</v>
      </c>
      <c r="G19" s="0" t="n">
        <f aca="false">G15+G16+G17+G18</f>
        <v>314762.523146649</v>
      </c>
      <c r="H19" s="0" t="n">
        <f aca="false">H15+H16+H17+H18</f>
        <v>356792.526639059</v>
      </c>
      <c r="I19" s="0" t="n">
        <f aca="false">I15+I16+I17+I18</f>
        <v>388388.27464348</v>
      </c>
      <c r="J19" s="0" t="n">
        <f aca="false">J15+J16+J17+J18</f>
        <v>418391.860006873</v>
      </c>
      <c r="K19" s="0" t="n">
        <f aca="false">K15+K16+K17+K18</f>
        <v>439168.638489248</v>
      </c>
      <c r="L19" s="0" t="n">
        <f aca="false">L15+L16+L17+L18</f>
        <v>455198.028600294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52089.5543476497</v>
      </c>
      <c r="D21" s="0" t="n">
        <f aca="false">D19*D20</f>
        <v>107183.830341299</v>
      </c>
      <c r="E21" s="0" t="n">
        <f aca="false">E19*E20</f>
        <v>154136.83712081</v>
      </c>
      <c r="F21" s="0" t="n">
        <f aca="false">F19*F20</f>
        <v>188924.610078532</v>
      </c>
      <c r="G21" s="0" t="n">
        <f aca="false">G19*G20</f>
        <v>209331.375441399</v>
      </c>
      <c r="H21" s="0" t="n">
        <f aca="false">H19*H20</f>
        <v>218694.227562049</v>
      </c>
      <c r="I21" s="0" t="n">
        <f aca="false">I19*I20</f>
        <v>219410.770677261</v>
      </c>
      <c r="J21" s="0" t="n">
        <f aca="false">J19*J20</f>
        <v>217843.858678987</v>
      </c>
      <c r="K21" s="0" t="n">
        <f aca="false">K19*K20</f>
        <v>210748.103646765</v>
      </c>
      <c r="L21" s="0" t="n">
        <f aca="false">L19*L20</f>
        <v>201327.449003458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1</v>
      </c>
      <c r="D23" s="4" t="n">
        <f aca="false">Assumptions!D44</f>
        <v>1</v>
      </c>
      <c r="E23" s="4" t="n">
        <f aca="false">Assumptions!E44</f>
        <v>1</v>
      </c>
      <c r="F23" s="4" t="n">
        <f aca="false">Assumptions!F44</f>
        <v>1</v>
      </c>
      <c r="G23" s="4" t="n">
        <f aca="false">Assumptions!G44</f>
        <v>1</v>
      </c>
      <c r="H23" s="4" t="n">
        <f aca="false">Assumptions!H44</f>
        <v>1</v>
      </c>
      <c r="I23" s="4" t="n">
        <f aca="false">Assumptions!I44</f>
        <v>1</v>
      </c>
      <c r="J23" s="4" t="n">
        <f aca="false">Assumptions!J44</f>
        <v>1</v>
      </c>
      <c r="K23" s="4" t="n">
        <f aca="false">Assumptions!K44</f>
        <v>1</v>
      </c>
      <c r="L23" s="4" t="n">
        <f aca="false">Assumptions!L44</f>
        <v>1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-8419.7792</v>
      </c>
      <c r="D24" s="0" t="n">
        <f aca="false">-D6*D23/100</f>
        <v>-9430.152704</v>
      </c>
      <c r="E24" s="0" t="n">
        <f aca="false">-E6*E23/100</f>
        <v>-10467.46950144</v>
      </c>
      <c r="F24" s="0" t="n">
        <f aca="false">-F6*F23/100</f>
        <v>-11514.216451584</v>
      </c>
      <c r="G24" s="0" t="n">
        <f aca="false">-G6*G23/100</f>
        <v>-12550.4959322266</v>
      </c>
      <c r="H24" s="0" t="n">
        <f aca="false">-H6*H23/100</f>
        <v>-13554.5356068047</v>
      </c>
      <c r="I24" s="0" t="n">
        <f aca="false">-I6*I23/100</f>
        <v>-14503.353099281</v>
      </c>
      <c r="J24" s="0" t="n">
        <f aca="false">-J6*J23/100</f>
        <v>-15373.5542852379</v>
      </c>
      <c r="K24" s="0" t="n">
        <f aca="false">-K6*K23/100</f>
        <v>-16142.2319994998</v>
      </c>
      <c r="L24" s="0" t="n">
        <f aca="false">-L6*L23/100</f>
        <v>-16787.9212794798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1779690.61689821</v>
      </c>
    </row>
    <row r="31" customFormat="false" ht="15" hidden="false" customHeight="false" outlineLevel="0" collapsed="false">
      <c r="A31" s="0" t="s">
        <v>136</v>
      </c>
      <c r="B31" s="0" t="n">
        <f aca="false">L19</f>
        <v>455198.028600294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9422599.19202609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9103960.57200588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9103960.57200588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4026548.98006915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5806239.59696736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6435809.59696736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823.247018291547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0.937963790705148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229902.362161489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384246.478813799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901.806862939275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4096782.25740265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370.55126453875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343.076828280107</v>
      </c>
      <c r="C4" s="0" t="n">
        <f aca="false">B4/Assumptions!$B$2-1</f>
        <v>-0.192380347739861</v>
      </c>
      <c r="D4" s="4" t="n">
        <f aca="false">Assumptions!$B$24</f>
        <v>0.25</v>
      </c>
      <c r="E4" s="4" t="n">
        <f aca="false">DCF_Bear!$B$43</f>
        <v>410.378243152605</v>
      </c>
      <c r="F4" s="4" t="n">
        <f aca="false">DCF_Bear!$B$47</f>
        <v>198.961472926947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617.468775465145</v>
      </c>
      <c r="C5" s="0" t="n">
        <f aca="false">B5/Assumptions!$B$2-1</f>
        <v>0.453551731320963</v>
      </c>
      <c r="D5" s="4" t="n">
        <f aca="false">Assumptions!$B$38</f>
        <v>0.5</v>
      </c>
      <c r="E5" s="4" t="n">
        <f aca="false">DCF_Base!$B$43</f>
        <v>693.090372350281</v>
      </c>
      <c r="F5" s="4" t="n">
        <f aca="false">DCF_Base!$B$47</f>
        <v>297.807619860593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823.247018291547</v>
      </c>
      <c r="C6" s="0" t="n">
        <f aca="false">B6/Assumptions!$B$2-1</f>
        <v>0.937963790705148</v>
      </c>
      <c r="D6" s="4" t="n">
        <f aca="false">Assumptions!$B$52</f>
        <v>0.25</v>
      </c>
      <c r="E6" s="4" t="n">
        <f aca="false">DCF_Bull!$B$43</f>
        <v>901.806862939275</v>
      </c>
      <c r="F6" s="4" t="n">
        <f aca="false">DCF_Bull!$B$47</f>
        <v>370.55126453875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600.315349375486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674.591462698111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0.292371916790194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-236.301203070657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291.281994296721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617.468775465145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567.703140911942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489.77596846331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431.637318287894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386.675747260075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297.807619860593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742.21967962178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742.21967962178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742.21967962178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742.21967962178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742.21967962178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658.965285674285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689.661652599896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689.661652599896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689.661652599896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689.661652599896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559.083863092298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585.843614596519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617.468775465145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641.952770976339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641.952770976339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486.271424819859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504.57466382815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525.693785760795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550.33276134888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579.451550680254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430.950796778181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443.971813959895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458.728966765837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475.594284258342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495.054265980464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2026-10-11T06:26:00Z</dcterms:created>
  <dc:creator>openpyxl</dc:creator>
  <dc:description/>
  <dc:language>en-NZ</dc:language>
  <cp:lastModifiedBy/>
  <dcterms:modified xsi:type="dcterms:W3CDTF">2026-10-11T06:26:00Z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