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<sst xmlns="http://schemas.openxmlformats.org/spreadsheetml/2006/main" count="358" uniqueCount="166">
  <si>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</si>
  <si>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0358.HK</t>
  </si>
  <si>
    <t xml:space="preserve">Company</t>
  </si>
  <si>
    <t xml:space="preserve">Jiangxi Copper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</si>
  <si>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</si>
  <si>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</si>
  <si>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</si>
  <si>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</si>
  <si>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(HKEX), Yahoo Finance chart API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</si>
  <si>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</si>
  <si>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</si>
  <si>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</si>
  <si>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</si>
  <si>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</si>
  <si>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</si>
  <si>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</si>
  <si>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</si>
  <si>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</si>
  <si>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</si>
  <si>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</si>
  <si>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</si>
  <si>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</si>
  <si>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2026-10-10T22:31:18Z</t>
  </si>
  <si>
    <t xml:space="preserve">Drivers file</t>
  </si>
  <si>
    <t xml:space="preserve">0358.HK_Drivers.json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</si>
  <si>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</si>
  <si>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</si>
  <si>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</si>
  <si>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for a commodity price-taker: do not capitalise record copper prices or a single year's FCF (FY2025: -11.4bn). Flows are operating only (interest income, associates and one-offs stripped); every stripped stream has its asset in the bridge -- JCC Finance's deposits and investments as cash-like, FQM at market, SolGold at deal value. Cyclical terminal cap of 12x FCF.
key_risks_to_valuation: Copper price: the base assumes reversion from ~US$14.75k/t to ~US$10-11k/t; a structurally higher price (bull) is worth materially more.; Working capital: wc_capture -9% of revenue change; the FY2025 build (19.2bn inventory) shows how large swings are, and the sign flips value between years.; FQM stake marked at market (~28bn CNY, ~30% of the H-share market cap): a 30% move in FQM is ~RMB2.5/share.; Treatment/refining charges at zero or negative for a smelter that buys most of its feed.; SolGold/Cascabel development capex excluded from flows on an NPV-neutral assumption.; H1 FY2026 interim balance sheet not extracted; anchors are 31-Mar-2026.</t>
  </si>
  <si>
    <t xml:space="preserve">Data sources</t>
  </si>
  <si>
    <t xml:space="preserve">price: Yahoo Finance chart API at inputs.price_as_of; 52-week range 28.70-53.75 HKD. A-share 600362.SS, FM.TO, CNYHKD=X, CADCNY=X and HG=F from the same API on 2026-10-09/10.
financials: 0358.HK_Metrics.csv (FY2017-FY2025 annual, HKFRS, RMB millions); FY2025 Annual Report statements and notes 4, 6, 7, 23 (0358.HK_Annual_FY2025.txt lines 8499-9043, 11969-12043, 13115-13330); Q1 FY2026 report balance sheet and cash flow (0358.HK_Quarterly_Q1-2026.txt lines 445-870).
qualitative: 0358.HK_Analysis.json (2026-10): H1 FY2026 results, SolGold scheme, TC benchmark, FY2026 production plan.</t>
  </si>
  <si>
    <t xml:space="preserve">Scenario narrative: bear</t>
  </si>
  <si>
    <t xml:space="preserve">Copper reverts to ~US$9k/t, treatment charges stay negative for a smelter that buys ~78% of its concentrate, and the FY2025-H1 2026 profit surge proves to be price and derivative effects. Margins revert to ~2.1%, working capital stays heavy, and SOE/dual-listing governance (H-share discount, capped FQM stake, overseas approvals) keeps the H-share at a deep discount to book.</t>
  </si>
  <si>
    <t xml:space="preserve">Scenario narrative: base</t>
  </si>
  <si>
    <t xml:space="preserve">Jiangxi Copper earns a through-cycle 2.6% operating EBITDA margin on a revenue base that is mostly a copper-price pass-through. FY2026 is booked as an elevated year (record copper, gold and silver; H1 attributable profit RMB8.63bn), then prices normalise and the working capital the upcycle absorbed is partly released. Thin smelting economics (zero 2026 TC benchmark) are offset by by-products and own-mine output (~200kt concentrate). Value rests as much on the balance sheet -- the FQM stake at market, SolGold, JCC Finance's liquid assets -- as on the operating flows, whose FCF conversion has historically been poor.</t>
  </si>
  <si>
    <t xml:space="preserve">Scenario narrative: bull</t>
  </si>
  <si>
    <t xml:space="preserve">The structural-deficit thesis plays out: grid, EV and AI data-centre demand keeps copper near US$12-13k/t, Chinese smelter rationalisation restores positive treatment charges, and the deliberate shift from trading into processing materials lifts the through-cycle margin to ~3%. FQM and SolGold give reserve growth without full greenfield spending.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</si>
  <si>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</si>
  <si>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</si>
  <si>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</si>
  <si>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</si>
  <si>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</si>
  <si>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</si>
  <si>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</si>
  <si>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</si>
  <si>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</si>
  <si>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</si>
  <si>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</si>
  <si>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</si>
  <si>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</si>
  <si>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</si>
  <si>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</si>
  <si>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</si>
  <si>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</si>
  <si>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</si>
  <si>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</si>
  <si>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</si>
  <si>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</si>
  <si>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</si>
  <si>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</si>
  <si>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</si>
  <si>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</si>
  <si>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</si>
  <si>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</si>
  <si>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</si>
  <si>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</si>
  <si>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</si>
  <si>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</si>
  <si>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</si>
  <si>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</si>
  <si>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</si>
  <si>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</si>
  <si>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</si>
  <si>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</si>
  <si>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</si>
  <si>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</si>
  <si>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</si>
  <si>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</si>
  <si>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</si>
  <si>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</si>
  <si>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</si>
  <si>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</si>
  <si>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</si>
  <si>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</si>
  <si>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</si>
  <si>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</si>
  <si>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</si>
  <si>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</si>
  <si>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</si>
  <si>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</si>
  <si>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</si>
  <si>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</si>
  <si>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</si>
  <si>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</si>
  <si>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</si>
  <si>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</si>
  <si>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</si>
  <si>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</si>
  <si>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</si>
  <si>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</si>
  <si>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</si>
  <si>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</si>
  <si>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</si>
  <si>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</si>
  <si>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</si>
  <si>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</si>
  <si>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</si>
  <si>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</si>
  <si>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</si>
  <si>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</si>
  <si>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</si>
  <si>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0358.HK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</si>
  <si>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</si>
  <si>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</si>
  <si>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</si>
  <si>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</si>
  <si>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</si>
  <si>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</si>
  <si>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</si>
  <si>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</si>
  <si>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</si>
  <si>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</si>
  <si>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</si>
  <si>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</si>
  <si>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</si>
  <si>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</si>
  <si>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</si>
  <si>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</si>
  <si>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</si>
  <si>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</si>
  <si>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</si>
  <si>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</si>
  <si>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</si>
  <si>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</si>
  <si>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</si>
  <si>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</si>
  <si>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</si>
  <si>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</si>
  <si>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</si>
  <si>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</si>
  <si>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</si>
  <si>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</si>
  <si>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0358.HK owner-FCF component DCF: base case (millions, CNY)</t>
  </si>
  <si>
    <t xml:space="preserve">0358.HK owner-FCF component DCF: bull case (millions, CNY)</t>
  </si>
  <si>
    <t xml:space="preserve">0358.HK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</si>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</sst>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33.22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204241</v>
      </c>
      <c r="C2" s="0" t="n">
        <v>195643</v>
      </c>
      <c r="D2" s="0" t="n">
        <v>8598.3</v>
      </c>
      <c r="E2" s="0" t="n">
        <v>4.2</v>
      </c>
      <c r="S2" s="0" t="n">
        <v>10363.2</v>
      </c>
      <c r="T2" s="0" t="n">
        <v>3462.729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214395.309</v>
      </c>
      <c r="C3" s="0" t="n">
        <v>207552.232</v>
      </c>
      <c r="D3" s="0" t="n">
        <v>6843.077</v>
      </c>
      <c r="E3" s="0" t="n">
        <v>3.2</v>
      </c>
      <c r="F3" s="0" t="n">
        <v>4671.132</v>
      </c>
      <c r="G3" s="0" t="n">
        <v>2.2</v>
      </c>
      <c r="H3" s="0" t="n">
        <v>6310.63</v>
      </c>
      <c r="I3" s="0" t="n">
        <v>2415.017</v>
      </c>
      <c r="J3" s="0" t="n">
        <v>1.1</v>
      </c>
      <c r="K3" s="0" t="n">
        <v>0.7</v>
      </c>
      <c r="L3" s="0" t="n">
        <v>8182.119</v>
      </c>
      <c r="M3" s="0" t="n">
        <v>2460.882</v>
      </c>
      <c r="N3" s="0" t="n">
        <v>5721.237</v>
      </c>
      <c r="O3" s="0" t="n">
        <v>49766.311</v>
      </c>
      <c r="P3" s="0" t="n">
        <v>102865.824</v>
      </c>
      <c r="Q3" s="0" t="n">
        <v>50839.134</v>
      </c>
      <c r="R3" s="0" t="n">
        <v>33923.247</v>
      </c>
      <c r="S3" s="0" t="n">
        <v>10647.443</v>
      </c>
      <c r="T3" s="0" t="n">
        <v>3462.729</v>
      </c>
      <c r="U3" s="0" t="n">
        <v>0</v>
      </c>
      <c r="AA3" s="0" t="s">
        <v>18</v>
      </c>
      <c r="AB3" s="0" t="s">
        <v>14</v>
      </c>
      <c r="AC3" s="0" t="n">
        <v>2422.586</v>
      </c>
    </row>
    <row r="4" customFormat="false" ht="15" hidden="false" customHeight="false" outlineLevel="0" collapsed="false">
      <c r="A4" s="0" t="s">
        <v>67</v>
      </c>
      <c r="B4" s="0" t="n">
        <v>239585.489</v>
      </c>
      <c r="C4" s="0" t="n">
        <v>231172.158</v>
      </c>
      <c r="D4" s="0" t="n">
        <v>8413.331</v>
      </c>
      <c r="E4" s="0" t="n">
        <v>3.5</v>
      </c>
      <c r="F4" s="0" t="n">
        <v>5018.619</v>
      </c>
      <c r="G4" s="0" t="n">
        <v>2.1</v>
      </c>
      <c r="H4" s="0" t="n">
        <v>7329.414</v>
      </c>
      <c r="I4" s="0" t="n">
        <v>2437.988</v>
      </c>
      <c r="J4" s="0" t="n">
        <v>1</v>
      </c>
      <c r="K4" s="0" t="n">
        <v>0.7</v>
      </c>
      <c r="L4" s="0" t="n">
        <v>8252.298</v>
      </c>
      <c r="M4" s="0" t="n">
        <v>3251.749</v>
      </c>
      <c r="N4" s="0" t="n">
        <v>5000.549</v>
      </c>
      <c r="O4" s="0" t="n">
        <v>52745.618</v>
      </c>
      <c r="P4" s="0" t="n">
        <v>134913.915</v>
      </c>
      <c r="Q4" s="0" t="n">
        <v>75881.314</v>
      </c>
      <c r="R4" s="0" t="n">
        <v>51336.303</v>
      </c>
      <c r="S4" s="0" t="n">
        <v>18730.338</v>
      </c>
      <c r="T4" s="0" t="n">
        <v>3462.729</v>
      </c>
      <c r="U4" s="0" t="n">
        <v>0</v>
      </c>
      <c r="AA4" s="0" t="s">
        <v>18</v>
      </c>
      <c r="AB4" s="0" t="s">
        <v>14</v>
      </c>
      <c r="AC4" s="0" t="n">
        <v>2152.368</v>
      </c>
    </row>
    <row r="5" customFormat="false" ht="15" hidden="false" customHeight="false" outlineLevel="0" collapsed="false">
      <c r="A5" s="0" t="s">
        <v>68</v>
      </c>
      <c r="B5" s="0" t="n">
        <v>317756.486</v>
      </c>
      <c r="C5" s="0" t="n">
        <v>307687.117</v>
      </c>
      <c r="D5" s="0" t="n">
        <v>10069.369</v>
      </c>
      <c r="E5" s="0" t="n">
        <v>3.2</v>
      </c>
      <c r="F5" s="0" t="n">
        <v>5202.17</v>
      </c>
      <c r="G5" s="0" t="n">
        <v>1.6</v>
      </c>
      <c r="H5" s="0" t="n">
        <v>7897.96</v>
      </c>
      <c r="I5" s="0" t="n">
        <v>2227.704</v>
      </c>
      <c r="J5" s="0" t="n">
        <v>0.7</v>
      </c>
      <c r="K5" s="0" t="n">
        <v>0.64</v>
      </c>
      <c r="L5" s="0" t="n">
        <v>1381.995</v>
      </c>
      <c r="M5" s="0" t="n">
        <v>3554.79</v>
      </c>
      <c r="N5" s="0" t="n">
        <v>-2172.795</v>
      </c>
      <c r="O5" s="0" t="n">
        <v>59910.393</v>
      </c>
      <c r="P5" s="0" t="n">
        <v>140881.553</v>
      </c>
      <c r="Q5" s="0" t="n">
        <v>74022.249</v>
      </c>
      <c r="R5" s="0" t="n">
        <v>48958.677</v>
      </c>
      <c r="S5" s="0" t="n">
        <v>14451.776</v>
      </c>
      <c r="T5" s="0" t="n">
        <v>3462.729</v>
      </c>
      <c r="U5" s="0" t="n">
        <v>0</v>
      </c>
      <c r="AA5" s="0" t="s">
        <v>18</v>
      </c>
      <c r="AB5" s="0" t="s">
        <v>14</v>
      </c>
      <c r="AC5" s="0" t="n">
        <v>2359.477</v>
      </c>
    </row>
    <row r="6" customFormat="false" ht="15" hidden="false" customHeight="false" outlineLevel="0" collapsed="false">
      <c r="A6" s="0" t="s">
        <v>69</v>
      </c>
      <c r="B6" s="0" t="n">
        <v>441614.438</v>
      </c>
      <c r="C6" s="0" t="n">
        <v>425422.857</v>
      </c>
      <c r="D6" s="0" t="n">
        <v>16191.581</v>
      </c>
      <c r="E6" s="0" t="n">
        <v>3.7</v>
      </c>
      <c r="F6" s="0" t="n">
        <v>9435.696</v>
      </c>
      <c r="G6" s="0" t="n">
        <v>2.1</v>
      </c>
      <c r="H6" s="0" t="n">
        <v>12196.601</v>
      </c>
      <c r="I6" s="0" t="n">
        <v>5772.525</v>
      </c>
      <c r="J6" s="0" t="n">
        <v>1.3</v>
      </c>
      <c r="K6" s="0" t="n">
        <v>1.67</v>
      </c>
      <c r="L6" s="0" t="n">
        <v>9031.634</v>
      </c>
      <c r="M6" s="0" t="n">
        <v>2752.497</v>
      </c>
      <c r="N6" s="0" t="n">
        <v>6279.137</v>
      </c>
      <c r="O6" s="0" t="n">
        <v>69798.852</v>
      </c>
      <c r="P6" s="0" t="n">
        <v>161034.643</v>
      </c>
      <c r="Q6" s="0" t="n">
        <v>83224.717</v>
      </c>
      <c r="R6" s="0" t="n">
        <v>52573.571</v>
      </c>
      <c r="S6" s="0" t="n">
        <v>21295.29</v>
      </c>
      <c r="T6" s="0" t="n">
        <v>3462.729</v>
      </c>
      <c r="U6" s="0" t="n">
        <v>0</v>
      </c>
      <c r="AA6" s="0" t="s">
        <v>18</v>
      </c>
      <c r="AB6" s="0" t="s">
        <v>14</v>
      </c>
      <c r="AC6" s="0" t="n">
        <v>6029.439</v>
      </c>
    </row>
    <row r="7" customFormat="false" ht="15" hidden="false" customHeight="false" outlineLevel="0" collapsed="false">
      <c r="A7" s="0" t="s">
        <v>70</v>
      </c>
      <c r="B7" s="0" t="n">
        <v>478392.849</v>
      </c>
      <c r="C7" s="0" t="n">
        <v>466336.463</v>
      </c>
      <c r="D7" s="0" t="n">
        <v>12056.386</v>
      </c>
      <c r="E7" s="0" t="n">
        <v>2.5</v>
      </c>
      <c r="F7" s="0" t="n">
        <v>9465.715</v>
      </c>
      <c r="G7" s="0" t="n">
        <v>2</v>
      </c>
      <c r="H7" s="0" t="n">
        <v>12190.493</v>
      </c>
      <c r="I7" s="0" t="n">
        <v>6001.476</v>
      </c>
      <c r="J7" s="0" t="n">
        <v>1.3</v>
      </c>
      <c r="K7" s="0" t="n">
        <v>1.73</v>
      </c>
      <c r="L7" s="0" t="n">
        <v>10641.321</v>
      </c>
      <c r="M7" s="0" t="n">
        <v>5280.522</v>
      </c>
      <c r="N7" s="0" t="n">
        <v>5360.799</v>
      </c>
      <c r="O7" s="0" t="n">
        <v>73518.65</v>
      </c>
      <c r="P7" s="0" t="n">
        <v>167330.54</v>
      </c>
      <c r="Q7" s="0" t="n">
        <v>85380.383</v>
      </c>
      <c r="R7" s="0" t="n">
        <v>52375.983</v>
      </c>
      <c r="S7" s="0" t="n">
        <v>14727.876</v>
      </c>
      <c r="T7" s="0" t="n">
        <v>3462.729</v>
      </c>
      <c r="U7" s="0" t="n">
        <v>0</v>
      </c>
      <c r="AA7" s="0" t="s">
        <v>18</v>
      </c>
      <c r="AB7" s="0" t="s">
        <v>14</v>
      </c>
      <c r="AC7" s="0" t="n">
        <v>6095.554</v>
      </c>
    </row>
    <row r="8" customFormat="false" ht="15" hidden="false" customHeight="false" outlineLevel="0" collapsed="false">
      <c r="A8" s="0" t="s">
        <v>71</v>
      </c>
      <c r="B8" s="0" t="n">
        <v>520338.5</v>
      </c>
      <c r="C8" s="0" t="n">
        <v>508322.152</v>
      </c>
      <c r="D8" s="0" t="n">
        <v>12016.348</v>
      </c>
      <c r="E8" s="0" t="n">
        <v>2.3</v>
      </c>
      <c r="F8" s="0" t="n">
        <v>10956.271</v>
      </c>
      <c r="G8" s="0" t="n">
        <v>2.1</v>
      </c>
      <c r="H8" s="0" t="n">
        <v>13804.183</v>
      </c>
      <c r="I8" s="0" t="n">
        <v>6745.839</v>
      </c>
      <c r="J8" s="0" t="n">
        <v>1.3</v>
      </c>
      <c r="K8" s="0" t="n">
        <v>1.95</v>
      </c>
      <c r="L8" s="0" t="n">
        <v>10931.177</v>
      </c>
      <c r="M8" s="0" t="n">
        <v>6578.787</v>
      </c>
      <c r="N8" s="0" t="n">
        <v>4352.39</v>
      </c>
      <c r="O8" s="0" t="n">
        <v>67422.048</v>
      </c>
      <c r="P8" s="0" t="n">
        <v>168150.906</v>
      </c>
      <c r="Q8" s="0" t="n">
        <v>91402.241</v>
      </c>
      <c r="R8" s="0" t="n">
        <v>56682.958</v>
      </c>
      <c r="S8" s="0" t="n">
        <v>19484.777</v>
      </c>
      <c r="T8" s="0" t="n">
        <v>3462.729</v>
      </c>
      <c r="U8" s="0" t="n">
        <v>0</v>
      </c>
      <c r="AA8" s="0" t="s">
        <v>18</v>
      </c>
      <c r="AB8" s="0" t="s">
        <v>14</v>
      </c>
      <c r="AC8" s="0" t="n">
        <v>7228.152</v>
      </c>
    </row>
    <row r="9" customFormat="false" ht="15" hidden="false" customHeight="false" outlineLevel="0" collapsed="false">
      <c r="A9" s="0" t="s">
        <v>72</v>
      </c>
      <c r="B9" s="0" t="n">
        <v>514928.952</v>
      </c>
      <c r="C9" s="0" t="n">
        <v>498963.459</v>
      </c>
      <c r="D9" s="0" t="n">
        <v>15965.493</v>
      </c>
      <c r="E9" s="0" t="n">
        <v>3.1</v>
      </c>
      <c r="F9" s="0" t="n">
        <v>11557.196</v>
      </c>
      <c r="G9" s="0" t="n">
        <v>2.2</v>
      </c>
      <c r="H9" s="0" t="n">
        <v>14552.993</v>
      </c>
      <c r="I9" s="0" t="n">
        <v>6900.987</v>
      </c>
      <c r="J9" s="0" t="n">
        <v>1.3</v>
      </c>
      <c r="K9" s="0" t="n">
        <v>2</v>
      </c>
      <c r="L9" s="0" t="n">
        <v>2427.911</v>
      </c>
      <c r="M9" s="0" t="n">
        <v>6472.674</v>
      </c>
      <c r="N9" s="0" t="n">
        <v>-4044.763</v>
      </c>
      <c r="O9" s="0" t="n">
        <v>77945.429</v>
      </c>
      <c r="P9" s="0" t="n">
        <v>193127.836</v>
      </c>
      <c r="Q9" s="0" t="n">
        <v>105325.779</v>
      </c>
      <c r="R9" s="0" t="n">
        <v>67319.91</v>
      </c>
      <c r="S9" s="0" t="n">
        <v>15502.833</v>
      </c>
      <c r="T9" s="0" t="n">
        <v>3455.27</v>
      </c>
      <c r="U9" s="0" t="n">
        <v>0</v>
      </c>
      <c r="AA9" s="0" t="s">
        <v>18</v>
      </c>
      <c r="AB9" s="0" t="s">
        <v>14</v>
      </c>
      <c r="AC9" s="0" t="n">
        <v>7353.724</v>
      </c>
    </row>
    <row r="10" customFormat="false" ht="15" hidden="false" customHeight="false" outlineLevel="0" collapsed="false">
      <c r="A10" s="0" t="s">
        <v>73</v>
      </c>
      <c r="B10" s="0" t="n">
        <v>542704.394</v>
      </c>
      <c r="C10" s="0" t="n">
        <v>520503.716</v>
      </c>
      <c r="D10" s="0" t="n">
        <v>22200.678</v>
      </c>
      <c r="E10" s="0" t="n">
        <v>4.1</v>
      </c>
      <c r="F10" s="0" t="n">
        <v>12896.508</v>
      </c>
      <c r="G10" s="0" t="n">
        <v>2.4</v>
      </c>
      <c r="H10" s="0" t="n">
        <v>16294.961</v>
      </c>
      <c r="I10" s="0" t="n">
        <v>7372.829</v>
      </c>
      <c r="J10" s="0" t="n">
        <v>1.4</v>
      </c>
      <c r="K10" s="0" t="n">
        <v>2.14</v>
      </c>
      <c r="L10" s="0" t="n">
        <v>-6914.103</v>
      </c>
      <c r="M10" s="0" t="n">
        <v>4467.511</v>
      </c>
      <c r="N10" s="0" t="n">
        <v>-11381.614</v>
      </c>
      <c r="O10" s="0" t="n">
        <v>81275.616</v>
      </c>
      <c r="P10" s="0" t="n">
        <v>218691.169</v>
      </c>
      <c r="Q10" s="0" t="n">
        <v>124550.441</v>
      </c>
      <c r="R10" s="0" t="n">
        <v>74901.57</v>
      </c>
      <c r="S10" s="0" t="n">
        <v>14959.025</v>
      </c>
      <c r="T10" s="0" t="n">
        <v>3452.29</v>
      </c>
      <c r="U10" s="0" t="n">
        <v>0</v>
      </c>
      <c r="AA10" s="0" t="s">
        <v>18</v>
      </c>
      <c r="AB10" s="0" t="s">
        <v>14</v>
      </c>
      <c r="AC10" s="0" t="n">
        <v>7734.194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33.22</v>
      </c>
    </row>
    <row r="3" customFormat="false" ht="15" hidden="false" customHeight="false" outlineLevel="0" collapsed="false">
      <c r="A3" s="0" t="s">
        <v>77</v>
      </c>
      <c r="B3" s="3" t="n">
        <v>3452.29</v>
      </c>
    </row>
    <row r="4" customFormat="false" ht="15" hidden="false" customHeight="false" outlineLevel="0" collapsed="false">
      <c r="A4" s="0" t="s">
        <v>78</v>
      </c>
      <c r="B4" s="3" t="n">
        <v>37476.3</v>
      </c>
    </row>
    <row r="5" customFormat="false" ht="15" hidden="false" customHeight="false" outlineLevel="0" collapsed="false">
      <c r="A5" s="0" t="s">
        <v>79</v>
      </c>
      <c r="B5" s="3" t="n">
        <v>20497.8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542704.394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16</v>
      </c>
      <c r="D13" s="3" t="n">
        <v>-15</v>
      </c>
      <c r="E13" s="3" t="n">
        <v>-6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3.3</v>
      </c>
      <c r="D14" s="3" t="n">
        <v>2.4</v>
      </c>
      <c r="E14" s="3" t="n">
        <v>2.1</v>
      </c>
      <c r="F14" s="3" t="n">
        <v>2.1</v>
      </c>
      <c r="G14" s="3" t="n">
        <v>2.1</v>
      </c>
      <c r="H14" s="3" t="n">
        <v>2.1</v>
      </c>
      <c r="I14" s="3" t="n">
        <v>2.1</v>
      </c>
      <c r="J14" s="3" t="n">
        <v>2.1</v>
      </c>
      <c r="K14" s="3" t="n">
        <v>2.1</v>
      </c>
      <c r="L14" s="3" t="n">
        <v>2.1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0.6</v>
      </c>
      <c r="D17" s="3" t="n">
        <v>0.7</v>
      </c>
      <c r="E17" s="3" t="n">
        <v>0.74</v>
      </c>
      <c r="F17" s="3" t="n">
        <v>0.74</v>
      </c>
      <c r="G17" s="3" t="n">
        <v>0.74</v>
      </c>
      <c r="H17" s="3" t="n">
        <v>0.74</v>
      </c>
      <c r="I17" s="3" t="n">
        <v>0.74</v>
      </c>
      <c r="J17" s="3" t="n">
        <v>0.74</v>
      </c>
      <c r="K17" s="3" t="n">
        <v>0.74</v>
      </c>
      <c r="L17" s="3" t="n">
        <v>0.74</v>
      </c>
    </row>
    <row r="18" customFormat="false" ht="15" hidden="false" customHeight="false" outlineLevel="0" collapsed="false">
      <c r="A18" s="0" t="s">
        <v>102</v>
      </c>
      <c r="C18" s="3" t="n">
        <v>1.1</v>
      </c>
      <c r="D18" s="3" t="n">
        <v>1.05</v>
      </c>
      <c r="E18" s="3" t="n">
        <v>1.05</v>
      </c>
      <c r="F18" s="3" t="n">
        <v>1</v>
      </c>
      <c r="G18" s="3" t="n">
        <v>1</v>
      </c>
      <c r="H18" s="3" t="n">
        <v>1</v>
      </c>
      <c r="I18" s="3" t="n">
        <v>0.95</v>
      </c>
      <c r="J18" s="3" t="n">
        <v>0.95</v>
      </c>
      <c r="K18" s="3" t="n">
        <v>0.95</v>
      </c>
      <c r="L18" s="3" t="n">
        <v>0.95</v>
      </c>
    </row>
    <row r="19" customFormat="false" ht="15" hidden="false" customHeight="false" outlineLevel="0" collapsed="false">
      <c r="A19" s="0" t="s">
        <v>103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-9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18</v>
      </c>
      <c r="D27" s="3" t="n">
        <v>-10</v>
      </c>
      <c r="E27" s="3" t="n">
        <v>-3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3.6</v>
      </c>
      <c r="D28" s="3" t="n">
        <v>2.8</v>
      </c>
      <c r="E28" s="3" t="n">
        <v>2.6</v>
      </c>
      <c r="F28" s="3" t="n">
        <v>2.6</v>
      </c>
      <c r="G28" s="3" t="n">
        <v>2.6</v>
      </c>
      <c r="H28" s="3" t="n">
        <v>2.6</v>
      </c>
      <c r="I28" s="3" t="n">
        <v>2.6</v>
      </c>
      <c r="J28" s="3" t="n">
        <v>2.6</v>
      </c>
      <c r="K28" s="3" t="n">
        <v>2.6</v>
      </c>
      <c r="L28" s="3" t="n">
        <v>2.6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0.58</v>
      </c>
      <c r="D31" s="3" t="n">
        <v>0.64</v>
      </c>
      <c r="E31" s="3" t="n">
        <v>0.66</v>
      </c>
      <c r="F31" s="3" t="n">
        <v>0.66</v>
      </c>
      <c r="G31" s="3" t="n">
        <v>0.66</v>
      </c>
      <c r="H31" s="3" t="n">
        <v>0.66</v>
      </c>
      <c r="I31" s="3" t="n">
        <v>0.66</v>
      </c>
      <c r="J31" s="3" t="n">
        <v>0.66</v>
      </c>
      <c r="K31" s="3" t="n">
        <v>0.66</v>
      </c>
      <c r="L31" s="3" t="n">
        <v>0.66</v>
      </c>
    </row>
    <row r="32" customFormat="false" ht="15" hidden="false" customHeight="false" outlineLevel="0" collapsed="false">
      <c r="A32" s="0" t="s">
        <v>102</v>
      </c>
      <c r="C32" s="3" t="n">
        <v>1.1</v>
      </c>
      <c r="D32" s="3" t="n">
        <v>1.05</v>
      </c>
      <c r="E32" s="3" t="n">
        <v>1.05</v>
      </c>
      <c r="F32" s="3" t="n">
        <v>1</v>
      </c>
      <c r="G32" s="3" t="n">
        <v>1</v>
      </c>
      <c r="H32" s="3" t="n">
        <v>1</v>
      </c>
      <c r="I32" s="3" t="n">
        <v>0.95</v>
      </c>
      <c r="J32" s="3" t="n">
        <v>0.95</v>
      </c>
      <c r="K32" s="3" t="n">
        <v>0.95</v>
      </c>
      <c r="L32" s="3" t="n">
        <v>0.95</v>
      </c>
    </row>
    <row r="33" customFormat="false" ht="15" hidden="false" customHeight="false" outlineLevel="0" collapsed="false">
      <c r="A33" s="0" t="s">
        <v>103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-9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20</v>
      </c>
      <c r="D41" s="3" t="n">
        <v>-4</v>
      </c>
      <c r="E41" s="3" t="n">
        <v>0</v>
      </c>
      <c r="F41" s="3" t="n">
        <v>3.5</v>
      </c>
      <c r="G41" s="3" t="n">
        <v>3.5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3.8</v>
      </c>
      <c r="D42" s="3" t="n">
        <v>3.3</v>
      </c>
      <c r="E42" s="3" t="n">
        <v>3</v>
      </c>
      <c r="F42" s="3" t="n">
        <v>3</v>
      </c>
      <c r="G42" s="3" t="n">
        <v>3</v>
      </c>
      <c r="H42" s="3" t="n">
        <v>3</v>
      </c>
      <c r="I42" s="3" t="n">
        <v>3</v>
      </c>
      <c r="J42" s="3" t="n">
        <v>3</v>
      </c>
      <c r="K42" s="3" t="n">
        <v>3</v>
      </c>
      <c r="L42" s="3" t="n">
        <v>3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0.56</v>
      </c>
      <c r="D45" s="3" t="n">
        <v>0.6</v>
      </c>
      <c r="E45" s="3" t="n">
        <v>0.62</v>
      </c>
      <c r="F45" s="3" t="n">
        <v>0.62</v>
      </c>
      <c r="G45" s="3" t="n">
        <v>0.62</v>
      </c>
      <c r="H45" s="3" t="n">
        <v>0.62</v>
      </c>
      <c r="I45" s="3" t="n">
        <v>0.62</v>
      </c>
      <c r="J45" s="3" t="n">
        <v>0.62</v>
      </c>
      <c r="K45" s="3" t="n">
        <v>0.62</v>
      </c>
      <c r="L45" s="3" t="n">
        <v>0.62</v>
      </c>
    </row>
    <row r="46" customFormat="false" ht="15" hidden="false" customHeight="false" outlineLevel="0" collapsed="false">
      <c r="A46" s="0" t="s">
        <v>102</v>
      </c>
      <c r="C46" s="3" t="n">
        <v>1.1</v>
      </c>
      <c r="D46" s="3" t="n">
        <v>1.05</v>
      </c>
      <c r="E46" s="3" t="n">
        <v>1.05</v>
      </c>
      <c r="F46" s="3" t="n">
        <v>1</v>
      </c>
      <c r="G46" s="3" t="n">
        <v>1</v>
      </c>
      <c r="H46" s="3" t="n">
        <v>1</v>
      </c>
      <c r="I46" s="3" t="n">
        <v>0.95</v>
      </c>
      <c r="J46" s="3" t="n">
        <v>0.95</v>
      </c>
      <c r="K46" s="3" t="n">
        <v>0.95</v>
      </c>
      <c r="L46" s="3" t="n">
        <v>0.95</v>
      </c>
    </row>
    <row r="47" customFormat="false" ht="15" hidden="false" customHeight="false" outlineLevel="0" collapsed="false">
      <c r="A47" s="0" t="s">
        <v>103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-9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16</v>
      </c>
      <c r="D5" s="4" t="n">
        <f aca="false">Assumptions!D13</f>
        <v>-15</v>
      </c>
      <c r="E5" s="4" t="n">
        <f aca="false">Assumptions!E13</f>
        <v>-6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542704.394</v>
      </c>
      <c r="C6" s="0" t="n">
        <f aca="false">B6*(1+C5/100)</f>
        <v>629537.09704</v>
      </c>
      <c r="D6" s="0" t="n">
        <f aca="false">C6*(1+D5/100)</f>
        <v>535106.532484</v>
      </c>
      <c r="E6" s="0" t="n">
        <f aca="false">D6*(1+E5/100)</f>
        <v>503000.14053496</v>
      </c>
      <c r="F6" s="0" t="n">
        <f aca="false">E6*(1+F5/100)</f>
        <v>513060.143345659</v>
      </c>
      <c r="G6" s="0" t="n">
        <f aca="false">F6*(1+G5/100)</f>
        <v>523321.346212572</v>
      </c>
      <c r="H6" s="0" t="n">
        <f aca="false">G6*(1+H5/100)</f>
        <v>533787.773136824</v>
      </c>
      <c r="I6" s="0" t="n">
        <f aca="false">H6*(1+I5/100)</f>
        <v>544463.52859956</v>
      </c>
      <c r="J6" s="0" t="n">
        <f aca="false">I6*(1+J5/100)</f>
        <v>555352.799171551</v>
      </c>
      <c r="K6" s="0" t="n">
        <f aca="false">J6*(1+K5/100)</f>
        <v>566459.855154982</v>
      </c>
      <c r="L6" s="0" t="n">
        <f aca="false">K6*(1+L5/100)</f>
        <v>577789.052258082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3.3</v>
      </c>
      <c r="D7" s="4" t="n">
        <f aca="false">Assumptions!D14</f>
        <v>2.4</v>
      </c>
      <c r="E7" s="4" t="n">
        <f aca="false">Assumptions!E14</f>
        <v>2.1</v>
      </c>
      <c r="F7" s="4" t="n">
        <f aca="false">Assumptions!F14</f>
        <v>2.1</v>
      </c>
      <c r="G7" s="4" t="n">
        <f aca="false">Assumptions!G14</f>
        <v>2.1</v>
      </c>
      <c r="H7" s="4" t="n">
        <f aca="false">Assumptions!H14</f>
        <v>2.1</v>
      </c>
      <c r="I7" s="4" t="n">
        <f aca="false">Assumptions!I14</f>
        <v>2.1</v>
      </c>
      <c r="J7" s="4" t="n">
        <f aca="false">Assumptions!J14</f>
        <v>2.1</v>
      </c>
      <c r="K7" s="4" t="n">
        <f aca="false">Assumptions!K14</f>
        <v>2.1</v>
      </c>
      <c r="L7" s="4" t="n">
        <f aca="false">Assumptions!L14</f>
        <v>2.1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20774.72420232</v>
      </c>
      <c r="D8" s="0" t="n">
        <f aca="false">D6*D7/100</f>
        <v>12842.556779616</v>
      </c>
      <c r="E8" s="0" t="n">
        <f aca="false">E6*E7/100</f>
        <v>10563.0029512342</v>
      </c>
      <c r="F8" s="0" t="n">
        <f aca="false">F6*F7/100</f>
        <v>10774.2630102588</v>
      </c>
      <c r="G8" s="0" t="n">
        <f aca="false">G6*G7/100</f>
        <v>10989.748270464</v>
      </c>
      <c r="H8" s="0" t="n">
        <f aca="false">H6*H7/100</f>
        <v>11209.5432358733</v>
      </c>
      <c r="I8" s="0" t="n">
        <f aca="false">I6*I7/100</f>
        <v>11433.7341005908</v>
      </c>
      <c r="J8" s="0" t="n">
        <f aca="false">J6*J7/100</f>
        <v>11662.4087826026</v>
      </c>
      <c r="K8" s="0" t="n">
        <f aca="false">K6*K7/100</f>
        <v>11895.6569582546</v>
      </c>
      <c r="L8" s="0" t="n">
        <f aca="false">L6*L7/100</f>
        <v>12133.5700974197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20774.72420232</v>
      </c>
      <c r="D11" s="0" t="n">
        <f aca="false">D8+D10+D24</f>
        <v>12842.556779616</v>
      </c>
      <c r="E11" s="0" t="n">
        <f aca="false">E8+E10+E24</f>
        <v>10563.0029512342</v>
      </c>
      <c r="F11" s="0" t="n">
        <f aca="false">F8+F10+F24</f>
        <v>10774.2630102588</v>
      </c>
      <c r="G11" s="0" t="n">
        <f aca="false">G8+G10+G24</f>
        <v>10989.748270464</v>
      </c>
      <c r="H11" s="0" t="n">
        <f aca="false">H8+H10+H24</f>
        <v>11209.5432358733</v>
      </c>
      <c r="I11" s="0" t="n">
        <f aca="false">I8+I10+I24</f>
        <v>11433.7341005908</v>
      </c>
      <c r="J11" s="0" t="n">
        <f aca="false">J8+J10+J24</f>
        <v>11662.4087826026</v>
      </c>
      <c r="K11" s="0" t="n">
        <f aca="false">K8+K10+K24</f>
        <v>11895.6569582546</v>
      </c>
      <c r="L11" s="0" t="n">
        <f aca="false">L8+L10+L24</f>
        <v>12133.5700974197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-3777.22258224</v>
      </c>
      <c r="D12" s="4" t="n">
        <f aca="false">-D6*Assumptions!D17/100</f>
        <v>-3745.745727388</v>
      </c>
      <c r="E12" s="4" t="n">
        <f aca="false">-E6*Assumptions!E17/100</f>
        <v>-3722.2010399587</v>
      </c>
      <c r="F12" s="4" t="n">
        <f aca="false">-F6*Assumptions!F17/100</f>
        <v>-3796.64506075788</v>
      </c>
      <c r="G12" s="4" t="n">
        <f aca="false">-G6*Assumptions!G17/100</f>
        <v>-3872.57796197303</v>
      </c>
      <c r="H12" s="4" t="n">
        <f aca="false">-H6*Assumptions!H17/100</f>
        <v>-3950.0295212125</v>
      </c>
      <c r="I12" s="4" t="n">
        <f aca="false">-I6*Assumptions!I17/100</f>
        <v>-4029.03011163675</v>
      </c>
      <c r="J12" s="4" t="n">
        <f aca="false">-J6*Assumptions!J17/100</f>
        <v>-4109.61071386948</v>
      </c>
      <c r="K12" s="4" t="n">
        <f aca="false">-K6*Assumptions!K17/100</f>
        <v>-4191.80292814687</v>
      </c>
      <c r="L12" s="4" t="n">
        <f aca="false">-L6*Assumptions!L17/100</f>
        <v>-4275.63898670981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16997.50162008</v>
      </c>
      <c r="D13" s="0" t="n">
        <f aca="false">D11+D12</f>
        <v>9096.811052228</v>
      </c>
      <c r="E13" s="0" t="n">
        <f aca="false">E11+E12</f>
        <v>6840.80191127545</v>
      </c>
      <c r="F13" s="0" t="n">
        <f aca="false">F11+F12</f>
        <v>6977.61794950096</v>
      </c>
      <c r="G13" s="0" t="n">
        <f aca="false">G11+G12</f>
        <v>7117.17030849098</v>
      </c>
      <c r="H13" s="0" t="n">
        <f aca="false">H11+H12</f>
        <v>7259.5137146608</v>
      </c>
      <c r="I13" s="0" t="n">
        <f aca="false">I11+I12</f>
        <v>7404.70398895402</v>
      </c>
      <c r="J13" s="0" t="n">
        <f aca="false">J11+J12</f>
        <v>7552.7980687331</v>
      </c>
      <c r="K13" s="0" t="n">
        <f aca="false">K11+K12</f>
        <v>7703.85403010776</v>
      </c>
      <c r="L13" s="0" t="n">
        <f aca="false">L11+L12</f>
        <v>7857.93111070992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12748.12621506</v>
      </c>
      <c r="D15" s="0" t="n">
        <f aca="false">D13-MAX(0,D13)*D14/100</f>
        <v>6822.608289171</v>
      </c>
      <c r="E15" s="0" t="n">
        <f aca="false">E13-MAX(0,E13)*E14/100</f>
        <v>5130.60143345659</v>
      </c>
      <c r="F15" s="0" t="n">
        <f aca="false">F13-MAX(0,F13)*F14/100</f>
        <v>5233.21346212572</v>
      </c>
      <c r="G15" s="0" t="n">
        <f aca="false">G13-MAX(0,G13)*G14/100</f>
        <v>5337.87773136824</v>
      </c>
      <c r="H15" s="0" t="n">
        <f aca="false">H13-MAX(0,H13)*H14/100</f>
        <v>5444.6352859956</v>
      </c>
      <c r="I15" s="0" t="n">
        <f aca="false">I13-MAX(0,I13)*I14/100</f>
        <v>5553.52799171551</v>
      </c>
      <c r="J15" s="0" t="n">
        <f aca="false">J13-MAX(0,J13)*J14/100</f>
        <v>5664.59855154982</v>
      </c>
      <c r="K15" s="0" t="n">
        <f aca="false">K13-MAX(0,K13)*K14/100</f>
        <v>5777.89052258082</v>
      </c>
      <c r="L15" s="0" t="n">
        <f aca="false">L13-MAX(0,L13)*L14/100</f>
        <v>5893.44833303244</v>
      </c>
    </row>
    <row r="16" customFormat="false" ht="15" hidden="false" customHeight="false" outlineLevel="0" collapsed="false">
      <c r="A16" s="0" t="s">
        <v>119</v>
      </c>
      <c r="C16" s="0" t="n">
        <f aca="false">-C12</f>
        <v>3777.22258224</v>
      </c>
      <c r="D16" s="0" t="n">
        <f aca="false">-D12</f>
        <v>3745.745727388</v>
      </c>
      <c r="E16" s="0" t="n">
        <f aca="false">-E12</f>
        <v>3722.2010399587</v>
      </c>
      <c r="F16" s="0" t="n">
        <f aca="false">-F12</f>
        <v>3796.64506075788</v>
      </c>
      <c r="G16" s="0" t="n">
        <f aca="false">-G12</f>
        <v>3872.57796197303</v>
      </c>
      <c r="H16" s="0" t="n">
        <f aca="false">-H12</f>
        <v>3950.0295212125</v>
      </c>
      <c r="I16" s="0" t="n">
        <f aca="false">-I12</f>
        <v>4029.03011163675</v>
      </c>
      <c r="J16" s="0" t="n">
        <f aca="false">-J12</f>
        <v>4109.61071386948</v>
      </c>
      <c r="K16" s="0" t="n">
        <f aca="false">-K12</f>
        <v>4191.80292814687</v>
      </c>
      <c r="L16" s="0" t="n">
        <f aca="false">-L12</f>
        <v>4275.63898670981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-6924.90806744</v>
      </c>
      <c r="D17" s="4" t="n">
        <f aca="false">-D6*Assumptions!D18/100</f>
        <v>-5618.618591082</v>
      </c>
      <c r="E17" s="4" t="n">
        <f aca="false">-E6*Assumptions!E18/100</f>
        <v>-5281.50147561708</v>
      </c>
      <c r="F17" s="4" t="n">
        <f aca="false">-F6*Assumptions!F18/100</f>
        <v>-5130.60143345659</v>
      </c>
      <c r="G17" s="4" t="n">
        <f aca="false">-G6*Assumptions!G18/100</f>
        <v>-5233.21346212572</v>
      </c>
      <c r="H17" s="4" t="n">
        <f aca="false">-H6*Assumptions!H18/100</f>
        <v>-5337.87773136824</v>
      </c>
      <c r="I17" s="4" t="n">
        <f aca="false">-I6*Assumptions!I18/100</f>
        <v>-5172.40352169582</v>
      </c>
      <c r="J17" s="4" t="n">
        <f aca="false">-J6*Assumptions!J18/100</f>
        <v>-5275.85159212974</v>
      </c>
      <c r="K17" s="4" t="n">
        <f aca="false">-K6*Assumptions!K18/100</f>
        <v>-5381.36862397233</v>
      </c>
      <c r="L17" s="4" t="n">
        <f aca="false">-L6*Assumptions!L18/100</f>
        <v>-5488.99599645178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-7814.94327359999</v>
      </c>
      <c r="D18" s="4" t="n">
        <f aca="false">(D6-C6)*Assumptions!$B$23/100</f>
        <v>8498.75081004001</v>
      </c>
      <c r="E18" s="4" t="n">
        <f aca="false">(E6-D6)*Assumptions!$B$23/100</f>
        <v>2889.5752754136</v>
      </c>
      <c r="F18" s="4" t="n">
        <f aca="false">(F6-E6)*Assumptions!$B$23/100</f>
        <v>-905.40025296293</v>
      </c>
      <c r="G18" s="4" t="n">
        <f aca="false">(G6-F6)*Assumptions!$B$23/100</f>
        <v>-923.508258022185</v>
      </c>
      <c r="H18" s="4" t="n">
        <f aca="false">(H6-G6)*Assumptions!$B$23/100</f>
        <v>-941.978423182629</v>
      </c>
      <c r="I18" s="4" t="n">
        <f aca="false">(I6-H6)*Assumptions!$B$23/100</f>
        <v>-960.817991646283</v>
      </c>
      <c r="J18" s="4" t="n">
        <f aca="false">(J6-I6)*Assumptions!$B$23/100</f>
        <v>-980.03435147921</v>
      </c>
      <c r="K18" s="4" t="n">
        <f aca="false">(K6-J6)*Assumptions!$B$23/100</f>
        <v>-999.635038508795</v>
      </c>
      <c r="L18" s="4" t="n">
        <f aca="false">(L6-K6)*Assumptions!$B$23/100</f>
        <v>-1019.62773927897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1785.49745626</v>
      </c>
      <c r="D19" s="0" t="n">
        <f aca="false">D15+D16+D17+D18</f>
        <v>13448.486235517</v>
      </c>
      <c r="E19" s="0" t="n">
        <f aca="false">E15+E16+E17+E18</f>
        <v>6460.87627321182</v>
      </c>
      <c r="F19" s="0" t="n">
        <f aca="false">F15+F16+F17+F18</f>
        <v>2993.85683646408</v>
      </c>
      <c r="G19" s="0" t="n">
        <f aca="false">G15+G16+G17+G18</f>
        <v>3053.73397319336</v>
      </c>
      <c r="H19" s="0" t="n">
        <f aca="false">H15+H16+H17+H18</f>
        <v>3114.80865265723</v>
      </c>
      <c r="I19" s="0" t="n">
        <f aca="false">I15+I16+I17+I18</f>
        <v>3449.33659001015</v>
      </c>
      <c r="J19" s="0" t="n">
        <f aca="false">J15+J16+J17+J18</f>
        <v>3518.32332181036</v>
      </c>
      <c r="K19" s="0" t="n">
        <f aca="false">K15+K16+K17+K18</f>
        <v>3588.68978824656</v>
      </c>
      <c r="L19" s="0" t="n">
        <f aca="false">L15+L16+L17+L18</f>
        <v>3660.4635840115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1645.61977535484</v>
      </c>
      <c r="D21" s="0" t="n">
        <f aca="false">D19*D20</f>
        <v>11423.8877321812</v>
      </c>
      <c r="E21" s="0" t="n">
        <f aca="false">E19*E20</f>
        <v>5058.27235725648</v>
      </c>
      <c r="F21" s="0" t="n">
        <f aca="false">F19*F20</f>
        <v>2160.29010397229</v>
      </c>
      <c r="G21" s="0" t="n">
        <f aca="false">G19*G20</f>
        <v>2030.87180281266</v>
      </c>
      <c r="H21" s="0" t="n">
        <f aca="false">H19*H20</f>
        <v>1909.20667176858</v>
      </c>
      <c r="I21" s="0" t="n">
        <f aca="false">I19*I20</f>
        <v>1948.62113238132</v>
      </c>
      <c r="J21" s="0" t="n">
        <f aca="false">J19*J20</f>
        <v>1831.88346085617</v>
      </c>
      <c r="K21" s="0" t="n">
        <f aca="false">K19*K20</f>
        <v>1722.13929039013</v>
      </c>
      <c r="L21" s="0" t="n">
        <f aca="false">L19*L20</f>
        <v>1618.96965548197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31349.7619824556</v>
      </c>
    </row>
    <row r="31" customFormat="false" ht="15" hidden="false" customHeight="false" outlineLevel="0" collapsed="false">
      <c r="A31" s="0" t="s">
        <v>128</v>
      </c>
      <c r="B31" s="0" t="n">
        <f aca="false">L19</f>
        <v>3660.4635840115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53076.7219681667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43925.5630081379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43925.5630081379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19427.6358657836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50777.3978482392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33798.8978482392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11.4751912985065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-0.654569798359225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11.4751912985065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27521.2632427531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5.00527870023846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18</v>
      </c>
      <c r="D5" s="4" t="n">
        <f aca="false">Assumptions!D27</f>
        <v>-10</v>
      </c>
      <c r="E5" s="4" t="n">
        <f aca="false">Assumptions!E27</f>
        <v>-3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542704.394</v>
      </c>
      <c r="C6" s="0" t="n">
        <f aca="false">B6*(1+C5/100)</f>
        <v>640391.18492</v>
      </c>
      <c r="D6" s="0" t="n">
        <f aca="false">C6*(1+D5/100)</f>
        <v>576352.066428</v>
      </c>
      <c r="E6" s="0" t="n">
        <f aca="false">D6*(1+E5/100)</f>
        <v>559061.50443516</v>
      </c>
      <c r="F6" s="0" t="n">
        <f aca="false">E6*(1+F5/100)</f>
        <v>575833.349568215</v>
      </c>
      <c r="G6" s="0" t="n">
        <f aca="false">F6*(1+G5/100)</f>
        <v>593108.350055261</v>
      </c>
      <c r="H6" s="0" t="n">
        <f aca="false">G6*(1+H5/100)</f>
        <v>610901.600556919</v>
      </c>
      <c r="I6" s="0" t="n">
        <f aca="false">H6*(1+I5/100)</f>
        <v>626174.140570842</v>
      </c>
      <c r="J6" s="0" t="n">
        <f aca="false">I6*(1+J5/100)</f>
        <v>641828.494085113</v>
      </c>
      <c r="K6" s="0" t="n">
        <f aca="false">J6*(1+K5/100)</f>
        <v>657874.206437241</v>
      </c>
      <c r="L6" s="0" t="n">
        <f aca="false">K6*(1+L5/100)</f>
        <v>674321.061598172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3.6</v>
      </c>
      <c r="D7" s="4" t="n">
        <f aca="false">Assumptions!D28</f>
        <v>2.8</v>
      </c>
      <c r="E7" s="4" t="n">
        <f aca="false">Assumptions!E28</f>
        <v>2.6</v>
      </c>
      <c r="F7" s="4" t="n">
        <f aca="false">Assumptions!F28</f>
        <v>2.6</v>
      </c>
      <c r="G7" s="4" t="n">
        <f aca="false">Assumptions!G28</f>
        <v>2.6</v>
      </c>
      <c r="H7" s="4" t="n">
        <f aca="false">Assumptions!H28</f>
        <v>2.6</v>
      </c>
      <c r="I7" s="4" t="n">
        <f aca="false">Assumptions!I28</f>
        <v>2.6</v>
      </c>
      <c r="J7" s="4" t="n">
        <f aca="false">Assumptions!J28</f>
        <v>2.6</v>
      </c>
      <c r="K7" s="4" t="n">
        <f aca="false">Assumptions!K28</f>
        <v>2.6</v>
      </c>
      <c r="L7" s="4" t="n">
        <f aca="false">Assumptions!L28</f>
        <v>2.6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23054.08265712</v>
      </c>
      <c r="D8" s="0" t="n">
        <f aca="false">D6*D7/100</f>
        <v>16137.857859984</v>
      </c>
      <c r="E8" s="0" t="n">
        <f aca="false">E6*E7/100</f>
        <v>14535.5991153142</v>
      </c>
      <c r="F8" s="0" t="n">
        <f aca="false">F6*F7/100</f>
        <v>14971.6670887736</v>
      </c>
      <c r="G8" s="0" t="n">
        <f aca="false">G6*G7/100</f>
        <v>15420.8171014368</v>
      </c>
      <c r="H8" s="0" t="n">
        <f aca="false">H6*H7/100</f>
        <v>15883.4416144799</v>
      </c>
      <c r="I8" s="0" t="n">
        <f aca="false">I6*I7/100</f>
        <v>16280.5276548419</v>
      </c>
      <c r="J8" s="0" t="n">
        <f aca="false">J6*J7/100</f>
        <v>16687.5408462129</v>
      </c>
      <c r="K8" s="0" t="n">
        <f aca="false">K6*K7/100</f>
        <v>17104.7293673683</v>
      </c>
      <c r="L8" s="0" t="n">
        <f aca="false">L6*L7/100</f>
        <v>17532.3476015525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23054.08265712</v>
      </c>
      <c r="D11" s="0" t="n">
        <f aca="false">D8+D10+D24</f>
        <v>16137.857859984</v>
      </c>
      <c r="E11" s="0" t="n">
        <f aca="false">E8+E10+E24</f>
        <v>14535.5991153142</v>
      </c>
      <c r="F11" s="0" t="n">
        <f aca="false">F8+F10+F24</f>
        <v>14971.6670887736</v>
      </c>
      <c r="G11" s="0" t="n">
        <f aca="false">G8+G10+G24</f>
        <v>15420.8171014368</v>
      </c>
      <c r="H11" s="0" t="n">
        <f aca="false">H8+H10+H24</f>
        <v>15883.4416144799</v>
      </c>
      <c r="I11" s="0" t="n">
        <f aca="false">I8+I10+I24</f>
        <v>16280.5276548419</v>
      </c>
      <c r="J11" s="0" t="n">
        <f aca="false">J8+J10+J24</f>
        <v>16687.5408462129</v>
      </c>
      <c r="K11" s="0" t="n">
        <f aca="false">K8+K10+K24</f>
        <v>17104.7293673683</v>
      </c>
      <c r="L11" s="0" t="n">
        <f aca="false">L8+L10+L24</f>
        <v>17532.3476015525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-3714.268872536</v>
      </c>
      <c r="D12" s="4" t="n">
        <f aca="false">-D6*Assumptions!D31/100</f>
        <v>-3688.6532251392</v>
      </c>
      <c r="E12" s="4" t="n">
        <f aca="false">-E6*Assumptions!E31/100</f>
        <v>-3689.80592927206</v>
      </c>
      <c r="F12" s="4" t="n">
        <f aca="false">-F6*Assumptions!F31/100</f>
        <v>-3800.50010715022</v>
      </c>
      <c r="G12" s="4" t="n">
        <f aca="false">-G6*Assumptions!G31/100</f>
        <v>-3914.51511036472</v>
      </c>
      <c r="H12" s="4" t="n">
        <f aca="false">-H6*Assumptions!H31/100</f>
        <v>-4031.95056367567</v>
      </c>
      <c r="I12" s="4" t="n">
        <f aca="false">-I6*Assumptions!I31/100</f>
        <v>-4132.74932776756</v>
      </c>
      <c r="J12" s="4" t="n">
        <f aca="false">-J6*Assumptions!J31/100</f>
        <v>-4236.06806096175</v>
      </c>
      <c r="K12" s="4" t="n">
        <f aca="false">-K6*Assumptions!K31/100</f>
        <v>-4341.96976248579</v>
      </c>
      <c r="L12" s="4" t="n">
        <f aca="false">-L6*Assumptions!L31/100</f>
        <v>-4450.51900654793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19339.813784584</v>
      </c>
      <c r="D13" s="0" t="n">
        <f aca="false">D11+D12</f>
        <v>12449.2046348448</v>
      </c>
      <c r="E13" s="0" t="n">
        <f aca="false">E11+E12</f>
        <v>10845.7931860421</v>
      </c>
      <c r="F13" s="0" t="n">
        <f aca="false">F11+F12</f>
        <v>11171.1669816234</v>
      </c>
      <c r="G13" s="0" t="n">
        <f aca="false">G11+G12</f>
        <v>11506.3019910721</v>
      </c>
      <c r="H13" s="0" t="n">
        <f aca="false">H11+H12</f>
        <v>11851.4910508042</v>
      </c>
      <c r="I13" s="0" t="n">
        <f aca="false">I11+I12</f>
        <v>12147.7783270743</v>
      </c>
      <c r="J13" s="0" t="n">
        <f aca="false">J11+J12</f>
        <v>12451.4727852512</v>
      </c>
      <c r="K13" s="0" t="n">
        <f aca="false">K11+K12</f>
        <v>12762.7596048825</v>
      </c>
      <c r="L13" s="0" t="n">
        <f aca="false">L11+L12</f>
        <v>13081.8285950045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14504.860338438</v>
      </c>
      <c r="D15" s="0" t="n">
        <f aca="false">D13-MAX(0,D13)*D14/100</f>
        <v>9336.9034761336</v>
      </c>
      <c r="E15" s="0" t="n">
        <f aca="false">E13-MAX(0,E13)*E14/100</f>
        <v>8134.34488953158</v>
      </c>
      <c r="F15" s="0" t="n">
        <f aca="false">F13-MAX(0,F13)*F14/100</f>
        <v>8378.37523621753</v>
      </c>
      <c r="G15" s="0" t="n">
        <f aca="false">G13-MAX(0,G13)*G14/100</f>
        <v>8629.72649330405</v>
      </c>
      <c r="H15" s="0" t="n">
        <f aca="false">H13-MAX(0,H13)*H14/100</f>
        <v>8888.61828810317</v>
      </c>
      <c r="I15" s="0" t="n">
        <f aca="false">I13-MAX(0,I13)*I14/100</f>
        <v>9110.83374530575</v>
      </c>
      <c r="J15" s="0" t="n">
        <f aca="false">J13-MAX(0,J13)*J14/100</f>
        <v>9338.6045889384</v>
      </c>
      <c r="K15" s="0" t="n">
        <f aca="false">K13-MAX(0,K13)*K14/100</f>
        <v>9572.06970366185</v>
      </c>
      <c r="L15" s="0" t="n">
        <f aca="false">L13-MAX(0,L13)*L14/100</f>
        <v>9811.3714462534</v>
      </c>
    </row>
    <row r="16" customFormat="false" ht="15" hidden="false" customHeight="false" outlineLevel="0" collapsed="false">
      <c r="A16" s="0" t="s">
        <v>119</v>
      </c>
      <c r="C16" s="0" t="n">
        <f aca="false">-C12</f>
        <v>3714.268872536</v>
      </c>
      <c r="D16" s="0" t="n">
        <f aca="false">-D12</f>
        <v>3688.6532251392</v>
      </c>
      <c r="E16" s="0" t="n">
        <f aca="false">-E12</f>
        <v>3689.80592927206</v>
      </c>
      <c r="F16" s="0" t="n">
        <f aca="false">-F12</f>
        <v>3800.50010715022</v>
      </c>
      <c r="G16" s="0" t="n">
        <f aca="false">-G12</f>
        <v>3914.51511036472</v>
      </c>
      <c r="H16" s="0" t="n">
        <f aca="false">-H12</f>
        <v>4031.95056367567</v>
      </c>
      <c r="I16" s="0" t="n">
        <f aca="false">-I12</f>
        <v>4132.74932776756</v>
      </c>
      <c r="J16" s="0" t="n">
        <f aca="false">-J12</f>
        <v>4236.06806096175</v>
      </c>
      <c r="K16" s="0" t="n">
        <f aca="false">-K12</f>
        <v>4341.96976248579</v>
      </c>
      <c r="L16" s="0" t="n">
        <f aca="false">-L12</f>
        <v>4450.51900654793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-7044.30303412</v>
      </c>
      <c r="D17" s="4" t="n">
        <f aca="false">-D6*Assumptions!D32/100</f>
        <v>-6051.696697494</v>
      </c>
      <c r="E17" s="4" t="n">
        <f aca="false">-E6*Assumptions!E32/100</f>
        <v>-5870.14579656918</v>
      </c>
      <c r="F17" s="4" t="n">
        <f aca="false">-F6*Assumptions!F32/100</f>
        <v>-5758.33349568215</v>
      </c>
      <c r="G17" s="4" t="n">
        <f aca="false">-G6*Assumptions!G32/100</f>
        <v>-5931.08350055261</v>
      </c>
      <c r="H17" s="4" t="n">
        <f aca="false">-H6*Assumptions!H32/100</f>
        <v>-6109.01600556919</v>
      </c>
      <c r="I17" s="4" t="n">
        <f aca="false">-I6*Assumptions!I32/100</f>
        <v>-5948.654335423</v>
      </c>
      <c r="J17" s="4" t="n">
        <f aca="false">-J6*Assumptions!J32/100</f>
        <v>-6097.37069380857</v>
      </c>
      <c r="K17" s="4" t="n">
        <f aca="false">-K6*Assumptions!K32/100</f>
        <v>-6249.80496115379</v>
      </c>
      <c r="L17" s="4" t="n">
        <f aca="false">-L6*Assumptions!L32/100</f>
        <v>-6406.05008518263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-8791.8111828</v>
      </c>
      <c r="D18" s="4" t="n">
        <f aca="false">(D6-C6)*Assumptions!$B$37/100</f>
        <v>5763.52066427999</v>
      </c>
      <c r="E18" s="4" t="n">
        <f aca="false">(E6-D6)*Assumptions!$B$37/100</f>
        <v>1556.1505793556</v>
      </c>
      <c r="F18" s="4" t="n">
        <f aca="false">(F6-E6)*Assumptions!$B$37/100</f>
        <v>-1509.46606197493</v>
      </c>
      <c r="G18" s="4" t="n">
        <f aca="false">(G6-F6)*Assumptions!$B$37/100</f>
        <v>-1554.75004383418</v>
      </c>
      <c r="H18" s="4" t="n">
        <f aca="false">(H6-G6)*Assumptions!$B$37/100</f>
        <v>-1601.39254514921</v>
      </c>
      <c r="I18" s="4" t="n">
        <f aca="false">(I6-H6)*Assumptions!$B$37/100</f>
        <v>-1374.52860125307</v>
      </c>
      <c r="J18" s="4" t="n">
        <f aca="false">(J6-I6)*Assumptions!$B$37/100</f>
        <v>-1408.89181628439</v>
      </c>
      <c r="K18" s="4" t="n">
        <f aca="false">(K6-J6)*Assumptions!$B$37/100</f>
        <v>-1444.1141116915</v>
      </c>
      <c r="L18" s="4" t="n">
        <f aca="false">(L6-K6)*Assumptions!$B$37/100</f>
        <v>-1480.21696448379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2383.01499405401</v>
      </c>
      <c r="D19" s="0" t="n">
        <f aca="false">D15+D16+D17+D18</f>
        <v>12737.3806680588</v>
      </c>
      <c r="E19" s="0" t="n">
        <f aca="false">E15+E16+E17+E18</f>
        <v>7510.15560159006</v>
      </c>
      <c r="F19" s="0" t="n">
        <f aca="false">F15+F16+F17+F18</f>
        <v>4911.07578571067</v>
      </c>
      <c r="G19" s="0" t="n">
        <f aca="false">G15+G16+G17+G18</f>
        <v>5058.40805928198</v>
      </c>
      <c r="H19" s="0" t="n">
        <f aca="false">H15+H16+H17+H18</f>
        <v>5210.16030106044</v>
      </c>
      <c r="I19" s="0" t="n">
        <f aca="false">I15+I16+I17+I18</f>
        <v>5920.40013639724</v>
      </c>
      <c r="J19" s="0" t="n">
        <f aca="false">J15+J16+J17+J18</f>
        <v>6068.41013980718</v>
      </c>
      <c r="K19" s="0" t="n">
        <f aca="false">K15+K16+K17+K18</f>
        <v>6220.12039330235</v>
      </c>
      <c r="L19" s="0" t="n">
        <f aca="false">L15+L16+L17+L18</f>
        <v>6375.62340313491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2196.32718345992</v>
      </c>
      <c r="D21" s="0" t="n">
        <f aca="false">D19*D20</f>
        <v>10819.8353484328</v>
      </c>
      <c r="E21" s="0" t="n">
        <f aca="false">E19*E20</f>
        <v>5879.76164095976</v>
      </c>
      <c r="F21" s="0" t="n">
        <f aca="false">F19*F20</f>
        <v>3543.70599505985</v>
      </c>
      <c r="G21" s="0" t="n">
        <f aca="false">G19*G20</f>
        <v>3364.07112895082</v>
      </c>
      <c r="H21" s="0" t="n">
        <f aca="false">H19*H20</f>
        <v>3193.54217771369</v>
      </c>
      <c r="I21" s="0" t="n">
        <f aca="false">I19*I20</f>
        <v>3344.59004416931</v>
      </c>
      <c r="J21" s="0" t="n">
        <f aca="false">J19*J20</f>
        <v>3159.63575601249</v>
      </c>
      <c r="K21" s="0" t="n">
        <f aca="false">K19*K20</f>
        <v>2984.90935475834</v>
      </c>
      <c r="L21" s="0" t="n">
        <f aca="false">L19*L20</f>
        <v>2819.84524297447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41306.2238724914</v>
      </c>
    </row>
    <row r="31" customFormat="false" ht="15" hidden="false" customHeight="false" outlineLevel="0" collapsed="false">
      <c r="A31" s="0" t="s">
        <v>128</v>
      </c>
      <c r="B31" s="0" t="n">
        <f aca="false">L19</f>
        <v>6375.62340313491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100048.244172271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76507.480837619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76507.480837619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33838.1429156936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75144.3667881851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58165.8667881851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19.7481128359529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-0.40553543540178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19.7481128359529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50024.1220861355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9.22022337177647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20</v>
      </c>
      <c r="D5" s="4" t="n">
        <f aca="false">Assumptions!D41</f>
        <v>-4</v>
      </c>
      <c r="E5" s="4" t="n">
        <f aca="false">Assumptions!E41</f>
        <v>0</v>
      </c>
      <c r="F5" s="4" t="n">
        <f aca="false">Assumptions!F41</f>
        <v>3.5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542704.394</v>
      </c>
      <c r="C6" s="0" t="n">
        <f aca="false">B6*(1+C5/100)</f>
        <v>651245.2728</v>
      </c>
      <c r="D6" s="0" t="n">
        <f aca="false">C6*(1+D5/100)</f>
        <v>625195.461888</v>
      </c>
      <c r="E6" s="0" t="n">
        <f aca="false">D6*(1+E5/100)</f>
        <v>625195.461888</v>
      </c>
      <c r="F6" s="0" t="n">
        <f aca="false">E6*(1+F5/100)</f>
        <v>647077.30305408</v>
      </c>
      <c r="G6" s="0" t="n">
        <f aca="false">F6*(1+G5/100)</f>
        <v>669725.008660973</v>
      </c>
      <c r="H6" s="0" t="n">
        <f aca="false">G6*(1+H5/100)</f>
        <v>693165.383964107</v>
      </c>
      <c r="I6" s="0" t="n">
        <f aca="false">H6*(1+I5/100)</f>
        <v>713960.34548303</v>
      </c>
      <c r="J6" s="0" t="n">
        <f aca="false">I6*(1+J5/100)</f>
        <v>735379.155847521</v>
      </c>
      <c r="K6" s="0" t="n">
        <f aca="false">J6*(1+K5/100)</f>
        <v>753763.634743709</v>
      </c>
      <c r="L6" s="0" t="n">
        <f aca="false">K6*(1+L5/100)</f>
        <v>772607.725612301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3.8</v>
      </c>
      <c r="D7" s="4" t="n">
        <f aca="false">Assumptions!D42</f>
        <v>3.3</v>
      </c>
      <c r="E7" s="4" t="n">
        <f aca="false">Assumptions!E42</f>
        <v>3</v>
      </c>
      <c r="F7" s="4" t="n">
        <f aca="false">Assumptions!F42</f>
        <v>3</v>
      </c>
      <c r="G7" s="4" t="n">
        <f aca="false">Assumptions!G42</f>
        <v>3</v>
      </c>
      <c r="H7" s="4" t="n">
        <f aca="false">Assumptions!H42</f>
        <v>3</v>
      </c>
      <c r="I7" s="4" t="n">
        <f aca="false">Assumptions!I42</f>
        <v>3</v>
      </c>
      <c r="J7" s="4" t="n">
        <f aca="false">Assumptions!J42</f>
        <v>3</v>
      </c>
      <c r="K7" s="4" t="n">
        <f aca="false">Assumptions!K42</f>
        <v>3</v>
      </c>
      <c r="L7" s="4" t="n">
        <f aca="false">Assumptions!L42</f>
        <v>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24747.3203664</v>
      </c>
      <c r="D8" s="0" t="n">
        <f aca="false">D6*D7/100</f>
        <v>20631.450242304</v>
      </c>
      <c r="E8" s="0" t="n">
        <f aca="false">E6*E7/100</f>
        <v>18755.86385664</v>
      </c>
      <c r="F8" s="0" t="n">
        <f aca="false">F6*F7/100</f>
        <v>19412.3190916224</v>
      </c>
      <c r="G8" s="0" t="n">
        <f aca="false">G6*G7/100</f>
        <v>20091.7502598292</v>
      </c>
      <c r="H8" s="0" t="n">
        <f aca="false">H6*H7/100</f>
        <v>20794.9615189232</v>
      </c>
      <c r="I8" s="0" t="n">
        <f aca="false">I6*I7/100</f>
        <v>21418.8103644909</v>
      </c>
      <c r="J8" s="0" t="n">
        <f aca="false">J6*J7/100</f>
        <v>22061.3746754256</v>
      </c>
      <c r="K8" s="0" t="n">
        <f aca="false">K6*K7/100</f>
        <v>22612.9090423113</v>
      </c>
      <c r="L8" s="0" t="n">
        <f aca="false">L6*L7/100</f>
        <v>23178.231768369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24747.3203664</v>
      </c>
      <c r="D11" s="0" t="n">
        <f aca="false">D8+D10+D24</f>
        <v>20631.450242304</v>
      </c>
      <c r="E11" s="0" t="n">
        <f aca="false">E8+E10+E24</f>
        <v>18755.86385664</v>
      </c>
      <c r="F11" s="0" t="n">
        <f aca="false">F8+F10+F24</f>
        <v>19412.3190916224</v>
      </c>
      <c r="G11" s="0" t="n">
        <f aca="false">G8+G10+G24</f>
        <v>20091.7502598292</v>
      </c>
      <c r="H11" s="0" t="n">
        <f aca="false">H8+H10+H24</f>
        <v>20794.9615189232</v>
      </c>
      <c r="I11" s="0" t="n">
        <f aca="false">I8+I10+I24</f>
        <v>21418.8103644909</v>
      </c>
      <c r="J11" s="0" t="n">
        <f aca="false">J8+J10+J24</f>
        <v>22061.3746754256</v>
      </c>
      <c r="K11" s="0" t="n">
        <f aca="false">K8+K10+K24</f>
        <v>22612.9090423113</v>
      </c>
      <c r="L11" s="0" t="n">
        <f aca="false">L8+L10+L24</f>
        <v>23178.231768369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-3646.97352768</v>
      </c>
      <c r="D12" s="4" t="n">
        <f aca="false">-D6*Assumptions!D45/100</f>
        <v>-3751.172771328</v>
      </c>
      <c r="E12" s="4" t="n">
        <f aca="false">-E6*Assumptions!E45/100</f>
        <v>-3876.2118637056</v>
      </c>
      <c r="F12" s="4" t="n">
        <f aca="false">-F6*Assumptions!F45/100</f>
        <v>-4011.8792789353</v>
      </c>
      <c r="G12" s="4" t="n">
        <f aca="false">-G6*Assumptions!G45/100</f>
        <v>-4152.29505369803</v>
      </c>
      <c r="H12" s="4" t="n">
        <f aca="false">-H6*Assumptions!H45/100</f>
        <v>-4297.62538057746</v>
      </c>
      <c r="I12" s="4" t="n">
        <f aca="false">-I6*Assumptions!I45/100</f>
        <v>-4426.55414199478</v>
      </c>
      <c r="J12" s="4" t="n">
        <f aca="false">-J6*Assumptions!J45/100</f>
        <v>-4559.35076625463</v>
      </c>
      <c r="K12" s="4" t="n">
        <f aca="false">-K6*Assumptions!K45/100</f>
        <v>-4673.33453541099</v>
      </c>
      <c r="L12" s="4" t="n">
        <f aca="false">-L6*Assumptions!L45/100</f>
        <v>-4790.16789879627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21100.34683872</v>
      </c>
      <c r="D13" s="0" t="n">
        <f aca="false">D11+D12</f>
        <v>16880.277470976</v>
      </c>
      <c r="E13" s="0" t="n">
        <f aca="false">E11+E12</f>
        <v>14879.6519929344</v>
      </c>
      <c r="F13" s="0" t="n">
        <f aca="false">F11+F12</f>
        <v>15400.4398126871</v>
      </c>
      <c r="G13" s="0" t="n">
        <f aca="false">G11+G12</f>
        <v>15939.4552061311</v>
      </c>
      <c r="H13" s="0" t="n">
        <f aca="false">H11+H12</f>
        <v>16497.3361383457</v>
      </c>
      <c r="I13" s="0" t="n">
        <f aca="false">I11+I12</f>
        <v>16992.2562224961</v>
      </c>
      <c r="J13" s="0" t="n">
        <f aca="false">J11+J12</f>
        <v>17502.023909171</v>
      </c>
      <c r="K13" s="0" t="n">
        <f aca="false">K11+K12</f>
        <v>17939.5745069003</v>
      </c>
      <c r="L13" s="0" t="n">
        <f aca="false">L11+L12</f>
        <v>18388.0638695728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15825.26012904</v>
      </c>
      <c r="D15" s="0" t="n">
        <f aca="false">D13-MAX(0,D13)*D14/100</f>
        <v>12660.208103232</v>
      </c>
      <c r="E15" s="0" t="n">
        <f aca="false">E13-MAX(0,E13)*E14/100</f>
        <v>11159.7389947008</v>
      </c>
      <c r="F15" s="0" t="n">
        <f aca="false">F13-MAX(0,F13)*F14/100</f>
        <v>11550.3298595153</v>
      </c>
      <c r="G15" s="0" t="n">
        <f aca="false">G13-MAX(0,G13)*G14/100</f>
        <v>11954.5914045984</v>
      </c>
      <c r="H15" s="0" t="n">
        <f aca="false">H13-MAX(0,H13)*H14/100</f>
        <v>12373.0021037593</v>
      </c>
      <c r="I15" s="0" t="n">
        <f aca="false">I13-MAX(0,I13)*I14/100</f>
        <v>12744.1921668721</v>
      </c>
      <c r="J15" s="0" t="n">
        <f aca="false">J13-MAX(0,J13)*J14/100</f>
        <v>13126.5179318782</v>
      </c>
      <c r="K15" s="0" t="n">
        <f aca="false">K13-MAX(0,K13)*K14/100</f>
        <v>13454.6808801752</v>
      </c>
      <c r="L15" s="0" t="n">
        <f aca="false">L13-MAX(0,L13)*L14/100</f>
        <v>13791.0479021796</v>
      </c>
    </row>
    <row r="16" customFormat="false" ht="15" hidden="false" customHeight="false" outlineLevel="0" collapsed="false">
      <c r="A16" s="0" t="s">
        <v>119</v>
      </c>
      <c r="C16" s="0" t="n">
        <f aca="false">-C12</f>
        <v>3646.97352768</v>
      </c>
      <c r="D16" s="0" t="n">
        <f aca="false">-D12</f>
        <v>3751.172771328</v>
      </c>
      <c r="E16" s="0" t="n">
        <f aca="false">-E12</f>
        <v>3876.2118637056</v>
      </c>
      <c r="F16" s="0" t="n">
        <f aca="false">-F12</f>
        <v>4011.8792789353</v>
      </c>
      <c r="G16" s="0" t="n">
        <f aca="false">-G12</f>
        <v>4152.29505369803</v>
      </c>
      <c r="H16" s="0" t="n">
        <f aca="false">-H12</f>
        <v>4297.62538057746</v>
      </c>
      <c r="I16" s="0" t="n">
        <f aca="false">-I12</f>
        <v>4426.55414199478</v>
      </c>
      <c r="J16" s="0" t="n">
        <f aca="false">-J12</f>
        <v>4559.35076625463</v>
      </c>
      <c r="K16" s="0" t="n">
        <f aca="false">-K12</f>
        <v>4673.33453541099</v>
      </c>
      <c r="L16" s="0" t="n">
        <f aca="false">-L12</f>
        <v>4790.16789879627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-7163.6980008</v>
      </c>
      <c r="D17" s="4" t="n">
        <f aca="false">-D6*Assumptions!D46/100</f>
        <v>-6564.552349824</v>
      </c>
      <c r="E17" s="4" t="n">
        <f aca="false">-E6*Assumptions!E46/100</f>
        <v>-6564.552349824</v>
      </c>
      <c r="F17" s="4" t="n">
        <f aca="false">-F6*Assumptions!F46/100</f>
        <v>-6470.7730305408</v>
      </c>
      <c r="G17" s="4" t="n">
        <f aca="false">-G6*Assumptions!G46/100</f>
        <v>-6697.25008660973</v>
      </c>
      <c r="H17" s="4" t="n">
        <f aca="false">-H6*Assumptions!H46/100</f>
        <v>-6931.65383964107</v>
      </c>
      <c r="I17" s="4" t="n">
        <f aca="false">-I6*Assumptions!I46/100</f>
        <v>-6782.62328208878</v>
      </c>
      <c r="J17" s="4" t="n">
        <f aca="false">-J6*Assumptions!J46/100</f>
        <v>-6986.10198055145</v>
      </c>
      <c r="K17" s="4" t="n">
        <f aca="false">-K6*Assumptions!K46/100</f>
        <v>-7160.75453006523</v>
      </c>
      <c r="L17" s="4" t="n">
        <f aca="false">-L6*Assumptions!L46/100</f>
        <v>-7339.77339331686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-9768.679092</v>
      </c>
      <c r="D18" s="4" t="n">
        <f aca="false">(D6-C6)*Assumptions!$B$51/100</f>
        <v>2344.48298208</v>
      </c>
      <c r="E18" s="4" t="n">
        <f aca="false">(E6-D6)*Assumptions!$B$51/100</f>
        <v>-0</v>
      </c>
      <c r="F18" s="4" t="n">
        <f aca="false">(F6-E6)*Assumptions!$B$51/100</f>
        <v>-1969.3657049472</v>
      </c>
      <c r="G18" s="4" t="n">
        <f aca="false">(G6-F6)*Assumptions!$B$51/100</f>
        <v>-2038.29350462034</v>
      </c>
      <c r="H18" s="4" t="n">
        <f aca="false">(H6-G6)*Assumptions!$B$51/100</f>
        <v>-2109.63377728206</v>
      </c>
      <c r="I18" s="4" t="n">
        <f aca="false">(I6-H6)*Assumptions!$B$51/100</f>
        <v>-1871.54653670309</v>
      </c>
      <c r="J18" s="4" t="n">
        <f aca="false">(J6-I6)*Assumptions!$B$51/100</f>
        <v>-1927.69293280419</v>
      </c>
      <c r="K18" s="4" t="n">
        <f aca="false">(K6-J6)*Assumptions!$B$51/100</f>
        <v>-1654.60310065692</v>
      </c>
      <c r="L18" s="4" t="n">
        <f aca="false">(L6-K6)*Assumptions!$B$51/100</f>
        <v>-1695.96817817334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2539.85656392</v>
      </c>
      <c r="D19" s="0" t="n">
        <f aca="false">D15+D16+D17+D18</f>
        <v>12191.311506816</v>
      </c>
      <c r="E19" s="0" t="n">
        <f aca="false">E15+E16+E17+E18</f>
        <v>8471.3985085824</v>
      </c>
      <c r="F19" s="0" t="n">
        <f aca="false">F15+F16+F17+F18</f>
        <v>7122.07040296263</v>
      </c>
      <c r="G19" s="0" t="n">
        <f aca="false">G15+G16+G17+G18</f>
        <v>7371.34286706632</v>
      </c>
      <c r="H19" s="0" t="n">
        <f aca="false">H15+H16+H17+H18</f>
        <v>7629.33986741364</v>
      </c>
      <c r="I19" s="0" t="n">
        <f aca="false">I15+I16+I17+I18</f>
        <v>8516.576490075</v>
      </c>
      <c r="J19" s="0" t="n">
        <f aca="false">J15+J16+J17+J18</f>
        <v>8772.07378477724</v>
      </c>
      <c r="K19" s="0" t="n">
        <f aca="false">K15+K16+K17+K18</f>
        <v>9312.65778486405</v>
      </c>
      <c r="L19" s="0" t="n">
        <f aca="false">L15+L16+L17+L18</f>
        <v>9545.47422948565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2340.88162573272</v>
      </c>
      <c r="D21" s="0" t="n">
        <f aca="false">D19*D20</f>
        <v>10355.9740124581</v>
      </c>
      <c r="E21" s="0" t="n">
        <f aca="false">E19*E20</f>
        <v>6632.32649740316</v>
      </c>
      <c r="F21" s="0" t="n">
        <f aca="false">F19*F20</f>
        <v>5139.10285352373</v>
      </c>
      <c r="G21" s="0" t="n">
        <f aca="false">G19*G20</f>
        <v>4902.27783723232</v>
      </c>
      <c r="H21" s="0" t="n">
        <f aca="false">H19*H20</f>
        <v>4676.3664161617</v>
      </c>
      <c r="I21" s="0" t="n">
        <f aca="false">I19*I20</f>
        <v>4811.23847761496</v>
      </c>
      <c r="J21" s="0" t="n">
        <f aca="false">J19*J20</f>
        <v>4567.35081285106</v>
      </c>
      <c r="K21" s="0" t="n">
        <f aca="false">K19*K20</f>
        <v>4468.95519412056</v>
      </c>
      <c r="L21" s="0" t="n">
        <f aca="false">L19*L20</f>
        <v>4221.82403131205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52116.2977584104</v>
      </c>
    </row>
    <row r="31" customFormat="false" ht="15" hidden="false" customHeight="false" outlineLevel="0" collapsed="false">
      <c r="A31" s="0" t="s">
        <v>128</v>
      </c>
      <c r="B31" s="0" t="n">
        <f aca="false">L19</f>
        <v>9545.47422948565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163068.518087046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114545.690753828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114545.690753828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50661.8883757446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102778.186134155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85799.686134155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29.1301750773669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-0.123113333011231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29.1301750773669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78272.8886817823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14.0822622612337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11.4751912985065</v>
      </c>
      <c r="C4" s="0" t="n">
        <f aca="false">B4/Assumptions!$B$2-1</f>
        <v>-0.654569798359225</v>
      </c>
      <c r="D4" s="4" t="n">
        <f aca="false">Assumptions!$B$24</f>
        <v>0.25</v>
      </c>
      <c r="E4" s="4" t="n">
        <f aca="false">DCF_Bear!$B$43</f>
        <v>11.4751912985065</v>
      </c>
      <c r="F4" s="4" t="n">
        <f aca="false">DCF_Bear!$B$47</f>
        <v>5.00527870023846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19.7481128359529</v>
      </c>
      <c r="C5" s="0" t="n">
        <f aca="false">B5/Assumptions!$B$2-1</f>
        <v>-0.40553543540178</v>
      </c>
      <c r="D5" s="4" t="n">
        <f aca="false">Assumptions!$B$38</f>
        <v>0.5</v>
      </c>
      <c r="E5" s="4" t="n">
        <f aca="false">DCF_Base!$B$43</f>
        <v>19.7481128359529</v>
      </c>
      <c r="F5" s="4" t="n">
        <f aca="false">DCF_Base!$B$47</f>
        <v>9.22022337177647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29.1301750773669</v>
      </c>
      <c r="C6" s="0" t="n">
        <f aca="false">B6/Assumptions!$B$2-1</f>
        <v>-0.123113333011231</v>
      </c>
      <c r="D6" s="4" t="n">
        <f aca="false">Assumptions!$B$52</f>
        <v>0.25</v>
      </c>
      <c r="E6" s="4" t="n">
        <f aca="false">DCF_Bull!$B$43</f>
        <v>29.1301750773669</v>
      </c>
      <c r="F6" s="4" t="n">
        <f aca="false">DCF_Bull!$B$47</f>
        <v>14.0822622612337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20.0253980119448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20.0253980119448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-0.658893370318276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9.38199692625627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19.7481128359529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18.931285370722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17.4018990955225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15.4919769358094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13.4593818069722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9.22022337177647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23.4081628219415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23.4081628219415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23.4081628219415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23.4081628219415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23.4081628219415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21.4954309686706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21.4954309686706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21.4954309686706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21.4954309686706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21.4954309686706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19.7481128359529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19.7481128359529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19.7481128359529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19.7481128359529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19.7481128359529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18.0470460328672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18.14980504826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18.14980504826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18.14980504826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18.14980504826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15.5945105870297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16.10988569551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16.6858931696938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16.6858931696938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16.6858931696938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2026-10-10T22:31:18Z</dcterms:created>
  <dc:creator>openpyxl</dc:creator>
  <dc:description/>
  <dc:language>en-NZ</dc:language>
  <cp:lastModifiedBy/>
  <dcterms:modified xsi:type="dcterms:W3CDTF">2026-10-10T22:31:18Z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