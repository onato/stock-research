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<sst xmlns="http://schemas.openxmlformats.org/spreadsheetml/2006/main" count="367" uniqueCount="176">
  <si>
    <t xml:space="preserve">Ticker</t>
  </si>
  <si>
    <t xml:space="preserve">2400.HK</t>
  </si>
  <si>
    <t xml:space="preserve">Company</t>
  </si>
  <si>
    <r>
      <rPr>
        <sz val="11"/>
        <color theme="1"/>
        <rFont val="Calibri"/>
        <family val="2"/>
        <charset val="1"/>
      </rPr>
      <t xml:space="preserve">XD Inc. (</t>
    </r>
    <r>
      <rPr>
        <sz val="11"/>
        <color theme="1"/>
        <rFont val="Arial Unicode MS"/>
        <family val="2"/>
      </rPr>
      <t xml:space="preserve">心动公司</t>
    </r>
    <r>
      <rPr>
        <sz val="11"/>
        <color theme="1"/>
        <rFont val="Calibri"/>
        <family val="2"/>
        <charset val="1"/>
      </rPr>
      <t xml:space="preserve">)</t>
    </r>
  </si>
  <si>
    <t xml:space="preserve">Valuation date</t>
  </si>
  <si>
    <t xml:space="preserve">2026-10-18</t>
  </si>
  <si>
    <t xml:space="preserve">Current price</t>
  </si>
  <si>
    <t xml:space="preserve">Price as of</t>
  </si>
  <si>
    <t xml:space="preserve">2026-10-16T08:08:14Z (HKEX regular close, Friday; next session 2026-10-19)</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</si>
  <si>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</si>
  <si>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</si>
  <si>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</si>
  <si>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</si>
  <si>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</si>
  <si>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</si>
  <si>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</si>
  <si>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</si>
  <si>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</si>
  <si>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</si>
  <si>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</si>
  <si>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</si>
  <si>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</si>
  <si>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2026-10-18T04:26:08Z</t>
  </si>
  <si>
    <t xml:space="preserve">Drivers file</t>
  </si>
  <si>
    <t xml:space="preserve">2400.HK_Drivers.json</t>
  </si>
  <si>
    <t xml:space="preserve">Convention</t>
  </si>
  <si>
    <t xml:space="preserve">Percents stored as percents; formulas divide by 100. Blue = input, green = link, black = formula.</t>
  </si>
  <si>
    <t xml:space="preserve">Methodology</t>
  </si>
  <si>
    <t xml:space="preserve">summary: XD is valued as a cash-generative, debt-free Chinese game publisher whose durable asset is TapTap, a zero-revenue-share discovery platform monetised through advertising. The house basis fully expenses SBC (small here, ~1.7% of revenue), strips interest income on the RMB3.9bn cash pile and adds the cash back once in the bridge, charges leases once as debt, charges minorities once in the flows, and ramps the cash-tax rate to a normal level rather than perpetuating the FY2025 3.6% effective rate. Hit-title, regulatory and tax-regime risk is priced in the scenario flows and a 25% bear weight, not by stacking a premium on the 10% CNY WACC. The FY2025 Torchlight IP purchase is treated as a one-off outside run-rate capex.
key_risks_to_valuation: Hit-title concentration: top-five games carry most game revenue; online-game MAU/MPU fell ~20% in FY2025 as Heartopia and Sausage Man normalised; Tax regime: the FY2025 3.6% effective rate rests on HNTE 15% status, R&amp;D super deduction and loss utilisation; H1 FY2026's RMB96.7m supplementary CIT after a regulatory self-assessment is a warning, and RMB2,320m of PRC earnings carry no WHT provision; PRC regulation: NPPA licence timing, minors' protection rules, advertising/algorithm rules and the VIE structure; Margin trajectory: H1 FY2026 revenue +7.5% but profit -10.6% as AI-related R&amp;D and distribution commissions rose faster than revenue; Platform ceiling: TapTap PRC MAU ~45m is near domestic saturation and TapTap International MAU fell 38% YoY and is unmonetised; Currency: value computed in CNY and quoted in HKD at 1.1724; the rate is dated 2026-10-16 and is not refreshed by price updates</t>
  </si>
  <si>
    <t xml:space="preserve">Data sources</t>
  </si>
  <si>
    <t xml:space="preserve">price: Yahoo Finance chart API for 2400.HK at inputs.price_as_of (HKD, regular close); 52-week range 36.82-92.45
fx: Yahoo Finance CNYHKD=X at 2026-10-16T22:01Z
financials: 2400.HK_Metrics.csv / metrics_normalized (FY2017-FY2025, H1 FY2023-H1 FY2026) derived from HKEX annual and interim reports; FY2025 annual report (adjusted EBITDA reconciliation, tax note 11, EPS note 12, SBC note 33); H1 FY2026 interim report (statement of financial position, tax note 11, EPS note 12, share capital note 22)
qualitative: 2400.HK_Analysis.json (2026-10-18): business model, moat, growth drivers, bull/bear cases, H1 FY2026 developments and Goldman Sachs SOTP target</t>
  </si>
  <si>
    <t xml:space="preserve">Scenario narrative: bear</t>
  </si>
  <si>
    <t xml:space="preserve">Hit-title decay outruns the pipeline, TapTap ad yield is capped by traffic competition and AI content oversupply, AI compute keeps R&amp;D elevated, and the preferential-tax regime is largely withdrawn. Revenue stalls for two years and settles at 3% growth on a 22% margin. Balance-sheet strength means the floor is a cash-rich, slow-growing platform, not distress.</t>
  </si>
  <si>
    <t xml:space="preserve">Scenario narrative: base</t>
  </si>
  <si>
    <t xml:space="preserve">Mid-single to low-double-digit growth for five years driven by TapTap platform advertising (+25% in FY2025, 34% of revenue, structurally higher margin) and a more diversified game portfolio (Heartopia, Torchlight: Infinite, RO franchise), fading to 3% as TapTap PRC saturates near 45m MAU. Margins recover partially from the AI-spend dip; the cash-tax rate normalises upward from an unsustainable 4-5%.</t>
  </si>
  <si>
    <t xml:space="preserve">Scenario narrative: bull</t>
  </si>
  <si>
    <t xml:space="preserve">Heartopia global and RO: Eternal Love 2 become durable overseas franchises, Torchlight IP ownership removes royalty drag, TapTap Maker feeds a wave of exclusive AI-built content into the zero-revenue-share platform, and operating leverage lifts EBITDA margin to 33% with HNTE tax status retained.</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</si>
  <si>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</si>
  <si>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</si>
  <si>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</si>
  <si>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</si>
  <si>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</si>
  <si>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</si>
  <si>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</si>
  <si>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</si>
  <si>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</si>
  <si>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</si>
  <si>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</si>
  <si>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</si>
  <si>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</si>
  <si>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</si>
  <si>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</si>
  <si>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</si>
  <si>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</si>
  <si>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</si>
  <si>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</si>
  <si>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</si>
  <si>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</si>
  <si>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</si>
  <si>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</si>
  <si>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</si>
  <si>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</si>
  <si>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</si>
  <si>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</si>
  <si>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AdjustedEBITDA</t>
  </si>
  <si>
    <t xml:space="preserve">CapexIntangibles</t>
  </si>
  <si>
    <t xml:space="preserve">CapexPPE</t>
  </si>
  <si>
    <t xml:space="preserve">CashOnly</t>
  </si>
  <si>
    <t xml:space="preserve">DilutedEPS</t>
  </si>
  <si>
    <t xml:space="preserve">DividendsPaidToNCI</t>
  </si>
  <si>
    <t xml:space="preserve">MAU</t>
  </si>
  <si>
    <t xml:space="preserve">ProfitInclNCI</t>
  </si>
  <si>
    <t xml:space="preserve">ShortTermInvestments</t>
  </si>
  <si>
    <t xml:space="preserve">SubsidiaryShareBuyback</t>
  </si>
  <si>
    <t xml:space="preserve">TotalEquityInclNCI</t>
  </si>
  <si>
    <t xml:space="preserve">FY2017</t>
  </si>
  <si>
    <t xml:space="preserve">thousands</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</si>
  <si>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</si>
  <si>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</si>
  <si>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</si>
  <si>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</si>
  <si>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</si>
  <si>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</si>
  <si>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</si>
  <si>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</si>
  <si>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</si>
  <si>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</si>
  <si>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</si>
  <si>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</si>
  <si>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</si>
  <si>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</si>
  <si>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</si>
  <si>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</si>
  <si>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</si>
  <si>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</si>
  <si>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</si>
  <si>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</si>
  <si>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</si>
  <si>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</si>
  <si>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</si>
  <si>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</si>
  <si>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</si>
  <si>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</si>
  <si>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</si>
  <si>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</si>
  <si>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</si>
  <si>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</si>
  <si>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</si>
  <si>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</si>
  <si>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</si>
  <si>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</si>
  <si>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</si>
  <si>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</si>
  <si>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</si>
  <si>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</si>
  <si>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</si>
  <si>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</si>
  <si>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</si>
  <si>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</si>
  <si>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</si>
  <si>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</si>
  <si>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</si>
  <si>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2400.HK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</si>
  <si>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</si>
  <si>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</si>
  <si>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</si>
  <si>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</si>
  <si>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</si>
  <si>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</si>
  <si>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</si>
  <si>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</si>
  <si>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</si>
  <si>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</si>
  <si>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</si>
  <si>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</si>
  <si>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</si>
  <si>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</si>
  <si>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</si>
  <si>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</si>
  <si>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</si>
  <si>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</si>
  <si>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</si>
  <si>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</si>
  <si>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</si>
  <si>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</si>
  <si>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</si>
  <si>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</si>
  <si>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</si>
  <si>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</si>
  <si>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</si>
  <si>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</si>
  <si>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</si>
  <si>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</si>
  <si>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2400.HK owner-FCF component DCF: base case (millions, CNY)</t>
  </si>
  <si>
    <t xml:space="preserve">2400.HK owner-FCF component DCF: bull case (millions, CNY)</t>
  </si>
  <si>
    <t xml:space="preserve">2400.HK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</si>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</sst>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sz val="11"/>
      <color theme="1"/>
      <name val="Arial Unicode MS"/>
      <family val="2"/>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6.4"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40.52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c r="AK1" s="2" t="s">
        <v>72</v>
      </c>
      <c r="AL1" s="2" t="s">
        <v>73</v>
      </c>
      <c r="AM1" s="2" t="s">
        <v>74</v>
      </c>
    </row>
    <row r="2" customFormat="false" ht="15" hidden="false" customHeight="false" outlineLevel="0" collapsed="false">
      <c r="A2" s="0" t="s">
        <v>75</v>
      </c>
      <c r="B2" s="0" t="n">
        <v>1344399</v>
      </c>
      <c r="C2" s="0" t="n">
        <v>741651</v>
      </c>
      <c r="D2" s="0" t="n">
        <v>602748</v>
      </c>
      <c r="E2" s="0" t="n">
        <v>44.8</v>
      </c>
      <c r="F2" s="0" t="n">
        <v>133945</v>
      </c>
      <c r="G2" s="0" t="n">
        <v>10</v>
      </c>
      <c r="I2" s="0" t="n">
        <v>116630</v>
      </c>
      <c r="J2" s="0" t="n">
        <v>8.7</v>
      </c>
      <c r="P2" s="0" t="n">
        <v>1310581</v>
      </c>
      <c r="Q2" s="0" t="n">
        <v>352826</v>
      </c>
      <c r="AA2" s="0" t="s">
        <v>76</v>
      </c>
      <c r="AB2" s="0" t="s">
        <v>14</v>
      </c>
      <c r="AJ2" s="0" t="n">
        <v>120537</v>
      </c>
      <c r="AM2" s="0" t="n">
        <v>957755</v>
      </c>
    </row>
    <row r="3" customFormat="false" ht="15" hidden="false" customHeight="false" outlineLevel="0" collapsed="false">
      <c r="A3" s="0" t="s">
        <v>77</v>
      </c>
      <c r="B3" s="0" t="n">
        <v>1887108</v>
      </c>
      <c r="C3" s="0" t="n">
        <v>776309</v>
      </c>
      <c r="D3" s="0" t="n">
        <v>1110799</v>
      </c>
      <c r="E3" s="0" t="n">
        <v>58.9</v>
      </c>
      <c r="F3" s="0" t="n">
        <v>386438</v>
      </c>
      <c r="G3" s="0" t="n">
        <v>20.5</v>
      </c>
      <c r="I3" s="0" t="n">
        <v>285028</v>
      </c>
      <c r="J3" s="0" t="n">
        <v>15.1</v>
      </c>
      <c r="K3" s="0" t="n">
        <v>0.81</v>
      </c>
      <c r="L3" s="0" t="n">
        <v>173554</v>
      </c>
      <c r="M3" s="0" t="n">
        <v>172966</v>
      </c>
      <c r="N3" s="0" t="n">
        <v>588</v>
      </c>
      <c r="O3" s="0" t="n">
        <v>1077914</v>
      </c>
      <c r="P3" s="0" t="n">
        <v>1724700</v>
      </c>
      <c r="Q3" s="0" t="n">
        <v>382140</v>
      </c>
      <c r="R3" s="0" t="n">
        <v>0</v>
      </c>
      <c r="S3" s="0" t="n">
        <v>729880</v>
      </c>
      <c r="T3" s="0" t="n">
        <v>351921</v>
      </c>
      <c r="U3" s="0" t="n">
        <v>0</v>
      </c>
      <c r="AA3" s="0" t="s">
        <v>76</v>
      </c>
      <c r="AB3" s="0" t="s">
        <v>14</v>
      </c>
      <c r="AD3" s="0" t="n">
        <v>140233</v>
      </c>
      <c r="AE3" s="0" t="n">
        <v>32733</v>
      </c>
      <c r="AF3" s="0" t="n">
        <v>573233</v>
      </c>
      <c r="AH3" s="0" t="n">
        <v>52896</v>
      </c>
      <c r="AJ3" s="0" t="n">
        <v>352721</v>
      </c>
      <c r="AK3" s="0" t="n">
        <v>156647</v>
      </c>
      <c r="AM3" s="0" t="n">
        <v>1342560</v>
      </c>
    </row>
    <row r="4" customFormat="false" ht="15" hidden="false" customHeight="false" outlineLevel="0" collapsed="false">
      <c r="A4" s="0" t="s">
        <v>78</v>
      </c>
      <c r="B4" s="0" t="n">
        <v>2838097</v>
      </c>
      <c r="C4" s="0" t="n">
        <v>1066320</v>
      </c>
      <c r="D4" s="0" t="n">
        <v>1771777</v>
      </c>
      <c r="E4" s="0" t="n">
        <v>62.4</v>
      </c>
      <c r="F4" s="0" t="n">
        <v>529290</v>
      </c>
      <c r="G4" s="0" t="n">
        <v>18.6</v>
      </c>
      <c r="I4" s="0" t="n">
        <v>346563</v>
      </c>
      <c r="J4" s="0" t="n">
        <v>12.2</v>
      </c>
      <c r="K4" s="0" t="n">
        <v>0.98</v>
      </c>
      <c r="L4" s="0" t="n">
        <v>860774</v>
      </c>
      <c r="M4" s="0" t="n">
        <v>139869</v>
      </c>
      <c r="N4" s="0" t="n">
        <v>720905</v>
      </c>
      <c r="O4" s="0" t="n">
        <v>1871870</v>
      </c>
      <c r="P4" s="0" t="n">
        <v>2866060</v>
      </c>
      <c r="Q4" s="0" t="n">
        <v>579530</v>
      </c>
      <c r="R4" s="0" t="n">
        <v>0</v>
      </c>
      <c r="S4" s="0" t="n">
        <v>1834232</v>
      </c>
      <c r="T4" s="0" t="n">
        <v>355232</v>
      </c>
      <c r="U4" s="0" t="n">
        <v>5890</v>
      </c>
      <c r="AA4" s="0" t="s">
        <v>76</v>
      </c>
      <c r="AB4" s="0" t="s">
        <v>14</v>
      </c>
      <c r="AD4" s="0" t="n">
        <v>72952</v>
      </c>
      <c r="AE4" s="0" t="n">
        <v>66917</v>
      </c>
      <c r="AF4" s="0" t="n">
        <v>1336869</v>
      </c>
      <c r="AG4" s="0" t="n">
        <v>0.98</v>
      </c>
      <c r="AJ4" s="0" t="n">
        <v>513429</v>
      </c>
      <c r="AK4" s="0" t="n">
        <v>497363</v>
      </c>
      <c r="AL4" s="0" t="n">
        <v>92298</v>
      </c>
      <c r="AM4" s="0" t="n">
        <v>2286530</v>
      </c>
    </row>
    <row r="5" customFormat="false" ht="15" hidden="false" customHeight="false" outlineLevel="0" collapsed="false">
      <c r="A5" s="0" t="s">
        <v>79</v>
      </c>
      <c r="B5" s="0" t="n">
        <v>2847553</v>
      </c>
      <c r="C5" s="0" t="n">
        <v>1315525</v>
      </c>
      <c r="D5" s="0" t="n">
        <v>1532028</v>
      </c>
      <c r="E5" s="0" t="n">
        <v>53.8</v>
      </c>
      <c r="F5" s="0" t="n">
        <v>87689</v>
      </c>
      <c r="G5" s="0" t="n">
        <v>3.1</v>
      </c>
      <c r="I5" s="0" t="n">
        <v>9145</v>
      </c>
      <c r="J5" s="0" t="n">
        <v>0.3</v>
      </c>
      <c r="K5" s="0" t="n">
        <v>0.02</v>
      </c>
      <c r="L5" s="0" t="n">
        <v>348192</v>
      </c>
      <c r="M5" s="0" t="n">
        <v>111955</v>
      </c>
      <c r="N5" s="0" t="n">
        <v>236237</v>
      </c>
      <c r="O5" s="0" t="n">
        <v>2296459</v>
      </c>
      <c r="P5" s="0" t="n">
        <v>3344742</v>
      </c>
      <c r="Q5" s="0" t="n">
        <v>764616</v>
      </c>
      <c r="R5" s="0" t="n">
        <v>0</v>
      </c>
      <c r="S5" s="0" t="n">
        <v>2319512</v>
      </c>
      <c r="T5" s="0" t="n">
        <v>432452</v>
      </c>
      <c r="U5" s="0" t="n">
        <v>0</v>
      </c>
      <c r="AA5" s="0" t="s">
        <v>76</v>
      </c>
      <c r="AB5" s="0" t="s">
        <v>14</v>
      </c>
      <c r="AD5" s="0" t="n">
        <v>39504</v>
      </c>
      <c r="AE5" s="0" t="n">
        <v>72451</v>
      </c>
      <c r="AF5" s="0" t="n">
        <v>2319512</v>
      </c>
      <c r="AG5" s="0" t="n">
        <v>0.02</v>
      </c>
      <c r="AH5" s="0" t="n">
        <v>49223</v>
      </c>
      <c r="AJ5" s="0" t="n">
        <v>55788</v>
      </c>
      <c r="AK5" s="0" t="n">
        <v>0</v>
      </c>
      <c r="AM5" s="0" t="n">
        <v>2580126</v>
      </c>
    </row>
    <row r="6" customFormat="false" ht="15" hidden="false" customHeight="false" outlineLevel="0" collapsed="false">
      <c r="A6" s="0" t="s">
        <v>80</v>
      </c>
      <c r="B6" s="0" t="n">
        <v>2703173</v>
      </c>
      <c r="C6" s="0" t="n">
        <v>1476930</v>
      </c>
      <c r="D6" s="0" t="n">
        <v>1226243</v>
      </c>
      <c r="E6" s="0" t="n">
        <v>45.4</v>
      </c>
      <c r="F6" s="0" t="n">
        <v>-955521</v>
      </c>
      <c r="G6" s="0" t="n">
        <v>-35.3</v>
      </c>
      <c r="H6" s="0" t="n">
        <v>-843641</v>
      </c>
      <c r="I6" s="0" t="n">
        <v>-863811</v>
      </c>
      <c r="J6" s="0" t="n">
        <v>-32</v>
      </c>
      <c r="K6" s="0" t="n">
        <v>-1.86</v>
      </c>
      <c r="L6" s="0" t="n">
        <v>-475205</v>
      </c>
      <c r="M6" s="0" t="n">
        <v>147536</v>
      </c>
      <c r="N6" s="0" t="n">
        <v>-622741</v>
      </c>
      <c r="O6" s="0" t="n">
        <v>2304242</v>
      </c>
      <c r="P6" s="0" t="n">
        <v>5044132</v>
      </c>
      <c r="Q6" s="0" t="n">
        <v>2661725</v>
      </c>
      <c r="R6" s="0" t="n">
        <v>1684063</v>
      </c>
      <c r="S6" s="0" t="n">
        <v>3957164</v>
      </c>
      <c r="T6" s="0" t="n">
        <v>464566</v>
      </c>
      <c r="U6" s="0" t="n">
        <v>27619</v>
      </c>
      <c r="AA6" s="0" t="s">
        <v>76</v>
      </c>
      <c r="AB6" s="0" t="s">
        <v>14</v>
      </c>
      <c r="AC6" s="0" t="n">
        <v>-816022</v>
      </c>
      <c r="AD6" s="0" t="n">
        <v>55781</v>
      </c>
      <c r="AE6" s="0" t="n">
        <v>91755</v>
      </c>
      <c r="AF6" s="0" t="n">
        <v>3164726</v>
      </c>
      <c r="AG6" s="0" t="n">
        <v>-1.86</v>
      </c>
      <c r="AH6" s="0" t="n">
        <v>115995</v>
      </c>
      <c r="AJ6" s="0" t="n">
        <v>-917288</v>
      </c>
      <c r="AK6" s="0" t="n">
        <v>792438</v>
      </c>
      <c r="AM6" s="0" t="n">
        <v>2382407</v>
      </c>
    </row>
    <row r="7" customFormat="false" ht="15" hidden="false" customHeight="false" outlineLevel="0" collapsed="false">
      <c r="A7" s="0" t="s">
        <v>81</v>
      </c>
      <c r="B7" s="0" t="n">
        <v>3430936</v>
      </c>
      <c r="C7" s="0" t="n">
        <v>1595677</v>
      </c>
      <c r="D7" s="0" t="n">
        <v>1835259</v>
      </c>
      <c r="E7" s="0" t="n">
        <v>53.5</v>
      </c>
      <c r="F7" s="0" t="n">
        <v>-567870</v>
      </c>
      <c r="G7" s="0" t="n">
        <v>-16.6</v>
      </c>
      <c r="H7" s="0" t="n">
        <v>-427706</v>
      </c>
      <c r="I7" s="0" t="n">
        <v>-553495</v>
      </c>
      <c r="J7" s="0" t="n">
        <v>-16.1</v>
      </c>
      <c r="K7" s="0" t="n">
        <v>-1.17</v>
      </c>
      <c r="L7" s="0" t="n">
        <v>-327881</v>
      </c>
      <c r="M7" s="0" t="n">
        <v>91100</v>
      </c>
      <c r="N7" s="0" t="n">
        <v>-418981</v>
      </c>
      <c r="O7" s="0" t="n">
        <v>1888329</v>
      </c>
      <c r="P7" s="0" t="n">
        <v>4796054</v>
      </c>
      <c r="Q7" s="0" t="n">
        <v>2890405</v>
      </c>
      <c r="R7" s="0" t="n">
        <v>1829478</v>
      </c>
      <c r="S7" s="0" t="n">
        <v>3588863</v>
      </c>
      <c r="T7" s="0" t="n">
        <v>471993</v>
      </c>
      <c r="U7" s="0" t="n">
        <v>74661</v>
      </c>
      <c r="AA7" s="0" t="s">
        <v>76</v>
      </c>
      <c r="AB7" s="0" t="s">
        <v>14</v>
      </c>
      <c r="AC7" s="0" t="n">
        <v>-353045</v>
      </c>
      <c r="AD7" s="0" t="n">
        <v>54002</v>
      </c>
      <c r="AE7" s="0" t="n">
        <v>37098</v>
      </c>
      <c r="AF7" s="0" t="n">
        <v>3098084</v>
      </c>
      <c r="AG7" s="0" t="n">
        <v>-1.17</v>
      </c>
      <c r="AH7" s="0" t="n">
        <v>37666</v>
      </c>
      <c r="AJ7" s="0" t="n">
        <v>-574013</v>
      </c>
      <c r="AK7" s="0" t="n">
        <v>490779</v>
      </c>
      <c r="AM7" s="0" t="n">
        <v>1905649</v>
      </c>
    </row>
    <row r="8" customFormat="false" ht="15" hidden="false" customHeight="false" outlineLevel="0" collapsed="false">
      <c r="A8" s="0" t="s">
        <v>82</v>
      </c>
      <c r="B8" s="0" t="n">
        <v>3389144</v>
      </c>
      <c r="C8" s="0" t="n">
        <v>1320774</v>
      </c>
      <c r="D8" s="0" t="n">
        <v>2068370</v>
      </c>
      <c r="E8" s="0" t="n">
        <v>61</v>
      </c>
      <c r="F8" s="0" t="n">
        <v>-5222</v>
      </c>
      <c r="G8" s="0" t="n">
        <v>-0.2</v>
      </c>
      <c r="H8" s="0" t="n">
        <v>107020</v>
      </c>
      <c r="I8" s="0" t="n">
        <v>-83039</v>
      </c>
      <c r="J8" s="0" t="n">
        <v>-2.5</v>
      </c>
      <c r="K8" s="0" t="n">
        <v>-0.18</v>
      </c>
      <c r="L8" s="0" t="n">
        <v>235448</v>
      </c>
      <c r="M8" s="0" t="n">
        <v>16456</v>
      </c>
      <c r="N8" s="0" t="n">
        <v>218992</v>
      </c>
      <c r="O8" s="0" t="n">
        <v>1709173</v>
      </c>
      <c r="P8" s="0" t="n">
        <v>4409442</v>
      </c>
      <c r="Q8" s="0" t="n">
        <v>2540691</v>
      </c>
      <c r="R8" s="0" t="n">
        <v>1553147</v>
      </c>
      <c r="S8" s="0" t="n">
        <v>3354478</v>
      </c>
      <c r="T8" s="0" t="n">
        <v>472015</v>
      </c>
      <c r="U8" s="0" t="n">
        <v>51364</v>
      </c>
      <c r="AA8" s="0" t="s">
        <v>76</v>
      </c>
      <c r="AB8" s="0" t="s">
        <v>14</v>
      </c>
      <c r="AC8" s="0" t="n">
        <v>158384</v>
      </c>
      <c r="AD8" s="0" t="n">
        <v>13576</v>
      </c>
      <c r="AE8" s="0" t="n">
        <v>2880</v>
      </c>
      <c r="AF8" s="0" t="n">
        <v>3206821</v>
      </c>
      <c r="AG8" s="0" t="n">
        <v>-0.18</v>
      </c>
      <c r="AH8" s="0" t="n">
        <v>44394</v>
      </c>
      <c r="AJ8" s="0" t="n">
        <v>-65362</v>
      </c>
      <c r="AK8" s="0" t="n">
        <v>147657</v>
      </c>
      <c r="AM8" s="0" t="n">
        <v>1868751</v>
      </c>
    </row>
    <row r="9" customFormat="false" ht="15" hidden="false" customHeight="false" outlineLevel="0" collapsed="false">
      <c r="A9" s="0" t="s">
        <v>83</v>
      </c>
      <c r="B9" s="0" t="n">
        <v>5012107</v>
      </c>
      <c r="C9" s="0" t="n">
        <v>1533577</v>
      </c>
      <c r="D9" s="0" t="n">
        <v>3478530</v>
      </c>
      <c r="E9" s="0" t="n">
        <v>69.4</v>
      </c>
      <c r="F9" s="0" t="n">
        <v>914789</v>
      </c>
      <c r="G9" s="0" t="n">
        <v>18.3</v>
      </c>
      <c r="H9" s="0" t="n">
        <v>997208</v>
      </c>
      <c r="I9" s="0" t="n">
        <v>811530</v>
      </c>
      <c r="J9" s="0" t="n">
        <v>16.2</v>
      </c>
      <c r="K9" s="0" t="n">
        <v>1.71</v>
      </c>
      <c r="L9" s="0" t="n">
        <v>1280370</v>
      </c>
      <c r="M9" s="0" t="n">
        <v>27604</v>
      </c>
      <c r="N9" s="0" t="n">
        <v>1252766</v>
      </c>
      <c r="O9" s="0" t="n">
        <v>2513819</v>
      </c>
      <c r="P9" s="0" t="n">
        <v>3923201</v>
      </c>
      <c r="Q9" s="0" t="n">
        <v>1208582</v>
      </c>
      <c r="R9" s="0" t="n">
        <v>0</v>
      </c>
      <c r="S9" s="0" t="n">
        <v>2910157</v>
      </c>
      <c r="T9" s="0" t="n">
        <v>474249</v>
      </c>
      <c r="U9" s="0" t="n">
        <v>59235</v>
      </c>
      <c r="AA9" s="0" t="s">
        <v>76</v>
      </c>
      <c r="AB9" s="0" t="s">
        <v>14</v>
      </c>
      <c r="AC9" s="0" t="n">
        <v>1056443</v>
      </c>
      <c r="AD9" s="0" t="n">
        <v>23915</v>
      </c>
      <c r="AE9" s="0" t="n">
        <v>3689</v>
      </c>
      <c r="AF9" s="0" t="n">
        <v>2781173</v>
      </c>
      <c r="AG9" s="0" t="n">
        <v>1.69</v>
      </c>
      <c r="AH9" s="0" t="n">
        <v>16202</v>
      </c>
      <c r="AJ9" s="0" t="n">
        <v>890491</v>
      </c>
      <c r="AK9" s="0" t="n">
        <v>128984</v>
      </c>
      <c r="AM9" s="0" t="n">
        <v>2714619</v>
      </c>
    </row>
    <row r="10" customFormat="false" ht="15" hidden="false" customHeight="false" outlineLevel="0" collapsed="false">
      <c r="A10" s="0" t="s">
        <v>84</v>
      </c>
      <c r="B10" s="0" t="n">
        <v>5763739</v>
      </c>
      <c r="C10" s="0" t="n">
        <v>1509184</v>
      </c>
      <c r="D10" s="0" t="n">
        <v>4254555</v>
      </c>
      <c r="E10" s="0" t="n">
        <v>73.8</v>
      </c>
      <c r="F10" s="0" t="n">
        <v>1679908</v>
      </c>
      <c r="G10" s="0" t="n">
        <v>29.1</v>
      </c>
      <c r="H10" s="0" t="n">
        <v>1695393</v>
      </c>
      <c r="I10" s="0" t="n">
        <v>1535274</v>
      </c>
      <c r="J10" s="0" t="n">
        <v>26.6</v>
      </c>
      <c r="K10" s="0" t="n">
        <v>3.19</v>
      </c>
      <c r="L10" s="0" t="n">
        <v>1712603</v>
      </c>
      <c r="M10" s="0" t="n">
        <v>322034</v>
      </c>
      <c r="N10" s="0" t="n">
        <v>1390569</v>
      </c>
      <c r="O10" s="0" t="n">
        <v>3811221</v>
      </c>
      <c r="P10" s="0" t="n">
        <v>5219637</v>
      </c>
      <c r="Q10" s="0" t="n">
        <v>1173582</v>
      </c>
      <c r="R10" s="0" t="n">
        <v>0</v>
      </c>
      <c r="S10" s="0" t="n">
        <v>3770408</v>
      </c>
      <c r="T10" s="0" t="n">
        <v>480865</v>
      </c>
      <c r="U10" s="0" t="n">
        <v>92483</v>
      </c>
      <c r="AA10" s="0" t="s">
        <v>76</v>
      </c>
      <c r="AB10" s="0" t="s">
        <v>14</v>
      </c>
      <c r="AC10" s="0" t="n">
        <v>1787876</v>
      </c>
      <c r="AD10" s="0" t="n">
        <v>311947</v>
      </c>
      <c r="AE10" s="0" t="n">
        <v>10087</v>
      </c>
      <c r="AF10" s="0" t="n">
        <v>3689375</v>
      </c>
      <c r="AG10" s="0" t="n">
        <v>3.07</v>
      </c>
      <c r="AH10" s="0" t="n">
        <v>0</v>
      </c>
      <c r="AJ10" s="0" t="n">
        <v>1656509</v>
      </c>
      <c r="AK10" s="0" t="n">
        <v>81033</v>
      </c>
      <c r="AM10" s="0" t="n">
        <v>4046055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85</v>
      </c>
      <c r="B1" s="2" t="s">
        <v>86</v>
      </c>
    </row>
    <row r="2" customFormat="false" ht="15" hidden="false" customHeight="false" outlineLevel="0" collapsed="false">
      <c r="A2" s="0" t="s">
        <v>87</v>
      </c>
      <c r="B2" s="3" t="n">
        <v>40.52</v>
      </c>
    </row>
    <row r="3" customFormat="false" ht="15" hidden="false" customHeight="false" outlineLevel="0" collapsed="false">
      <c r="A3" s="0" t="s">
        <v>88</v>
      </c>
      <c r="B3" s="3" t="n">
        <v>497.699</v>
      </c>
    </row>
    <row r="4" customFormat="false" ht="15" hidden="false" customHeight="false" outlineLevel="0" collapsed="false">
      <c r="A4" s="0" t="s">
        <v>89</v>
      </c>
      <c r="B4" s="3" t="n">
        <v>-3897.447</v>
      </c>
    </row>
    <row r="5" customFormat="false" ht="15" hidden="false" customHeight="false" outlineLevel="0" collapsed="false">
      <c r="A5" s="0" t="s">
        <v>90</v>
      </c>
      <c r="B5" s="3" t="n">
        <v>118.23</v>
      </c>
    </row>
    <row r="6" customFormat="false" ht="15" hidden="false" customHeight="false" outlineLevel="0" collapsed="false">
      <c r="A6" s="0" t="s">
        <v>91</v>
      </c>
      <c r="B6" s="3" t="n">
        <v>15</v>
      </c>
    </row>
    <row r="7" customFormat="false" ht="15" hidden="false" customHeight="false" outlineLevel="0" collapsed="false">
      <c r="A7" s="0" t="s">
        <v>92</v>
      </c>
      <c r="B7" s="3" t="n">
        <v>5763.739</v>
      </c>
    </row>
    <row r="8" customFormat="false" ht="15" hidden="false" customHeight="false" outlineLevel="0" collapsed="false">
      <c r="A8" s="0" t="s">
        <v>93</v>
      </c>
      <c r="B8" s="3" t="s">
        <v>84</v>
      </c>
    </row>
    <row r="9" customFormat="false" ht="15" hidden="false" customHeight="false" outlineLevel="0" collapsed="false">
      <c r="A9" s="0" t="s">
        <v>94</v>
      </c>
      <c r="B9" s="3" t="s">
        <v>95</v>
      </c>
    </row>
    <row r="10" customFormat="false" ht="15" hidden="false" customHeight="false" outlineLevel="0" collapsed="false">
      <c r="A10" s="0" t="s">
        <v>96</v>
      </c>
      <c r="B10" s="3" t="n">
        <v>1.1724</v>
      </c>
    </row>
    <row r="12" customFormat="false" ht="15" hidden="false" customHeight="false" outlineLevel="0" collapsed="false">
      <c r="A12" s="2" t="s">
        <v>97</v>
      </c>
      <c r="C12" s="2" t="s">
        <v>98</v>
      </c>
      <c r="D12" s="2" t="s">
        <v>99</v>
      </c>
      <c r="E12" s="2" t="s">
        <v>100</v>
      </c>
      <c r="F12" s="2" t="s">
        <v>101</v>
      </c>
      <c r="G12" s="2" t="s">
        <v>102</v>
      </c>
      <c r="H12" s="2" t="s">
        <v>103</v>
      </c>
      <c r="I12" s="2" t="s">
        <v>104</v>
      </c>
      <c r="J12" s="2" t="s">
        <v>105</v>
      </c>
      <c r="K12" s="2" t="s">
        <v>106</v>
      </c>
      <c r="L12" s="2" t="s">
        <v>107</v>
      </c>
    </row>
    <row r="13" customFormat="false" ht="15" hidden="false" customHeight="false" outlineLevel="0" collapsed="false">
      <c r="A13" s="0" t="s">
        <v>108</v>
      </c>
      <c r="C13" s="3" t="n">
        <v>4</v>
      </c>
      <c r="D13" s="3" t="n">
        <v>2</v>
      </c>
      <c r="E13" s="3" t="n">
        <v>0</v>
      </c>
      <c r="F13" s="3" t="n">
        <v>2</v>
      </c>
      <c r="G13" s="3" t="n">
        <v>3</v>
      </c>
      <c r="H13" s="3" t="n">
        <v>3</v>
      </c>
      <c r="I13" s="3" t="n">
        <v>3</v>
      </c>
      <c r="J13" s="3" t="n">
        <v>3</v>
      </c>
      <c r="K13" s="3" t="n">
        <v>3</v>
      </c>
      <c r="L13" s="3" t="n">
        <v>3</v>
      </c>
    </row>
    <row r="14" customFormat="false" ht="15" hidden="false" customHeight="false" outlineLevel="0" collapsed="false">
      <c r="A14" s="0" t="s">
        <v>109</v>
      </c>
      <c r="C14" s="3" t="n">
        <v>25</v>
      </c>
      <c r="D14" s="3" t="n">
        <v>23</v>
      </c>
      <c r="E14" s="3" t="n">
        <v>22</v>
      </c>
      <c r="F14" s="3" t="n">
        <v>22</v>
      </c>
      <c r="G14" s="3" t="n">
        <v>22</v>
      </c>
      <c r="H14" s="3" t="n">
        <v>22</v>
      </c>
      <c r="I14" s="3" t="n">
        <v>22</v>
      </c>
      <c r="J14" s="3" t="n">
        <v>22</v>
      </c>
      <c r="K14" s="3" t="n">
        <v>22</v>
      </c>
      <c r="L14" s="3" t="n">
        <v>22</v>
      </c>
    </row>
    <row r="15" customFormat="false" ht="15" hidden="false" customHeight="false" outlineLevel="0" collapsed="false">
      <c r="A15" s="0" t="s">
        <v>110</v>
      </c>
      <c r="C15" s="3" t="n">
        <v>1.9</v>
      </c>
      <c r="D15" s="3" t="n">
        <v>1.9</v>
      </c>
      <c r="E15" s="3" t="n">
        <v>1.9</v>
      </c>
      <c r="F15" s="3" t="n">
        <v>1.85</v>
      </c>
      <c r="G15" s="3" t="n">
        <v>1.8</v>
      </c>
      <c r="H15" s="3" t="n">
        <v>1.75</v>
      </c>
      <c r="I15" s="3" t="n">
        <v>1.7</v>
      </c>
      <c r="J15" s="3" t="n">
        <v>1.65</v>
      </c>
      <c r="K15" s="3" t="n">
        <v>1.6</v>
      </c>
      <c r="L15" s="3" t="n">
        <v>1.6</v>
      </c>
    </row>
    <row r="16" customFormat="false" ht="15" hidden="false" customHeight="false" outlineLevel="0" collapsed="false">
      <c r="A16" s="0" t="s">
        <v>111</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112</v>
      </c>
      <c r="C17" s="3" t="n">
        <v>2</v>
      </c>
      <c r="D17" s="3" t="n">
        <v>1.9</v>
      </c>
      <c r="E17" s="3" t="n">
        <v>1.8</v>
      </c>
      <c r="F17" s="3" t="n">
        <v>1.7</v>
      </c>
      <c r="G17" s="3" t="n">
        <v>1.6</v>
      </c>
      <c r="H17" s="3" t="n">
        <v>1.5</v>
      </c>
      <c r="I17" s="3" t="n">
        <v>1.5</v>
      </c>
      <c r="J17" s="3" t="n">
        <v>1.5</v>
      </c>
      <c r="K17" s="3" t="n">
        <v>1.5</v>
      </c>
      <c r="L17" s="3" t="n">
        <v>1.5</v>
      </c>
    </row>
    <row r="18" customFormat="false" ht="15" hidden="false" customHeight="false" outlineLevel="0" collapsed="false">
      <c r="A18" s="0" t="s">
        <v>113</v>
      </c>
      <c r="C18" s="3" t="n">
        <v>1.5</v>
      </c>
      <c r="D18" s="3" t="n">
        <v>1.5</v>
      </c>
      <c r="E18" s="3" t="n">
        <v>1.5</v>
      </c>
      <c r="F18" s="3" t="n">
        <v>1.5</v>
      </c>
      <c r="G18" s="3" t="n">
        <v>1.5</v>
      </c>
      <c r="H18" s="3" t="n">
        <v>1.5</v>
      </c>
      <c r="I18" s="3" t="n">
        <v>1.5</v>
      </c>
      <c r="J18" s="3" t="n">
        <v>1.5</v>
      </c>
      <c r="K18" s="3" t="n">
        <v>1.5</v>
      </c>
      <c r="L18" s="3" t="n">
        <v>1.5</v>
      </c>
    </row>
    <row r="19" customFormat="false" ht="15" hidden="false" customHeight="false" outlineLevel="0" collapsed="false">
      <c r="A19" s="0" t="s">
        <v>114</v>
      </c>
      <c r="C19" s="3" t="n">
        <v>15</v>
      </c>
      <c r="D19" s="3" t="n">
        <v>18</v>
      </c>
      <c r="E19" s="3" t="n">
        <v>21</v>
      </c>
      <c r="F19" s="3" t="n">
        <v>23</v>
      </c>
      <c r="G19" s="3" t="n">
        <v>25</v>
      </c>
      <c r="H19" s="3" t="n">
        <v>25</v>
      </c>
      <c r="I19" s="3" t="n">
        <v>25</v>
      </c>
      <c r="J19" s="3" t="n">
        <v>25</v>
      </c>
      <c r="K19" s="3" t="n">
        <v>25</v>
      </c>
      <c r="L19" s="3" t="n">
        <v>25</v>
      </c>
    </row>
    <row r="20" customFormat="false" ht="15" hidden="false" customHeight="false" outlineLevel="0" collapsed="false">
      <c r="A20" s="0" t="s">
        <v>115</v>
      </c>
      <c r="B20" s="3" t="n">
        <v>10</v>
      </c>
    </row>
    <row r="21" customFormat="false" ht="15" hidden="false" customHeight="false" outlineLevel="0" collapsed="false">
      <c r="A21" s="0" t="s">
        <v>116</v>
      </c>
      <c r="B21" s="3" t="n">
        <v>2</v>
      </c>
    </row>
    <row r="22" customFormat="false" ht="15" hidden="false" customHeight="false" outlineLevel="0" collapsed="false">
      <c r="A22" s="0" t="s">
        <v>117</v>
      </c>
      <c r="B22" s="3" t="n">
        <v>15</v>
      </c>
    </row>
    <row r="23" customFormat="false" ht="15" hidden="false" customHeight="false" outlineLevel="0" collapsed="false">
      <c r="A23" s="0" t="s">
        <v>118</v>
      </c>
      <c r="B23" s="3" t="n">
        <v>0</v>
      </c>
    </row>
    <row r="24" customFormat="false" ht="15" hidden="false" customHeight="false" outlineLevel="0" collapsed="false">
      <c r="A24" s="0" t="s">
        <v>119</v>
      </c>
      <c r="B24" s="3" t="n">
        <v>0.25</v>
      </c>
    </row>
    <row r="26" customFormat="false" ht="15" hidden="false" customHeight="false" outlineLevel="0" collapsed="false">
      <c r="A26" s="2" t="s">
        <v>120</v>
      </c>
      <c r="C26" s="2" t="s">
        <v>98</v>
      </c>
      <c r="D26" s="2" t="s">
        <v>99</v>
      </c>
      <c r="E26" s="2" t="s">
        <v>100</v>
      </c>
      <c r="F26" s="2" t="s">
        <v>101</v>
      </c>
      <c r="G26" s="2" t="s">
        <v>102</v>
      </c>
      <c r="H26" s="2" t="s">
        <v>103</v>
      </c>
      <c r="I26" s="2" t="s">
        <v>104</v>
      </c>
      <c r="J26" s="2" t="s">
        <v>105</v>
      </c>
      <c r="K26" s="2" t="s">
        <v>106</v>
      </c>
      <c r="L26" s="2" t="s">
        <v>107</v>
      </c>
    </row>
    <row r="27" customFormat="false" ht="15" hidden="false" customHeight="false" outlineLevel="0" collapsed="false">
      <c r="A27" s="0" t="s">
        <v>108</v>
      </c>
      <c r="C27" s="3" t="n">
        <v>8</v>
      </c>
      <c r="D27" s="3" t="n">
        <v>10</v>
      </c>
      <c r="E27" s="3" t="n">
        <v>9</v>
      </c>
      <c r="F27" s="3" t="n">
        <v>8</v>
      </c>
      <c r="G27" s="3" t="n">
        <v>7</v>
      </c>
      <c r="H27" s="3" t="n">
        <v>6</v>
      </c>
      <c r="I27" s="3" t="n">
        <v>5</v>
      </c>
      <c r="J27" s="3" t="n">
        <v>4</v>
      </c>
      <c r="K27" s="3" t="n">
        <v>3.5</v>
      </c>
      <c r="L27" s="3" t="n">
        <v>3</v>
      </c>
    </row>
    <row r="28" customFormat="false" ht="15" hidden="false" customHeight="false" outlineLevel="0" collapsed="false">
      <c r="A28" s="0" t="s">
        <v>109</v>
      </c>
      <c r="C28" s="3" t="n">
        <v>27.5</v>
      </c>
      <c r="D28" s="3" t="n">
        <v>28</v>
      </c>
      <c r="E28" s="3" t="n">
        <v>28.5</v>
      </c>
      <c r="F28" s="3" t="n">
        <v>29</v>
      </c>
      <c r="G28" s="3" t="n">
        <v>29</v>
      </c>
      <c r="H28" s="3" t="n">
        <v>29</v>
      </c>
      <c r="I28" s="3" t="n">
        <v>29</v>
      </c>
      <c r="J28" s="3" t="n">
        <v>29</v>
      </c>
      <c r="K28" s="3" t="n">
        <v>29</v>
      </c>
      <c r="L28" s="3" t="n">
        <v>29</v>
      </c>
    </row>
    <row r="29" customFormat="false" ht="15" hidden="false" customHeight="false" outlineLevel="0" collapsed="false">
      <c r="A29" s="0" t="s">
        <v>110</v>
      </c>
      <c r="C29" s="3" t="n">
        <v>1.8</v>
      </c>
      <c r="D29" s="3" t="n">
        <v>1.75</v>
      </c>
      <c r="E29" s="3" t="n">
        <v>1.7</v>
      </c>
      <c r="F29" s="3" t="n">
        <v>1.65</v>
      </c>
      <c r="G29" s="3" t="n">
        <v>1.6</v>
      </c>
      <c r="H29" s="3" t="n">
        <v>1.55</v>
      </c>
      <c r="I29" s="3" t="n">
        <v>1.5</v>
      </c>
      <c r="J29" s="3" t="n">
        <v>1.45</v>
      </c>
      <c r="K29" s="3" t="n">
        <v>1.4</v>
      </c>
      <c r="L29" s="3" t="n">
        <v>1.4</v>
      </c>
    </row>
    <row r="30" customFormat="false" ht="15" hidden="false" customHeight="false" outlineLevel="0" collapsed="false">
      <c r="A30" s="0" t="s">
        <v>111</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112</v>
      </c>
      <c r="C31" s="3" t="n">
        <v>2</v>
      </c>
      <c r="D31" s="3" t="n">
        <v>1.9</v>
      </c>
      <c r="E31" s="3" t="n">
        <v>1.8</v>
      </c>
      <c r="F31" s="3" t="n">
        <v>1.7</v>
      </c>
      <c r="G31" s="3" t="n">
        <v>1.6</v>
      </c>
      <c r="H31" s="3" t="n">
        <v>1.5</v>
      </c>
      <c r="I31" s="3" t="n">
        <v>1.5</v>
      </c>
      <c r="J31" s="3" t="n">
        <v>1.5</v>
      </c>
      <c r="K31" s="3" t="n">
        <v>1.5</v>
      </c>
      <c r="L31" s="3" t="n">
        <v>1.5</v>
      </c>
    </row>
    <row r="32" customFormat="false" ht="15" hidden="false" customHeight="false" outlineLevel="0" collapsed="false">
      <c r="A32" s="0" t="s">
        <v>113</v>
      </c>
      <c r="C32" s="3" t="n">
        <v>1.5</v>
      </c>
      <c r="D32" s="3" t="n">
        <v>1.5</v>
      </c>
      <c r="E32" s="3" t="n">
        <v>1.5</v>
      </c>
      <c r="F32" s="3" t="n">
        <v>1.5</v>
      </c>
      <c r="G32" s="3" t="n">
        <v>1.5</v>
      </c>
      <c r="H32" s="3" t="n">
        <v>1.5</v>
      </c>
      <c r="I32" s="3" t="n">
        <v>1.5</v>
      </c>
      <c r="J32" s="3" t="n">
        <v>1.5</v>
      </c>
      <c r="K32" s="3" t="n">
        <v>1.5</v>
      </c>
      <c r="L32" s="3" t="n">
        <v>1.5</v>
      </c>
    </row>
    <row r="33" customFormat="false" ht="15" hidden="false" customHeight="false" outlineLevel="0" collapsed="false">
      <c r="A33" s="0" t="s">
        <v>114</v>
      </c>
      <c r="C33" s="3" t="n">
        <v>13</v>
      </c>
      <c r="D33" s="3" t="n">
        <v>15</v>
      </c>
      <c r="E33" s="3" t="n">
        <v>17</v>
      </c>
      <c r="F33" s="3" t="n">
        <v>19</v>
      </c>
      <c r="G33" s="3" t="n">
        <v>21</v>
      </c>
      <c r="H33" s="3" t="n">
        <v>21</v>
      </c>
      <c r="I33" s="3" t="n">
        <v>21</v>
      </c>
      <c r="J33" s="3" t="n">
        <v>21</v>
      </c>
      <c r="K33" s="3" t="n">
        <v>21</v>
      </c>
      <c r="L33" s="3" t="n">
        <v>21</v>
      </c>
    </row>
    <row r="34" customFormat="false" ht="15" hidden="false" customHeight="false" outlineLevel="0" collapsed="false">
      <c r="A34" s="0" t="s">
        <v>115</v>
      </c>
      <c r="B34" s="3" t="n">
        <v>10</v>
      </c>
    </row>
    <row r="35" customFormat="false" ht="15" hidden="false" customHeight="false" outlineLevel="0" collapsed="false">
      <c r="A35" s="0" t="s">
        <v>116</v>
      </c>
      <c r="B35" s="3" t="n">
        <v>2.5</v>
      </c>
    </row>
    <row r="36" customFormat="false" ht="15" hidden="false" customHeight="false" outlineLevel="0" collapsed="false">
      <c r="A36" s="0" t="s">
        <v>117</v>
      </c>
      <c r="B36" s="3" t="n">
        <v>15</v>
      </c>
    </row>
    <row r="37" customFormat="false" ht="15" hidden="false" customHeight="false" outlineLevel="0" collapsed="false">
      <c r="A37" s="0" t="s">
        <v>118</v>
      </c>
      <c r="B37" s="3" t="n">
        <v>0</v>
      </c>
    </row>
    <row r="38" customFormat="false" ht="15" hidden="false" customHeight="false" outlineLevel="0" collapsed="false">
      <c r="A38" s="0" t="s">
        <v>119</v>
      </c>
      <c r="B38" s="3" t="n">
        <v>0.5</v>
      </c>
    </row>
    <row r="40" customFormat="false" ht="15" hidden="false" customHeight="false" outlineLevel="0" collapsed="false">
      <c r="A40" s="2" t="s">
        <v>121</v>
      </c>
      <c r="C40" s="2" t="s">
        <v>98</v>
      </c>
      <c r="D40" s="2" t="s">
        <v>99</v>
      </c>
      <c r="E40" s="2" t="s">
        <v>100</v>
      </c>
      <c r="F40" s="2" t="s">
        <v>101</v>
      </c>
      <c r="G40" s="2" t="s">
        <v>102</v>
      </c>
      <c r="H40" s="2" t="s">
        <v>103</v>
      </c>
      <c r="I40" s="2" t="s">
        <v>104</v>
      </c>
      <c r="J40" s="2" t="s">
        <v>105</v>
      </c>
      <c r="K40" s="2" t="s">
        <v>106</v>
      </c>
      <c r="L40" s="2" t="s">
        <v>107</v>
      </c>
    </row>
    <row r="41" customFormat="false" ht="15" hidden="false" customHeight="false" outlineLevel="0" collapsed="false">
      <c r="A41" s="0" t="s">
        <v>108</v>
      </c>
      <c r="C41" s="3" t="n">
        <v>12</v>
      </c>
      <c r="D41" s="3" t="n">
        <v>15</v>
      </c>
      <c r="E41" s="3" t="n">
        <v>13</v>
      </c>
      <c r="F41" s="3" t="n">
        <v>11</v>
      </c>
      <c r="G41" s="3" t="n">
        <v>9</v>
      </c>
      <c r="H41" s="3" t="n">
        <v>8</v>
      </c>
      <c r="I41" s="3" t="n">
        <v>6</v>
      </c>
      <c r="J41" s="3" t="n">
        <v>5</v>
      </c>
      <c r="K41" s="3" t="n">
        <v>4</v>
      </c>
      <c r="L41" s="3" t="n">
        <v>3</v>
      </c>
    </row>
    <row r="42" customFormat="false" ht="15" hidden="false" customHeight="false" outlineLevel="0" collapsed="false">
      <c r="A42" s="0" t="s">
        <v>109</v>
      </c>
      <c r="C42" s="3" t="n">
        <v>29</v>
      </c>
      <c r="D42" s="3" t="n">
        <v>30</v>
      </c>
      <c r="E42" s="3" t="n">
        <v>31</v>
      </c>
      <c r="F42" s="3" t="n">
        <v>32</v>
      </c>
      <c r="G42" s="3" t="n">
        <v>33</v>
      </c>
      <c r="H42" s="3" t="n">
        <v>33</v>
      </c>
      <c r="I42" s="3" t="n">
        <v>33</v>
      </c>
      <c r="J42" s="3" t="n">
        <v>33</v>
      </c>
      <c r="K42" s="3" t="n">
        <v>33</v>
      </c>
      <c r="L42" s="3" t="n">
        <v>33</v>
      </c>
    </row>
    <row r="43" customFormat="false" ht="15" hidden="false" customHeight="false" outlineLevel="0" collapsed="false">
      <c r="A43" s="0" t="s">
        <v>110</v>
      </c>
      <c r="C43" s="3" t="n">
        <v>1.8</v>
      </c>
      <c r="D43" s="3" t="n">
        <v>1.75</v>
      </c>
      <c r="E43" s="3" t="n">
        <v>1.7</v>
      </c>
      <c r="F43" s="3" t="n">
        <v>1.65</v>
      </c>
      <c r="G43" s="3" t="n">
        <v>1.6</v>
      </c>
      <c r="H43" s="3" t="n">
        <v>1.55</v>
      </c>
      <c r="I43" s="3" t="n">
        <v>1.5</v>
      </c>
      <c r="J43" s="3" t="n">
        <v>1.45</v>
      </c>
      <c r="K43" s="3" t="n">
        <v>1.4</v>
      </c>
      <c r="L43" s="3" t="n">
        <v>1.4</v>
      </c>
    </row>
    <row r="44" customFormat="false" ht="15" hidden="false" customHeight="false" outlineLevel="0" collapsed="false">
      <c r="A44" s="0" t="s">
        <v>111</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112</v>
      </c>
      <c r="C45" s="3" t="n">
        <v>2</v>
      </c>
      <c r="D45" s="3" t="n">
        <v>1.9</v>
      </c>
      <c r="E45" s="3" t="n">
        <v>1.8</v>
      </c>
      <c r="F45" s="3" t="n">
        <v>1.7</v>
      </c>
      <c r="G45" s="3" t="n">
        <v>1.6</v>
      </c>
      <c r="H45" s="3" t="n">
        <v>1.5</v>
      </c>
      <c r="I45" s="3" t="n">
        <v>1.5</v>
      </c>
      <c r="J45" s="3" t="n">
        <v>1.5</v>
      </c>
      <c r="K45" s="3" t="n">
        <v>1.5</v>
      </c>
      <c r="L45" s="3" t="n">
        <v>1.5</v>
      </c>
    </row>
    <row r="46" customFormat="false" ht="15" hidden="false" customHeight="false" outlineLevel="0" collapsed="false">
      <c r="A46" s="0" t="s">
        <v>113</v>
      </c>
      <c r="C46" s="3" t="n">
        <v>1.5</v>
      </c>
      <c r="D46" s="3" t="n">
        <v>1.5</v>
      </c>
      <c r="E46" s="3" t="n">
        <v>1.5</v>
      </c>
      <c r="F46" s="3" t="n">
        <v>1.5</v>
      </c>
      <c r="G46" s="3" t="n">
        <v>1.5</v>
      </c>
      <c r="H46" s="3" t="n">
        <v>1.5</v>
      </c>
      <c r="I46" s="3" t="n">
        <v>1.5</v>
      </c>
      <c r="J46" s="3" t="n">
        <v>1.5</v>
      </c>
      <c r="K46" s="3" t="n">
        <v>1.5</v>
      </c>
      <c r="L46" s="3" t="n">
        <v>1.5</v>
      </c>
    </row>
    <row r="47" customFormat="false" ht="15" hidden="false" customHeight="false" outlineLevel="0" collapsed="false">
      <c r="A47" s="0" t="s">
        <v>114</v>
      </c>
      <c r="C47" s="3" t="n">
        <v>12</v>
      </c>
      <c r="D47" s="3" t="n">
        <v>13</v>
      </c>
      <c r="E47" s="3" t="n">
        <v>15</v>
      </c>
      <c r="F47" s="3" t="n">
        <v>17</v>
      </c>
      <c r="G47" s="3" t="n">
        <v>19</v>
      </c>
      <c r="H47" s="3" t="n">
        <v>19</v>
      </c>
      <c r="I47" s="3" t="n">
        <v>19</v>
      </c>
      <c r="J47" s="3" t="n">
        <v>19</v>
      </c>
      <c r="K47" s="3" t="n">
        <v>19</v>
      </c>
      <c r="L47" s="3" t="n">
        <v>19</v>
      </c>
    </row>
    <row r="48" customFormat="false" ht="15" hidden="false" customHeight="false" outlineLevel="0" collapsed="false">
      <c r="A48" s="0" t="s">
        <v>115</v>
      </c>
      <c r="B48" s="3" t="n">
        <v>10</v>
      </c>
    </row>
    <row r="49" customFormat="false" ht="15" hidden="false" customHeight="false" outlineLevel="0" collapsed="false">
      <c r="A49" s="0" t="s">
        <v>116</v>
      </c>
      <c r="B49" s="3" t="n">
        <v>3</v>
      </c>
    </row>
    <row r="50" customFormat="false" ht="15" hidden="false" customHeight="false" outlineLevel="0" collapsed="false">
      <c r="A50" s="0" t="s">
        <v>117</v>
      </c>
      <c r="B50" s="3" t="n">
        <v>15</v>
      </c>
    </row>
    <row r="51" customFormat="false" ht="15" hidden="false" customHeight="false" outlineLevel="0" collapsed="false">
      <c r="A51" s="0" t="s">
        <v>118</v>
      </c>
      <c r="B51" s="3" t="n">
        <v>0</v>
      </c>
    </row>
    <row r="52" customFormat="false" ht="15" hidden="false" customHeight="false" outlineLevel="0" collapsed="false">
      <c r="A52" s="0" t="s">
        <v>119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122</v>
      </c>
    </row>
    <row r="3" customFormat="false" ht="15" hidden="false" customHeight="false" outlineLevel="0" collapsed="false">
      <c r="A3" s="0" t="s">
        <v>123</v>
      </c>
      <c r="B3" s="0" t="s">
        <v>84</v>
      </c>
      <c r="C3" s="2" t="s">
        <v>98</v>
      </c>
      <c r="D3" s="2" t="s">
        <v>99</v>
      </c>
      <c r="E3" s="2" t="s">
        <v>100</v>
      </c>
      <c r="F3" s="2" t="s">
        <v>101</v>
      </c>
      <c r="G3" s="2" t="s">
        <v>102</v>
      </c>
      <c r="H3" s="2" t="s">
        <v>103</v>
      </c>
      <c r="I3" s="2" t="s">
        <v>104</v>
      </c>
      <c r="J3" s="2" t="s">
        <v>105</v>
      </c>
      <c r="K3" s="2" t="s">
        <v>106</v>
      </c>
      <c r="L3" s="2" t="s">
        <v>107</v>
      </c>
    </row>
    <row r="4" customFormat="false" ht="15" hidden="false" customHeight="false" outlineLevel="0" collapsed="false">
      <c r="A4" s="0" t="s">
        <v>124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108</v>
      </c>
      <c r="C5" s="4" t="n">
        <f aca="false">Assumptions!C13</f>
        <v>4</v>
      </c>
      <c r="D5" s="4" t="n">
        <f aca="false">Assumptions!D13</f>
        <v>2</v>
      </c>
      <c r="E5" s="4" t="n">
        <f aca="false">Assumptions!E13</f>
        <v>0</v>
      </c>
      <c r="F5" s="4" t="n">
        <f aca="false">Assumptions!F13</f>
        <v>2</v>
      </c>
      <c r="G5" s="4" t="n">
        <f aca="false">Assumptions!G13</f>
        <v>3</v>
      </c>
      <c r="H5" s="4" t="n">
        <f aca="false">Assumptions!H13</f>
        <v>3</v>
      </c>
      <c r="I5" s="4" t="n">
        <f aca="false">Assumptions!I13</f>
        <v>3</v>
      </c>
      <c r="J5" s="4" t="n">
        <f aca="false">Assumptions!J13</f>
        <v>3</v>
      </c>
      <c r="K5" s="4" t="n">
        <f aca="false">Assumptions!K13</f>
        <v>3</v>
      </c>
      <c r="L5" s="4" t="n">
        <f aca="false">Assumptions!L13</f>
        <v>3</v>
      </c>
    </row>
    <row r="6" customFormat="false" ht="15" hidden="false" customHeight="false" outlineLevel="0" collapsed="false">
      <c r="A6" s="0" t="s">
        <v>38</v>
      </c>
      <c r="B6" s="3" t="n">
        <v>5763.739</v>
      </c>
      <c r="C6" s="0" t="n">
        <f aca="false">B6*(1+C5/100)</f>
        <v>5994.28856</v>
      </c>
      <c r="D6" s="0" t="n">
        <f aca="false">C6*(1+D5/100)</f>
        <v>6114.1743312</v>
      </c>
      <c r="E6" s="0" t="n">
        <f aca="false">D6*(1+E5/100)</f>
        <v>6114.1743312</v>
      </c>
      <c r="F6" s="0" t="n">
        <f aca="false">E6*(1+F5/100)</f>
        <v>6236.457817824</v>
      </c>
      <c r="G6" s="0" t="n">
        <f aca="false">F6*(1+G5/100)</f>
        <v>6423.55155235872</v>
      </c>
      <c r="H6" s="0" t="n">
        <f aca="false">G6*(1+H5/100)</f>
        <v>6616.25809892948</v>
      </c>
      <c r="I6" s="0" t="n">
        <f aca="false">H6*(1+I5/100)</f>
        <v>6814.74584189737</v>
      </c>
      <c r="J6" s="0" t="n">
        <f aca="false">I6*(1+J5/100)</f>
        <v>7019.18821715429</v>
      </c>
      <c r="K6" s="0" t="n">
        <f aca="false">J6*(1+K5/100)</f>
        <v>7229.76386366892</v>
      </c>
      <c r="L6" s="0" t="n">
        <f aca="false">K6*(1+L5/100)</f>
        <v>7446.65677957898</v>
      </c>
    </row>
    <row r="7" customFormat="false" ht="15" hidden="false" customHeight="false" outlineLevel="0" collapsed="false">
      <c r="A7" s="0" t="s">
        <v>109</v>
      </c>
      <c r="C7" s="4" t="n">
        <f aca="false">Assumptions!C14</f>
        <v>25</v>
      </c>
      <c r="D7" s="4" t="n">
        <f aca="false">Assumptions!D14</f>
        <v>23</v>
      </c>
      <c r="E7" s="4" t="n">
        <f aca="false">Assumptions!E14</f>
        <v>22</v>
      </c>
      <c r="F7" s="4" t="n">
        <f aca="false">Assumptions!F14</f>
        <v>22</v>
      </c>
      <c r="G7" s="4" t="n">
        <f aca="false">Assumptions!G14</f>
        <v>22</v>
      </c>
      <c r="H7" s="4" t="n">
        <f aca="false">Assumptions!H14</f>
        <v>22</v>
      </c>
      <c r="I7" s="4" t="n">
        <f aca="false">Assumptions!I14</f>
        <v>22</v>
      </c>
      <c r="J7" s="4" t="n">
        <f aca="false">Assumptions!J14</f>
        <v>22</v>
      </c>
      <c r="K7" s="4" t="n">
        <f aca="false">Assumptions!K14</f>
        <v>22</v>
      </c>
      <c r="L7" s="4" t="n">
        <f aca="false">Assumptions!L14</f>
        <v>22</v>
      </c>
    </row>
    <row r="8" customFormat="false" ht="15" hidden="false" customHeight="false" outlineLevel="0" collapsed="false">
      <c r="A8" s="0" t="s">
        <v>44</v>
      </c>
      <c r="C8" s="0" t="n">
        <f aca="false">C6*C7/100</f>
        <v>1498.57214</v>
      </c>
      <c r="D8" s="0" t="n">
        <f aca="false">D6*D7/100</f>
        <v>1406.260096176</v>
      </c>
      <c r="E8" s="0" t="n">
        <f aca="false">E6*E7/100</f>
        <v>1345.118352864</v>
      </c>
      <c r="F8" s="0" t="n">
        <f aca="false">F6*F7/100</f>
        <v>1372.02071992128</v>
      </c>
      <c r="G8" s="0" t="n">
        <f aca="false">G6*G7/100</f>
        <v>1413.18134151892</v>
      </c>
      <c r="H8" s="0" t="n">
        <f aca="false">H6*H7/100</f>
        <v>1455.57678176449</v>
      </c>
      <c r="I8" s="0" t="n">
        <f aca="false">I6*I7/100</f>
        <v>1499.24408521742</v>
      </c>
      <c r="J8" s="0" t="n">
        <f aca="false">J6*J7/100</f>
        <v>1544.22140777394</v>
      </c>
      <c r="K8" s="0" t="n">
        <f aca="false">K6*K7/100</f>
        <v>1590.54805000716</v>
      </c>
      <c r="L8" s="0" t="n">
        <f aca="false">L6*L7/100</f>
        <v>1638.26449150738</v>
      </c>
    </row>
    <row r="9" customFormat="false" ht="15" hidden="false" customHeight="false" outlineLevel="0" collapsed="false">
      <c r="A9" s="0" t="s">
        <v>110</v>
      </c>
      <c r="C9" s="4" t="n">
        <f aca="false">Assumptions!C15</f>
        <v>1.9</v>
      </c>
      <c r="D9" s="4" t="n">
        <f aca="false">Assumptions!D15</f>
        <v>1.9</v>
      </c>
      <c r="E9" s="4" t="n">
        <f aca="false">Assumptions!E15</f>
        <v>1.9</v>
      </c>
      <c r="F9" s="4" t="n">
        <f aca="false">Assumptions!F15</f>
        <v>1.85</v>
      </c>
      <c r="G9" s="4" t="n">
        <f aca="false">Assumptions!G15</f>
        <v>1.8</v>
      </c>
      <c r="H9" s="4" t="n">
        <f aca="false">Assumptions!H15</f>
        <v>1.75</v>
      </c>
      <c r="I9" s="4" t="n">
        <f aca="false">Assumptions!I15</f>
        <v>1.7</v>
      </c>
      <c r="J9" s="4" t="n">
        <f aca="false">Assumptions!J15</f>
        <v>1.65</v>
      </c>
      <c r="K9" s="4" t="n">
        <f aca="false">Assumptions!K15</f>
        <v>1.6</v>
      </c>
      <c r="L9" s="4" t="n">
        <f aca="false">Assumptions!L15</f>
        <v>1.6</v>
      </c>
    </row>
    <row r="10" customFormat="false" ht="15" hidden="false" customHeight="false" outlineLevel="0" collapsed="false">
      <c r="A10" s="0" t="s">
        <v>125</v>
      </c>
      <c r="C10" s="0" t="n">
        <f aca="false">-C6*C9/100</f>
        <v>-113.89148264</v>
      </c>
      <c r="D10" s="0" t="n">
        <f aca="false">-D6*D9/100</f>
        <v>-116.1693122928</v>
      </c>
      <c r="E10" s="0" t="n">
        <f aca="false">-E6*E9/100</f>
        <v>-116.1693122928</v>
      </c>
      <c r="F10" s="0" t="n">
        <f aca="false">-F6*F9/100</f>
        <v>-115.374469629744</v>
      </c>
      <c r="G10" s="0" t="n">
        <f aca="false">-G6*G9/100</f>
        <v>-115.623927942457</v>
      </c>
      <c r="H10" s="0" t="n">
        <f aca="false">-H6*H9/100</f>
        <v>-115.784516731266</v>
      </c>
      <c r="I10" s="0" t="n">
        <f aca="false">-I6*I9/100</f>
        <v>-115.850679312255</v>
      </c>
      <c r="J10" s="0" t="n">
        <f aca="false">-J6*J9/100</f>
        <v>-115.816605583046</v>
      </c>
      <c r="K10" s="0" t="n">
        <f aca="false">-K6*K9/100</f>
        <v>-115.676221818703</v>
      </c>
      <c r="L10" s="0" t="n">
        <f aca="false">-L6*L9/100</f>
        <v>-119.146508473264</v>
      </c>
    </row>
    <row r="11" customFormat="false" ht="15" hidden="false" customHeight="false" outlineLevel="0" collapsed="false">
      <c r="A11" s="0" t="s">
        <v>126</v>
      </c>
      <c r="C11" s="0" t="n">
        <f aca="false">C8+C10+C24</f>
        <v>1384.68065736</v>
      </c>
      <c r="D11" s="0" t="n">
        <f aca="false">D8+D10+D24</f>
        <v>1290.0907838832</v>
      </c>
      <c r="E11" s="0" t="n">
        <f aca="false">E8+E10+E24</f>
        <v>1228.9490405712</v>
      </c>
      <c r="F11" s="0" t="n">
        <f aca="false">F8+F10+F24</f>
        <v>1256.64625029154</v>
      </c>
      <c r="G11" s="0" t="n">
        <f aca="false">G8+G10+G24</f>
        <v>1297.55741357646</v>
      </c>
      <c r="H11" s="0" t="n">
        <f aca="false">H8+H10+H24</f>
        <v>1339.79226503322</v>
      </c>
      <c r="I11" s="0" t="n">
        <f aca="false">I8+I10+I24</f>
        <v>1383.39340590517</v>
      </c>
      <c r="J11" s="0" t="n">
        <f aca="false">J8+J10+J24</f>
        <v>1428.4048021909</v>
      </c>
      <c r="K11" s="0" t="n">
        <f aca="false">K8+K10+K24</f>
        <v>1474.87182818846</v>
      </c>
      <c r="L11" s="0" t="n">
        <f aca="false">L8+L10+L24</f>
        <v>1519.11798303411</v>
      </c>
    </row>
    <row r="12" customFormat="false" ht="15" hidden="false" customHeight="false" outlineLevel="0" collapsed="false">
      <c r="A12" s="0" t="s">
        <v>127</v>
      </c>
      <c r="C12" s="4" t="n">
        <f aca="false">-C6*Assumptions!C17/100</f>
        <v>-119.8857712</v>
      </c>
      <c r="D12" s="4" t="n">
        <f aca="false">-D6*Assumptions!D17/100</f>
        <v>-116.1693122928</v>
      </c>
      <c r="E12" s="4" t="n">
        <f aca="false">-E6*Assumptions!E17/100</f>
        <v>-110.0551379616</v>
      </c>
      <c r="F12" s="4" t="n">
        <f aca="false">-F6*Assumptions!F17/100</f>
        <v>-106.019782903008</v>
      </c>
      <c r="G12" s="4" t="n">
        <f aca="false">-G6*Assumptions!G17/100</f>
        <v>-102.77682483774</v>
      </c>
      <c r="H12" s="4" t="n">
        <f aca="false">-H6*Assumptions!H17/100</f>
        <v>-99.2438714839422</v>
      </c>
      <c r="I12" s="4" t="n">
        <f aca="false">-I6*Assumptions!I17/100</f>
        <v>-102.221187628461</v>
      </c>
      <c r="J12" s="4" t="n">
        <f aca="false">-J6*Assumptions!J17/100</f>
        <v>-105.287823257314</v>
      </c>
      <c r="K12" s="4" t="n">
        <f aca="false">-K6*Assumptions!K17/100</f>
        <v>-108.446457955034</v>
      </c>
      <c r="L12" s="4" t="n">
        <f aca="false">-L6*Assumptions!L17/100</f>
        <v>-111.699851693685</v>
      </c>
    </row>
    <row r="13" customFormat="false" ht="15" hidden="false" customHeight="false" outlineLevel="0" collapsed="false">
      <c r="A13" s="0" t="s">
        <v>128</v>
      </c>
      <c r="C13" s="0" t="n">
        <f aca="false">C11+C12</f>
        <v>1264.79488616</v>
      </c>
      <c r="D13" s="0" t="n">
        <f aca="false">D11+D12</f>
        <v>1173.9214715904</v>
      </c>
      <c r="E13" s="0" t="n">
        <f aca="false">E11+E12</f>
        <v>1118.8939026096</v>
      </c>
      <c r="F13" s="0" t="n">
        <f aca="false">F11+F12</f>
        <v>1150.62646738853</v>
      </c>
      <c r="G13" s="0" t="n">
        <f aca="false">G11+G12</f>
        <v>1194.78058873872</v>
      </c>
      <c r="H13" s="0" t="n">
        <f aca="false">H11+H12</f>
        <v>1240.54839354928</v>
      </c>
      <c r="I13" s="0" t="n">
        <f aca="false">I11+I12</f>
        <v>1281.1722182767</v>
      </c>
      <c r="J13" s="0" t="n">
        <f aca="false">J11+J12</f>
        <v>1323.11697893358</v>
      </c>
      <c r="K13" s="0" t="n">
        <f aca="false">K11+K12</f>
        <v>1366.42537023343</v>
      </c>
      <c r="L13" s="0" t="n">
        <f aca="false">L11+L12</f>
        <v>1407.41813134043</v>
      </c>
    </row>
    <row r="14" customFormat="false" ht="15" hidden="false" customHeight="false" outlineLevel="0" collapsed="false">
      <c r="A14" s="0" t="s">
        <v>114</v>
      </c>
      <c r="C14" s="4" t="n">
        <f aca="false">Assumptions!C19</f>
        <v>15</v>
      </c>
      <c r="D14" s="4" t="n">
        <f aca="false">Assumptions!D19</f>
        <v>18</v>
      </c>
      <c r="E14" s="4" t="n">
        <f aca="false">Assumptions!E19</f>
        <v>21</v>
      </c>
      <c r="F14" s="4" t="n">
        <f aca="false">Assumptions!F19</f>
        <v>23</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129</v>
      </c>
      <c r="C15" s="0" t="n">
        <f aca="false">C13-MAX(0,C13)*C14/100</f>
        <v>1075.075653236</v>
      </c>
      <c r="D15" s="0" t="n">
        <f aca="false">D13-MAX(0,D13)*D14/100</f>
        <v>962.615606704128</v>
      </c>
      <c r="E15" s="0" t="n">
        <f aca="false">E13-MAX(0,E13)*E14/100</f>
        <v>883.926183061584</v>
      </c>
      <c r="F15" s="0" t="n">
        <f aca="false">F13-MAX(0,F13)*F14/100</f>
        <v>885.982379889167</v>
      </c>
      <c r="G15" s="0" t="n">
        <f aca="false">G13-MAX(0,G13)*G14/100</f>
        <v>896.085441554041</v>
      </c>
      <c r="H15" s="0" t="n">
        <f aca="false">H13-MAX(0,H13)*H14/100</f>
        <v>930.411295161958</v>
      </c>
      <c r="I15" s="0" t="n">
        <f aca="false">I13-MAX(0,I13)*I14/100</f>
        <v>960.879163707529</v>
      </c>
      <c r="J15" s="0" t="n">
        <f aca="false">J13-MAX(0,J13)*J14/100</f>
        <v>992.337734200188</v>
      </c>
      <c r="K15" s="0" t="n">
        <f aca="false">K13-MAX(0,K13)*K14/100</f>
        <v>1024.81902767507</v>
      </c>
      <c r="L15" s="0" t="n">
        <f aca="false">L13-MAX(0,L13)*L14/100</f>
        <v>1055.56359850532</v>
      </c>
    </row>
    <row r="16" customFormat="false" ht="15" hidden="false" customHeight="false" outlineLevel="0" collapsed="false">
      <c r="A16" s="0" t="s">
        <v>130</v>
      </c>
      <c r="C16" s="0" t="n">
        <f aca="false">-C12</f>
        <v>119.8857712</v>
      </c>
      <c r="D16" s="0" t="n">
        <f aca="false">-D12</f>
        <v>116.1693122928</v>
      </c>
      <c r="E16" s="0" t="n">
        <f aca="false">-E12</f>
        <v>110.0551379616</v>
      </c>
      <c r="F16" s="0" t="n">
        <f aca="false">-F12</f>
        <v>106.019782903008</v>
      </c>
      <c r="G16" s="0" t="n">
        <f aca="false">-G12</f>
        <v>102.77682483774</v>
      </c>
      <c r="H16" s="0" t="n">
        <f aca="false">-H12</f>
        <v>99.2438714839422</v>
      </c>
      <c r="I16" s="0" t="n">
        <f aca="false">-I12</f>
        <v>102.221187628461</v>
      </c>
      <c r="J16" s="0" t="n">
        <f aca="false">-J12</f>
        <v>105.287823257314</v>
      </c>
      <c r="K16" s="0" t="n">
        <f aca="false">-K12</f>
        <v>108.446457955034</v>
      </c>
      <c r="L16" s="0" t="n">
        <f aca="false">-L12</f>
        <v>111.699851693685</v>
      </c>
    </row>
    <row r="17" customFormat="false" ht="15" hidden="false" customHeight="false" outlineLevel="0" collapsed="false">
      <c r="A17" s="0" t="s">
        <v>131</v>
      </c>
      <c r="C17" s="4" t="n">
        <f aca="false">-C6*Assumptions!C18/100</f>
        <v>-89.9143284</v>
      </c>
      <c r="D17" s="4" t="n">
        <f aca="false">-D6*Assumptions!D18/100</f>
        <v>-91.712614968</v>
      </c>
      <c r="E17" s="4" t="n">
        <f aca="false">-E6*Assumptions!E18/100</f>
        <v>-91.712614968</v>
      </c>
      <c r="F17" s="4" t="n">
        <f aca="false">-F6*Assumptions!F18/100</f>
        <v>-93.54686726736</v>
      </c>
      <c r="G17" s="4" t="n">
        <f aca="false">-G6*Assumptions!G18/100</f>
        <v>-96.3532732853808</v>
      </c>
      <c r="H17" s="4" t="n">
        <f aca="false">-H6*Assumptions!H18/100</f>
        <v>-99.2438714839422</v>
      </c>
      <c r="I17" s="4" t="n">
        <f aca="false">-I6*Assumptions!I18/100</f>
        <v>-102.221187628461</v>
      </c>
      <c r="J17" s="4" t="n">
        <f aca="false">-J6*Assumptions!J18/100</f>
        <v>-105.287823257314</v>
      </c>
      <c r="K17" s="4" t="n">
        <f aca="false">-K6*Assumptions!K18/100</f>
        <v>-108.446457955034</v>
      </c>
      <c r="L17" s="4" t="n">
        <f aca="false">-L6*Assumptions!L18/100</f>
        <v>-111.699851693685</v>
      </c>
    </row>
    <row r="18" customFormat="false" ht="15" hidden="false" customHeight="false" outlineLevel="0" collapsed="false">
      <c r="A18" s="0" t="s">
        <v>132</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133</v>
      </c>
      <c r="C19" s="0" t="n">
        <f aca="false">C15+C16+C17+C18</f>
        <v>1105.047096036</v>
      </c>
      <c r="D19" s="0" t="n">
        <f aca="false">D15+D16+D17+D18</f>
        <v>987.072304028928</v>
      </c>
      <c r="E19" s="0" t="n">
        <f aca="false">E15+E16+E17+E18</f>
        <v>902.268706055184</v>
      </c>
      <c r="F19" s="0" t="n">
        <f aca="false">F15+F16+F17+F18</f>
        <v>898.455295524815</v>
      </c>
      <c r="G19" s="0" t="n">
        <f aca="false">G15+G16+G17+G18</f>
        <v>902.5089931064</v>
      </c>
      <c r="H19" s="0" t="n">
        <f aca="false">H15+H16+H17+H18</f>
        <v>930.411295161958</v>
      </c>
      <c r="I19" s="0" t="n">
        <f aca="false">I15+I16+I17+I18</f>
        <v>960.879163707529</v>
      </c>
      <c r="J19" s="0" t="n">
        <f aca="false">J15+J16+J17+J18</f>
        <v>992.337734200188</v>
      </c>
      <c r="K19" s="0" t="n">
        <f aca="false">K15+K16+K17+K18</f>
        <v>1024.81902767507</v>
      </c>
      <c r="L19" s="0" t="n">
        <f aca="false">L15+L16+L17+L18</f>
        <v>1055.56359850532</v>
      </c>
    </row>
    <row r="20" customFormat="false" ht="15" hidden="false" customHeight="false" outlineLevel="0" collapsed="false">
      <c r="A20" s="0" t="s">
        <v>134</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135</v>
      </c>
      <c r="C21" s="0" t="n">
        <f aca="false">C19*C20</f>
        <v>1004.58826912364</v>
      </c>
      <c r="D21" s="0" t="n">
        <f aca="false">D19*D20</f>
        <v>815.762234734651</v>
      </c>
      <c r="E21" s="0" t="n">
        <f aca="false">E19*E20</f>
        <v>677.887833249574</v>
      </c>
      <c r="F21" s="0" t="n">
        <f aca="false">F19*F20</f>
        <v>613.657055887449</v>
      </c>
      <c r="G21" s="0" t="n">
        <f aca="false">G19*G20</f>
        <v>560.387078072412</v>
      </c>
      <c r="H21" s="0" t="n">
        <f aca="false">H19*H20</f>
        <v>525.192920346496</v>
      </c>
      <c r="I21" s="0" t="n">
        <f aca="false">I19*I20</f>
        <v>493.08294349525</v>
      </c>
      <c r="J21" s="0" t="n">
        <f aca="false">J19*J20</f>
        <v>462.932876664992</v>
      </c>
      <c r="K21" s="0" t="n">
        <f aca="false">K19*K20</f>
        <v>434.623308899802</v>
      </c>
      <c r="L21" s="0" t="n">
        <f aca="false">L19*L20</f>
        <v>406.965461969815</v>
      </c>
    </row>
    <row r="23" customFormat="false" ht="15" hidden="false" customHeight="false" outlineLevel="0" collapsed="false">
      <c r="A23" s="0" t="s">
        <v>111</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137</v>
      </c>
    </row>
    <row r="27" customFormat="false" ht="15" hidden="false" customHeight="false" outlineLevel="0" collapsed="false">
      <c r="A27" s="0" t="s">
        <v>115</v>
      </c>
      <c r="B27" s="4" t="n">
        <f aca="false">Assumptions!$B$20</f>
        <v>10</v>
      </c>
    </row>
    <row r="28" customFormat="false" ht="15" hidden="false" customHeight="false" outlineLevel="0" collapsed="false">
      <c r="A28" s="0" t="s">
        <v>116</v>
      </c>
      <c r="B28" s="4" t="n">
        <f aca="false">Assumptions!$B$21</f>
        <v>2</v>
      </c>
    </row>
    <row r="29" customFormat="false" ht="15" hidden="false" customHeight="false" outlineLevel="0" collapsed="false">
      <c r="A29" s="0" t="s">
        <v>117</v>
      </c>
      <c r="B29" s="4" t="n">
        <f aca="false">Assumptions!$B$22</f>
        <v>15</v>
      </c>
    </row>
    <row r="30" customFormat="false" ht="15" hidden="false" customHeight="false" outlineLevel="0" collapsed="false">
      <c r="A30" s="0" t="s">
        <v>138</v>
      </c>
      <c r="B30" s="0" t="n">
        <f aca="false">SUM(C21:L21)</f>
        <v>5995.07998244408</v>
      </c>
    </row>
    <row r="31" customFormat="false" ht="15" hidden="false" customHeight="false" outlineLevel="0" collapsed="false">
      <c r="A31" s="0" t="s">
        <v>139</v>
      </c>
      <c r="B31" s="0" t="n">
        <f aca="false">L19</f>
        <v>1055.56359850532</v>
      </c>
    </row>
    <row r="32" customFormat="false" ht="15" hidden="false" customHeight="false" outlineLevel="0" collapsed="false">
      <c r="A32" s="0" t="s">
        <v>140</v>
      </c>
      <c r="B32" s="0" t="n">
        <f aca="false">IF(B27&gt;B28,B31*(1+B28/100)/((B27-B28)/100),B31*B29)</f>
        <v>13458.4358809428</v>
      </c>
    </row>
    <row r="33" customFormat="false" ht="15" hidden="false" customHeight="false" outlineLevel="0" collapsed="false">
      <c r="A33" s="0" t="s">
        <v>141</v>
      </c>
      <c r="B33" s="0" t="n">
        <f aca="false">B31*B29</f>
        <v>15833.4539775798</v>
      </c>
    </row>
    <row r="34" customFormat="false" ht="15" hidden="false" customHeight="false" outlineLevel="0" collapsed="false">
      <c r="A34" s="0" t="s">
        <v>142</v>
      </c>
      <c r="B34" s="0" t="n">
        <f aca="false">MAX(0,MIN(B32,B33))</f>
        <v>13458.4358809428</v>
      </c>
    </row>
    <row r="35" customFormat="false" ht="15" hidden="false" customHeight="false" outlineLevel="0" collapsed="false">
      <c r="A35" s="0" t="s">
        <v>143</v>
      </c>
      <c r="B35" s="0" t="n">
        <f aca="false">B34/(1+B27/100)^L4</f>
        <v>5188.80964011514</v>
      </c>
    </row>
    <row r="36" customFormat="false" ht="15" hidden="false" customHeight="false" outlineLevel="0" collapsed="false">
      <c r="A36" s="0" t="s">
        <v>144</v>
      </c>
      <c r="B36" s="0" t="n">
        <f aca="false">B30+B35</f>
        <v>11183.8896225592</v>
      </c>
    </row>
    <row r="37" customFormat="false" ht="15" hidden="false" customHeight="false" outlineLevel="0" collapsed="false">
      <c r="A37" s="0" t="s">
        <v>145</v>
      </c>
      <c r="B37" s="0" t="n">
        <f aca="false">B36+Assumptions!$B$5-Assumptions!$B$4</f>
        <v>15199.5666225592</v>
      </c>
    </row>
    <row r="38" customFormat="false" ht="15" hidden="false" customHeight="false" outlineLevel="0" collapsed="false">
      <c r="A38" s="0" t="s">
        <v>146</v>
      </c>
      <c r="B38" s="0" t="n">
        <f aca="false">B37/Assumptions!$B$3*Assumptions!$B$10</f>
        <v>35.8047171247851</v>
      </c>
    </row>
    <row r="39" customFormat="false" ht="15" hidden="false" customHeight="false" outlineLevel="0" collapsed="false">
      <c r="A39" s="0" t="s">
        <v>147</v>
      </c>
      <c r="B39" s="4" t="n">
        <f aca="false">B38/Assumptions!$B$2-1</f>
        <v>-0.116369271352786</v>
      </c>
    </row>
    <row r="41" customFormat="false" ht="15" hidden="false" customHeight="false" outlineLevel="0" collapsed="false">
      <c r="A41" s="0" t="s">
        <v>148</v>
      </c>
      <c r="B41" s="0" t="n">
        <f aca="false">SUMPRODUCT(-C10:L10/(1+$B$27/100)^C4:L4)</f>
        <v>711.251314836946</v>
      </c>
    </row>
    <row r="42" customFormat="false" ht="15" hidden="false" customHeight="false" outlineLevel="0" collapsed="false">
      <c r="A42" s="0" t="s">
        <v>149</v>
      </c>
      <c r="B42" s="0" t="n">
        <f aca="false">IF(B27&gt;B28,-L10*(1+B28/100)/((B27-B28)/100),-L10*20)/(1+B27/100)^L4</f>
        <v>585.685744210527</v>
      </c>
    </row>
    <row r="43" customFormat="false" ht="15" hidden="false" customHeight="false" outlineLevel="0" collapsed="false">
      <c r="A43" s="0" t="s">
        <v>150</v>
      </c>
      <c r="B43" s="0" t="n">
        <f aca="false">(B37+B41+B42)/Assumptions!$B$3*Assumptions!$B$10</f>
        <v>38.8598347923457</v>
      </c>
    </row>
    <row r="45" customFormat="false" ht="15" hidden="false" customHeight="false" outlineLevel="0" collapsed="false">
      <c r="A45" s="0" t="s">
        <v>91</v>
      </c>
      <c r="B45" s="4" t="n">
        <f aca="false">Assumptions!$B$6</f>
        <v>15</v>
      </c>
    </row>
    <row r="46" customFormat="false" ht="15" hidden="false" customHeight="false" outlineLevel="0" collapsed="false">
      <c r="A46" s="0" t="s">
        <v>151</v>
      </c>
      <c r="B46" s="0" t="n">
        <f aca="false">MAX(0,MIN(IF(B45&gt;B28,B31*(1+B28/100)/((B45-B28)/100),B31*B29),B31*B29))</f>
        <v>8282.11438827252</v>
      </c>
    </row>
    <row r="47" customFormat="false" ht="15" hidden="false" customHeight="false" outlineLevel="0" collapsed="false">
      <c r="A47" s="0" t="s">
        <v>152</v>
      </c>
      <c r="B47" s="0" t="n">
        <f aca="false">(SUMPRODUCT(C19:L19/(1+B45/100)^C4:L4)+B46/(1+B45/100)^L4+Assumptions!$B$5-Assumptions!$B$4)/Assumptions!$B$3*Assumptions!$B$10</f>
        <v>25.8317946787117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123</v>
      </c>
      <c r="B3" s="0" t="s">
        <v>84</v>
      </c>
      <c r="C3" s="2" t="s">
        <v>98</v>
      </c>
      <c r="D3" s="2" t="s">
        <v>99</v>
      </c>
      <c r="E3" s="2" t="s">
        <v>100</v>
      </c>
      <c r="F3" s="2" t="s">
        <v>101</v>
      </c>
      <c r="G3" s="2" t="s">
        <v>102</v>
      </c>
      <c r="H3" s="2" t="s">
        <v>103</v>
      </c>
      <c r="I3" s="2" t="s">
        <v>104</v>
      </c>
      <c r="J3" s="2" t="s">
        <v>105</v>
      </c>
      <c r="K3" s="2" t="s">
        <v>106</v>
      </c>
      <c r="L3" s="2" t="s">
        <v>107</v>
      </c>
    </row>
    <row r="4" customFormat="false" ht="15" hidden="false" customHeight="false" outlineLevel="0" collapsed="false">
      <c r="A4" s="0" t="s">
        <v>124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108</v>
      </c>
      <c r="C5" s="4" t="n">
        <f aca="false">Assumptions!C27</f>
        <v>8</v>
      </c>
      <c r="D5" s="4" t="n">
        <f aca="false">Assumptions!D27</f>
        <v>10</v>
      </c>
      <c r="E5" s="4" t="n">
        <f aca="false">Assumptions!E27</f>
        <v>9</v>
      </c>
      <c r="F5" s="4" t="n">
        <f aca="false">Assumptions!F27</f>
        <v>8</v>
      </c>
      <c r="G5" s="4" t="n">
        <f aca="false">Assumptions!G27</f>
        <v>7</v>
      </c>
      <c r="H5" s="4" t="n">
        <f aca="false">Assumptions!H27</f>
        <v>6</v>
      </c>
      <c r="I5" s="4" t="n">
        <f aca="false">Assumptions!I27</f>
        <v>5</v>
      </c>
      <c r="J5" s="4" t="n">
        <f aca="false">Assumptions!J27</f>
        <v>4</v>
      </c>
      <c r="K5" s="4" t="n">
        <f aca="false">Assumptions!K27</f>
        <v>3.5</v>
      </c>
      <c r="L5" s="4" t="n">
        <f aca="false">Assumptions!L27</f>
        <v>3</v>
      </c>
    </row>
    <row r="6" customFormat="false" ht="15" hidden="false" customHeight="false" outlineLevel="0" collapsed="false">
      <c r="A6" s="0" t="s">
        <v>38</v>
      </c>
      <c r="B6" s="3" t="n">
        <v>5763.739</v>
      </c>
      <c r="C6" s="0" t="n">
        <f aca="false">B6*(1+C5/100)</f>
        <v>6224.83812</v>
      </c>
      <c r="D6" s="0" t="n">
        <f aca="false">C6*(1+D5/100)</f>
        <v>6847.321932</v>
      </c>
      <c r="E6" s="0" t="n">
        <f aca="false">D6*(1+E5/100)</f>
        <v>7463.58090588</v>
      </c>
      <c r="F6" s="0" t="n">
        <f aca="false">E6*(1+F5/100)</f>
        <v>8060.6673783504</v>
      </c>
      <c r="G6" s="0" t="n">
        <f aca="false">F6*(1+G5/100)</f>
        <v>8624.91409483493</v>
      </c>
      <c r="H6" s="0" t="n">
        <f aca="false">G6*(1+H5/100)</f>
        <v>9142.40894052503</v>
      </c>
      <c r="I6" s="0" t="n">
        <f aca="false">H6*(1+I5/100)</f>
        <v>9599.52938755128</v>
      </c>
      <c r="J6" s="0" t="n">
        <f aca="false">I6*(1+J5/100)</f>
        <v>9983.51056305333</v>
      </c>
      <c r="K6" s="0" t="n">
        <f aca="false">J6*(1+K5/100)</f>
        <v>10332.9334327602</v>
      </c>
      <c r="L6" s="0" t="n">
        <f aca="false">K6*(1+L5/100)</f>
        <v>10642.921435743</v>
      </c>
    </row>
    <row r="7" customFormat="false" ht="15" hidden="false" customHeight="false" outlineLevel="0" collapsed="false">
      <c r="A7" s="0" t="s">
        <v>109</v>
      </c>
      <c r="C7" s="4" t="n">
        <f aca="false">Assumptions!C28</f>
        <v>27.5</v>
      </c>
      <c r="D7" s="4" t="n">
        <f aca="false">Assumptions!D28</f>
        <v>28</v>
      </c>
      <c r="E7" s="4" t="n">
        <f aca="false">Assumptions!E28</f>
        <v>28.5</v>
      </c>
      <c r="F7" s="4" t="n">
        <f aca="false">Assumptions!F28</f>
        <v>29</v>
      </c>
      <c r="G7" s="4" t="n">
        <f aca="false">Assumptions!G28</f>
        <v>29</v>
      </c>
      <c r="H7" s="4" t="n">
        <f aca="false">Assumptions!H28</f>
        <v>29</v>
      </c>
      <c r="I7" s="4" t="n">
        <f aca="false">Assumptions!I28</f>
        <v>29</v>
      </c>
      <c r="J7" s="4" t="n">
        <f aca="false">Assumptions!J28</f>
        <v>29</v>
      </c>
      <c r="K7" s="4" t="n">
        <f aca="false">Assumptions!K28</f>
        <v>29</v>
      </c>
      <c r="L7" s="4" t="n">
        <f aca="false">Assumptions!L28</f>
        <v>29</v>
      </c>
    </row>
    <row r="8" customFormat="false" ht="15" hidden="false" customHeight="false" outlineLevel="0" collapsed="false">
      <c r="A8" s="0" t="s">
        <v>44</v>
      </c>
      <c r="C8" s="0" t="n">
        <f aca="false">C6*C7/100</f>
        <v>1711.830483</v>
      </c>
      <c r="D8" s="0" t="n">
        <f aca="false">D6*D7/100</f>
        <v>1917.25014096</v>
      </c>
      <c r="E8" s="0" t="n">
        <f aca="false">E6*E7/100</f>
        <v>2127.1205581758</v>
      </c>
      <c r="F8" s="0" t="n">
        <f aca="false">F6*F7/100</f>
        <v>2337.59353972162</v>
      </c>
      <c r="G8" s="0" t="n">
        <f aca="false">G6*G7/100</f>
        <v>2501.22508750213</v>
      </c>
      <c r="H8" s="0" t="n">
        <f aca="false">H6*H7/100</f>
        <v>2651.29859275226</v>
      </c>
      <c r="I8" s="0" t="n">
        <f aca="false">I6*I7/100</f>
        <v>2783.86352238987</v>
      </c>
      <c r="J8" s="0" t="n">
        <f aca="false">J6*J7/100</f>
        <v>2895.21806328547</v>
      </c>
      <c r="K8" s="0" t="n">
        <f aca="false">K6*K7/100</f>
        <v>2996.55069550046</v>
      </c>
      <c r="L8" s="0" t="n">
        <f aca="false">L6*L7/100</f>
        <v>3086.44721636547</v>
      </c>
    </row>
    <row r="9" customFormat="false" ht="15" hidden="false" customHeight="false" outlineLevel="0" collapsed="false">
      <c r="A9" s="0" t="s">
        <v>110</v>
      </c>
      <c r="C9" s="4" t="n">
        <f aca="false">Assumptions!C29</f>
        <v>1.8</v>
      </c>
      <c r="D9" s="4" t="n">
        <f aca="false">Assumptions!D29</f>
        <v>1.75</v>
      </c>
      <c r="E9" s="4" t="n">
        <f aca="false">Assumptions!E29</f>
        <v>1.7</v>
      </c>
      <c r="F9" s="4" t="n">
        <f aca="false">Assumptions!F29</f>
        <v>1.65</v>
      </c>
      <c r="G9" s="4" t="n">
        <f aca="false">Assumptions!G29</f>
        <v>1.6</v>
      </c>
      <c r="H9" s="4" t="n">
        <f aca="false">Assumptions!H29</f>
        <v>1.55</v>
      </c>
      <c r="I9" s="4" t="n">
        <f aca="false">Assumptions!I29</f>
        <v>1.5</v>
      </c>
      <c r="J9" s="4" t="n">
        <f aca="false">Assumptions!J29</f>
        <v>1.45</v>
      </c>
      <c r="K9" s="4" t="n">
        <f aca="false">Assumptions!K29</f>
        <v>1.4</v>
      </c>
      <c r="L9" s="4" t="n">
        <f aca="false">Assumptions!L29</f>
        <v>1.4</v>
      </c>
    </row>
    <row r="10" customFormat="false" ht="15" hidden="false" customHeight="false" outlineLevel="0" collapsed="false">
      <c r="A10" s="0" t="s">
        <v>125</v>
      </c>
      <c r="C10" s="0" t="n">
        <f aca="false">-C6*C9/100</f>
        <v>-112.04708616</v>
      </c>
      <c r="D10" s="0" t="n">
        <f aca="false">-D6*D9/100</f>
        <v>-119.82813381</v>
      </c>
      <c r="E10" s="0" t="n">
        <f aca="false">-E6*E9/100</f>
        <v>-126.88087539996</v>
      </c>
      <c r="F10" s="0" t="n">
        <f aca="false">-F6*F9/100</f>
        <v>-133.001011742782</v>
      </c>
      <c r="G10" s="0" t="n">
        <f aca="false">-G6*G9/100</f>
        <v>-137.998625517359</v>
      </c>
      <c r="H10" s="0" t="n">
        <f aca="false">-H6*H9/100</f>
        <v>-141.707338578138</v>
      </c>
      <c r="I10" s="0" t="n">
        <f aca="false">-I6*I9/100</f>
        <v>-143.992940813269</v>
      </c>
      <c r="J10" s="0" t="n">
        <f aca="false">-J6*J9/100</f>
        <v>-144.760903164273</v>
      </c>
      <c r="K10" s="0" t="n">
        <f aca="false">-K6*K9/100</f>
        <v>-144.661068058643</v>
      </c>
      <c r="L10" s="0" t="n">
        <f aca="false">-L6*L9/100</f>
        <v>-149.000900100402</v>
      </c>
    </row>
    <row r="11" customFormat="false" ht="15" hidden="false" customHeight="false" outlineLevel="0" collapsed="false">
      <c r="A11" s="0" t="s">
        <v>126</v>
      </c>
      <c r="C11" s="0" t="n">
        <f aca="false">C8+C10+C24</f>
        <v>1599.78339684</v>
      </c>
      <c r="D11" s="0" t="n">
        <f aca="false">D8+D10+D24</f>
        <v>1797.42200715</v>
      </c>
      <c r="E11" s="0" t="n">
        <f aca="false">E8+E10+E24</f>
        <v>2000.23968277584</v>
      </c>
      <c r="F11" s="0" t="n">
        <f aca="false">F8+F10+F24</f>
        <v>2204.59252797884</v>
      </c>
      <c r="G11" s="0" t="n">
        <f aca="false">G8+G10+G24</f>
        <v>2363.22646198477</v>
      </c>
      <c r="H11" s="0" t="n">
        <f aca="false">H8+H10+H24</f>
        <v>2509.59125417412</v>
      </c>
      <c r="I11" s="0" t="n">
        <f aca="false">I8+I10+I24</f>
        <v>2639.8705815766</v>
      </c>
      <c r="J11" s="0" t="n">
        <f aca="false">J8+J10+J24</f>
        <v>2750.45716012119</v>
      </c>
      <c r="K11" s="0" t="n">
        <f aca="false">K8+K10+K24</f>
        <v>2851.88962744181</v>
      </c>
      <c r="L11" s="0" t="n">
        <f aca="false">L8+L10+L24</f>
        <v>2937.44631626507</v>
      </c>
    </row>
    <row r="12" customFormat="false" ht="15" hidden="false" customHeight="false" outlineLevel="0" collapsed="false">
      <c r="A12" s="0" t="s">
        <v>127</v>
      </c>
      <c r="C12" s="4" t="n">
        <f aca="false">-C6*Assumptions!C31/100</f>
        <v>-124.4967624</v>
      </c>
      <c r="D12" s="4" t="n">
        <f aca="false">-D6*Assumptions!D31/100</f>
        <v>-130.099116708</v>
      </c>
      <c r="E12" s="4" t="n">
        <f aca="false">-E6*Assumptions!E31/100</f>
        <v>-134.34445630584</v>
      </c>
      <c r="F12" s="4" t="n">
        <f aca="false">-F6*Assumptions!F31/100</f>
        <v>-137.031345431957</v>
      </c>
      <c r="G12" s="4" t="n">
        <f aca="false">-G6*Assumptions!G31/100</f>
        <v>-137.998625517359</v>
      </c>
      <c r="H12" s="4" t="n">
        <f aca="false">-H6*Assumptions!H31/100</f>
        <v>-137.136134107875</v>
      </c>
      <c r="I12" s="4" t="n">
        <f aca="false">-I6*Assumptions!I31/100</f>
        <v>-143.992940813269</v>
      </c>
      <c r="J12" s="4" t="n">
        <f aca="false">-J6*Assumptions!J31/100</f>
        <v>-149.7526584458</v>
      </c>
      <c r="K12" s="4" t="n">
        <f aca="false">-K6*Assumptions!K31/100</f>
        <v>-154.994001491403</v>
      </c>
      <c r="L12" s="4" t="n">
        <f aca="false">-L6*Assumptions!L31/100</f>
        <v>-159.643821536145</v>
      </c>
    </row>
    <row r="13" customFormat="false" ht="15" hidden="false" customHeight="false" outlineLevel="0" collapsed="false">
      <c r="A13" s="0" t="s">
        <v>128</v>
      </c>
      <c r="C13" s="0" t="n">
        <f aca="false">C11+C12</f>
        <v>1475.28663444</v>
      </c>
      <c r="D13" s="0" t="n">
        <f aca="false">D11+D12</f>
        <v>1667.322890442</v>
      </c>
      <c r="E13" s="0" t="n">
        <f aca="false">E11+E12</f>
        <v>1865.89522647</v>
      </c>
      <c r="F13" s="0" t="n">
        <f aca="false">F11+F12</f>
        <v>2067.56118254688</v>
      </c>
      <c r="G13" s="0" t="n">
        <f aca="false">G11+G12</f>
        <v>2225.22783646741</v>
      </c>
      <c r="H13" s="0" t="n">
        <f aca="false">H11+H12</f>
        <v>2372.45512006624</v>
      </c>
      <c r="I13" s="0" t="n">
        <f aca="false">I11+I12</f>
        <v>2495.87764076333</v>
      </c>
      <c r="J13" s="0" t="n">
        <f aca="false">J11+J12</f>
        <v>2600.70450167539</v>
      </c>
      <c r="K13" s="0" t="n">
        <f aca="false">K11+K12</f>
        <v>2696.89562595041</v>
      </c>
      <c r="L13" s="0" t="n">
        <f aca="false">L11+L12</f>
        <v>2777.80249472892</v>
      </c>
    </row>
    <row r="14" customFormat="false" ht="15" hidden="false" customHeight="false" outlineLevel="0" collapsed="false">
      <c r="A14" s="0" t="s">
        <v>114</v>
      </c>
      <c r="C14" s="4" t="n">
        <f aca="false">Assumptions!C33</f>
        <v>13</v>
      </c>
      <c r="D14" s="4" t="n">
        <f aca="false">Assumptions!D33</f>
        <v>15</v>
      </c>
      <c r="E14" s="4" t="n">
        <f aca="false">Assumptions!E33</f>
        <v>17</v>
      </c>
      <c r="F14" s="4" t="n">
        <f aca="false">Assumptions!F33</f>
        <v>19</v>
      </c>
      <c r="G14" s="4" t="n">
        <f aca="false">Assumptions!G33</f>
        <v>21</v>
      </c>
      <c r="H14" s="4" t="n">
        <f aca="false">Assumptions!H33</f>
        <v>21</v>
      </c>
      <c r="I14" s="4" t="n">
        <f aca="false">Assumptions!I33</f>
        <v>21</v>
      </c>
      <c r="J14" s="4" t="n">
        <f aca="false">Assumptions!J33</f>
        <v>21</v>
      </c>
      <c r="K14" s="4" t="n">
        <f aca="false">Assumptions!K33</f>
        <v>21</v>
      </c>
      <c r="L14" s="4" t="n">
        <f aca="false">Assumptions!L33</f>
        <v>21</v>
      </c>
    </row>
    <row r="15" customFormat="false" ht="15" hidden="false" customHeight="false" outlineLevel="0" collapsed="false">
      <c r="A15" s="0" t="s">
        <v>129</v>
      </c>
      <c r="C15" s="0" t="n">
        <f aca="false">C13-MAX(0,C13)*C14/100</f>
        <v>1283.4993719628</v>
      </c>
      <c r="D15" s="0" t="n">
        <f aca="false">D13-MAX(0,D13)*D14/100</f>
        <v>1417.2244568757</v>
      </c>
      <c r="E15" s="0" t="n">
        <f aca="false">E13-MAX(0,E13)*E14/100</f>
        <v>1548.6930379701</v>
      </c>
      <c r="F15" s="0" t="n">
        <f aca="false">F13-MAX(0,F13)*F14/100</f>
        <v>1674.72455786297</v>
      </c>
      <c r="G15" s="0" t="n">
        <f aca="false">G13-MAX(0,G13)*G14/100</f>
        <v>1757.92999080926</v>
      </c>
      <c r="H15" s="0" t="n">
        <f aca="false">H13-MAX(0,H13)*H14/100</f>
        <v>1874.23954485233</v>
      </c>
      <c r="I15" s="0" t="n">
        <f aca="false">I13-MAX(0,I13)*I14/100</f>
        <v>1971.74333620303</v>
      </c>
      <c r="J15" s="0" t="n">
        <f aca="false">J13-MAX(0,J13)*J14/100</f>
        <v>2054.55655632356</v>
      </c>
      <c r="K15" s="0" t="n">
        <f aca="false">K13-MAX(0,K13)*K14/100</f>
        <v>2130.54754450083</v>
      </c>
      <c r="L15" s="0" t="n">
        <f aca="false">L13-MAX(0,L13)*L14/100</f>
        <v>2194.46397083585</v>
      </c>
    </row>
    <row r="16" customFormat="false" ht="15" hidden="false" customHeight="false" outlineLevel="0" collapsed="false">
      <c r="A16" s="0" t="s">
        <v>130</v>
      </c>
      <c r="C16" s="0" t="n">
        <f aca="false">-C12</f>
        <v>124.4967624</v>
      </c>
      <c r="D16" s="0" t="n">
        <f aca="false">-D12</f>
        <v>130.099116708</v>
      </c>
      <c r="E16" s="0" t="n">
        <f aca="false">-E12</f>
        <v>134.34445630584</v>
      </c>
      <c r="F16" s="0" t="n">
        <f aca="false">-F12</f>
        <v>137.031345431957</v>
      </c>
      <c r="G16" s="0" t="n">
        <f aca="false">-G12</f>
        <v>137.998625517359</v>
      </c>
      <c r="H16" s="0" t="n">
        <f aca="false">-H12</f>
        <v>137.136134107875</v>
      </c>
      <c r="I16" s="0" t="n">
        <f aca="false">-I12</f>
        <v>143.992940813269</v>
      </c>
      <c r="J16" s="0" t="n">
        <f aca="false">-J12</f>
        <v>149.7526584458</v>
      </c>
      <c r="K16" s="0" t="n">
        <f aca="false">-K12</f>
        <v>154.994001491403</v>
      </c>
      <c r="L16" s="0" t="n">
        <f aca="false">-L12</f>
        <v>159.643821536145</v>
      </c>
    </row>
    <row r="17" customFormat="false" ht="15" hidden="false" customHeight="false" outlineLevel="0" collapsed="false">
      <c r="A17" s="0" t="s">
        <v>131</v>
      </c>
      <c r="C17" s="4" t="n">
        <f aca="false">-C6*Assumptions!C32/100</f>
        <v>-93.3725718</v>
      </c>
      <c r="D17" s="4" t="n">
        <f aca="false">-D6*Assumptions!D32/100</f>
        <v>-102.70982898</v>
      </c>
      <c r="E17" s="4" t="n">
        <f aca="false">-E6*Assumptions!E32/100</f>
        <v>-111.9537135882</v>
      </c>
      <c r="F17" s="4" t="n">
        <f aca="false">-F6*Assumptions!F32/100</f>
        <v>-120.910010675256</v>
      </c>
      <c r="G17" s="4" t="n">
        <f aca="false">-G6*Assumptions!G32/100</f>
        <v>-129.373711422524</v>
      </c>
      <c r="H17" s="4" t="n">
        <f aca="false">-H6*Assumptions!H32/100</f>
        <v>-137.136134107875</v>
      </c>
      <c r="I17" s="4" t="n">
        <f aca="false">-I6*Assumptions!I32/100</f>
        <v>-143.992940813269</v>
      </c>
      <c r="J17" s="4" t="n">
        <f aca="false">-J6*Assumptions!J32/100</f>
        <v>-149.7526584458</v>
      </c>
      <c r="K17" s="4" t="n">
        <f aca="false">-K6*Assumptions!K32/100</f>
        <v>-154.994001491403</v>
      </c>
      <c r="L17" s="4" t="n">
        <f aca="false">-L6*Assumptions!L32/100</f>
        <v>-159.643821536145</v>
      </c>
    </row>
    <row r="18" customFormat="false" ht="15" hidden="false" customHeight="false" outlineLevel="0" collapsed="false">
      <c r="A18" s="0" t="s">
        <v>132</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133</v>
      </c>
      <c r="C19" s="0" t="n">
        <f aca="false">C15+C16+C17+C18</f>
        <v>1314.6235625628</v>
      </c>
      <c r="D19" s="0" t="n">
        <f aca="false">D15+D16+D17+D18</f>
        <v>1444.6137446037</v>
      </c>
      <c r="E19" s="0" t="n">
        <f aca="false">E15+E16+E17+E18</f>
        <v>1571.08378068774</v>
      </c>
      <c r="F19" s="0" t="n">
        <f aca="false">F15+F16+F17+F18</f>
        <v>1690.84589261967</v>
      </c>
      <c r="G19" s="0" t="n">
        <f aca="false">G15+G16+G17+G18</f>
        <v>1766.55490490409</v>
      </c>
      <c r="H19" s="0" t="n">
        <f aca="false">H15+H16+H17+H18</f>
        <v>1874.23954485233</v>
      </c>
      <c r="I19" s="0" t="n">
        <f aca="false">I15+I16+I17+I18</f>
        <v>1971.74333620303</v>
      </c>
      <c r="J19" s="0" t="n">
        <f aca="false">J15+J16+J17+J18</f>
        <v>2054.55655632356</v>
      </c>
      <c r="K19" s="0" t="n">
        <f aca="false">K15+K16+K17+K18</f>
        <v>2130.54754450083</v>
      </c>
      <c r="L19" s="0" t="n">
        <f aca="false">L15+L16+L17+L18</f>
        <v>2194.46397083585</v>
      </c>
    </row>
    <row r="20" customFormat="false" ht="15" hidden="false" customHeight="false" outlineLevel="0" collapsed="false">
      <c r="A20" s="0" t="s">
        <v>134</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135</v>
      </c>
      <c r="C21" s="0" t="n">
        <f aca="false">C19*C20</f>
        <v>1195.11232960255</v>
      </c>
      <c r="D21" s="0" t="n">
        <f aca="false">D19*D20</f>
        <v>1193.89565669727</v>
      </c>
      <c r="E21" s="0" t="n">
        <f aca="false">E19*E20</f>
        <v>1180.37849788711</v>
      </c>
      <c r="F21" s="0" t="n">
        <f aca="false">F19*F20</f>
        <v>1154.870495608</v>
      </c>
      <c r="G21" s="0" t="n">
        <f aca="false">G19*G20</f>
        <v>1096.89160880969</v>
      </c>
      <c r="H21" s="0" t="n">
        <f aca="false">H19*H20</f>
        <v>1057.959361745</v>
      </c>
      <c r="I21" s="0" t="n">
        <f aca="false">I19*I20</f>
        <v>1011.81610003988</v>
      </c>
      <c r="J21" s="0" t="n">
        <f aca="false">J19*J20</f>
        <v>958.465796583235</v>
      </c>
      <c r="K21" s="0" t="n">
        <f aca="false">K19*K20</f>
        <v>903.560139452145</v>
      </c>
      <c r="L21" s="0" t="n">
        <f aca="false">L19*L20</f>
        <v>846.060857850645</v>
      </c>
    </row>
    <row r="23" customFormat="false" ht="15" hidden="false" customHeight="false" outlineLevel="0" collapsed="false">
      <c r="A23" s="0" t="s">
        <v>111</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137</v>
      </c>
    </row>
    <row r="27" customFormat="false" ht="15" hidden="false" customHeight="false" outlineLevel="0" collapsed="false">
      <c r="A27" s="0" t="s">
        <v>115</v>
      </c>
      <c r="B27" s="4" t="n">
        <f aca="false">Assumptions!$B$34</f>
        <v>10</v>
      </c>
    </row>
    <row r="28" customFormat="false" ht="15" hidden="false" customHeight="false" outlineLevel="0" collapsed="false">
      <c r="A28" s="0" t="s">
        <v>116</v>
      </c>
      <c r="B28" s="4" t="n">
        <f aca="false">Assumptions!$B$35</f>
        <v>2.5</v>
      </c>
    </row>
    <row r="29" customFormat="false" ht="15" hidden="false" customHeight="false" outlineLevel="0" collapsed="false">
      <c r="A29" s="0" t="s">
        <v>117</v>
      </c>
      <c r="B29" s="4" t="n">
        <f aca="false">Assumptions!$B$36</f>
        <v>15</v>
      </c>
    </row>
    <row r="30" customFormat="false" ht="15" hidden="false" customHeight="false" outlineLevel="0" collapsed="false">
      <c r="A30" s="0" t="s">
        <v>138</v>
      </c>
      <c r="B30" s="0" t="n">
        <f aca="false">SUM(C21:L21)</f>
        <v>10599.0108442755</v>
      </c>
    </row>
    <row r="31" customFormat="false" ht="15" hidden="false" customHeight="false" outlineLevel="0" collapsed="false">
      <c r="A31" s="0" t="s">
        <v>139</v>
      </c>
      <c r="B31" s="0" t="n">
        <f aca="false">L19</f>
        <v>2194.46397083585</v>
      </c>
    </row>
    <row r="32" customFormat="false" ht="15" hidden="false" customHeight="false" outlineLevel="0" collapsed="false">
      <c r="A32" s="0" t="s">
        <v>140</v>
      </c>
      <c r="B32" s="0" t="n">
        <f aca="false">IF(B27&gt;B28,B31*(1+B28/100)/((B27-B28)/100),B31*B29)</f>
        <v>29991.0076014233</v>
      </c>
    </row>
    <row r="33" customFormat="false" ht="15" hidden="false" customHeight="false" outlineLevel="0" collapsed="false">
      <c r="A33" s="0" t="s">
        <v>141</v>
      </c>
      <c r="B33" s="0" t="n">
        <f aca="false">B31*B29</f>
        <v>32916.9595625377</v>
      </c>
    </row>
    <row r="34" customFormat="false" ht="15" hidden="false" customHeight="false" outlineLevel="0" collapsed="false">
      <c r="A34" s="0" t="s">
        <v>142</v>
      </c>
      <c r="B34" s="0" t="n">
        <f aca="false">MAX(0,MIN(B32,B33))</f>
        <v>29991.0076014233</v>
      </c>
    </row>
    <row r="35" customFormat="false" ht="15" hidden="false" customHeight="false" outlineLevel="0" collapsed="false">
      <c r="A35" s="0" t="s">
        <v>143</v>
      </c>
      <c r="B35" s="0" t="n">
        <f aca="false">B34/(1+B27/100)^L4</f>
        <v>11562.8317239588</v>
      </c>
    </row>
    <row r="36" customFormat="false" ht="15" hidden="false" customHeight="false" outlineLevel="0" collapsed="false">
      <c r="A36" s="0" t="s">
        <v>144</v>
      </c>
      <c r="B36" s="0" t="n">
        <f aca="false">B30+B35</f>
        <v>22161.8425682343</v>
      </c>
    </row>
    <row r="37" customFormat="false" ht="15" hidden="false" customHeight="false" outlineLevel="0" collapsed="false">
      <c r="A37" s="0" t="s">
        <v>145</v>
      </c>
      <c r="B37" s="0" t="n">
        <f aca="false">B36+Assumptions!$B$5-Assumptions!$B$4</f>
        <v>26177.5195682343</v>
      </c>
    </row>
    <row r="38" customFormat="false" ht="15" hidden="false" customHeight="false" outlineLevel="0" collapsed="false">
      <c r="A38" s="0" t="s">
        <v>146</v>
      </c>
      <c r="B38" s="0" t="n">
        <f aca="false">B37/Assumptions!$B$3*Assumptions!$B$10</f>
        <v>61.6648294286264</v>
      </c>
    </row>
    <row r="39" customFormat="false" ht="15" hidden="false" customHeight="false" outlineLevel="0" collapsed="false">
      <c r="A39" s="0" t="s">
        <v>147</v>
      </c>
      <c r="B39" s="4" t="n">
        <f aca="false">B38/Assumptions!$B$2-1</f>
        <v>0.521836856580118</v>
      </c>
    </row>
    <row r="41" customFormat="false" ht="15" hidden="false" customHeight="false" outlineLevel="0" collapsed="false">
      <c r="A41" s="0" t="s">
        <v>148</v>
      </c>
      <c r="B41" s="0" t="n">
        <f aca="false">SUMPRODUCT(-C10:L10/(1+$B$27/100)^C4:L4)</f>
        <v>812.957738487472</v>
      </c>
    </row>
    <row r="42" customFormat="false" ht="15" hidden="false" customHeight="false" outlineLevel="0" collapsed="false">
      <c r="A42" s="0" t="s">
        <v>149</v>
      </c>
      <c r="B42" s="0" t="n">
        <f aca="false">IF(B27&gt;B28,-L10*(1+B28/100)/((B27-B28)/100),-L10*20)/(1+B27/100)^L4</f>
        <v>785.099394419823</v>
      </c>
    </row>
    <row r="43" customFormat="false" ht="15" hidden="false" customHeight="false" outlineLevel="0" collapsed="false">
      <c r="A43" s="0" t="s">
        <v>150</v>
      </c>
      <c r="B43" s="0" t="n">
        <f aca="false">(B37+B41+B42)/Assumptions!$B$3*Assumptions!$B$10</f>
        <v>65.4292777852044</v>
      </c>
    </row>
    <row r="45" customFormat="false" ht="15" hidden="false" customHeight="false" outlineLevel="0" collapsed="false">
      <c r="A45" s="0" t="s">
        <v>91</v>
      </c>
      <c r="B45" s="4" t="n">
        <f aca="false">Assumptions!$B$6</f>
        <v>15</v>
      </c>
    </row>
    <row r="46" customFormat="false" ht="15" hidden="false" customHeight="false" outlineLevel="0" collapsed="false">
      <c r="A46" s="0" t="s">
        <v>151</v>
      </c>
      <c r="B46" s="0" t="n">
        <f aca="false">MAX(0,MIN(IF(B45&gt;B28,B31*(1+B28/100)/((B45-B28)/100),B31*B29),B31*B29))</f>
        <v>17994.604560854</v>
      </c>
    </row>
    <row r="47" customFormat="false" ht="15" hidden="false" customHeight="false" outlineLevel="0" collapsed="false">
      <c r="A47" s="0" t="s">
        <v>152</v>
      </c>
      <c r="B47" s="0" t="n">
        <f aca="false">(SUMPRODUCT(C19:L19/(1+B45/100)^C4:L4)+B46/(1+B45/100)^L4+Assumptions!$B$5-Assumptions!$B$4)/Assumptions!$B$3*Assumptions!$B$10</f>
        <v>39.9244620204185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154</v>
      </c>
    </row>
    <row r="3" customFormat="false" ht="15" hidden="false" customHeight="false" outlineLevel="0" collapsed="false">
      <c r="A3" s="0" t="s">
        <v>123</v>
      </c>
      <c r="B3" s="0" t="s">
        <v>84</v>
      </c>
      <c r="C3" s="2" t="s">
        <v>98</v>
      </c>
      <c r="D3" s="2" t="s">
        <v>99</v>
      </c>
      <c r="E3" s="2" t="s">
        <v>100</v>
      </c>
      <c r="F3" s="2" t="s">
        <v>101</v>
      </c>
      <c r="G3" s="2" t="s">
        <v>102</v>
      </c>
      <c r="H3" s="2" t="s">
        <v>103</v>
      </c>
      <c r="I3" s="2" t="s">
        <v>104</v>
      </c>
      <c r="J3" s="2" t="s">
        <v>105</v>
      </c>
      <c r="K3" s="2" t="s">
        <v>106</v>
      </c>
      <c r="L3" s="2" t="s">
        <v>107</v>
      </c>
    </row>
    <row r="4" customFormat="false" ht="15" hidden="false" customHeight="false" outlineLevel="0" collapsed="false">
      <c r="A4" s="0" t="s">
        <v>124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108</v>
      </c>
      <c r="C5" s="4" t="n">
        <f aca="false">Assumptions!C41</f>
        <v>12</v>
      </c>
      <c r="D5" s="4" t="n">
        <f aca="false">Assumptions!D41</f>
        <v>15</v>
      </c>
      <c r="E5" s="4" t="n">
        <f aca="false">Assumptions!E41</f>
        <v>13</v>
      </c>
      <c r="F5" s="4" t="n">
        <f aca="false">Assumptions!F41</f>
        <v>11</v>
      </c>
      <c r="G5" s="4" t="n">
        <f aca="false">Assumptions!G41</f>
        <v>9</v>
      </c>
      <c r="H5" s="4" t="n">
        <f aca="false">Assumptions!H41</f>
        <v>8</v>
      </c>
      <c r="I5" s="4" t="n">
        <f aca="false">Assumptions!I41</f>
        <v>6</v>
      </c>
      <c r="J5" s="4" t="n">
        <f aca="false">Assumptions!J41</f>
        <v>5</v>
      </c>
      <c r="K5" s="4" t="n">
        <f aca="false">Assumptions!K41</f>
        <v>4</v>
      </c>
      <c r="L5" s="4" t="n">
        <f aca="false">Assumptions!L41</f>
        <v>3</v>
      </c>
    </row>
    <row r="6" customFormat="false" ht="15" hidden="false" customHeight="false" outlineLevel="0" collapsed="false">
      <c r="A6" s="0" t="s">
        <v>38</v>
      </c>
      <c r="B6" s="3" t="n">
        <v>5763.739</v>
      </c>
      <c r="C6" s="0" t="n">
        <f aca="false">B6*(1+C5/100)</f>
        <v>6455.38768</v>
      </c>
      <c r="D6" s="0" t="n">
        <f aca="false">C6*(1+D5/100)</f>
        <v>7423.695832</v>
      </c>
      <c r="E6" s="0" t="n">
        <f aca="false">D6*(1+E5/100)</f>
        <v>8388.77629016</v>
      </c>
      <c r="F6" s="0" t="n">
        <f aca="false">E6*(1+F5/100)</f>
        <v>9311.5416820776</v>
      </c>
      <c r="G6" s="0" t="n">
        <f aca="false">F6*(1+G5/100)</f>
        <v>10149.5804334646</v>
      </c>
      <c r="H6" s="0" t="n">
        <f aca="false">G6*(1+H5/100)</f>
        <v>10961.5468681418</v>
      </c>
      <c r="I6" s="0" t="n">
        <f aca="false">H6*(1+I5/100)</f>
        <v>11619.2396802303</v>
      </c>
      <c r="J6" s="0" t="n">
        <f aca="false">I6*(1+J5/100)</f>
        <v>12200.2016642418</v>
      </c>
      <c r="K6" s="0" t="n">
        <f aca="false">J6*(1+K5/100)</f>
        <v>12688.2097308114</v>
      </c>
      <c r="L6" s="0" t="n">
        <f aca="false">K6*(1+L5/100)</f>
        <v>13068.8560227358</v>
      </c>
    </row>
    <row r="7" customFormat="false" ht="15" hidden="false" customHeight="false" outlineLevel="0" collapsed="false">
      <c r="A7" s="0" t="s">
        <v>109</v>
      </c>
      <c r="C7" s="4" t="n">
        <f aca="false">Assumptions!C42</f>
        <v>29</v>
      </c>
      <c r="D7" s="4" t="n">
        <f aca="false">Assumptions!D42</f>
        <v>30</v>
      </c>
      <c r="E7" s="4" t="n">
        <f aca="false">Assumptions!E42</f>
        <v>31</v>
      </c>
      <c r="F7" s="4" t="n">
        <f aca="false">Assumptions!F42</f>
        <v>32</v>
      </c>
      <c r="G7" s="4" t="n">
        <f aca="false">Assumptions!G42</f>
        <v>33</v>
      </c>
      <c r="H7" s="4" t="n">
        <f aca="false">Assumptions!H42</f>
        <v>33</v>
      </c>
      <c r="I7" s="4" t="n">
        <f aca="false">Assumptions!I42</f>
        <v>33</v>
      </c>
      <c r="J7" s="4" t="n">
        <f aca="false">Assumptions!J42</f>
        <v>33</v>
      </c>
      <c r="K7" s="4" t="n">
        <f aca="false">Assumptions!K42</f>
        <v>33</v>
      </c>
      <c r="L7" s="4" t="n">
        <f aca="false">Assumptions!L42</f>
        <v>33</v>
      </c>
    </row>
    <row r="8" customFormat="false" ht="15" hidden="false" customHeight="false" outlineLevel="0" collapsed="false">
      <c r="A8" s="0" t="s">
        <v>44</v>
      </c>
      <c r="C8" s="0" t="n">
        <f aca="false">C6*C7/100</f>
        <v>1872.0624272</v>
      </c>
      <c r="D8" s="0" t="n">
        <f aca="false">D6*D7/100</f>
        <v>2227.1087496</v>
      </c>
      <c r="E8" s="0" t="n">
        <f aca="false">E6*E7/100</f>
        <v>2600.5206499496</v>
      </c>
      <c r="F8" s="0" t="n">
        <f aca="false">F6*F7/100</f>
        <v>2979.69333826483</v>
      </c>
      <c r="G8" s="0" t="n">
        <f aca="false">G6*G7/100</f>
        <v>3349.36154304331</v>
      </c>
      <c r="H8" s="0" t="n">
        <f aca="false">H6*H7/100</f>
        <v>3617.31046648678</v>
      </c>
      <c r="I8" s="0" t="n">
        <f aca="false">I6*I7/100</f>
        <v>3834.34909447599</v>
      </c>
      <c r="J8" s="0" t="n">
        <f aca="false">J6*J7/100</f>
        <v>4026.06654919978</v>
      </c>
      <c r="K8" s="0" t="n">
        <f aca="false">K6*K7/100</f>
        <v>4187.10921116778</v>
      </c>
      <c r="L8" s="0" t="n">
        <f aca="false">L6*L7/100</f>
        <v>4312.72248750281</v>
      </c>
    </row>
    <row r="9" customFormat="false" ht="15" hidden="false" customHeight="false" outlineLevel="0" collapsed="false">
      <c r="A9" s="0" t="s">
        <v>110</v>
      </c>
      <c r="C9" s="4" t="n">
        <f aca="false">Assumptions!C43</f>
        <v>1.8</v>
      </c>
      <c r="D9" s="4" t="n">
        <f aca="false">Assumptions!D43</f>
        <v>1.75</v>
      </c>
      <c r="E9" s="4" t="n">
        <f aca="false">Assumptions!E43</f>
        <v>1.7</v>
      </c>
      <c r="F9" s="4" t="n">
        <f aca="false">Assumptions!F43</f>
        <v>1.65</v>
      </c>
      <c r="G9" s="4" t="n">
        <f aca="false">Assumptions!G43</f>
        <v>1.6</v>
      </c>
      <c r="H9" s="4" t="n">
        <f aca="false">Assumptions!H43</f>
        <v>1.55</v>
      </c>
      <c r="I9" s="4" t="n">
        <f aca="false">Assumptions!I43</f>
        <v>1.5</v>
      </c>
      <c r="J9" s="4" t="n">
        <f aca="false">Assumptions!J43</f>
        <v>1.45</v>
      </c>
      <c r="K9" s="4" t="n">
        <f aca="false">Assumptions!K43</f>
        <v>1.4</v>
      </c>
      <c r="L9" s="4" t="n">
        <f aca="false">Assumptions!L43</f>
        <v>1.4</v>
      </c>
    </row>
    <row r="10" customFormat="false" ht="15" hidden="false" customHeight="false" outlineLevel="0" collapsed="false">
      <c r="A10" s="0" t="s">
        <v>125</v>
      </c>
      <c r="C10" s="0" t="n">
        <f aca="false">-C6*C9/100</f>
        <v>-116.19697824</v>
      </c>
      <c r="D10" s="0" t="n">
        <f aca="false">-D6*D9/100</f>
        <v>-129.91467706</v>
      </c>
      <c r="E10" s="0" t="n">
        <f aca="false">-E6*E9/100</f>
        <v>-142.60919693272</v>
      </c>
      <c r="F10" s="0" t="n">
        <f aca="false">-F6*F9/100</f>
        <v>-153.64043775428</v>
      </c>
      <c r="G10" s="0" t="n">
        <f aca="false">-G6*G9/100</f>
        <v>-162.393286935433</v>
      </c>
      <c r="H10" s="0" t="n">
        <f aca="false">-H6*H9/100</f>
        <v>-169.903976456197</v>
      </c>
      <c r="I10" s="0" t="n">
        <f aca="false">-I6*I9/100</f>
        <v>-174.288595203454</v>
      </c>
      <c r="J10" s="0" t="n">
        <f aca="false">-J6*J9/100</f>
        <v>-176.902924131506</v>
      </c>
      <c r="K10" s="0" t="n">
        <f aca="false">-K6*K9/100</f>
        <v>-177.63493623136</v>
      </c>
      <c r="L10" s="0" t="n">
        <f aca="false">-L6*L9/100</f>
        <v>-182.963984318301</v>
      </c>
    </row>
    <row r="11" customFormat="false" ht="15" hidden="false" customHeight="false" outlineLevel="0" collapsed="false">
      <c r="A11" s="0" t="s">
        <v>126</v>
      </c>
      <c r="C11" s="0" t="n">
        <f aca="false">C8+C10+C24</f>
        <v>1755.86544896</v>
      </c>
      <c r="D11" s="0" t="n">
        <f aca="false">D8+D10+D24</f>
        <v>2097.19407254</v>
      </c>
      <c r="E11" s="0" t="n">
        <f aca="false">E8+E10+E24</f>
        <v>2457.91145301688</v>
      </c>
      <c r="F11" s="0" t="n">
        <f aca="false">F8+F10+F24</f>
        <v>2826.05290051055</v>
      </c>
      <c r="G11" s="0" t="n">
        <f aca="false">G8+G10+G24</f>
        <v>3186.96825610788</v>
      </c>
      <c r="H11" s="0" t="n">
        <f aca="false">H8+H10+H24</f>
        <v>3447.40649003058</v>
      </c>
      <c r="I11" s="0" t="n">
        <f aca="false">I8+I10+I24</f>
        <v>3660.06049927253</v>
      </c>
      <c r="J11" s="0" t="n">
        <f aca="false">J8+J10+J24</f>
        <v>3849.16362506828</v>
      </c>
      <c r="K11" s="0" t="n">
        <f aca="false">K8+K10+K24</f>
        <v>4009.47427493642</v>
      </c>
      <c r="L11" s="0" t="n">
        <f aca="false">L8+L10+L24</f>
        <v>4129.75850318451</v>
      </c>
    </row>
    <row r="12" customFormat="false" ht="15" hidden="false" customHeight="false" outlineLevel="0" collapsed="false">
      <c r="A12" s="0" t="s">
        <v>127</v>
      </c>
      <c r="C12" s="4" t="n">
        <f aca="false">-C6*Assumptions!C45/100</f>
        <v>-129.1077536</v>
      </c>
      <c r="D12" s="4" t="n">
        <f aca="false">-D6*Assumptions!D45/100</f>
        <v>-141.050220808</v>
      </c>
      <c r="E12" s="4" t="n">
        <f aca="false">-E6*Assumptions!E45/100</f>
        <v>-150.99797322288</v>
      </c>
      <c r="F12" s="4" t="n">
        <f aca="false">-F6*Assumptions!F45/100</f>
        <v>-158.296208595319</v>
      </c>
      <c r="G12" s="4" t="n">
        <f aca="false">-G6*Assumptions!G45/100</f>
        <v>-162.393286935433</v>
      </c>
      <c r="H12" s="4" t="n">
        <f aca="false">-H6*Assumptions!H45/100</f>
        <v>-164.423203022126</v>
      </c>
      <c r="I12" s="4" t="n">
        <f aca="false">-I6*Assumptions!I45/100</f>
        <v>-174.288595203454</v>
      </c>
      <c r="J12" s="4" t="n">
        <f aca="false">-J6*Assumptions!J45/100</f>
        <v>-183.003024963627</v>
      </c>
      <c r="K12" s="4" t="n">
        <f aca="false">-K6*Assumptions!K45/100</f>
        <v>-190.323145962172</v>
      </c>
      <c r="L12" s="4" t="n">
        <f aca="false">-L6*Assumptions!L45/100</f>
        <v>-196.032840341037</v>
      </c>
    </row>
    <row r="13" customFormat="false" ht="15" hidden="false" customHeight="false" outlineLevel="0" collapsed="false">
      <c r="A13" s="0" t="s">
        <v>128</v>
      </c>
      <c r="C13" s="0" t="n">
        <f aca="false">C11+C12</f>
        <v>1626.75769536</v>
      </c>
      <c r="D13" s="0" t="n">
        <f aca="false">D11+D12</f>
        <v>1956.143851732</v>
      </c>
      <c r="E13" s="0" t="n">
        <f aca="false">E11+E12</f>
        <v>2306.913479794</v>
      </c>
      <c r="F13" s="0" t="n">
        <f aca="false">F11+F12</f>
        <v>2667.75669191523</v>
      </c>
      <c r="G13" s="0" t="n">
        <f aca="false">G11+G12</f>
        <v>3024.57496917245</v>
      </c>
      <c r="H13" s="0" t="n">
        <f aca="false">H11+H12</f>
        <v>3282.98328700845</v>
      </c>
      <c r="I13" s="0" t="n">
        <f aca="false">I11+I12</f>
        <v>3485.77190406908</v>
      </c>
      <c r="J13" s="0" t="n">
        <f aca="false">J11+J12</f>
        <v>3666.16060010465</v>
      </c>
      <c r="K13" s="0" t="n">
        <f aca="false">K11+K12</f>
        <v>3819.15112897424</v>
      </c>
      <c r="L13" s="0" t="n">
        <f aca="false">L11+L12</f>
        <v>3933.72566284347</v>
      </c>
    </row>
    <row r="14" customFormat="false" ht="15" hidden="false" customHeight="false" outlineLevel="0" collapsed="false">
      <c r="A14" s="0" t="s">
        <v>114</v>
      </c>
      <c r="C14" s="4" t="n">
        <f aca="false">Assumptions!C47</f>
        <v>12</v>
      </c>
      <c r="D14" s="4" t="n">
        <f aca="false">Assumptions!D47</f>
        <v>13</v>
      </c>
      <c r="E14" s="4" t="n">
        <f aca="false">Assumptions!E47</f>
        <v>15</v>
      </c>
      <c r="F14" s="4" t="n">
        <f aca="false">Assumptions!F47</f>
        <v>17</v>
      </c>
      <c r="G14" s="4" t="n">
        <f aca="false">Assumptions!G47</f>
        <v>19</v>
      </c>
      <c r="H14" s="4" t="n">
        <f aca="false">Assumptions!H47</f>
        <v>19</v>
      </c>
      <c r="I14" s="4" t="n">
        <f aca="false">Assumptions!I47</f>
        <v>19</v>
      </c>
      <c r="J14" s="4" t="n">
        <f aca="false">Assumptions!J47</f>
        <v>19</v>
      </c>
      <c r="K14" s="4" t="n">
        <f aca="false">Assumptions!K47</f>
        <v>19</v>
      </c>
      <c r="L14" s="4" t="n">
        <f aca="false">Assumptions!L47</f>
        <v>19</v>
      </c>
    </row>
    <row r="15" customFormat="false" ht="15" hidden="false" customHeight="false" outlineLevel="0" collapsed="false">
      <c r="A15" s="0" t="s">
        <v>129</v>
      </c>
      <c r="C15" s="0" t="n">
        <f aca="false">C13-MAX(0,C13)*C14/100</f>
        <v>1431.5467719168</v>
      </c>
      <c r="D15" s="0" t="n">
        <f aca="false">D13-MAX(0,D13)*D14/100</f>
        <v>1701.84515100684</v>
      </c>
      <c r="E15" s="0" t="n">
        <f aca="false">E13-MAX(0,E13)*E14/100</f>
        <v>1960.8764578249</v>
      </c>
      <c r="F15" s="0" t="n">
        <f aca="false">F13-MAX(0,F13)*F14/100</f>
        <v>2214.23805428964</v>
      </c>
      <c r="G15" s="0" t="n">
        <f aca="false">G13-MAX(0,G13)*G14/100</f>
        <v>2449.90572502968</v>
      </c>
      <c r="H15" s="0" t="n">
        <f aca="false">H13-MAX(0,H13)*H14/100</f>
        <v>2659.21646247685</v>
      </c>
      <c r="I15" s="0" t="n">
        <f aca="false">I13-MAX(0,I13)*I14/100</f>
        <v>2823.47524229595</v>
      </c>
      <c r="J15" s="0" t="n">
        <f aca="false">J13-MAX(0,J13)*J14/100</f>
        <v>2969.59008608477</v>
      </c>
      <c r="K15" s="0" t="n">
        <f aca="false">K13-MAX(0,K13)*K14/100</f>
        <v>3093.51241446914</v>
      </c>
      <c r="L15" s="0" t="n">
        <f aca="false">L13-MAX(0,L13)*L14/100</f>
        <v>3186.31778690321</v>
      </c>
    </row>
    <row r="16" customFormat="false" ht="15" hidden="false" customHeight="false" outlineLevel="0" collapsed="false">
      <c r="A16" s="0" t="s">
        <v>130</v>
      </c>
      <c r="C16" s="0" t="n">
        <f aca="false">-C12</f>
        <v>129.1077536</v>
      </c>
      <c r="D16" s="0" t="n">
        <f aca="false">-D12</f>
        <v>141.050220808</v>
      </c>
      <c r="E16" s="0" t="n">
        <f aca="false">-E12</f>
        <v>150.99797322288</v>
      </c>
      <c r="F16" s="0" t="n">
        <f aca="false">-F12</f>
        <v>158.296208595319</v>
      </c>
      <c r="G16" s="0" t="n">
        <f aca="false">-G12</f>
        <v>162.393286935433</v>
      </c>
      <c r="H16" s="0" t="n">
        <f aca="false">-H12</f>
        <v>164.423203022126</v>
      </c>
      <c r="I16" s="0" t="n">
        <f aca="false">-I12</f>
        <v>174.288595203454</v>
      </c>
      <c r="J16" s="0" t="n">
        <f aca="false">-J12</f>
        <v>183.003024963627</v>
      </c>
      <c r="K16" s="0" t="n">
        <f aca="false">-K12</f>
        <v>190.323145962172</v>
      </c>
      <c r="L16" s="0" t="n">
        <f aca="false">-L12</f>
        <v>196.032840341037</v>
      </c>
    </row>
    <row r="17" customFormat="false" ht="15" hidden="false" customHeight="false" outlineLevel="0" collapsed="false">
      <c r="A17" s="0" t="s">
        <v>131</v>
      </c>
      <c r="C17" s="4" t="n">
        <f aca="false">-C6*Assumptions!C46/100</f>
        <v>-96.8308152</v>
      </c>
      <c r="D17" s="4" t="n">
        <f aca="false">-D6*Assumptions!D46/100</f>
        <v>-111.35543748</v>
      </c>
      <c r="E17" s="4" t="n">
        <f aca="false">-E6*Assumptions!E46/100</f>
        <v>-125.8316443524</v>
      </c>
      <c r="F17" s="4" t="n">
        <f aca="false">-F6*Assumptions!F46/100</f>
        <v>-139.673125231164</v>
      </c>
      <c r="G17" s="4" t="n">
        <f aca="false">-G6*Assumptions!G46/100</f>
        <v>-152.243706501969</v>
      </c>
      <c r="H17" s="4" t="n">
        <f aca="false">-H6*Assumptions!H46/100</f>
        <v>-164.423203022126</v>
      </c>
      <c r="I17" s="4" t="n">
        <f aca="false">-I6*Assumptions!I46/100</f>
        <v>-174.288595203454</v>
      </c>
      <c r="J17" s="4" t="n">
        <f aca="false">-J6*Assumptions!J46/100</f>
        <v>-183.003024963627</v>
      </c>
      <c r="K17" s="4" t="n">
        <f aca="false">-K6*Assumptions!K46/100</f>
        <v>-190.323145962172</v>
      </c>
      <c r="L17" s="4" t="n">
        <f aca="false">-L6*Assumptions!L46/100</f>
        <v>-196.032840341037</v>
      </c>
    </row>
    <row r="18" customFormat="false" ht="15" hidden="false" customHeight="false" outlineLevel="0" collapsed="false">
      <c r="A18" s="0" t="s">
        <v>132</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133</v>
      </c>
      <c r="C19" s="0" t="n">
        <f aca="false">C15+C16+C17+C18</f>
        <v>1463.8237103168</v>
      </c>
      <c r="D19" s="0" t="n">
        <f aca="false">D15+D16+D17+D18</f>
        <v>1731.53993433484</v>
      </c>
      <c r="E19" s="0" t="n">
        <f aca="false">E15+E16+E17+E18</f>
        <v>1986.04278669538</v>
      </c>
      <c r="F19" s="0" t="n">
        <f aca="false">F15+F16+F17+F18</f>
        <v>2232.8611376538</v>
      </c>
      <c r="G19" s="0" t="n">
        <f aca="false">G15+G16+G17+G18</f>
        <v>2460.05530546315</v>
      </c>
      <c r="H19" s="0" t="n">
        <f aca="false">H15+H16+H17+H18</f>
        <v>2659.21646247685</v>
      </c>
      <c r="I19" s="0" t="n">
        <f aca="false">I15+I16+I17+I18</f>
        <v>2823.47524229595</v>
      </c>
      <c r="J19" s="0" t="n">
        <f aca="false">J15+J16+J17+J18</f>
        <v>2969.59008608477</v>
      </c>
      <c r="K19" s="0" t="n">
        <f aca="false">K15+K16+K17+K18</f>
        <v>3093.51241446914</v>
      </c>
      <c r="L19" s="0" t="n">
        <f aca="false">L15+L16+L17+L18</f>
        <v>3186.31778690321</v>
      </c>
    </row>
    <row r="20" customFormat="false" ht="15" hidden="false" customHeight="false" outlineLevel="0" collapsed="false">
      <c r="A20" s="0" t="s">
        <v>134</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135</v>
      </c>
      <c r="C21" s="0" t="n">
        <f aca="false">C19*C20</f>
        <v>1330.74882756073</v>
      </c>
      <c r="D21" s="0" t="n">
        <f aca="false">D19*D20</f>
        <v>1431.0247391197</v>
      </c>
      <c r="E21" s="0" t="n">
        <f aca="false">E19*E20</f>
        <v>1492.14334086805</v>
      </c>
      <c r="F21" s="0" t="n">
        <f aca="false">F19*F20</f>
        <v>1525.0742009793</v>
      </c>
      <c r="G21" s="0" t="n">
        <f aca="false">G19*G20</f>
        <v>1527.50079506687</v>
      </c>
      <c r="H21" s="0" t="n">
        <f aca="false">H19*H20</f>
        <v>1501.05836743801</v>
      </c>
      <c r="I21" s="0" t="n">
        <f aca="false">I19*I20</f>
        <v>1448.88924220758</v>
      </c>
      <c r="J21" s="0" t="n">
        <f aca="false">J19*J20</f>
        <v>1385.3356913562</v>
      </c>
      <c r="K21" s="0" t="n">
        <f aca="false">K19*K20</f>
        <v>1311.95124738208</v>
      </c>
      <c r="L21" s="0" t="n">
        <f aca="false">L19*L20</f>
        <v>1228.46344073049</v>
      </c>
    </row>
    <row r="23" customFormat="false" ht="15" hidden="false" customHeight="false" outlineLevel="0" collapsed="false">
      <c r="A23" s="0" t="s">
        <v>111</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137</v>
      </c>
    </row>
    <row r="27" customFormat="false" ht="15" hidden="false" customHeight="false" outlineLevel="0" collapsed="false">
      <c r="A27" s="0" t="s">
        <v>115</v>
      </c>
      <c r="B27" s="4" t="n">
        <f aca="false">Assumptions!$B$48</f>
        <v>10</v>
      </c>
    </row>
    <row r="28" customFormat="false" ht="15" hidden="false" customHeight="false" outlineLevel="0" collapsed="false">
      <c r="A28" s="0" t="s">
        <v>116</v>
      </c>
      <c r="B28" s="4" t="n">
        <f aca="false">Assumptions!$B$49</f>
        <v>3</v>
      </c>
    </row>
    <row r="29" customFormat="false" ht="15" hidden="false" customHeight="false" outlineLevel="0" collapsed="false">
      <c r="A29" s="0" t="s">
        <v>117</v>
      </c>
      <c r="B29" s="4" t="n">
        <f aca="false">Assumptions!$B$50</f>
        <v>15</v>
      </c>
    </row>
    <row r="30" customFormat="false" ht="15" hidden="false" customHeight="false" outlineLevel="0" collapsed="false">
      <c r="A30" s="0" t="s">
        <v>138</v>
      </c>
      <c r="B30" s="0" t="n">
        <f aca="false">SUM(C21:L21)</f>
        <v>14182.189892709</v>
      </c>
    </row>
    <row r="31" customFormat="false" ht="15" hidden="false" customHeight="false" outlineLevel="0" collapsed="false">
      <c r="A31" s="0" t="s">
        <v>139</v>
      </c>
      <c r="B31" s="0" t="n">
        <f aca="false">L19</f>
        <v>3186.31778690321</v>
      </c>
    </row>
    <row r="32" customFormat="false" ht="15" hidden="false" customHeight="false" outlineLevel="0" collapsed="false">
      <c r="A32" s="0" t="s">
        <v>140</v>
      </c>
      <c r="B32" s="0" t="n">
        <f aca="false">IF(B27&gt;B28,B31*(1+B28/100)/((B27-B28)/100),B31*B29)</f>
        <v>46884.3902930044</v>
      </c>
    </row>
    <row r="33" customFormat="false" ht="15" hidden="false" customHeight="false" outlineLevel="0" collapsed="false">
      <c r="A33" s="0" t="s">
        <v>141</v>
      </c>
      <c r="B33" s="0" t="n">
        <f aca="false">B31*B29</f>
        <v>47794.7668035482</v>
      </c>
    </row>
    <row r="34" customFormat="false" ht="15" hidden="false" customHeight="false" outlineLevel="0" collapsed="false">
      <c r="A34" s="0" t="s">
        <v>142</v>
      </c>
      <c r="B34" s="0" t="n">
        <f aca="false">MAX(0,MIN(B32,B33))</f>
        <v>46884.3902930044</v>
      </c>
    </row>
    <row r="35" customFormat="false" ht="15" hidden="false" customHeight="false" outlineLevel="0" collapsed="false">
      <c r="A35" s="0" t="s">
        <v>143</v>
      </c>
      <c r="B35" s="0" t="n">
        <f aca="false">B34/(1+B27/100)^L4</f>
        <v>18075.9620564629</v>
      </c>
    </row>
    <row r="36" customFormat="false" ht="15" hidden="false" customHeight="false" outlineLevel="0" collapsed="false">
      <c r="A36" s="0" t="s">
        <v>144</v>
      </c>
      <c r="B36" s="0" t="n">
        <f aca="false">B30+B35</f>
        <v>32258.1519491719</v>
      </c>
    </row>
    <row r="37" customFormat="false" ht="15" hidden="false" customHeight="false" outlineLevel="0" collapsed="false">
      <c r="A37" s="0" t="s">
        <v>145</v>
      </c>
      <c r="B37" s="0" t="n">
        <f aca="false">B36+Assumptions!$B$5-Assumptions!$B$4</f>
        <v>36273.8289491719</v>
      </c>
    </row>
    <row r="38" customFormat="false" ht="15" hidden="false" customHeight="false" outlineLevel="0" collapsed="false">
      <c r="A38" s="0" t="s">
        <v>146</v>
      </c>
      <c r="B38" s="0" t="n">
        <f aca="false">B37/Assumptions!$B$3*Assumptions!$B$10</f>
        <v>85.448106305235</v>
      </c>
    </row>
    <row r="39" customFormat="false" ht="15" hidden="false" customHeight="false" outlineLevel="0" collapsed="false">
      <c r="A39" s="0" t="s">
        <v>147</v>
      </c>
      <c r="B39" s="4" t="n">
        <f aca="false">B38/Assumptions!$B$2-1</f>
        <v>1.10878840832268</v>
      </c>
    </row>
    <row r="41" customFormat="false" ht="15" hidden="false" customHeight="false" outlineLevel="0" collapsed="false">
      <c r="A41" s="0" t="s">
        <v>148</v>
      </c>
      <c r="B41" s="0" t="n">
        <f aca="false">SUMPRODUCT(-C10:L10/(1+$B$27/100)^C4:L4)</f>
        <v>939.663041849146</v>
      </c>
    </row>
    <row r="42" customFormat="false" ht="15" hidden="false" customHeight="false" outlineLevel="0" collapsed="false">
      <c r="A42" s="0" t="s">
        <v>149</v>
      </c>
      <c r="B42" s="0" t="n">
        <f aca="false">IF(B27&gt;B28,-L10*(1+B28/100)/((B27-B28)/100),-L10*20)/(1+B27/100)^L4</f>
        <v>1037.95360645782</v>
      </c>
    </row>
    <row r="43" customFormat="false" ht="15" hidden="false" customHeight="false" outlineLevel="0" collapsed="false">
      <c r="A43" s="0" t="s">
        <v>150</v>
      </c>
      <c r="B43" s="0" t="n">
        <f aca="false">(B37+B41+B42)/Assumptions!$B$3*Assumptions!$B$10</f>
        <v>90.1066604885368</v>
      </c>
    </row>
    <row r="45" customFormat="false" ht="15" hidden="false" customHeight="false" outlineLevel="0" collapsed="false">
      <c r="A45" s="0" t="s">
        <v>91</v>
      </c>
      <c r="B45" s="4" t="n">
        <f aca="false">Assumptions!$B$6</f>
        <v>15</v>
      </c>
    </row>
    <row r="46" customFormat="false" ht="15" hidden="false" customHeight="false" outlineLevel="0" collapsed="false">
      <c r="A46" s="0" t="s">
        <v>151</v>
      </c>
      <c r="B46" s="0" t="n">
        <f aca="false">MAX(0,MIN(IF(B45&gt;B28,B31*(1+B28/100)/((B45-B28)/100),B31*B29),B31*B29))</f>
        <v>27349.2276709192</v>
      </c>
    </row>
    <row r="47" customFormat="false" ht="15" hidden="false" customHeight="false" outlineLevel="0" collapsed="false">
      <c r="A47" s="0" t="s">
        <v>152</v>
      </c>
      <c r="B47" s="0" t="n">
        <f aca="false">(SUMPRODUCT(C19:L19/(1+B45/100)^C4:L4)+B46/(1+B45/100)^L4+Assumptions!$B$5-Assumptions!$B$4)/Assumptions!$B$3*Assumptions!$B$10</f>
        <v>51.8537716919105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155</v>
      </c>
    </row>
    <row r="3" customFormat="false" ht="15" hidden="false" customHeight="false" outlineLevel="0" collapsed="false">
      <c r="A3" s="2" t="s">
        <v>156</v>
      </c>
      <c r="B3" s="2" t="s">
        <v>157</v>
      </c>
      <c r="C3" s="2" t="s">
        <v>147</v>
      </c>
      <c r="D3" s="2" t="s">
        <v>158</v>
      </c>
      <c r="E3" s="2" t="s">
        <v>150</v>
      </c>
      <c r="F3" s="2" t="s">
        <v>159</v>
      </c>
    </row>
    <row r="4" customFormat="false" ht="15" hidden="false" customHeight="false" outlineLevel="0" collapsed="false">
      <c r="A4" s="0" t="s">
        <v>160</v>
      </c>
      <c r="B4" s="4" t="n">
        <f aca="false">DCF_Bear!$B$38</f>
        <v>35.8047171247851</v>
      </c>
      <c r="C4" s="0" t="n">
        <f aca="false">B4/Assumptions!$B$2-1</f>
        <v>-0.116369271352786</v>
      </c>
      <c r="D4" s="4" t="n">
        <f aca="false">Assumptions!$B$24</f>
        <v>0.25</v>
      </c>
      <c r="E4" s="4" t="n">
        <f aca="false">DCF_Bear!$B$43</f>
        <v>38.8598347923457</v>
      </c>
      <c r="F4" s="4" t="n">
        <f aca="false">DCF_Bear!$B$47</f>
        <v>25.8317946787117</v>
      </c>
    </row>
    <row r="5" customFormat="false" ht="15" hidden="false" customHeight="false" outlineLevel="0" collapsed="false">
      <c r="A5" s="0" t="s">
        <v>161</v>
      </c>
      <c r="B5" s="4" t="n">
        <f aca="false">DCF_Base!$B$38</f>
        <v>61.6648294286264</v>
      </c>
      <c r="C5" s="0" t="n">
        <f aca="false">B5/Assumptions!$B$2-1</f>
        <v>0.521836856580118</v>
      </c>
      <c r="D5" s="4" t="n">
        <f aca="false">Assumptions!$B$38</f>
        <v>0.5</v>
      </c>
      <c r="E5" s="4" t="n">
        <f aca="false">DCF_Base!$B$43</f>
        <v>65.4292777852044</v>
      </c>
      <c r="F5" s="4" t="n">
        <f aca="false">DCF_Base!$B$47</f>
        <v>39.9244620204185</v>
      </c>
    </row>
    <row r="6" customFormat="false" ht="15" hidden="false" customHeight="false" outlineLevel="0" collapsed="false">
      <c r="A6" s="0" t="s">
        <v>162</v>
      </c>
      <c r="B6" s="4" t="n">
        <f aca="false">DCF_Bull!$B$38</f>
        <v>85.448106305235</v>
      </c>
      <c r="C6" s="0" t="n">
        <f aca="false">B6/Assumptions!$B$2-1</f>
        <v>1.10878840832268</v>
      </c>
      <c r="D6" s="4" t="n">
        <f aca="false">Assumptions!$B$52</f>
        <v>0.25</v>
      </c>
      <c r="E6" s="4" t="n">
        <f aca="false">DCF_Bull!$B$43</f>
        <v>90.1066604885368</v>
      </c>
      <c r="F6" s="4" t="n">
        <f aca="false">DCF_Bull!$B$47</f>
        <v>51.8537716919105</v>
      </c>
    </row>
    <row r="8" customFormat="false" ht="15" hidden="false" customHeight="false" outlineLevel="0" collapsed="false">
      <c r="A8" s="0" t="s">
        <v>163</v>
      </c>
      <c r="B8" s="0" t="n">
        <f aca="false">SUMPRODUCT(B4:B6,D4:D6)</f>
        <v>61.1456205718182</v>
      </c>
    </row>
    <row r="9" customFormat="false" ht="15" hidden="false" customHeight="false" outlineLevel="0" collapsed="false">
      <c r="A9" s="0" t="s">
        <v>164</v>
      </c>
      <c r="B9" s="0" t="n">
        <f aca="false">SUMPRODUCT(E4:E6,D4:D6)</f>
        <v>64.9562627128228</v>
      </c>
    </row>
    <row r="10" customFormat="false" ht="15" hidden="false" customHeight="false" outlineLevel="0" collapsed="false">
      <c r="A10" s="0" t="s">
        <v>165</v>
      </c>
      <c r="B10" s="0" t="n">
        <f aca="false">1-Assumptions!$B$2/B8</f>
        <v>0.337319670303984</v>
      </c>
    </row>
    <row r="11" customFormat="false" ht="15" hidden="false" customHeight="false" outlineLevel="0" collapsed="false">
      <c r="A11" s="0" t="s">
        <v>166</v>
      </c>
      <c r="B11" s="0" t="n">
        <f aca="false">IF(ABS(B9-B8)&gt;0.01*ABS(B8),(Assumptions!$B$2-B8)/(B9-B8)*100,"n/a")</f>
        <v>-541.263645564491</v>
      </c>
    </row>
    <row r="12" customFormat="false" ht="15" hidden="false" customHeight="false" outlineLevel="0" collapsed="false">
      <c r="A12" s="0" t="s">
        <v>167</v>
      </c>
      <c r="B12" s="0" t="n">
        <f aca="false">SUMPRODUCT(F4:F6,D4:D6)</f>
        <v>39.3836226028648</v>
      </c>
    </row>
    <row r="14" customFormat="false" ht="15" hidden="false" customHeight="false" outlineLevel="0" collapsed="false">
      <c r="A14" s="2" t="s">
        <v>168</v>
      </c>
      <c r="C14" s="0" t="s">
        <v>169</v>
      </c>
    </row>
    <row r="15" customFormat="false" ht="15" hidden="false" customHeight="false" outlineLevel="0" collapsed="false">
      <c r="A15" s="0" t="s">
        <v>170</v>
      </c>
      <c r="B15" s="0" t="n">
        <f aca="false">(SUMPRODUCT(DCF_Base!$C$19:$L$19/(1+$C$15/100)^DCF_Base!$C$4:$L$4)+MAX(0,MIN(IF($C$15&gt;DCF_Base!$B$28,DCF_Base!$L$19*(1+DCF_Base!$B$28/100)/(($C$15-DCF_Base!$B$28)/100),DCF_Base!$L$19*DCF_Base!$B$29),DCF_Base!$L$19*DCF_Base!$B$29))/(1+$C$15/100)^DCF_Base!$L$4+Assumptions!$B$5-Assumptions!$B$4)/Assumptions!$B$3*Assumptions!$B$10</f>
        <v>68.3995082316789</v>
      </c>
      <c r="C15" s="3" t="n">
        <v>9</v>
      </c>
    </row>
    <row r="16" customFormat="false" ht="15" hidden="false" customHeight="false" outlineLevel="0" collapsed="false">
      <c r="A16" s="0" t="s">
        <v>171</v>
      </c>
      <c r="B16" s="0" t="n">
        <f aca="false">(SUMPRODUCT(DCF_Base!$C$19:$L$19/(1+$C$16/100)^DCF_Base!$C$4:$L$4)+MAX(0,MIN(IF($C$16&gt;DCF_Base!$B$28,DCF_Base!$L$19*(1+DCF_Base!$B$28/100)/(($C$16-DCF_Base!$B$28)/100),DCF_Base!$L$19*DCF_Base!$B$29),DCF_Base!$L$19*DCF_Base!$B$29))/(1+$C$16/100)^DCF_Base!$L$4+Assumptions!$B$5-Assumptions!$B$4)/Assumptions!$B$3*Assumptions!$B$10</f>
        <v>61.6648294286264</v>
      </c>
      <c r="C16" s="3" t="n">
        <v>10</v>
      </c>
    </row>
    <row r="17" customFormat="false" ht="15" hidden="false" customHeight="false" outlineLevel="0" collapsed="false">
      <c r="A17" s="0" t="s">
        <v>172</v>
      </c>
      <c r="B17" s="0" t="n">
        <f aca="false">(SUMPRODUCT(DCF_Base!$C$19:$L$19/(1+$C$17/100)^DCF_Base!$C$4:$L$4)+MAX(0,MIN(IF($C$17&gt;DCF_Base!$B$28,DCF_Base!$L$19*(1+DCF_Base!$B$28/100)/(($C$17-DCF_Base!$B$28)/100),DCF_Base!$L$19*DCF_Base!$B$29),DCF_Base!$L$19*DCF_Base!$B$29))/(1+$C$17/100)^DCF_Base!$L$4+Assumptions!$B$5-Assumptions!$B$4)/Assumptions!$B$3*Assumptions!$B$10</f>
        <v>55.2449499173774</v>
      </c>
      <c r="C17" s="3" t="n">
        <v>11</v>
      </c>
    </row>
    <row r="18" customFormat="false" ht="15" hidden="false" customHeight="false" outlineLevel="0" collapsed="false">
      <c r="A18" s="0" t="s">
        <v>173</v>
      </c>
      <c r="B18" s="0" t="n">
        <f aca="false">(SUMPRODUCT(DCF_Base!$C$19:$L$19/(1+$C$18/100)^DCF_Base!$C$4:$L$4)+MAX(0,MIN(IF($C$18&gt;DCF_Base!$B$28,DCF_Base!$L$19*(1+DCF_Base!$B$28/100)/(($C$18-DCF_Base!$B$28)/100),DCF_Base!$L$19*DCF_Base!$B$29),DCF_Base!$L$19*DCF_Base!$B$29))/(1+$C$18/100)^DCF_Base!$L$4+Assumptions!$B$5-Assumptions!$B$4)/Assumptions!$B$3*Assumptions!$B$10</f>
        <v>50.1888621765859</v>
      </c>
      <c r="C18" s="3" t="n">
        <v>12</v>
      </c>
    </row>
    <row r="19" customFormat="false" ht="15" hidden="false" customHeight="false" outlineLevel="0" collapsed="false">
      <c r="A19" s="0" t="s">
        <v>174</v>
      </c>
      <c r="B19" s="0" t="n">
        <f aca="false">(SUMPRODUCT(DCF_Base!$C$19:$L$19/(1+$C$19/100)^DCF_Base!$C$4:$L$4)+MAX(0,MIN(IF($C$19&gt;DCF_Base!$B$28,DCF_Base!$L$19*(1+DCF_Base!$B$28/100)/(($C$19-DCF_Base!$B$28)/100),DCF_Base!$L$19*DCF_Base!$B$29),DCF_Base!$L$19*DCF_Base!$B$29))/(1+$C$19/100)^DCF_Base!$L$4+Assumptions!$B$5-Assumptions!$B$4)/Assumptions!$B$3*Assumptions!$B$10</f>
        <v>39.9244620204185</v>
      </c>
      <c r="C19" s="3" t="n">
        <v>15</v>
      </c>
    </row>
    <row r="21" customFormat="false" ht="15" hidden="false" customHeight="false" outlineLevel="0" collapsed="false">
      <c r="A21" s="2" t="s">
        <v>175</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72.8705972571196</v>
      </c>
      <c r="C23" s="0" t="n">
        <f aca="false">(SUMPRODUCT(DCF_Base!$C$19:$L$19/(1+$A$23/100)^DCF_Base!$C$4:$L$4)+MAX(0,MIN(IF($A$23&gt;$C$22,DCF_Base!$L$19*(1+$C$22/100)/(($A$23-$C$22)/100),DCF_Base!$L$19*DCF_Base!$B$29),DCF_Base!$L$19*DCF_Base!$B$29))/(1+$A$23/100)^DCF_Base!$L$4+Assumptions!$B$5-Assumptions!$B$4)/Assumptions!$B$3*Assumptions!$B$10</f>
        <v>72.8705972571196</v>
      </c>
      <c r="D23" s="0" t="n">
        <f aca="false">(SUMPRODUCT(DCF_Base!$C$19:$L$19/(1+$A$23/100)^DCF_Base!$C$4:$L$4)+MAX(0,MIN(IF($A$23&gt;$D$22,DCF_Base!$L$19*(1+$D$22/100)/(($A$23-$D$22)/100),DCF_Base!$L$19*DCF_Base!$B$29),DCF_Base!$L$19*DCF_Base!$B$29))/(1+$A$23/100)^DCF_Base!$L$4+Assumptions!$B$5-Assumptions!$B$4)/Assumptions!$B$3*Assumptions!$B$10</f>
        <v>72.8705972571196</v>
      </c>
      <c r="E23" s="0" t="n">
        <f aca="false">(SUMPRODUCT(DCF_Base!$C$19:$L$19/(1+$A$23/100)^DCF_Base!$C$4:$L$4)+MAX(0,MIN(IF($A$23&gt;$E$22,DCF_Base!$L$19*(1+$E$22/100)/(($A$23-$E$22)/100),DCF_Base!$L$19*DCF_Base!$B$29),DCF_Base!$L$19*DCF_Base!$B$29))/(1+$A$23/100)^DCF_Base!$L$4+Assumptions!$B$5-Assumptions!$B$4)/Assumptions!$B$3*Assumptions!$B$10</f>
        <v>72.8705972571196</v>
      </c>
      <c r="F23" s="0" t="n">
        <f aca="false">(SUMPRODUCT(DCF_Base!$C$19:$L$19/(1+$A$23/100)^DCF_Base!$C$4:$L$4)+MAX(0,MIN(IF($A$23&gt;$F$22,DCF_Base!$L$19*(1+$F$22/100)/(($A$23-$F$22)/100),DCF_Base!$L$19*DCF_Base!$B$29),DCF_Base!$L$19*DCF_Base!$B$29))/(1+$A$23/100)^DCF_Base!$L$4+Assumptions!$B$5-Assumptions!$B$4)/Assumptions!$B$3*Assumptions!$B$10</f>
        <v>72.8705972571196</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65.1968990907093</v>
      </c>
      <c r="C24" s="0" t="n">
        <f aca="false">(SUMPRODUCT(DCF_Base!$C$19:$L$19/(1+$A$24/100)^DCF_Base!$C$4:$L$4)+MAX(0,MIN(IF($A$24&gt;$C$22,DCF_Base!$L$19*(1+$C$22/100)/(($A$24-$C$22)/100),DCF_Base!$L$19*DCF_Base!$B$29),DCF_Base!$L$19*DCF_Base!$B$29))/(1+$A$24/100)^DCF_Base!$L$4+Assumptions!$B$5-Assumptions!$B$4)/Assumptions!$B$3*Assumptions!$B$10</f>
        <v>67.4636808852917</v>
      </c>
      <c r="D24" s="0" t="n">
        <f aca="false">(SUMPRODUCT(DCF_Base!$C$19:$L$19/(1+$A$24/100)^DCF_Base!$C$4:$L$4)+MAX(0,MIN(IF($A$24&gt;$D$22,DCF_Base!$L$19*(1+$D$22/100)/(($A$24-$D$22)/100),DCF_Base!$L$19*DCF_Base!$B$29),DCF_Base!$L$19*DCF_Base!$B$29))/(1+$A$24/100)^DCF_Base!$L$4+Assumptions!$B$5-Assumptions!$B$4)/Assumptions!$B$3*Assumptions!$B$10</f>
        <v>68.3995082316789</v>
      </c>
      <c r="E24" s="0" t="n">
        <f aca="false">(SUMPRODUCT(DCF_Base!$C$19:$L$19/(1+$A$24/100)^DCF_Base!$C$4:$L$4)+MAX(0,MIN(IF($A$24&gt;$E$22,DCF_Base!$L$19*(1+$E$22/100)/(($A$24-$E$22)/100),DCF_Base!$L$19*DCF_Base!$B$29),DCF_Base!$L$19*DCF_Base!$B$29))/(1+$A$24/100)^DCF_Base!$L$4+Assumptions!$B$5-Assumptions!$B$4)/Assumptions!$B$3*Assumptions!$B$10</f>
        <v>68.3995082316789</v>
      </c>
      <c r="F24" s="0" t="n">
        <f aca="false">(SUMPRODUCT(DCF_Base!$C$19:$L$19/(1+$A$24/100)^DCF_Base!$C$4:$L$4)+MAX(0,MIN(IF($A$24&gt;$F$22,DCF_Base!$L$19*(1+$F$22/100)/(($A$24-$F$22)/100),DCF_Base!$L$19*DCF_Base!$B$29),DCF_Base!$L$19*DCF_Base!$B$29))/(1+$A$24/100)^DCF_Base!$L$4+Assumptions!$B$5-Assumptions!$B$4)/Assumptions!$B$3*Assumptions!$B$10</f>
        <v>68.3995082316789</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58.2259009709433</v>
      </c>
      <c r="C25" s="0" t="n">
        <f aca="false">(SUMPRODUCT(DCF_Base!$C$19:$L$19/(1+$A$25/100)^DCF_Base!$C$4:$L$4)+MAX(0,MIN(IF($A$25&gt;$C$22,DCF_Base!$L$19*(1+$C$22/100)/(($A$25-$C$22)/100),DCF_Base!$L$19*DCF_Base!$B$29),DCF_Base!$L$19*DCF_Base!$B$29))/(1+$A$25/100)^DCF_Base!$L$4+Assumptions!$B$5-Assumptions!$B$4)/Assumptions!$B$3*Assumptions!$B$10</f>
        <v>59.8378986854823</v>
      </c>
      <c r="D25" s="0" t="n">
        <f aca="false">(SUMPRODUCT(DCF_Base!$C$19:$L$19/(1+$A$25/100)^DCF_Base!$C$4:$L$4)+MAX(0,MIN(IF($A$25&gt;$D$22,DCF_Base!$L$19*(1+$D$22/100)/(($A$25-$D$22)/100),DCF_Base!$L$19*DCF_Base!$B$29),DCF_Base!$L$19*DCF_Base!$B$29))/(1+$A$25/100)^DCF_Base!$L$4+Assumptions!$B$5-Assumptions!$B$4)/Assumptions!$B$3*Assumptions!$B$10</f>
        <v>61.6648294286264</v>
      </c>
      <c r="E25" s="0" t="n">
        <f aca="false">(SUMPRODUCT(DCF_Base!$C$19:$L$19/(1+$A$25/100)^DCF_Base!$C$4:$L$4)+MAX(0,MIN(IF($A$25&gt;$E$22,DCF_Base!$L$19*(1+$E$22/100)/(($A$25-$E$22)/100),DCF_Base!$L$19*DCF_Base!$B$29),DCF_Base!$L$19*DCF_Base!$B$29))/(1+$A$25/100)^DCF_Base!$L$4+Assumptions!$B$5-Assumptions!$B$4)/Assumptions!$B$3*Assumptions!$B$10</f>
        <v>63.752750277934</v>
      </c>
      <c r="F25" s="0" t="n">
        <f aca="false">(SUMPRODUCT(DCF_Base!$C$19:$L$19/(1+$A$25/100)^DCF_Base!$C$4:$L$4)+MAX(0,MIN(IF($A$25&gt;$F$22,DCF_Base!$L$19*(1+$F$22/100)/(($A$25-$F$22)/100),DCF_Base!$L$19*DCF_Base!$B$29),DCF_Base!$L$19*DCF_Base!$B$29))/(1+$A$25/100)^DCF_Base!$L$4+Assumptions!$B$5-Assumptions!$B$4)/Assumptions!$B$3*Assumptions!$B$10</f>
        <v>64.322183236836</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52.7423688399429</v>
      </c>
      <c r="C26" s="0" t="n">
        <f aca="false">(SUMPRODUCT(DCF_Base!$C$19:$L$19/(1+$A$26/100)^DCF_Base!$C$4:$L$4)+MAX(0,MIN(IF($A$26&gt;$C$22,DCF_Base!$L$19*(1+$C$22/100)/(($A$26-$C$22)/100),DCF_Base!$L$19*DCF_Base!$B$29),DCF_Base!$L$19*DCF_Base!$B$29))/(1+$A$26/100)^DCF_Base!$L$4+Assumptions!$B$5-Assumptions!$B$4)/Assumptions!$B$3*Assumptions!$B$10</f>
        <v>53.9241432376203</v>
      </c>
      <c r="D26" s="0" t="n">
        <f aca="false">(SUMPRODUCT(DCF_Base!$C$19:$L$19/(1+$A$26/100)^DCF_Base!$C$4:$L$4)+MAX(0,MIN(IF($A$26&gt;$D$22,DCF_Base!$L$19*(1+$D$22/100)/(($A$26-$D$22)/100),DCF_Base!$L$19*DCF_Base!$B$29),DCF_Base!$L$19*DCF_Base!$B$29))/(1+$A$26/100)^DCF_Base!$L$4+Assumptions!$B$5-Assumptions!$B$4)/Assumptions!$B$3*Assumptions!$B$10</f>
        <v>55.2449499173774</v>
      </c>
      <c r="E26" s="0" t="n">
        <f aca="false">(SUMPRODUCT(DCF_Base!$C$19:$L$19/(1+$A$26/100)^DCF_Base!$C$4:$L$4)+MAX(0,MIN(IF($A$26&gt;$E$22,DCF_Base!$L$19*(1+$E$22/100)/(($A$26-$E$22)/100),DCF_Base!$L$19*DCF_Base!$B$29),DCF_Base!$L$19*DCF_Base!$B$29))/(1+$A$26/100)^DCF_Base!$L$4+Assumptions!$B$5-Assumptions!$B$4)/Assumptions!$B$3*Assumptions!$B$10</f>
        <v>56.7308574321041</v>
      </c>
      <c r="F26" s="0" t="n">
        <f aca="false">(SUMPRODUCT(DCF_Base!$C$19:$L$19/(1+$A$26/100)^DCF_Base!$C$4:$L$4)+MAX(0,MIN(IF($A$26&gt;$F$22,DCF_Base!$L$19*(1+$F$22/100)/(($A$26-$F$22)/100),DCF_Base!$L$19*DCF_Base!$B$29),DCF_Base!$L$19*DCF_Base!$B$29))/(1+$A$26/100)^DCF_Base!$L$4+Assumptions!$B$5-Assumptions!$B$4)/Assumptions!$B$3*Assumptions!$B$10</f>
        <v>58.4148859487944</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48.3200640582912</v>
      </c>
      <c r="C27" s="0" t="n">
        <f aca="false">(SUMPRODUCT(DCF_Base!$C$19:$L$19/(1+$A$27/100)^DCF_Base!$C$4:$L$4)+MAX(0,MIN(IF($A$27&gt;$C$22,DCF_Base!$L$19*(1+$C$22/100)/(($A$27-$C$22)/100),DCF_Base!$L$19*DCF_Base!$B$29),DCF_Base!$L$19*DCF_Base!$B$29))/(1+$A$27/100)^DCF_Base!$L$4+Assumptions!$B$5-Assumptions!$B$4)/Assumptions!$B$3*Assumptions!$B$10</f>
        <v>49.2077431644812</v>
      </c>
      <c r="D27" s="0" t="n">
        <f aca="false">(SUMPRODUCT(DCF_Base!$C$19:$L$19/(1+$A$27/100)^DCF_Base!$C$4:$L$4)+MAX(0,MIN(IF($A$27&gt;$D$22,DCF_Base!$L$19*(1+$D$22/100)/(($A$27-$D$22)/100),DCF_Base!$L$19*DCF_Base!$B$29),DCF_Base!$L$19*DCF_Base!$B$29))/(1+$A$27/100)^DCF_Base!$L$4+Assumptions!$B$5-Assumptions!$B$4)/Assumptions!$B$3*Assumptions!$B$10</f>
        <v>50.1888621765859</v>
      </c>
      <c r="E27" s="0" t="n">
        <f aca="false">(SUMPRODUCT(DCF_Base!$C$19:$L$19/(1+$A$27/100)^DCF_Base!$C$4:$L$4)+MAX(0,MIN(IF($A$27&gt;$E$22,DCF_Base!$L$19*(1+$E$22/100)/(($A$27-$E$22)/100),DCF_Base!$L$19*DCF_Base!$B$29),DCF_Base!$L$19*DCF_Base!$B$29))/(1+$A$27/100)^DCF_Base!$L$4+Assumptions!$B$5-Assumptions!$B$4)/Assumptions!$B$3*Assumptions!$B$10</f>
        <v>51.2789944122578</v>
      </c>
      <c r="F27" s="0" t="n">
        <f aca="false">(SUMPRODUCT(DCF_Base!$C$19:$L$19/(1+$A$27/100)^DCF_Base!$C$4:$L$4)+MAX(0,MIN(IF($A$27&gt;$F$22,DCF_Base!$L$19*(1+$F$22/100)/(($A$27-$F$22)/100),DCF_Base!$L$19*DCF_Base!$B$29),DCF_Base!$L$19*DCF_Base!$B$29))/(1+$A$27/100)^DCF_Base!$L$4+Assumptions!$B$5-Assumptions!$B$4)/Assumptions!$B$3*Assumptions!$B$10</f>
        <v>52.4973774991852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2026-10-18T04:26:08Z</dcterms:created>
  <dc:creator>openpyxl</dc:creator>
  <dc:description/>
  <dc:language>en-NZ</dc:language>
  <cp:lastModifiedBy/>
  <dcterms:modified xsi:type="dcterms:W3CDTF">2026-10-18T04:26:08Z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