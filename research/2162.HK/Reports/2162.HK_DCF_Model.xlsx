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<sst xmlns="http://schemas.openxmlformats.org/spreadsheetml/2006/main" count="350" uniqueCount="165">
  <si>
    <t xml:space="preserve">Ticker</t>
  </si>
  <si>
    <t xml:space="preserve">2162.HK</t>
  </si>
  <si>
    <t xml:space="preserve">Company</t>
  </si>
  <si>
    <t xml:space="preserve">Keymed Biosciences Inc.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</si>
  <si>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</si>
  <si>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</si>
  <si>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</si>
  <si>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</si>
  <si>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regular close (HKEX), Yahoo Finance chart API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</si>
  <si>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</si>
  <si>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</si>
  <si>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</si>
  <si>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</si>
  <si>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</si>
  <si>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</si>
  <si>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</si>
  <si>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</si>
  <si>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</si>
  <si>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</si>
  <si>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</si>
  <si>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</si>
  <si>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</si>
  <si>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2026-10-17T04:07:26Z</t>
  </si>
  <si>
    <t xml:space="preserve">Drivers file</t>
  </si>
  <si>
    <t xml:space="preserve">2162.HK_Drivers.json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</si>
  <si>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</si>
  <si>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</si>
  <si>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</si>
  <si>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Keymed is valued as an operating company on an owner-FCF DCF with a heavy forward normalisation, not as a pre-revenue rNPV and not as a holdco. Reasons: (1) it already has a commercial product growing &gt;100% with national reimbursement, so the dominant value driver is a sales ramp and operating-leverage path that a component DCF models directly; (2) the dcf-methods routing table has no rNPV/milestone row, and an rNPV of ~12 partly-licensed assets would rest on probability-of-success guesses with no anchor in the filings; (3) the licensing/NewCo engine is real but lumpy, so it is normalised into a recurring collaboration-income stream inside revenue (base) and its upside (CM512, AZD0901 royalties, CM336 milestones) is priced through the bull scenario rather than added on top, which would double-count it. Historical FCF is negative every year and is NOT extrapolated; the H1 FY2026 Ouro gain is a one-off whose cash is in the bridge and whose deferred tax is deducted. FY0 is FY2026E so that Year 1 is the first full year after the 30 June balance sheet, with H2 FY2026 burn deducted in the bridge. The valuation is terminal-heavy by construction (no positive FCF until ~FY2028), and the gap to the market price is largely the market's pricing of pipeline optionality and China-biotech multiples above what a 10.5% RMB cost of equity supports.
key_risks_to_valuation: Single-product dependence: Kangyueda is ~all product revenue; an NRDL price cut or share loss to dupilumab moves every scenario; Pipeline binaries (CM512 Phase III, AZD0901 approval, CM336 pivotal) decide whether the bull case is reachable; Collaboration revenue is lumpy and partner-controlled; the base normalises it into a recurring stream that may not recur; Terminal-value dominance: most of the value sits beyond FY2030 because owner FCF is negative until ~FY2028; Further equity placings would dilute; the flat share count assumes the RMB3.2bn reserve is enough; US scrutiny of China-origin biotech licensing could close the out-licensing channel; FX: RMB flows vs HKD quote; refresh_price.py does not update fx_rate</t>
  </si>
  <si>
    <t xml:space="preserve">Data sources</t>
  </si>
  <si>
    <t xml:space="preserve">price: Yahoo Finance chart API at inputs.price_as_of; 52-week range 44.66-89.75 HKD
fx: Yahoo Finance CNYHKD=X, see inputs.fx_note
financials: 2162.HK_Metrics.csv (core_metrics, millions CNY); H1 FY2026 interim report (balance sheet, note 4 revenue split, note 5 other gains, note 7 income tax, note 9 EPS, note 16 share capital); FY2025 annual report (P&amp;L, cash flow statement, revenue disaggregation)
qualitative: 2162.HK_Analysis.json (2026-10-17): business model, guidance (FY2026 Kangyueda ~RMB850m per Citi/management), bull/bear cases, recent developments</t>
  </si>
  <si>
    <t xml:space="preserve">Scenario narrative: bear</t>
  </si>
  <si>
    <t xml:space="preserve">Kangyueda is capped near RMB1.5-2bn by dupilumab's incumbency, domestic competition and NRDL price cuts; the pipeline disappoints and out-licensing dries up; the company burns cash to FY2028 and settles at a 19% margin on ~RMB2.8bn revenue.</t>
  </si>
  <si>
    <t xml:space="preserve">Scenario narrative: base</t>
  </si>
  <si>
    <t xml:space="preserve">Kangyueda becomes a ~RMB4bn+ domestic type-2 inflammation franchise under NRDL and Essential Medicines List coverage, collaboration income normalises into recurring milestones and royalties (AZD0901, CM336), and operating leverage takes the company from a ~-23% adj. EBITDA margin in FY2026E to breakeven in FY2027 and ~32% by FY2033.</t>
  </si>
  <si>
    <t xml:space="preserve">Scenario narrative: bull</t>
  </si>
  <si>
    <t xml:space="preserve">CM512 succeeds as Kangyueda's successor, AZD0901 is approved with AstraZeneca and pays royalties, Gilead/Lakefront advance CM336 and pay the US$680m of contingent milestones, and the NewCo model repeats -- revenue ~RMB11bn by FY2036 at a 38% margin.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</si>
  <si>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</si>
  <si>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</si>
  <si>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</si>
  <si>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</si>
  <si>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</si>
  <si>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</si>
  <si>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</si>
  <si>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</si>
  <si>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</si>
  <si>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</si>
  <si>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</si>
  <si>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</si>
  <si>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</si>
  <si>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</si>
  <si>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</si>
  <si>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</si>
  <si>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</si>
  <si>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</si>
  <si>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</si>
  <si>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</si>
  <si>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</si>
  <si>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</si>
  <si>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</si>
  <si>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</si>
  <si>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</si>
  <si>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</si>
  <si>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</si>
  <si>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NetIncomeInclNCI</t>
  </si>
  <si>
    <t xml:space="preserve">TermDeposits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</si>
  <si>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</si>
  <si>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</si>
  <si>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</si>
  <si>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</si>
  <si>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</si>
  <si>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</si>
  <si>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</si>
  <si>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</si>
  <si>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</si>
  <si>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</si>
  <si>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</si>
  <si>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</si>
  <si>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</si>
  <si>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</si>
  <si>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</si>
  <si>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</si>
  <si>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</si>
  <si>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</si>
  <si>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</si>
  <si>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</si>
  <si>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</si>
  <si>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</si>
  <si>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</si>
  <si>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</si>
  <si>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</si>
  <si>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</si>
  <si>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</si>
  <si>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</si>
  <si>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</si>
  <si>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</si>
  <si>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</si>
  <si>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</si>
  <si>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</si>
  <si>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</si>
  <si>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</si>
  <si>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</si>
  <si>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</si>
  <si>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</si>
  <si>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</si>
  <si>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</si>
  <si>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</si>
  <si>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</si>
  <si>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</si>
  <si>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</si>
  <si>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2162.HK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</si>
  <si>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</si>
  <si>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</si>
  <si>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</si>
  <si>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</si>
  <si>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</si>
  <si>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</si>
  <si>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</si>
  <si>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</si>
  <si>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</si>
  <si>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</si>
  <si>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</si>
  <si>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</si>
  <si>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</si>
  <si>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</si>
  <si>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</si>
  <si>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</si>
  <si>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</si>
  <si>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</si>
  <si>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</si>
  <si>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</si>
  <si>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</si>
  <si>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</si>
  <si>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</si>
  <si>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</si>
  <si>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</si>
  <si>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</si>
  <si>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</si>
  <si>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</si>
  <si>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</si>
  <si>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</si>
  <si>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2162.HK owner-FCF component DCF: base case (millions, CNY)</t>
  </si>
  <si>
    <t xml:space="preserve">2162.HK owner-FCF component DCF: bull case (millions, CNY)</t>
  </si>
  <si>
    <t xml:space="preserve">2162.HK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</si>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</sst>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81.95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0</v>
      </c>
      <c r="C2" s="0" t="n">
        <v>0</v>
      </c>
      <c r="D2" s="0" t="n">
        <v>0</v>
      </c>
      <c r="I2" s="0" t="n">
        <v>-818.583</v>
      </c>
      <c r="K2" s="0" t="n">
        <v>-12.2</v>
      </c>
      <c r="L2" s="0" t="n">
        <v>-119.361</v>
      </c>
      <c r="M2" s="0" t="n">
        <v>19.896</v>
      </c>
      <c r="N2" s="0" t="n">
        <v>-139.257</v>
      </c>
      <c r="O2" s="0" t="n">
        <v>-1094.538</v>
      </c>
      <c r="P2" s="0" t="n">
        <v>529.945</v>
      </c>
      <c r="Q2" s="0" t="n">
        <v>1624.748</v>
      </c>
      <c r="R2" s="0" t="n">
        <v>0</v>
      </c>
      <c r="S2" s="0" t="n">
        <v>343.688</v>
      </c>
      <c r="T2" s="0" t="n">
        <v>67.098</v>
      </c>
      <c r="U2" s="0" t="n">
        <v>0</v>
      </c>
      <c r="AA2" s="0" t="s">
        <v>18</v>
      </c>
      <c r="AB2" s="0" t="s">
        <v>14</v>
      </c>
      <c r="AC2" s="0" t="n">
        <v>-818.848</v>
      </c>
      <c r="AD2" s="0" t="n">
        <v>144.279</v>
      </c>
    </row>
    <row r="3" customFormat="false" ht="15" hidden="false" customHeight="false" outlineLevel="0" collapsed="false">
      <c r="A3" s="0" t="s">
        <v>67</v>
      </c>
      <c r="B3" s="0" t="n">
        <v>110.269</v>
      </c>
      <c r="C3" s="0" t="n">
        <v>17.2</v>
      </c>
      <c r="D3" s="0" t="n">
        <v>93.069</v>
      </c>
      <c r="E3" s="0" t="n">
        <v>84.4</v>
      </c>
      <c r="I3" s="0" t="n">
        <v>-3887.309</v>
      </c>
      <c r="J3" s="0" t="n">
        <v>-3525.3</v>
      </c>
      <c r="K3" s="0" t="n">
        <v>-24.17</v>
      </c>
      <c r="L3" s="0" t="n">
        <v>-214.637</v>
      </c>
      <c r="M3" s="0" t="n">
        <v>172.858</v>
      </c>
      <c r="N3" s="0" t="n">
        <v>-387.495</v>
      </c>
      <c r="O3" s="0" t="n">
        <v>3650.97</v>
      </c>
      <c r="P3" s="0" t="n">
        <v>3934.456</v>
      </c>
      <c r="Q3" s="0" t="n">
        <v>289.073</v>
      </c>
      <c r="R3" s="0" t="n">
        <v>0</v>
      </c>
      <c r="S3" s="0" t="n">
        <v>3471.178</v>
      </c>
      <c r="T3" s="0" t="n">
        <v>160.849</v>
      </c>
      <c r="U3" s="0" t="n">
        <v>116.823</v>
      </c>
      <c r="AA3" s="0" t="s">
        <v>18</v>
      </c>
      <c r="AB3" s="0" t="s">
        <v>14</v>
      </c>
      <c r="AC3" s="0" t="n">
        <v>-3892.632</v>
      </c>
      <c r="AD3" s="0" t="n">
        <v>1950.559</v>
      </c>
    </row>
    <row r="4" customFormat="false" ht="15" hidden="false" customHeight="false" outlineLevel="0" collapsed="false">
      <c r="A4" s="0" t="s">
        <v>68</v>
      </c>
      <c r="B4" s="0" t="n">
        <v>100.063</v>
      </c>
      <c r="C4" s="0" t="n">
        <v>2.585</v>
      </c>
      <c r="D4" s="0" t="n">
        <v>97.478</v>
      </c>
      <c r="E4" s="0" t="n">
        <v>97.4</v>
      </c>
      <c r="I4" s="0" t="n">
        <v>-308.115</v>
      </c>
      <c r="J4" s="0" t="n">
        <v>-307.9</v>
      </c>
      <c r="K4" s="0" t="n">
        <v>-1.18</v>
      </c>
      <c r="L4" s="0" t="n">
        <v>-401.934</v>
      </c>
      <c r="M4" s="0" t="n">
        <v>279.549</v>
      </c>
      <c r="N4" s="0" t="n">
        <v>-681.483</v>
      </c>
      <c r="O4" s="0" t="n">
        <v>3340.288</v>
      </c>
      <c r="P4" s="0" t="n">
        <v>3932.316</v>
      </c>
      <c r="Q4" s="0" t="n">
        <v>593.098</v>
      </c>
      <c r="R4" s="0" t="n">
        <v>89.963</v>
      </c>
      <c r="S4" s="0" t="n">
        <v>2943.138</v>
      </c>
      <c r="T4" s="0" t="n">
        <v>261.127</v>
      </c>
      <c r="U4" s="0" t="n">
        <v>48.567</v>
      </c>
      <c r="AA4" s="0" t="s">
        <v>18</v>
      </c>
      <c r="AB4" s="0" t="s">
        <v>14</v>
      </c>
      <c r="AC4" s="0" t="n">
        <v>-303.597</v>
      </c>
      <c r="AD4" s="0" t="n">
        <v>2339.068</v>
      </c>
    </row>
    <row r="5" customFormat="false" ht="15" hidden="false" customHeight="false" outlineLevel="0" collapsed="false">
      <c r="A5" s="0" t="s">
        <v>69</v>
      </c>
      <c r="B5" s="0" t="n">
        <v>354.095</v>
      </c>
      <c r="C5" s="0" t="n">
        <v>36.878</v>
      </c>
      <c r="D5" s="0" t="n">
        <v>317.217</v>
      </c>
      <c r="E5" s="0" t="n">
        <v>89.6</v>
      </c>
      <c r="I5" s="0" t="n">
        <v>-359.357</v>
      </c>
      <c r="J5" s="0" t="n">
        <v>-101.5</v>
      </c>
      <c r="K5" s="0" t="n">
        <v>-1.37</v>
      </c>
      <c r="L5" s="0" t="n">
        <v>-303.62</v>
      </c>
      <c r="M5" s="0" t="n">
        <v>382.61</v>
      </c>
      <c r="N5" s="0" t="n">
        <v>-686.23</v>
      </c>
      <c r="O5" s="0" t="n">
        <v>2986.311</v>
      </c>
      <c r="P5" s="0" t="n">
        <v>3882.922</v>
      </c>
      <c r="Q5" s="0" t="n">
        <v>896.109</v>
      </c>
      <c r="R5" s="0" t="n">
        <v>377.659</v>
      </c>
      <c r="S5" s="0" t="n">
        <v>2544.812</v>
      </c>
      <c r="T5" s="0" t="n">
        <v>261.368</v>
      </c>
      <c r="U5" s="0" t="n">
        <v>40.079</v>
      </c>
      <c r="AA5" s="0" t="s">
        <v>18</v>
      </c>
      <c r="AB5" s="0" t="s">
        <v>14</v>
      </c>
      <c r="AC5" s="0" t="n">
        <v>-357.785</v>
      </c>
      <c r="AD5" s="0" t="n">
        <v>1693.783</v>
      </c>
    </row>
    <row r="6" customFormat="false" ht="15" hidden="false" customHeight="false" outlineLevel="0" collapsed="false">
      <c r="A6" s="0" t="s">
        <v>70</v>
      </c>
      <c r="B6" s="0" t="n">
        <v>428.124</v>
      </c>
      <c r="C6" s="0" t="n">
        <v>12.2</v>
      </c>
      <c r="D6" s="0" t="n">
        <v>415.924</v>
      </c>
      <c r="E6" s="0" t="n">
        <v>97.2</v>
      </c>
      <c r="I6" s="0" t="n">
        <v>-515.241</v>
      </c>
      <c r="J6" s="0" t="n">
        <v>-120.3</v>
      </c>
      <c r="K6" s="0" t="n">
        <v>-1.97</v>
      </c>
      <c r="L6" s="0" t="n">
        <v>-789.634</v>
      </c>
      <c r="M6" s="0" t="n">
        <v>214.497</v>
      </c>
      <c r="N6" s="0" t="n">
        <v>-1004.131</v>
      </c>
      <c r="O6" s="0" t="n">
        <v>2474.571</v>
      </c>
      <c r="P6" s="0" t="n">
        <v>3766.566</v>
      </c>
      <c r="Q6" s="0" t="n">
        <v>1291.354</v>
      </c>
      <c r="R6" s="0" t="n">
        <v>729.559</v>
      </c>
      <c r="S6" s="0" t="n">
        <v>2155.377</v>
      </c>
      <c r="T6" s="0" t="n">
        <v>261.947</v>
      </c>
      <c r="U6" s="0" t="n">
        <v>34.346</v>
      </c>
      <c r="AA6" s="0" t="s">
        <v>18</v>
      </c>
      <c r="AB6" s="0" t="s">
        <v>14</v>
      </c>
      <c r="AC6" s="0" t="n">
        <v>-514.907</v>
      </c>
      <c r="AD6" s="0" t="n">
        <v>1736.964</v>
      </c>
    </row>
    <row r="7" customFormat="false" ht="15" hidden="false" customHeight="false" outlineLevel="0" collapsed="false">
      <c r="A7" s="0" t="s">
        <v>71</v>
      </c>
      <c r="B7" s="0" t="n">
        <v>716.313</v>
      </c>
      <c r="C7" s="0" t="n">
        <v>88.048</v>
      </c>
      <c r="D7" s="0" t="n">
        <v>628.265</v>
      </c>
      <c r="E7" s="0" t="n">
        <v>87.7</v>
      </c>
      <c r="I7" s="0" t="n">
        <v>-522.641</v>
      </c>
      <c r="J7" s="0" t="n">
        <v>-73</v>
      </c>
      <c r="K7" s="0" t="n">
        <v>-1.91</v>
      </c>
      <c r="L7" s="0" t="n">
        <v>-712.407</v>
      </c>
      <c r="M7" s="0" t="n">
        <v>336.48</v>
      </c>
      <c r="N7" s="0" t="n">
        <v>-1048.887</v>
      </c>
      <c r="O7" s="0" t="n">
        <v>2774.254</v>
      </c>
      <c r="P7" s="0" t="n">
        <v>4217.533</v>
      </c>
      <c r="Q7" s="0" t="n">
        <v>1442.61</v>
      </c>
      <c r="R7" s="0" t="n">
        <v>767.399</v>
      </c>
      <c r="S7" s="0" t="n">
        <v>1603.799</v>
      </c>
      <c r="T7" s="0" t="n">
        <v>273.978</v>
      </c>
      <c r="U7" s="0" t="n">
        <v>27.763</v>
      </c>
      <c r="AA7" s="0" t="s">
        <v>18</v>
      </c>
      <c r="AB7" s="0" t="s">
        <v>14</v>
      </c>
      <c r="AC7" s="0" t="n">
        <v>-522.597</v>
      </c>
      <c r="AD7" s="0" t="n">
        <v>1100.454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81.95</v>
      </c>
    </row>
    <row r="3" customFormat="false" ht="15" hidden="false" customHeight="false" outlineLevel="0" collapsed="false">
      <c r="A3" s="0" t="s">
        <v>75</v>
      </c>
      <c r="B3" s="3" t="n">
        <v>298.74</v>
      </c>
    </row>
    <row r="4" customFormat="false" ht="15" hidden="false" customHeight="false" outlineLevel="0" collapsed="false">
      <c r="A4" s="0" t="s">
        <v>76</v>
      </c>
      <c r="B4" s="3" t="n">
        <v>-2530.7</v>
      </c>
    </row>
    <row r="5" customFormat="false" ht="15" hidden="false" customHeight="false" outlineLevel="0" collapsed="false">
      <c r="A5" s="0" t="s">
        <v>77</v>
      </c>
      <c r="B5" s="3" t="n">
        <v>-221.9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1180</v>
      </c>
    </row>
    <row r="8" customFormat="false" ht="15" hidden="false" customHeight="false" outlineLevel="0" collapsed="false">
      <c r="A8" s="0" t="s">
        <v>80</v>
      </c>
      <c r="B8" s="3" t="s">
        <v>81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1.1724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28</v>
      </c>
      <c r="D13" s="3" t="n">
        <v>18</v>
      </c>
      <c r="E13" s="3" t="n">
        <v>12</v>
      </c>
      <c r="F13" s="3" t="n">
        <v>9</v>
      </c>
      <c r="G13" s="3" t="n">
        <v>7</v>
      </c>
      <c r="H13" s="3" t="n">
        <v>5</v>
      </c>
      <c r="I13" s="3" t="n">
        <v>4</v>
      </c>
      <c r="J13" s="3" t="n">
        <v>3</v>
      </c>
      <c r="K13" s="3" t="n">
        <v>3</v>
      </c>
      <c r="L13" s="3" t="n">
        <v>2.5</v>
      </c>
    </row>
    <row r="14" customFormat="false" ht="15" hidden="false" customHeight="false" outlineLevel="0" collapsed="false">
      <c r="A14" s="0" t="s">
        <v>97</v>
      </c>
      <c r="C14" s="3" t="n">
        <v>-10</v>
      </c>
      <c r="D14" s="3" t="n">
        <v>-3</v>
      </c>
      <c r="E14" s="3" t="n">
        <v>4</v>
      </c>
      <c r="F14" s="3" t="n">
        <v>9</v>
      </c>
      <c r="G14" s="3" t="n">
        <v>13</v>
      </c>
      <c r="H14" s="3" t="n">
        <v>16</v>
      </c>
      <c r="I14" s="3" t="n">
        <v>18</v>
      </c>
      <c r="J14" s="3" t="n">
        <v>19</v>
      </c>
      <c r="K14" s="3" t="n">
        <v>19</v>
      </c>
      <c r="L14" s="3" t="n">
        <v>19</v>
      </c>
    </row>
    <row r="15" customFormat="false" ht="15" hidden="false" customHeight="false" outlineLevel="0" collapsed="false">
      <c r="A15" s="0" t="s">
        <v>98</v>
      </c>
      <c r="C15" s="3" t="n">
        <v>4</v>
      </c>
      <c r="D15" s="3" t="n">
        <v>3.8</v>
      </c>
      <c r="E15" s="3" t="n">
        <v>3.6</v>
      </c>
      <c r="F15" s="3" t="n">
        <v>3.4</v>
      </c>
      <c r="G15" s="3" t="n">
        <v>3.2</v>
      </c>
      <c r="H15" s="3" t="n">
        <v>3</v>
      </c>
      <c r="I15" s="3" t="n">
        <v>3</v>
      </c>
      <c r="J15" s="3" t="n">
        <v>3</v>
      </c>
      <c r="K15" s="3" t="n">
        <v>3</v>
      </c>
      <c r="L15" s="3" t="n">
        <v>3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7</v>
      </c>
      <c r="D17" s="3" t="n">
        <v>6.5</v>
      </c>
      <c r="E17" s="3" t="n">
        <v>6</v>
      </c>
      <c r="F17" s="3" t="n">
        <v>5.5</v>
      </c>
      <c r="G17" s="3" t="n">
        <v>5</v>
      </c>
      <c r="H17" s="3" t="n">
        <v>4.8</v>
      </c>
      <c r="I17" s="3" t="n">
        <v>4.5</v>
      </c>
      <c r="J17" s="3" t="n">
        <v>4.5</v>
      </c>
      <c r="K17" s="3" t="n">
        <v>4.5</v>
      </c>
      <c r="L17" s="3" t="n">
        <v>4.5</v>
      </c>
    </row>
    <row r="18" customFormat="false" ht="15" hidden="false" customHeight="false" outlineLevel="0" collapsed="false">
      <c r="A18" s="0" t="s">
        <v>101</v>
      </c>
      <c r="C18" s="3" t="n">
        <v>10</v>
      </c>
      <c r="D18" s="3" t="n">
        <v>8</v>
      </c>
      <c r="E18" s="3" t="n">
        <v>6.5</v>
      </c>
      <c r="F18" s="3" t="n">
        <v>5.5</v>
      </c>
      <c r="G18" s="3" t="n">
        <v>5</v>
      </c>
      <c r="H18" s="3" t="n">
        <v>5</v>
      </c>
      <c r="I18" s="3" t="n">
        <v>5</v>
      </c>
      <c r="J18" s="3" t="n">
        <v>5</v>
      </c>
      <c r="K18" s="3" t="n">
        <v>5</v>
      </c>
      <c r="L18" s="3" t="n">
        <v>5</v>
      </c>
    </row>
    <row r="19" customFormat="false" ht="15" hidden="false" customHeight="false" outlineLevel="0" collapsed="false">
      <c r="A19" s="0" t="s">
        <v>102</v>
      </c>
      <c r="C19" s="3" t="n">
        <v>0</v>
      </c>
      <c r="D19" s="3" t="n">
        <v>0</v>
      </c>
      <c r="E19" s="3" t="n">
        <v>0</v>
      </c>
      <c r="F19" s="3" t="n">
        <v>5</v>
      </c>
      <c r="G19" s="3" t="n">
        <v>10</v>
      </c>
      <c r="H19" s="3" t="n">
        <v>13</v>
      </c>
      <c r="I19" s="3" t="n">
        <v>15</v>
      </c>
      <c r="J19" s="3" t="n">
        <v>15</v>
      </c>
      <c r="K19" s="3" t="n">
        <v>15</v>
      </c>
      <c r="L19" s="3" t="n">
        <v>15</v>
      </c>
    </row>
    <row r="20" customFormat="false" ht="15" hidden="false" customHeight="false" outlineLevel="0" collapsed="false">
      <c r="A20" s="0" t="s">
        <v>103</v>
      </c>
      <c r="B20" s="3" t="n">
        <v>10.5</v>
      </c>
    </row>
    <row r="21" customFormat="false" ht="15" hidden="false" customHeight="false" outlineLevel="0" collapsed="false">
      <c r="A21" s="0" t="s">
        <v>104</v>
      </c>
      <c r="B21" s="3" t="n">
        <v>2</v>
      </c>
    </row>
    <row r="22" customFormat="false" ht="15" hidden="false" customHeight="false" outlineLevel="0" collapsed="false">
      <c r="A22" s="0" t="s">
        <v>105</v>
      </c>
      <c r="B22" s="3" t="n">
        <v>15</v>
      </c>
    </row>
    <row r="23" customFormat="false" ht="15" hidden="false" customHeight="false" outlineLevel="0" collapsed="false">
      <c r="A23" s="0" t="s">
        <v>106</v>
      </c>
      <c r="B23" s="3" t="n">
        <v>-12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52</v>
      </c>
      <c r="D27" s="3" t="n">
        <v>36</v>
      </c>
      <c r="E27" s="3" t="n">
        <v>27</v>
      </c>
      <c r="F27" s="3" t="n">
        <v>21</v>
      </c>
      <c r="G27" s="3" t="n">
        <v>16</v>
      </c>
      <c r="H27" s="3" t="n">
        <v>12</v>
      </c>
      <c r="I27" s="3" t="n">
        <v>9</v>
      </c>
      <c r="J27" s="3" t="n">
        <v>6.5</v>
      </c>
      <c r="K27" s="3" t="n">
        <v>5</v>
      </c>
      <c r="L27" s="3" t="n">
        <v>4</v>
      </c>
    </row>
    <row r="28" customFormat="false" ht="15" hidden="false" customHeight="false" outlineLevel="0" collapsed="false">
      <c r="A28" s="0" t="s">
        <v>97</v>
      </c>
      <c r="C28" s="3" t="n">
        <v>2</v>
      </c>
      <c r="D28" s="3" t="n">
        <v>10</v>
      </c>
      <c r="E28" s="3" t="n">
        <v>17</v>
      </c>
      <c r="F28" s="3" t="n">
        <v>22</v>
      </c>
      <c r="G28" s="3" t="n">
        <v>26</v>
      </c>
      <c r="H28" s="3" t="n">
        <v>29</v>
      </c>
      <c r="I28" s="3" t="n">
        <v>31</v>
      </c>
      <c r="J28" s="3" t="n">
        <v>32</v>
      </c>
      <c r="K28" s="3" t="n">
        <v>32</v>
      </c>
      <c r="L28" s="3" t="n">
        <v>32</v>
      </c>
    </row>
    <row r="29" customFormat="false" ht="15" hidden="false" customHeight="false" outlineLevel="0" collapsed="false">
      <c r="A29" s="0" t="s">
        <v>98</v>
      </c>
      <c r="C29" s="3" t="n">
        <v>4</v>
      </c>
      <c r="D29" s="3" t="n">
        <v>3.7</v>
      </c>
      <c r="E29" s="3" t="n">
        <v>3.4</v>
      </c>
      <c r="F29" s="3" t="n">
        <v>3.1</v>
      </c>
      <c r="G29" s="3" t="n">
        <v>2.8</v>
      </c>
      <c r="H29" s="3" t="n">
        <v>2.6</v>
      </c>
      <c r="I29" s="3" t="n">
        <v>2.5</v>
      </c>
      <c r="J29" s="3" t="n">
        <v>2.5</v>
      </c>
      <c r="K29" s="3" t="n">
        <v>2.5</v>
      </c>
      <c r="L29" s="3" t="n">
        <v>2.5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6.5</v>
      </c>
      <c r="D31" s="3" t="n">
        <v>5.5</v>
      </c>
      <c r="E31" s="3" t="n">
        <v>4.8</v>
      </c>
      <c r="F31" s="3" t="n">
        <v>4.3</v>
      </c>
      <c r="G31" s="3" t="n">
        <v>4</v>
      </c>
      <c r="H31" s="3" t="n">
        <v>3.8</v>
      </c>
      <c r="I31" s="3" t="n">
        <v>3.6</v>
      </c>
      <c r="J31" s="3" t="n">
        <v>3.5</v>
      </c>
      <c r="K31" s="3" t="n">
        <v>3.5</v>
      </c>
      <c r="L31" s="3" t="n">
        <v>3.5</v>
      </c>
    </row>
    <row r="32" customFormat="false" ht="15" hidden="false" customHeight="false" outlineLevel="0" collapsed="false">
      <c r="A32" s="0" t="s">
        <v>101</v>
      </c>
      <c r="C32" s="3" t="n">
        <v>9</v>
      </c>
      <c r="D32" s="3" t="n">
        <v>7</v>
      </c>
      <c r="E32" s="3" t="n">
        <v>5.5</v>
      </c>
      <c r="F32" s="3" t="n">
        <v>5</v>
      </c>
      <c r="G32" s="3" t="n">
        <v>4.5</v>
      </c>
      <c r="H32" s="3" t="n">
        <v>4.2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102</v>
      </c>
      <c r="C33" s="3" t="n">
        <v>0</v>
      </c>
      <c r="D33" s="3" t="n">
        <v>0</v>
      </c>
      <c r="E33" s="3" t="n">
        <v>5</v>
      </c>
      <c r="F33" s="3" t="n">
        <v>10</v>
      </c>
      <c r="G33" s="3" t="n">
        <v>13</v>
      </c>
      <c r="H33" s="3" t="n">
        <v>15</v>
      </c>
      <c r="I33" s="3" t="n">
        <v>16</v>
      </c>
      <c r="J33" s="3" t="n">
        <v>17</v>
      </c>
      <c r="K33" s="3" t="n">
        <v>17</v>
      </c>
      <c r="L33" s="3" t="n">
        <v>17</v>
      </c>
    </row>
    <row r="34" customFormat="false" ht="15" hidden="false" customHeight="false" outlineLevel="0" collapsed="false">
      <c r="A34" s="0" t="s">
        <v>103</v>
      </c>
      <c r="B34" s="3" t="n">
        <v>10.5</v>
      </c>
    </row>
    <row r="35" customFormat="false" ht="15" hidden="false" customHeight="false" outlineLevel="0" collapsed="false">
      <c r="A35" s="0" t="s">
        <v>104</v>
      </c>
      <c r="B35" s="3" t="n">
        <v>2</v>
      </c>
    </row>
    <row r="36" customFormat="false" ht="15" hidden="false" customHeight="false" outlineLevel="0" collapsed="false">
      <c r="A36" s="0" t="s">
        <v>105</v>
      </c>
      <c r="B36" s="3" t="n">
        <v>15</v>
      </c>
    </row>
    <row r="37" customFormat="false" ht="15" hidden="false" customHeight="false" outlineLevel="0" collapsed="false">
      <c r="A37" s="0" t="s">
        <v>106</v>
      </c>
      <c r="B37" s="3" t="n">
        <v>-12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62</v>
      </c>
      <c r="D41" s="3" t="n">
        <v>45</v>
      </c>
      <c r="E41" s="3" t="n">
        <v>34</v>
      </c>
      <c r="F41" s="3" t="n">
        <v>26</v>
      </c>
      <c r="G41" s="3" t="n">
        <v>20</v>
      </c>
      <c r="H41" s="3" t="n">
        <v>15</v>
      </c>
      <c r="I41" s="3" t="n">
        <v>11</v>
      </c>
      <c r="J41" s="3" t="n">
        <v>8</v>
      </c>
      <c r="K41" s="3" t="n">
        <v>6</v>
      </c>
      <c r="L41" s="3" t="n">
        <v>5</v>
      </c>
    </row>
    <row r="42" customFormat="false" ht="15" hidden="false" customHeight="false" outlineLevel="0" collapsed="false">
      <c r="A42" s="0" t="s">
        <v>97</v>
      </c>
      <c r="C42" s="3" t="n">
        <v>6</v>
      </c>
      <c r="D42" s="3" t="n">
        <v>15</v>
      </c>
      <c r="E42" s="3" t="n">
        <v>23</v>
      </c>
      <c r="F42" s="3" t="n">
        <v>29</v>
      </c>
      <c r="G42" s="3" t="n">
        <v>33</v>
      </c>
      <c r="H42" s="3" t="n">
        <v>36</v>
      </c>
      <c r="I42" s="3" t="n">
        <v>38</v>
      </c>
      <c r="J42" s="3" t="n">
        <v>38</v>
      </c>
      <c r="K42" s="3" t="n">
        <v>38</v>
      </c>
      <c r="L42" s="3" t="n">
        <v>38</v>
      </c>
    </row>
    <row r="43" customFormat="false" ht="15" hidden="false" customHeight="false" outlineLevel="0" collapsed="false">
      <c r="A43" s="0" t="s">
        <v>98</v>
      </c>
      <c r="C43" s="3" t="n">
        <v>4</v>
      </c>
      <c r="D43" s="3" t="n">
        <v>3.7</v>
      </c>
      <c r="E43" s="3" t="n">
        <v>3.4</v>
      </c>
      <c r="F43" s="3" t="n">
        <v>3.1</v>
      </c>
      <c r="G43" s="3" t="n">
        <v>2.8</v>
      </c>
      <c r="H43" s="3" t="n">
        <v>2.6</v>
      </c>
      <c r="I43" s="3" t="n">
        <v>2.5</v>
      </c>
      <c r="J43" s="3" t="n">
        <v>2.5</v>
      </c>
      <c r="K43" s="3" t="n">
        <v>2.5</v>
      </c>
      <c r="L43" s="3" t="n">
        <v>2.5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6.5</v>
      </c>
      <c r="D45" s="3" t="n">
        <v>5.5</v>
      </c>
      <c r="E45" s="3" t="n">
        <v>4.8</v>
      </c>
      <c r="F45" s="3" t="n">
        <v>4.3</v>
      </c>
      <c r="G45" s="3" t="n">
        <v>4</v>
      </c>
      <c r="H45" s="3" t="n">
        <v>3.8</v>
      </c>
      <c r="I45" s="3" t="n">
        <v>3.6</v>
      </c>
      <c r="J45" s="3" t="n">
        <v>3.5</v>
      </c>
      <c r="K45" s="3" t="n">
        <v>3.5</v>
      </c>
      <c r="L45" s="3" t="n">
        <v>3.5</v>
      </c>
    </row>
    <row r="46" customFormat="false" ht="15" hidden="false" customHeight="false" outlineLevel="0" collapsed="false">
      <c r="A46" s="0" t="s">
        <v>101</v>
      </c>
      <c r="C46" s="3" t="n">
        <v>9</v>
      </c>
      <c r="D46" s="3" t="n">
        <v>7</v>
      </c>
      <c r="E46" s="3" t="n">
        <v>5.5</v>
      </c>
      <c r="F46" s="3" t="n">
        <v>5</v>
      </c>
      <c r="G46" s="3" t="n">
        <v>4.5</v>
      </c>
      <c r="H46" s="3" t="n">
        <v>4.2</v>
      </c>
      <c r="I46" s="3" t="n">
        <v>4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102</v>
      </c>
      <c r="C47" s="3" t="n">
        <v>0</v>
      </c>
      <c r="D47" s="3" t="n">
        <v>0</v>
      </c>
      <c r="E47" s="3" t="n">
        <v>5</v>
      </c>
      <c r="F47" s="3" t="n">
        <v>10</v>
      </c>
      <c r="G47" s="3" t="n">
        <v>13</v>
      </c>
      <c r="H47" s="3" t="n">
        <v>15</v>
      </c>
      <c r="I47" s="3" t="n">
        <v>16</v>
      </c>
      <c r="J47" s="3" t="n">
        <v>17</v>
      </c>
      <c r="K47" s="3" t="n">
        <v>17</v>
      </c>
      <c r="L47" s="3" t="n">
        <v>17</v>
      </c>
    </row>
    <row r="48" customFormat="false" ht="15" hidden="false" customHeight="false" outlineLevel="0" collapsed="false">
      <c r="A48" s="0" t="s">
        <v>103</v>
      </c>
      <c r="B48" s="3" t="n">
        <v>10.5</v>
      </c>
    </row>
    <row r="49" customFormat="false" ht="15" hidden="false" customHeight="false" outlineLevel="0" collapsed="false">
      <c r="A49" s="0" t="s">
        <v>104</v>
      </c>
      <c r="B49" s="3" t="n">
        <v>2</v>
      </c>
    </row>
    <row r="50" customFormat="false" ht="15" hidden="false" customHeight="false" outlineLevel="0" collapsed="false">
      <c r="A50" s="0" t="s">
        <v>105</v>
      </c>
      <c r="B50" s="3" t="n">
        <v>15</v>
      </c>
    </row>
    <row r="51" customFormat="false" ht="15" hidden="false" customHeight="false" outlineLevel="0" collapsed="false">
      <c r="A51" s="0" t="s">
        <v>106</v>
      </c>
      <c r="B51" s="3" t="n">
        <v>-12</v>
      </c>
    </row>
    <row r="52" customFormat="false" ht="15" hidden="false" customHeight="false" outlineLevel="0" collapsed="false">
      <c r="A52" s="0" t="s">
        <v>107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81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28</v>
      </c>
      <c r="D5" s="4" t="n">
        <f aca="false">Assumptions!D13</f>
        <v>18</v>
      </c>
      <c r="E5" s="4" t="n">
        <f aca="false">Assumptions!E13</f>
        <v>12</v>
      </c>
      <c r="F5" s="4" t="n">
        <f aca="false">Assumptions!F13</f>
        <v>9</v>
      </c>
      <c r="G5" s="4" t="n">
        <f aca="false">Assumptions!G13</f>
        <v>7</v>
      </c>
      <c r="H5" s="4" t="n">
        <f aca="false">Assumptions!H13</f>
        <v>5</v>
      </c>
      <c r="I5" s="4" t="n">
        <f aca="false">Assumptions!I13</f>
        <v>4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1180</v>
      </c>
      <c r="C6" s="0" t="n">
        <f aca="false">B6*(1+C5/100)</f>
        <v>1510.4</v>
      </c>
      <c r="D6" s="0" t="n">
        <f aca="false">C6*(1+D5/100)</f>
        <v>1782.272</v>
      </c>
      <c r="E6" s="0" t="n">
        <f aca="false">D6*(1+E5/100)</f>
        <v>1996.14464</v>
      </c>
      <c r="F6" s="0" t="n">
        <f aca="false">E6*(1+F5/100)</f>
        <v>2175.7976576</v>
      </c>
      <c r="G6" s="0" t="n">
        <f aca="false">F6*(1+G5/100)</f>
        <v>2328.103493632</v>
      </c>
      <c r="H6" s="0" t="n">
        <f aca="false">G6*(1+H5/100)</f>
        <v>2444.5086683136</v>
      </c>
      <c r="I6" s="0" t="n">
        <f aca="false">H6*(1+I5/100)</f>
        <v>2542.28901504615</v>
      </c>
      <c r="J6" s="0" t="n">
        <f aca="false">I6*(1+J5/100)</f>
        <v>2618.55768549753</v>
      </c>
      <c r="K6" s="0" t="n">
        <f aca="false">J6*(1+K5/100)</f>
        <v>2697.11441606246</v>
      </c>
      <c r="L6" s="0" t="n">
        <f aca="false">K6*(1+L5/100)</f>
        <v>2764.54227646402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-10</v>
      </c>
      <c r="D7" s="4" t="n">
        <f aca="false">Assumptions!D14</f>
        <v>-3</v>
      </c>
      <c r="E7" s="4" t="n">
        <f aca="false">Assumptions!E14</f>
        <v>4</v>
      </c>
      <c r="F7" s="4" t="n">
        <f aca="false">Assumptions!F14</f>
        <v>9</v>
      </c>
      <c r="G7" s="4" t="n">
        <f aca="false">Assumptions!G14</f>
        <v>13</v>
      </c>
      <c r="H7" s="4" t="n">
        <f aca="false">Assumptions!H14</f>
        <v>16</v>
      </c>
      <c r="I7" s="4" t="n">
        <f aca="false">Assumptions!I14</f>
        <v>18</v>
      </c>
      <c r="J7" s="4" t="n">
        <f aca="false">Assumptions!J14</f>
        <v>19</v>
      </c>
      <c r="K7" s="4" t="n">
        <f aca="false">Assumptions!K14</f>
        <v>19</v>
      </c>
      <c r="L7" s="4" t="n">
        <f aca="false">Assumptions!L14</f>
        <v>19</v>
      </c>
    </row>
    <row r="8" customFormat="false" ht="15" hidden="false" customHeight="false" outlineLevel="0" collapsed="false">
      <c r="A8" s="0" t="s">
        <v>44</v>
      </c>
      <c r="C8" s="0" t="n">
        <f aca="false">C6*C7/100</f>
        <v>-151.04</v>
      </c>
      <c r="D8" s="0" t="n">
        <f aca="false">D6*D7/100</f>
        <v>-53.46816</v>
      </c>
      <c r="E8" s="0" t="n">
        <f aca="false">E6*E7/100</f>
        <v>79.8457856</v>
      </c>
      <c r="F8" s="0" t="n">
        <f aca="false">F6*F7/100</f>
        <v>195.821789184</v>
      </c>
      <c r="G8" s="0" t="n">
        <f aca="false">G6*G7/100</f>
        <v>302.65345417216</v>
      </c>
      <c r="H8" s="0" t="n">
        <f aca="false">H6*H7/100</f>
        <v>391.121386930176</v>
      </c>
      <c r="I8" s="0" t="n">
        <f aca="false">I6*I7/100</f>
        <v>457.612022708306</v>
      </c>
      <c r="J8" s="0" t="n">
        <f aca="false">J6*J7/100</f>
        <v>497.525960244531</v>
      </c>
      <c r="K8" s="0" t="n">
        <f aca="false">K6*K7/100</f>
        <v>512.451739051867</v>
      </c>
      <c r="L8" s="0" t="n">
        <f aca="false">L6*L7/100</f>
        <v>525.263032528163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4</v>
      </c>
      <c r="D9" s="4" t="n">
        <f aca="false">Assumptions!D15</f>
        <v>3.8</v>
      </c>
      <c r="E9" s="4" t="n">
        <f aca="false">Assumptions!E15</f>
        <v>3.6</v>
      </c>
      <c r="F9" s="4" t="n">
        <f aca="false">Assumptions!F15</f>
        <v>3.4</v>
      </c>
      <c r="G9" s="4" t="n">
        <f aca="false">Assumptions!G15</f>
        <v>3.2</v>
      </c>
      <c r="H9" s="4" t="n">
        <f aca="false">Assumptions!H15</f>
        <v>3</v>
      </c>
      <c r="I9" s="4" t="n">
        <f aca="false">Assumptions!I15</f>
        <v>3</v>
      </c>
      <c r="J9" s="4" t="n">
        <f aca="false">Assumptions!J15</f>
        <v>3</v>
      </c>
      <c r="K9" s="4" t="n">
        <f aca="false">Assumptions!K15</f>
        <v>3</v>
      </c>
      <c r="L9" s="4" t="n">
        <f aca="false">Assumptions!L15</f>
        <v>3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-60.416</v>
      </c>
      <c r="D10" s="0" t="n">
        <f aca="false">-D6*D9/100</f>
        <v>-67.726336</v>
      </c>
      <c r="E10" s="0" t="n">
        <f aca="false">-E6*E9/100</f>
        <v>-71.86120704</v>
      </c>
      <c r="F10" s="0" t="n">
        <f aca="false">-F6*F9/100</f>
        <v>-73.9771203584</v>
      </c>
      <c r="G10" s="0" t="n">
        <f aca="false">-G6*G9/100</f>
        <v>-74.499311796224</v>
      </c>
      <c r="H10" s="0" t="n">
        <f aca="false">-H6*H9/100</f>
        <v>-73.335260049408</v>
      </c>
      <c r="I10" s="0" t="n">
        <f aca="false">-I6*I9/100</f>
        <v>-76.2686704513844</v>
      </c>
      <c r="J10" s="0" t="n">
        <f aca="false">-J6*J9/100</f>
        <v>-78.5567305649259</v>
      </c>
      <c r="K10" s="0" t="n">
        <f aca="false">-K6*K9/100</f>
        <v>-80.9134324818737</v>
      </c>
      <c r="L10" s="0" t="n">
        <f aca="false">-L6*L9/100</f>
        <v>-82.9362682939205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-211.456</v>
      </c>
      <c r="D11" s="0" t="n">
        <f aca="false">D8+D10+D24</f>
        <v>-121.194496</v>
      </c>
      <c r="E11" s="0" t="n">
        <f aca="false">E8+E10+E24</f>
        <v>7.98457856</v>
      </c>
      <c r="F11" s="0" t="n">
        <f aca="false">F8+F10+F24</f>
        <v>121.8446688256</v>
      </c>
      <c r="G11" s="0" t="n">
        <f aca="false">G8+G10+G24</f>
        <v>228.154142375936</v>
      </c>
      <c r="H11" s="0" t="n">
        <f aca="false">H8+H10+H24</f>
        <v>317.786126880768</v>
      </c>
      <c r="I11" s="0" t="n">
        <f aca="false">I8+I10+I24</f>
        <v>381.343352256922</v>
      </c>
      <c r="J11" s="0" t="n">
        <f aca="false">J8+J10+J24</f>
        <v>418.969229679605</v>
      </c>
      <c r="K11" s="0" t="n">
        <f aca="false">K8+K10+K24</f>
        <v>431.538306569993</v>
      </c>
      <c r="L11" s="0" t="n">
        <f aca="false">L8+L10+L24</f>
        <v>442.326764234243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-105.728</v>
      </c>
      <c r="D12" s="4" t="n">
        <f aca="false">-D6*Assumptions!D17/100</f>
        <v>-115.84768</v>
      </c>
      <c r="E12" s="4" t="n">
        <f aca="false">-E6*Assumptions!E17/100</f>
        <v>-119.7686784</v>
      </c>
      <c r="F12" s="4" t="n">
        <f aca="false">-F6*Assumptions!F17/100</f>
        <v>-119.668871168</v>
      </c>
      <c r="G12" s="4" t="n">
        <f aca="false">-G6*Assumptions!G17/100</f>
        <v>-116.4051746816</v>
      </c>
      <c r="H12" s="4" t="n">
        <f aca="false">-H6*Assumptions!H17/100</f>
        <v>-117.336416079053</v>
      </c>
      <c r="I12" s="4" t="n">
        <f aca="false">-I6*Assumptions!I17/100</f>
        <v>-114.403005677077</v>
      </c>
      <c r="J12" s="4" t="n">
        <f aca="false">-J6*Assumptions!J17/100</f>
        <v>-117.835095847389</v>
      </c>
      <c r="K12" s="4" t="n">
        <f aca="false">-K6*Assumptions!K17/100</f>
        <v>-121.370148722811</v>
      </c>
      <c r="L12" s="4" t="n">
        <f aca="false">-L6*Assumptions!L17/100</f>
        <v>-124.404402440881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-317.184</v>
      </c>
      <c r="D13" s="0" t="n">
        <f aca="false">D11+D12</f>
        <v>-237.042176</v>
      </c>
      <c r="E13" s="0" t="n">
        <f aca="false">E11+E12</f>
        <v>-111.78409984</v>
      </c>
      <c r="F13" s="0" t="n">
        <f aca="false">F11+F12</f>
        <v>2.1757976576</v>
      </c>
      <c r="G13" s="0" t="n">
        <f aca="false">G11+G12</f>
        <v>111.748967694336</v>
      </c>
      <c r="H13" s="0" t="n">
        <f aca="false">H11+H12</f>
        <v>200.449710801715</v>
      </c>
      <c r="I13" s="0" t="n">
        <f aca="false">I11+I12</f>
        <v>266.940346579845</v>
      </c>
      <c r="J13" s="0" t="n">
        <f aca="false">J11+J12</f>
        <v>301.134133832216</v>
      </c>
      <c r="K13" s="0" t="n">
        <f aca="false">K11+K12</f>
        <v>310.168157847182</v>
      </c>
      <c r="L13" s="0" t="n">
        <f aca="false">L11+L12</f>
        <v>317.922361793362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5</v>
      </c>
      <c r="G14" s="4" t="n">
        <f aca="false">Assumptions!G19</f>
        <v>10</v>
      </c>
      <c r="H14" s="4" t="n">
        <f aca="false">Assumptions!H19</f>
        <v>13</v>
      </c>
      <c r="I14" s="4" t="n">
        <f aca="false">Assumptions!I19</f>
        <v>15</v>
      </c>
      <c r="J14" s="4" t="n">
        <f aca="false">Assumptions!J19</f>
        <v>15</v>
      </c>
      <c r="K14" s="4" t="n">
        <f aca="false">Assumptions!K19</f>
        <v>15</v>
      </c>
      <c r="L14" s="4" t="n">
        <f aca="false">Assumptions!L19</f>
        <v>15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-317.184</v>
      </c>
      <c r="D15" s="0" t="n">
        <f aca="false">D13-MAX(0,D13)*D14/100</f>
        <v>-237.042176</v>
      </c>
      <c r="E15" s="0" t="n">
        <f aca="false">E13-MAX(0,E13)*E14/100</f>
        <v>-111.78409984</v>
      </c>
      <c r="F15" s="0" t="n">
        <f aca="false">F13-MAX(0,F13)*F14/100</f>
        <v>2.06700777472</v>
      </c>
      <c r="G15" s="0" t="n">
        <f aca="false">G13-MAX(0,G13)*G14/100</f>
        <v>100.574070924902</v>
      </c>
      <c r="H15" s="0" t="n">
        <f aca="false">H13-MAX(0,H13)*H14/100</f>
        <v>174.391248397492</v>
      </c>
      <c r="I15" s="0" t="n">
        <f aca="false">I13-MAX(0,I13)*I14/100</f>
        <v>226.899294592868</v>
      </c>
      <c r="J15" s="0" t="n">
        <f aca="false">J13-MAX(0,J13)*J14/100</f>
        <v>255.964013757384</v>
      </c>
      <c r="K15" s="0" t="n">
        <f aca="false">K13-MAX(0,K13)*K14/100</f>
        <v>263.642934170105</v>
      </c>
      <c r="L15" s="0" t="n">
        <f aca="false">L13-MAX(0,L13)*L14/100</f>
        <v>270.234007524358</v>
      </c>
    </row>
    <row r="16" customFormat="false" ht="15" hidden="false" customHeight="false" outlineLevel="0" collapsed="false">
      <c r="A16" s="0" t="s">
        <v>118</v>
      </c>
      <c r="C16" s="0" t="n">
        <f aca="false">-C12</f>
        <v>105.728</v>
      </c>
      <c r="D16" s="0" t="n">
        <f aca="false">-D12</f>
        <v>115.84768</v>
      </c>
      <c r="E16" s="0" t="n">
        <f aca="false">-E12</f>
        <v>119.7686784</v>
      </c>
      <c r="F16" s="0" t="n">
        <f aca="false">-F12</f>
        <v>119.668871168</v>
      </c>
      <c r="G16" s="0" t="n">
        <f aca="false">-G12</f>
        <v>116.4051746816</v>
      </c>
      <c r="H16" s="0" t="n">
        <f aca="false">-H12</f>
        <v>117.336416079053</v>
      </c>
      <c r="I16" s="0" t="n">
        <f aca="false">-I12</f>
        <v>114.403005677077</v>
      </c>
      <c r="J16" s="0" t="n">
        <f aca="false">-J12</f>
        <v>117.835095847389</v>
      </c>
      <c r="K16" s="0" t="n">
        <f aca="false">-K12</f>
        <v>121.370148722811</v>
      </c>
      <c r="L16" s="0" t="n">
        <f aca="false">-L12</f>
        <v>124.404402440881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-151.04</v>
      </c>
      <c r="D17" s="4" t="n">
        <f aca="false">-D6*Assumptions!D18/100</f>
        <v>-142.58176</v>
      </c>
      <c r="E17" s="4" t="n">
        <f aca="false">-E6*Assumptions!E18/100</f>
        <v>-129.7494016</v>
      </c>
      <c r="F17" s="4" t="n">
        <f aca="false">-F6*Assumptions!F18/100</f>
        <v>-119.668871168</v>
      </c>
      <c r="G17" s="4" t="n">
        <f aca="false">-G6*Assumptions!G18/100</f>
        <v>-116.4051746816</v>
      </c>
      <c r="H17" s="4" t="n">
        <f aca="false">-H6*Assumptions!H18/100</f>
        <v>-122.22543341568</v>
      </c>
      <c r="I17" s="4" t="n">
        <f aca="false">-I6*Assumptions!I18/100</f>
        <v>-127.114450752307</v>
      </c>
      <c r="J17" s="4" t="n">
        <f aca="false">-J6*Assumptions!J18/100</f>
        <v>-130.927884274876</v>
      </c>
      <c r="K17" s="4" t="n">
        <f aca="false">-K6*Assumptions!K18/100</f>
        <v>-134.855720803123</v>
      </c>
      <c r="L17" s="4" t="n">
        <f aca="false">-L6*Assumptions!L18/100</f>
        <v>-138.227113823201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-39.648</v>
      </c>
      <c r="D18" s="4" t="n">
        <f aca="false">(D6-C6)*Assumptions!$B$23/100</f>
        <v>-32.62464</v>
      </c>
      <c r="E18" s="4" t="n">
        <f aca="false">(E6-D6)*Assumptions!$B$23/100</f>
        <v>-25.6647168</v>
      </c>
      <c r="F18" s="4" t="n">
        <f aca="false">(F6-E6)*Assumptions!$B$23/100</f>
        <v>-21.558362112</v>
      </c>
      <c r="G18" s="4" t="n">
        <f aca="false">(G6-F6)*Assumptions!$B$23/100</f>
        <v>-18.27670032384</v>
      </c>
      <c r="H18" s="4" t="n">
        <f aca="false">(H6-G6)*Assumptions!$B$23/100</f>
        <v>-13.968620961792</v>
      </c>
      <c r="I18" s="4" t="n">
        <f aca="false">(I6-H6)*Assumptions!$B$23/100</f>
        <v>-11.7336416079053</v>
      </c>
      <c r="J18" s="4" t="n">
        <f aca="false">(J6-I6)*Assumptions!$B$23/100</f>
        <v>-9.15224045416613</v>
      </c>
      <c r="K18" s="4" t="n">
        <f aca="false">(K6-J6)*Assumptions!$B$23/100</f>
        <v>-9.42680766779113</v>
      </c>
      <c r="L18" s="4" t="n">
        <f aca="false">(L6-K6)*Assumptions!$B$23/100</f>
        <v>-8.09134324818735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-402.144</v>
      </c>
      <c r="D19" s="0" t="n">
        <f aca="false">D15+D16+D17+D18</f>
        <v>-296.400896</v>
      </c>
      <c r="E19" s="0" t="n">
        <f aca="false">E15+E16+E17+E18</f>
        <v>-147.42953984</v>
      </c>
      <c r="F19" s="0" t="n">
        <f aca="false">F15+F16+F17+F18</f>
        <v>-19.49135433728</v>
      </c>
      <c r="G19" s="0" t="n">
        <f aca="false">G15+G16+G17+G18</f>
        <v>82.2973706010624</v>
      </c>
      <c r="H19" s="0" t="n">
        <f aca="false">H15+H16+H17+H18</f>
        <v>155.533610099073</v>
      </c>
      <c r="I19" s="0" t="n">
        <f aca="false">I15+I16+I17+I18</f>
        <v>202.454207909732</v>
      </c>
      <c r="J19" s="0" t="n">
        <f aca="false">J15+J16+J17+J18</f>
        <v>233.71898487573</v>
      </c>
      <c r="K19" s="0" t="n">
        <f aca="false">K15+K16+K17+K18</f>
        <v>240.730554422002</v>
      </c>
      <c r="L19" s="0" t="n">
        <f aca="false">L15+L16+L17+L18</f>
        <v>248.31995289385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-363.931221719457</v>
      </c>
      <c r="D21" s="0" t="n">
        <f aca="false">D19*D20</f>
        <v>-242.747606314367</v>
      </c>
      <c r="E21" s="0" t="n">
        <f aca="false">E19*E20</f>
        <v>-109.269177981818</v>
      </c>
      <c r="F21" s="0" t="n">
        <f aca="false">F19*F20</f>
        <v>-13.0735311076332</v>
      </c>
      <c r="G21" s="0" t="n">
        <f aca="false">G19*G20</f>
        <v>49.954494617053</v>
      </c>
      <c r="H21" s="0" t="n">
        <f aca="false">H19*H20</f>
        <v>85.4379037852183</v>
      </c>
      <c r="I21" s="0" t="n">
        <f aca="false">I19*I20</f>
        <v>100.644688872002</v>
      </c>
      <c r="J21" s="0" t="n">
        <f aca="false">J19*J20</f>
        <v>105.146729090448</v>
      </c>
      <c r="K21" s="0" t="n">
        <f aca="false">K19*K20</f>
        <v>98.0100732698291</v>
      </c>
      <c r="L21" s="0" t="n">
        <f aca="false">L19*L20</f>
        <v>91.4932041188731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-198.334443369852</v>
      </c>
    </row>
    <row r="31" customFormat="false" ht="15" hidden="false" customHeight="false" outlineLevel="0" collapsed="false">
      <c r="A31" s="0" t="s">
        <v>127</v>
      </c>
      <c r="B31" s="0" t="n">
        <f aca="false">L19</f>
        <v>248.31995289385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2979.8394347262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3724.79929340775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2979.8394347262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1097.91844942648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899.584006056626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3208.38400605663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12.5912479370047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-0.846354509615562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435.284407355326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366.69328431052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15.7385956162878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1948.35655347483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9.8072544283736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81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52</v>
      </c>
      <c r="D5" s="4" t="n">
        <f aca="false">Assumptions!D27</f>
        <v>36</v>
      </c>
      <c r="E5" s="4" t="n">
        <f aca="false">Assumptions!E27</f>
        <v>27</v>
      </c>
      <c r="F5" s="4" t="n">
        <f aca="false">Assumptions!F27</f>
        <v>21</v>
      </c>
      <c r="G5" s="4" t="n">
        <f aca="false">Assumptions!G27</f>
        <v>16</v>
      </c>
      <c r="H5" s="4" t="n">
        <f aca="false">Assumptions!H27</f>
        <v>12</v>
      </c>
      <c r="I5" s="4" t="n">
        <f aca="false">Assumptions!I27</f>
        <v>9</v>
      </c>
      <c r="J5" s="4" t="n">
        <f aca="false">Assumptions!J27</f>
        <v>6.5</v>
      </c>
      <c r="K5" s="4" t="n">
        <f aca="false">Assumptions!K27</f>
        <v>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38</v>
      </c>
      <c r="B6" s="3" t="n">
        <v>1180</v>
      </c>
      <c r="C6" s="0" t="n">
        <f aca="false">B6*(1+C5/100)</f>
        <v>1793.6</v>
      </c>
      <c r="D6" s="0" t="n">
        <f aca="false">C6*(1+D5/100)</f>
        <v>2439.296</v>
      </c>
      <c r="E6" s="0" t="n">
        <f aca="false">D6*(1+E5/100)</f>
        <v>3097.90592</v>
      </c>
      <c r="F6" s="0" t="n">
        <f aca="false">E6*(1+F5/100)</f>
        <v>3748.4661632</v>
      </c>
      <c r="G6" s="0" t="n">
        <f aca="false">F6*(1+G5/100)</f>
        <v>4348.220749312</v>
      </c>
      <c r="H6" s="0" t="n">
        <f aca="false">G6*(1+H5/100)</f>
        <v>4870.00723922944</v>
      </c>
      <c r="I6" s="0" t="n">
        <f aca="false">H6*(1+I5/100)</f>
        <v>5308.30789076009</v>
      </c>
      <c r="J6" s="0" t="n">
        <f aca="false">I6*(1+J5/100)</f>
        <v>5653.34790365949</v>
      </c>
      <c r="K6" s="0" t="n">
        <f aca="false">J6*(1+K5/100)</f>
        <v>5936.01529884247</v>
      </c>
      <c r="L6" s="0" t="n">
        <f aca="false">K6*(1+L5/100)</f>
        <v>6173.45591079617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2</v>
      </c>
      <c r="D7" s="4" t="n">
        <f aca="false">Assumptions!D28</f>
        <v>10</v>
      </c>
      <c r="E7" s="4" t="n">
        <f aca="false">Assumptions!E28</f>
        <v>17</v>
      </c>
      <c r="F7" s="4" t="n">
        <f aca="false">Assumptions!F28</f>
        <v>22</v>
      </c>
      <c r="G7" s="4" t="n">
        <f aca="false">Assumptions!G28</f>
        <v>26</v>
      </c>
      <c r="H7" s="4" t="n">
        <f aca="false">Assumptions!H28</f>
        <v>29</v>
      </c>
      <c r="I7" s="4" t="n">
        <f aca="false">Assumptions!I28</f>
        <v>31</v>
      </c>
      <c r="J7" s="4" t="n">
        <f aca="false">Assumptions!J28</f>
        <v>32</v>
      </c>
      <c r="K7" s="4" t="n">
        <f aca="false">Assumptions!K28</f>
        <v>32</v>
      </c>
      <c r="L7" s="4" t="n">
        <f aca="false">Assumptions!L28</f>
        <v>32</v>
      </c>
    </row>
    <row r="8" customFormat="false" ht="15" hidden="false" customHeight="false" outlineLevel="0" collapsed="false">
      <c r="A8" s="0" t="s">
        <v>44</v>
      </c>
      <c r="C8" s="0" t="n">
        <f aca="false">C6*C7/100</f>
        <v>35.872</v>
      </c>
      <c r="D8" s="0" t="n">
        <f aca="false">D6*D7/100</f>
        <v>243.9296</v>
      </c>
      <c r="E8" s="0" t="n">
        <f aca="false">E6*E7/100</f>
        <v>526.6440064</v>
      </c>
      <c r="F8" s="0" t="n">
        <f aca="false">F6*F7/100</f>
        <v>824.662555904</v>
      </c>
      <c r="G8" s="0" t="n">
        <f aca="false">G6*G7/100</f>
        <v>1130.53739482112</v>
      </c>
      <c r="H8" s="0" t="n">
        <f aca="false">H6*H7/100</f>
        <v>1412.30209937654</v>
      </c>
      <c r="I8" s="0" t="n">
        <f aca="false">I6*I7/100</f>
        <v>1645.57544613563</v>
      </c>
      <c r="J8" s="0" t="n">
        <f aca="false">J6*J7/100</f>
        <v>1809.07132917104</v>
      </c>
      <c r="K8" s="0" t="n">
        <f aca="false">K6*K7/100</f>
        <v>1899.52489562959</v>
      </c>
      <c r="L8" s="0" t="n">
        <f aca="false">L6*L7/100</f>
        <v>1975.50589145477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4</v>
      </c>
      <c r="D9" s="4" t="n">
        <f aca="false">Assumptions!D29</f>
        <v>3.7</v>
      </c>
      <c r="E9" s="4" t="n">
        <f aca="false">Assumptions!E29</f>
        <v>3.4</v>
      </c>
      <c r="F9" s="4" t="n">
        <f aca="false">Assumptions!F29</f>
        <v>3.1</v>
      </c>
      <c r="G9" s="4" t="n">
        <f aca="false">Assumptions!G29</f>
        <v>2.8</v>
      </c>
      <c r="H9" s="4" t="n">
        <f aca="false">Assumptions!H29</f>
        <v>2.6</v>
      </c>
      <c r="I9" s="4" t="n">
        <f aca="false">Assumptions!I29</f>
        <v>2.5</v>
      </c>
      <c r="J9" s="4" t="n">
        <f aca="false">Assumptions!J29</f>
        <v>2.5</v>
      </c>
      <c r="K9" s="4" t="n">
        <f aca="false">Assumptions!K29</f>
        <v>2.5</v>
      </c>
      <c r="L9" s="4" t="n">
        <f aca="false">Assumptions!L29</f>
        <v>2.5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-71.744</v>
      </c>
      <c r="D10" s="0" t="n">
        <f aca="false">-D6*D9/100</f>
        <v>-90.253952</v>
      </c>
      <c r="E10" s="0" t="n">
        <f aca="false">-E6*E9/100</f>
        <v>-105.32880128</v>
      </c>
      <c r="F10" s="0" t="n">
        <f aca="false">-F6*F9/100</f>
        <v>-116.2024510592</v>
      </c>
      <c r="G10" s="0" t="n">
        <f aca="false">-G6*G9/100</f>
        <v>-121.750180980736</v>
      </c>
      <c r="H10" s="0" t="n">
        <f aca="false">-H6*H9/100</f>
        <v>-126.620188219965</v>
      </c>
      <c r="I10" s="0" t="n">
        <f aca="false">-I6*I9/100</f>
        <v>-132.707697269002</v>
      </c>
      <c r="J10" s="0" t="n">
        <f aca="false">-J6*J9/100</f>
        <v>-141.333697591487</v>
      </c>
      <c r="K10" s="0" t="n">
        <f aca="false">-K6*K9/100</f>
        <v>-148.400382471062</v>
      </c>
      <c r="L10" s="0" t="n">
        <f aca="false">-L6*L9/100</f>
        <v>-154.336397769904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-35.872</v>
      </c>
      <c r="D11" s="0" t="n">
        <f aca="false">D8+D10+D24</f>
        <v>153.675648</v>
      </c>
      <c r="E11" s="0" t="n">
        <f aca="false">E8+E10+E24</f>
        <v>421.31520512</v>
      </c>
      <c r="F11" s="0" t="n">
        <f aca="false">F8+F10+F24</f>
        <v>708.4601048448</v>
      </c>
      <c r="G11" s="0" t="n">
        <f aca="false">G8+G10+G24</f>
        <v>1008.78721384038</v>
      </c>
      <c r="H11" s="0" t="n">
        <f aca="false">H8+H10+H24</f>
        <v>1285.68191115657</v>
      </c>
      <c r="I11" s="0" t="n">
        <f aca="false">I8+I10+I24</f>
        <v>1512.86774886663</v>
      </c>
      <c r="J11" s="0" t="n">
        <f aca="false">J8+J10+J24</f>
        <v>1667.73763157955</v>
      </c>
      <c r="K11" s="0" t="n">
        <f aca="false">K8+K10+K24</f>
        <v>1751.12451315853</v>
      </c>
      <c r="L11" s="0" t="n">
        <f aca="false">L8+L10+L24</f>
        <v>1821.16949368487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-116.584</v>
      </c>
      <c r="D12" s="4" t="n">
        <f aca="false">-D6*Assumptions!D31/100</f>
        <v>-134.16128</v>
      </c>
      <c r="E12" s="4" t="n">
        <f aca="false">-E6*Assumptions!E31/100</f>
        <v>-148.69948416</v>
      </c>
      <c r="F12" s="4" t="n">
        <f aca="false">-F6*Assumptions!F31/100</f>
        <v>-161.1840450176</v>
      </c>
      <c r="G12" s="4" t="n">
        <f aca="false">-G6*Assumptions!G31/100</f>
        <v>-173.92882997248</v>
      </c>
      <c r="H12" s="4" t="n">
        <f aca="false">-H6*Assumptions!H31/100</f>
        <v>-185.060275090719</v>
      </c>
      <c r="I12" s="4" t="n">
        <f aca="false">-I6*Assumptions!I31/100</f>
        <v>-191.099084067363</v>
      </c>
      <c r="J12" s="4" t="n">
        <f aca="false">-J6*Assumptions!J31/100</f>
        <v>-197.867176628082</v>
      </c>
      <c r="K12" s="4" t="n">
        <f aca="false">-K6*Assumptions!K31/100</f>
        <v>-207.760535459486</v>
      </c>
      <c r="L12" s="4" t="n">
        <f aca="false">-L6*Assumptions!L31/100</f>
        <v>-216.070956877866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-152.456</v>
      </c>
      <c r="D13" s="0" t="n">
        <f aca="false">D11+D12</f>
        <v>19.514368</v>
      </c>
      <c r="E13" s="0" t="n">
        <f aca="false">E11+E12</f>
        <v>272.61572096</v>
      </c>
      <c r="F13" s="0" t="n">
        <f aca="false">F11+F12</f>
        <v>547.2760598272</v>
      </c>
      <c r="G13" s="0" t="n">
        <f aca="false">G11+G12</f>
        <v>834.858383867904</v>
      </c>
      <c r="H13" s="0" t="n">
        <f aca="false">H11+H12</f>
        <v>1100.62163606585</v>
      </c>
      <c r="I13" s="0" t="n">
        <f aca="false">I11+I12</f>
        <v>1321.76866479926</v>
      </c>
      <c r="J13" s="0" t="n">
        <f aca="false">J11+J12</f>
        <v>1469.87045495147</v>
      </c>
      <c r="K13" s="0" t="n">
        <f aca="false">K11+K12</f>
        <v>1543.36397769904</v>
      </c>
      <c r="L13" s="0" t="n">
        <f aca="false">L11+L12</f>
        <v>1605.098536807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5</v>
      </c>
      <c r="F14" s="4" t="n">
        <f aca="false">Assumptions!F33</f>
        <v>10</v>
      </c>
      <c r="G14" s="4" t="n">
        <f aca="false">Assumptions!G33</f>
        <v>13</v>
      </c>
      <c r="H14" s="4" t="n">
        <f aca="false">Assumptions!H33</f>
        <v>15</v>
      </c>
      <c r="I14" s="4" t="n">
        <f aca="false">Assumptions!I33</f>
        <v>16</v>
      </c>
      <c r="J14" s="4" t="n">
        <f aca="false">Assumptions!J33</f>
        <v>17</v>
      </c>
      <c r="K14" s="4" t="n">
        <f aca="false">Assumptions!K33</f>
        <v>17</v>
      </c>
      <c r="L14" s="4" t="n">
        <f aca="false">Assumptions!L33</f>
        <v>17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-152.456</v>
      </c>
      <c r="D15" s="0" t="n">
        <f aca="false">D13-MAX(0,D13)*D14/100</f>
        <v>19.514368</v>
      </c>
      <c r="E15" s="0" t="n">
        <f aca="false">E13-MAX(0,E13)*E14/100</f>
        <v>258.984934912</v>
      </c>
      <c r="F15" s="0" t="n">
        <f aca="false">F13-MAX(0,F13)*F14/100</f>
        <v>492.54845384448</v>
      </c>
      <c r="G15" s="0" t="n">
        <f aca="false">G13-MAX(0,G13)*G14/100</f>
        <v>726.326793965076</v>
      </c>
      <c r="H15" s="0" t="n">
        <f aca="false">H13-MAX(0,H13)*H14/100</f>
        <v>935.528390655975</v>
      </c>
      <c r="I15" s="0" t="n">
        <f aca="false">I13-MAX(0,I13)*I14/100</f>
        <v>1110.28567843138</v>
      </c>
      <c r="J15" s="0" t="n">
        <f aca="false">J13-MAX(0,J13)*J14/100</f>
        <v>1219.99247760972</v>
      </c>
      <c r="K15" s="0" t="n">
        <f aca="false">K13-MAX(0,K13)*K14/100</f>
        <v>1280.9921014902</v>
      </c>
      <c r="L15" s="0" t="n">
        <f aca="false">L13-MAX(0,L13)*L14/100</f>
        <v>1332.23178554981</v>
      </c>
    </row>
    <row r="16" customFormat="false" ht="15" hidden="false" customHeight="false" outlineLevel="0" collapsed="false">
      <c r="A16" s="0" t="s">
        <v>118</v>
      </c>
      <c r="C16" s="0" t="n">
        <f aca="false">-C12</f>
        <v>116.584</v>
      </c>
      <c r="D16" s="0" t="n">
        <f aca="false">-D12</f>
        <v>134.16128</v>
      </c>
      <c r="E16" s="0" t="n">
        <f aca="false">-E12</f>
        <v>148.69948416</v>
      </c>
      <c r="F16" s="0" t="n">
        <f aca="false">-F12</f>
        <v>161.1840450176</v>
      </c>
      <c r="G16" s="0" t="n">
        <f aca="false">-G12</f>
        <v>173.92882997248</v>
      </c>
      <c r="H16" s="0" t="n">
        <f aca="false">-H12</f>
        <v>185.060275090719</v>
      </c>
      <c r="I16" s="0" t="n">
        <f aca="false">-I12</f>
        <v>191.099084067363</v>
      </c>
      <c r="J16" s="0" t="n">
        <f aca="false">-J12</f>
        <v>197.867176628082</v>
      </c>
      <c r="K16" s="0" t="n">
        <f aca="false">-K12</f>
        <v>207.760535459486</v>
      </c>
      <c r="L16" s="0" t="n">
        <f aca="false">-L12</f>
        <v>216.070956877866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-161.424</v>
      </c>
      <c r="D17" s="4" t="n">
        <f aca="false">-D6*Assumptions!D32/100</f>
        <v>-170.75072</v>
      </c>
      <c r="E17" s="4" t="n">
        <f aca="false">-E6*Assumptions!E32/100</f>
        <v>-170.3848256</v>
      </c>
      <c r="F17" s="4" t="n">
        <f aca="false">-F6*Assumptions!F32/100</f>
        <v>-187.42330816</v>
      </c>
      <c r="G17" s="4" t="n">
        <f aca="false">-G6*Assumptions!G32/100</f>
        <v>-195.66993371904</v>
      </c>
      <c r="H17" s="4" t="n">
        <f aca="false">-H6*Assumptions!H32/100</f>
        <v>-204.540304047636</v>
      </c>
      <c r="I17" s="4" t="n">
        <f aca="false">-I6*Assumptions!I32/100</f>
        <v>-212.332315630404</v>
      </c>
      <c r="J17" s="4" t="n">
        <f aca="false">-J6*Assumptions!J32/100</f>
        <v>-226.13391614638</v>
      </c>
      <c r="K17" s="4" t="n">
        <f aca="false">-K6*Assumptions!K32/100</f>
        <v>-237.440611953699</v>
      </c>
      <c r="L17" s="4" t="n">
        <f aca="false">-L6*Assumptions!L32/100</f>
        <v>-246.938236431847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-73.632</v>
      </c>
      <c r="D18" s="4" t="n">
        <f aca="false">(D6-C6)*Assumptions!$B$37/100</f>
        <v>-77.48352</v>
      </c>
      <c r="E18" s="4" t="n">
        <f aca="false">(E6-D6)*Assumptions!$B$37/100</f>
        <v>-79.0331904</v>
      </c>
      <c r="F18" s="4" t="n">
        <f aca="false">(F6-E6)*Assumptions!$B$37/100</f>
        <v>-78.067229184</v>
      </c>
      <c r="G18" s="4" t="n">
        <f aca="false">(G6-F6)*Assumptions!$B$37/100</f>
        <v>-71.9705503334399</v>
      </c>
      <c r="H18" s="4" t="n">
        <f aca="false">(H6-G6)*Assumptions!$B$37/100</f>
        <v>-62.6143787900928</v>
      </c>
      <c r="I18" s="4" t="n">
        <f aca="false">(I6-H6)*Assumptions!$B$37/100</f>
        <v>-52.596078183678</v>
      </c>
      <c r="J18" s="4" t="n">
        <f aca="false">(J6-I6)*Assumptions!$B$37/100</f>
        <v>-41.4048015479286</v>
      </c>
      <c r="K18" s="4" t="n">
        <f aca="false">(K6-J6)*Assumptions!$B$37/100</f>
        <v>-33.920087421957</v>
      </c>
      <c r="L18" s="4" t="n">
        <f aca="false">(L6-K6)*Assumptions!$B$37/100</f>
        <v>-28.4928734344439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-270.928</v>
      </c>
      <c r="D19" s="0" t="n">
        <f aca="false">D15+D16+D17+D18</f>
        <v>-94.558592</v>
      </c>
      <c r="E19" s="0" t="n">
        <f aca="false">E15+E16+E17+E18</f>
        <v>158.266403072</v>
      </c>
      <c r="F19" s="0" t="n">
        <f aca="false">F15+F16+F17+F18</f>
        <v>388.24196151808</v>
      </c>
      <c r="G19" s="0" t="n">
        <f aca="false">G15+G16+G17+G18</f>
        <v>632.615139885076</v>
      </c>
      <c r="H19" s="0" t="n">
        <f aca="false">H15+H16+H17+H18</f>
        <v>853.433982908965</v>
      </c>
      <c r="I19" s="0" t="n">
        <f aca="false">I15+I16+I17+I18</f>
        <v>1036.45636868466</v>
      </c>
      <c r="J19" s="0" t="n">
        <f aca="false">J15+J16+J17+J18</f>
        <v>1150.32093654349</v>
      </c>
      <c r="K19" s="0" t="n">
        <f aca="false">K15+K16+K17+K18</f>
        <v>1217.39193757404</v>
      </c>
      <c r="L19" s="0" t="n">
        <f aca="false">L15+L16+L17+L18</f>
        <v>1272.87163256139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-245.18371040724</v>
      </c>
      <c r="D21" s="0" t="n">
        <f aca="false">D19*D20</f>
        <v>-77.4419786654655</v>
      </c>
      <c r="E21" s="0" t="n">
        <f aca="false">E19*E20</f>
        <v>117.301049603659</v>
      </c>
      <c r="F21" s="0" t="n">
        <f aca="false">F19*F20</f>
        <v>260.407423381922</v>
      </c>
      <c r="G21" s="0" t="n">
        <f aca="false">G19*G20</f>
        <v>383.997318131174</v>
      </c>
      <c r="H21" s="0" t="n">
        <f aca="false">H19*H20</f>
        <v>468.80934913274</v>
      </c>
      <c r="I21" s="0" t="n">
        <f aca="false">I19*I20</f>
        <v>515.24653319225</v>
      </c>
      <c r="J21" s="0" t="n">
        <f aca="false">J19*J20</f>
        <v>517.512447463864</v>
      </c>
      <c r="K21" s="0" t="n">
        <f aca="false">K19*K20</f>
        <v>495.644075120468</v>
      </c>
      <c r="L21" s="0" t="n">
        <f aca="false">L19*L20</f>
        <v>468.988104813492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2905.28061176686</v>
      </c>
    </row>
    <row r="31" customFormat="false" ht="15" hidden="false" customHeight="false" outlineLevel="0" collapsed="false">
      <c r="A31" s="0" t="s">
        <v>127</v>
      </c>
      <c r="B31" s="0" t="n">
        <f aca="false">L19</f>
        <v>1272.87163256139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15274.4595907367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19093.0744884208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15274.4595907367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5627.8572577619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8533.13786952876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10841.9378695288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42.5489989898759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-0.480793178891081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685.147719275713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682.38084195367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47.9158413450521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9987.14665548166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27.1035923772026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81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62</v>
      </c>
      <c r="D5" s="4" t="n">
        <f aca="false">Assumptions!D41</f>
        <v>45</v>
      </c>
      <c r="E5" s="4" t="n">
        <f aca="false">Assumptions!E41</f>
        <v>34</v>
      </c>
      <c r="F5" s="4" t="n">
        <f aca="false">Assumptions!F41</f>
        <v>26</v>
      </c>
      <c r="G5" s="4" t="n">
        <f aca="false">Assumptions!G41</f>
        <v>20</v>
      </c>
      <c r="H5" s="4" t="n">
        <f aca="false">Assumptions!H41</f>
        <v>15</v>
      </c>
      <c r="I5" s="4" t="n">
        <f aca="false">Assumptions!I41</f>
        <v>11</v>
      </c>
      <c r="J5" s="4" t="n">
        <f aca="false">Assumptions!J41</f>
        <v>8</v>
      </c>
      <c r="K5" s="4" t="n">
        <f aca="false">Assumptions!K41</f>
        <v>6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38</v>
      </c>
      <c r="B6" s="3" t="n">
        <v>1180</v>
      </c>
      <c r="C6" s="0" t="n">
        <f aca="false">B6*(1+C5/100)</f>
        <v>1911.6</v>
      </c>
      <c r="D6" s="0" t="n">
        <f aca="false">C6*(1+D5/100)</f>
        <v>2771.82</v>
      </c>
      <c r="E6" s="0" t="n">
        <f aca="false">D6*(1+E5/100)</f>
        <v>3714.2388</v>
      </c>
      <c r="F6" s="0" t="n">
        <f aca="false">E6*(1+F5/100)</f>
        <v>4679.940888</v>
      </c>
      <c r="G6" s="0" t="n">
        <f aca="false">F6*(1+G5/100)</f>
        <v>5615.9290656</v>
      </c>
      <c r="H6" s="0" t="n">
        <f aca="false">G6*(1+H5/100)</f>
        <v>6458.31842544</v>
      </c>
      <c r="I6" s="0" t="n">
        <f aca="false">H6*(1+I5/100)</f>
        <v>7168.7334522384</v>
      </c>
      <c r="J6" s="0" t="n">
        <f aca="false">I6*(1+J5/100)</f>
        <v>7742.23212841747</v>
      </c>
      <c r="K6" s="0" t="n">
        <f aca="false">J6*(1+K5/100)</f>
        <v>8206.76605612252</v>
      </c>
      <c r="L6" s="0" t="n">
        <f aca="false">K6*(1+L5/100)</f>
        <v>8617.10435892865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6</v>
      </c>
      <c r="D7" s="4" t="n">
        <f aca="false">Assumptions!D42</f>
        <v>15</v>
      </c>
      <c r="E7" s="4" t="n">
        <f aca="false">Assumptions!E42</f>
        <v>23</v>
      </c>
      <c r="F7" s="4" t="n">
        <f aca="false">Assumptions!F42</f>
        <v>29</v>
      </c>
      <c r="G7" s="4" t="n">
        <f aca="false">Assumptions!G42</f>
        <v>33</v>
      </c>
      <c r="H7" s="4" t="n">
        <f aca="false">Assumptions!H42</f>
        <v>36</v>
      </c>
      <c r="I7" s="4" t="n">
        <f aca="false">Assumptions!I42</f>
        <v>38</v>
      </c>
      <c r="J7" s="4" t="n">
        <f aca="false">Assumptions!J42</f>
        <v>38</v>
      </c>
      <c r="K7" s="4" t="n">
        <f aca="false">Assumptions!K42</f>
        <v>38</v>
      </c>
      <c r="L7" s="4" t="n">
        <f aca="false">Assumptions!L42</f>
        <v>38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114.696</v>
      </c>
      <c r="D8" s="0" t="n">
        <f aca="false">D6*D7/100</f>
        <v>415.773</v>
      </c>
      <c r="E8" s="0" t="n">
        <f aca="false">E6*E7/100</f>
        <v>854.274924</v>
      </c>
      <c r="F8" s="0" t="n">
        <f aca="false">F6*F7/100</f>
        <v>1357.18285752</v>
      </c>
      <c r="G8" s="0" t="n">
        <f aca="false">G6*G7/100</f>
        <v>1853.256591648</v>
      </c>
      <c r="H8" s="0" t="n">
        <f aca="false">H6*H7/100</f>
        <v>2324.9946331584</v>
      </c>
      <c r="I8" s="0" t="n">
        <f aca="false">I6*I7/100</f>
        <v>2724.11871185059</v>
      </c>
      <c r="J8" s="0" t="n">
        <f aca="false">J6*J7/100</f>
        <v>2942.04820879864</v>
      </c>
      <c r="K8" s="0" t="n">
        <f aca="false">K6*K7/100</f>
        <v>3118.57110132656</v>
      </c>
      <c r="L8" s="0" t="n">
        <f aca="false">L6*L7/100</f>
        <v>3274.49965639289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4</v>
      </c>
      <c r="D9" s="4" t="n">
        <f aca="false">Assumptions!D43</f>
        <v>3.7</v>
      </c>
      <c r="E9" s="4" t="n">
        <f aca="false">Assumptions!E43</f>
        <v>3.4</v>
      </c>
      <c r="F9" s="4" t="n">
        <f aca="false">Assumptions!F43</f>
        <v>3.1</v>
      </c>
      <c r="G9" s="4" t="n">
        <f aca="false">Assumptions!G43</f>
        <v>2.8</v>
      </c>
      <c r="H9" s="4" t="n">
        <f aca="false">Assumptions!H43</f>
        <v>2.6</v>
      </c>
      <c r="I9" s="4" t="n">
        <f aca="false">Assumptions!I43</f>
        <v>2.5</v>
      </c>
      <c r="J9" s="4" t="n">
        <f aca="false">Assumptions!J43</f>
        <v>2.5</v>
      </c>
      <c r="K9" s="4" t="n">
        <f aca="false">Assumptions!K43</f>
        <v>2.5</v>
      </c>
      <c r="L9" s="4" t="n">
        <f aca="false">Assumptions!L43</f>
        <v>2.5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-76.464</v>
      </c>
      <c r="D10" s="0" t="n">
        <f aca="false">-D6*D9/100</f>
        <v>-102.55734</v>
      </c>
      <c r="E10" s="0" t="n">
        <f aca="false">-E6*E9/100</f>
        <v>-126.2841192</v>
      </c>
      <c r="F10" s="0" t="n">
        <f aca="false">-F6*F9/100</f>
        <v>-145.078167528</v>
      </c>
      <c r="G10" s="0" t="n">
        <f aca="false">-G6*G9/100</f>
        <v>-157.2460138368</v>
      </c>
      <c r="H10" s="0" t="n">
        <f aca="false">-H6*H9/100</f>
        <v>-167.91627906144</v>
      </c>
      <c r="I10" s="0" t="n">
        <f aca="false">-I6*I9/100</f>
        <v>-179.21833630596</v>
      </c>
      <c r="J10" s="0" t="n">
        <f aca="false">-J6*J9/100</f>
        <v>-193.555803210437</v>
      </c>
      <c r="K10" s="0" t="n">
        <f aca="false">-K6*K9/100</f>
        <v>-205.169151403063</v>
      </c>
      <c r="L10" s="0" t="n">
        <f aca="false">-L6*L9/100</f>
        <v>-215.427608973216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38.232</v>
      </c>
      <c r="D11" s="0" t="n">
        <f aca="false">D8+D10+D24</f>
        <v>313.21566</v>
      </c>
      <c r="E11" s="0" t="n">
        <f aca="false">E8+E10+E24</f>
        <v>727.9908048</v>
      </c>
      <c r="F11" s="0" t="n">
        <f aca="false">F8+F10+F24</f>
        <v>1212.104689992</v>
      </c>
      <c r="G11" s="0" t="n">
        <f aca="false">G8+G10+G24</f>
        <v>1696.0105778112</v>
      </c>
      <c r="H11" s="0" t="n">
        <f aca="false">H8+H10+H24</f>
        <v>2157.07835409696</v>
      </c>
      <c r="I11" s="0" t="n">
        <f aca="false">I8+I10+I24</f>
        <v>2544.90037554463</v>
      </c>
      <c r="J11" s="0" t="n">
        <f aca="false">J8+J10+J24</f>
        <v>2748.4924055882</v>
      </c>
      <c r="K11" s="0" t="n">
        <f aca="false">K8+K10+K24</f>
        <v>2913.4019499235</v>
      </c>
      <c r="L11" s="0" t="n">
        <f aca="false">L8+L10+L24</f>
        <v>3059.07204741967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-124.254</v>
      </c>
      <c r="D12" s="4" t="n">
        <f aca="false">-D6*Assumptions!D45/100</f>
        <v>-152.4501</v>
      </c>
      <c r="E12" s="4" t="n">
        <f aca="false">-E6*Assumptions!E45/100</f>
        <v>-178.2834624</v>
      </c>
      <c r="F12" s="4" t="n">
        <f aca="false">-F6*Assumptions!F45/100</f>
        <v>-201.237458184</v>
      </c>
      <c r="G12" s="4" t="n">
        <f aca="false">-G6*Assumptions!G45/100</f>
        <v>-224.637162624</v>
      </c>
      <c r="H12" s="4" t="n">
        <f aca="false">-H6*Assumptions!H45/100</f>
        <v>-245.41610016672</v>
      </c>
      <c r="I12" s="4" t="n">
        <f aca="false">-I6*Assumptions!I45/100</f>
        <v>-258.074404280583</v>
      </c>
      <c r="J12" s="4" t="n">
        <f aca="false">-J6*Assumptions!J45/100</f>
        <v>-270.978124494612</v>
      </c>
      <c r="K12" s="4" t="n">
        <f aca="false">-K6*Assumptions!K45/100</f>
        <v>-287.236811964288</v>
      </c>
      <c r="L12" s="4" t="n">
        <f aca="false">-L6*Assumptions!L45/100</f>
        <v>-301.598652562503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-86.022</v>
      </c>
      <c r="D13" s="0" t="n">
        <f aca="false">D11+D12</f>
        <v>160.76556</v>
      </c>
      <c r="E13" s="0" t="n">
        <f aca="false">E11+E12</f>
        <v>549.7073424</v>
      </c>
      <c r="F13" s="0" t="n">
        <f aca="false">F11+F12</f>
        <v>1010.867231808</v>
      </c>
      <c r="G13" s="0" t="n">
        <f aca="false">G11+G12</f>
        <v>1471.3734151872</v>
      </c>
      <c r="H13" s="0" t="n">
        <f aca="false">H11+H12</f>
        <v>1911.66225393024</v>
      </c>
      <c r="I13" s="0" t="n">
        <f aca="false">I11+I12</f>
        <v>2286.82597126405</v>
      </c>
      <c r="J13" s="0" t="n">
        <f aca="false">J11+J12</f>
        <v>2477.51428109359</v>
      </c>
      <c r="K13" s="0" t="n">
        <f aca="false">K11+K12</f>
        <v>2626.16513795921</v>
      </c>
      <c r="L13" s="0" t="n">
        <f aca="false">L11+L12</f>
        <v>2757.47339485717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5</v>
      </c>
      <c r="F14" s="4" t="n">
        <f aca="false">Assumptions!F47</f>
        <v>10</v>
      </c>
      <c r="G14" s="4" t="n">
        <f aca="false">Assumptions!G47</f>
        <v>13</v>
      </c>
      <c r="H14" s="4" t="n">
        <f aca="false">Assumptions!H47</f>
        <v>15</v>
      </c>
      <c r="I14" s="4" t="n">
        <f aca="false">Assumptions!I47</f>
        <v>16</v>
      </c>
      <c r="J14" s="4" t="n">
        <f aca="false">Assumptions!J47</f>
        <v>17</v>
      </c>
      <c r="K14" s="4" t="n">
        <f aca="false">Assumptions!K47</f>
        <v>17</v>
      </c>
      <c r="L14" s="4" t="n">
        <f aca="false">Assumptions!L47</f>
        <v>17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-86.022</v>
      </c>
      <c r="D15" s="0" t="n">
        <f aca="false">D13-MAX(0,D13)*D14/100</f>
        <v>160.76556</v>
      </c>
      <c r="E15" s="0" t="n">
        <f aca="false">E13-MAX(0,E13)*E14/100</f>
        <v>522.22197528</v>
      </c>
      <c r="F15" s="0" t="n">
        <f aca="false">F13-MAX(0,F13)*F14/100</f>
        <v>909.7805086272</v>
      </c>
      <c r="G15" s="0" t="n">
        <f aca="false">G13-MAX(0,G13)*G14/100</f>
        <v>1280.09487121286</v>
      </c>
      <c r="H15" s="0" t="n">
        <f aca="false">H13-MAX(0,H13)*H14/100</f>
        <v>1624.9129158407</v>
      </c>
      <c r="I15" s="0" t="n">
        <f aca="false">I13-MAX(0,I13)*I14/100</f>
        <v>1920.9338158618</v>
      </c>
      <c r="J15" s="0" t="n">
        <f aca="false">J13-MAX(0,J13)*J14/100</f>
        <v>2056.33685330768</v>
      </c>
      <c r="K15" s="0" t="n">
        <f aca="false">K13-MAX(0,K13)*K14/100</f>
        <v>2179.71706450614</v>
      </c>
      <c r="L15" s="0" t="n">
        <f aca="false">L13-MAX(0,L13)*L14/100</f>
        <v>2288.70291773145</v>
      </c>
    </row>
    <row r="16" customFormat="false" ht="15" hidden="false" customHeight="false" outlineLevel="0" collapsed="false">
      <c r="A16" s="0" t="s">
        <v>118</v>
      </c>
      <c r="C16" s="0" t="n">
        <f aca="false">-C12</f>
        <v>124.254</v>
      </c>
      <c r="D16" s="0" t="n">
        <f aca="false">-D12</f>
        <v>152.4501</v>
      </c>
      <c r="E16" s="0" t="n">
        <f aca="false">-E12</f>
        <v>178.2834624</v>
      </c>
      <c r="F16" s="0" t="n">
        <f aca="false">-F12</f>
        <v>201.237458184</v>
      </c>
      <c r="G16" s="0" t="n">
        <f aca="false">-G12</f>
        <v>224.637162624</v>
      </c>
      <c r="H16" s="0" t="n">
        <f aca="false">-H12</f>
        <v>245.41610016672</v>
      </c>
      <c r="I16" s="0" t="n">
        <f aca="false">-I12</f>
        <v>258.074404280583</v>
      </c>
      <c r="J16" s="0" t="n">
        <f aca="false">-J12</f>
        <v>270.978124494612</v>
      </c>
      <c r="K16" s="0" t="n">
        <f aca="false">-K12</f>
        <v>287.236811964288</v>
      </c>
      <c r="L16" s="0" t="n">
        <f aca="false">-L12</f>
        <v>301.598652562503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-172.044</v>
      </c>
      <c r="D17" s="4" t="n">
        <f aca="false">-D6*Assumptions!D46/100</f>
        <v>-194.0274</v>
      </c>
      <c r="E17" s="4" t="n">
        <f aca="false">-E6*Assumptions!E46/100</f>
        <v>-204.283134</v>
      </c>
      <c r="F17" s="4" t="n">
        <f aca="false">-F6*Assumptions!F46/100</f>
        <v>-233.9970444</v>
      </c>
      <c r="G17" s="4" t="n">
        <f aca="false">-G6*Assumptions!G46/100</f>
        <v>-252.716807952</v>
      </c>
      <c r="H17" s="4" t="n">
        <f aca="false">-H6*Assumptions!H46/100</f>
        <v>-271.24937386848</v>
      </c>
      <c r="I17" s="4" t="n">
        <f aca="false">-I6*Assumptions!I46/100</f>
        <v>-286.749338089536</v>
      </c>
      <c r="J17" s="4" t="n">
        <f aca="false">-J6*Assumptions!J46/100</f>
        <v>-309.689285136699</v>
      </c>
      <c r="K17" s="4" t="n">
        <f aca="false">-K6*Assumptions!K46/100</f>
        <v>-328.270642244901</v>
      </c>
      <c r="L17" s="4" t="n">
        <f aca="false">-L6*Assumptions!L46/100</f>
        <v>-344.684174357146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-87.792</v>
      </c>
      <c r="D18" s="4" t="n">
        <f aca="false">(D6-C6)*Assumptions!$B$51/100</f>
        <v>-103.2264</v>
      </c>
      <c r="E18" s="4" t="n">
        <f aca="false">(E6-D6)*Assumptions!$B$51/100</f>
        <v>-113.090256</v>
      </c>
      <c r="F18" s="4" t="n">
        <f aca="false">(F6-E6)*Assumptions!$B$51/100</f>
        <v>-115.88425056</v>
      </c>
      <c r="G18" s="4" t="n">
        <f aca="false">(G6-F6)*Assumptions!$B$51/100</f>
        <v>-112.318581312</v>
      </c>
      <c r="H18" s="4" t="n">
        <f aca="false">(H6-G6)*Assumptions!$B$51/100</f>
        <v>-101.0867231808</v>
      </c>
      <c r="I18" s="4" t="n">
        <f aca="false">(I6-H6)*Assumptions!$B$51/100</f>
        <v>-85.2498032158081</v>
      </c>
      <c r="J18" s="4" t="n">
        <f aca="false">(J6-I6)*Assumptions!$B$51/100</f>
        <v>-68.8198411414887</v>
      </c>
      <c r="K18" s="4" t="n">
        <f aca="false">(K6-J6)*Assumptions!$B$51/100</f>
        <v>-55.7440713246058</v>
      </c>
      <c r="L18" s="4" t="n">
        <f aca="false">(L6-K6)*Assumptions!$B$51/100</f>
        <v>-49.2405963367353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-221.604</v>
      </c>
      <c r="D19" s="0" t="n">
        <f aca="false">D15+D16+D17+D18</f>
        <v>15.96186</v>
      </c>
      <c r="E19" s="0" t="n">
        <f aca="false">E15+E16+E17+E18</f>
        <v>383.13204768</v>
      </c>
      <c r="F19" s="0" t="n">
        <f aca="false">F15+F16+F17+F18</f>
        <v>761.1366718512</v>
      </c>
      <c r="G19" s="0" t="n">
        <f aca="false">G15+G16+G17+G18</f>
        <v>1139.69664457286</v>
      </c>
      <c r="H19" s="0" t="n">
        <f aca="false">H15+H16+H17+H18</f>
        <v>1497.99291895814</v>
      </c>
      <c r="I19" s="0" t="n">
        <f aca="false">I15+I16+I17+I18</f>
        <v>1807.00907883704</v>
      </c>
      <c r="J19" s="0" t="n">
        <f aca="false">J15+J16+J17+J18</f>
        <v>1948.8058515241</v>
      </c>
      <c r="K19" s="0" t="n">
        <f aca="false">K15+K16+K17+K18</f>
        <v>2082.93916290092</v>
      </c>
      <c r="L19" s="0" t="n">
        <f aca="false">L15+L16+L17+L18</f>
        <v>2196.37679960007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-200.546606334842</v>
      </c>
      <c r="D21" s="0" t="n">
        <f aca="false">D19*D20</f>
        <v>13.072508752892</v>
      </c>
      <c r="E21" s="0" t="n">
        <f aca="false">E19*E20</f>
        <v>283.96292869067</v>
      </c>
      <c r="F21" s="0" t="n">
        <f aca="false">F19*F20</f>
        <v>510.520910164504</v>
      </c>
      <c r="G21" s="0" t="n">
        <f aca="false">G19*G20</f>
        <v>691.795733941147</v>
      </c>
      <c r="H21" s="0" t="n">
        <f aca="false">H19*H20</f>
        <v>822.879214334182</v>
      </c>
      <c r="I21" s="0" t="n">
        <f aca="false">I19*I20</f>
        <v>898.306181956586</v>
      </c>
      <c r="J21" s="0" t="n">
        <f aca="false">J19*J20</f>
        <v>876.739050655371</v>
      </c>
      <c r="K21" s="0" t="n">
        <f aca="false">K19*K20</f>
        <v>848.039504011784</v>
      </c>
      <c r="L21" s="0" t="n">
        <f aca="false">L19*L20</f>
        <v>809.252532895206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5554.0219590675</v>
      </c>
    </row>
    <row r="31" customFormat="false" ht="15" hidden="false" customHeight="false" outlineLevel="0" collapsed="false">
      <c r="A31" s="0" t="s">
        <v>127</v>
      </c>
      <c r="B31" s="0" t="n">
        <f aca="false">L19</f>
        <v>2196.37679960007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26356.5215952009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32945.6519940011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26356.5215952009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9711.03039474248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15265.05235381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17573.85235381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68.9682817821745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-0.158410228405436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870.862581867593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952.488689093113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76.1239925342477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17233.1102737852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42.1516364444704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12.5912479370047</v>
      </c>
      <c r="C4" s="0" t="n">
        <f aca="false">B4/Assumptions!$B$2-1</f>
        <v>-0.846354509615562</v>
      </c>
      <c r="D4" s="4" t="n">
        <f aca="false">Assumptions!$B$24</f>
        <v>0.3</v>
      </c>
      <c r="E4" s="4" t="n">
        <f aca="false">DCF_Bear!$B$43</f>
        <v>15.7385956162878</v>
      </c>
      <c r="F4" s="4" t="n">
        <f aca="false">DCF_Bear!$B$47</f>
        <v>9.8072544283736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42.5489989898759</v>
      </c>
      <c r="C5" s="0" t="n">
        <f aca="false">B5/Assumptions!$B$2-1</f>
        <v>-0.480793178891081</v>
      </c>
      <c r="D5" s="4" t="n">
        <f aca="false">Assumptions!$B$38</f>
        <v>0.5</v>
      </c>
      <c r="E5" s="4" t="n">
        <f aca="false">DCF_Base!$B$43</f>
        <v>47.9158413450521</v>
      </c>
      <c r="F5" s="4" t="n">
        <f aca="false">DCF_Base!$B$47</f>
        <v>27.1035923772026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68.9682817821745</v>
      </c>
      <c r="C6" s="0" t="n">
        <f aca="false">B6/Assumptions!$B$2-1</f>
        <v>-0.158410228405436</v>
      </c>
      <c r="D6" s="4" t="n">
        <f aca="false">Assumptions!$B$52</f>
        <v>0.2</v>
      </c>
      <c r="E6" s="4" t="n">
        <f aca="false">DCF_Bull!$B$43</f>
        <v>76.1239925342477</v>
      </c>
      <c r="F6" s="4" t="n">
        <f aca="false">DCF_Bull!$B$47</f>
        <v>42.1516364444704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38.8455302324743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43.9042978642619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-1.1096378273012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852.074515078956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24.9242998060075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52.490372423662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45.4280359593165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42.5489989898759</v>
      </c>
      <c r="C17" s="3" t="n">
        <v>10.5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40.0073132783235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35.7315731571235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27.1035923772026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51.9587766697054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54.2417986785578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55.3464867473574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55.3464867473574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55.3464867473574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45.2503382324993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46.8732729847097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48.7125990372148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50.8146859543636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51.534578734209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40.0303711025444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41.2197231604509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42.5489989898759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44.044434297979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45.7392609804958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35.8690809403196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36.7621271668491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37.749178259329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38.8459016954178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40.0716514181053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32.4864882129247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33.1705161156567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33.9196895329348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34.7437802919406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35.6546174466312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2026-10-17T04:07:26Z</dcterms:created>
  <dc:creator>openpyxl</dc:creator>
  <dc:description/>
  <dc:language>en-NZ</dc:language>
  <cp:lastModifiedBy/>
  <dcterms:modified xsi:type="dcterms:W3CDTF">2026-10-17T04:07:26Z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