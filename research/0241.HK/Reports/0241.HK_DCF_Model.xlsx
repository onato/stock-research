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<sst xmlns="http://schemas.openxmlformats.org/spreadsheetml/2006/main" count="357" uniqueCount="165">
  <si>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</si>
  <si>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0241.HK</t>
  </si>
  <si>
    <t xml:space="preserve">Company</t>
  </si>
  <si>
    <t xml:space="preserve">Alibaba Health Information Technology Limited</t>
  </si>
  <si>
    <t xml:space="preserve">Valuation date</t>
  </si>
  <si>
    <t xml:space="preserve">2026-10-11</t>
  </si>
  <si>
    <t xml:space="preserve">Current price</t>
  </si>
  <si>
    <t xml:space="preserve">Price as of</t>
  </si>
  <si>
    <t xml:space="preserve">2026-10-09T08:08:05Z regular close (HKEX, Friday); Yahoo chart API regularMarketTime</t>
  </si>
  <si>
    <t xml:space="preserve">Balance sheet date</t>
  </si>
  <si>
    <t xml:space="preserve">2026-03-31</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</si>
  <si>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</si>
  <si>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</si>
  <si>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</si>
  <si>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</si>
  <si>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</si>
  <si>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</si>
  <si>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</si>
  <si>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</si>
  <si>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</si>
  <si>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</si>
  <si>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</si>
  <si>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2026-10-10T21:44:01Z</t>
  </si>
  <si>
    <t xml:space="preserve">Drivers file</t>
  </si>
  <si>
    <t xml:space="preserve">0241.HK_Drivers.json</t>
  </si>
  <si>
    <t xml:space="preserve">Convention</t>
  </si>
  <si>
    <t xml:space="preserve">Percents stored as percents; formulas divide by 100. Blue = input, green = link, black = formula.</t>
  </si>
  <si>
    <t xml:space="preserve">Methodology</t>
  </si>
  <si>
    <t xml:space="preserve">summary: A net-cash, asset-light e-pharmacy valued on owner FCF: SBC expensed with a flat diluted count, bank interest and investment income stripped from the flows with their source assets (13.2bn cash and deposits, 3.3bn investments) in the bridge, the RMB3.1bn September dividend deducted, and leases charged as an operating cost. Valued in CNY at a CNY-built 9.5% rate and converted to HKD for comparison with the HKEX quote.
key_risks_to_valuation: Growth deceleration: H2 FY2026 revenue +7.6% vs +17.0% in H1; the H1 FY2027 interim (due Nov-2026) is the next test of the base path; Working-capital absorption: inventory and prepayments consumed RMB0.9bn in FY2026; the WC capture assumption moves value materially; Related-party dependence on Alibaba Group (Tmall traffic, platform outsourcing terms); PRC regulation: May-2026 NMPA online prescription-drug guidelines (AI prescription review banned, livestream marketing restricted); drug-pricing/volume procurement; competition from JD Health, Meituan, Ping An Good Doctor; FX: CNY flows vs HKD quote at a rate refresh_price.py does not update; Investment book (FVTPL 2.3bn, associates 0.7bn) carried at book/fair value; FY2026 already saw RMB415m FV losses and RMB94m impairments</t>
  </si>
  <si>
    <t xml:space="preserve">Data sources</t>
  </si>
  <si>
    <t xml:space="preserve">price: Yahoo Finance chart API (0241.HK, HKD) at inputs.price_as_of; 52-week range 2.745-7.91
fx: Yahoo CNYHKD=X, cross-checked against CNY=X and HKD=X
financials: 0241.HK FY2019-FY2026 annual reports and H1 FY2025/FY2026 interims (Extracted/), via 0241.HK_Metrics.csv and the DuckDB kpis table; FY2026 income statement, balance sheet, cash flow statement, notes 5, 10, 11, 28 read directly
qualitative: 0241.HK_Analysis.json (bull/bear cases, May-2026 NMPA rules, Alibaba dependency) and the FY2026 annual report chairman's statement and MD&amp;A</t>
  </si>
  <si>
    <t xml:space="preserve">Scenario narrative: bear</t>
  </si>
  <si>
    <t xml:space="preserve">The bear axes are (1) the May-2026 NMPA Compliance Guidelines for Online Retail of Prescription Drugs - banning AI-based prescription review/renewal and restricting livestream/private-domain marketing of prescription medicines - which constrain the growth playbook of the direct-sales segment (87% of revenue); (2) price competition from JD Health, Ping An Good Doctor, Meituan and O2O pharmacy chains, already visible in a 0.3pp FY2026 gross-margin decline; (3) dependence on Alibaba Group (controlling shareholder) for Tmall/Taobao/Alipay traffic and related-party platform terms. Growth stalls at 3-4%, margins fall back to 4.5%, and working capital keeps absorbing a quarter of incremental revenue. The stock's slide from its 52-week high (HKD7.91, January 2026) through and after the May rules is consistent with the market pricing a path between this and the base.</t>
  </si>
  <si>
    <t xml:space="preserve">Scenario narrative: base</t>
  </si>
  <si>
    <t xml:space="preserve">Alibaba Health is a low-margin pharmaceutical retailer/distributor (direct sales are 87% of revenue at a ~24% gross margin) with a higher-margin Tmall platform layer. The base case says growth normalises to high single digits - the H2 FY2026 slowdown to 7.6% is the new run-rate, not a blip - and operating leverage from fulfilment and selling efficiency is largely banked: the adjusted EBITDA margin edges from 6.0% to 6.5%. On those numbers owner FCF runs ~RMB1.1-1.3bn in the first years, and roughly a quarter of the equity value is the post-dividend net cash and investment book.</t>
  </si>
  <si>
    <t xml:space="preserve">Scenario narrative: bull</t>
  </si>
  <si>
    <t xml:space="preserve">The bull axes are (1) online penetration of China's retail pharmacy market - prescription drugs and medical-insurance reimbursement online were the structural unlock, and Alibaba Health as Tmall's exclusive pharmacy operator captures a share of it; (2) mix shift to platform commissions, merchant advertising and the 'Hydrion' medical AI/digital-services layer, which carry far higher margins than first-party retail. Growth re-accelerates to 10-11% and margin reaches 8%. Supported by NHSA extending medical-insurance coverage to Internet healthcare, innovative-drug first-launch partnerships (GLP-1s with Innovent, Simcere, Novo Nordisk) and chronic-disease paying users +23% YoY.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</si>
  <si>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</si>
  <si>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</si>
  <si>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</si>
  <si>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</si>
  <si>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</si>
  <si>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</si>
  <si>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</si>
  <si>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</si>
  <si>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</si>
  <si>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</si>
  <si>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</si>
  <si>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</si>
  <si>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</si>
  <si>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</si>
  <si>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</si>
  <si>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</si>
  <si>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</si>
  <si>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</si>
  <si>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</si>
  <si>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</si>
  <si>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</si>
  <si>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</si>
  <si>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</si>
  <si>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</si>
  <si>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</si>
  <si>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</si>
  <si>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</si>
  <si>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</si>
  <si>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</si>
  <si>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</si>
  <si>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</si>
  <si>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</si>
  <si>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</si>
  <si>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</si>
  <si>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</si>
  <si>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</si>
  <si>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</si>
  <si>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</si>
  <si>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</si>
  <si>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</si>
  <si>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</si>
  <si>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</si>
  <si>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</si>
  <si>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</si>
  <si>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</si>
  <si>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</si>
  <si>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</si>
  <si>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</si>
  <si>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</si>
  <si>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</si>
  <si>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</si>
  <si>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</si>
  <si>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</si>
  <si>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</si>
  <si>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</si>
  <si>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</si>
  <si>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</si>
  <si>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</si>
  <si>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</si>
  <si>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</si>
  <si>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</si>
  <si>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</si>
  <si>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</si>
  <si>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</si>
  <si>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</si>
  <si>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</si>
  <si>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</si>
  <si>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</si>
  <si>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</si>
  <si>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</si>
  <si>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</si>
  <si>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</si>
  <si>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</si>
  <si>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0241.HK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</si>
  <si>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</si>
  <si>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</si>
  <si>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</si>
  <si>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</si>
  <si>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</si>
  <si>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</si>
  <si>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</si>
  <si>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</si>
  <si>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</si>
  <si>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</si>
  <si>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</si>
  <si>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</si>
  <si>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</si>
  <si>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</si>
  <si>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</si>
  <si>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</si>
  <si>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</si>
  <si>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</si>
  <si>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</si>
  <si>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</si>
  <si>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</si>
  <si>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</si>
  <si>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</si>
  <si>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</si>
  <si>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</si>
  <si>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</si>
  <si>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</si>
  <si>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</si>
  <si>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</si>
  <si>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</si>
  <si>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0241.HK owner-FCF component DCF: base case (millions, CNY)</t>
  </si>
  <si>
    <t xml:space="preserve">0241.HK owner-FCF component DCF: bull case (millions, CNY)</t>
  </si>
  <si>
    <t xml:space="preserve">0241.HK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</si>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</sst>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2442.618</v>
      </c>
      <c r="C2" s="0" t="n">
        <v>1789.794</v>
      </c>
      <c r="D2" s="0" t="n">
        <v>652.824</v>
      </c>
      <c r="E2" s="0" t="n">
        <v>26.7</v>
      </c>
      <c r="F2" s="0" t="n">
        <v>-134.504</v>
      </c>
      <c r="G2" s="0" t="n">
        <v>-5.5</v>
      </c>
      <c r="H2" s="0" t="n">
        <v>-129.996</v>
      </c>
      <c r="I2" s="0" t="n">
        <v>-109.034</v>
      </c>
      <c r="J2" s="0" t="n">
        <v>-4.5</v>
      </c>
      <c r="K2" s="0" t="n">
        <v>-0.0116</v>
      </c>
      <c r="L2" s="0" t="n">
        <v>-70.272</v>
      </c>
      <c r="M2" s="0" t="n">
        <v>5.731</v>
      </c>
      <c r="N2" s="0" t="n">
        <v>-76.003</v>
      </c>
      <c r="O2" s="0" t="n">
        <v>2523.057</v>
      </c>
      <c r="P2" s="0" t="n">
        <v>3110.977</v>
      </c>
      <c r="Q2" s="0" t="n">
        <v>587.92</v>
      </c>
      <c r="R2" s="0" t="n">
        <v>0</v>
      </c>
      <c r="S2" s="0" t="n">
        <v>1397.197</v>
      </c>
      <c r="U2" s="0" t="n">
        <v>117.034</v>
      </c>
      <c r="AA2" s="0" t="s">
        <v>18</v>
      </c>
      <c r="AB2" s="0" t="s">
        <v>14</v>
      </c>
    </row>
    <row r="3" customFormat="false" ht="15" hidden="false" customHeight="false" outlineLevel="0" collapsed="false">
      <c r="A3" s="0" t="s">
        <v>65</v>
      </c>
      <c r="B3" s="0" t="n">
        <v>5095.867</v>
      </c>
      <c r="C3" s="0" t="n">
        <v>3764.604</v>
      </c>
      <c r="D3" s="0" t="n">
        <v>1331.263</v>
      </c>
      <c r="E3" s="0" t="n">
        <v>26.1</v>
      </c>
      <c r="F3" s="0" t="n">
        <v>-95.732</v>
      </c>
      <c r="G3" s="0" t="n">
        <v>-1.9</v>
      </c>
      <c r="H3" s="0" t="n">
        <v>-91.743</v>
      </c>
      <c r="I3" s="0" t="n">
        <v>-91.764</v>
      </c>
      <c r="J3" s="0" t="n">
        <v>-1.8</v>
      </c>
      <c r="K3" s="0" t="n">
        <v>-0.0074</v>
      </c>
      <c r="L3" s="0" t="n">
        <v>396.37</v>
      </c>
      <c r="M3" s="0" t="n">
        <v>6.102</v>
      </c>
      <c r="N3" s="0" t="n">
        <v>390.268</v>
      </c>
      <c r="O3" s="0" t="n">
        <v>2736.826</v>
      </c>
      <c r="P3" s="0" t="n">
        <v>5981.885</v>
      </c>
      <c r="Q3" s="0" t="n">
        <v>3245.059</v>
      </c>
      <c r="R3" s="0" t="n">
        <v>1700</v>
      </c>
      <c r="S3" s="0" t="n">
        <v>280.371</v>
      </c>
      <c r="U3" s="0" t="n">
        <v>213.493</v>
      </c>
      <c r="AA3" s="0" t="s">
        <v>18</v>
      </c>
      <c r="AB3" s="0" t="s">
        <v>14</v>
      </c>
    </row>
    <row r="4" customFormat="false" ht="15" hidden="false" customHeight="false" outlineLevel="0" collapsed="false">
      <c r="A4" s="0" t="s">
        <v>66</v>
      </c>
      <c r="B4" s="0" t="n">
        <v>9596.476</v>
      </c>
      <c r="C4" s="0" t="n">
        <v>7365.096</v>
      </c>
      <c r="D4" s="0" t="n">
        <v>2231.38</v>
      </c>
      <c r="E4" s="0" t="n">
        <v>23.3</v>
      </c>
      <c r="F4" s="0" t="n">
        <v>-62.41</v>
      </c>
      <c r="G4" s="0" t="n">
        <v>-0.7</v>
      </c>
      <c r="H4" s="0" t="n">
        <v>-20.721</v>
      </c>
      <c r="I4" s="0" t="n">
        <v>-15.696</v>
      </c>
      <c r="J4" s="0" t="n">
        <v>-0.2</v>
      </c>
      <c r="K4" s="0" t="n">
        <v>-0.0006</v>
      </c>
      <c r="L4" s="0" t="n">
        <v>583.615</v>
      </c>
      <c r="M4" s="0" t="n">
        <v>13.511</v>
      </c>
      <c r="N4" s="0" t="n">
        <v>570.104</v>
      </c>
      <c r="O4" s="0" t="n">
        <v>5202.515</v>
      </c>
      <c r="P4" s="0" t="n">
        <v>7869.972</v>
      </c>
      <c r="Q4" s="0" t="n">
        <v>2667.457</v>
      </c>
      <c r="R4" s="0" t="n">
        <v>0</v>
      </c>
      <c r="S4" s="0" t="n">
        <v>2594.981</v>
      </c>
      <c r="T4" s="0" t="n">
        <v>11931.3</v>
      </c>
      <c r="U4" s="0" t="n">
        <v>277.139</v>
      </c>
      <c r="AA4" s="0" t="s">
        <v>18</v>
      </c>
      <c r="AB4" s="0" t="s">
        <v>14</v>
      </c>
    </row>
    <row r="5" customFormat="false" ht="15" hidden="false" customHeight="false" outlineLevel="0" collapsed="false">
      <c r="A5" s="0" t="s">
        <v>67</v>
      </c>
      <c r="B5" s="0" t="n">
        <v>15518.468</v>
      </c>
      <c r="C5" s="0" t="n">
        <v>11901.219</v>
      </c>
      <c r="D5" s="0" t="n">
        <v>3617.249</v>
      </c>
      <c r="E5" s="0" t="n">
        <v>23.3</v>
      </c>
      <c r="F5" s="0" t="n">
        <v>58.555</v>
      </c>
      <c r="G5" s="0" t="n">
        <v>0.4</v>
      </c>
      <c r="H5" s="0" t="n">
        <v>98.181</v>
      </c>
      <c r="I5" s="0" t="n">
        <v>342.68</v>
      </c>
      <c r="J5" s="0" t="n">
        <v>2.2</v>
      </c>
      <c r="K5" s="0" t="n">
        <v>0.0262</v>
      </c>
      <c r="L5" s="0" t="n">
        <v>1009.427</v>
      </c>
      <c r="M5" s="0" t="n">
        <v>17.558</v>
      </c>
      <c r="N5" s="0" t="n">
        <v>991.869</v>
      </c>
      <c r="O5" s="0" t="n">
        <v>14281.604</v>
      </c>
      <c r="P5" s="0" t="n">
        <v>17739.204</v>
      </c>
      <c r="Q5" s="0" t="n">
        <v>3457.6</v>
      </c>
      <c r="R5" s="0" t="n">
        <v>0</v>
      </c>
      <c r="S5" s="0" t="n">
        <v>11636.769</v>
      </c>
      <c r="T5" s="0" t="n">
        <v>13245.7</v>
      </c>
      <c r="U5" s="0" t="n">
        <v>396.959</v>
      </c>
      <c r="AA5" s="0" t="s">
        <v>18</v>
      </c>
      <c r="AB5" s="0" t="s">
        <v>14</v>
      </c>
    </row>
    <row r="6" customFormat="false" ht="15" hidden="false" customHeight="false" outlineLevel="0" collapsed="false">
      <c r="A6" s="0" t="s">
        <v>68</v>
      </c>
      <c r="B6" s="0" t="n">
        <v>20577.616</v>
      </c>
      <c r="C6" s="0" t="n">
        <v>16469.623</v>
      </c>
      <c r="D6" s="0" t="n">
        <v>4107.993</v>
      </c>
      <c r="E6" s="0" t="n">
        <v>20</v>
      </c>
      <c r="F6" s="0" t="n">
        <v>-1094.483</v>
      </c>
      <c r="G6" s="0" t="n">
        <v>-5.3</v>
      </c>
      <c r="H6" s="0" t="n">
        <v>-1033.907</v>
      </c>
      <c r="I6" s="0" t="n">
        <v>-265.941</v>
      </c>
      <c r="J6" s="0" t="n">
        <v>-1.3</v>
      </c>
      <c r="K6" s="0" t="n">
        <v>-0.0197</v>
      </c>
      <c r="L6" s="0" t="n">
        <v>424.363</v>
      </c>
      <c r="M6" s="0" t="n">
        <v>15.115</v>
      </c>
      <c r="N6" s="0" t="n">
        <v>409.248</v>
      </c>
      <c r="O6" s="0" t="n">
        <v>14072.232</v>
      </c>
      <c r="P6" s="0" t="n">
        <v>19201.969</v>
      </c>
      <c r="Q6" s="0" t="n">
        <v>5129.737</v>
      </c>
      <c r="R6" s="0" t="n">
        <v>0</v>
      </c>
      <c r="S6" s="0" t="n">
        <v>10547.851</v>
      </c>
      <c r="T6" s="0" t="n">
        <v>13482.6</v>
      </c>
      <c r="U6" s="0" t="n">
        <v>408.098</v>
      </c>
      <c r="AA6" s="0" t="s">
        <v>18</v>
      </c>
      <c r="AB6" s="0" t="s">
        <v>14</v>
      </c>
    </row>
    <row r="7" customFormat="false" ht="15" hidden="false" customHeight="false" outlineLevel="0" collapsed="false">
      <c r="A7" s="0" t="s">
        <v>69</v>
      </c>
      <c r="B7" s="0" t="n">
        <v>26763.016</v>
      </c>
      <c r="C7" s="0" t="n">
        <v>21061.682</v>
      </c>
      <c r="D7" s="0" t="n">
        <v>5701.334</v>
      </c>
      <c r="E7" s="0" t="n">
        <v>21.3</v>
      </c>
      <c r="F7" s="0" t="n">
        <v>-31.787</v>
      </c>
      <c r="G7" s="0" t="n">
        <v>-0.1</v>
      </c>
      <c r="H7" s="0" t="n">
        <v>31.932</v>
      </c>
      <c r="I7" s="0" t="n">
        <v>534.263</v>
      </c>
      <c r="J7" s="0" t="n">
        <v>2</v>
      </c>
      <c r="K7" s="0" t="n">
        <v>0.0394</v>
      </c>
      <c r="L7" s="0" t="n">
        <v>255.69</v>
      </c>
      <c r="M7" s="0" t="n">
        <v>5.92</v>
      </c>
      <c r="N7" s="0" t="n">
        <v>249.77</v>
      </c>
      <c r="O7" s="0" t="n">
        <v>15147.333</v>
      </c>
      <c r="P7" s="0" t="n">
        <v>20747.555</v>
      </c>
      <c r="Q7" s="0" t="n">
        <v>5600.222</v>
      </c>
      <c r="R7" s="0" t="n">
        <v>0</v>
      </c>
      <c r="S7" s="0" t="n">
        <v>10917.171</v>
      </c>
      <c r="T7" s="0" t="n">
        <v>13503.1</v>
      </c>
      <c r="U7" s="0" t="n">
        <v>308.89</v>
      </c>
      <c r="AA7" s="0" t="s">
        <v>18</v>
      </c>
      <c r="AB7" s="0" t="s">
        <v>14</v>
      </c>
    </row>
    <row r="8" customFormat="false" ht="15" hidden="false" customHeight="false" outlineLevel="0" collapsed="false">
      <c r="A8" s="0" t="s">
        <v>70</v>
      </c>
      <c r="B8" s="0" t="n">
        <v>27026.555</v>
      </c>
      <c r="C8" s="0" t="n">
        <v>21131.234</v>
      </c>
      <c r="D8" s="0" t="n">
        <v>5895.321</v>
      </c>
      <c r="E8" s="0" t="n">
        <v>21.8</v>
      </c>
      <c r="F8" s="0" t="n">
        <v>640.183</v>
      </c>
      <c r="G8" s="0" t="n">
        <v>2.4</v>
      </c>
      <c r="H8" s="0" t="n">
        <v>693.865</v>
      </c>
      <c r="I8" s="0" t="n">
        <v>883.136</v>
      </c>
      <c r="J8" s="0" t="n">
        <v>3.3</v>
      </c>
      <c r="K8" s="0" t="n">
        <v>0.0627</v>
      </c>
      <c r="L8" s="0" t="n">
        <v>1079.832</v>
      </c>
      <c r="M8" s="0" t="n">
        <v>22.78</v>
      </c>
      <c r="N8" s="0" t="n">
        <v>1057.052</v>
      </c>
      <c r="O8" s="0" t="n">
        <v>14517.604</v>
      </c>
      <c r="P8" s="0" t="n">
        <v>19705.337</v>
      </c>
      <c r="Q8" s="0" t="n">
        <v>5187.733</v>
      </c>
      <c r="R8" s="0" t="n">
        <v>0</v>
      </c>
      <c r="S8" s="0" t="n">
        <v>9553.11</v>
      </c>
      <c r="T8" s="0" t="n">
        <v>14044.1</v>
      </c>
      <c r="U8" s="0" t="n">
        <v>266.059</v>
      </c>
      <c r="AA8" s="0" t="s">
        <v>18</v>
      </c>
      <c r="AB8" s="0" t="s">
        <v>14</v>
      </c>
    </row>
    <row r="9" customFormat="false" ht="15" hidden="false" customHeight="false" outlineLevel="0" collapsed="false">
      <c r="A9" s="0" t="s">
        <v>71</v>
      </c>
      <c r="B9" s="0" t="n">
        <v>30598.292</v>
      </c>
      <c r="C9" s="0" t="n">
        <v>23166.201</v>
      </c>
      <c r="D9" s="0" t="n">
        <v>7432.091</v>
      </c>
      <c r="E9" s="0" t="n">
        <v>24.3</v>
      </c>
      <c r="F9" s="0" t="n">
        <v>1478.525</v>
      </c>
      <c r="G9" s="0" t="n">
        <v>4.8</v>
      </c>
      <c r="H9" s="0" t="n">
        <v>1536.13</v>
      </c>
      <c r="I9" s="0" t="n">
        <v>1432.014</v>
      </c>
      <c r="J9" s="0" t="n">
        <v>4.7</v>
      </c>
      <c r="K9" s="0" t="n">
        <v>0.0888</v>
      </c>
      <c r="L9" s="0" t="n">
        <v>1395.033</v>
      </c>
      <c r="M9" s="0" t="n">
        <v>18.903</v>
      </c>
      <c r="N9" s="0" t="n">
        <v>1376.13</v>
      </c>
      <c r="O9" s="0" t="n">
        <v>16313.16</v>
      </c>
      <c r="P9" s="0" t="n">
        <v>21178.417</v>
      </c>
      <c r="Q9" s="0" t="n">
        <v>4865.257</v>
      </c>
      <c r="R9" s="0" t="n">
        <v>0</v>
      </c>
      <c r="S9" s="0" t="n">
        <v>7836.222</v>
      </c>
      <c r="T9" s="0" t="n">
        <v>16070.7</v>
      </c>
      <c r="U9" s="0" t="n">
        <v>224.535</v>
      </c>
      <c r="AA9" s="0" t="s">
        <v>18</v>
      </c>
      <c r="AB9" s="0" t="s">
        <v>14</v>
      </c>
    </row>
    <row r="10" customFormat="false" ht="15" hidden="false" customHeight="false" outlineLevel="0" collapsed="false">
      <c r="A10" s="0" t="s">
        <v>72</v>
      </c>
      <c r="B10" s="0" t="n">
        <v>34255.122</v>
      </c>
      <c r="C10" s="0" t="n">
        <v>26045.005</v>
      </c>
      <c r="D10" s="0" t="n">
        <v>8210.117</v>
      </c>
      <c r="E10" s="0" t="n">
        <v>24</v>
      </c>
      <c r="F10" s="0" t="n">
        <v>1836.188</v>
      </c>
      <c r="G10" s="0" t="n">
        <v>5.4</v>
      </c>
      <c r="H10" s="0" t="n">
        <v>1889.429</v>
      </c>
      <c r="I10" s="0" t="n">
        <v>1936.342</v>
      </c>
      <c r="J10" s="0" t="n">
        <v>5.7</v>
      </c>
      <c r="K10" s="0" t="n">
        <v>0.1195</v>
      </c>
      <c r="L10" s="0" t="n">
        <v>1236.633</v>
      </c>
      <c r="M10" s="0" t="n">
        <v>8.987</v>
      </c>
      <c r="N10" s="0" t="n">
        <v>1227.646</v>
      </c>
      <c r="O10" s="0" t="n">
        <v>17856.565</v>
      </c>
      <c r="P10" s="0" t="n">
        <v>23093.105</v>
      </c>
      <c r="Q10" s="0" t="n">
        <v>5236.54</v>
      </c>
      <c r="R10" s="0" t="n">
        <v>0</v>
      </c>
      <c r="S10" s="0" t="n">
        <v>9865.01</v>
      </c>
      <c r="T10" s="0" t="n">
        <v>16110.5</v>
      </c>
      <c r="U10" s="0" t="n">
        <v>162.124</v>
      </c>
      <c r="AA10" s="0" t="s">
        <v>18</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2.86</v>
      </c>
    </row>
    <row r="3" customFormat="false" ht="15" hidden="false" customHeight="false" outlineLevel="0" collapsed="false">
      <c r="A3" s="0" t="s">
        <v>76</v>
      </c>
      <c r="B3" s="3" t="n">
        <v>16214.9</v>
      </c>
    </row>
    <row r="4" customFormat="false" ht="15" hidden="false" customHeight="false" outlineLevel="0" collapsed="false">
      <c r="A4" s="0" t="s">
        <v>77</v>
      </c>
      <c r="B4" s="3" t="n">
        <v>-13214</v>
      </c>
    </row>
    <row r="5" customFormat="false" ht="15" hidden="false" customHeight="false" outlineLevel="0" collapsed="false">
      <c r="A5" s="0" t="s">
        <v>78</v>
      </c>
      <c r="B5" s="3" t="n">
        <v>175.5</v>
      </c>
    </row>
    <row r="6" customFormat="false" ht="15" hidden="false" customHeight="false" outlineLevel="0" collapsed="false">
      <c r="A6" s="0" t="s">
        <v>79</v>
      </c>
      <c r="B6" s="3" t="n">
        <v>15</v>
      </c>
    </row>
    <row r="7" customFormat="false" ht="15" hidden="false" customHeight="false" outlineLevel="0" collapsed="false">
      <c r="A7" s="0" t="s">
        <v>80</v>
      </c>
      <c r="B7" s="3" t="n">
        <v>34255.1</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3</v>
      </c>
      <c r="D13" s="3" t="n">
        <v>3</v>
      </c>
      <c r="E13" s="3" t="n">
        <v>4</v>
      </c>
      <c r="F13" s="3" t="n">
        <v>4</v>
      </c>
      <c r="G13" s="3" t="n">
        <v>4</v>
      </c>
      <c r="H13" s="3" t="n">
        <v>3.5</v>
      </c>
      <c r="I13" s="3" t="n">
        <v>3</v>
      </c>
      <c r="J13" s="3" t="n">
        <v>3</v>
      </c>
      <c r="K13" s="3" t="n">
        <v>2.5</v>
      </c>
      <c r="L13" s="3" t="n">
        <v>2.5</v>
      </c>
    </row>
    <row r="14" customFormat="false" ht="15" hidden="false" customHeight="false" outlineLevel="0" collapsed="false">
      <c r="A14" s="0" t="s">
        <v>97</v>
      </c>
      <c r="C14" s="3" t="n">
        <v>5.5</v>
      </c>
      <c r="D14" s="3" t="n">
        <v>5</v>
      </c>
      <c r="E14" s="3" t="n">
        <v>4.8</v>
      </c>
      <c r="F14" s="3" t="n">
        <v>4.6</v>
      </c>
      <c r="G14" s="3" t="n">
        <v>4.5</v>
      </c>
      <c r="H14" s="3" t="n">
        <v>4.5</v>
      </c>
      <c r="I14" s="3" t="n">
        <v>4.5</v>
      </c>
      <c r="J14" s="3" t="n">
        <v>4.5</v>
      </c>
      <c r="K14" s="3" t="n">
        <v>4.5</v>
      </c>
      <c r="L14" s="3" t="n">
        <v>4.5</v>
      </c>
    </row>
    <row r="15" customFormat="false" ht="15" hidden="false" customHeight="false" outlineLevel="0" collapsed="false">
      <c r="A15" s="0" t="s">
        <v>98</v>
      </c>
      <c r="C15" s="3" t="n">
        <v>0.47</v>
      </c>
      <c r="D15" s="3" t="n">
        <v>0.47</v>
      </c>
      <c r="E15" s="3" t="n">
        <v>0.46</v>
      </c>
      <c r="F15" s="3" t="n">
        <v>0.46</v>
      </c>
      <c r="G15" s="3" t="n">
        <v>0.45</v>
      </c>
      <c r="H15" s="3" t="n">
        <v>0.45</v>
      </c>
      <c r="I15" s="3" t="n">
        <v>0.45</v>
      </c>
      <c r="J15" s="3" t="n">
        <v>0.45</v>
      </c>
      <c r="K15" s="3" t="n">
        <v>0.45</v>
      </c>
      <c r="L15" s="3" t="n">
        <v>0.45</v>
      </c>
    </row>
    <row r="16" customFormat="false" ht="15" hidden="false" customHeight="false" outlineLevel="0" collapsed="false">
      <c r="A16" s="0" t="s">
        <v>99</v>
      </c>
      <c r="C16" s="3" t="n">
        <v>0.08</v>
      </c>
      <c r="D16" s="3" t="n">
        <v>0.08</v>
      </c>
      <c r="E16" s="3" t="n">
        <v>0.08</v>
      </c>
      <c r="F16" s="3" t="n">
        <v>0.08</v>
      </c>
      <c r="G16" s="3" t="n">
        <v>0.08</v>
      </c>
      <c r="H16" s="3" t="n">
        <v>0.08</v>
      </c>
      <c r="I16" s="3" t="n">
        <v>0.08</v>
      </c>
      <c r="J16" s="3" t="n">
        <v>0.08</v>
      </c>
      <c r="K16" s="3" t="n">
        <v>0.08</v>
      </c>
      <c r="L16" s="3" t="n">
        <v>0.08</v>
      </c>
    </row>
    <row r="17" customFormat="false" ht="15" hidden="false" customHeight="false" outlineLevel="0" collapsed="false">
      <c r="A17" s="0" t="s">
        <v>100</v>
      </c>
      <c r="C17" s="3" t="n">
        <v>0.1</v>
      </c>
      <c r="D17" s="3" t="n">
        <v>0.1</v>
      </c>
      <c r="E17" s="3" t="n">
        <v>0.1</v>
      </c>
      <c r="F17" s="3" t="n">
        <v>0.1</v>
      </c>
      <c r="G17" s="3" t="n">
        <v>0.1</v>
      </c>
      <c r="H17" s="3" t="n">
        <v>0.1</v>
      </c>
      <c r="I17" s="3" t="n">
        <v>0.1</v>
      </c>
      <c r="J17" s="3" t="n">
        <v>0.1</v>
      </c>
      <c r="K17" s="3" t="n">
        <v>0.1</v>
      </c>
      <c r="L17" s="3" t="n">
        <v>0.1</v>
      </c>
    </row>
    <row r="18" customFormat="false" ht="15" hidden="false" customHeight="false" outlineLevel="0" collapsed="false">
      <c r="A18" s="0" t="s">
        <v>101</v>
      </c>
      <c r="C18" s="3" t="n">
        <v>0.1</v>
      </c>
      <c r="D18" s="3" t="n">
        <v>0.1</v>
      </c>
      <c r="E18" s="3" t="n">
        <v>0.1</v>
      </c>
      <c r="F18" s="3" t="n">
        <v>0.1</v>
      </c>
      <c r="G18" s="3" t="n">
        <v>0.1</v>
      </c>
      <c r="H18" s="3" t="n">
        <v>0.1</v>
      </c>
      <c r="I18" s="3" t="n">
        <v>0.1</v>
      </c>
      <c r="J18" s="3" t="n">
        <v>0.1</v>
      </c>
      <c r="K18" s="3" t="n">
        <v>0.1</v>
      </c>
      <c r="L18" s="3" t="n">
        <v>0.1</v>
      </c>
    </row>
    <row r="19" customFormat="false" ht="15" hidden="false" customHeight="false" outlineLevel="0" collapsed="false">
      <c r="A19" s="0" t="s">
        <v>102</v>
      </c>
      <c r="C19" s="3" t="n">
        <v>17</v>
      </c>
      <c r="D19" s="3" t="n">
        <v>18</v>
      </c>
      <c r="E19" s="3" t="n">
        <v>19</v>
      </c>
      <c r="F19" s="3" t="n">
        <v>20</v>
      </c>
      <c r="G19" s="3" t="n">
        <v>20</v>
      </c>
      <c r="H19" s="3" t="n">
        <v>20</v>
      </c>
      <c r="I19" s="3" t="n">
        <v>20</v>
      </c>
      <c r="J19" s="3" t="n">
        <v>20</v>
      </c>
      <c r="K19" s="3" t="n">
        <v>20</v>
      </c>
      <c r="L19" s="3" t="n">
        <v>20</v>
      </c>
    </row>
    <row r="20" customFormat="false" ht="15" hidden="false" customHeight="false" outlineLevel="0" collapsed="false">
      <c r="A20" s="0" t="s">
        <v>103</v>
      </c>
      <c r="B20" s="3" t="n">
        <v>9.5</v>
      </c>
    </row>
    <row r="21" customFormat="false" ht="15" hidden="false" customHeight="false" outlineLevel="0" collapsed="false">
      <c r="A21" s="0" t="s">
        <v>104</v>
      </c>
      <c r="B21" s="3" t="n">
        <v>2</v>
      </c>
    </row>
    <row r="22" customFormat="false" ht="15" hidden="false" customHeight="false" outlineLevel="0" collapsed="false">
      <c r="A22" s="0" t="s">
        <v>105</v>
      </c>
      <c r="B22" s="3" t="n">
        <v>15</v>
      </c>
    </row>
    <row r="23" customFormat="false" ht="15" hidden="false" customHeight="false" outlineLevel="0" collapsed="false">
      <c r="A23" s="0" t="s">
        <v>106</v>
      </c>
      <c r="B23" s="3" t="n">
        <v>-25</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7</v>
      </c>
      <c r="D27" s="3" t="n">
        <v>7.5</v>
      </c>
      <c r="E27" s="3" t="n">
        <v>7.5</v>
      </c>
      <c r="F27" s="3" t="n">
        <v>7</v>
      </c>
      <c r="G27" s="3" t="n">
        <v>6</v>
      </c>
      <c r="H27" s="3" t="n">
        <v>5</v>
      </c>
      <c r="I27" s="3" t="n">
        <v>4.5</v>
      </c>
      <c r="J27" s="3" t="n">
        <v>4</v>
      </c>
      <c r="K27" s="3" t="n">
        <v>3.5</v>
      </c>
      <c r="L27" s="3" t="n">
        <v>3</v>
      </c>
    </row>
    <row r="28" customFormat="false" ht="15" hidden="false" customHeight="false" outlineLevel="0" collapsed="false">
      <c r="A28" s="0" t="s">
        <v>97</v>
      </c>
      <c r="C28" s="3" t="n">
        <v>6</v>
      </c>
      <c r="D28" s="3" t="n">
        <v>6.1</v>
      </c>
      <c r="E28" s="3" t="n">
        <v>6.2</v>
      </c>
      <c r="F28" s="3" t="n">
        <v>6.3</v>
      </c>
      <c r="G28" s="3" t="n">
        <v>6.4</v>
      </c>
      <c r="H28" s="3" t="n">
        <v>6.5</v>
      </c>
      <c r="I28" s="3" t="n">
        <v>6.5</v>
      </c>
      <c r="J28" s="3" t="n">
        <v>6.5</v>
      </c>
      <c r="K28" s="3" t="n">
        <v>6.5</v>
      </c>
      <c r="L28" s="3" t="n">
        <v>6.5</v>
      </c>
    </row>
    <row r="29" customFormat="false" ht="15" hidden="false" customHeight="false" outlineLevel="0" collapsed="false">
      <c r="A29" s="0" t="s">
        <v>98</v>
      </c>
      <c r="C29" s="3" t="n">
        <v>0.47</v>
      </c>
      <c r="D29" s="3" t="n">
        <v>0.46</v>
      </c>
      <c r="E29" s="3" t="n">
        <v>0.45</v>
      </c>
      <c r="F29" s="3" t="n">
        <v>0.44</v>
      </c>
      <c r="G29" s="3" t="n">
        <v>0.43</v>
      </c>
      <c r="H29" s="3" t="n">
        <v>0.42</v>
      </c>
      <c r="I29" s="3" t="n">
        <v>0.41</v>
      </c>
      <c r="J29" s="3" t="n">
        <v>0.4</v>
      </c>
      <c r="K29" s="3" t="n">
        <v>0.4</v>
      </c>
      <c r="L29" s="3" t="n">
        <v>0.4</v>
      </c>
    </row>
    <row r="30" customFormat="false" ht="15" hidden="false" customHeight="false" outlineLevel="0" collapsed="false">
      <c r="A30" s="0" t="s">
        <v>99</v>
      </c>
      <c r="C30" s="3" t="n">
        <v>0.08</v>
      </c>
      <c r="D30" s="3" t="n">
        <v>0.08</v>
      </c>
      <c r="E30" s="3" t="n">
        <v>0.08</v>
      </c>
      <c r="F30" s="3" t="n">
        <v>0.08</v>
      </c>
      <c r="G30" s="3" t="n">
        <v>0.08</v>
      </c>
      <c r="H30" s="3" t="n">
        <v>0.08</v>
      </c>
      <c r="I30" s="3" t="n">
        <v>0.08</v>
      </c>
      <c r="J30" s="3" t="n">
        <v>0.08</v>
      </c>
      <c r="K30" s="3" t="n">
        <v>0.08</v>
      </c>
      <c r="L30" s="3" t="n">
        <v>0.08</v>
      </c>
    </row>
    <row r="31" customFormat="false" ht="15" hidden="false" customHeight="false" outlineLevel="0" collapsed="false">
      <c r="A31" s="0" t="s">
        <v>100</v>
      </c>
      <c r="C31" s="3" t="n">
        <v>0.1</v>
      </c>
      <c r="D31" s="3" t="n">
        <v>0.1</v>
      </c>
      <c r="E31" s="3" t="n">
        <v>0.1</v>
      </c>
      <c r="F31" s="3" t="n">
        <v>0.1</v>
      </c>
      <c r="G31" s="3" t="n">
        <v>0.1</v>
      </c>
      <c r="H31" s="3" t="n">
        <v>0.1</v>
      </c>
      <c r="I31" s="3" t="n">
        <v>0.1</v>
      </c>
      <c r="J31" s="3" t="n">
        <v>0.1</v>
      </c>
      <c r="K31" s="3" t="n">
        <v>0.1</v>
      </c>
      <c r="L31" s="3" t="n">
        <v>0.1</v>
      </c>
    </row>
    <row r="32" customFormat="false" ht="15" hidden="false" customHeight="false" outlineLevel="0" collapsed="false">
      <c r="A32" s="0" t="s">
        <v>101</v>
      </c>
      <c r="C32" s="3" t="n">
        <v>0.1</v>
      </c>
      <c r="D32" s="3" t="n">
        <v>0.1</v>
      </c>
      <c r="E32" s="3" t="n">
        <v>0.1</v>
      </c>
      <c r="F32" s="3" t="n">
        <v>0.1</v>
      </c>
      <c r="G32" s="3" t="n">
        <v>0.1</v>
      </c>
      <c r="H32" s="3" t="n">
        <v>0.1</v>
      </c>
      <c r="I32" s="3" t="n">
        <v>0.1</v>
      </c>
      <c r="J32" s="3" t="n">
        <v>0.1</v>
      </c>
      <c r="K32" s="3" t="n">
        <v>0.1</v>
      </c>
      <c r="L32" s="3" t="n">
        <v>0.1</v>
      </c>
    </row>
    <row r="33" customFormat="false" ht="15" hidden="false" customHeight="false" outlineLevel="0" collapsed="false">
      <c r="A33" s="0" t="s">
        <v>102</v>
      </c>
      <c r="C33" s="3" t="n">
        <v>17</v>
      </c>
      <c r="D33" s="3" t="n">
        <v>18</v>
      </c>
      <c r="E33" s="3" t="n">
        <v>19</v>
      </c>
      <c r="F33" s="3" t="n">
        <v>20</v>
      </c>
      <c r="G33" s="3" t="n">
        <v>20</v>
      </c>
      <c r="H33" s="3" t="n">
        <v>20</v>
      </c>
      <c r="I33" s="3" t="n">
        <v>20</v>
      </c>
      <c r="J33" s="3" t="n">
        <v>20</v>
      </c>
      <c r="K33" s="3" t="n">
        <v>20</v>
      </c>
      <c r="L33" s="3" t="n">
        <v>20</v>
      </c>
    </row>
    <row r="34" customFormat="false" ht="15" hidden="false" customHeight="false" outlineLevel="0" collapsed="false">
      <c r="A34" s="0" t="s">
        <v>103</v>
      </c>
      <c r="B34" s="3" t="n">
        <v>9.5</v>
      </c>
    </row>
    <row r="35" customFormat="false" ht="15" hidden="false" customHeight="false" outlineLevel="0" collapsed="false">
      <c r="A35" s="0" t="s">
        <v>104</v>
      </c>
      <c r="B35" s="3" t="n">
        <v>2.5</v>
      </c>
    </row>
    <row r="36" customFormat="false" ht="15" hidden="false" customHeight="false" outlineLevel="0" collapsed="false">
      <c r="A36" s="0" t="s">
        <v>105</v>
      </c>
      <c r="B36" s="3" t="n">
        <v>15</v>
      </c>
    </row>
    <row r="37" customFormat="false" ht="15" hidden="false" customHeight="false" outlineLevel="0" collapsed="false">
      <c r="A37" s="0" t="s">
        <v>106</v>
      </c>
      <c r="B37" s="3" t="n">
        <v>-18</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10</v>
      </c>
      <c r="D41" s="3" t="n">
        <v>11</v>
      </c>
      <c r="E41" s="3" t="n">
        <v>11</v>
      </c>
      <c r="F41" s="3" t="n">
        <v>10</v>
      </c>
      <c r="G41" s="3" t="n">
        <v>9</v>
      </c>
      <c r="H41" s="3" t="n">
        <v>8</v>
      </c>
      <c r="I41" s="3" t="n">
        <v>7</v>
      </c>
      <c r="J41" s="3" t="n">
        <v>6</v>
      </c>
      <c r="K41" s="3" t="n">
        <v>5</v>
      </c>
      <c r="L41" s="3" t="n">
        <v>4</v>
      </c>
    </row>
    <row r="42" customFormat="false" ht="15" hidden="false" customHeight="false" outlineLevel="0" collapsed="false">
      <c r="A42" s="0" t="s">
        <v>97</v>
      </c>
      <c r="C42" s="3" t="n">
        <v>6.2</v>
      </c>
      <c r="D42" s="3" t="n">
        <v>6.6</v>
      </c>
      <c r="E42" s="3" t="n">
        <v>7</v>
      </c>
      <c r="F42" s="3" t="n">
        <v>7.4</v>
      </c>
      <c r="G42" s="3" t="n">
        <v>7.7</v>
      </c>
      <c r="H42" s="3" t="n">
        <v>8</v>
      </c>
      <c r="I42" s="3" t="n">
        <v>8</v>
      </c>
      <c r="J42" s="3" t="n">
        <v>8</v>
      </c>
      <c r="K42" s="3" t="n">
        <v>8</v>
      </c>
      <c r="L42" s="3" t="n">
        <v>8</v>
      </c>
    </row>
    <row r="43" customFormat="false" ht="15" hidden="false" customHeight="false" outlineLevel="0" collapsed="false">
      <c r="A43" s="0" t="s">
        <v>98</v>
      </c>
      <c r="C43" s="3" t="n">
        <v>0.47</v>
      </c>
      <c r="D43" s="3" t="n">
        <v>0.46</v>
      </c>
      <c r="E43" s="3" t="n">
        <v>0.45</v>
      </c>
      <c r="F43" s="3" t="n">
        <v>0.44</v>
      </c>
      <c r="G43" s="3" t="n">
        <v>0.43</v>
      </c>
      <c r="H43" s="3" t="n">
        <v>0.42</v>
      </c>
      <c r="I43" s="3" t="n">
        <v>0.41</v>
      </c>
      <c r="J43" s="3" t="n">
        <v>0.4</v>
      </c>
      <c r="K43" s="3" t="n">
        <v>0.4</v>
      </c>
      <c r="L43" s="3" t="n">
        <v>0.4</v>
      </c>
    </row>
    <row r="44" customFormat="false" ht="15" hidden="false" customHeight="false" outlineLevel="0" collapsed="false">
      <c r="A44" s="0" t="s">
        <v>99</v>
      </c>
      <c r="C44" s="3" t="n">
        <v>0.08</v>
      </c>
      <c r="D44" s="3" t="n">
        <v>0.08</v>
      </c>
      <c r="E44" s="3" t="n">
        <v>0.08</v>
      </c>
      <c r="F44" s="3" t="n">
        <v>0.08</v>
      </c>
      <c r="G44" s="3" t="n">
        <v>0.08</v>
      </c>
      <c r="H44" s="3" t="n">
        <v>0.08</v>
      </c>
      <c r="I44" s="3" t="n">
        <v>0.08</v>
      </c>
      <c r="J44" s="3" t="n">
        <v>0.08</v>
      </c>
      <c r="K44" s="3" t="n">
        <v>0.08</v>
      </c>
      <c r="L44" s="3" t="n">
        <v>0.08</v>
      </c>
    </row>
    <row r="45" customFormat="false" ht="15" hidden="false" customHeight="false" outlineLevel="0" collapsed="false">
      <c r="A45" s="0" t="s">
        <v>100</v>
      </c>
      <c r="C45" s="3" t="n">
        <v>0.1</v>
      </c>
      <c r="D45" s="3" t="n">
        <v>0.1</v>
      </c>
      <c r="E45" s="3" t="n">
        <v>0.1</v>
      </c>
      <c r="F45" s="3" t="n">
        <v>0.1</v>
      </c>
      <c r="G45" s="3" t="n">
        <v>0.1</v>
      </c>
      <c r="H45" s="3" t="n">
        <v>0.1</v>
      </c>
      <c r="I45" s="3" t="n">
        <v>0.1</v>
      </c>
      <c r="J45" s="3" t="n">
        <v>0.1</v>
      </c>
      <c r="K45" s="3" t="n">
        <v>0.1</v>
      </c>
      <c r="L45" s="3" t="n">
        <v>0.1</v>
      </c>
    </row>
    <row r="46" customFormat="false" ht="15" hidden="false" customHeight="false" outlineLevel="0" collapsed="false">
      <c r="A46" s="0" t="s">
        <v>101</v>
      </c>
      <c r="C46" s="3" t="n">
        <v>0.1</v>
      </c>
      <c r="D46" s="3" t="n">
        <v>0.1</v>
      </c>
      <c r="E46" s="3" t="n">
        <v>0.1</v>
      </c>
      <c r="F46" s="3" t="n">
        <v>0.1</v>
      </c>
      <c r="G46" s="3" t="n">
        <v>0.1</v>
      </c>
      <c r="H46" s="3" t="n">
        <v>0.1</v>
      </c>
      <c r="I46" s="3" t="n">
        <v>0.1</v>
      </c>
      <c r="J46" s="3" t="n">
        <v>0.1</v>
      </c>
      <c r="K46" s="3" t="n">
        <v>0.1</v>
      </c>
      <c r="L46" s="3" t="n">
        <v>0.1</v>
      </c>
    </row>
    <row r="47" customFormat="false" ht="15" hidden="false" customHeight="false" outlineLevel="0" collapsed="false">
      <c r="A47" s="0" t="s">
        <v>102</v>
      </c>
      <c r="C47" s="3" t="n">
        <v>17</v>
      </c>
      <c r="D47" s="3" t="n">
        <v>18</v>
      </c>
      <c r="E47" s="3" t="n">
        <v>19</v>
      </c>
      <c r="F47" s="3" t="n">
        <v>20</v>
      </c>
      <c r="G47" s="3" t="n">
        <v>20</v>
      </c>
      <c r="H47" s="3" t="n">
        <v>20</v>
      </c>
      <c r="I47" s="3" t="n">
        <v>20</v>
      </c>
      <c r="J47" s="3" t="n">
        <v>20</v>
      </c>
      <c r="K47" s="3" t="n">
        <v>20</v>
      </c>
      <c r="L47" s="3" t="n">
        <v>20</v>
      </c>
    </row>
    <row r="48" customFormat="false" ht="15" hidden="false" customHeight="false" outlineLevel="0" collapsed="false">
      <c r="A48" s="0" t="s">
        <v>103</v>
      </c>
      <c r="B48" s="3" t="n">
        <v>9.5</v>
      </c>
    </row>
    <row r="49" customFormat="false" ht="15" hidden="false" customHeight="false" outlineLevel="0" collapsed="false">
      <c r="A49" s="0" t="s">
        <v>104</v>
      </c>
      <c r="B49" s="3" t="n">
        <v>3</v>
      </c>
    </row>
    <row r="50" customFormat="false" ht="15" hidden="false" customHeight="false" outlineLevel="0" collapsed="false">
      <c r="A50" s="0" t="s">
        <v>105</v>
      </c>
      <c r="B50" s="3" t="n">
        <v>15</v>
      </c>
    </row>
    <row r="51" customFormat="false" ht="15" hidden="false" customHeight="false" outlineLevel="0" collapsed="false">
      <c r="A51" s="0" t="s">
        <v>106</v>
      </c>
      <c r="B51" s="3" t="n">
        <v>-12</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3</v>
      </c>
      <c r="D5" s="4" t="n">
        <f aca="false">Assumptions!D13</f>
        <v>3</v>
      </c>
      <c r="E5" s="4" t="n">
        <f aca="false">Assumptions!E13</f>
        <v>4</v>
      </c>
      <c r="F5" s="4" t="n">
        <f aca="false">Assumptions!F13</f>
        <v>4</v>
      </c>
      <c r="G5" s="4" t="n">
        <f aca="false">Assumptions!G13</f>
        <v>4</v>
      </c>
      <c r="H5" s="4" t="n">
        <f aca="false">Assumptions!H13</f>
        <v>3.5</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38</v>
      </c>
      <c r="B6" s="3" t="n">
        <v>34255.1</v>
      </c>
      <c r="C6" s="0" t="n">
        <f aca="false">B6*(1+C5/100)</f>
        <v>35282.753</v>
      </c>
      <c r="D6" s="0" t="n">
        <f aca="false">C6*(1+D5/100)</f>
        <v>36341.23559</v>
      </c>
      <c r="E6" s="0" t="n">
        <f aca="false">D6*(1+E5/100)</f>
        <v>37794.8850136</v>
      </c>
      <c r="F6" s="0" t="n">
        <f aca="false">E6*(1+F5/100)</f>
        <v>39306.680414144</v>
      </c>
      <c r="G6" s="0" t="n">
        <f aca="false">F6*(1+G5/100)</f>
        <v>40878.9476307098</v>
      </c>
      <c r="H6" s="0" t="n">
        <f aca="false">G6*(1+H5/100)</f>
        <v>42309.7107977846</v>
      </c>
      <c r="I6" s="0" t="n">
        <f aca="false">H6*(1+I5/100)</f>
        <v>43579.0021217181</v>
      </c>
      <c r="J6" s="0" t="n">
        <f aca="false">I6*(1+J5/100)</f>
        <v>44886.3721853697</v>
      </c>
      <c r="K6" s="0" t="n">
        <f aca="false">J6*(1+K5/100)</f>
        <v>46008.5314900039</v>
      </c>
      <c r="L6" s="0" t="n">
        <f aca="false">K6*(1+L5/100)</f>
        <v>47158.744777254</v>
      </c>
    </row>
    <row r="7" customFormat="false" ht="15" hidden="false" customHeight="false" outlineLevel="0" collapsed="false">
      <c r="A7" s="0" t="s">
        <v>97</v>
      </c>
      <c r="C7" s="4" t="n">
        <f aca="false">Assumptions!C14</f>
        <v>5.5</v>
      </c>
      <c r="D7" s="4" t="n">
        <f aca="false">Assumptions!D14</f>
        <v>5</v>
      </c>
      <c r="E7" s="4" t="n">
        <f aca="false">Assumptions!E14</f>
        <v>4.8</v>
      </c>
      <c r="F7" s="4" t="n">
        <f aca="false">Assumptions!F14</f>
        <v>4.6</v>
      </c>
      <c r="G7" s="4" t="n">
        <f aca="false">Assumptions!G14</f>
        <v>4.5</v>
      </c>
      <c r="H7" s="4" t="n">
        <f aca="false">Assumptions!H14</f>
        <v>4.5</v>
      </c>
      <c r="I7" s="4" t="n">
        <f aca="false">Assumptions!I14</f>
        <v>4.5</v>
      </c>
      <c r="J7" s="4" t="n">
        <f aca="false">Assumptions!J14</f>
        <v>4.5</v>
      </c>
      <c r="K7" s="4" t="n">
        <f aca="false">Assumptions!K14</f>
        <v>4.5</v>
      </c>
      <c r="L7" s="4" t="n">
        <f aca="false">Assumptions!L14</f>
        <v>4.5</v>
      </c>
    </row>
    <row r="8" customFormat="false" ht="15" hidden="false" customHeight="false" outlineLevel="0" collapsed="false">
      <c r="A8" s="0" t="s">
        <v>44</v>
      </c>
      <c r="C8" s="0" t="n">
        <f aca="false">C6*C7/100</f>
        <v>1940.551415</v>
      </c>
      <c r="D8" s="0" t="n">
        <f aca="false">D6*D7/100</f>
        <v>1817.0617795</v>
      </c>
      <c r="E8" s="0" t="n">
        <f aca="false">E6*E7/100</f>
        <v>1814.1544806528</v>
      </c>
      <c r="F8" s="0" t="n">
        <f aca="false">F6*F7/100</f>
        <v>1808.10729905062</v>
      </c>
      <c r="G8" s="0" t="n">
        <f aca="false">G6*G7/100</f>
        <v>1839.55264338194</v>
      </c>
      <c r="H8" s="0" t="n">
        <f aca="false">H6*H7/100</f>
        <v>1903.93698590031</v>
      </c>
      <c r="I8" s="0" t="n">
        <f aca="false">I6*I7/100</f>
        <v>1961.05509547732</v>
      </c>
      <c r="J8" s="0" t="n">
        <f aca="false">J6*J7/100</f>
        <v>2019.88674834164</v>
      </c>
      <c r="K8" s="0" t="n">
        <f aca="false">K6*K7/100</f>
        <v>2070.38391705018</v>
      </c>
      <c r="L8" s="0" t="n">
        <f aca="false">L6*L7/100</f>
        <v>2122.14351497643</v>
      </c>
    </row>
    <row r="9" customFormat="false" ht="15" hidden="false" customHeight="false" outlineLevel="0" collapsed="false">
      <c r="A9" s="0" t="s">
        <v>98</v>
      </c>
      <c r="C9" s="4" t="n">
        <f aca="false">Assumptions!C15</f>
        <v>0.47</v>
      </c>
      <c r="D9" s="4" t="n">
        <f aca="false">Assumptions!D15</f>
        <v>0.47</v>
      </c>
      <c r="E9" s="4" t="n">
        <f aca="false">Assumptions!E15</f>
        <v>0.46</v>
      </c>
      <c r="F9" s="4" t="n">
        <f aca="false">Assumptions!F15</f>
        <v>0.46</v>
      </c>
      <c r="G9" s="4" t="n">
        <f aca="false">Assumptions!G15</f>
        <v>0.45</v>
      </c>
      <c r="H9" s="4" t="n">
        <f aca="false">Assumptions!H15</f>
        <v>0.45</v>
      </c>
      <c r="I9" s="4" t="n">
        <f aca="false">Assumptions!I15</f>
        <v>0.45</v>
      </c>
      <c r="J9" s="4" t="n">
        <f aca="false">Assumptions!J15</f>
        <v>0.45</v>
      </c>
      <c r="K9" s="4" t="n">
        <f aca="false">Assumptions!K15</f>
        <v>0.45</v>
      </c>
      <c r="L9" s="4" t="n">
        <f aca="false">Assumptions!L15</f>
        <v>0.45</v>
      </c>
    </row>
    <row r="10" customFormat="false" ht="15" hidden="false" customHeight="false" outlineLevel="0" collapsed="false">
      <c r="A10" s="0" t="s">
        <v>113</v>
      </c>
      <c r="C10" s="0" t="n">
        <f aca="false">-C6*C9/100</f>
        <v>-165.8289391</v>
      </c>
      <c r="D10" s="0" t="n">
        <f aca="false">-D6*D9/100</f>
        <v>-170.803807273</v>
      </c>
      <c r="E10" s="0" t="n">
        <f aca="false">-E6*E9/100</f>
        <v>-173.85647106256</v>
      </c>
      <c r="F10" s="0" t="n">
        <f aca="false">-F6*F9/100</f>
        <v>-180.810729905062</v>
      </c>
      <c r="G10" s="0" t="n">
        <f aca="false">-G6*G9/100</f>
        <v>-183.955264338194</v>
      </c>
      <c r="H10" s="0" t="n">
        <f aca="false">-H6*H9/100</f>
        <v>-190.393698590031</v>
      </c>
      <c r="I10" s="0" t="n">
        <f aca="false">-I6*I9/100</f>
        <v>-196.105509547732</v>
      </c>
      <c r="J10" s="0" t="n">
        <f aca="false">-J6*J9/100</f>
        <v>-201.988674834164</v>
      </c>
      <c r="K10" s="0" t="n">
        <f aca="false">-K6*K9/100</f>
        <v>-207.038391705018</v>
      </c>
      <c r="L10" s="0" t="n">
        <f aca="false">-L6*L9/100</f>
        <v>-212.214351497643</v>
      </c>
    </row>
    <row r="11" customFormat="false" ht="15" hidden="false" customHeight="false" outlineLevel="0" collapsed="false">
      <c r="A11" s="0" t="s">
        <v>114</v>
      </c>
      <c r="C11" s="0" t="n">
        <f aca="false">C8+C10+C24</f>
        <v>1746.4962735</v>
      </c>
      <c r="D11" s="0" t="n">
        <f aca="false">D8+D10+D24</f>
        <v>1617.184983755</v>
      </c>
      <c r="E11" s="0" t="n">
        <f aca="false">E8+E10+E24</f>
        <v>1610.06210157936</v>
      </c>
      <c r="F11" s="0" t="n">
        <f aca="false">F8+F10+F24</f>
        <v>1595.85122481425</v>
      </c>
      <c r="G11" s="0" t="n">
        <f aca="false">G8+G10+G24</f>
        <v>1622.89422093918</v>
      </c>
      <c r="H11" s="0" t="n">
        <f aca="false">H8+H10+H24</f>
        <v>1679.69551867205</v>
      </c>
      <c r="I11" s="0" t="n">
        <f aca="false">I8+I10+I24</f>
        <v>1730.08638423221</v>
      </c>
      <c r="J11" s="0" t="n">
        <f aca="false">J8+J10+J24</f>
        <v>1781.98897575918</v>
      </c>
      <c r="K11" s="0" t="n">
        <f aca="false">K8+K10+K24</f>
        <v>1826.53870015316</v>
      </c>
      <c r="L11" s="0" t="n">
        <f aca="false">L8+L10+L24</f>
        <v>1872.20216765698</v>
      </c>
    </row>
    <row r="12" customFormat="false" ht="15" hidden="false" customHeight="false" outlineLevel="0" collapsed="false">
      <c r="A12" s="0" t="s">
        <v>115</v>
      </c>
      <c r="C12" s="4" t="n">
        <f aca="false">-C6*Assumptions!C17/100</f>
        <v>-35.282753</v>
      </c>
      <c r="D12" s="4" t="n">
        <f aca="false">-D6*Assumptions!D17/100</f>
        <v>-36.34123559</v>
      </c>
      <c r="E12" s="4" t="n">
        <f aca="false">-E6*Assumptions!E17/100</f>
        <v>-37.7948850136</v>
      </c>
      <c r="F12" s="4" t="n">
        <f aca="false">-F6*Assumptions!F17/100</f>
        <v>-39.306680414144</v>
      </c>
      <c r="G12" s="4" t="n">
        <f aca="false">-G6*Assumptions!G17/100</f>
        <v>-40.8789476307098</v>
      </c>
      <c r="H12" s="4" t="n">
        <f aca="false">-H6*Assumptions!H17/100</f>
        <v>-42.3097107977846</v>
      </c>
      <c r="I12" s="4" t="n">
        <f aca="false">-I6*Assumptions!I17/100</f>
        <v>-43.5790021217181</v>
      </c>
      <c r="J12" s="4" t="n">
        <f aca="false">-J6*Assumptions!J17/100</f>
        <v>-44.8863721853697</v>
      </c>
      <c r="K12" s="4" t="n">
        <f aca="false">-K6*Assumptions!K17/100</f>
        <v>-46.0085314900039</v>
      </c>
      <c r="L12" s="4" t="n">
        <f aca="false">-L6*Assumptions!L17/100</f>
        <v>-47.158744777254</v>
      </c>
    </row>
    <row r="13" customFormat="false" ht="15" hidden="false" customHeight="false" outlineLevel="0" collapsed="false">
      <c r="A13" s="0" t="s">
        <v>116</v>
      </c>
      <c r="C13" s="0" t="n">
        <f aca="false">C11+C12</f>
        <v>1711.2135205</v>
      </c>
      <c r="D13" s="0" t="n">
        <f aca="false">D11+D12</f>
        <v>1580.843748165</v>
      </c>
      <c r="E13" s="0" t="n">
        <f aca="false">E11+E12</f>
        <v>1572.26721656576</v>
      </c>
      <c r="F13" s="0" t="n">
        <f aca="false">F11+F12</f>
        <v>1556.5445444001</v>
      </c>
      <c r="G13" s="0" t="n">
        <f aca="false">G11+G12</f>
        <v>1582.01527330847</v>
      </c>
      <c r="H13" s="0" t="n">
        <f aca="false">H11+H12</f>
        <v>1637.38580787426</v>
      </c>
      <c r="I13" s="0" t="n">
        <f aca="false">I11+I12</f>
        <v>1686.50738211049</v>
      </c>
      <c r="J13" s="0" t="n">
        <f aca="false">J11+J12</f>
        <v>1737.10260357381</v>
      </c>
      <c r="K13" s="0" t="n">
        <f aca="false">K11+K12</f>
        <v>1780.53016866315</v>
      </c>
      <c r="L13" s="0" t="n">
        <f aca="false">L11+L12</f>
        <v>1825.04342287973</v>
      </c>
    </row>
    <row r="14" customFormat="false" ht="15" hidden="false" customHeight="false" outlineLevel="0" collapsed="false">
      <c r="A14" s="0" t="s">
        <v>102</v>
      </c>
      <c r="C14" s="4" t="n">
        <f aca="false">Assumptions!C19</f>
        <v>17</v>
      </c>
      <c r="D14" s="4" t="n">
        <f aca="false">Assumptions!D19</f>
        <v>18</v>
      </c>
      <c r="E14" s="4" t="n">
        <f aca="false">Assumptions!E19</f>
        <v>19</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117</v>
      </c>
      <c r="C15" s="0" t="n">
        <f aca="false">C13-MAX(0,C13)*C14/100</f>
        <v>1420.307222015</v>
      </c>
      <c r="D15" s="0" t="n">
        <f aca="false">D13-MAX(0,D13)*D14/100</f>
        <v>1296.2918734953</v>
      </c>
      <c r="E15" s="0" t="n">
        <f aca="false">E13-MAX(0,E13)*E14/100</f>
        <v>1273.53644541827</v>
      </c>
      <c r="F15" s="0" t="n">
        <f aca="false">F13-MAX(0,F13)*F14/100</f>
        <v>1245.23563552008</v>
      </c>
      <c r="G15" s="0" t="n">
        <f aca="false">G13-MAX(0,G13)*G14/100</f>
        <v>1265.61221864677</v>
      </c>
      <c r="H15" s="0" t="n">
        <f aca="false">H13-MAX(0,H13)*H14/100</f>
        <v>1309.90864629941</v>
      </c>
      <c r="I15" s="0" t="n">
        <f aca="false">I13-MAX(0,I13)*I14/100</f>
        <v>1349.20590568839</v>
      </c>
      <c r="J15" s="0" t="n">
        <f aca="false">J13-MAX(0,J13)*J14/100</f>
        <v>1389.68208285905</v>
      </c>
      <c r="K15" s="0" t="n">
        <f aca="false">K13-MAX(0,K13)*K14/100</f>
        <v>1424.42413493052</v>
      </c>
      <c r="L15" s="0" t="n">
        <f aca="false">L13-MAX(0,L13)*L14/100</f>
        <v>1460.03473830378</v>
      </c>
    </row>
    <row r="16" customFormat="false" ht="15" hidden="false" customHeight="false" outlineLevel="0" collapsed="false">
      <c r="A16" s="0" t="s">
        <v>118</v>
      </c>
      <c r="C16" s="0" t="n">
        <f aca="false">-C12</f>
        <v>35.282753</v>
      </c>
      <c r="D16" s="0" t="n">
        <f aca="false">-D12</f>
        <v>36.34123559</v>
      </c>
      <c r="E16" s="0" t="n">
        <f aca="false">-E12</f>
        <v>37.7948850136</v>
      </c>
      <c r="F16" s="0" t="n">
        <f aca="false">-F12</f>
        <v>39.306680414144</v>
      </c>
      <c r="G16" s="0" t="n">
        <f aca="false">-G12</f>
        <v>40.8789476307098</v>
      </c>
      <c r="H16" s="0" t="n">
        <f aca="false">-H12</f>
        <v>42.3097107977846</v>
      </c>
      <c r="I16" s="0" t="n">
        <f aca="false">-I12</f>
        <v>43.5790021217181</v>
      </c>
      <c r="J16" s="0" t="n">
        <f aca="false">-J12</f>
        <v>44.8863721853697</v>
      </c>
      <c r="K16" s="0" t="n">
        <f aca="false">-K12</f>
        <v>46.0085314900039</v>
      </c>
      <c r="L16" s="0" t="n">
        <f aca="false">-L12</f>
        <v>47.158744777254</v>
      </c>
    </row>
    <row r="17" customFormat="false" ht="15" hidden="false" customHeight="false" outlineLevel="0" collapsed="false">
      <c r="A17" s="0" t="s">
        <v>119</v>
      </c>
      <c r="C17" s="4" t="n">
        <f aca="false">-C6*Assumptions!C18/100</f>
        <v>-35.282753</v>
      </c>
      <c r="D17" s="4" t="n">
        <f aca="false">-D6*Assumptions!D18/100</f>
        <v>-36.34123559</v>
      </c>
      <c r="E17" s="4" t="n">
        <f aca="false">-E6*Assumptions!E18/100</f>
        <v>-37.7948850136</v>
      </c>
      <c r="F17" s="4" t="n">
        <f aca="false">-F6*Assumptions!F18/100</f>
        <v>-39.306680414144</v>
      </c>
      <c r="G17" s="4" t="n">
        <f aca="false">-G6*Assumptions!G18/100</f>
        <v>-40.8789476307098</v>
      </c>
      <c r="H17" s="4" t="n">
        <f aca="false">-H6*Assumptions!H18/100</f>
        <v>-42.3097107977846</v>
      </c>
      <c r="I17" s="4" t="n">
        <f aca="false">-I6*Assumptions!I18/100</f>
        <v>-43.5790021217181</v>
      </c>
      <c r="J17" s="4" t="n">
        <f aca="false">-J6*Assumptions!J18/100</f>
        <v>-44.8863721853697</v>
      </c>
      <c r="K17" s="4" t="n">
        <f aca="false">-K6*Assumptions!K18/100</f>
        <v>-46.0085314900039</v>
      </c>
      <c r="L17" s="4" t="n">
        <f aca="false">-L6*Assumptions!L18/100</f>
        <v>-47.158744777254</v>
      </c>
    </row>
    <row r="18" customFormat="false" ht="15" hidden="false" customHeight="false" outlineLevel="0" collapsed="false">
      <c r="A18" s="0" t="s">
        <v>120</v>
      </c>
      <c r="C18" s="4" t="n">
        <f aca="false">(C6-B6)*Assumptions!$B$23/100</f>
        <v>-256.91325</v>
      </c>
      <c r="D18" s="4" t="n">
        <f aca="false">(D6-C6)*Assumptions!$B$23/100</f>
        <v>-264.6206475</v>
      </c>
      <c r="E18" s="4" t="n">
        <f aca="false">(E6-D6)*Assumptions!$B$23/100</f>
        <v>-363.4123559</v>
      </c>
      <c r="F18" s="4" t="n">
        <f aca="false">(F6-E6)*Assumptions!$B$23/100</f>
        <v>-377.948850136001</v>
      </c>
      <c r="G18" s="4" t="n">
        <f aca="false">(G6-F6)*Assumptions!$B$23/100</f>
        <v>-393.066804141441</v>
      </c>
      <c r="H18" s="4" t="n">
        <f aca="false">(H6-G6)*Assumptions!$B$23/100</f>
        <v>-357.690791768709</v>
      </c>
      <c r="I18" s="4" t="n">
        <f aca="false">(I6-H6)*Assumptions!$B$23/100</f>
        <v>-317.322830983385</v>
      </c>
      <c r="J18" s="4" t="n">
        <f aca="false">(J6-I6)*Assumptions!$B$23/100</f>
        <v>-326.842515912886</v>
      </c>
      <c r="K18" s="4" t="n">
        <f aca="false">(K6-J6)*Assumptions!$B$23/100</f>
        <v>-280.53982615856</v>
      </c>
      <c r="L18" s="4" t="n">
        <f aca="false">(L6-K6)*Assumptions!$B$23/100</f>
        <v>-287.553321812524</v>
      </c>
    </row>
    <row r="19" customFormat="false" ht="15" hidden="false" customHeight="false" outlineLevel="0" collapsed="false">
      <c r="A19" s="0" t="s">
        <v>121</v>
      </c>
      <c r="C19" s="0" t="n">
        <f aca="false">C15+C16+C17+C18</f>
        <v>1163.393972015</v>
      </c>
      <c r="D19" s="0" t="n">
        <f aca="false">D15+D16+D17+D18</f>
        <v>1031.6712259953</v>
      </c>
      <c r="E19" s="0" t="n">
        <f aca="false">E15+E16+E17+E18</f>
        <v>910.124089518266</v>
      </c>
      <c r="F19" s="0" t="n">
        <f aca="false">F15+F16+F17+F18</f>
        <v>867.286785384081</v>
      </c>
      <c r="G19" s="0" t="n">
        <f aca="false">G15+G16+G17+G18</f>
        <v>872.545414505333</v>
      </c>
      <c r="H19" s="0" t="n">
        <f aca="false">H15+H16+H17+H18</f>
        <v>952.217854530702</v>
      </c>
      <c r="I19" s="0" t="n">
        <f aca="false">I15+I16+I17+I18</f>
        <v>1031.88307470501</v>
      </c>
      <c r="J19" s="0" t="n">
        <f aca="false">J15+J16+J17+J18</f>
        <v>1062.83956694616</v>
      </c>
      <c r="K19" s="0" t="n">
        <f aca="false">K15+K16+K17+K18</f>
        <v>1143.88430877196</v>
      </c>
      <c r="L19" s="0" t="n">
        <f aca="false">L15+L16+L17+L18</f>
        <v>1172.48141649126</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1062.46024841553</v>
      </c>
      <c r="D21" s="0" t="n">
        <f aca="false">D19*D20</f>
        <v>860.42511707037</v>
      </c>
      <c r="E21" s="0" t="n">
        <f aca="false">E19*E20</f>
        <v>693.199518001272</v>
      </c>
      <c r="F21" s="0" t="n">
        <f aca="false">F19*F20</f>
        <v>603.262392991228</v>
      </c>
      <c r="G21" s="0" t="n">
        <f aca="false">G19*G20</f>
        <v>554.264986508617</v>
      </c>
      <c r="H21" s="0" t="n">
        <f aca="false">H19*H20</f>
        <v>552.39737403949</v>
      </c>
      <c r="I21" s="0" t="n">
        <f aca="false">I19*I20</f>
        <v>546.678072924861</v>
      </c>
      <c r="J21" s="0" t="n">
        <f aca="false">J19*J20</f>
        <v>514.226863116536</v>
      </c>
      <c r="K21" s="0" t="n">
        <f aca="false">K19*K20</f>
        <v>505.423033503052</v>
      </c>
      <c r="L21" s="0" t="n">
        <f aca="false">L19*L20</f>
        <v>473.112885242583</v>
      </c>
    </row>
    <row r="23" customFormat="false" ht="15" hidden="false" customHeight="false" outlineLevel="0" collapsed="false">
      <c r="A23" s="0" t="s">
        <v>99</v>
      </c>
      <c r="C23" s="4" t="n">
        <f aca="false">Assumptions!C16</f>
        <v>0.08</v>
      </c>
      <c r="D23" s="4" t="n">
        <f aca="false">Assumptions!D16</f>
        <v>0.08</v>
      </c>
      <c r="E23" s="4" t="n">
        <f aca="false">Assumptions!E16</f>
        <v>0.08</v>
      </c>
      <c r="F23" s="4" t="n">
        <f aca="false">Assumptions!F16</f>
        <v>0.08</v>
      </c>
      <c r="G23" s="4" t="n">
        <f aca="false">Assumptions!G16</f>
        <v>0.08</v>
      </c>
      <c r="H23" s="4" t="n">
        <f aca="false">Assumptions!H16</f>
        <v>0.08</v>
      </c>
      <c r="I23" s="4" t="n">
        <f aca="false">Assumptions!I16</f>
        <v>0.08</v>
      </c>
      <c r="J23" s="4" t="n">
        <f aca="false">Assumptions!J16</f>
        <v>0.08</v>
      </c>
      <c r="K23" s="4" t="n">
        <f aca="false">Assumptions!K16</f>
        <v>0.08</v>
      </c>
      <c r="L23" s="4" t="n">
        <f aca="false">Assumptions!L16</f>
        <v>0.08</v>
      </c>
    </row>
    <row r="24" customFormat="false" ht="15" hidden="false" customHeight="false" outlineLevel="0" collapsed="false">
      <c r="A24" s="0" t="s">
        <v>124</v>
      </c>
      <c r="C24" s="0" t="n">
        <f aca="false">-C6*C23/100</f>
        <v>-28.2262024</v>
      </c>
      <c r="D24" s="0" t="n">
        <f aca="false">-D6*D23/100</f>
        <v>-29.072988472</v>
      </c>
      <c r="E24" s="0" t="n">
        <f aca="false">-E6*E23/100</f>
        <v>-30.23590801088</v>
      </c>
      <c r="F24" s="0" t="n">
        <f aca="false">-F6*F23/100</f>
        <v>-31.4453443313152</v>
      </c>
      <c r="G24" s="0" t="n">
        <f aca="false">-G6*G23/100</f>
        <v>-32.7031581045678</v>
      </c>
      <c r="H24" s="0" t="n">
        <f aca="false">-H6*H23/100</f>
        <v>-33.8477686382277</v>
      </c>
      <c r="I24" s="0" t="n">
        <f aca="false">-I6*I23/100</f>
        <v>-34.8632016973745</v>
      </c>
      <c r="J24" s="0" t="n">
        <f aca="false">-J6*J23/100</f>
        <v>-35.9090977482958</v>
      </c>
      <c r="K24" s="0" t="n">
        <f aca="false">-K6*K23/100</f>
        <v>-36.8068251920031</v>
      </c>
      <c r="L24" s="0" t="n">
        <f aca="false">-L6*L23/100</f>
        <v>-37.7269958218032</v>
      </c>
    </row>
    <row r="26" customFormat="false" ht="15" hidden="false" customHeight="false" outlineLevel="0" collapsed="false">
      <c r="A26" s="2" t="s">
        <v>125</v>
      </c>
    </row>
    <row r="27" customFormat="false" ht="15" hidden="false" customHeight="false" outlineLevel="0" collapsed="false">
      <c r="A27" s="0" t="s">
        <v>103</v>
      </c>
      <c r="B27" s="4" t="n">
        <f aca="false">Assumptions!$B$20</f>
        <v>9.5</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15</v>
      </c>
    </row>
    <row r="30" customFormat="false" ht="15" hidden="false" customHeight="false" outlineLevel="0" collapsed="false">
      <c r="A30" s="0" t="s">
        <v>126</v>
      </c>
      <c r="B30" s="0" t="n">
        <f aca="false">SUM(C21:L21)</f>
        <v>6365.45049181353</v>
      </c>
    </row>
    <row r="31" customFormat="false" ht="15" hidden="false" customHeight="false" outlineLevel="0" collapsed="false">
      <c r="A31" s="0" t="s">
        <v>127</v>
      </c>
      <c r="B31" s="0" t="n">
        <f aca="false">L19</f>
        <v>1172.48141649126</v>
      </c>
    </row>
    <row r="32" customFormat="false" ht="15" hidden="false" customHeight="false" outlineLevel="0" collapsed="false">
      <c r="A32" s="0" t="s">
        <v>128</v>
      </c>
      <c r="B32" s="0" t="n">
        <f aca="false">IF(B27&gt;B28,B31*(1+B28/100)/((B27-B28)/100),B31*B29)</f>
        <v>15945.7472642811</v>
      </c>
    </row>
    <row r="33" customFormat="false" ht="15" hidden="false" customHeight="false" outlineLevel="0" collapsed="false">
      <c r="A33" s="0" t="s">
        <v>129</v>
      </c>
      <c r="B33" s="0" t="n">
        <f aca="false">B31*B29</f>
        <v>17587.2212473689</v>
      </c>
    </row>
    <row r="34" customFormat="false" ht="15" hidden="false" customHeight="false" outlineLevel="0" collapsed="false">
      <c r="A34" s="0" t="s">
        <v>130</v>
      </c>
      <c r="B34" s="0" t="n">
        <f aca="false">MAX(0,MIN(B32,B33))</f>
        <v>15945.7472642811</v>
      </c>
    </row>
    <row r="35" customFormat="false" ht="15" hidden="false" customHeight="false" outlineLevel="0" collapsed="false">
      <c r="A35" s="0" t="s">
        <v>131</v>
      </c>
      <c r="B35" s="0" t="n">
        <f aca="false">B34/(1+B27/100)^L4</f>
        <v>6434.33523929913</v>
      </c>
    </row>
    <row r="36" customFormat="false" ht="15" hidden="false" customHeight="false" outlineLevel="0" collapsed="false">
      <c r="A36" s="0" t="s">
        <v>132</v>
      </c>
      <c r="B36" s="0" t="n">
        <f aca="false">B30+B35</f>
        <v>12799.7857311127</v>
      </c>
    </row>
    <row r="37" customFormat="false" ht="15" hidden="false" customHeight="false" outlineLevel="0" collapsed="false">
      <c r="A37" s="0" t="s">
        <v>133</v>
      </c>
      <c r="B37" s="0" t="n">
        <f aca="false">B36+Assumptions!$B$5-Assumptions!$B$4</f>
        <v>26189.2857311127</v>
      </c>
    </row>
    <row r="38" customFormat="false" ht="15" hidden="false" customHeight="false" outlineLevel="0" collapsed="false">
      <c r="A38" s="0" t="s">
        <v>134</v>
      </c>
      <c r="B38" s="0" t="n">
        <f aca="false">B37/Assumptions!$B$3*Assumptions!$B$10</f>
        <v>1.8931021347919</v>
      </c>
    </row>
    <row r="39" customFormat="false" ht="15" hidden="false" customHeight="false" outlineLevel="0" collapsed="false">
      <c r="A39" s="0" t="s">
        <v>135</v>
      </c>
      <c r="B39" s="4" t="n">
        <f aca="false">B38/Assumptions!$B$2-1</f>
        <v>-0.338076176646189</v>
      </c>
    </row>
    <row r="41" customFormat="false" ht="15" hidden="false" customHeight="false" outlineLevel="0" collapsed="false">
      <c r="A41" s="0" t="s">
        <v>136</v>
      </c>
      <c r="B41" s="0" t="n">
        <f aca="false">SUMPRODUCT(-C10:L10/(1+$B$27/100)^C4:L4)</f>
        <v>1158.11597801786</v>
      </c>
    </row>
    <row r="42" customFormat="false" ht="15" hidden="false" customHeight="false" outlineLevel="0" collapsed="false">
      <c r="A42" s="0" t="s">
        <v>137</v>
      </c>
      <c r="B42" s="0" t="n">
        <f aca="false">IF(B27&gt;B28,-L10*(1+B28/100)/((B27-B28)/100),-L10*20)/(1+B27/100)^L4</f>
        <v>1164.58841984254</v>
      </c>
    </row>
    <row r="43" customFormat="false" ht="15" hidden="false" customHeight="false" outlineLevel="0" collapsed="false">
      <c r="A43" s="0" t="s">
        <v>138</v>
      </c>
      <c r="B43" s="0" t="n">
        <f aca="false">(B37+B41+B42)/Assumptions!$B$3*Assumptions!$B$10</f>
        <v>2.06099967500073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9199.46957554681</v>
      </c>
    </row>
    <row r="47" customFormat="false" ht="15" hidden="false" customHeight="false" outlineLevel="0" collapsed="false">
      <c r="A47" s="0" t="s">
        <v>140</v>
      </c>
      <c r="B47" s="0" t="n">
        <f aca="false">(SUMPRODUCT(C19:L19/(1+B45/100)^C4:L4)+B46/(1+B45/100)^L4+Assumptions!$B$5-Assumptions!$B$4)/Assumptions!$B$3*Assumptions!$B$10</f>
        <v>1.49958390500605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7</v>
      </c>
      <c r="D5" s="4" t="n">
        <f aca="false">Assumptions!D27</f>
        <v>7.5</v>
      </c>
      <c r="E5" s="4" t="n">
        <f aca="false">Assumptions!E27</f>
        <v>7.5</v>
      </c>
      <c r="F5" s="4" t="n">
        <f aca="false">Assumptions!F27</f>
        <v>7</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34255.1</v>
      </c>
      <c r="C6" s="0" t="n">
        <f aca="false">B6*(1+C5/100)</f>
        <v>36652.957</v>
      </c>
      <c r="D6" s="0" t="n">
        <f aca="false">C6*(1+D5/100)</f>
        <v>39401.928775</v>
      </c>
      <c r="E6" s="0" t="n">
        <f aca="false">D6*(1+E5/100)</f>
        <v>42357.073433125</v>
      </c>
      <c r="F6" s="0" t="n">
        <f aca="false">E6*(1+F5/100)</f>
        <v>45322.0685734438</v>
      </c>
      <c r="G6" s="0" t="n">
        <f aca="false">F6*(1+G5/100)</f>
        <v>48041.3926878504</v>
      </c>
      <c r="H6" s="0" t="n">
        <f aca="false">G6*(1+H5/100)</f>
        <v>50443.4623222429</v>
      </c>
      <c r="I6" s="0" t="n">
        <f aca="false">H6*(1+I5/100)</f>
        <v>52713.4181267438</v>
      </c>
      <c r="J6" s="0" t="n">
        <f aca="false">I6*(1+J5/100)</f>
        <v>54821.9548518136</v>
      </c>
      <c r="K6" s="0" t="n">
        <f aca="false">J6*(1+K5/100)</f>
        <v>56740.7232716271</v>
      </c>
      <c r="L6" s="0" t="n">
        <f aca="false">K6*(1+L5/100)</f>
        <v>58442.9449697759</v>
      </c>
    </row>
    <row r="7" customFormat="false" ht="15" hidden="false" customHeight="false" outlineLevel="0" collapsed="false">
      <c r="A7" s="0" t="s">
        <v>97</v>
      </c>
      <c r="C7" s="4" t="n">
        <f aca="false">Assumptions!C28</f>
        <v>6</v>
      </c>
      <c r="D7" s="4" t="n">
        <f aca="false">Assumptions!D28</f>
        <v>6.1</v>
      </c>
      <c r="E7" s="4" t="n">
        <f aca="false">Assumptions!E28</f>
        <v>6.2</v>
      </c>
      <c r="F7" s="4" t="n">
        <f aca="false">Assumptions!F28</f>
        <v>6.3</v>
      </c>
      <c r="G7" s="4" t="n">
        <f aca="false">Assumptions!G28</f>
        <v>6.4</v>
      </c>
      <c r="H7" s="4" t="n">
        <f aca="false">Assumptions!H28</f>
        <v>6.5</v>
      </c>
      <c r="I7" s="4" t="n">
        <f aca="false">Assumptions!I28</f>
        <v>6.5</v>
      </c>
      <c r="J7" s="4" t="n">
        <f aca="false">Assumptions!J28</f>
        <v>6.5</v>
      </c>
      <c r="K7" s="4" t="n">
        <f aca="false">Assumptions!K28</f>
        <v>6.5</v>
      </c>
      <c r="L7" s="4" t="n">
        <f aca="false">Assumptions!L28</f>
        <v>6.5</v>
      </c>
    </row>
    <row r="8" customFormat="false" ht="15" hidden="false" customHeight="false" outlineLevel="0" collapsed="false">
      <c r="A8" s="0" t="s">
        <v>44</v>
      </c>
      <c r="C8" s="0" t="n">
        <f aca="false">C6*C7/100</f>
        <v>2199.17742</v>
      </c>
      <c r="D8" s="0" t="n">
        <f aca="false">D6*D7/100</f>
        <v>2403.517655275</v>
      </c>
      <c r="E8" s="0" t="n">
        <f aca="false">E6*E7/100</f>
        <v>2626.13855285375</v>
      </c>
      <c r="F8" s="0" t="n">
        <f aca="false">F6*F7/100</f>
        <v>2855.29032012696</v>
      </c>
      <c r="G8" s="0" t="n">
        <f aca="false">G6*G7/100</f>
        <v>3074.64913202242</v>
      </c>
      <c r="H8" s="0" t="n">
        <f aca="false">H6*H7/100</f>
        <v>3278.82505094579</v>
      </c>
      <c r="I8" s="0" t="n">
        <f aca="false">I6*I7/100</f>
        <v>3426.37217823835</v>
      </c>
      <c r="J8" s="0" t="n">
        <f aca="false">J6*J7/100</f>
        <v>3563.42706536788</v>
      </c>
      <c r="K8" s="0" t="n">
        <f aca="false">K6*K7/100</f>
        <v>3688.14701265576</v>
      </c>
      <c r="L8" s="0" t="n">
        <f aca="false">L6*L7/100</f>
        <v>3798.79142303543</v>
      </c>
    </row>
    <row r="9" customFormat="false" ht="15" hidden="false" customHeight="false" outlineLevel="0" collapsed="false">
      <c r="A9" s="0" t="s">
        <v>98</v>
      </c>
      <c r="C9" s="4" t="n">
        <f aca="false">Assumptions!C29</f>
        <v>0.47</v>
      </c>
      <c r="D9" s="4" t="n">
        <f aca="false">Assumptions!D29</f>
        <v>0.46</v>
      </c>
      <c r="E9" s="4" t="n">
        <f aca="false">Assumptions!E29</f>
        <v>0.45</v>
      </c>
      <c r="F9" s="4" t="n">
        <f aca="false">Assumptions!F29</f>
        <v>0.44</v>
      </c>
      <c r="G9" s="4" t="n">
        <f aca="false">Assumptions!G29</f>
        <v>0.43</v>
      </c>
      <c r="H9" s="4" t="n">
        <f aca="false">Assumptions!H29</f>
        <v>0.42</v>
      </c>
      <c r="I9" s="4" t="n">
        <f aca="false">Assumptions!I29</f>
        <v>0.41</v>
      </c>
      <c r="J9" s="4" t="n">
        <f aca="false">Assumptions!J29</f>
        <v>0.4</v>
      </c>
      <c r="K9" s="4" t="n">
        <f aca="false">Assumptions!K29</f>
        <v>0.4</v>
      </c>
      <c r="L9" s="4" t="n">
        <f aca="false">Assumptions!L29</f>
        <v>0.4</v>
      </c>
    </row>
    <row r="10" customFormat="false" ht="15" hidden="false" customHeight="false" outlineLevel="0" collapsed="false">
      <c r="A10" s="0" t="s">
        <v>113</v>
      </c>
      <c r="C10" s="0" t="n">
        <f aca="false">-C6*C9/100</f>
        <v>-172.2688979</v>
      </c>
      <c r="D10" s="0" t="n">
        <f aca="false">-D6*D9/100</f>
        <v>-181.248872365</v>
      </c>
      <c r="E10" s="0" t="n">
        <f aca="false">-E6*E9/100</f>
        <v>-190.606830449063</v>
      </c>
      <c r="F10" s="0" t="n">
        <f aca="false">-F6*F9/100</f>
        <v>-199.417101723153</v>
      </c>
      <c r="G10" s="0" t="n">
        <f aca="false">-G6*G9/100</f>
        <v>-206.577988557757</v>
      </c>
      <c r="H10" s="0" t="n">
        <f aca="false">-H6*H9/100</f>
        <v>-211.86254175342</v>
      </c>
      <c r="I10" s="0" t="n">
        <f aca="false">-I6*I9/100</f>
        <v>-216.12501431965</v>
      </c>
      <c r="J10" s="0" t="n">
        <f aca="false">-J6*J9/100</f>
        <v>-219.287819407254</v>
      </c>
      <c r="K10" s="0" t="n">
        <f aca="false">-K6*K9/100</f>
        <v>-226.962893086508</v>
      </c>
      <c r="L10" s="0" t="n">
        <f aca="false">-L6*L9/100</f>
        <v>-233.771779879104</v>
      </c>
    </row>
    <row r="11" customFormat="false" ht="15" hidden="false" customHeight="false" outlineLevel="0" collapsed="false">
      <c r="A11" s="0" t="s">
        <v>114</v>
      </c>
      <c r="C11" s="0" t="n">
        <f aca="false">C8+C10+C24</f>
        <v>1997.5861565</v>
      </c>
      <c r="D11" s="0" t="n">
        <f aca="false">D8+D10+D24</f>
        <v>2190.74723989</v>
      </c>
      <c r="E11" s="0" t="n">
        <f aca="false">E8+E10+E24</f>
        <v>2401.64606365819</v>
      </c>
      <c r="F11" s="0" t="n">
        <f aca="false">F8+F10+F24</f>
        <v>2619.61556354505</v>
      </c>
      <c r="G11" s="0" t="n">
        <f aca="false">G8+G10+G24</f>
        <v>2829.63802931439</v>
      </c>
      <c r="H11" s="0" t="n">
        <f aca="false">H8+H10+H24</f>
        <v>3026.60773933457</v>
      </c>
      <c r="I11" s="0" t="n">
        <f aca="false">I8+I10+I24</f>
        <v>3168.0764294173</v>
      </c>
      <c r="J11" s="0" t="n">
        <f aca="false">J8+J10+J24</f>
        <v>3300.28168207918</v>
      </c>
      <c r="K11" s="0" t="n">
        <f aca="false">K8+K10+K24</f>
        <v>3415.79154095195</v>
      </c>
      <c r="L11" s="0" t="n">
        <f aca="false">L8+L10+L24</f>
        <v>3518.26528718051</v>
      </c>
    </row>
    <row r="12" customFormat="false" ht="15" hidden="false" customHeight="false" outlineLevel="0" collapsed="false">
      <c r="A12" s="0" t="s">
        <v>115</v>
      </c>
      <c r="C12" s="4" t="n">
        <f aca="false">-C6*Assumptions!C31/100</f>
        <v>-36.652957</v>
      </c>
      <c r="D12" s="4" t="n">
        <f aca="false">-D6*Assumptions!D31/100</f>
        <v>-39.401928775</v>
      </c>
      <c r="E12" s="4" t="n">
        <f aca="false">-E6*Assumptions!E31/100</f>
        <v>-42.357073433125</v>
      </c>
      <c r="F12" s="4" t="n">
        <f aca="false">-F6*Assumptions!F31/100</f>
        <v>-45.3220685734438</v>
      </c>
      <c r="G12" s="4" t="n">
        <f aca="false">-G6*Assumptions!G31/100</f>
        <v>-48.0413926878504</v>
      </c>
      <c r="H12" s="4" t="n">
        <f aca="false">-H6*Assumptions!H31/100</f>
        <v>-50.4434623222429</v>
      </c>
      <c r="I12" s="4" t="n">
        <f aca="false">-I6*Assumptions!I31/100</f>
        <v>-52.7134181267438</v>
      </c>
      <c r="J12" s="4" t="n">
        <f aca="false">-J6*Assumptions!J31/100</f>
        <v>-54.8219548518136</v>
      </c>
      <c r="K12" s="4" t="n">
        <f aca="false">-K6*Assumptions!K31/100</f>
        <v>-56.7407232716271</v>
      </c>
      <c r="L12" s="4" t="n">
        <f aca="false">-L6*Assumptions!L31/100</f>
        <v>-58.4429449697759</v>
      </c>
    </row>
    <row r="13" customFormat="false" ht="15" hidden="false" customHeight="false" outlineLevel="0" collapsed="false">
      <c r="A13" s="0" t="s">
        <v>116</v>
      </c>
      <c r="C13" s="0" t="n">
        <f aca="false">C11+C12</f>
        <v>1960.9331995</v>
      </c>
      <c r="D13" s="0" t="n">
        <f aca="false">D11+D12</f>
        <v>2151.345311115</v>
      </c>
      <c r="E13" s="0" t="n">
        <f aca="false">E11+E12</f>
        <v>2359.28899022506</v>
      </c>
      <c r="F13" s="0" t="n">
        <f aca="false">F11+F12</f>
        <v>2574.29349497161</v>
      </c>
      <c r="G13" s="0" t="n">
        <f aca="false">G11+G12</f>
        <v>2781.59663662654</v>
      </c>
      <c r="H13" s="0" t="n">
        <f aca="false">H11+H12</f>
        <v>2976.16427701233</v>
      </c>
      <c r="I13" s="0" t="n">
        <f aca="false">I11+I12</f>
        <v>3115.36301129056</v>
      </c>
      <c r="J13" s="0" t="n">
        <f aca="false">J11+J12</f>
        <v>3245.45972722736</v>
      </c>
      <c r="K13" s="0" t="n">
        <f aca="false">K11+K12</f>
        <v>3359.05081768032</v>
      </c>
      <c r="L13" s="0" t="n">
        <f aca="false">L11+L12</f>
        <v>3459.82234221073</v>
      </c>
    </row>
    <row r="14" customFormat="false" ht="15" hidden="false" customHeight="false" outlineLevel="0" collapsed="false">
      <c r="A14" s="0" t="s">
        <v>102</v>
      </c>
      <c r="C14" s="4" t="n">
        <f aca="false">Assumptions!C33</f>
        <v>17</v>
      </c>
      <c r="D14" s="4" t="n">
        <f aca="false">Assumptions!D33</f>
        <v>18</v>
      </c>
      <c r="E14" s="4" t="n">
        <f aca="false">Assumptions!E33</f>
        <v>19</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117</v>
      </c>
      <c r="C15" s="0" t="n">
        <f aca="false">C13-MAX(0,C13)*C14/100</f>
        <v>1627.574555585</v>
      </c>
      <c r="D15" s="0" t="n">
        <f aca="false">D13-MAX(0,D13)*D14/100</f>
        <v>1764.1031551143</v>
      </c>
      <c r="E15" s="0" t="n">
        <f aca="false">E13-MAX(0,E13)*E14/100</f>
        <v>1911.0240820823</v>
      </c>
      <c r="F15" s="0" t="n">
        <f aca="false">F13-MAX(0,F13)*F14/100</f>
        <v>2059.43479597728</v>
      </c>
      <c r="G15" s="0" t="n">
        <f aca="false">G13-MAX(0,G13)*G14/100</f>
        <v>2225.27730930123</v>
      </c>
      <c r="H15" s="0" t="n">
        <f aca="false">H13-MAX(0,H13)*H14/100</f>
        <v>2380.93142160986</v>
      </c>
      <c r="I15" s="0" t="n">
        <f aca="false">I13-MAX(0,I13)*I14/100</f>
        <v>2492.29040903245</v>
      </c>
      <c r="J15" s="0" t="n">
        <f aca="false">J13-MAX(0,J13)*J14/100</f>
        <v>2596.36778178189</v>
      </c>
      <c r="K15" s="0" t="n">
        <f aca="false">K13-MAX(0,K13)*K14/100</f>
        <v>2687.24065414426</v>
      </c>
      <c r="L15" s="0" t="n">
        <f aca="false">L13-MAX(0,L13)*L14/100</f>
        <v>2767.85787376859</v>
      </c>
    </row>
    <row r="16" customFormat="false" ht="15" hidden="false" customHeight="false" outlineLevel="0" collapsed="false">
      <c r="A16" s="0" t="s">
        <v>118</v>
      </c>
      <c r="C16" s="0" t="n">
        <f aca="false">-C12</f>
        <v>36.652957</v>
      </c>
      <c r="D16" s="0" t="n">
        <f aca="false">-D12</f>
        <v>39.401928775</v>
      </c>
      <c r="E16" s="0" t="n">
        <f aca="false">-E12</f>
        <v>42.357073433125</v>
      </c>
      <c r="F16" s="0" t="n">
        <f aca="false">-F12</f>
        <v>45.3220685734438</v>
      </c>
      <c r="G16" s="0" t="n">
        <f aca="false">-G12</f>
        <v>48.0413926878504</v>
      </c>
      <c r="H16" s="0" t="n">
        <f aca="false">-H12</f>
        <v>50.4434623222429</v>
      </c>
      <c r="I16" s="0" t="n">
        <f aca="false">-I12</f>
        <v>52.7134181267438</v>
      </c>
      <c r="J16" s="0" t="n">
        <f aca="false">-J12</f>
        <v>54.8219548518136</v>
      </c>
      <c r="K16" s="0" t="n">
        <f aca="false">-K12</f>
        <v>56.7407232716271</v>
      </c>
      <c r="L16" s="0" t="n">
        <f aca="false">-L12</f>
        <v>58.4429449697759</v>
      </c>
    </row>
    <row r="17" customFormat="false" ht="15" hidden="false" customHeight="false" outlineLevel="0" collapsed="false">
      <c r="A17" s="0" t="s">
        <v>119</v>
      </c>
      <c r="C17" s="4" t="n">
        <f aca="false">-C6*Assumptions!C32/100</f>
        <v>-36.652957</v>
      </c>
      <c r="D17" s="4" t="n">
        <f aca="false">-D6*Assumptions!D32/100</f>
        <v>-39.401928775</v>
      </c>
      <c r="E17" s="4" t="n">
        <f aca="false">-E6*Assumptions!E32/100</f>
        <v>-42.357073433125</v>
      </c>
      <c r="F17" s="4" t="n">
        <f aca="false">-F6*Assumptions!F32/100</f>
        <v>-45.3220685734438</v>
      </c>
      <c r="G17" s="4" t="n">
        <f aca="false">-G6*Assumptions!G32/100</f>
        <v>-48.0413926878504</v>
      </c>
      <c r="H17" s="4" t="n">
        <f aca="false">-H6*Assumptions!H32/100</f>
        <v>-50.4434623222429</v>
      </c>
      <c r="I17" s="4" t="n">
        <f aca="false">-I6*Assumptions!I32/100</f>
        <v>-52.7134181267438</v>
      </c>
      <c r="J17" s="4" t="n">
        <f aca="false">-J6*Assumptions!J32/100</f>
        <v>-54.8219548518136</v>
      </c>
      <c r="K17" s="4" t="n">
        <f aca="false">-K6*Assumptions!K32/100</f>
        <v>-56.7407232716271</v>
      </c>
      <c r="L17" s="4" t="n">
        <f aca="false">-L6*Assumptions!L32/100</f>
        <v>-58.4429449697759</v>
      </c>
    </row>
    <row r="18" customFormat="false" ht="15" hidden="false" customHeight="false" outlineLevel="0" collapsed="false">
      <c r="A18" s="0" t="s">
        <v>120</v>
      </c>
      <c r="C18" s="4" t="n">
        <f aca="false">(C6-B6)*Assumptions!$B$37/100</f>
        <v>-431.614260000001</v>
      </c>
      <c r="D18" s="4" t="n">
        <f aca="false">(D6-C6)*Assumptions!$B$37/100</f>
        <v>-494.8149195</v>
      </c>
      <c r="E18" s="4" t="n">
        <f aca="false">(E6-D6)*Assumptions!$B$37/100</f>
        <v>-531.9260384625</v>
      </c>
      <c r="F18" s="4" t="n">
        <f aca="false">(F6-E6)*Assumptions!$B$37/100</f>
        <v>-533.699125257375</v>
      </c>
      <c r="G18" s="4" t="n">
        <f aca="false">(G6-F6)*Assumptions!$B$37/100</f>
        <v>-489.478340593193</v>
      </c>
      <c r="H18" s="4" t="n">
        <f aca="false">(H6-G6)*Assumptions!$B$37/100</f>
        <v>-432.372534190654</v>
      </c>
      <c r="I18" s="4" t="n">
        <f aca="false">(I6-H6)*Assumptions!$B$37/100</f>
        <v>-408.592044810167</v>
      </c>
      <c r="J18" s="4" t="n">
        <f aca="false">(J6-I6)*Assumptions!$B$37/100</f>
        <v>-379.536610512556</v>
      </c>
      <c r="K18" s="4" t="n">
        <f aca="false">(K6-J6)*Assumptions!$B$37/100</f>
        <v>-345.378315566425</v>
      </c>
      <c r="L18" s="4" t="n">
        <f aca="false">(L6-K6)*Assumptions!$B$37/100</f>
        <v>-306.399905666787</v>
      </c>
    </row>
    <row r="19" customFormat="false" ht="15" hidden="false" customHeight="false" outlineLevel="0" collapsed="false">
      <c r="A19" s="0" t="s">
        <v>121</v>
      </c>
      <c r="C19" s="0" t="n">
        <f aca="false">C15+C16+C17+C18</f>
        <v>1195.960295585</v>
      </c>
      <c r="D19" s="0" t="n">
        <f aca="false">D15+D16+D17+D18</f>
        <v>1269.2882356143</v>
      </c>
      <c r="E19" s="0" t="n">
        <f aca="false">E15+E16+E17+E18</f>
        <v>1379.0980436198</v>
      </c>
      <c r="F19" s="0" t="n">
        <f aca="false">F15+F16+F17+F18</f>
        <v>1525.73567071991</v>
      </c>
      <c r="G19" s="0" t="n">
        <f aca="false">G15+G16+G17+G18</f>
        <v>1735.79896870804</v>
      </c>
      <c r="H19" s="0" t="n">
        <f aca="false">H15+H16+H17+H18</f>
        <v>1948.55888741921</v>
      </c>
      <c r="I19" s="0" t="n">
        <f aca="false">I15+I16+I17+I18</f>
        <v>2083.69836422228</v>
      </c>
      <c r="J19" s="0" t="n">
        <f aca="false">J15+J16+J17+J18</f>
        <v>2216.83117126934</v>
      </c>
      <c r="K19" s="0" t="n">
        <f aca="false">K15+K16+K17+K18</f>
        <v>2341.86233857783</v>
      </c>
      <c r="L19" s="0" t="n">
        <f aca="false">L15+L16+L17+L18</f>
        <v>2461.4579681018</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1092.20118318265</v>
      </c>
      <c r="D21" s="0" t="n">
        <f aca="false">D19*D20</f>
        <v>1058.60030909639</v>
      </c>
      <c r="E21" s="0" t="n">
        <f aca="false">E19*E20</f>
        <v>1050.39533633238</v>
      </c>
      <c r="F21" s="0" t="n">
        <f aca="false">F19*F20</f>
        <v>1061.26251120379</v>
      </c>
      <c r="G21" s="0" t="n">
        <f aca="false">G19*G20</f>
        <v>1102.62752629107</v>
      </c>
      <c r="H21" s="0" t="n">
        <f aca="false">H19*H20</f>
        <v>1130.39133581692</v>
      </c>
      <c r="I21" s="0" t="n">
        <f aca="false">I19*I20</f>
        <v>1103.91597094018</v>
      </c>
      <c r="J21" s="0" t="n">
        <f aca="false">J19*J20</f>
        <v>1072.55523289954</v>
      </c>
      <c r="K21" s="0" t="n">
        <f aca="false">K19*K20</f>
        <v>1034.74727132263</v>
      </c>
      <c r="L21" s="0" t="n">
        <f aca="false">L19*L20</f>
        <v>993.233210191923</v>
      </c>
    </row>
    <row r="23" customFormat="false" ht="15" hidden="false" customHeight="false" outlineLevel="0" collapsed="false">
      <c r="A23" s="0" t="s">
        <v>99</v>
      </c>
      <c r="C23" s="4" t="n">
        <f aca="false">Assumptions!C30</f>
        <v>0.08</v>
      </c>
      <c r="D23" s="4" t="n">
        <f aca="false">Assumptions!D30</f>
        <v>0.08</v>
      </c>
      <c r="E23" s="4" t="n">
        <f aca="false">Assumptions!E30</f>
        <v>0.08</v>
      </c>
      <c r="F23" s="4" t="n">
        <f aca="false">Assumptions!F30</f>
        <v>0.08</v>
      </c>
      <c r="G23" s="4" t="n">
        <f aca="false">Assumptions!G30</f>
        <v>0.08</v>
      </c>
      <c r="H23" s="4" t="n">
        <f aca="false">Assumptions!H30</f>
        <v>0.08</v>
      </c>
      <c r="I23" s="4" t="n">
        <f aca="false">Assumptions!I30</f>
        <v>0.08</v>
      </c>
      <c r="J23" s="4" t="n">
        <f aca="false">Assumptions!J30</f>
        <v>0.08</v>
      </c>
      <c r="K23" s="4" t="n">
        <f aca="false">Assumptions!K30</f>
        <v>0.08</v>
      </c>
      <c r="L23" s="4" t="n">
        <f aca="false">Assumptions!L30</f>
        <v>0.08</v>
      </c>
    </row>
    <row r="24" customFormat="false" ht="15" hidden="false" customHeight="false" outlineLevel="0" collapsed="false">
      <c r="A24" s="0" t="s">
        <v>124</v>
      </c>
      <c r="C24" s="0" t="n">
        <f aca="false">-C6*C23/100</f>
        <v>-29.3223656</v>
      </c>
      <c r="D24" s="0" t="n">
        <f aca="false">-D6*D23/100</f>
        <v>-31.52154302</v>
      </c>
      <c r="E24" s="0" t="n">
        <f aca="false">-E6*E23/100</f>
        <v>-33.8856587465</v>
      </c>
      <c r="F24" s="0" t="n">
        <f aca="false">-F6*F23/100</f>
        <v>-36.257654858755</v>
      </c>
      <c r="G24" s="0" t="n">
        <f aca="false">-G6*G23/100</f>
        <v>-38.4331141502803</v>
      </c>
      <c r="H24" s="0" t="n">
        <f aca="false">-H6*H23/100</f>
        <v>-40.3547698577943</v>
      </c>
      <c r="I24" s="0" t="n">
        <f aca="false">-I6*I23/100</f>
        <v>-42.1707345013951</v>
      </c>
      <c r="J24" s="0" t="n">
        <f aca="false">-J6*J23/100</f>
        <v>-43.8575638814509</v>
      </c>
      <c r="K24" s="0" t="n">
        <f aca="false">-K6*K23/100</f>
        <v>-45.3925786173016</v>
      </c>
      <c r="L24" s="0" t="n">
        <f aca="false">-L6*L23/100</f>
        <v>-46.7543559758207</v>
      </c>
    </row>
    <row r="26" customFormat="false" ht="15" hidden="false" customHeight="false" outlineLevel="0" collapsed="false">
      <c r="A26" s="2" t="s">
        <v>125</v>
      </c>
    </row>
    <row r="27" customFormat="false" ht="15" hidden="false" customHeight="false" outlineLevel="0" collapsed="false">
      <c r="A27" s="0" t="s">
        <v>103</v>
      </c>
      <c r="B27" s="4" t="n">
        <f aca="false">Assumptions!$B$34</f>
        <v>9.5</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10699.9298872775</v>
      </c>
    </row>
    <row r="31" customFormat="false" ht="15" hidden="false" customHeight="false" outlineLevel="0" collapsed="false">
      <c r="A31" s="0" t="s">
        <v>127</v>
      </c>
      <c r="B31" s="0" t="n">
        <f aca="false">L19</f>
        <v>2461.4579681018</v>
      </c>
    </row>
    <row r="32" customFormat="false" ht="15" hidden="false" customHeight="false" outlineLevel="0" collapsed="false">
      <c r="A32" s="0" t="s">
        <v>128</v>
      </c>
      <c r="B32" s="0" t="n">
        <f aca="false">IF(B27&gt;B28,B31*(1+B28/100)/((B27-B28)/100),B31*B29)</f>
        <v>36042.777390062</v>
      </c>
    </row>
    <row r="33" customFormat="false" ht="15" hidden="false" customHeight="false" outlineLevel="0" collapsed="false">
      <c r="A33" s="0" t="s">
        <v>129</v>
      </c>
      <c r="B33" s="0" t="n">
        <f aca="false">B31*B29</f>
        <v>36921.869521527</v>
      </c>
    </row>
    <row r="34" customFormat="false" ht="15" hidden="false" customHeight="false" outlineLevel="0" collapsed="false">
      <c r="A34" s="0" t="s">
        <v>130</v>
      </c>
      <c r="B34" s="0" t="n">
        <f aca="false">MAX(0,MIN(B32,B33))</f>
        <v>36042.777390062</v>
      </c>
    </row>
    <row r="35" customFormat="false" ht="15" hidden="false" customHeight="false" outlineLevel="0" collapsed="false">
      <c r="A35" s="0" t="s">
        <v>131</v>
      </c>
      <c r="B35" s="0" t="n">
        <f aca="false">B34/(1+B27/100)^L4</f>
        <v>14543.7720063817</v>
      </c>
    </row>
    <row r="36" customFormat="false" ht="15" hidden="false" customHeight="false" outlineLevel="0" collapsed="false">
      <c r="A36" s="0" t="s">
        <v>132</v>
      </c>
      <c r="B36" s="0" t="n">
        <f aca="false">B30+B35</f>
        <v>25243.7018936592</v>
      </c>
    </row>
    <row r="37" customFormat="false" ht="15" hidden="false" customHeight="false" outlineLevel="0" collapsed="false">
      <c r="A37" s="0" t="s">
        <v>133</v>
      </c>
      <c r="B37" s="0" t="n">
        <f aca="false">B36+Assumptions!$B$5-Assumptions!$B$4</f>
        <v>38633.2018936592</v>
      </c>
    </row>
    <row r="38" customFormat="false" ht="15" hidden="false" customHeight="false" outlineLevel="0" collapsed="false">
      <c r="A38" s="0" t="s">
        <v>134</v>
      </c>
      <c r="B38" s="0" t="n">
        <f aca="false">B37/Assumptions!$B$3*Assumptions!$B$10</f>
        <v>2.79261518353847</v>
      </c>
    </row>
    <row r="39" customFormat="false" ht="15" hidden="false" customHeight="false" outlineLevel="0" collapsed="false">
      <c r="A39" s="0" t="s">
        <v>135</v>
      </c>
      <c r="B39" s="4" t="n">
        <f aca="false">B38/Assumptions!$B$2-1</f>
        <v>-0.0235611246368982</v>
      </c>
    </row>
    <row r="41" customFormat="false" ht="15" hidden="false" customHeight="false" outlineLevel="0" collapsed="false">
      <c r="A41" s="0" t="s">
        <v>136</v>
      </c>
      <c r="B41" s="0" t="n">
        <f aca="false">SUMPRODUCT(-C10:L10/(1+$B$27/100)^C4:L4)</f>
        <v>1261.71175428467</v>
      </c>
    </row>
    <row r="42" customFormat="false" ht="15" hidden="false" customHeight="false" outlineLevel="0" collapsed="false">
      <c r="A42" s="0" t="s">
        <v>137</v>
      </c>
      <c r="B42" s="0" t="n">
        <f aca="false">IF(B27&gt;B28,-L10*(1+B28/100)/((B27-B28)/100),-L10*20)/(1+B27/100)^L4</f>
        <v>1381.26407687947</v>
      </c>
    </row>
    <row r="43" customFormat="false" ht="15" hidden="false" customHeight="false" outlineLevel="0" collapsed="false">
      <c r="A43" s="0" t="s">
        <v>138</v>
      </c>
      <c r="B43" s="0" t="n">
        <f aca="false">(B37+B41+B42)/Assumptions!$B$3*Assumptions!$B$10</f>
        <v>2.98366366189526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20183.9553384347</v>
      </c>
    </row>
    <row r="47" customFormat="false" ht="15" hidden="false" customHeight="false" outlineLevel="0" collapsed="false">
      <c r="A47" s="0" t="s">
        <v>140</v>
      </c>
      <c r="B47" s="0" t="n">
        <f aca="false">(SUMPRODUCT(C19:L19/(1+B45/100)^C4:L4)+B46/(1+B45/100)^L4+Assumptions!$B$5-Assumptions!$B$4)/Assumptions!$B$3*Assumptions!$B$10</f>
        <v>1.92605060225938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10</v>
      </c>
      <c r="D5" s="4" t="n">
        <f aca="false">Assumptions!D41</f>
        <v>11</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34255.1</v>
      </c>
      <c r="C6" s="0" t="n">
        <f aca="false">B6*(1+C5/100)</f>
        <v>37680.61</v>
      </c>
      <c r="D6" s="0" t="n">
        <f aca="false">C6*(1+D5/100)</f>
        <v>41825.4771</v>
      </c>
      <c r="E6" s="0" t="n">
        <f aca="false">D6*(1+E5/100)</f>
        <v>46426.279581</v>
      </c>
      <c r="F6" s="0" t="n">
        <f aca="false">E6*(1+F5/100)</f>
        <v>51068.9075391</v>
      </c>
      <c r="G6" s="0" t="n">
        <f aca="false">F6*(1+G5/100)</f>
        <v>55665.109217619</v>
      </c>
      <c r="H6" s="0" t="n">
        <f aca="false">G6*(1+H5/100)</f>
        <v>60118.3179550286</v>
      </c>
      <c r="I6" s="0" t="n">
        <f aca="false">H6*(1+I5/100)</f>
        <v>64326.6002118806</v>
      </c>
      <c r="J6" s="0" t="n">
        <f aca="false">I6*(1+J5/100)</f>
        <v>68186.1962245934</v>
      </c>
      <c r="K6" s="0" t="n">
        <f aca="false">J6*(1+K5/100)</f>
        <v>71595.5060358231</v>
      </c>
      <c r="L6" s="0" t="n">
        <f aca="false">K6*(1+L5/100)</f>
        <v>74459.326277256</v>
      </c>
    </row>
    <row r="7" customFormat="false" ht="15" hidden="false" customHeight="false" outlineLevel="0" collapsed="false">
      <c r="A7" s="0" t="s">
        <v>97</v>
      </c>
      <c r="C7" s="4" t="n">
        <f aca="false">Assumptions!C42</f>
        <v>6.2</v>
      </c>
      <c r="D7" s="4" t="n">
        <f aca="false">Assumptions!D42</f>
        <v>6.6</v>
      </c>
      <c r="E7" s="4" t="n">
        <f aca="false">Assumptions!E42</f>
        <v>7</v>
      </c>
      <c r="F7" s="4" t="n">
        <f aca="false">Assumptions!F42</f>
        <v>7.4</v>
      </c>
      <c r="G7" s="4" t="n">
        <f aca="false">Assumptions!G42</f>
        <v>7.7</v>
      </c>
      <c r="H7" s="4" t="n">
        <f aca="false">Assumptions!H42</f>
        <v>8</v>
      </c>
      <c r="I7" s="4" t="n">
        <f aca="false">Assumptions!I42</f>
        <v>8</v>
      </c>
      <c r="J7" s="4" t="n">
        <f aca="false">Assumptions!J42</f>
        <v>8</v>
      </c>
      <c r="K7" s="4" t="n">
        <f aca="false">Assumptions!K42</f>
        <v>8</v>
      </c>
      <c r="L7" s="4" t="n">
        <f aca="false">Assumptions!L42</f>
        <v>8</v>
      </c>
    </row>
    <row r="8" customFormat="false" ht="15" hidden="false" customHeight="false" outlineLevel="0" collapsed="false">
      <c r="A8" s="0" t="s">
        <v>44</v>
      </c>
      <c r="C8" s="0" t="n">
        <f aca="false">C6*C7/100</f>
        <v>2336.19782</v>
      </c>
      <c r="D8" s="0" t="n">
        <f aca="false">D6*D7/100</f>
        <v>2760.4814886</v>
      </c>
      <c r="E8" s="0" t="n">
        <f aca="false">E6*E7/100</f>
        <v>3249.83957067</v>
      </c>
      <c r="F8" s="0" t="n">
        <f aca="false">F6*F7/100</f>
        <v>3779.0991578934</v>
      </c>
      <c r="G8" s="0" t="n">
        <f aca="false">G6*G7/100</f>
        <v>4286.21340975667</v>
      </c>
      <c r="H8" s="0" t="n">
        <f aca="false">H6*H7/100</f>
        <v>4809.46543640228</v>
      </c>
      <c r="I8" s="0" t="n">
        <f aca="false">I6*I7/100</f>
        <v>5146.12801695044</v>
      </c>
      <c r="J8" s="0" t="n">
        <f aca="false">J6*J7/100</f>
        <v>5454.89569796747</v>
      </c>
      <c r="K8" s="0" t="n">
        <f aca="false">K6*K7/100</f>
        <v>5727.64048286584</v>
      </c>
      <c r="L8" s="0" t="n">
        <f aca="false">L6*L7/100</f>
        <v>5956.74610218048</v>
      </c>
    </row>
    <row r="9" customFormat="false" ht="15" hidden="false" customHeight="false" outlineLevel="0" collapsed="false">
      <c r="A9" s="0" t="s">
        <v>98</v>
      </c>
      <c r="C9" s="4" t="n">
        <f aca="false">Assumptions!C43</f>
        <v>0.47</v>
      </c>
      <c r="D9" s="4" t="n">
        <f aca="false">Assumptions!D43</f>
        <v>0.46</v>
      </c>
      <c r="E9" s="4" t="n">
        <f aca="false">Assumptions!E43</f>
        <v>0.45</v>
      </c>
      <c r="F9" s="4" t="n">
        <f aca="false">Assumptions!F43</f>
        <v>0.44</v>
      </c>
      <c r="G9" s="4" t="n">
        <f aca="false">Assumptions!G43</f>
        <v>0.43</v>
      </c>
      <c r="H9" s="4" t="n">
        <f aca="false">Assumptions!H43</f>
        <v>0.42</v>
      </c>
      <c r="I9" s="4" t="n">
        <f aca="false">Assumptions!I43</f>
        <v>0.41</v>
      </c>
      <c r="J9" s="4" t="n">
        <f aca="false">Assumptions!J43</f>
        <v>0.4</v>
      </c>
      <c r="K9" s="4" t="n">
        <f aca="false">Assumptions!K43</f>
        <v>0.4</v>
      </c>
      <c r="L9" s="4" t="n">
        <f aca="false">Assumptions!L43</f>
        <v>0.4</v>
      </c>
    </row>
    <row r="10" customFormat="false" ht="15" hidden="false" customHeight="false" outlineLevel="0" collapsed="false">
      <c r="A10" s="0" t="s">
        <v>113</v>
      </c>
      <c r="C10" s="0" t="n">
        <f aca="false">-C6*C9/100</f>
        <v>-177.098867</v>
      </c>
      <c r="D10" s="0" t="n">
        <f aca="false">-D6*D9/100</f>
        <v>-192.39719466</v>
      </c>
      <c r="E10" s="0" t="n">
        <f aca="false">-E6*E9/100</f>
        <v>-208.9182581145</v>
      </c>
      <c r="F10" s="0" t="n">
        <f aca="false">-F6*F9/100</f>
        <v>-224.70319317204</v>
      </c>
      <c r="G10" s="0" t="n">
        <f aca="false">-G6*G9/100</f>
        <v>-239.359969635762</v>
      </c>
      <c r="H10" s="0" t="n">
        <f aca="false">-H6*H9/100</f>
        <v>-252.49693541112</v>
      </c>
      <c r="I10" s="0" t="n">
        <f aca="false">-I6*I9/100</f>
        <v>-263.73906086871</v>
      </c>
      <c r="J10" s="0" t="n">
        <f aca="false">-J6*J9/100</f>
        <v>-272.744784898374</v>
      </c>
      <c r="K10" s="0" t="n">
        <f aca="false">-K6*K9/100</f>
        <v>-286.382024143292</v>
      </c>
      <c r="L10" s="0" t="n">
        <f aca="false">-L6*L9/100</f>
        <v>-297.837305109024</v>
      </c>
    </row>
    <row r="11" customFormat="false" ht="15" hidden="false" customHeight="false" outlineLevel="0" collapsed="false">
      <c r="A11" s="0" t="s">
        <v>114</v>
      </c>
      <c r="C11" s="0" t="n">
        <f aca="false">C8+C10+C24</f>
        <v>2128.954465</v>
      </c>
      <c r="D11" s="0" t="n">
        <f aca="false">D8+D10+D24</f>
        <v>2534.62391226</v>
      </c>
      <c r="E11" s="0" t="n">
        <f aca="false">E8+E10+E24</f>
        <v>3003.7802888907</v>
      </c>
      <c r="F11" s="0" t="n">
        <f aca="false">F8+F10+F24</f>
        <v>3513.54083869008</v>
      </c>
      <c r="G11" s="0" t="n">
        <f aca="false">G8+G10+G24</f>
        <v>4002.32135274681</v>
      </c>
      <c r="H11" s="0" t="n">
        <f aca="false">H8+H10+H24</f>
        <v>4508.87384662714</v>
      </c>
      <c r="I11" s="0" t="n">
        <f aca="false">I8+I10+I24</f>
        <v>4830.92767591223</v>
      </c>
      <c r="J11" s="0" t="n">
        <f aca="false">J8+J10+J24</f>
        <v>5127.60195608942</v>
      </c>
      <c r="K11" s="0" t="n">
        <f aca="false">K8+K10+K24</f>
        <v>5383.98205389389</v>
      </c>
      <c r="L11" s="0" t="n">
        <f aca="false">L8+L10+L24</f>
        <v>5599.34133604965</v>
      </c>
    </row>
    <row r="12" customFormat="false" ht="15" hidden="false" customHeight="false" outlineLevel="0" collapsed="false">
      <c r="A12" s="0" t="s">
        <v>115</v>
      </c>
      <c r="C12" s="4" t="n">
        <f aca="false">-C6*Assumptions!C45/100</f>
        <v>-37.68061</v>
      </c>
      <c r="D12" s="4" t="n">
        <f aca="false">-D6*Assumptions!D45/100</f>
        <v>-41.8254771</v>
      </c>
      <c r="E12" s="4" t="n">
        <f aca="false">-E6*Assumptions!E45/100</f>
        <v>-46.426279581</v>
      </c>
      <c r="F12" s="4" t="n">
        <f aca="false">-F6*Assumptions!F45/100</f>
        <v>-51.0689075391</v>
      </c>
      <c r="G12" s="4" t="n">
        <f aca="false">-G6*Assumptions!G45/100</f>
        <v>-55.665109217619</v>
      </c>
      <c r="H12" s="4" t="n">
        <f aca="false">-H6*Assumptions!H45/100</f>
        <v>-60.1183179550286</v>
      </c>
      <c r="I12" s="4" t="n">
        <f aca="false">-I6*Assumptions!I45/100</f>
        <v>-64.3266002118806</v>
      </c>
      <c r="J12" s="4" t="n">
        <f aca="false">-J6*Assumptions!J45/100</f>
        <v>-68.1861962245934</v>
      </c>
      <c r="K12" s="4" t="n">
        <f aca="false">-K6*Assumptions!K45/100</f>
        <v>-71.5955060358231</v>
      </c>
      <c r="L12" s="4" t="n">
        <f aca="false">-L6*Assumptions!L45/100</f>
        <v>-74.459326277256</v>
      </c>
    </row>
    <row r="13" customFormat="false" ht="15" hidden="false" customHeight="false" outlineLevel="0" collapsed="false">
      <c r="A13" s="0" t="s">
        <v>116</v>
      </c>
      <c r="C13" s="0" t="n">
        <f aca="false">C11+C12</f>
        <v>2091.273855</v>
      </c>
      <c r="D13" s="0" t="n">
        <f aca="false">D11+D12</f>
        <v>2492.79843516</v>
      </c>
      <c r="E13" s="0" t="n">
        <f aca="false">E11+E12</f>
        <v>2957.3540093097</v>
      </c>
      <c r="F13" s="0" t="n">
        <f aca="false">F11+F12</f>
        <v>3462.47193115098</v>
      </c>
      <c r="G13" s="0" t="n">
        <f aca="false">G11+G12</f>
        <v>3946.65624352919</v>
      </c>
      <c r="H13" s="0" t="n">
        <f aca="false">H11+H12</f>
        <v>4448.75552867211</v>
      </c>
      <c r="I13" s="0" t="n">
        <f aca="false">I11+I12</f>
        <v>4766.60107570035</v>
      </c>
      <c r="J13" s="0" t="n">
        <f aca="false">J11+J12</f>
        <v>5059.41575986483</v>
      </c>
      <c r="K13" s="0" t="n">
        <f aca="false">K11+K12</f>
        <v>5312.38654785807</v>
      </c>
      <c r="L13" s="0" t="n">
        <f aca="false">L11+L12</f>
        <v>5524.88200977239</v>
      </c>
    </row>
    <row r="14" customFormat="false" ht="15" hidden="false" customHeight="false" outlineLevel="0" collapsed="false">
      <c r="A14" s="0" t="s">
        <v>102</v>
      </c>
      <c r="C14" s="4" t="n">
        <f aca="false">Assumptions!C47</f>
        <v>17</v>
      </c>
      <c r="D14" s="4" t="n">
        <f aca="false">Assumptions!D47</f>
        <v>18</v>
      </c>
      <c r="E14" s="4" t="n">
        <f aca="false">Assumptions!E47</f>
        <v>19</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117</v>
      </c>
      <c r="C15" s="0" t="n">
        <f aca="false">C13-MAX(0,C13)*C14/100</f>
        <v>1735.75729965</v>
      </c>
      <c r="D15" s="0" t="n">
        <f aca="false">D13-MAX(0,D13)*D14/100</f>
        <v>2044.0947168312</v>
      </c>
      <c r="E15" s="0" t="n">
        <f aca="false">E13-MAX(0,E13)*E14/100</f>
        <v>2395.45674754086</v>
      </c>
      <c r="F15" s="0" t="n">
        <f aca="false">F13-MAX(0,F13)*F14/100</f>
        <v>2769.97754492079</v>
      </c>
      <c r="G15" s="0" t="n">
        <f aca="false">G13-MAX(0,G13)*G14/100</f>
        <v>3157.32499482335</v>
      </c>
      <c r="H15" s="0" t="n">
        <f aca="false">H13-MAX(0,H13)*H14/100</f>
        <v>3559.00442293769</v>
      </c>
      <c r="I15" s="0" t="n">
        <f aca="false">I13-MAX(0,I13)*I14/100</f>
        <v>3813.28086056028</v>
      </c>
      <c r="J15" s="0" t="n">
        <f aca="false">J13-MAX(0,J13)*J14/100</f>
        <v>4047.53260789186</v>
      </c>
      <c r="K15" s="0" t="n">
        <f aca="false">K13-MAX(0,K13)*K14/100</f>
        <v>4249.90923828646</v>
      </c>
      <c r="L15" s="0" t="n">
        <f aca="false">L13-MAX(0,L13)*L14/100</f>
        <v>4419.90560781792</v>
      </c>
    </row>
    <row r="16" customFormat="false" ht="15" hidden="false" customHeight="false" outlineLevel="0" collapsed="false">
      <c r="A16" s="0" t="s">
        <v>118</v>
      </c>
      <c r="C16" s="0" t="n">
        <f aca="false">-C12</f>
        <v>37.68061</v>
      </c>
      <c r="D16" s="0" t="n">
        <f aca="false">-D12</f>
        <v>41.8254771</v>
      </c>
      <c r="E16" s="0" t="n">
        <f aca="false">-E12</f>
        <v>46.426279581</v>
      </c>
      <c r="F16" s="0" t="n">
        <f aca="false">-F12</f>
        <v>51.0689075391</v>
      </c>
      <c r="G16" s="0" t="n">
        <f aca="false">-G12</f>
        <v>55.665109217619</v>
      </c>
      <c r="H16" s="0" t="n">
        <f aca="false">-H12</f>
        <v>60.1183179550286</v>
      </c>
      <c r="I16" s="0" t="n">
        <f aca="false">-I12</f>
        <v>64.3266002118806</v>
      </c>
      <c r="J16" s="0" t="n">
        <f aca="false">-J12</f>
        <v>68.1861962245934</v>
      </c>
      <c r="K16" s="0" t="n">
        <f aca="false">-K12</f>
        <v>71.5955060358231</v>
      </c>
      <c r="L16" s="0" t="n">
        <f aca="false">-L12</f>
        <v>74.459326277256</v>
      </c>
    </row>
    <row r="17" customFormat="false" ht="15" hidden="false" customHeight="false" outlineLevel="0" collapsed="false">
      <c r="A17" s="0" t="s">
        <v>119</v>
      </c>
      <c r="C17" s="4" t="n">
        <f aca="false">-C6*Assumptions!C46/100</f>
        <v>-37.68061</v>
      </c>
      <c r="D17" s="4" t="n">
        <f aca="false">-D6*Assumptions!D46/100</f>
        <v>-41.8254771</v>
      </c>
      <c r="E17" s="4" t="n">
        <f aca="false">-E6*Assumptions!E46/100</f>
        <v>-46.426279581</v>
      </c>
      <c r="F17" s="4" t="n">
        <f aca="false">-F6*Assumptions!F46/100</f>
        <v>-51.0689075391</v>
      </c>
      <c r="G17" s="4" t="n">
        <f aca="false">-G6*Assumptions!G46/100</f>
        <v>-55.665109217619</v>
      </c>
      <c r="H17" s="4" t="n">
        <f aca="false">-H6*Assumptions!H46/100</f>
        <v>-60.1183179550286</v>
      </c>
      <c r="I17" s="4" t="n">
        <f aca="false">-I6*Assumptions!I46/100</f>
        <v>-64.3266002118806</v>
      </c>
      <c r="J17" s="4" t="n">
        <f aca="false">-J6*Assumptions!J46/100</f>
        <v>-68.1861962245934</v>
      </c>
      <c r="K17" s="4" t="n">
        <f aca="false">-K6*Assumptions!K46/100</f>
        <v>-71.5955060358231</v>
      </c>
      <c r="L17" s="4" t="n">
        <f aca="false">-L6*Assumptions!L46/100</f>
        <v>-74.459326277256</v>
      </c>
    </row>
    <row r="18" customFormat="false" ht="15" hidden="false" customHeight="false" outlineLevel="0" collapsed="false">
      <c r="A18" s="0" t="s">
        <v>120</v>
      </c>
      <c r="C18" s="4" t="n">
        <f aca="false">(C6-B6)*Assumptions!$B$51/100</f>
        <v>-411.0612</v>
      </c>
      <c r="D18" s="4" t="n">
        <f aca="false">(D6-C6)*Assumptions!$B$51/100</f>
        <v>-497.384052</v>
      </c>
      <c r="E18" s="4" t="n">
        <f aca="false">(E6-D6)*Assumptions!$B$51/100</f>
        <v>-552.096297720001</v>
      </c>
      <c r="F18" s="4" t="n">
        <f aca="false">(F6-E6)*Assumptions!$B$51/100</f>
        <v>-557.115354972001</v>
      </c>
      <c r="G18" s="4" t="n">
        <f aca="false">(G6-F6)*Assumptions!$B$51/100</f>
        <v>-551.544201422281</v>
      </c>
      <c r="H18" s="4" t="n">
        <f aca="false">(H6-G6)*Assumptions!$B$51/100</f>
        <v>-534.385048489143</v>
      </c>
      <c r="I18" s="4" t="n">
        <f aca="false">(I6-H6)*Assumptions!$B$51/100</f>
        <v>-504.99387082224</v>
      </c>
      <c r="J18" s="4" t="n">
        <f aca="false">(J6-I6)*Assumptions!$B$51/100</f>
        <v>-463.15152152554</v>
      </c>
      <c r="K18" s="4" t="n">
        <f aca="false">(K6-J6)*Assumptions!$B$51/100</f>
        <v>-409.117177347561</v>
      </c>
      <c r="L18" s="4" t="n">
        <f aca="false">(L6-K6)*Assumptions!$B$51/100</f>
        <v>-343.658428971951</v>
      </c>
    </row>
    <row r="19" customFormat="false" ht="15" hidden="false" customHeight="false" outlineLevel="0" collapsed="false">
      <c r="A19" s="0" t="s">
        <v>121</v>
      </c>
      <c r="C19" s="0" t="n">
        <f aca="false">C15+C16+C17+C18</f>
        <v>1324.69609965</v>
      </c>
      <c r="D19" s="0" t="n">
        <f aca="false">D15+D16+D17+D18</f>
        <v>1546.7106648312</v>
      </c>
      <c r="E19" s="0" t="n">
        <f aca="false">E15+E16+E17+E18</f>
        <v>1843.36044982086</v>
      </c>
      <c r="F19" s="0" t="n">
        <f aca="false">F15+F16+F17+F18</f>
        <v>2212.86218994878</v>
      </c>
      <c r="G19" s="0" t="n">
        <f aca="false">G15+G16+G17+G18</f>
        <v>2605.78079340107</v>
      </c>
      <c r="H19" s="0" t="n">
        <f aca="false">H15+H16+H17+H18</f>
        <v>3024.61937444855</v>
      </c>
      <c r="I19" s="0" t="n">
        <f aca="false">I15+I16+I17+I18</f>
        <v>3308.28698973804</v>
      </c>
      <c r="J19" s="0" t="n">
        <f aca="false">J15+J16+J17+J18</f>
        <v>3584.38108636632</v>
      </c>
      <c r="K19" s="0" t="n">
        <f aca="false">K15+K16+K17+K18</f>
        <v>3840.7920609389</v>
      </c>
      <c r="L19" s="0" t="n">
        <f aca="false">L15+L16+L17+L18</f>
        <v>4076.24717884596</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1209.76812753425</v>
      </c>
      <c r="D21" s="0" t="n">
        <f aca="false">D19*D20</f>
        <v>1289.97365762282</v>
      </c>
      <c r="E21" s="0" t="n">
        <f aca="false">E19*E20</f>
        <v>1404.00258605921</v>
      </c>
      <c r="F21" s="0" t="n">
        <f aca="false">F19*F20</f>
        <v>1539.21005435028</v>
      </c>
      <c r="G21" s="0" t="n">
        <f aca="false">G19*G20</f>
        <v>1655.26404962848</v>
      </c>
      <c r="H21" s="0" t="n">
        <f aca="false">H19*H20</f>
        <v>1754.63187543126</v>
      </c>
      <c r="I21" s="0" t="n">
        <f aca="false">I19*I20</f>
        <v>1752.68690859127</v>
      </c>
      <c r="J21" s="0" t="n">
        <f aca="false">J19*J20</f>
        <v>1734.20815293167</v>
      </c>
      <c r="K21" s="0" t="n">
        <f aca="false">K19*K20</f>
        <v>1697.04642297106</v>
      </c>
      <c r="L21" s="0" t="n">
        <f aca="false">L19*L20</f>
        <v>1644.82356532098</v>
      </c>
    </row>
    <row r="23" customFormat="false" ht="15" hidden="false" customHeight="false" outlineLevel="0" collapsed="false">
      <c r="A23" s="0" t="s">
        <v>99</v>
      </c>
      <c r="C23" s="4" t="n">
        <f aca="false">Assumptions!C44</f>
        <v>0.08</v>
      </c>
      <c r="D23" s="4" t="n">
        <f aca="false">Assumptions!D44</f>
        <v>0.08</v>
      </c>
      <c r="E23" s="4" t="n">
        <f aca="false">Assumptions!E44</f>
        <v>0.08</v>
      </c>
      <c r="F23" s="4" t="n">
        <f aca="false">Assumptions!F44</f>
        <v>0.08</v>
      </c>
      <c r="G23" s="4" t="n">
        <f aca="false">Assumptions!G44</f>
        <v>0.08</v>
      </c>
      <c r="H23" s="4" t="n">
        <f aca="false">Assumptions!H44</f>
        <v>0.08</v>
      </c>
      <c r="I23" s="4" t="n">
        <f aca="false">Assumptions!I44</f>
        <v>0.08</v>
      </c>
      <c r="J23" s="4" t="n">
        <f aca="false">Assumptions!J44</f>
        <v>0.08</v>
      </c>
      <c r="K23" s="4" t="n">
        <f aca="false">Assumptions!K44</f>
        <v>0.08</v>
      </c>
      <c r="L23" s="4" t="n">
        <f aca="false">Assumptions!L44</f>
        <v>0.08</v>
      </c>
    </row>
    <row r="24" customFormat="false" ht="15" hidden="false" customHeight="false" outlineLevel="0" collapsed="false">
      <c r="A24" s="0" t="s">
        <v>124</v>
      </c>
      <c r="C24" s="0" t="n">
        <f aca="false">-C6*C23/100</f>
        <v>-30.144488</v>
      </c>
      <c r="D24" s="0" t="n">
        <f aca="false">-D6*D23/100</f>
        <v>-33.46038168</v>
      </c>
      <c r="E24" s="0" t="n">
        <f aca="false">-E6*E23/100</f>
        <v>-37.1410236648</v>
      </c>
      <c r="F24" s="0" t="n">
        <f aca="false">-F6*F23/100</f>
        <v>-40.85512603128</v>
      </c>
      <c r="G24" s="0" t="n">
        <f aca="false">-G6*G23/100</f>
        <v>-44.5320873740952</v>
      </c>
      <c r="H24" s="0" t="n">
        <f aca="false">-H6*H23/100</f>
        <v>-48.0946543640228</v>
      </c>
      <c r="I24" s="0" t="n">
        <f aca="false">-I6*I23/100</f>
        <v>-51.4612801695044</v>
      </c>
      <c r="J24" s="0" t="n">
        <f aca="false">-J6*J23/100</f>
        <v>-54.5489569796747</v>
      </c>
      <c r="K24" s="0" t="n">
        <f aca="false">-K6*K23/100</f>
        <v>-57.2764048286584</v>
      </c>
      <c r="L24" s="0" t="n">
        <f aca="false">-L6*L23/100</f>
        <v>-59.5674610218048</v>
      </c>
    </row>
    <row r="26" customFormat="false" ht="15" hidden="false" customHeight="false" outlineLevel="0" collapsed="false">
      <c r="A26" s="2" t="s">
        <v>125</v>
      </c>
    </row>
    <row r="27" customFormat="false" ht="15" hidden="false" customHeight="false" outlineLevel="0" collapsed="false">
      <c r="A27" s="0" t="s">
        <v>103</v>
      </c>
      <c r="B27" s="4" t="n">
        <f aca="false">Assumptions!$B$48</f>
        <v>9.5</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15681.6154004413</v>
      </c>
    </row>
    <row r="31" customFormat="false" ht="15" hidden="false" customHeight="false" outlineLevel="0" collapsed="false">
      <c r="A31" s="0" t="s">
        <v>127</v>
      </c>
      <c r="B31" s="0" t="n">
        <f aca="false">L19</f>
        <v>4076.24717884596</v>
      </c>
    </row>
    <row r="32" customFormat="false" ht="15" hidden="false" customHeight="false" outlineLevel="0" collapsed="false">
      <c r="A32" s="0" t="s">
        <v>128</v>
      </c>
      <c r="B32" s="0" t="n">
        <f aca="false">IF(B27&gt;B28,B31*(1+B28/100)/((B27-B28)/100),B31*B29)</f>
        <v>64592.8399109437</v>
      </c>
    </row>
    <row r="33" customFormat="false" ht="15" hidden="false" customHeight="false" outlineLevel="0" collapsed="false">
      <c r="A33" s="0" t="s">
        <v>129</v>
      </c>
      <c r="B33" s="0" t="n">
        <f aca="false">B31*B29</f>
        <v>61143.7076826895</v>
      </c>
    </row>
    <row r="34" customFormat="false" ht="15" hidden="false" customHeight="false" outlineLevel="0" collapsed="false">
      <c r="A34" s="0" t="s">
        <v>130</v>
      </c>
      <c r="B34" s="0" t="n">
        <f aca="false">MAX(0,MIN(B32,B33))</f>
        <v>61143.7076826895</v>
      </c>
    </row>
    <row r="35" customFormat="false" ht="15" hidden="false" customHeight="false" outlineLevel="0" collapsed="false">
      <c r="A35" s="0" t="s">
        <v>131</v>
      </c>
      <c r="B35" s="0" t="n">
        <f aca="false">B34/(1+B27/100)^L4</f>
        <v>24672.3534798148</v>
      </c>
    </row>
    <row r="36" customFormat="false" ht="15" hidden="false" customHeight="false" outlineLevel="0" collapsed="false">
      <c r="A36" s="0" t="s">
        <v>132</v>
      </c>
      <c r="B36" s="0" t="n">
        <f aca="false">B30+B35</f>
        <v>40353.968880256</v>
      </c>
    </row>
    <row r="37" customFormat="false" ht="15" hidden="false" customHeight="false" outlineLevel="0" collapsed="false">
      <c r="A37" s="0" t="s">
        <v>133</v>
      </c>
      <c r="B37" s="0" t="n">
        <f aca="false">B36+Assumptions!$B$5-Assumptions!$B$4</f>
        <v>53743.468880256</v>
      </c>
    </row>
    <row r="38" customFormat="false" ht="15" hidden="false" customHeight="false" outlineLevel="0" collapsed="false">
      <c r="A38" s="0" t="s">
        <v>134</v>
      </c>
      <c r="B38" s="0" t="n">
        <f aca="false">B37/Assumptions!$B$3*Assumptions!$B$10</f>
        <v>3.88486638058502</v>
      </c>
    </row>
    <row r="39" customFormat="false" ht="15" hidden="false" customHeight="false" outlineLevel="0" collapsed="false">
      <c r="A39" s="0" t="s">
        <v>135</v>
      </c>
      <c r="B39" s="4" t="n">
        <f aca="false">B38/Assumptions!$B$2-1</f>
        <v>0.358344888316442</v>
      </c>
    </row>
    <row r="41" customFormat="false" ht="15" hidden="false" customHeight="false" outlineLevel="0" collapsed="false">
      <c r="A41" s="0" t="s">
        <v>136</v>
      </c>
      <c r="B41" s="0" t="n">
        <f aca="false">SUMPRODUCT(-C10:L10/(1+$B$27/100)^C4:L4)</f>
        <v>1454.54715097744</v>
      </c>
    </row>
    <row r="42" customFormat="false" ht="15" hidden="false" customHeight="false" outlineLevel="0" collapsed="false">
      <c r="A42" s="0" t="s">
        <v>137</v>
      </c>
      <c r="B42" s="0" t="n">
        <f aca="false">IF(B27&gt;B28,-L10*(1+B28/100)/((B27-B28)/100),-L10*20)/(1+B27/100)^L4</f>
        <v>1904.41577369673</v>
      </c>
    </row>
    <row r="43" customFormat="false" ht="15" hidden="false" customHeight="false" outlineLevel="0" collapsed="false">
      <c r="A43" s="0" t="s">
        <v>138</v>
      </c>
      <c r="B43" s="0" t="n">
        <f aca="false">(B37+B41+B42)/Assumptions!$B$3*Assumptions!$B$10</f>
        <v>4.12767024887965</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34987.7882850945</v>
      </c>
    </row>
    <row r="47" customFormat="false" ht="15" hidden="false" customHeight="false" outlineLevel="0" collapsed="false">
      <c r="A47" s="0" t="s">
        <v>140</v>
      </c>
      <c r="B47" s="0" t="n">
        <f aca="false">(SUMPRODUCT(C19:L19/(1+B45/100)^C4:L4)+B46/(1+B45/100)^L4+Assumptions!$B$5-Assumptions!$B$4)/Assumptions!$B$3*Assumptions!$B$10</f>
        <v>2.4544228088517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1.8931021347919</v>
      </c>
      <c r="C4" s="0" t="n">
        <f aca="false">B4/Assumptions!$B$2-1</f>
        <v>-0.338076176646189</v>
      </c>
      <c r="D4" s="4" t="n">
        <f aca="false">Assumptions!$B$24</f>
        <v>0.25</v>
      </c>
      <c r="E4" s="4" t="n">
        <f aca="false">DCF_Bear!$B$43</f>
        <v>2.06099967500073</v>
      </c>
      <c r="F4" s="4" t="n">
        <f aca="false">DCF_Bear!$B$47</f>
        <v>1.49958390500605</v>
      </c>
    </row>
    <row r="5" customFormat="false" ht="15" hidden="false" customHeight="false" outlineLevel="0" collapsed="false">
      <c r="A5" s="0" t="s">
        <v>149</v>
      </c>
      <c r="B5" s="4" t="n">
        <f aca="false">DCF_Base!$B$38</f>
        <v>2.79261518353847</v>
      </c>
      <c r="C5" s="0" t="n">
        <f aca="false">B5/Assumptions!$B$2-1</f>
        <v>-0.0235611246368982</v>
      </c>
      <c r="D5" s="4" t="n">
        <f aca="false">Assumptions!$B$38</f>
        <v>0.5</v>
      </c>
      <c r="E5" s="4" t="n">
        <f aca="false">DCF_Base!$B$43</f>
        <v>2.98366366189526</v>
      </c>
      <c r="F5" s="4" t="n">
        <f aca="false">DCF_Base!$B$47</f>
        <v>1.92605060225938</v>
      </c>
    </row>
    <row r="6" customFormat="false" ht="15" hidden="false" customHeight="false" outlineLevel="0" collapsed="false">
      <c r="A6" s="0" t="s">
        <v>150</v>
      </c>
      <c r="B6" s="4" t="n">
        <f aca="false">DCF_Bull!$B$38</f>
        <v>3.88486638058502</v>
      </c>
      <c r="C6" s="0" t="n">
        <f aca="false">B6/Assumptions!$B$2-1</f>
        <v>0.358344888316442</v>
      </c>
      <c r="D6" s="4" t="n">
        <f aca="false">Assumptions!$B$52</f>
        <v>0.25</v>
      </c>
      <c r="E6" s="4" t="n">
        <f aca="false">DCF_Bull!$B$43</f>
        <v>4.12767024887965</v>
      </c>
      <c r="F6" s="4" t="n">
        <f aca="false">DCF_Bull!$B$47</f>
        <v>2.4544228088517</v>
      </c>
    </row>
    <row r="8" customFormat="false" ht="15" hidden="false" customHeight="false" outlineLevel="0" collapsed="false">
      <c r="A8" s="0" t="s">
        <v>151</v>
      </c>
      <c r="B8" s="0" t="n">
        <f aca="false">SUMPRODUCT(B4:B6,D4:D6)</f>
        <v>2.84079972061347</v>
      </c>
    </row>
    <row r="9" customFormat="false" ht="15" hidden="false" customHeight="false" outlineLevel="0" collapsed="false">
      <c r="A9" s="0" t="s">
        <v>152</v>
      </c>
      <c r="B9" s="0" t="n">
        <f aca="false">SUMPRODUCT(E4:E6,D4:D6)</f>
        <v>3.03899931191773</v>
      </c>
    </row>
    <row r="10" customFormat="false" ht="15" hidden="false" customHeight="false" outlineLevel="0" collapsed="false">
      <c r="A10" s="0" t="s">
        <v>153</v>
      </c>
      <c r="B10" s="0" t="n">
        <f aca="false">1-Assumptions!$B$2/B8</f>
        <v>-0.00675875854507191</v>
      </c>
    </row>
    <row r="11" customFormat="false" ht="15" hidden="false" customHeight="false" outlineLevel="0" collapsed="false">
      <c r="A11" s="0" t="s">
        <v>154</v>
      </c>
      <c r="B11" s="0" t="n">
        <f aca="false">IF(ABS(B9-B8)&gt;0.01*ABS(B8),(Assumptions!$B$2-B8)/(B9-B8)*100,"n/a")</f>
        <v>9.68734559954737</v>
      </c>
    </row>
    <row r="12" customFormat="false" ht="15" hidden="false" customHeight="false" outlineLevel="0" collapsed="false">
      <c r="A12" s="0" t="s">
        <v>155</v>
      </c>
      <c r="B12" s="0" t="n">
        <f aca="false">SUMPRODUCT(F4:F6,D4:D6)</f>
        <v>1.95152697959413</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2.88833917237322</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2.79261518353847</v>
      </c>
      <c r="C16" s="3" t="n">
        <v>9.5</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2.65987991773858</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2.44209192380882</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2.27109149446455</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1.92605060225938</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3.11937494237873</v>
      </c>
      <c r="C24" s="0" t="n">
        <f aca="false">(SUMPRODUCT(DCF_Base!$C$19:$L$19/(1+$A$24/100)^DCF_Base!$C$4:$L$4)+MAX(0,MIN(IF($A$24&gt;$C$23,DCF_Base!$L$19*(1+$C$23/100)/(($A$24-$C$23)/100),DCF_Base!$L$19*DCF_Base!$B$29),DCF_Base!$L$19*DCF_Base!$B$29))/(1+$A$24/100)^DCF_Base!$L$4+Assumptions!$B$5-Assumptions!$B$4)/Assumptions!$B$3*Assumptions!$B$10</f>
        <v>3.11937494237873</v>
      </c>
      <c r="D24" s="0" t="n">
        <f aca="false">(SUMPRODUCT(DCF_Base!$C$19:$L$19/(1+$A$24/100)^DCF_Base!$C$4:$L$4)+MAX(0,MIN(IF($A$24&gt;$D$23,DCF_Base!$L$19*(1+$D$23/100)/(($A$24-$D$23)/100),DCF_Base!$L$19*DCF_Base!$B$29),DCF_Base!$L$19*DCF_Base!$B$29))/(1+$A$24/100)^DCF_Base!$L$4+Assumptions!$B$5-Assumptions!$B$4)/Assumptions!$B$3*Assumptions!$B$10</f>
        <v>3.11937494237873</v>
      </c>
      <c r="E24" s="0" t="n">
        <f aca="false">(SUMPRODUCT(DCF_Base!$C$19:$L$19/(1+$A$24/100)^DCF_Base!$C$4:$L$4)+MAX(0,MIN(IF($A$24&gt;$E$23,DCF_Base!$L$19*(1+$E$23/100)/(($A$24-$E$23)/100),DCF_Base!$L$19*DCF_Base!$B$29),DCF_Base!$L$19*DCF_Base!$B$29))/(1+$A$24/100)^DCF_Base!$L$4+Assumptions!$B$5-Assumptions!$B$4)/Assumptions!$B$3*Assumptions!$B$10</f>
        <v>3.11937494237873</v>
      </c>
      <c r="F24" s="0" t="n">
        <f aca="false">(SUMPRODUCT(DCF_Base!$C$19:$L$19/(1+$A$24/100)^DCF_Base!$C$4:$L$4)+MAX(0,MIN(IF($A$24&gt;$F$23,DCF_Base!$L$19*(1+$F$23/100)/(($A$24-$F$23)/100),DCF_Base!$L$19*DCF_Base!$B$29),DCF_Base!$L$19*DCF_Base!$B$29))/(1+$A$24/100)^DCF_Base!$L$4+Assumptions!$B$5-Assumptions!$B$4)/Assumptions!$B$3*Assumptions!$B$10</f>
        <v>3.11937494237873</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2.92241621421398</v>
      </c>
      <c r="C25" s="0" t="n">
        <f aca="false">(SUMPRODUCT(DCF_Base!$C$19:$L$19/(1+$A$25/100)^DCF_Base!$C$4:$L$4)+MAX(0,MIN(IF($A$25&gt;$C$23,DCF_Base!$L$19*(1+$C$23/100)/(($A$25-$C$23)/100),DCF_Base!$L$19*DCF_Base!$B$29),DCF_Base!$L$19*DCF_Base!$B$29))/(1+$A$25/100)^DCF_Base!$L$4+Assumptions!$B$5-Assumptions!$B$4)/Assumptions!$B$3*Assumptions!$B$10</f>
        <v>2.96176355963901</v>
      </c>
      <c r="D25" s="0" t="n">
        <f aca="false">(SUMPRODUCT(DCF_Base!$C$19:$L$19/(1+$A$25/100)^DCF_Base!$C$4:$L$4)+MAX(0,MIN(IF($A$25&gt;$D$23,DCF_Base!$L$19*(1+$D$23/100)/(($A$25-$D$23)/100),DCF_Base!$L$19*DCF_Base!$B$29),DCF_Base!$L$19*DCF_Base!$B$29))/(1+$A$25/100)^DCF_Base!$L$4+Assumptions!$B$5-Assumptions!$B$4)/Assumptions!$B$3*Assumptions!$B$10</f>
        <v>2.96176355963901</v>
      </c>
      <c r="E25" s="0" t="n">
        <f aca="false">(SUMPRODUCT(DCF_Base!$C$19:$L$19/(1+$A$25/100)^DCF_Base!$C$4:$L$4)+MAX(0,MIN(IF($A$25&gt;$E$23,DCF_Base!$L$19*(1+$E$23/100)/(($A$25-$E$23)/100),DCF_Base!$L$19*DCF_Base!$B$29),DCF_Base!$L$19*DCF_Base!$B$29))/(1+$A$25/100)^DCF_Base!$L$4+Assumptions!$B$5-Assumptions!$B$4)/Assumptions!$B$3*Assumptions!$B$10</f>
        <v>2.96176355963901</v>
      </c>
      <c r="F25" s="0" t="n">
        <f aca="false">(SUMPRODUCT(DCF_Base!$C$19:$L$19/(1+$A$25/100)^DCF_Base!$C$4:$L$4)+MAX(0,MIN(IF($A$25&gt;$F$23,DCF_Base!$L$19*(1+$F$23/100)/(($A$25-$F$23)/100),DCF_Base!$L$19*DCF_Base!$B$29),DCF_Base!$L$19*DCF_Base!$B$29))/(1+$A$25/100)^DCF_Base!$L$4+Assumptions!$B$5-Assumptions!$B$4)/Assumptions!$B$3*Assumptions!$B$10</f>
        <v>2.96176355963901</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2.65222791770314</v>
      </c>
      <c r="C26" s="0" t="n">
        <f aca="false">(SUMPRODUCT(DCF_Base!$C$19:$L$19/(1+$A$26/100)^DCF_Base!$C$4:$L$4)+MAX(0,MIN(IF($A$26&gt;$C$23,DCF_Base!$L$19*(1+$C$23/100)/(($A$26-$C$23)/100),DCF_Base!$L$19*DCF_Base!$B$29),DCF_Base!$L$19*DCF_Base!$B$29))/(1+$A$26/100)^DCF_Base!$L$4+Assumptions!$B$5-Assumptions!$B$4)/Assumptions!$B$3*Assumptions!$B$10</f>
        <v>2.71774197509296</v>
      </c>
      <c r="D26" s="0" t="n">
        <f aca="false">(SUMPRODUCT(DCF_Base!$C$19:$L$19/(1+$A$26/100)^DCF_Base!$C$4:$L$4)+MAX(0,MIN(IF($A$26&gt;$D$23,DCF_Base!$L$19*(1+$D$23/100)/(($A$26-$D$23)/100),DCF_Base!$L$19*DCF_Base!$B$29),DCF_Base!$L$19*DCF_Base!$B$29))/(1+$A$26/100)^DCF_Base!$L$4+Assumptions!$B$5-Assumptions!$B$4)/Assumptions!$B$3*Assumptions!$B$10</f>
        <v>2.79261518353847</v>
      </c>
      <c r="E26" s="0" t="n">
        <f aca="false">(SUMPRODUCT(DCF_Base!$C$19:$L$19/(1+$A$26/100)^DCF_Base!$C$4:$L$4)+MAX(0,MIN(IF($A$26&gt;$E$23,DCF_Base!$L$19*(1+$E$23/100)/(($A$26-$E$23)/100),DCF_Base!$L$19*DCF_Base!$B$29),DCF_Base!$L$19*DCF_Base!$B$29))/(1+$A$26/100)^DCF_Base!$L$4+Assumptions!$B$5-Assumptions!$B$4)/Assumptions!$B$3*Assumptions!$B$10</f>
        <v>2.81825669328008</v>
      </c>
      <c r="F26" s="0" t="n">
        <f aca="false">(SUMPRODUCT(DCF_Base!$C$19:$L$19/(1+$A$26/100)^DCF_Base!$C$4:$L$4)+MAX(0,MIN(IF($A$26&gt;$F$23,DCF_Base!$L$19*(1+$F$23/100)/(($A$26-$F$23)/100),DCF_Base!$L$19*DCF_Base!$B$29),DCF_Base!$L$19*DCF_Base!$B$29))/(1+$A$26/100)^DCF_Base!$L$4+Assumptions!$B$5-Assumptions!$B$4)/Assumptions!$B$3*Assumptions!$B$10</f>
        <v>2.81825669328008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2.44342379145554</v>
      </c>
      <c r="C27" s="0" t="n">
        <f aca="false">(SUMPRODUCT(DCF_Base!$C$19:$L$19/(1+$A$27/100)^DCF_Base!$C$4:$L$4)+MAX(0,MIN(IF($A$27&gt;$C$23,DCF_Base!$L$19*(1+$C$23/100)/(($A$27-$C$23)/100),DCF_Base!$L$19*DCF_Base!$B$29),DCF_Base!$L$19*DCF_Base!$B$29))/(1+$A$27/100)^DCF_Base!$L$4+Assumptions!$B$5-Assumptions!$B$4)/Assumptions!$B$3*Assumptions!$B$10</f>
        <v>2.49077061876614</v>
      </c>
      <c r="D27" s="0" t="n">
        <f aca="false">(SUMPRODUCT(DCF_Base!$C$19:$L$19/(1+$A$27/100)^DCF_Base!$C$4:$L$4)+MAX(0,MIN(IF($A$27&gt;$D$23,DCF_Base!$L$19*(1+$D$23/100)/(($A$27-$D$23)/100),DCF_Base!$L$19*DCF_Base!$B$29),DCF_Base!$L$19*DCF_Base!$B$29))/(1+$A$27/100)^DCF_Base!$L$4+Assumptions!$B$5-Assumptions!$B$4)/Assumptions!$B$3*Assumptions!$B$10</f>
        <v>2.54403579949056</v>
      </c>
      <c r="E27" s="0" t="n">
        <f aca="false">(SUMPRODUCT(DCF_Base!$C$19:$L$19/(1+$A$27/100)^DCF_Base!$C$4:$L$4)+MAX(0,MIN(IF($A$27&gt;$E$23,DCF_Base!$L$19*(1+$E$23/100)/(($A$27-$E$23)/100),DCF_Base!$L$19*DCF_Base!$B$29),DCF_Base!$L$19*DCF_Base!$B$29))/(1+$A$27/100)^DCF_Base!$L$4+Assumptions!$B$5-Assumptions!$B$4)/Assumptions!$B$3*Assumptions!$B$10</f>
        <v>2.60440300431157</v>
      </c>
      <c r="F27" s="0" t="n">
        <f aca="false">(SUMPRODUCT(DCF_Base!$C$19:$L$19/(1+$A$27/100)^DCF_Base!$C$4:$L$4)+MAX(0,MIN(IF($A$27&gt;$F$23,DCF_Base!$L$19*(1+$F$23/100)/(($A$27-$F$23)/100),DCF_Base!$L$19*DCF_Base!$B$29),DCF_Base!$L$19*DCF_Base!$B$29))/(1+$A$27/100)^DCF_Base!$L$4+Assumptions!$B$5-Assumptions!$B$4)/Assumptions!$B$3*Assumptions!$B$10</f>
        <v>2.67339409553559</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2.27750148640898</v>
      </c>
      <c r="C28" s="0" t="n">
        <f aca="false">(SUMPRODUCT(DCF_Base!$C$19:$L$19/(1+$A$28/100)^DCF_Base!$C$4:$L$4)+MAX(0,MIN(IF($A$28&gt;$C$23,DCF_Base!$L$19*(1+$C$23/100)/(($A$28-$C$23)/100),DCF_Base!$L$19*DCF_Base!$B$29),DCF_Base!$L$19*DCF_Base!$B$29))/(1+$A$28/100)^DCF_Base!$L$4+Assumptions!$B$5-Assumptions!$B$4)/Assumptions!$B$3*Assumptions!$B$10</f>
        <v>2.31265877776107</v>
      </c>
      <c r="D28" s="0" t="n">
        <f aca="false">(SUMPRODUCT(DCF_Base!$C$19:$L$19/(1+$A$28/100)^DCF_Base!$C$4:$L$4)+MAX(0,MIN(IF($A$28&gt;$D$23,DCF_Base!$L$19*(1+$D$23/100)/(($A$28-$D$23)/100),DCF_Base!$L$19*DCF_Base!$B$29),DCF_Base!$L$19*DCF_Base!$B$29))/(1+$A$28/100)^DCF_Base!$L$4+Assumptions!$B$5-Assumptions!$B$4)/Assumptions!$B$3*Assumptions!$B$10</f>
        <v>2.35172243481895</v>
      </c>
      <c r="E28" s="0" t="n">
        <f aca="false">(SUMPRODUCT(DCF_Base!$C$19:$L$19/(1+$A$28/100)^DCF_Base!$C$4:$L$4)+MAX(0,MIN(IF($A$28&gt;$E$23,DCF_Base!$L$19*(1+$E$23/100)/(($A$28-$E$23)/100),DCF_Base!$L$19*DCF_Base!$B$29),DCF_Base!$L$19*DCF_Base!$B$29))/(1+$A$28/100)^DCF_Base!$L$4+Assumptions!$B$5-Assumptions!$B$4)/Assumptions!$B$3*Assumptions!$B$10</f>
        <v>2.39538181623658</v>
      </c>
      <c r="F28" s="0" t="n">
        <f aca="false">(SUMPRODUCT(DCF_Base!$C$19:$L$19/(1+$A$28/100)^DCF_Base!$C$4:$L$4)+MAX(0,MIN(IF($A$28&gt;$F$23,DCF_Base!$L$19*(1+$F$23/100)/(($A$28-$F$23)/100),DCF_Base!$L$19*DCF_Base!$B$29),DCF_Base!$L$19*DCF_Base!$B$29))/(1+$A$28/100)^DCF_Base!$L$4+Assumptions!$B$5-Assumptions!$B$4)/Assumptions!$B$3*Assumptions!$B$10</f>
        <v>2.44449862033142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2026-10-10T21:44:01Z</dcterms:created>
  <dc:creator>openpyxl</dc:creator>
  <dc:description/>
  <dc:language>en-NZ</dc:language>
  <cp:lastModifiedBy/>
  <dcterms:modified xsi:type="dcterms:W3CDTF">2026-10-10T21:44:01Z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