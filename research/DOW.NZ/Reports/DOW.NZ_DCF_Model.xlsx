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<sst xmlns="http://schemas.openxmlformats.org/spreadsheetml/2006/main" count="378" uniqueCount="185">
  <si>
    <t xml:space="preserve">Ticker</t>
  </si>
  <si>
    <t xml:space="preserve">DOW.NZ</t>
  </si>
  <si>
    <t xml:space="preserve">Company</t>
  </si>
  <si>
    <t xml:space="preserve">Downer EDI Limited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</si>
  <si>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</si>
  <si>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</si>
  <si>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</si>
  <si>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</si>
  <si>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2026-09-25T06:10:11Z (Yahoo Finance chart API); 52-week range 6.25-8.655 AUD</t>
  </si>
  <si>
    <t xml:space="preserve">Balance sheet date</t>
  </si>
  <si>
    <t xml:space="preserve">2025-12-31 (H1-2026 half-year report; latest available -- FY2026 annual report not yet extracted into this repo)</t>
  </si>
  <si>
    <t xml:space="preserve">Model</t>
  </si>
  <si>
    <t xml:space="preserve">owner_fcf_dcf_component</t>
  </si>
  <si>
    <t xml:space="preserve">Currency (model)</t>
  </si>
  <si>
    <t xml:space="preserve">AUD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</si>
  <si>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</si>
  <si>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</si>
  <si>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</si>
  <si>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</si>
  <si>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</si>
  <si>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</si>
  <si>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2026-09-25T12:09:34Z</t>
  </si>
  <si>
    <t xml:space="preserve">Drivers file</t>
  </si>
  <si>
    <t xml:space="preserve">DOW.NZ_Drivers.json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</si>
  <si>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</si>
  <si>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</si>
  <si>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</si>
  <si>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Downer EDI is a structurally thin-margin (historically ~5-6% EBITDA margin), plant- and fleet-heavy government-services contractor that has just completed a multi-year portfolio-simplification reset (exiting Cleaning, Catering, Laundries and its Keolis Downer transit JV) and, for FY2026, delivered the first proof point of that reset: underlying EBITA margin of 5.1%, ahead of the prior &gt;4.5% target, with leverage at a comfortable 0.8x net debt/EBITDA. Management has, for the first time since the FY2023 accounting-scandal reset, issued explicit medium-term targets (4-5% revenue CAGR and ~6% EBITA margin by FY30, 9% EPS CAGR to FY28) -- genuinely new evidence this valuation now builds into the base case directly, rather than extrapolating a declining historical CAGR forward as the prior (2026-08-10) version did. Because roughly A$140-150m/year of IFRS-16 lease principal is a genuine, recurring cash cost of running its plant and vehicle fleet -- not financing flexibility -- this model deducts it in full from reported free cash flow to arrive at 'owner FCF' (A$271.4m for FY2025, the latest full year, versus A$439.6m reported FCF), consistent with how other lease-heavy names in this research library (2CC.NZ, TAH.NZ) are treated. Two live, unresolved binary risks -- a shareholder class action in mediation and an ACCC price-fixing case against its Spotless subsidiary -- keep the bear-case weight elevated at 25% rather than the house default of 15%, and both risks are priced through the probability-weighted scenario construction and driver paths rather than through a discount-rate premium (this build also corrects the prior version's use of three DIFFERENT scenario WACCs, which double-charged the same risk in both the cash flows and the discount rate). A single 9.5% AUD WACC is used across all three scenarios. Readers who believe the FY2026 result and the FY30 targets mark a durable inflection -- not just a cyclical bounce off the FY2023 trough -- should weight the base and bull cases more heavily; readers who recall that the FY2023 scandal also began as 'a few mispriced contracts' in a similarly thin-margin business, and who note that both legal matters remain genuinely open, should weight the bear case more heavily. The entry price is the buy-discipline anchor (15% IRR hurdle including the full 10-year interim owner-FCF path and net debt) rather than the terminal-value-only shortcut.
key_risks_to_valuation: Shareholder class action (FY20-23 accounting irregularities): mediation occurred Dec-2025, no confirmed settlement outcome as of Sep-2026 -- an unquantified cash liability not yet in the bridge; ACCC price-fixing proceedings against Spotless/Ventia: still pre-trial as of Sep-2026, an unquantified cash and reputational risk; FY30 medium-term targets (4-5% revenue CAGR, ~6% EBITA margin) are only one year (FY2026) into a stated multi-year delivery track record -- a repeat of the FY2023 pattern (thin-margin base, contract mispricing) would unwind the recovery thesis; ~90% government-revenue concentration exposes the business to AU state and NZ central-government budget cycles, which management has flagged as a near-term (1H FY27) headwind; EMOS-to-PAS Defence contract transition is an explicitly guided near-term margin drag before normalising; FY2026 annual report not yet extracted into this repo -- balance-sheet and FCF anchors are one half-year (H1-2026, 31-Dec-2025) and one full-year (FY2025) stale relative to the 30-Jun-2026 fiscal year end; should be refreshed once the FY2026 10-K-equivalent is ingested</t>
  </si>
  <si>
    <t xml:space="preserve">Data sources</t>
  </si>
  <si>
    <t xml:space="preserve">price: Yahoo Finance chart API at inputs.price_as_of; 52-week range 6.25-8.655 AUD
financials: DOW.NZ_Metrics.csv (core_metrics, adjudicated through H1-2026) and DOW.NZ.duckdb kpis table for component lines (lease principal, interest income, SBC, cash taxes)
qualitative: DOW.NZ_Analysis.json (refreshed 2026-09-26, includes FY2026 full-year results announced 20-Aug-2026 and FY2030 medium-term guidance) and the FY2025 Annual Report / H1-2026 half-year report extracted text</t>
  </si>
  <si>
    <t xml:space="preserve">Scenario narrative: bear</t>
  </si>
  <si>
    <t xml:space="preserve">A material cash cost crystallizes from the class action or ACCC case; the FY30 targets prove aspirational and margin improvement stalls near FY26 levels, echoing the FY2023 mispriced-contract pattern in a still structurally thin-margin business.</t>
  </si>
  <si>
    <t xml:space="preserve">Scenario narrative: base</t>
  </si>
  <si>
    <t xml:space="preserve">Portfolio-simplification reset complete; FY2026 proved the first margin milestone (5.1% underlying EBITA, ahead of target); guided near-term revenue dip (1H FY27) modelled explicitly before ramping into management's own FY26-FY30 targets (4-5% revenue CAGR, ~6% EBITA margin); legal overhangs assumed to resolve without material cash cost.</t>
  </si>
  <si>
    <t xml:space="preserve">Scenario narrative: bull</t>
  </si>
  <si>
    <t xml:space="preserve">Guided targets are beaten, not just met -- Defence PAS, energy-transition and Facilities wins push growth and margin durably above the FY30 targets; legal overhangs resolve cleanly; buyback continues.</t>
  </si>
  <si>
    <t xml:space="preserve">Item</t>
  </si>
  <si>
    <t xml:space="preserve">Value</t>
  </si>
  <si>
    <t xml:space="preserve">Note</t>
  </si>
  <si>
    <t xml:space="preserve">Prior valuation_date</t>
  </si>
  <si>
    <t xml:space="preserve">2026-08-10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</si>
  <si>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</si>
  <si>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</si>
  <si>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</si>
  <si>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</si>
  <si>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</si>
  <si>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</si>
  <si>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</si>
  <si>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</si>
  <si>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</si>
  <si>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</si>
  <si>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</si>
  <si>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</si>
  <si>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</si>
  <si>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Anchor refresh (price essentially flat vs prior_version.price_then -- see current_price; net debt/shares unchanged, still H1-2026 balance sheet, FY2026 annual not yet extracted)</t>
  </si>
  <si>
    <t xml:space="preserve">Revenue growth and EBITDA margin paths re-judged for FY2026 actuals (pro forma revenue -4.6%) and managements first FY2030 medium-term targets (4-5% revenue CAGR, EBITA margin approaching 6% by FY30) issued 20-Aug-2026 -- prior path was a stale, pre-guidance declining trajectory built before these facts existed</t>
  </si>
  <si>
    <t xml:space="preserve">WACC corrected from three scenario-varying rates (11.0/12.0/13.5%) to one uniform 9.5% rate -- the prior per-scenario spread double-charged cyclicality and legal risk already priced into the differentiated bear/base/bull driver paths and probability weights (owner-fcf-adaptations.md section 7f, charge risk once)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</si>
  <si>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</si>
  <si>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</si>
  <si>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</si>
  <si>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</si>
  <si>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</si>
  <si>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</si>
  <si>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</si>
  <si>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</si>
  <si>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</si>
  <si>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</si>
  <si>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</si>
  <si>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</si>
  <si>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</si>
  <si>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</si>
  <si>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</si>
  <si>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</si>
  <si>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</si>
  <si>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</si>
  <si>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</si>
  <si>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</si>
  <si>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</si>
  <si>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</si>
  <si>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</si>
  <si>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</si>
  <si>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</si>
  <si>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</si>
  <si>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</si>
  <si>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</si>
  <si>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</si>
  <si>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</si>
  <si>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</si>
  <si>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</si>
  <si>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</si>
  <si>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</si>
  <si>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</si>
  <si>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</si>
  <si>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</si>
  <si>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</si>
  <si>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</si>
  <si>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</si>
  <si>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</si>
  <si>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</si>
  <si>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</si>
  <si>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</si>
  <si>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</si>
  <si>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</si>
  <si>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AUD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</si>
  <si>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</si>
  <si>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</si>
  <si>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</si>
  <si>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</si>
  <si>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</si>
  <si>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</si>
  <si>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</si>
  <si>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</si>
  <si>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</si>
  <si>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</si>
  <si>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</si>
  <si>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</si>
  <si>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</si>
  <si>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</si>
  <si>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</si>
  <si>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</si>
  <si>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</si>
  <si>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</si>
  <si>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</si>
  <si>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</si>
  <si>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</si>
  <si>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</si>
  <si>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</si>
  <si>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</si>
  <si>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</si>
  <si>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</si>
  <si>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DOW.NZ owner-FCF component DCF: bear case (millions, AUD)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</si>
  <si>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</si>
  <si>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</si>
  <si>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</si>
  <si>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</si>
  <si>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</si>
  <si>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</si>
  <si>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</si>
  <si>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</si>
  <si>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</si>
  <si>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</si>
  <si>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</si>
  <si>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</si>
  <si>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</si>
  <si>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</si>
  <si>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</si>
  <si>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</si>
  <si>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</si>
  <si>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</si>
  <si>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</si>
  <si>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</si>
  <si>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</si>
  <si>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</si>
  <si>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</si>
  <si>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</si>
  <si>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</si>
  <si>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</si>
  <si>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</si>
  <si>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</si>
  <si>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</si>
  <si>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</si>
  <si>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DOW.NZ owner-FCF component DCF: base case (millions, AUD)</t>
  </si>
  <si>
    <t xml:space="preserve">DOW.NZ owner-FCF component DCF: bull case (millions, AUD)</t>
  </si>
  <si>
    <t xml:space="preserve">DOW.NZ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</si>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</sst>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6.71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40</v>
      </c>
    </row>
    <row r="3" customFormat="false" ht="15" hidden="false" customHeight="false" outlineLevel="0" collapsed="false">
      <c r="A3" s="0" t="s">
        <v>41</v>
      </c>
      <c r="B3" s="0" t="n">
        <v>6.73</v>
      </c>
    </row>
    <row r="4" customFormat="false" ht="15" hidden="false" customHeight="false" outlineLevel="0" collapsed="false">
      <c r="A4" s="0" t="s">
        <v>42</v>
      </c>
      <c r="B4" s="0" t="n">
        <v>1.18</v>
      </c>
    </row>
    <row r="5" customFormat="false" ht="15" hidden="false" customHeight="false" outlineLevel="0" collapsed="false">
      <c r="A5" s="0" t="s">
        <v>43</v>
      </c>
      <c r="B5" s="0" t="n">
        <v>3.18</v>
      </c>
    </row>
    <row r="6" customFormat="false" ht="15" hidden="false" customHeight="false" outlineLevel="0" collapsed="false">
      <c r="A6" s="0" t="s">
        <v>44</v>
      </c>
      <c r="B6" s="0" t="n">
        <v>5.75</v>
      </c>
    </row>
    <row r="7" customFormat="false" ht="15" hidden="false" customHeight="false" outlineLevel="0" collapsed="false">
      <c r="A7" s="0" t="s">
        <v>45</v>
      </c>
      <c r="B7" s="0" t="n">
        <v>3.32</v>
      </c>
    </row>
    <row r="8" customFormat="false" ht="15" hidden="false" customHeight="false" outlineLevel="0" collapsed="false">
      <c r="A8" s="0" t="s">
        <v>46</v>
      </c>
      <c r="B8" s="0" t="s">
        <v>5</v>
      </c>
    </row>
    <row r="9" customFormat="false" ht="15" hidden="false" customHeight="false" outlineLevel="0" collapsed="false">
      <c r="A9" s="0" t="s">
        <v>47</v>
      </c>
      <c r="B9" s="0" t="n">
        <v>6.71</v>
      </c>
    </row>
    <row r="10" customFormat="false" ht="15" hidden="false" customHeight="false" outlineLevel="0" collapsed="false">
      <c r="A10" s="0" t="s">
        <v>48</v>
      </c>
      <c r="B10" s="0" t="n">
        <v>2.88</v>
      </c>
    </row>
    <row r="11" customFormat="false" ht="15" hidden="false" customHeight="false" outlineLevel="0" collapsed="false">
      <c r="A11" s="0" t="s">
        <v>49</v>
      </c>
      <c r="B11" s="0" t="n">
        <v>6.24</v>
      </c>
    </row>
    <row r="12" customFormat="false" ht="15" hidden="false" customHeight="false" outlineLevel="0" collapsed="false">
      <c r="A12" s="0" t="s">
        <v>50</v>
      </c>
      <c r="B12" s="0" t="n">
        <v>9.42</v>
      </c>
    </row>
    <row r="13" customFormat="false" ht="15" hidden="false" customHeight="false" outlineLevel="0" collapsed="false">
      <c r="A13" s="0" t="s">
        <v>51</v>
      </c>
      <c r="B13" s="0" t="n">
        <v>6.2</v>
      </c>
    </row>
    <row r="15" customFormat="false" ht="15" hidden="false" customHeight="false" outlineLevel="0" collapsed="false">
      <c r="A15" s="2" t="s">
        <v>52</v>
      </c>
    </row>
    <row r="16" customFormat="false" ht="15" hidden="false" customHeight="false" outlineLevel="0" collapsed="false">
      <c r="A16" s="0" t="s">
        <v>53</v>
      </c>
      <c r="B16" s="0" t="n">
        <v>3.32</v>
      </c>
    </row>
    <row r="17" customFormat="false" ht="15" hidden="false" customHeight="false" outlineLevel="0" collapsed="false">
      <c r="A17" s="0" t="s">
        <v>54</v>
      </c>
      <c r="B17" s="0" t="n">
        <v>0</v>
      </c>
    </row>
    <row r="18" customFormat="false" ht="15" hidden="false" customHeight="false" outlineLevel="0" collapsed="false">
      <c r="A18" s="0" t="s">
        <v>55</v>
      </c>
      <c r="B18" s="0" t="n">
        <v>1.31</v>
      </c>
    </row>
    <row r="19" customFormat="false" ht="15" hidden="false" customHeight="false" outlineLevel="0" collapsed="false">
      <c r="A19" s="0" t="s">
        <v>56</v>
      </c>
      <c r="B19" s="0" t="n">
        <v>1.57</v>
      </c>
    </row>
    <row r="20" customFormat="false" ht="15" hidden="false" customHeight="false" outlineLevel="0" collapsed="false">
      <c r="A20" s="0" t="s">
        <v>57</v>
      </c>
      <c r="B20" s="0" t="n">
        <v>6.2</v>
      </c>
      <c r="C20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79</v>
      </c>
      <c r="V1" s="2" t="s">
        <v>80</v>
      </c>
      <c r="W1" s="2" t="s">
        <v>81</v>
      </c>
      <c r="X1" s="2" t="s">
        <v>82</v>
      </c>
      <c r="Y1" s="2" t="s">
        <v>83</v>
      </c>
      <c r="Z1" s="2" t="s">
        <v>84</v>
      </c>
      <c r="AA1" s="2" t="s">
        <v>16</v>
      </c>
      <c r="AB1" s="2" t="s">
        <v>85</v>
      </c>
    </row>
    <row r="2" customFormat="false" ht="15" hidden="false" customHeight="false" outlineLevel="0" collapsed="false">
      <c r="A2" s="0" t="s">
        <v>86</v>
      </c>
      <c r="B2" s="0" t="n">
        <v>12016.6</v>
      </c>
      <c r="F2" s="0" t="n">
        <v>204.8</v>
      </c>
      <c r="G2" s="0" t="n">
        <v>1.70430903916249</v>
      </c>
      <c r="H2" s="0" t="n">
        <v>575</v>
      </c>
      <c r="I2" s="0" t="n">
        <v>71.4</v>
      </c>
      <c r="J2" s="0" t="n">
        <v>0.594178053692392</v>
      </c>
      <c r="K2" s="0" t="n">
        <v>0.107</v>
      </c>
      <c r="L2" s="0" t="n">
        <v>583.3</v>
      </c>
      <c r="M2" s="0" t="n">
        <v>403.8</v>
      </c>
      <c r="N2" s="0" t="n">
        <v>179.5</v>
      </c>
      <c r="O2" s="0" t="n">
        <v>3205.1</v>
      </c>
      <c r="P2" s="0" t="n">
        <v>7788.2</v>
      </c>
      <c r="Q2" s="0" t="n">
        <v>4583.1</v>
      </c>
      <c r="R2" s="0" t="n">
        <v>1521.2</v>
      </c>
      <c r="S2" s="0" t="n">
        <v>606.2</v>
      </c>
      <c r="T2" s="0" t="n">
        <v>594.7</v>
      </c>
      <c r="U2" s="0" t="n">
        <v>2.8</v>
      </c>
      <c r="V2" s="0" t="n">
        <v>14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87</v>
      </c>
      <c r="B3" s="0" t="n">
        <v>12789.4</v>
      </c>
      <c r="F3" s="0" t="n">
        <v>462.2</v>
      </c>
      <c r="G3" s="0" t="n">
        <v>3.61393028601811</v>
      </c>
      <c r="H3" s="0" t="n">
        <v>822.2</v>
      </c>
      <c r="I3" s="0" t="n">
        <v>261.8</v>
      </c>
      <c r="J3" s="0" t="n">
        <v>2.04700767823354</v>
      </c>
      <c r="K3" s="0" t="n">
        <v>0.429</v>
      </c>
      <c r="L3" s="0" t="n">
        <v>630.2</v>
      </c>
      <c r="M3" s="0" t="n">
        <v>391</v>
      </c>
      <c r="N3" s="0" t="n">
        <v>239.2</v>
      </c>
      <c r="O3" s="0" t="n">
        <v>3050.2</v>
      </c>
      <c r="P3" s="0" t="n">
        <v>8008</v>
      </c>
      <c r="Q3" s="0" t="n">
        <v>4957.8</v>
      </c>
      <c r="R3" s="0" t="n">
        <v>1703.5</v>
      </c>
      <c r="S3" s="0" t="n">
        <v>710.7</v>
      </c>
      <c r="T3" s="0" t="n">
        <v>594.7</v>
      </c>
      <c r="U3" s="0" t="n">
        <v>4</v>
      </c>
      <c r="V3" s="0" t="n">
        <v>14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88</v>
      </c>
      <c r="B4" s="0" t="n">
        <v>12669.4</v>
      </c>
      <c r="F4" s="0" t="n">
        <v>-41.3</v>
      </c>
      <c r="G4" s="0" t="n">
        <v>-0.325982288032582</v>
      </c>
      <c r="H4" s="0" t="n">
        <v>476</v>
      </c>
      <c r="I4" s="0" t="n">
        <v>-150.3</v>
      </c>
      <c r="J4" s="0" t="n">
        <v>-1.18632295136313</v>
      </c>
      <c r="K4" s="0" t="n">
        <v>-0.266</v>
      </c>
      <c r="L4" s="0" t="n">
        <v>178.8</v>
      </c>
      <c r="M4" s="0" t="n">
        <v>352.4</v>
      </c>
      <c r="N4" s="0" t="n">
        <v>-173.6</v>
      </c>
      <c r="O4" s="0" t="n">
        <v>2620.5</v>
      </c>
      <c r="P4" s="0" t="n">
        <v>8672.5</v>
      </c>
      <c r="Q4" s="0" t="n">
        <v>6052</v>
      </c>
      <c r="R4" s="0" t="n">
        <v>2814.5</v>
      </c>
      <c r="S4" s="0" t="n">
        <v>588.5</v>
      </c>
      <c r="T4" s="0" t="n">
        <v>594.7</v>
      </c>
      <c r="U4" s="0" t="n">
        <v>4.8</v>
      </c>
      <c r="V4" s="0" t="n">
        <v>0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89</v>
      </c>
      <c r="B5" s="0" t="n">
        <v>11530.2</v>
      </c>
      <c r="F5" s="0" t="n">
        <v>334.8</v>
      </c>
      <c r="G5" s="0" t="n">
        <v>2.90367903418848</v>
      </c>
      <c r="H5" s="0" t="n">
        <v>829.2</v>
      </c>
      <c r="I5" s="0" t="n">
        <v>181.6</v>
      </c>
      <c r="J5" s="0" t="n">
        <v>1.57499436263031</v>
      </c>
      <c r="K5" s="0" t="n">
        <v>0.254</v>
      </c>
      <c r="L5" s="0" t="n">
        <v>708.7</v>
      </c>
      <c r="M5" s="0" t="n">
        <v>278.6</v>
      </c>
      <c r="N5" s="0" t="n">
        <v>430.1</v>
      </c>
      <c r="O5" s="0" t="n">
        <v>2957.4</v>
      </c>
      <c r="P5" s="0" t="n">
        <v>8072.1</v>
      </c>
      <c r="Q5" s="0" t="n">
        <v>5114.7</v>
      </c>
      <c r="R5" s="0" t="n">
        <v>2144.4</v>
      </c>
      <c r="S5" s="0" t="n">
        <v>811.4</v>
      </c>
      <c r="T5" s="0" t="n">
        <v>696.9</v>
      </c>
      <c r="U5" s="0" t="n">
        <v>-0.4</v>
      </c>
      <c r="V5" s="0" t="n">
        <v>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90</v>
      </c>
      <c r="B6" s="0" t="n">
        <v>10972.3</v>
      </c>
      <c r="F6" s="0" t="n">
        <v>306.5</v>
      </c>
      <c r="G6" s="0" t="n">
        <v>2.79339792021728</v>
      </c>
      <c r="H6" s="0" t="n">
        <v>648.7</v>
      </c>
      <c r="I6" s="0" t="n">
        <v>140</v>
      </c>
      <c r="J6" s="0" t="n">
        <v>1.27594032244835</v>
      </c>
      <c r="K6" s="0" t="n">
        <v>0.213</v>
      </c>
      <c r="L6" s="0" t="n">
        <v>495.4</v>
      </c>
      <c r="M6" s="0" t="n">
        <v>279.8</v>
      </c>
      <c r="N6" s="0" t="n">
        <v>215.6</v>
      </c>
      <c r="O6" s="0" t="n">
        <v>2811.8</v>
      </c>
      <c r="P6" s="0" t="n">
        <v>7429.2</v>
      </c>
      <c r="Q6" s="0" t="n">
        <v>4617.4</v>
      </c>
      <c r="R6" s="0" t="n">
        <v>1905.6</v>
      </c>
      <c r="S6" s="0" t="n">
        <v>738.5</v>
      </c>
      <c r="T6" s="0" t="n">
        <v>675.4</v>
      </c>
      <c r="U6" s="0" t="n">
        <v>4.2</v>
      </c>
      <c r="V6" s="0" t="n">
        <v>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91</v>
      </c>
      <c r="B7" s="0" t="n">
        <v>11640.4</v>
      </c>
      <c r="F7" s="0" t="n">
        <v>-253.5</v>
      </c>
      <c r="G7" s="0" t="n">
        <v>-2.17776021442562</v>
      </c>
      <c r="H7" s="0" t="n">
        <v>82.7</v>
      </c>
      <c r="I7" s="0" t="n">
        <v>-385.7</v>
      </c>
      <c r="J7" s="0" t="n">
        <v>-3.31346001855606</v>
      </c>
      <c r="K7" s="0" t="n">
        <v>-0.59</v>
      </c>
      <c r="L7" s="0" t="n">
        <v>318.2</v>
      </c>
      <c r="M7" s="0" t="n">
        <v>263</v>
      </c>
      <c r="N7" s="0" t="n">
        <v>55.2</v>
      </c>
      <c r="O7" s="0" t="n">
        <v>2289.8</v>
      </c>
      <c r="P7" s="0" t="n">
        <v>7314.3</v>
      </c>
      <c r="Q7" s="0" t="n">
        <v>5024.5</v>
      </c>
      <c r="R7" s="0" t="n">
        <v>2133.6</v>
      </c>
      <c r="S7" s="0" t="n">
        <v>889.1</v>
      </c>
      <c r="T7" s="0" t="n">
        <v>671.6</v>
      </c>
      <c r="U7" s="0" t="n">
        <v>4.2</v>
      </c>
      <c r="V7" s="0" t="n">
        <v>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92</v>
      </c>
      <c r="B8" s="0" t="n">
        <v>10979.5</v>
      </c>
      <c r="F8" s="0" t="n">
        <v>180.5</v>
      </c>
      <c r="G8" s="0" t="n">
        <v>1.64397285850904</v>
      </c>
      <c r="H8" s="0" t="n">
        <v>526.5</v>
      </c>
      <c r="I8" s="0" t="n">
        <v>69.1</v>
      </c>
      <c r="J8" s="0" t="n">
        <v>0.629354706498475</v>
      </c>
      <c r="K8" s="0" t="n">
        <v>0.103</v>
      </c>
      <c r="L8" s="0" t="n">
        <v>544.1</v>
      </c>
      <c r="M8" s="0" t="n">
        <v>146.3</v>
      </c>
      <c r="N8" s="0" t="n">
        <v>397.8</v>
      </c>
      <c r="O8" s="0" t="n">
        <v>2259.4</v>
      </c>
      <c r="P8" s="0" t="n">
        <v>6748.2</v>
      </c>
      <c r="Q8" s="0" t="n">
        <v>4488.8</v>
      </c>
      <c r="R8" s="0" t="n">
        <v>2489.1</v>
      </c>
      <c r="S8" s="0" t="n">
        <v>837.6</v>
      </c>
      <c r="T8" s="0" t="n">
        <v>671.6</v>
      </c>
      <c r="U8" s="0" t="n">
        <v>3.2</v>
      </c>
      <c r="V8" s="0" t="n">
        <v>11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93</v>
      </c>
      <c r="B9" s="0" t="n">
        <v>10481.5</v>
      </c>
      <c r="F9" s="0" t="n">
        <v>283.2</v>
      </c>
      <c r="G9" s="0" t="n">
        <v>2.70190335352764</v>
      </c>
      <c r="H9" s="0" t="n">
        <v>625.7</v>
      </c>
      <c r="I9" s="0" t="n">
        <v>136.7</v>
      </c>
      <c r="J9" s="0" t="n">
        <v>1.30420264275152</v>
      </c>
      <c r="K9" s="0" t="n">
        <v>0.204</v>
      </c>
      <c r="L9" s="0" t="n">
        <v>562.5</v>
      </c>
      <c r="M9" s="0" t="n">
        <v>122.9</v>
      </c>
      <c r="N9" s="0" t="n">
        <v>439.6</v>
      </c>
      <c r="O9" s="0" t="n">
        <v>2240.3</v>
      </c>
      <c r="P9" s="0" t="n">
        <v>6479</v>
      </c>
      <c r="Q9" s="0" t="n">
        <v>4238.7</v>
      </c>
      <c r="R9" s="0" t="n">
        <v>1537</v>
      </c>
      <c r="S9" s="0" t="n">
        <v>833.8</v>
      </c>
      <c r="T9" s="0" t="n">
        <v>671.6</v>
      </c>
      <c r="U9" s="0" t="n">
        <v>3.7</v>
      </c>
      <c r="V9" s="0" t="n">
        <v>14.1</v>
      </c>
      <c r="AA9" s="0" t="s">
        <v>17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94</v>
      </c>
      <c r="B1" s="2" t="s">
        <v>37</v>
      </c>
    </row>
    <row r="2" customFormat="false" ht="15" hidden="false" customHeight="false" outlineLevel="0" collapsed="false">
      <c r="A2" s="0" t="s">
        <v>95</v>
      </c>
      <c r="B2" s="3" t="n">
        <v>6.71</v>
      </c>
    </row>
    <row r="3" customFormat="false" ht="15" hidden="false" customHeight="false" outlineLevel="0" collapsed="false">
      <c r="A3" s="0" t="s">
        <v>96</v>
      </c>
      <c r="B3" s="3" t="n">
        <v>629.7</v>
      </c>
    </row>
    <row r="4" customFormat="false" ht="15" hidden="false" customHeight="false" outlineLevel="0" collapsed="false">
      <c r="A4" s="0" t="s">
        <v>97</v>
      </c>
      <c r="B4" s="3" t="n">
        <v>612.1</v>
      </c>
    </row>
    <row r="5" customFormat="false" ht="15" hidden="false" customHeight="false" outlineLevel="0" collapsed="false">
      <c r="A5" s="0" t="s">
        <v>98</v>
      </c>
      <c r="B5" s="3" t="n">
        <v>0</v>
      </c>
    </row>
    <row r="6" customFormat="false" ht="15" hidden="false" customHeight="false" outlineLevel="0" collapsed="false">
      <c r="A6" s="0" t="s">
        <v>99</v>
      </c>
      <c r="B6" s="3" t="n">
        <v>15</v>
      </c>
    </row>
    <row r="7" customFormat="false" ht="15" hidden="false" customHeight="false" outlineLevel="0" collapsed="false">
      <c r="A7" s="0" t="s">
        <v>100</v>
      </c>
      <c r="B7" s="3" t="n">
        <v>10481.5</v>
      </c>
    </row>
    <row r="8" customFormat="false" ht="15" hidden="false" customHeight="false" outlineLevel="0" collapsed="false">
      <c r="A8" s="0" t="s">
        <v>101</v>
      </c>
      <c r="B8" s="3" t="s">
        <v>93</v>
      </c>
    </row>
    <row r="9" customFormat="false" ht="15" hidden="false" customHeight="false" outlineLevel="0" collapsed="false">
      <c r="A9" s="0" t="s">
        <v>102</v>
      </c>
      <c r="B9" s="3" t="s">
        <v>103</v>
      </c>
    </row>
    <row r="10" customFormat="false" ht="15" hidden="false" customHeight="false" outlineLevel="0" collapsed="false">
      <c r="A10" s="0" t="s">
        <v>104</v>
      </c>
      <c r="B10" s="3" t="n">
        <v>1</v>
      </c>
    </row>
    <row r="12" customFormat="false" ht="15" hidden="false" customHeight="false" outlineLevel="0" collapsed="false">
      <c r="A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  <c r="K12" s="2" t="s">
        <v>114</v>
      </c>
      <c r="L12" s="2" t="s">
        <v>115</v>
      </c>
    </row>
    <row r="13" customFormat="false" ht="15" hidden="false" customHeight="false" outlineLevel="0" collapsed="false">
      <c r="A13" s="0" t="s">
        <v>116</v>
      </c>
      <c r="C13" s="3" t="n">
        <v>-6</v>
      </c>
      <c r="D13" s="3" t="n">
        <v>-3</v>
      </c>
      <c r="E13" s="3" t="n">
        <v>-1</v>
      </c>
      <c r="F13" s="3" t="n">
        <v>0.5</v>
      </c>
      <c r="G13" s="3" t="n">
        <v>1.5</v>
      </c>
      <c r="H13" s="3" t="n">
        <v>1.5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117</v>
      </c>
      <c r="C14" s="3" t="n">
        <v>5.9</v>
      </c>
      <c r="D14" s="3" t="n">
        <v>5.85</v>
      </c>
      <c r="E14" s="3" t="n">
        <v>5.9</v>
      </c>
      <c r="F14" s="3" t="n">
        <v>6</v>
      </c>
      <c r="G14" s="3" t="n">
        <v>6.1</v>
      </c>
      <c r="H14" s="3" t="n">
        <v>6.15</v>
      </c>
      <c r="I14" s="3" t="n">
        <v>6.2</v>
      </c>
      <c r="J14" s="3" t="n">
        <v>6.25</v>
      </c>
      <c r="K14" s="3" t="n">
        <v>6.3</v>
      </c>
      <c r="L14" s="3" t="n">
        <v>6.3</v>
      </c>
    </row>
    <row r="15" customFormat="false" ht="15" hidden="false" customHeight="false" outlineLevel="0" collapsed="false">
      <c r="A15" s="0" t="s">
        <v>118</v>
      </c>
      <c r="C15" s="3" t="n">
        <v>0.035</v>
      </c>
      <c r="D15" s="3" t="n">
        <v>0.035</v>
      </c>
      <c r="E15" s="3" t="n">
        <v>0.035</v>
      </c>
      <c r="F15" s="3" t="n">
        <v>0.035</v>
      </c>
      <c r="G15" s="3" t="n">
        <v>0.035</v>
      </c>
      <c r="H15" s="3" t="n">
        <v>0.035</v>
      </c>
      <c r="I15" s="3" t="n">
        <v>0.035</v>
      </c>
      <c r="J15" s="3" t="n">
        <v>0.035</v>
      </c>
      <c r="K15" s="3" t="n">
        <v>0.035</v>
      </c>
      <c r="L15" s="3" t="n">
        <v>0.035</v>
      </c>
    </row>
    <row r="16" customFormat="false" ht="15" hidden="false" customHeight="false" outlineLevel="0" collapsed="false">
      <c r="A16" s="0" t="s">
        <v>119</v>
      </c>
      <c r="C16" s="3" t="n">
        <v>1.45</v>
      </c>
      <c r="D16" s="3" t="n">
        <v>1.5</v>
      </c>
      <c r="E16" s="3" t="n">
        <v>1.5</v>
      </c>
      <c r="F16" s="3" t="n">
        <v>1.5</v>
      </c>
      <c r="G16" s="3" t="n">
        <v>1.5</v>
      </c>
      <c r="H16" s="3" t="n">
        <v>1.5</v>
      </c>
      <c r="I16" s="3" t="n">
        <v>1.5</v>
      </c>
      <c r="J16" s="3" t="n">
        <v>1.5</v>
      </c>
      <c r="K16" s="3" t="n">
        <v>1.5</v>
      </c>
      <c r="L16" s="3" t="n">
        <v>1.5</v>
      </c>
    </row>
    <row r="17" customFormat="false" ht="15" hidden="false" customHeight="false" outlineLevel="0" collapsed="false">
      <c r="A17" s="0" t="s">
        <v>120</v>
      </c>
      <c r="C17" s="3" t="n">
        <v>3.25</v>
      </c>
      <c r="D17" s="3" t="n">
        <v>3.25</v>
      </c>
      <c r="E17" s="3" t="n">
        <v>3.2</v>
      </c>
      <c r="F17" s="3" t="n">
        <v>3.2</v>
      </c>
      <c r="G17" s="3" t="n">
        <v>3.15</v>
      </c>
      <c r="H17" s="3" t="n">
        <v>3.15</v>
      </c>
      <c r="I17" s="3" t="n">
        <v>3.1</v>
      </c>
      <c r="J17" s="3" t="n">
        <v>3.1</v>
      </c>
      <c r="K17" s="3" t="n">
        <v>3.1</v>
      </c>
      <c r="L17" s="3" t="n">
        <v>3.1</v>
      </c>
    </row>
    <row r="18" customFormat="false" ht="15" hidden="false" customHeight="false" outlineLevel="0" collapsed="false">
      <c r="A18" s="0" t="s">
        <v>121</v>
      </c>
      <c r="C18" s="3" t="n">
        <v>1.3</v>
      </c>
      <c r="D18" s="3" t="n">
        <v>1.5</v>
      </c>
      <c r="E18" s="3" t="n">
        <v>1.6</v>
      </c>
      <c r="F18" s="3" t="n">
        <v>1.8</v>
      </c>
      <c r="G18" s="3" t="n">
        <v>1.9</v>
      </c>
      <c r="H18" s="3" t="n">
        <v>2</v>
      </c>
      <c r="I18" s="3" t="n">
        <v>2</v>
      </c>
      <c r="J18" s="3" t="n">
        <v>2.1</v>
      </c>
      <c r="K18" s="3" t="n">
        <v>2.1</v>
      </c>
      <c r="L18" s="3" t="n">
        <v>2.1</v>
      </c>
    </row>
    <row r="19" customFormat="false" ht="15" hidden="false" customHeight="false" outlineLevel="0" collapsed="false">
      <c r="A19" s="0" t="s">
        <v>122</v>
      </c>
      <c r="C19" s="3" t="n">
        <v>26</v>
      </c>
      <c r="D19" s="3" t="n">
        <v>27</v>
      </c>
      <c r="E19" s="3" t="n">
        <v>28</v>
      </c>
      <c r="F19" s="3" t="n">
        <v>29</v>
      </c>
      <c r="G19" s="3" t="n">
        <v>30</v>
      </c>
      <c r="H19" s="3" t="n">
        <v>30</v>
      </c>
      <c r="I19" s="3" t="n">
        <v>30</v>
      </c>
      <c r="J19" s="3" t="n">
        <v>30</v>
      </c>
      <c r="K19" s="3" t="n">
        <v>30</v>
      </c>
      <c r="L19" s="3" t="n">
        <v>30</v>
      </c>
    </row>
    <row r="20" customFormat="false" ht="15" hidden="false" customHeight="false" outlineLevel="0" collapsed="false">
      <c r="A20" s="0" t="s">
        <v>123</v>
      </c>
      <c r="B20" s="3" t="n">
        <v>9.5</v>
      </c>
    </row>
    <row r="21" customFormat="false" ht="15" hidden="false" customHeight="false" outlineLevel="0" collapsed="false">
      <c r="A21" s="0" t="s">
        <v>124</v>
      </c>
      <c r="B21" s="3" t="n">
        <v>1.75</v>
      </c>
    </row>
    <row r="22" customFormat="false" ht="15" hidden="false" customHeight="false" outlineLevel="0" collapsed="false">
      <c r="A22" s="0" t="s">
        <v>125</v>
      </c>
      <c r="B22" s="3" t="n">
        <v>10</v>
      </c>
    </row>
    <row r="23" customFormat="false" ht="15" hidden="false" customHeight="false" outlineLevel="0" collapsed="false">
      <c r="A23" s="0" t="s">
        <v>126</v>
      </c>
      <c r="B23" s="3" t="n">
        <v>8</v>
      </c>
    </row>
    <row r="24" customFormat="false" ht="15" hidden="false" customHeight="false" outlineLevel="0" collapsed="false">
      <c r="A24" s="0" t="s">
        <v>127</v>
      </c>
      <c r="B24" s="3" t="n">
        <v>0.25</v>
      </c>
    </row>
    <row r="26" customFormat="false" ht="15" hidden="false" customHeight="false" outlineLevel="0" collapsed="false">
      <c r="A26" s="2" t="s">
        <v>128</v>
      </c>
      <c r="C26" s="2" t="s">
        <v>106</v>
      </c>
      <c r="D26" s="2" t="s">
        <v>107</v>
      </c>
      <c r="E26" s="2" t="s">
        <v>108</v>
      </c>
      <c r="F26" s="2" t="s">
        <v>109</v>
      </c>
      <c r="G26" s="2" t="s">
        <v>110</v>
      </c>
      <c r="H26" s="2" t="s">
        <v>111</v>
      </c>
      <c r="I26" s="2" t="s">
        <v>112</v>
      </c>
      <c r="J26" s="2" t="s">
        <v>113</v>
      </c>
      <c r="K26" s="2" t="s">
        <v>114</v>
      </c>
      <c r="L26" s="2" t="s">
        <v>115</v>
      </c>
    </row>
    <row r="27" customFormat="false" ht="15" hidden="false" customHeight="false" outlineLevel="0" collapsed="false">
      <c r="A27" s="0" t="s">
        <v>116</v>
      </c>
      <c r="C27" s="3" t="n">
        <v>-4.6</v>
      </c>
      <c r="D27" s="3" t="n">
        <v>-0.5</v>
      </c>
      <c r="E27" s="3" t="n">
        <v>2.5</v>
      </c>
      <c r="F27" s="3" t="n">
        <v>4</v>
      </c>
      <c r="G27" s="3" t="n">
        <v>4.5</v>
      </c>
      <c r="H27" s="3" t="n">
        <v>3.5</v>
      </c>
      <c r="I27" s="3" t="n">
        <v>3</v>
      </c>
      <c r="J27" s="3" t="n">
        <v>2.5</v>
      </c>
      <c r="K27" s="3" t="n">
        <v>2.25</v>
      </c>
      <c r="L27" s="3" t="n">
        <v>2.25</v>
      </c>
    </row>
    <row r="28" customFormat="false" ht="15" hidden="false" customHeight="false" outlineLevel="0" collapsed="false">
      <c r="A28" s="0" t="s">
        <v>117</v>
      </c>
      <c r="C28" s="3" t="n">
        <v>6.15</v>
      </c>
      <c r="D28" s="3" t="n">
        <v>6.25</v>
      </c>
      <c r="E28" s="3" t="n">
        <v>6.45</v>
      </c>
      <c r="F28" s="3" t="n">
        <v>6.65</v>
      </c>
      <c r="G28" s="3" t="n">
        <v>6.85</v>
      </c>
      <c r="H28" s="3" t="n">
        <v>6.95</v>
      </c>
      <c r="I28" s="3" t="n">
        <v>7.05</v>
      </c>
      <c r="J28" s="3" t="n">
        <v>7.1</v>
      </c>
      <c r="K28" s="3" t="n">
        <v>7.15</v>
      </c>
      <c r="L28" s="3" t="n">
        <v>7.2</v>
      </c>
    </row>
    <row r="29" customFormat="false" ht="15" hidden="false" customHeight="false" outlineLevel="0" collapsed="false">
      <c r="A29" s="0" t="s">
        <v>118</v>
      </c>
      <c r="C29" s="3" t="n">
        <v>0.035</v>
      </c>
      <c r="D29" s="3" t="n">
        <v>0.035</v>
      </c>
      <c r="E29" s="3" t="n">
        <v>0.035</v>
      </c>
      <c r="F29" s="3" t="n">
        <v>0.035</v>
      </c>
      <c r="G29" s="3" t="n">
        <v>0.035</v>
      </c>
      <c r="H29" s="3" t="n">
        <v>0.035</v>
      </c>
      <c r="I29" s="3" t="n">
        <v>0.035</v>
      </c>
      <c r="J29" s="3" t="n">
        <v>0.035</v>
      </c>
      <c r="K29" s="3" t="n">
        <v>0.035</v>
      </c>
      <c r="L29" s="3" t="n">
        <v>0.035</v>
      </c>
    </row>
    <row r="30" customFormat="false" ht="15" hidden="false" customHeight="false" outlineLevel="0" collapsed="false">
      <c r="A30" s="0" t="s">
        <v>119</v>
      </c>
      <c r="C30" s="3" t="n">
        <v>1.4</v>
      </c>
      <c r="D30" s="3" t="n">
        <v>1.4</v>
      </c>
      <c r="E30" s="3" t="n">
        <v>1.35</v>
      </c>
      <c r="F30" s="3" t="n">
        <v>1.35</v>
      </c>
      <c r="G30" s="3" t="n">
        <v>1.3</v>
      </c>
      <c r="H30" s="3" t="n">
        <v>1.3</v>
      </c>
      <c r="I30" s="3" t="n">
        <v>1.3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120</v>
      </c>
      <c r="C31" s="3" t="n">
        <v>3.2</v>
      </c>
      <c r="D31" s="3" t="n">
        <v>3.15</v>
      </c>
      <c r="E31" s="3" t="n">
        <v>3.1</v>
      </c>
      <c r="F31" s="3" t="n">
        <v>3.05</v>
      </c>
      <c r="G31" s="3" t="n">
        <v>3</v>
      </c>
      <c r="H31" s="3" t="n">
        <v>3</v>
      </c>
      <c r="I31" s="3" t="n">
        <v>3</v>
      </c>
      <c r="J31" s="3" t="n">
        <v>3</v>
      </c>
      <c r="K31" s="3" t="n">
        <v>3</v>
      </c>
      <c r="L31" s="3" t="n">
        <v>3</v>
      </c>
    </row>
    <row r="32" customFormat="false" ht="15" hidden="false" customHeight="false" outlineLevel="0" collapsed="false">
      <c r="A32" s="0" t="s">
        <v>121</v>
      </c>
      <c r="C32" s="3" t="n">
        <v>1.2</v>
      </c>
      <c r="D32" s="3" t="n">
        <v>1.3</v>
      </c>
      <c r="E32" s="3" t="n">
        <v>1.4</v>
      </c>
      <c r="F32" s="3" t="n">
        <v>1.5</v>
      </c>
      <c r="G32" s="3" t="n">
        <v>1.6</v>
      </c>
      <c r="H32" s="3" t="n">
        <v>1.7</v>
      </c>
      <c r="I32" s="3" t="n">
        <v>1.7</v>
      </c>
      <c r="J32" s="3" t="n">
        <v>1.8</v>
      </c>
      <c r="K32" s="3" t="n">
        <v>1.8</v>
      </c>
      <c r="L32" s="3" t="n">
        <v>1.8</v>
      </c>
    </row>
    <row r="33" customFormat="false" ht="15" hidden="false" customHeight="false" outlineLevel="0" collapsed="false">
      <c r="A33" s="0" t="s">
        <v>122</v>
      </c>
      <c r="C33" s="3" t="n">
        <v>24</v>
      </c>
      <c r="D33" s="3" t="n">
        <v>25</v>
      </c>
      <c r="E33" s="3" t="n">
        <v>26</v>
      </c>
      <c r="F33" s="3" t="n">
        <v>27</v>
      </c>
      <c r="G33" s="3" t="n">
        <v>28</v>
      </c>
      <c r="H33" s="3" t="n">
        <v>29</v>
      </c>
      <c r="I33" s="3" t="n">
        <v>30</v>
      </c>
      <c r="J33" s="3" t="n">
        <v>30</v>
      </c>
      <c r="K33" s="3" t="n">
        <v>30</v>
      </c>
      <c r="L33" s="3" t="n">
        <v>30</v>
      </c>
    </row>
    <row r="34" customFormat="false" ht="15" hidden="false" customHeight="false" outlineLevel="0" collapsed="false">
      <c r="A34" s="0" t="s">
        <v>123</v>
      </c>
      <c r="B34" s="3" t="n">
        <v>9.5</v>
      </c>
    </row>
    <row r="35" customFormat="false" ht="15" hidden="false" customHeight="false" outlineLevel="0" collapsed="false">
      <c r="A35" s="0" t="s">
        <v>124</v>
      </c>
      <c r="B35" s="3" t="n">
        <v>2.25</v>
      </c>
    </row>
    <row r="36" customFormat="false" ht="15" hidden="false" customHeight="false" outlineLevel="0" collapsed="false">
      <c r="A36" s="0" t="s">
        <v>125</v>
      </c>
      <c r="B36" s="3" t="n">
        <v>13</v>
      </c>
    </row>
    <row r="37" customFormat="false" ht="15" hidden="false" customHeight="false" outlineLevel="0" collapsed="false">
      <c r="A37" s="0" t="s">
        <v>126</v>
      </c>
      <c r="B37" s="3" t="n">
        <v>8</v>
      </c>
    </row>
    <row r="38" customFormat="false" ht="15" hidden="false" customHeight="false" outlineLevel="0" collapsed="false">
      <c r="A38" s="0" t="s">
        <v>127</v>
      </c>
      <c r="B38" s="3" t="n">
        <v>0.5</v>
      </c>
    </row>
    <row r="40" customFormat="false" ht="15" hidden="false" customHeight="false" outlineLevel="0" collapsed="false">
      <c r="A40" s="2" t="s">
        <v>129</v>
      </c>
      <c r="C40" s="2" t="s">
        <v>106</v>
      </c>
      <c r="D40" s="2" t="s">
        <v>107</v>
      </c>
      <c r="E40" s="2" t="s">
        <v>108</v>
      </c>
      <c r="F40" s="2" t="s">
        <v>109</v>
      </c>
      <c r="G40" s="2" t="s">
        <v>110</v>
      </c>
      <c r="H40" s="2" t="s">
        <v>111</v>
      </c>
      <c r="I40" s="2" t="s">
        <v>112</v>
      </c>
      <c r="J40" s="2" t="s">
        <v>113</v>
      </c>
      <c r="K40" s="2" t="s">
        <v>114</v>
      </c>
      <c r="L40" s="2" t="s">
        <v>115</v>
      </c>
    </row>
    <row r="41" customFormat="false" ht="15" hidden="false" customHeight="false" outlineLevel="0" collapsed="false">
      <c r="A41" s="0" t="s">
        <v>116</v>
      </c>
      <c r="C41" s="3" t="n">
        <v>-3</v>
      </c>
      <c r="D41" s="3" t="n">
        <v>1.5</v>
      </c>
      <c r="E41" s="3" t="n">
        <v>4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117</v>
      </c>
      <c r="C42" s="3" t="n">
        <v>6.3</v>
      </c>
      <c r="D42" s="3" t="n">
        <v>6.6</v>
      </c>
      <c r="E42" s="3" t="n">
        <v>7</v>
      </c>
      <c r="F42" s="3" t="n">
        <v>7.4</v>
      </c>
      <c r="G42" s="3" t="n">
        <v>7.8</v>
      </c>
      <c r="H42" s="3" t="n">
        <v>8</v>
      </c>
      <c r="I42" s="3" t="n">
        <v>8.1</v>
      </c>
      <c r="J42" s="3" t="n">
        <v>8.2</v>
      </c>
      <c r="K42" s="3" t="n">
        <v>8.2</v>
      </c>
      <c r="L42" s="3" t="n">
        <v>8.2</v>
      </c>
    </row>
    <row r="43" customFormat="false" ht="15" hidden="false" customHeight="false" outlineLevel="0" collapsed="false">
      <c r="A43" s="0" t="s">
        <v>118</v>
      </c>
      <c r="C43" s="3" t="n">
        <v>0.035</v>
      </c>
      <c r="D43" s="3" t="n">
        <v>0.035</v>
      </c>
      <c r="E43" s="3" t="n">
        <v>0.035</v>
      </c>
      <c r="F43" s="3" t="n">
        <v>0.035</v>
      </c>
      <c r="G43" s="3" t="n">
        <v>0.035</v>
      </c>
      <c r="H43" s="3" t="n">
        <v>0.035</v>
      </c>
      <c r="I43" s="3" t="n">
        <v>0.035</v>
      </c>
      <c r="J43" s="3" t="n">
        <v>0.035</v>
      </c>
      <c r="K43" s="3" t="n">
        <v>0.035</v>
      </c>
      <c r="L43" s="3" t="n">
        <v>0.035</v>
      </c>
    </row>
    <row r="44" customFormat="false" ht="15" hidden="false" customHeight="false" outlineLevel="0" collapsed="false">
      <c r="A44" s="0" t="s">
        <v>119</v>
      </c>
      <c r="C44" s="3" t="n">
        <v>1.35</v>
      </c>
      <c r="D44" s="3" t="n">
        <v>1.3</v>
      </c>
      <c r="E44" s="3" t="n">
        <v>1.3</v>
      </c>
      <c r="F44" s="3" t="n">
        <v>1.25</v>
      </c>
      <c r="G44" s="3" t="n">
        <v>1.25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120</v>
      </c>
      <c r="C45" s="3" t="n">
        <v>3.2</v>
      </c>
      <c r="D45" s="3" t="n">
        <v>3.1</v>
      </c>
      <c r="E45" s="3" t="n">
        <v>3</v>
      </c>
      <c r="F45" s="3" t="n">
        <v>2.95</v>
      </c>
      <c r="G45" s="3" t="n">
        <v>2.9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121</v>
      </c>
      <c r="C46" s="3" t="n">
        <v>1.2</v>
      </c>
      <c r="D46" s="3" t="n">
        <v>1.3</v>
      </c>
      <c r="E46" s="3" t="n">
        <v>1.4</v>
      </c>
      <c r="F46" s="3" t="n">
        <v>1.5</v>
      </c>
      <c r="G46" s="3" t="n">
        <v>1.6</v>
      </c>
      <c r="H46" s="3" t="n">
        <v>1.6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122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26</v>
      </c>
      <c r="H47" s="3" t="n">
        <v>27</v>
      </c>
      <c r="I47" s="3" t="n">
        <v>28</v>
      </c>
      <c r="J47" s="3" t="n">
        <v>29</v>
      </c>
      <c r="K47" s="3" t="n">
        <v>30</v>
      </c>
      <c r="L47" s="3" t="n">
        <v>30</v>
      </c>
    </row>
    <row r="48" customFormat="false" ht="15" hidden="false" customHeight="false" outlineLevel="0" collapsed="false">
      <c r="A48" s="0" t="s">
        <v>123</v>
      </c>
      <c r="B48" s="3" t="n">
        <v>9.5</v>
      </c>
    </row>
    <row r="49" customFormat="false" ht="15" hidden="false" customHeight="false" outlineLevel="0" collapsed="false">
      <c r="A49" s="0" t="s">
        <v>124</v>
      </c>
      <c r="B49" s="3" t="n">
        <v>2.5</v>
      </c>
    </row>
    <row r="50" customFormat="false" ht="15" hidden="false" customHeight="false" outlineLevel="0" collapsed="false">
      <c r="A50" s="0" t="s">
        <v>125</v>
      </c>
      <c r="B50" s="3" t="n">
        <v>15</v>
      </c>
    </row>
    <row r="51" customFormat="false" ht="15" hidden="false" customHeight="false" outlineLevel="0" collapsed="false">
      <c r="A51" s="0" t="s">
        <v>126</v>
      </c>
      <c r="B51" s="3" t="n">
        <v>8</v>
      </c>
    </row>
    <row r="52" customFormat="false" ht="15" hidden="false" customHeight="false" outlineLevel="0" collapsed="false">
      <c r="A52" s="0" t="s">
        <v>127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130</v>
      </c>
    </row>
    <row r="3" customFormat="false" ht="15" hidden="false" customHeight="false" outlineLevel="0" collapsed="false">
      <c r="A3" s="0" t="s">
        <v>131</v>
      </c>
      <c r="B3" s="0" t="s">
        <v>93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Assumptions!C13</f>
        <v>-6</v>
      </c>
      <c r="D5" s="4" t="n">
        <f aca="false">Assumptions!D13</f>
        <v>-3</v>
      </c>
      <c r="E5" s="4" t="n">
        <f aca="false">Assumptions!E13</f>
        <v>-1</v>
      </c>
      <c r="F5" s="4" t="n">
        <f aca="false">Assumptions!F13</f>
        <v>0.5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60</v>
      </c>
      <c r="B6" s="3" t="n">
        <v>10481.5</v>
      </c>
      <c r="C6" s="0" t="n">
        <f aca="false">B6*(1+C5/100)</f>
        <v>9852.61</v>
      </c>
      <c r="D6" s="0" t="n">
        <f aca="false">C6*(1+D5/100)</f>
        <v>9557.0317</v>
      </c>
      <c r="E6" s="0" t="n">
        <f aca="false">D6*(1+E5/100)</f>
        <v>9461.461383</v>
      </c>
      <c r="F6" s="0" t="n">
        <f aca="false">E6*(1+F5/100)</f>
        <v>9508.768689915</v>
      </c>
      <c r="G6" s="0" t="n">
        <f aca="false">F6*(1+G5/100)</f>
        <v>9651.40022026372</v>
      </c>
      <c r="H6" s="0" t="n">
        <f aca="false">G6*(1+H5/100)</f>
        <v>9796.17122356768</v>
      </c>
      <c r="I6" s="0" t="n">
        <f aca="false">H6*(1+I5/100)</f>
        <v>9992.09464803903</v>
      </c>
      <c r="J6" s="0" t="n">
        <f aca="false">I6*(1+J5/100)</f>
        <v>10191.9365409998</v>
      </c>
      <c r="K6" s="0" t="n">
        <f aca="false">J6*(1+K5/100)</f>
        <v>10395.7752718198</v>
      </c>
      <c r="L6" s="0" t="n">
        <f aca="false">K6*(1+L5/100)</f>
        <v>10603.6907772562</v>
      </c>
    </row>
    <row r="7" customFormat="false" ht="15" hidden="false" customHeight="false" outlineLevel="0" collapsed="false">
      <c r="A7" s="0" t="s">
        <v>117</v>
      </c>
      <c r="C7" s="4" t="n">
        <f aca="false">Assumptions!C14</f>
        <v>5.9</v>
      </c>
      <c r="D7" s="4" t="n">
        <f aca="false">Assumptions!D14</f>
        <v>5.85</v>
      </c>
      <c r="E7" s="4" t="n">
        <f aca="false">Assumptions!E14</f>
        <v>5.9</v>
      </c>
      <c r="F7" s="4" t="n">
        <f aca="false">Assumptions!F14</f>
        <v>6</v>
      </c>
      <c r="G7" s="4" t="n">
        <f aca="false">Assumptions!G14</f>
        <v>6.1</v>
      </c>
      <c r="H7" s="4" t="n">
        <f aca="false">Assumptions!H14</f>
        <v>6.15</v>
      </c>
      <c r="I7" s="4" t="n">
        <f aca="false">Assumptions!I14</f>
        <v>6.2</v>
      </c>
      <c r="J7" s="4" t="n">
        <f aca="false">Assumptions!J14</f>
        <v>6.25</v>
      </c>
      <c r="K7" s="4" t="n">
        <f aca="false">Assumptions!K14</f>
        <v>6.3</v>
      </c>
      <c r="L7" s="4" t="n">
        <f aca="false">Assumptions!L14</f>
        <v>6.3</v>
      </c>
    </row>
    <row r="8" customFormat="false" ht="15" hidden="false" customHeight="false" outlineLevel="0" collapsed="false">
      <c r="A8" s="0" t="s">
        <v>66</v>
      </c>
      <c r="C8" s="0" t="n">
        <f aca="false">C6*C7/100</f>
        <v>581.30399</v>
      </c>
      <c r="D8" s="0" t="n">
        <f aca="false">D6*D7/100</f>
        <v>559.08635445</v>
      </c>
      <c r="E8" s="0" t="n">
        <f aca="false">E6*E7/100</f>
        <v>558.226221597</v>
      </c>
      <c r="F8" s="0" t="n">
        <f aca="false">F6*F7/100</f>
        <v>570.5261213949</v>
      </c>
      <c r="G8" s="0" t="n">
        <f aca="false">G6*G7/100</f>
        <v>588.735413436087</v>
      </c>
      <c r="H8" s="0" t="n">
        <f aca="false">H6*H7/100</f>
        <v>602.464530249412</v>
      </c>
      <c r="I8" s="0" t="n">
        <f aca="false">I6*I7/100</f>
        <v>619.50986817842</v>
      </c>
      <c r="J8" s="0" t="n">
        <f aca="false">J6*J7/100</f>
        <v>636.996033812488</v>
      </c>
      <c r="K8" s="0" t="n">
        <f aca="false">K6*K7/100</f>
        <v>654.933842124648</v>
      </c>
      <c r="L8" s="0" t="n">
        <f aca="false">L6*L7/100</f>
        <v>668.032518967141</v>
      </c>
    </row>
    <row r="9" customFormat="false" ht="15" hidden="false" customHeight="false" outlineLevel="0" collapsed="false">
      <c r="A9" s="0" t="s">
        <v>118</v>
      </c>
      <c r="C9" s="4" t="n">
        <f aca="false">Assumptions!C15</f>
        <v>0.035</v>
      </c>
      <c r="D9" s="4" t="n">
        <f aca="false">Assumptions!D15</f>
        <v>0.035</v>
      </c>
      <c r="E9" s="4" t="n">
        <f aca="false">Assumptions!E15</f>
        <v>0.035</v>
      </c>
      <c r="F9" s="4" t="n">
        <f aca="false">Assumptions!F15</f>
        <v>0.035</v>
      </c>
      <c r="G9" s="4" t="n">
        <f aca="false">Assumptions!G15</f>
        <v>0.035</v>
      </c>
      <c r="H9" s="4" t="n">
        <f aca="false">Assumptions!H15</f>
        <v>0.035</v>
      </c>
      <c r="I9" s="4" t="n">
        <f aca="false">Assumptions!I15</f>
        <v>0.035</v>
      </c>
      <c r="J9" s="4" t="n">
        <f aca="false">Assumptions!J15</f>
        <v>0.035</v>
      </c>
      <c r="K9" s="4" t="n">
        <f aca="false">Assumptions!K15</f>
        <v>0.035</v>
      </c>
      <c r="L9" s="4" t="n">
        <f aca="false">Assumptions!L15</f>
        <v>0.035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-3.4484135</v>
      </c>
      <c r="D10" s="0" t="n">
        <f aca="false">-D6*D9/100</f>
        <v>-3.344961095</v>
      </c>
      <c r="E10" s="0" t="n">
        <f aca="false">-E6*E9/100</f>
        <v>-3.31151148405</v>
      </c>
      <c r="F10" s="0" t="n">
        <f aca="false">-F6*F9/100</f>
        <v>-3.32806904147025</v>
      </c>
      <c r="G10" s="0" t="n">
        <f aca="false">-G6*G9/100</f>
        <v>-3.3779900770923</v>
      </c>
      <c r="H10" s="0" t="n">
        <f aca="false">-H6*H9/100</f>
        <v>-3.42865992824869</v>
      </c>
      <c r="I10" s="0" t="n">
        <f aca="false">-I6*I9/100</f>
        <v>-3.49723312681366</v>
      </c>
      <c r="J10" s="0" t="n">
        <f aca="false">-J6*J9/100</f>
        <v>-3.56717778934993</v>
      </c>
      <c r="K10" s="0" t="n">
        <f aca="false">-K6*K9/100</f>
        <v>-3.63852134513693</v>
      </c>
      <c r="L10" s="0" t="n">
        <f aca="false">-L6*L9/100</f>
        <v>-3.71129177203967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434.9927315</v>
      </c>
      <c r="D11" s="0" t="n">
        <f aca="false">D8+D10+D24</f>
        <v>412.385917855</v>
      </c>
      <c r="E11" s="0" t="n">
        <f aca="false">E8+E10+E24</f>
        <v>412.99278936795</v>
      </c>
      <c r="F11" s="0" t="n">
        <f aca="false">F8+F10+F24</f>
        <v>424.566522004705</v>
      </c>
      <c r="G11" s="0" t="n">
        <f aca="false">G8+G10+G24</f>
        <v>440.586420055039</v>
      </c>
      <c r="H11" s="0" t="n">
        <f aca="false">H8+H10+H24</f>
        <v>452.093301967648</v>
      </c>
      <c r="I11" s="0" t="n">
        <f aca="false">I8+I10+I24</f>
        <v>466.131215331021</v>
      </c>
      <c r="J11" s="0" t="n">
        <f aca="false">J8+J10+J24</f>
        <v>480.549807908141</v>
      </c>
      <c r="K11" s="0" t="n">
        <f aca="false">K8+K10+K24</f>
        <v>495.358691702214</v>
      </c>
      <c r="L11" s="0" t="n">
        <f aca="false">L8+L10+L24</f>
        <v>505.265865536258</v>
      </c>
    </row>
    <row r="12" customFormat="false" ht="15" hidden="false" customHeight="false" outlineLevel="0" collapsed="false">
      <c r="A12" s="0" t="s">
        <v>135</v>
      </c>
      <c r="C12" s="4" t="n">
        <f aca="false">-C6*Assumptions!C17/100</f>
        <v>-320.209825</v>
      </c>
      <c r="D12" s="4" t="n">
        <f aca="false">-D6*Assumptions!D17/100</f>
        <v>-310.60353025</v>
      </c>
      <c r="E12" s="4" t="n">
        <f aca="false">-E6*Assumptions!E17/100</f>
        <v>-302.766764256</v>
      </c>
      <c r="F12" s="4" t="n">
        <f aca="false">-F6*Assumptions!F17/100</f>
        <v>-304.28059807728</v>
      </c>
      <c r="G12" s="4" t="n">
        <f aca="false">-G6*Assumptions!G17/100</f>
        <v>-304.019106938307</v>
      </c>
      <c r="H12" s="4" t="n">
        <f aca="false">-H6*Assumptions!H17/100</f>
        <v>-308.579393542382</v>
      </c>
      <c r="I12" s="4" t="n">
        <f aca="false">-I6*Assumptions!I17/100</f>
        <v>-309.75493408921</v>
      </c>
      <c r="J12" s="4" t="n">
        <f aca="false">-J6*Assumptions!J17/100</f>
        <v>-315.950032770994</v>
      </c>
      <c r="K12" s="4" t="n">
        <f aca="false">-K6*Assumptions!K17/100</f>
        <v>-322.269033426414</v>
      </c>
      <c r="L12" s="4" t="n">
        <f aca="false">-L6*Assumptions!L17/100</f>
        <v>-328.714414094942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114.7829065</v>
      </c>
      <c r="D13" s="0" t="n">
        <f aca="false">D11+D12</f>
        <v>101.782387605</v>
      </c>
      <c r="E13" s="0" t="n">
        <f aca="false">E11+E12</f>
        <v>110.22602511195</v>
      </c>
      <c r="F13" s="0" t="n">
        <f aca="false">F11+F12</f>
        <v>120.285923927425</v>
      </c>
      <c r="G13" s="0" t="n">
        <f aca="false">G11+G12</f>
        <v>136.567313116732</v>
      </c>
      <c r="H13" s="0" t="n">
        <f aca="false">H11+H12</f>
        <v>143.513908425267</v>
      </c>
      <c r="I13" s="0" t="n">
        <f aca="false">I11+I12</f>
        <v>156.376281241811</v>
      </c>
      <c r="J13" s="0" t="n">
        <f aca="false">J11+J12</f>
        <v>164.599775137147</v>
      </c>
      <c r="K13" s="0" t="n">
        <f aca="false">K11+K12</f>
        <v>173.0896582758</v>
      </c>
      <c r="L13" s="0" t="n">
        <f aca="false">L11+L12</f>
        <v>176.551451441316</v>
      </c>
    </row>
    <row r="14" customFormat="false" ht="15" hidden="false" customHeight="false" outlineLevel="0" collapsed="false">
      <c r="A14" s="0" t="s">
        <v>122</v>
      </c>
      <c r="C14" s="4" t="n">
        <f aca="false">Assumptions!C19</f>
        <v>26</v>
      </c>
      <c r="D14" s="4" t="n">
        <f aca="false">Assumptions!D19</f>
        <v>27</v>
      </c>
      <c r="E14" s="4" t="n">
        <f aca="false">Assumptions!E19</f>
        <v>28</v>
      </c>
      <c r="F14" s="4" t="n">
        <f aca="false">Assumptions!F19</f>
        <v>29</v>
      </c>
      <c r="G14" s="4" t="n">
        <f aca="false">Assumptions!G19</f>
        <v>30</v>
      </c>
      <c r="H14" s="4" t="n">
        <f aca="false">Assumptions!H19</f>
        <v>30</v>
      </c>
      <c r="I14" s="4" t="n">
        <f aca="false">Assumptions!I19</f>
        <v>30</v>
      </c>
      <c r="J14" s="4" t="n">
        <f aca="false">Assumptions!J19</f>
        <v>30</v>
      </c>
      <c r="K14" s="4" t="n">
        <f aca="false">Assumptions!K19</f>
        <v>30</v>
      </c>
      <c r="L14" s="4" t="n">
        <f aca="false">Assumptions!L19</f>
        <v>30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84.93935081</v>
      </c>
      <c r="D15" s="0" t="n">
        <f aca="false">D13-MAX(0,D13)*D14/100</f>
        <v>74.3011429516499</v>
      </c>
      <c r="E15" s="0" t="n">
        <f aca="false">E13-MAX(0,E13)*E14/100</f>
        <v>79.362738080604</v>
      </c>
      <c r="F15" s="0" t="n">
        <f aca="false">F13-MAX(0,F13)*F14/100</f>
        <v>85.4030059884716</v>
      </c>
      <c r="G15" s="0" t="n">
        <f aca="false">G13-MAX(0,G13)*G14/100</f>
        <v>95.5971191817122</v>
      </c>
      <c r="H15" s="0" t="n">
        <f aca="false">H13-MAX(0,H13)*H14/100</f>
        <v>100.459735897687</v>
      </c>
      <c r="I15" s="0" t="n">
        <f aca="false">I13-MAX(0,I13)*I14/100</f>
        <v>109.463396869268</v>
      </c>
      <c r="J15" s="0" t="n">
        <f aca="false">J13-MAX(0,J13)*J14/100</f>
        <v>115.219842596003</v>
      </c>
      <c r="K15" s="0" t="n">
        <f aca="false">K13-MAX(0,K13)*K14/100</f>
        <v>121.16276079306</v>
      </c>
      <c r="L15" s="0" t="n">
        <f aca="false">L13-MAX(0,L13)*L14/100</f>
        <v>123.586016008921</v>
      </c>
    </row>
    <row r="16" customFormat="false" ht="15" hidden="false" customHeight="false" outlineLevel="0" collapsed="false">
      <c r="A16" s="0" t="s">
        <v>138</v>
      </c>
      <c r="C16" s="0" t="n">
        <f aca="false">-C12</f>
        <v>320.209825</v>
      </c>
      <c r="D16" s="0" t="n">
        <f aca="false">-D12</f>
        <v>310.60353025</v>
      </c>
      <c r="E16" s="0" t="n">
        <f aca="false">-E12</f>
        <v>302.766764256</v>
      </c>
      <c r="F16" s="0" t="n">
        <f aca="false">-F12</f>
        <v>304.28059807728</v>
      </c>
      <c r="G16" s="0" t="n">
        <f aca="false">-G12</f>
        <v>304.019106938307</v>
      </c>
      <c r="H16" s="0" t="n">
        <f aca="false">-H12</f>
        <v>308.579393542382</v>
      </c>
      <c r="I16" s="0" t="n">
        <f aca="false">-I12</f>
        <v>309.75493408921</v>
      </c>
      <c r="J16" s="0" t="n">
        <f aca="false">-J12</f>
        <v>315.950032770994</v>
      </c>
      <c r="K16" s="0" t="n">
        <f aca="false">-K12</f>
        <v>322.269033426414</v>
      </c>
      <c r="L16" s="0" t="n">
        <f aca="false">-L12</f>
        <v>328.714414094942</v>
      </c>
    </row>
    <row r="17" customFormat="false" ht="15" hidden="false" customHeight="false" outlineLevel="0" collapsed="false">
      <c r="A17" s="0" t="s">
        <v>139</v>
      </c>
      <c r="C17" s="4" t="n">
        <f aca="false">-C6*Assumptions!C18/100</f>
        <v>-128.08393</v>
      </c>
      <c r="D17" s="4" t="n">
        <f aca="false">-D6*Assumptions!D18/100</f>
        <v>-143.3554755</v>
      </c>
      <c r="E17" s="4" t="n">
        <f aca="false">-E6*Assumptions!E18/100</f>
        <v>-151.383382128</v>
      </c>
      <c r="F17" s="4" t="n">
        <f aca="false">-F6*Assumptions!F18/100</f>
        <v>-171.15783641847</v>
      </c>
      <c r="G17" s="4" t="n">
        <f aca="false">-G6*Assumptions!G18/100</f>
        <v>-183.376604185011</v>
      </c>
      <c r="H17" s="4" t="n">
        <f aca="false">-H6*Assumptions!H18/100</f>
        <v>-195.923424471354</v>
      </c>
      <c r="I17" s="4" t="n">
        <f aca="false">-I6*Assumptions!I18/100</f>
        <v>-199.841892960781</v>
      </c>
      <c r="J17" s="4" t="n">
        <f aca="false">-J6*Assumptions!J18/100</f>
        <v>-214.030667360996</v>
      </c>
      <c r="K17" s="4" t="n">
        <f aca="false">-K6*Assumptions!K18/100</f>
        <v>-218.311280708216</v>
      </c>
      <c r="L17" s="4" t="n">
        <f aca="false">-L6*Assumptions!L18/100</f>
        <v>-222.67750632238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(C6-B6)*Assumptions!$B$23/100</f>
        <v>-50.3112000000001</v>
      </c>
      <c r="D18" s="4" t="n">
        <f aca="false">(D6-C6)*Assumptions!$B$23/100</f>
        <v>-23.6462640000001</v>
      </c>
      <c r="E18" s="4" t="n">
        <f aca="false">(E6-D6)*Assumptions!$B$23/100</f>
        <v>-7.64562535999998</v>
      </c>
      <c r="F18" s="4" t="n">
        <f aca="false">(F6-E6)*Assumptions!$B$23/100</f>
        <v>3.78458455319997</v>
      </c>
      <c r="G18" s="4" t="n">
        <f aca="false">(G6-F6)*Assumptions!$B$23/100</f>
        <v>11.410522427898</v>
      </c>
      <c r="H18" s="4" t="n">
        <f aca="false">(H6-G6)*Assumptions!$B$23/100</f>
        <v>11.5816802643164</v>
      </c>
      <c r="I18" s="4" t="n">
        <f aca="false">(I6-H6)*Assumptions!$B$23/100</f>
        <v>15.6738739577083</v>
      </c>
      <c r="J18" s="4" t="n">
        <f aca="false">(J6-I6)*Assumptions!$B$23/100</f>
        <v>15.9873514368625</v>
      </c>
      <c r="K18" s="4" t="n">
        <f aca="false">(K6-J6)*Assumptions!$B$23/100</f>
        <v>16.3070984655997</v>
      </c>
      <c r="L18" s="4" t="n">
        <f aca="false">(L6-K6)*Assumptions!$B$23/100</f>
        <v>16.6332404349117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226.75404581</v>
      </c>
      <c r="D19" s="0" t="n">
        <f aca="false">D15+D16+D17+D18</f>
        <v>217.90293370165</v>
      </c>
      <c r="E19" s="0" t="n">
        <f aca="false">E15+E16+E17+E18</f>
        <v>223.100494848604</v>
      </c>
      <c r="F19" s="0" t="n">
        <f aca="false">F15+F16+F17+F18</f>
        <v>222.310352200482</v>
      </c>
      <c r="G19" s="0" t="n">
        <f aca="false">G15+G16+G17+G18</f>
        <v>227.650144362907</v>
      </c>
      <c r="H19" s="0" t="n">
        <f aca="false">H15+H16+H17+H18</f>
        <v>224.697385233031</v>
      </c>
      <c r="I19" s="0" t="n">
        <f aca="false">I15+I16+I17+I18</f>
        <v>235.050311955405</v>
      </c>
      <c r="J19" s="0" t="n">
        <f aca="false">J15+J16+J17+J18</f>
        <v>233.126559442864</v>
      </c>
      <c r="K19" s="0" t="n">
        <f aca="false">K15+K16+K17+K18</f>
        <v>241.427611976858</v>
      </c>
      <c r="L19" s="0" t="n">
        <f aca="false">L15+L16+L17+L18</f>
        <v>246.256164216395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207.081320374429</v>
      </c>
      <c r="D21" s="0" t="n">
        <f aca="false">D19*D20</f>
        <v>181.733436501866</v>
      </c>
      <c r="E21" s="0" t="n">
        <f aca="false">E19*E20</f>
        <v>169.925351142784</v>
      </c>
      <c r="F21" s="0" t="n">
        <f aca="false">F19*F20</f>
        <v>154.633366165949</v>
      </c>
      <c r="G21" s="0" t="n">
        <f aca="false">G19*G20</f>
        <v>144.609669704728</v>
      </c>
      <c r="H21" s="0" t="n">
        <f aca="false">H19*H20</f>
        <v>130.350680745678</v>
      </c>
      <c r="I21" s="0" t="n">
        <f aca="false">I19*I20</f>
        <v>124.526561904218</v>
      </c>
      <c r="J21" s="0" t="n">
        <f aca="false">J19*J20</f>
        <v>112.792130721952</v>
      </c>
      <c r="K21" s="0" t="n">
        <f aca="false">K19*K20</f>
        <v>106.6743158211</v>
      </c>
      <c r="L21" s="0" t="n">
        <f aca="false">L19*L20</f>
        <v>99.3678558333537</v>
      </c>
    </row>
    <row r="23" customFormat="false" ht="15" hidden="false" customHeight="false" outlineLevel="0" collapsed="false">
      <c r="A23" s="0" t="s">
        <v>119</v>
      </c>
      <c r="C23" s="4" t="n">
        <f aca="false">Assumptions!C16</f>
        <v>1.45</v>
      </c>
      <c r="D23" s="4" t="n">
        <f aca="false">Assumptions!D16</f>
        <v>1.5</v>
      </c>
      <c r="E23" s="4" t="n">
        <f aca="false">Assumptions!E16</f>
        <v>1.5</v>
      </c>
      <c r="F23" s="4" t="n">
        <f aca="false">Assumptions!F16</f>
        <v>1.5</v>
      </c>
      <c r="G23" s="4" t="n">
        <f aca="false">Assumptions!G16</f>
        <v>1.5</v>
      </c>
      <c r="H23" s="4" t="n">
        <f aca="false">Assumptions!H16</f>
        <v>1.5</v>
      </c>
      <c r="I23" s="4" t="n">
        <f aca="false">Assumptions!I16</f>
        <v>1.5</v>
      </c>
      <c r="J23" s="4" t="n">
        <f aca="false">Assumptions!J16</f>
        <v>1.5</v>
      </c>
      <c r="K23" s="4" t="n">
        <f aca="false">Assumptions!K16</f>
        <v>1.5</v>
      </c>
      <c r="L23" s="4" t="n">
        <f aca="false">Assumptions!L16</f>
        <v>1.5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-142.862845</v>
      </c>
      <c r="D24" s="0" t="n">
        <f aca="false">-D6*D23/100</f>
        <v>-143.3554755</v>
      </c>
      <c r="E24" s="0" t="n">
        <f aca="false">-E6*E23/100</f>
        <v>-141.921920745</v>
      </c>
      <c r="F24" s="0" t="n">
        <f aca="false">-F6*F23/100</f>
        <v>-142.631530348725</v>
      </c>
      <c r="G24" s="0" t="n">
        <f aca="false">-G6*G23/100</f>
        <v>-144.771003303956</v>
      </c>
      <c r="H24" s="0" t="n">
        <f aca="false">-H6*H23/100</f>
        <v>-146.942568353515</v>
      </c>
      <c r="I24" s="0" t="n">
        <f aca="false">-I6*I23/100</f>
        <v>-149.881419720585</v>
      </c>
      <c r="J24" s="0" t="n">
        <f aca="false">-J6*J23/100</f>
        <v>-152.879048114997</v>
      </c>
      <c r="K24" s="0" t="n">
        <f aca="false">-K6*K23/100</f>
        <v>-155.936629077297</v>
      </c>
      <c r="L24" s="0" t="n">
        <f aca="false">-L6*L23/100</f>
        <v>-159.055361658843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124</v>
      </c>
      <c r="B28" s="4" t="n">
        <f aca="false">Assumptions!$B$21</f>
        <v>1.75</v>
      </c>
    </row>
    <row r="29" customFormat="false" ht="15" hidden="false" customHeight="false" outlineLevel="0" collapsed="false">
      <c r="A29" s="0" t="s">
        <v>125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1431.69468891606</v>
      </c>
    </row>
    <row r="31" customFormat="false" ht="15" hidden="false" customHeight="false" outlineLevel="0" collapsed="false">
      <c r="A31" s="0" t="s">
        <v>147</v>
      </c>
      <c r="B31" s="0" t="n">
        <f aca="false">L19</f>
        <v>246.256164216395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3233.10512374428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2462.56164216395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2462.56164216395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993.678558333537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2425.3732472496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1813.2732472496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2.87958273344385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-0.570852051647712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21.5948355757822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19.661498858935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2.94510017736114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1891.06148747307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1.58088309982008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161</v>
      </c>
    </row>
    <row r="3" customFormat="false" ht="15" hidden="false" customHeight="false" outlineLevel="0" collapsed="false">
      <c r="A3" s="0" t="s">
        <v>131</v>
      </c>
      <c r="B3" s="0" t="s">
        <v>93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Assumptions!C27</f>
        <v>-4.6</v>
      </c>
      <c r="D5" s="4" t="n">
        <f aca="false">Assumptions!D27</f>
        <v>-0.5</v>
      </c>
      <c r="E5" s="4" t="n">
        <f aca="false">Assumptions!E27</f>
        <v>2.5</v>
      </c>
      <c r="F5" s="4" t="n">
        <f aca="false">Assumptions!F27</f>
        <v>4</v>
      </c>
      <c r="G5" s="4" t="n">
        <f aca="false">Assumptions!G27</f>
        <v>4.5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2.25</v>
      </c>
      <c r="L5" s="4" t="n">
        <f aca="false">Assumptions!L27</f>
        <v>2.25</v>
      </c>
    </row>
    <row r="6" customFormat="false" ht="15" hidden="false" customHeight="false" outlineLevel="0" collapsed="false">
      <c r="A6" s="0" t="s">
        <v>60</v>
      </c>
      <c r="B6" s="3" t="n">
        <v>10481.5</v>
      </c>
      <c r="C6" s="0" t="n">
        <f aca="false">B6*(1+C5/100)</f>
        <v>9999.351</v>
      </c>
      <c r="D6" s="0" t="n">
        <f aca="false">C6*(1+D5/100)</f>
        <v>9949.354245</v>
      </c>
      <c r="E6" s="0" t="n">
        <f aca="false">D6*(1+E5/100)</f>
        <v>10198.088101125</v>
      </c>
      <c r="F6" s="0" t="n">
        <f aca="false">E6*(1+F5/100)</f>
        <v>10606.01162517</v>
      </c>
      <c r="G6" s="0" t="n">
        <f aca="false">F6*(1+G5/100)</f>
        <v>11083.2821483026</v>
      </c>
      <c r="H6" s="0" t="n">
        <f aca="false">G6*(1+H5/100)</f>
        <v>11471.1970234932</v>
      </c>
      <c r="I6" s="0" t="n">
        <f aca="false">H6*(1+I5/100)</f>
        <v>11815.332934198</v>
      </c>
      <c r="J6" s="0" t="n">
        <f aca="false">I6*(1+J5/100)</f>
        <v>12110.716257553</v>
      </c>
      <c r="K6" s="0" t="n">
        <f aca="false">J6*(1+K5/100)</f>
        <v>12383.2073733479</v>
      </c>
      <c r="L6" s="0" t="n">
        <f aca="false">K6*(1+L5/100)</f>
        <v>12661.8295392483</v>
      </c>
    </row>
    <row r="7" customFormat="false" ht="15" hidden="false" customHeight="false" outlineLevel="0" collapsed="false">
      <c r="A7" s="0" t="s">
        <v>117</v>
      </c>
      <c r="C7" s="4" t="n">
        <f aca="false">Assumptions!C28</f>
        <v>6.15</v>
      </c>
      <c r="D7" s="4" t="n">
        <f aca="false">Assumptions!D28</f>
        <v>6.25</v>
      </c>
      <c r="E7" s="4" t="n">
        <f aca="false">Assumptions!E28</f>
        <v>6.45</v>
      </c>
      <c r="F7" s="4" t="n">
        <f aca="false">Assumptions!F28</f>
        <v>6.65</v>
      </c>
      <c r="G7" s="4" t="n">
        <f aca="false">Assumptions!G28</f>
        <v>6.85</v>
      </c>
      <c r="H7" s="4" t="n">
        <f aca="false">Assumptions!H28</f>
        <v>6.95</v>
      </c>
      <c r="I7" s="4" t="n">
        <f aca="false">Assumptions!I28</f>
        <v>7.05</v>
      </c>
      <c r="J7" s="4" t="n">
        <f aca="false">Assumptions!J28</f>
        <v>7.1</v>
      </c>
      <c r="K7" s="4" t="n">
        <f aca="false">Assumptions!K28</f>
        <v>7.15</v>
      </c>
      <c r="L7" s="4" t="n">
        <f aca="false">Assumptions!L28</f>
        <v>7.2</v>
      </c>
    </row>
    <row r="8" customFormat="false" ht="15" hidden="false" customHeight="false" outlineLevel="0" collapsed="false">
      <c r="A8" s="0" t="s">
        <v>66</v>
      </c>
      <c r="C8" s="0" t="n">
        <f aca="false">C6*C7/100</f>
        <v>614.9600865</v>
      </c>
      <c r="D8" s="0" t="n">
        <f aca="false">D6*D7/100</f>
        <v>621.8346403125</v>
      </c>
      <c r="E8" s="0" t="n">
        <f aca="false">E6*E7/100</f>
        <v>657.776682522563</v>
      </c>
      <c r="F8" s="0" t="n">
        <f aca="false">F6*F7/100</f>
        <v>705.299773073805</v>
      </c>
      <c r="G8" s="0" t="n">
        <f aca="false">G6*G7/100</f>
        <v>759.204827158731</v>
      </c>
      <c r="H8" s="0" t="n">
        <f aca="false">H6*H7/100</f>
        <v>797.24819313278</v>
      </c>
      <c r="I8" s="0" t="n">
        <f aca="false">I6*I7/100</f>
        <v>832.980971860962</v>
      </c>
      <c r="J8" s="0" t="n">
        <f aca="false">J6*J7/100</f>
        <v>859.860854286262</v>
      </c>
      <c r="K8" s="0" t="n">
        <f aca="false">K6*K7/100</f>
        <v>885.399327194377</v>
      </c>
      <c r="L8" s="0" t="n">
        <f aca="false">L6*L7/100</f>
        <v>911.651726825874</v>
      </c>
    </row>
    <row r="9" customFormat="false" ht="15" hidden="false" customHeight="false" outlineLevel="0" collapsed="false">
      <c r="A9" s="0" t="s">
        <v>118</v>
      </c>
      <c r="C9" s="4" t="n">
        <f aca="false">Assumptions!C29</f>
        <v>0.035</v>
      </c>
      <c r="D9" s="4" t="n">
        <f aca="false">Assumptions!D29</f>
        <v>0.035</v>
      </c>
      <c r="E9" s="4" t="n">
        <f aca="false">Assumptions!E29</f>
        <v>0.035</v>
      </c>
      <c r="F9" s="4" t="n">
        <f aca="false">Assumptions!F29</f>
        <v>0.035</v>
      </c>
      <c r="G9" s="4" t="n">
        <f aca="false">Assumptions!G29</f>
        <v>0.035</v>
      </c>
      <c r="H9" s="4" t="n">
        <f aca="false">Assumptions!H29</f>
        <v>0.035</v>
      </c>
      <c r="I9" s="4" t="n">
        <f aca="false">Assumptions!I29</f>
        <v>0.035</v>
      </c>
      <c r="J9" s="4" t="n">
        <f aca="false">Assumptions!J29</f>
        <v>0.035</v>
      </c>
      <c r="K9" s="4" t="n">
        <f aca="false">Assumptions!K29</f>
        <v>0.035</v>
      </c>
      <c r="L9" s="4" t="n">
        <f aca="false">Assumptions!L29</f>
        <v>0.035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-3.49977285</v>
      </c>
      <c r="D10" s="0" t="n">
        <f aca="false">-D6*D9/100</f>
        <v>-3.48227398575</v>
      </c>
      <c r="E10" s="0" t="n">
        <f aca="false">-E6*E9/100</f>
        <v>-3.56933083539375</v>
      </c>
      <c r="F10" s="0" t="n">
        <f aca="false">-F6*F9/100</f>
        <v>-3.7121040688095</v>
      </c>
      <c r="G10" s="0" t="n">
        <f aca="false">-G6*G9/100</f>
        <v>-3.87914875190593</v>
      </c>
      <c r="H10" s="0" t="n">
        <f aca="false">-H6*H9/100</f>
        <v>-4.01491895822263</v>
      </c>
      <c r="I10" s="0" t="n">
        <f aca="false">-I6*I9/100</f>
        <v>-4.13536652696931</v>
      </c>
      <c r="J10" s="0" t="n">
        <f aca="false">-J6*J9/100</f>
        <v>-4.23875069014355</v>
      </c>
      <c r="K10" s="0" t="n">
        <f aca="false">-K6*K9/100</f>
        <v>-4.33412258067178</v>
      </c>
      <c r="L10" s="0" t="n">
        <f aca="false">-L6*L9/100</f>
        <v>-4.43164033873689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471.46939965</v>
      </c>
      <c r="D11" s="0" t="n">
        <f aca="false">D8+D10+D24</f>
        <v>479.06140689675</v>
      </c>
      <c r="E11" s="0" t="n">
        <f aca="false">E8+E10+E24</f>
        <v>516.533162321981</v>
      </c>
      <c r="F11" s="0" t="n">
        <f aca="false">F8+F10+F24</f>
        <v>558.406512065201</v>
      </c>
      <c r="G11" s="0" t="n">
        <f aca="false">G8+G10+G24</f>
        <v>611.243010478891</v>
      </c>
      <c r="H11" s="0" t="n">
        <f aca="false">H8+H10+H24</f>
        <v>644.107712869145</v>
      </c>
      <c r="I11" s="0" t="n">
        <f aca="false">I8+I10+I24</f>
        <v>675.246277189418</v>
      </c>
      <c r="J11" s="0" t="n">
        <f aca="false">J8+J10+J24</f>
        <v>704.238150376706</v>
      </c>
      <c r="K11" s="0" t="n">
        <f aca="false">K8+K10+K24</f>
        <v>726.275112446856</v>
      </c>
      <c r="L11" s="0" t="n">
        <f aca="false">L8+L10+L24</f>
        <v>748.947217246534</v>
      </c>
    </row>
    <row r="12" customFormat="false" ht="15" hidden="false" customHeight="false" outlineLevel="0" collapsed="false">
      <c r="A12" s="0" t="s">
        <v>135</v>
      </c>
      <c r="C12" s="4" t="n">
        <f aca="false">-C6*Assumptions!C31/100</f>
        <v>-319.979232</v>
      </c>
      <c r="D12" s="4" t="n">
        <f aca="false">-D6*Assumptions!D31/100</f>
        <v>-313.4046587175</v>
      </c>
      <c r="E12" s="4" t="n">
        <f aca="false">-E6*Assumptions!E31/100</f>
        <v>-316.140731134875</v>
      </c>
      <c r="F12" s="4" t="n">
        <f aca="false">-F6*Assumptions!F31/100</f>
        <v>-323.483354567685</v>
      </c>
      <c r="G12" s="4" t="n">
        <f aca="false">-G6*Assumptions!G31/100</f>
        <v>-332.498464449079</v>
      </c>
      <c r="H12" s="4" t="n">
        <f aca="false">-H6*Assumptions!H31/100</f>
        <v>-344.135910704797</v>
      </c>
      <c r="I12" s="4" t="n">
        <f aca="false">-I6*Assumptions!I31/100</f>
        <v>-354.459988025941</v>
      </c>
      <c r="J12" s="4" t="n">
        <f aca="false">-J6*Assumptions!J31/100</f>
        <v>-363.32148772659</v>
      </c>
      <c r="K12" s="4" t="n">
        <f aca="false">-K6*Assumptions!K31/100</f>
        <v>-371.496221200438</v>
      </c>
      <c r="L12" s="4" t="n">
        <f aca="false">-L6*Assumptions!L31/100</f>
        <v>-379.854886177448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151.49016765</v>
      </c>
      <c r="D13" s="0" t="n">
        <f aca="false">D11+D12</f>
        <v>165.65674817925</v>
      </c>
      <c r="E13" s="0" t="n">
        <f aca="false">E11+E12</f>
        <v>200.392431187106</v>
      </c>
      <c r="F13" s="0" t="n">
        <f aca="false">F11+F12</f>
        <v>234.923157497516</v>
      </c>
      <c r="G13" s="0" t="n">
        <f aca="false">G11+G12</f>
        <v>278.744546029812</v>
      </c>
      <c r="H13" s="0" t="n">
        <f aca="false">H11+H12</f>
        <v>299.971802164348</v>
      </c>
      <c r="I13" s="0" t="n">
        <f aca="false">I11+I12</f>
        <v>320.786289163477</v>
      </c>
      <c r="J13" s="0" t="n">
        <f aca="false">J11+J12</f>
        <v>340.916662650117</v>
      </c>
      <c r="K13" s="0" t="n">
        <f aca="false">K11+K12</f>
        <v>354.778891246418</v>
      </c>
      <c r="L13" s="0" t="n">
        <f aca="false">L11+L12</f>
        <v>369.092331069087</v>
      </c>
    </row>
    <row r="14" customFormat="false" ht="15" hidden="false" customHeight="false" outlineLevel="0" collapsed="false">
      <c r="A14" s="0" t="s">
        <v>122</v>
      </c>
      <c r="C14" s="4" t="n">
        <f aca="false">Assumptions!C33</f>
        <v>24</v>
      </c>
      <c r="D14" s="4" t="n">
        <f aca="false">Assumptions!D33</f>
        <v>25</v>
      </c>
      <c r="E14" s="4" t="n">
        <f aca="false">Assumptions!E33</f>
        <v>26</v>
      </c>
      <c r="F14" s="4" t="n">
        <f aca="false">Assumptions!F33</f>
        <v>27</v>
      </c>
      <c r="G14" s="4" t="n">
        <f aca="false">Assumptions!G33</f>
        <v>28</v>
      </c>
      <c r="H14" s="4" t="n">
        <f aca="false">Assumptions!H33</f>
        <v>29</v>
      </c>
      <c r="I14" s="4" t="n">
        <f aca="false">Assumptions!I33</f>
        <v>30</v>
      </c>
      <c r="J14" s="4" t="n">
        <f aca="false">Assumptions!J33</f>
        <v>30</v>
      </c>
      <c r="K14" s="4" t="n">
        <f aca="false">Assumptions!K33</f>
        <v>30</v>
      </c>
      <c r="L14" s="4" t="n">
        <f aca="false">Assumptions!L33</f>
        <v>30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115.132527414</v>
      </c>
      <c r="D15" s="0" t="n">
        <f aca="false">D13-MAX(0,D13)*D14/100</f>
        <v>124.242561134438</v>
      </c>
      <c r="E15" s="0" t="n">
        <f aca="false">E13-MAX(0,E13)*E14/100</f>
        <v>148.290399078459</v>
      </c>
      <c r="F15" s="0" t="n">
        <f aca="false">F13-MAX(0,F13)*F14/100</f>
        <v>171.493904973186</v>
      </c>
      <c r="G15" s="0" t="n">
        <f aca="false">G13-MAX(0,G13)*G14/100</f>
        <v>200.696073141464</v>
      </c>
      <c r="H15" s="0" t="n">
        <f aca="false">H13-MAX(0,H13)*H14/100</f>
        <v>212.979979536687</v>
      </c>
      <c r="I15" s="0" t="n">
        <f aca="false">I13-MAX(0,I13)*I14/100</f>
        <v>224.550402414434</v>
      </c>
      <c r="J15" s="0" t="n">
        <f aca="false">J13-MAX(0,J13)*J14/100</f>
        <v>238.641663855082</v>
      </c>
      <c r="K15" s="0" t="n">
        <f aca="false">K13-MAX(0,K13)*K14/100</f>
        <v>248.345223872493</v>
      </c>
      <c r="L15" s="0" t="n">
        <f aca="false">L13-MAX(0,L13)*L14/100</f>
        <v>258.364631748361</v>
      </c>
    </row>
    <row r="16" customFormat="false" ht="15" hidden="false" customHeight="false" outlineLevel="0" collapsed="false">
      <c r="A16" s="0" t="s">
        <v>138</v>
      </c>
      <c r="C16" s="0" t="n">
        <f aca="false">-C12</f>
        <v>319.979232</v>
      </c>
      <c r="D16" s="0" t="n">
        <f aca="false">-D12</f>
        <v>313.4046587175</v>
      </c>
      <c r="E16" s="0" t="n">
        <f aca="false">-E12</f>
        <v>316.140731134875</v>
      </c>
      <c r="F16" s="0" t="n">
        <f aca="false">-F12</f>
        <v>323.483354567685</v>
      </c>
      <c r="G16" s="0" t="n">
        <f aca="false">-G12</f>
        <v>332.498464449079</v>
      </c>
      <c r="H16" s="0" t="n">
        <f aca="false">-H12</f>
        <v>344.135910704797</v>
      </c>
      <c r="I16" s="0" t="n">
        <f aca="false">-I12</f>
        <v>354.459988025941</v>
      </c>
      <c r="J16" s="0" t="n">
        <f aca="false">-J12</f>
        <v>363.32148772659</v>
      </c>
      <c r="K16" s="0" t="n">
        <f aca="false">-K12</f>
        <v>371.496221200438</v>
      </c>
      <c r="L16" s="0" t="n">
        <f aca="false">-L12</f>
        <v>379.854886177448</v>
      </c>
    </row>
    <row r="17" customFormat="false" ht="15" hidden="false" customHeight="false" outlineLevel="0" collapsed="false">
      <c r="A17" s="0" t="s">
        <v>139</v>
      </c>
      <c r="C17" s="4" t="n">
        <f aca="false">-C6*Assumptions!C32/100</f>
        <v>-119.992212</v>
      </c>
      <c r="D17" s="4" t="n">
        <f aca="false">-D6*Assumptions!D32/100</f>
        <v>-129.341605185</v>
      </c>
      <c r="E17" s="4" t="n">
        <f aca="false">-E6*Assumptions!E32/100</f>
        <v>-142.77323341575</v>
      </c>
      <c r="F17" s="4" t="n">
        <f aca="false">-F6*Assumptions!F32/100</f>
        <v>-159.09017437755</v>
      </c>
      <c r="G17" s="4" t="n">
        <f aca="false">-G6*Assumptions!G32/100</f>
        <v>-177.332514372842</v>
      </c>
      <c r="H17" s="4" t="n">
        <f aca="false">-H6*Assumptions!H32/100</f>
        <v>-195.010349399385</v>
      </c>
      <c r="I17" s="4" t="n">
        <f aca="false">-I6*Assumptions!I32/100</f>
        <v>-200.860659881367</v>
      </c>
      <c r="J17" s="4" t="n">
        <f aca="false">-J6*Assumptions!J32/100</f>
        <v>-217.992892635954</v>
      </c>
      <c r="K17" s="4" t="n">
        <f aca="false">-K6*Assumptions!K32/100</f>
        <v>-222.897732720263</v>
      </c>
      <c r="L17" s="4" t="n">
        <f aca="false">-L6*Assumptions!L32/100</f>
        <v>-227.912931706469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(C6-B6)*Assumptions!$B$37/100</f>
        <v>-38.5719200000001</v>
      </c>
      <c r="D18" s="4" t="n">
        <f aca="false">(D6-C6)*Assumptions!$B$37/100</f>
        <v>-3.99974040000001</v>
      </c>
      <c r="E18" s="4" t="n">
        <f aca="false">(E6-D6)*Assumptions!$B$37/100</f>
        <v>19.89870849</v>
      </c>
      <c r="F18" s="4" t="n">
        <f aca="false">(F6-E6)*Assumptions!$B$37/100</f>
        <v>32.6338819236</v>
      </c>
      <c r="G18" s="4" t="n">
        <f aca="false">(G6-F6)*Assumptions!$B$37/100</f>
        <v>38.1816418506119</v>
      </c>
      <c r="H18" s="4" t="n">
        <f aca="false">(H6-G6)*Assumptions!$B$37/100</f>
        <v>31.0331900152474</v>
      </c>
      <c r="I18" s="4" t="n">
        <f aca="false">(I6-H6)*Assumptions!$B$37/100</f>
        <v>27.5308728563838</v>
      </c>
      <c r="J18" s="4" t="n">
        <f aca="false">(J6-I6)*Assumptions!$B$37/100</f>
        <v>23.630665868396</v>
      </c>
      <c r="K18" s="4" t="n">
        <f aca="false">(K6-J6)*Assumptions!$B$37/100</f>
        <v>21.7992892635953</v>
      </c>
      <c r="L18" s="4" t="n">
        <f aca="false">(L6-K6)*Assumptions!$B$37/100</f>
        <v>22.2897732720262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276.547627414</v>
      </c>
      <c r="D19" s="0" t="n">
        <f aca="false">D15+D16+D17+D18</f>
        <v>304.305874266938</v>
      </c>
      <c r="E19" s="0" t="n">
        <f aca="false">E15+E16+E17+E18</f>
        <v>341.556605287584</v>
      </c>
      <c r="F19" s="0" t="n">
        <f aca="false">F15+F16+F17+F18</f>
        <v>368.520967086921</v>
      </c>
      <c r="G19" s="0" t="n">
        <f aca="false">G15+G16+G17+G18</f>
        <v>394.043665068313</v>
      </c>
      <c r="H19" s="0" t="n">
        <f aca="false">H15+H16+H17+H18</f>
        <v>393.138730857347</v>
      </c>
      <c r="I19" s="0" t="n">
        <f aca="false">I15+I16+I17+I18</f>
        <v>405.680603415392</v>
      </c>
      <c r="J19" s="0" t="n">
        <f aca="false">J15+J16+J17+J18</f>
        <v>407.600924814113</v>
      </c>
      <c r="K19" s="0" t="n">
        <f aca="false">K15+K16+K17+K18</f>
        <v>418.743001616263</v>
      </c>
      <c r="L19" s="0" t="n">
        <f aca="false">L15+L16+L17+L18</f>
        <v>432.596359491366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252.554910880365</v>
      </c>
      <c r="D21" s="0" t="n">
        <f aca="false">D19*D20</f>
        <v>253.794436535466</v>
      </c>
      <c r="E21" s="0" t="n">
        <f aca="false">E19*E20</f>
        <v>260.147903876301</v>
      </c>
      <c r="F21" s="0" t="n">
        <f aca="false">F19*F20</f>
        <v>256.333711315392</v>
      </c>
      <c r="G21" s="0" t="n">
        <f aca="false">G19*G20</f>
        <v>250.307437380453</v>
      </c>
      <c r="H21" s="0" t="n">
        <f aca="false">H19*H20</f>
        <v>228.066299666106</v>
      </c>
      <c r="I21" s="0" t="n">
        <f aca="false">I19*I20</f>
        <v>214.924244746937</v>
      </c>
      <c r="J21" s="0" t="n">
        <f aca="false">J19*J20</f>
        <v>197.206945891937</v>
      </c>
      <c r="K21" s="0" t="n">
        <f aca="false">K19*K20</f>
        <v>185.020772216272</v>
      </c>
      <c r="L21" s="0" t="n">
        <f aca="false">L19*L20</f>
        <v>174.558768186603</v>
      </c>
    </row>
    <row r="23" customFormat="false" ht="15" hidden="false" customHeight="false" outlineLevel="0" collapsed="false">
      <c r="A23" s="0" t="s">
        <v>119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1.35</v>
      </c>
      <c r="F23" s="4" t="n">
        <f aca="false">Assumptions!F30</f>
        <v>1.35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-139.990914</v>
      </c>
      <c r="D24" s="0" t="n">
        <f aca="false">-D6*D23/100</f>
        <v>-139.29095943</v>
      </c>
      <c r="E24" s="0" t="n">
        <f aca="false">-E6*E23/100</f>
        <v>-137.674189365188</v>
      </c>
      <c r="F24" s="0" t="n">
        <f aca="false">-F6*F23/100</f>
        <v>-143.181156939795</v>
      </c>
      <c r="G24" s="0" t="n">
        <f aca="false">-G6*G23/100</f>
        <v>-144.082667927934</v>
      </c>
      <c r="H24" s="0" t="n">
        <f aca="false">-H6*H23/100</f>
        <v>-149.125561305412</v>
      </c>
      <c r="I24" s="0" t="n">
        <f aca="false">-I6*I23/100</f>
        <v>-153.599328144574</v>
      </c>
      <c r="J24" s="0" t="n">
        <f aca="false">-J6*J23/100</f>
        <v>-151.383953219412</v>
      </c>
      <c r="K24" s="0" t="n">
        <f aca="false">-K6*K23/100</f>
        <v>-154.790092166849</v>
      </c>
      <c r="L24" s="0" t="n">
        <f aca="false">-L6*L23/100</f>
        <v>-158.272869240603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124</v>
      </c>
      <c r="B28" s="4" t="n">
        <f aca="false">Assumptions!$B$35</f>
        <v>2.25</v>
      </c>
    </row>
    <row r="29" customFormat="false" ht="15" hidden="false" customHeight="false" outlineLevel="0" collapsed="false">
      <c r="A29" s="0" t="s">
        <v>125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2272.91543069583</v>
      </c>
    </row>
    <row r="31" customFormat="false" ht="15" hidden="false" customHeight="false" outlineLevel="0" collapsed="false">
      <c r="A31" s="0" t="s">
        <v>147</v>
      </c>
      <c r="B31" s="0" t="n">
        <f aca="false">L19</f>
        <v>432.596359491366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6101.10038041271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5623.75267338776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5623.75267338776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2269.26398642584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4542.17941712167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3930.07941712167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6.24119329382511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-0.0698668712630242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24.1392203862208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25.2202057450937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6.31957891575827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3469.25315748958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3.22200658488594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162</v>
      </c>
    </row>
    <row r="3" customFormat="false" ht="15" hidden="false" customHeight="false" outlineLevel="0" collapsed="false">
      <c r="A3" s="0" t="s">
        <v>131</v>
      </c>
      <c r="B3" s="0" t="s">
        <v>93</v>
      </c>
      <c r="C3" s="2" t="s">
        <v>106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</row>
    <row r="4" customFormat="false" ht="15" hidden="false" customHeight="false" outlineLevel="0" collapsed="false">
      <c r="A4" s="0" t="s">
        <v>132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116</v>
      </c>
      <c r="C5" s="4" t="n">
        <f aca="false">Assumptions!C41</f>
        <v>-3</v>
      </c>
      <c r="D5" s="4" t="n">
        <f aca="false">Assumptions!D41</f>
        <v>1.5</v>
      </c>
      <c r="E5" s="4" t="n">
        <f aca="false">Assumptions!E41</f>
        <v>4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60</v>
      </c>
      <c r="B6" s="3" t="n">
        <v>10481.5</v>
      </c>
      <c r="C6" s="0" t="n">
        <f aca="false">B6*(1+C5/100)</f>
        <v>10167.055</v>
      </c>
      <c r="D6" s="0" t="n">
        <f aca="false">C6*(1+D5/100)</f>
        <v>10319.560825</v>
      </c>
      <c r="E6" s="0" t="n">
        <f aca="false">D6*(1+E5/100)</f>
        <v>10732.343258</v>
      </c>
      <c r="F6" s="0" t="n">
        <f aca="false">E6*(1+F5/100)</f>
        <v>11268.9604209</v>
      </c>
      <c r="G6" s="0" t="n">
        <f aca="false">F6*(1+G5/100)</f>
        <v>11832.408441945</v>
      </c>
      <c r="H6" s="0" t="n">
        <f aca="false">G6*(1+H5/100)</f>
        <v>12364.8668218325</v>
      </c>
      <c r="I6" s="0" t="n">
        <f aca="false">H6*(1+I5/100)</f>
        <v>12859.4614947058</v>
      </c>
      <c r="J6" s="0" t="n">
        <f aca="false">I6*(1+J5/100)</f>
        <v>13309.5426470205</v>
      </c>
      <c r="K6" s="0" t="n">
        <f aca="false">J6*(1+K5/100)</f>
        <v>13708.8289264311</v>
      </c>
      <c r="L6" s="0" t="n">
        <f aca="false">K6*(1+L5/100)</f>
        <v>14120.0937942241</v>
      </c>
    </row>
    <row r="7" customFormat="false" ht="15" hidden="false" customHeight="false" outlineLevel="0" collapsed="false">
      <c r="A7" s="0" t="s">
        <v>117</v>
      </c>
      <c r="C7" s="4" t="n">
        <f aca="false">Assumptions!C42</f>
        <v>6.3</v>
      </c>
      <c r="D7" s="4" t="n">
        <f aca="false">Assumptions!D42</f>
        <v>6.6</v>
      </c>
      <c r="E7" s="4" t="n">
        <f aca="false">Assumptions!E42</f>
        <v>7</v>
      </c>
      <c r="F7" s="4" t="n">
        <f aca="false">Assumptions!F42</f>
        <v>7.4</v>
      </c>
      <c r="G7" s="4" t="n">
        <f aca="false">Assumptions!G42</f>
        <v>7.8</v>
      </c>
      <c r="H7" s="4" t="n">
        <f aca="false">Assumptions!H42</f>
        <v>8</v>
      </c>
      <c r="I7" s="4" t="n">
        <f aca="false">Assumptions!I42</f>
        <v>8.1</v>
      </c>
      <c r="J7" s="4" t="n">
        <f aca="false">Assumptions!J42</f>
        <v>8.2</v>
      </c>
      <c r="K7" s="4" t="n">
        <f aca="false">Assumptions!K42</f>
        <v>8.2</v>
      </c>
      <c r="L7" s="4" t="n">
        <f aca="false">Assumptions!L42</f>
        <v>8.2</v>
      </c>
    </row>
    <row r="8" customFormat="false" ht="15" hidden="false" customHeight="false" outlineLevel="0" collapsed="false">
      <c r="A8" s="0" t="s">
        <v>66</v>
      </c>
      <c r="C8" s="0" t="n">
        <f aca="false">C6*C7/100</f>
        <v>640.524465</v>
      </c>
      <c r="D8" s="0" t="n">
        <f aca="false">D6*D7/100</f>
        <v>681.09101445</v>
      </c>
      <c r="E8" s="0" t="n">
        <f aca="false">E6*E7/100</f>
        <v>751.26402806</v>
      </c>
      <c r="F8" s="0" t="n">
        <f aca="false">F6*F7/100</f>
        <v>833.9030711466</v>
      </c>
      <c r="G8" s="0" t="n">
        <f aca="false">G6*G7/100</f>
        <v>922.92785847171</v>
      </c>
      <c r="H8" s="0" t="n">
        <f aca="false">H6*H7/100</f>
        <v>989.189345746602</v>
      </c>
      <c r="I8" s="0" t="n">
        <f aca="false">I6*I7/100</f>
        <v>1041.61638107117</v>
      </c>
      <c r="J8" s="0" t="n">
        <f aca="false">J6*J7/100</f>
        <v>1091.38249705568</v>
      </c>
      <c r="K8" s="0" t="n">
        <f aca="false">K6*K7/100</f>
        <v>1124.12397196735</v>
      </c>
      <c r="L8" s="0" t="n">
        <f aca="false">L6*L7/100</f>
        <v>1157.84769112637</v>
      </c>
    </row>
    <row r="9" customFormat="false" ht="15" hidden="false" customHeight="false" outlineLevel="0" collapsed="false">
      <c r="A9" s="0" t="s">
        <v>118</v>
      </c>
      <c r="C9" s="4" t="n">
        <f aca="false">Assumptions!C43</f>
        <v>0.035</v>
      </c>
      <c r="D9" s="4" t="n">
        <f aca="false">Assumptions!D43</f>
        <v>0.035</v>
      </c>
      <c r="E9" s="4" t="n">
        <f aca="false">Assumptions!E43</f>
        <v>0.035</v>
      </c>
      <c r="F9" s="4" t="n">
        <f aca="false">Assumptions!F43</f>
        <v>0.035</v>
      </c>
      <c r="G9" s="4" t="n">
        <f aca="false">Assumptions!G43</f>
        <v>0.035</v>
      </c>
      <c r="H9" s="4" t="n">
        <f aca="false">Assumptions!H43</f>
        <v>0.035</v>
      </c>
      <c r="I9" s="4" t="n">
        <f aca="false">Assumptions!I43</f>
        <v>0.035</v>
      </c>
      <c r="J9" s="4" t="n">
        <f aca="false">Assumptions!J43</f>
        <v>0.035</v>
      </c>
      <c r="K9" s="4" t="n">
        <f aca="false">Assumptions!K43</f>
        <v>0.035</v>
      </c>
      <c r="L9" s="4" t="n">
        <f aca="false">Assumptions!L43</f>
        <v>0.035</v>
      </c>
    </row>
    <row r="10" customFormat="false" ht="15" hidden="false" customHeight="false" outlineLevel="0" collapsed="false">
      <c r="A10" s="0" t="s">
        <v>133</v>
      </c>
      <c r="C10" s="0" t="n">
        <f aca="false">-C6*C9/100</f>
        <v>-3.55846925</v>
      </c>
      <c r="D10" s="0" t="n">
        <f aca="false">-D6*D9/100</f>
        <v>-3.61184628875</v>
      </c>
      <c r="E10" s="0" t="n">
        <f aca="false">-E6*E9/100</f>
        <v>-3.7563201403</v>
      </c>
      <c r="F10" s="0" t="n">
        <f aca="false">-F6*F9/100</f>
        <v>-3.944136147315</v>
      </c>
      <c r="G10" s="0" t="n">
        <f aca="false">-G6*G9/100</f>
        <v>-4.14134295468075</v>
      </c>
      <c r="H10" s="0" t="n">
        <f aca="false">-H6*H9/100</f>
        <v>-4.32770338764138</v>
      </c>
      <c r="I10" s="0" t="n">
        <f aca="false">-I6*I9/100</f>
        <v>-4.50081152314704</v>
      </c>
      <c r="J10" s="0" t="n">
        <f aca="false">-J6*J9/100</f>
        <v>-4.65833992645719</v>
      </c>
      <c r="K10" s="0" t="n">
        <f aca="false">-K6*K9/100</f>
        <v>-4.7980901242509</v>
      </c>
      <c r="L10" s="0" t="n">
        <f aca="false">-L6*L9/100</f>
        <v>-4.94203282797843</v>
      </c>
    </row>
    <row r="11" customFormat="false" ht="15" hidden="false" customHeight="false" outlineLevel="0" collapsed="false">
      <c r="A11" s="0" t="s">
        <v>134</v>
      </c>
      <c r="C11" s="0" t="n">
        <f aca="false">C8+C10+C24</f>
        <v>499.71075325</v>
      </c>
      <c r="D11" s="0" t="n">
        <f aca="false">D8+D10+D24</f>
        <v>543.32487743625</v>
      </c>
      <c r="E11" s="0" t="n">
        <f aca="false">E8+E10+E24</f>
        <v>607.9872455657</v>
      </c>
      <c r="F11" s="0" t="n">
        <f aca="false">F8+F10+F24</f>
        <v>689.096929738035</v>
      </c>
      <c r="G11" s="0" t="n">
        <f aca="false">G8+G10+G24</f>
        <v>770.881409992717</v>
      </c>
      <c r="H11" s="0" t="n">
        <f aca="false">H8+H10+H24</f>
        <v>836.48324049697</v>
      </c>
      <c r="I11" s="0" t="n">
        <f aca="false">I8+I10+I24</f>
        <v>882.802031611555</v>
      </c>
      <c r="J11" s="0" t="n">
        <f aca="false">J8+J10+J24</f>
        <v>927.00964536498</v>
      </c>
      <c r="K11" s="0" t="n">
        <f aca="false">K8+K10+K24</f>
        <v>954.819934725929</v>
      </c>
      <c r="L11" s="0" t="n">
        <f aca="false">L8+L10+L24</f>
        <v>983.464532767707</v>
      </c>
    </row>
    <row r="12" customFormat="false" ht="15" hidden="false" customHeight="false" outlineLevel="0" collapsed="false">
      <c r="A12" s="0" t="s">
        <v>135</v>
      </c>
      <c r="C12" s="4" t="n">
        <f aca="false">-C6*Assumptions!C45/100</f>
        <v>-325.34576</v>
      </c>
      <c r="D12" s="4" t="n">
        <f aca="false">-D6*Assumptions!D45/100</f>
        <v>-319.906385575</v>
      </c>
      <c r="E12" s="4" t="n">
        <f aca="false">-E6*Assumptions!E45/100</f>
        <v>-321.97029774</v>
      </c>
      <c r="F12" s="4" t="n">
        <f aca="false">-F6*Assumptions!F45/100</f>
        <v>-332.43433241655</v>
      </c>
      <c r="G12" s="4" t="n">
        <f aca="false">-G6*Assumptions!G45/100</f>
        <v>-343.139844816405</v>
      </c>
      <c r="H12" s="4" t="n">
        <f aca="false">-H6*Assumptions!H45/100</f>
        <v>-358.581137833143</v>
      </c>
      <c r="I12" s="4" t="n">
        <f aca="false">-I6*Assumptions!I45/100</f>
        <v>-372.924383346469</v>
      </c>
      <c r="J12" s="4" t="n">
        <f aca="false">-J6*Assumptions!J45/100</f>
        <v>-385.976736763595</v>
      </c>
      <c r="K12" s="4" t="n">
        <f aca="false">-K6*Assumptions!K45/100</f>
        <v>-397.556038866503</v>
      </c>
      <c r="L12" s="4" t="n">
        <f aca="false">-L6*Assumptions!L45/100</f>
        <v>-409.482720032498</v>
      </c>
    </row>
    <row r="13" customFormat="false" ht="15" hidden="false" customHeight="false" outlineLevel="0" collapsed="false">
      <c r="A13" s="0" t="s">
        <v>136</v>
      </c>
      <c r="C13" s="0" t="n">
        <f aca="false">C11+C12</f>
        <v>174.36499325</v>
      </c>
      <c r="D13" s="0" t="n">
        <f aca="false">D11+D12</f>
        <v>223.41849186125</v>
      </c>
      <c r="E13" s="0" t="n">
        <f aca="false">E11+E12</f>
        <v>286.0169478257</v>
      </c>
      <c r="F13" s="0" t="n">
        <f aca="false">F11+F12</f>
        <v>356.662597321485</v>
      </c>
      <c r="G13" s="0" t="n">
        <f aca="false">G11+G12</f>
        <v>427.741565176312</v>
      </c>
      <c r="H13" s="0" t="n">
        <f aca="false">H11+H12</f>
        <v>477.902102663827</v>
      </c>
      <c r="I13" s="0" t="n">
        <f aca="false">I11+I12</f>
        <v>509.877648265086</v>
      </c>
      <c r="J13" s="0" t="n">
        <f aca="false">J11+J12</f>
        <v>541.032908601385</v>
      </c>
      <c r="K13" s="0" t="n">
        <f aca="false">K11+K12</f>
        <v>557.263895859426</v>
      </c>
      <c r="L13" s="0" t="n">
        <f aca="false">L11+L12</f>
        <v>573.981812735209</v>
      </c>
    </row>
    <row r="14" customFormat="false" ht="15" hidden="false" customHeight="false" outlineLevel="0" collapsed="false">
      <c r="A14" s="0" t="s">
        <v>122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26</v>
      </c>
      <c r="H14" s="4" t="n">
        <f aca="false">Assumptions!H47</f>
        <v>27</v>
      </c>
      <c r="I14" s="4" t="n">
        <f aca="false">Assumptions!I47</f>
        <v>28</v>
      </c>
      <c r="J14" s="4" t="n">
        <f aca="false">Assumptions!J47</f>
        <v>29</v>
      </c>
      <c r="K14" s="4" t="n">
        <f aca="false">Assumptions!K47</f>
        <v>30</v>
      </c>
      <c r="L14" s="4" t="n">
        <f aca="false">Assumptions!L47</f>
        <v>30</v>
      </c>
    </row>
    <row r="15" customFormat="false" ht="15" hidden="false" customHeight="false" outlineLevel="0" collapsed="false">
      <c r="A15" s="0" t="s">
        <v>137</v>
      </c>
      <c r="C15" s="0" t="n">
        <f aca="false">C13-MAX(0,C13)*C14/100</f>
        <v>136.004694735</v>
      </c>
      <c r="D15" s="0" t="n">
        <f aca="false">D13-MAX(0,D13)*D14/100</f>
        <v>172.032238733162</v>
      </c>
      <c r="E15" s="0" t="n">
        <f aca="false">E13-MAX(0,E13)*E14/100</f>
        <v>217.372880347532</v>
      </c>
      <c r="F15" s="0" t="n">
        <f aca="false">F13-MAX(0,F13)*F14/100</f>
        <v>267.496947991114</v>
      </c>
      <c r="G15" s="0" t="n">
        <f aca="false">G13-MAX(0,G13)*G14/100</f>
        <v>316.528758230471</v>
      </c>
      <c r="H15" s="0" t="n">
        <f aca="false">H13-MAX(0,H13)*H14/100</f>
        <v>348.868534944594</v>
      </c>
      <c r="I15" s="0" t="n">
        <f aca="false">I13-MAX(0,I13)*I14/100</f>
        <v>367.111906750862</v>
      </c>
      <c r="J15" s="0" t="n">
        <f aca="false">J13-MAX(0,J13)*J14/100</f>
        <v>384.133365106983</v>
      </c>
      <c r="K15" s="0" t="n">
        <f aca="false">K13-MAX(0,K13)*K14/100</f>
        <v>390.084727101598</v>
      </c>
      <c r="L15" s="0" t="n">
        <f aca="false">L13-MAX(0,L13)*L14/100</f>
        <v>401.787268914646</v>
      </c>
    </row>
    <row r="16" customFormat="false" ht="15" hidden="false" customHeight="false" outlineLevel="0" collapsed="false">
      <c r="A16" s="0" t="s">
        <v>138</v>
      </c>
      <c r="C16" s="0" t="n">
        <f aca="false">-C12</f>
        <v>325.34576</v>
      </c>
      <c r="D16" s="0" t="n">
        <f aca="false">-D12</f>
        <v>319.906385575</v>
      </c>
      <c r="E16" s="0" t="n">
        <f aca="false">-E12</f>
        <v>321.97029774</v>
      </c>
      <c r="F16" s="0" t="n">
        <f aca="false">-F12</f>
        <v>332.43433241655</v>
      </c>
      <c r="G16" s="0" t="n">
        <f aca="false">-G12</f>
        <v>343.139844816405</v>
      </c>
      <c r="H16" s="0" t="n">
        <f aca="false">-H12</f>
        <v>358.581137833143</v>
      </c>
      <c r="I16" s="0" t="n">
        <f aca="false">-I12</f>
        <v>372.924383346469</v>
      </c>
      <c r="J16" s="0" t="n">
        <f aca="false">-J12</f>
        <v>385.976736763595</v>
      </c>
      <c r="K16" s="0" t="n">
        <f aca="false">-K12</f>
        <v>397.556038866503</v>
      </c>
      <c r="L16" s="0" t="n">
        <f aca="false">-L12</f>
        <v>409.482720032498</v>
      </c>
    </row>
    <row r="17" customFormat="false" ht="15" hidden="false" customHeight="false" outlineLevel="0" collapsed="false">
      <c r="A17" s="0" t="s">
        <v>139</v>
      </c>
      <c r="C17" s="4" t="n">
        <f aca="false">-C6*Assumptions!C46/100</f>
        <v>-122.00466</v>
      </c>
      <c r="D17" s="4" t="n">
        <f aca="false">-D6*Assumptions!D46/100</f>
        <v>-134.154290725</v>
      </c>
      <c r="E17" s="4" t="n">
        <f aca="false">-E6*Assumptions!E46/100</f>
        <v>-150.252805612</v>
      </c>
      <c r="F17" s="4" t="n">
        <f aca="false">-F6*Assumptions!F46/100</f>
        <v>-169.0344063135</v>
      </c>
      <c r="G17" s="4" t="n">
        <f aca="false">-G6*Assumptions!G46/100</f>
        <v>-189.31853507112</v>
      </c>
      <c r="H17" s="4" t="n">
        <f aca="false">-H6*Assumptions!H46/100</f>
        <v>-197.83786914932</v>
      </c>
      <c r="I17" s="4" t="n">
        <f aca="false">-I6*Assumptions!I46/100</f>
        <v>-218.610845409999</v>
      </c>
      <c r="J17" s="4" t="n">
        <f aca="false">-J6*Assumptions!J46/100</f>
        <v>-226.262224999349</v>
      </c>
      <c r="K17" s="4" t="n">
        <f aca="false">-K6*Assumptions!K46/100</f>
        <v>-233.050091749329</v>
      </c>
      <c r="L17" s="4" t="n">
        <f aca="false">-L6*Assumptions!L46/100</f>
        <v>-240.041594501809</v>
      </c>
    </row>
    <row r="18" customFormat="false" ht="15" hidden="false" customHeight="false" outlineLevel="0" collapsed="false">
      <c r="A18" s="0" t="s">
        <v>140</v>
      </c>
      <c r="C18" s="4" t="n">
        <f aca="false">(C6-B6)*Assumptions!$B$51/100</f>
        <v>-25.1556</v>
      </c>
      <c r="D18" s="4" t="n">
        <f aca="false">(D6-C6)*Assumptions!$B$51/100</f>
        <v>12.2004659999999</v>
      </c>
      <c r="E18" s="4" t="n">
        <f aca="false">(E6-D6)*Assumptions!$B$51/100</f>
        <v>33.02259464</v>
      </c>
      <c r="F18" s="4" t="n">
        <f aca="false">(F6-E6)*Assumptions!$B$51/100</f>
        <v>42.929373032</v>
      </c>
      <c r="G18" s="4" t="n">
        <f aca="false">(G6-F6)*Assumptions!$B$51/100</f>
        <v>45.0758416836</v>
      </c>
      <c r="H18" s="4" t="n">
        <f aca="false">(H6-G6)*Assumptions!$B$51/100</f>
        <v>42.596670391002</v>
      </c>
      <c r="I18" s="4" t="n">
        <f aca="false">(I6-H6)*Assumptions!$B$51/100</f>
        <v>39.5675738298641</v>
      </c>
      <c r="J18" s="4" t="n">
        <f aca="false">(J6-I6)*Assumptions!$B$51/100</f>
        <v>36.0064921851762</v>
      </c>
      <c r="K18" s="4" t="n">
        <f aca="false">(K6-J6)*Assumptions!$B$51/100</f>
        <v>31.9429023528493</v>
      </c>
      <c r="L18" s="4" t="n">
        <f aca="false">(L6-K6)*Assumptions!$B$51/100</f>
        <v>32.9011894234348</v>
      </c>
    </row>
    <row r="19" customFormat="false" ht="15" hidden="false" customHeight="false" outlineLevel="0" collapsed="false">
      <c r="A19" s="0" t="s">
        <v>141</v>
      </c>
      <c r="C19" s="0" t="n">
        <f aca="false">C15+C16+C17+C18</f>
        <v>314.190194735</v>
      </c>
      <c r="D19" s="0" t="n">
        <f aca="false">D15+D16+D17+D18</f>
        <v>369.984799583162</v>
      </c>
      <c r="E19" s="0" t="n">
        <f aca="false">E15+E16+E17+E18</f>
        <v>422.112967115532</v>
      </c>
      <c r="F19" s="0" t="n">
        <f aca="false">F15+F16+F17+F18</f>
        <v>473.826247126164</v>
      </c>
      <c r="G19" s="0" t="n">
        <f aca="false">G15+G16+G17+G18</f>
        <v>515.425909659356</v>
      </c>
      <c r="H19" s="0" t="n">
        <f aca="false">H15+H16+H17+H18</f>
        <v>552.208474019419</v>
      </c>
      <c r="I19" s="0" t="n">
        <f aca="false">I15+I16+I17+I18</f>
        <v>560.993018517196</v>
      </c>
      <c r="J19" s="0" t="n">
        <f aca="false">J15+J16+J17+J18</f>
        <v>579.854369056405</v>
      </c>
      <c r="K19" s="0" t="n">
        <f aca="false">K15+K16+K17+K18</f>
        <v>586.533576571621</v>
      </c>
      <c r="L19" s="0" t="n">
        <f aca="false">L15+L16+L17+L18</f>
        <v>604.12958386877</v>
      </c>
    </row>
    <row r="20" customFormat="false" ht="15" hidden="false" customHeight="false" outlineLevel="0" collapsed="false">
      <c r="A20" s="0" t="s">
        <v>142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143</v>
      </c>
      <c r="C21" s="0" t="n">
        <f aca="false">C19*C20</f>
        <v>286.931684689498</v>
      </c>
      <c r="D21" s="0" t="n">
        <f aca="false">D19*D20</f>
        <v>308.571380566012</v>
      </c>
      <c r="E21" s="0" t="n">
        <f aca="false">E19*E20</f>
        <v>321.503967114477</v>
      </c>
      <c r="F21" s="0" t="n">
        <f aca="false">F19*F20</f>
        <v>329.581357078785</v>
      </c>
      <c r="G21" s="0" t="n">
        <f aca="false">G19*G20</f>
        <v>327.412797218692</v>
      </c>
      <c r="H21" s="0" t="n">
        <f aca="false">H19*H20</f>
        <v>320.345296529877</v>
      </c>
      <c r="I21" s="0" t="n">
        <f aca="false">I19*I20</f>
        <v>297.206718285359</v>
      </c>
      <c r="J21" s="0" t="n">
        <f aca="false">J19*J20</f>
        <v>280.547227010978</v>
      </c>
      <c r="K21" s="0" t="n">
        <f aca="false">K19*K20</f>
        <v>259.158707964515</v>
      </c>
      <c r="L21" s="0" t="n">
        <f aca="false">L19*L20</f>
        <v>243.774857720046</v>
      </c>
    </row>
    <row r="23" customFormat="false" ht="15" hidden="false" customHeight="false" outlineLevel="0" collapsed="false">
      <c r="A23" s="0" t="s">
        <v>119</v>
      </c>
      <c r="C23" s="4" t="n">
        <f aca="false">Assumptions!C44</f>
        <v>1.35</v>
      </c>
      <c r="D23" s="4" t="n">
        <f aca="false">Assumptions!D44</f>
        <v>1.3</v>
      </c>
      <c r="E23" s="4" t="n">
        <f aca="false">Assumptions!E44</f>
        <v>1.3</v>
      </c>
      <c r="F23" s="4" t="n">
        <f aca="false">Assumptions!F44</f>
        <v>1.25</v>
      </c>
      <c r="G23" s="4" t="n">
        <f aca="false">Assumptions!G44</f>
        <v>1.25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144</v>
      </c>
      <c r="C24" s="0" t="n">
        <f aca="false">-C6*C23/100</f>
        <v>-137.2552425</v>
      </c>
      <c r="D24" s="0" t="n">
        <f aca="false">-D6*D23/100</f>
        <v>-134.154290725</v>
      </c>
      <c r="E24" s="0" t="n">
        <f aca="false">-E6*E23/100</f>
        <v>-139.520462354</v>
      </c>
      <c r="F24" s="0" t="n">
        <f aca="false">-F6*F23/100</f>
        <v>-140.86200526125</v>
      </c>
      <c r="G24" s="0" t="n">
        <f aca="false">-G6*G23/100</f>
        <v>-147.905105524313</v>
      </c>
      <c r="H24" s="0" t="n">
        <f aca="false">-H6*H23/100</f>
        <v>-148.37840186199</v>
      </c>
      <c r="I24" s="0" t="n">
        <f aca="false">-I6*I23/100</f>
        <v>-154.31353793647</v>
      </c>
      <c r="J24" s="0" t="n">
        <f aca="false">-J6*J23/100</f>
        <v>-159.714511764246</v>
      </c>
      <c r="K24" s="0" t="n">
        <f aca="false">-K6*K23/100</f>
        <v>-164.505947117174</v>
      </c>
      <c r="L24" s="0" t="n">
        <f aca="false">-L6*L23/100</f>
        <v>-169.441125530689</v>
      </c>
    </row>
    <row r="26" customFormat="false" ht="15" hidden="false" customHeight="false" outlineLevel="0" collapsed="false">
      <c r="A26" s="2" t="s">
        <v>145</v>
      </c>
    </row>
    <row r="27" customFormat="false" ht="15" hidden="false" customHeight="false" outlineLevel="0" collapsed="false">
      <c r="A27" s="0" t="s">
        <v>123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124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125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146</v>
      </c>
      <c r="B30" s="0" t="n">
        <f aca="false">SUM(C21:L21)</f>
        <v>2975.03399417824</v>
      </c>
    </row>
    <row r="31" customFormat="false" ht="15" hidden="false" customHeight="false" outlineLevel="0" collapsed="false">
      <c r="A31" s="0" t="s">
        <v>147</v>
      </c>
      <c r="B31" s="0" t="n">
        <f aca="false">L19</f>
        <v>604.12958386877</v>
      </c>
    </row>
    <row r="32" customFormat="false" ht="15" hidden="false" customHeight="false" outlineLevel="0" collapsed="false">
      <c r="A32" s="0" t="s">
        <v>148</v>
      </c>
      <c r="B32" s="0" t="n">
        <f aca="false">IF(B27&gt;B28,B31*(1+B28/100)/((B27-B28)/100),B31*B29)</f>
        <v>8846.18319236413</v>
      </c>
    </row>
    <row r="33" customFormat="false" ht="15" hidden="false" customHeight="false" outlineLevel="0" collapsed="false">
      <c r="A33" s="0" t="s">
        <v>149</v>
      </c>
      <c r="B33" s="0" t="n">
        <f aca="false">B31*B29</f>
        <v>9061.94375803155</v>
      </c>
    </row>
    <row r="34" customFormat="false" ht="15" hidden="false" customHeight="false" outlineLevel="0" collapsed="false">
      <c r="A34" s="0" t="s">
        <v>150</v>
      </c>
      <c r="B34" s="0" t="n">
        <f aca="false">MAX(0,MIN(B32,B33))</f>
        <v>8846.18319236413</v>
      </c>
    </row>
    <row r="35" customFormat="false" ht="15" hidden="false" customHeight="false" outlineLevel="0" collapsed="false">
      <c r="A35" s="0" t="s">
        <v>151</v>
      </c>
      <c r="B35" s="0" t="n">
        <f aca="false">B34/(1+B27/100)^L4</f>
        <v>3569.56041661496</v>
      </c>
    </row>
    <row r="36" customFormat="false" ht="15" hidden="false" customHeight="false" outlineLevel="0" collapsed="false">
      <c r="A36" s="0" t="s">
        <v>152</v>
      </c>
      <c r="B36" s="0" t="n">
        <f aca="false">B30+B35</f>
        <v>6544.59441079319</v>
      </c>
    </row>
    <row r="37" customFormat="false" ht="15" hidden="false" customHeight="false" outlineLevel="0" collapsed="false">
      <c r="A37" s="0" t="s">
        <v>153</v>
      </c>
      <c r="B37" s="0" t="n">
        <f aca="false">B36+Assumptions!$B$5-Assumptions!$B$4</f>
        <v>5932.49441079319</v>
      </c>
    </row>
    <row r="38" customFormat="false" ht="15" hidden="false" customHeight="false" outlineLevel="0" collapsed="false">
      <c r="A38" s="0" t="s">
        <v>154</v>
      </c>
      <c r="B38" s="0" t="n">
        <f aca="false">B37/Assumptions!$B$3*Assumptions!$B$10</f>
        <v>9.42114405398315</v>
      </c>
    </row>
    <row r="39" customFormat="false" ht="15" hidden="false" customHeight="false" outlineLevel="0" collapsed="false">
      <c r="A39" s="0" t="s">
        <v>155</v>
      </c>
      <c r="B39" s="4" t="n">
        <f aca="false">B38/Assumptions!$B$2-1</f>
        <v>0.404045313559337</v>
      </c>
    </row>
    <row r="41" customFormat="false" ht="15" hidden="false" customHeight="false" outlineLevel="0" collapsed="false">
      <c r="A41" s="0" t="s">
        <v>156</v>
      </c>
      <c r="B41" s="0" t="n">
        <f aca="false">SUMPRODUCT(-C10:L10/(1+$B$27/100)^C4:L4)</f>
        <v>25.7602791280668</v>
      </c>
    </row>
    <row r="42" customFormat="false" ht="15" hidden="false" customHeight="false" outlineLevel="0" collapsed="false">
      <c r="A42" s="0" t="s">
        <v>157</v>
      </c>
      <c r="B42" s="0" t="n">
        <f aca="false">IF(B27&gt;B28,-L10*(1+B28/100)/((B27-B28)/100),-L10*20)/(1+B27/100)^L4</f>
        <v>29.2004980908127</v>
      </c>
    </row>
    <row r="43" customFormat="false" ht="15" hidden="false" customHeight="false" outlineLevel="0" collapsed="false">
      <c r="A43" s="0" t="s">
        <v>158</v>
      </c>
      <c r="B43" s="0" t="n">
        <f aca="false">(B37+B41+B42)/Assumptions!$B$3*Assumptions!$B$10</f>
        <v>9.50842494523118</v>
      </c>
    </row>
    <row r="45" customFormat="false" ht="15" hidden="false" customHeight="false" outlineLevel="0" collapsed="false">
      <c r="A45" s="0" t="s">
        <v>99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159</v>
      </c>
      <c r="B46" s="0" t="n">
        <f aca="false">MAX(0,MIN(IF(B45&gt;B28,B31*(1+B28/100)/((B45-B28)/100),B31*B29),B31*B29))</f>
        <v>4953.86258772391</v>
      </c>
    </row>
    <row r="47" customFormat="false" ht="15" hidden="false" customHeight="false" outlineLevel="0" collapsed="false">
      <c r="A47" s="0" t="s">
        <v>160</v>
      </c>
      <c r="B47" s="0" t="n">
        <f aca="false">(SUMPRODUCT(C19:L19/(1+B45/100)^C4:L4)+B46/(1+B45/100)^L4+Assumptions!$B$5-Assumptions!$B$4)/Assumptions!$B$3*Assumptions!$B$10</f>
        <v>4.64563231871159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163</v>
      </c>
    </row>
    <row r="3" customFormat="false" ht="15" hidden="false" customHeight="false" outlineLevel="0" collapsed="false">
      <c r="A3" s="2" t="s">
        <v>164</v>
      </c>
      <c r="B3" s="2" t="s">
        <v>165</v>
      </c>
      <c r="C3" s="2" t="s">
        <v>155</v>
      </c>
      <c r="D3" s="2" t="s">
        <v>166</v>
      </c>
      <c r="E3" s="2" t="s">
        <v>158</v>
      </c>
      <c r="F3" s="2" t="s">
        <v>167</v>
      </c>
    </row>
    <row r="4" customFormat="false" ht="15" hidden="false" customHeight="false" outlineLevel="0" collapsed="false">
      <c r="A4" s="0" t="s">
        <v>168</v>
      </c>
      <c r="B4" s="4" t="n">
        <f aca="false">DCF_Bear!$B$38</f>
        <v>2.87958273344385</v>
      </c>
      <c r="C4" s="0" t="n">
        <f aca="false">B4/Assumptions!$B$2-1</f>
        <v>-0.570852051647712</v>
      </c>
      <c r="D4" s="4" t="n">
        <f aca="false">Assumptions!$B$24</f>
        <v>0.25</v>
      </c>
      <c r="E4" s="4" t="n">
        <f aca="false">DCF_Bear!$B$43</f>
        <v>2.94510017736114</v>
      </c>
      <c r="F4" s="4" t="n">
        <f aca="false">DCF_Bear!$B$47</f>
        <v>1.58088309982008</v>
      </c>
    </row>
    <row r="5" customFormat="false" ht="15" hidden="false" customHeight="false" outlineLevel="0" collapsed="false">
      <c r="A5" s="0" t="s">
        <v>169</v>
      </c>
      <c r="B5" s="4" t="n">
        <f aca="false">DCF_Base!$B$38</f>
        <v>6.24119329382511</v>
      </c>
      <c r="C5" s="0" t="n">
        <f aca="false">B5/Assumptions!$B$2-1</f>
        <v>-0.0698668712630242</v>
      </c>
      <c r="D5" s="4" t="n">
        <f aca="false">Assumptions!$B$38</f>
        <v>0.5</v>
      </c>
      <c r="E5" s="4" t="n">
        <f aca="false">DCF_Base!$B$43</f>
        <v>6.31957891575827</v>
      </c>
      <c r="F5" s="4" t="n">
        <f aca="false">DCF_Base!$B$47</f>
        <v>3.22200658488594</v>
      </c>
    </row>
    <row r="6" customFormat="false" ht="15" hidden="false" customHeight="false" outlineLevel="0" collapsed="false">
      <c r="A6" s="0" t="s">
        <v>170</v>
      </c>
      <c r="B6" s="4" t="n">
        <f aca="false">DCF_Bull!$B$38</f>
        <v>9.42114405398315</v>
      </c>
      <c r="C6" s="0" t="n">
        <f aca="false">B6/Assumptions!$B$2-1</f>
        <v>0.404045313559337</v>
      </c>
      <c r="D6" s="4" t="n">
        <f aca="false">Assumptions!$B$52</f>
        <v>0.25</v>
      </c>
      <c r="E6" s="4" t="n">
        <f aca="false">DCF_Bull!$B$43</f>
        <v>9.50842494523118</v>
      </c>
      <c r="F6" s="4" t="n">
        <f aca="false">DCF_Bull!$B$47</f>
        <v>4.64563231871159</v>
      </c>
    </row>
    <row r="8" customFormat="false" ht="15" hidden="false" customHeight="false" outlineLevel="0" collapsed="false">
      <c r="A8" s="0" t="s">
        <v>171</v>
      </c>
      <c r="B8" s="0" t="n">
        <f aca="false">SUMPRODUCT(B4:B6,D4:D6)</f>
        <v>6.19577834376931</v>
      </c>
    </row>
    <row r="9" customFormat="false" ht="15" hidden="false" customHeight="false" outlineLevel="0" collapsed="false">
      <c r="A9" s="0" t="s">
        <v>172</v>
      </c>
      <c r="B9" s="0" t="n">
        <f aca="false">SUMPRODUCT(E4:E6,D4:D6)</f>
        <v>6.27317073852722</v>
      </c>
    </row>
    <row r="10" customFormat="false" ht="15" hidden="false" customHeight="false" outlineLevel="0" collapsed="false">
      <c r="A10" s="0" t="s">
        <v>173</v>
      </c>
      <c r="B10" s="0" t="n">
        <f aca="false">1-Assumptions!$B$2/B8</f>
        <v>-0.0829954894606282</v>
      </c>
    </row>
    <row r="11" customFormat="false" ht="15" hidden="false" customHeight="false" outlineLevel="0" collapsed="false">
      <c r="A11" s="0" t="s">
        <v>174</v>
      </c>
      <c r="B11" s="0" t="n">
        <f aca="false">IF(ABS(B9-B8)&gt;0.01*ABS(B8),(Assumptions!$B$2-B8)/(B9-B8)*100,"n/a")</f>
        <v>664.434351513763</v>
      </c>
    </row>
    <row r="12" customFormat="false" ht="15" hidden="false" customHeight="false" outlineLevel="0" collapsed="false">
      <c r="A12" s="0" t="s">
        <v>175</v>
      </c>
      <c r="B12" s="0" t="n">
        <f aca="false">SUMPRODUCT(F4:F6,D4:D6)</f>
        <v>3.16763214707589</v>
      </c>
    </row>
    <row r="14" customFormat="false" ht="15" hidden="false" customHeight="false" outlineLevel="0" collapsed="false">
      <c r="A14" s="2" t="s">
        <v>176</v>
      </c>
      <c r="C14" s="0" t="s">
        <v>177</v>
      </c>
    </row>
    <row r="15" customFormat="false" ht="15" hidden="false" customHeight="false" outlineLevel="0" collapsed="false">
      <c r="A15" s="0" t="s">
        <v>178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6.49614603461522</v>
      </c>
      <c r="C15" s="3" t="n">
        <v>9</v>
      </c>
    </row>
    <row r="16" customFormat="false" ht="15" hidden="false" customHeight="false" outlineLevel="0" collapsed="false">
      <c r="A16" s="0" t="s">
        <v>179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6.24119329382511</v>
      </c>
      <c r="C16" s="3" t="n">
        <v>9.5</v>
      </c>
    </row>
    <row r="17" customFormat="false" ht="15" hidden="false" customHeight="false" outlineLevel="0" collapsed="false">
      <c r="A17" s="0" t="s">
        <v>180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5.9974704697962</v>
      </c>
      <c r="C17" s="3" t="n">
        <v>10</v>
      </c>
    </row>
    <row r="18" customFormat="false" ht="15" hidden="false" customHeight="false" outlineLevel="0" collapsed="false">
      <c r="A18" s="0" t="s">
        <v>181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5.22349974906391</v>
      </c>
      <c r="C18" s="3" t="n">
        <v>11</v>
      </c>
    </row>
    <row r="19" customFormat="false" ht="15" hidden="false" customHeight="false" outlineLevel="0" collapsed="false">
      <c r="A19" s="0" t="s">
        <v>182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4.56822525223845</v>
      </c>
      <c r="C19" s="3" t="n">
        <v>12</v>
      </c>
    </row>
    <row r="20" customFormat="false" ht="15" hidden="false" customHeight="false" outlineLevel="0" collapsed="false">
      <c r="A20" s="0" t="s">
        <v>183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3.22200658488594</v>
      </c>
      <c r="C20" s="3" t="n">
        <v>15</v>
      </c>
    </row>
    <row r="22" customFormat="false" ht="15" hidden="false" customHeight="false" outlineLevel="0" collapsed="false">
      <c r="A22" s="2" t="s">
        <v>184</v>
      </c>
    </row>
    <row r="23" customFormat="false" ht="15" hidden="false" customHeight="false" outlineLevel="0" collapsed="false">
      <c r="B23" s="3" t="n">
        <v>1.25</v>
      </c>
      <c r="C23" s="3" t="n">
        <v>1.75</v>
      </c>
      <c r="D23" s="3" t="n">
        <v>2.25</v>
      </c>
      <c r="E23" s="3" t="n">
        <v>2.75</v>
      </c>
      <c r="F23" s="3" t="n">
        <v>3.25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7.33454488262467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7.33454488262467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7.33454488262467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7.33454488262467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7.33454488262467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6.7629268359619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6.7629268359619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6.7629268359619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6.7629268359619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6.7629268359619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6.03958644705929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6.24119329382511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6.24119329382511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6.24119329382511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6.24119329382511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5.24449067020571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5.41727680252413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5.6110067084569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5.76441274256656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5.76441274256656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4.60603931860235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4.73507709892234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4.87806490954718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5.03739418424344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5.21603609829683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2026-09-25T12:09:34Z</dcterms:created>
  <dc:creator>openpyxl</dc:creator>
  <dc:description/>
  <dc:language>en-NZ</dc:language>
  <cp:lastModifiedBy/>
  <dcterms:modified xsi:type="dcterms:W3CDTF">2026-09-25T12:09:34Z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