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Historical" sheetId="3" r:id="rId3"/>
    <sheet name="FCF Quality" sheetId="4" r:id="rId4"/>
    <sheet name="Model_Info" sheetId="5" r:id="rId5"/>
  </sheets>
  <calcPr calcId="124519" fullCalcOnLoad="1"/>
</workbook>
</file>

<file path=xl/sharedStrings.xml><?xml version="1.0" encoding="utf-8"?>
<sst xmlns="http://schemas.openxmlformats.org/spreadsheetml/2006/main" count="148" uniqueCount="134">
  <si>
    <t>DOW.NZ (ASX: DOW) DCF Valuation Model</t>
  </si>
  <si>
    <t>Gray cells are INPUTS - adjust to see valuation change. All figures AUD millions unless noted.</t>
  </si>
  <si>
    <t>NOTE: current_price is the ASX:DOW price -- the NZX line (DOW.NZ) is a stale/untradeable data artefact.</t>
  </si>
  <si>
    <t>KEY INPUTS</t>
  </si>
  <si>
    <t>Current Stock Price (ASX:DOW, AUD)</t>
  </si>
  <si>
    <t>Shares Outstanding, current (M)</t>
  </si>
  <si>
    <t>Cash &amp; Equivalents (M)</t>
  </si>
  <si>
    <t>Total Debt, excl. leases (M)</t>
  </si>
  <si>
    <t>Net Debt (M)</t>
  </si>
  <si>
    <t>Reported FCF, FY2025 (M)</t>
  </si>
  <si>
    <t>Less: Lease Principal Repayment (M)</t>
  </si>
  <si>
    <t>Less: Stock-Based Comp (M)</t>
  </si>
  <si>
    <t>Less: Interest Income (M)</t>
  </si>
  <si>
    <t>Owner FCF, FY2025 base (M)</t>
  </si>
  <si>
    <t>WACC (base)</t>
  </si>
  <si>
    <t>Terminal Growth Rate</t>
  </si>
  <si>
    <t>Terminal FCF Multiple Cap (x)</t>
  </si>
  <si>
    <t>REVENUE GROWTH ASSUMPTIONS (10yr)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</si>
  <si>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</si>
  <si>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</si>
  <si>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</si>
  <si>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</si>
  <si>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</si>
  <si>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</si>
  <si>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</si>
  <si>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</si>
  <si>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</si>
  <si>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</si>
  <si>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Revenue Growth %</t>
  </si>
  <si>
    <t>EBITDA Margin %</t>
  </si>
  <si>
    <t>Capex % of Revenue</t>
  </si>
  <si>
    <t>Lease Principal % of Revenue</t>
  </si>
  <si>
    <t>Cash Tax Rate %</t>
  </si>
  <si>
    <t>D&amp;A % of Revenue (constant)</t>
  </si>
  <si>
    <t>Working Capital Capture % (of rev change)</t>
  </si>
  <si>
    <t>PROJECTIONS</t>
  </si>
  <si>
    <t>Revenue</t>
  </si>
  <si>
    <t>EBITDA</t>
  </si>
  <si>
    <t>D&amp;A</t>
  </si>
  <si>
    <t>EBIT</t>
  </si>
  <si>
    <t>NOPAT</t>
  </si>
  <si>
    <t>Capex</t>
  </si>
  <si>
    <t>Lease Principal Repayment</t>
  </si>
  <si>
    <t>Working Capital (- = cash use)</t>
  </si>
  <si>
    <t>Owner FCF</t>
  </si>
  <si>
    <t>Discount Factor</t>
  </si>
  <si>
    <t>PV of Owner FCF</t>
  </si>
  <si>
    <t>Shares Outstanding (M)</t>
  </si>
  <si>
    <t>VALUATION</t>
  </si>
  <si>
    <t>Sum of PV of Owner FCF</t>
  </si>
  <si>
    <t>Terminal Owner FCF (Y10 x (1+g))</t>
  </si>
  <si>
    <t>Gordon Terminal Value</t>
  </si>
  <si>
    <t>FCF-Multiple Cap Terminal Value</t>
  </si>
  <si>
    <t>Terminal Value (lower of the two)</t>
  </si>
  <si>
    <t>PV of Terminal Value</t>
  </si>
  <si>
    <t>Enterprise Value</t>
  </si>
  <si>
    <t>Less: Net Debt</t>
  </si>
  <si>
    <t>Equity Value</t>
  </si>
  <si>
    <t>INTRINSIC VALUE/SHARE (Year-10 shares)</t>
  </si>
  <si>
    <t>ENTRY PRICE (15% IRR Target)</t>
  </si>
  <si>
    <t>PV of Yrs 1-10 Owner FCF @15%</t>
  </si>
  <si>
    <t>PV of Terminal Value @15%</t>
  </si>
  <si>
    <t>Entry Price (15% IRR)</t>
  </si>
  <si>
    <t>Upside to Intrinsic Value</t>
  </si>
  <si>
    <t>Upside to Entry Price</t>
  </si>
  <si>
    <t>Sensitivity Analysis (Base Case Intrinsic Value)</t>
  </si>
  <si>
    <t>WACC (rows) x Terminal Growth (columns)</t>
  </si>
  <si>
    <t>WACC \ Term G</t>
  </si>
  <si>
    <t>Note: top row flattens where the 13x terminal-FCF multiple cap binds (low WACC / high terminal growth).</t>
  </si>
  <si>
    <t>Historical Financials &amp; Multiples (AUD millions except per-share)</t>
  </si>
  <si>
    <t>Metric</t>
  </si>
  <si>
    <t>FY2018</t>
  </si>
  <si>
    <t>FY2019</t>
  </si>
  <si>
    <t>FY2020</t>
  </si>
  <si>
    <t>FY2021</t>
  </si>
  <si>
    <t>FY2022</t>
  </si>
  <si>
    <t>FY2023</t>
  </si>
  <si>
    <t>FY2024</t>
  </si>
  <si>
    <t>FY2025</t>
  </si>
  <si>
    <t>Net Income</t>
  </si>
  <si>
    <t>Reported FCF</t>
  </si>
  <si>
    <t>Shareholders Equity</t>
  </si>
  <si>
    <t>Historical FY-end Price (ASX:DOW)</t>
  </si>
  <si>
    <t>Multiples (ex-FY2020 COVID, ex-FY2023 scandal)</t>
  </si>
  <si>
    <t>EV/EBITDA</t>
  </si>
  <si>
    <t>P/E</t>
  </si>
  <si>
    <t>P/B</t>
  </si>
  <si>
    <t>P/Sales</t>
  </si>
  <si>
    <t>Averages ex-outliers:</t>
  </si>
  <si>
    <t>EV/EBITDA: min 6.12, avg 7.49, max 9.06</t>
  </si>
  <si>
    <t>P/E: min 15.42, avg 32.13, max 55.47</t>
  </si>
  <si>
    <t>P/B: min 1.21, avg 1.39, max 1.89</t>
  </si>
  <si>
    <t>P/Sales: min 0.284, avg 0.330, max 0.404</t>
  </si>
  <si>
    <t>10yr price range: min A$2.93, max A$8.59 (current A$7.80 -- upper portion of range)</t>
  </si>
  <si>
    <t>FCF Quality: Reported vs Owner FCF Reconciliation</t>
  </si>
  <si>
    <t>FY</t>
  </si>
  <si>
    <t>Less: Lease Principal Repayment</t>
  </si>
  <si>
    <t>Less: SBC</t>
  </si>
  <si>
    <t>Less: Interest Income</t>
  </si>
  <si>
    <t>Reported FCF Margin %</t>
  </si>
  <si>
    <t>Owner FCF Margin %</t>
  </si>
  <si>
    <t>Memo: Lease principal as % of reported FCF</t>
  </si>
  <si>
    <t>Note: FY2020 and FY2023 owner FCF are NEGATIVE (COVID loss / accounting scandal).</t>
  </si>
  <si>
    <t>FY2025 owner FCF (271.4) is the PEAK of the 8-year series -- treated as a cyclical high, not a sustainable run-rate.</t>
  </si>
  <si>
    <t>Lease principal (IFRS-16) is a genuine recurring cash cost for this plant/fleet-heavy contractor -- deducted in full.</t>
  </si>
  <si>
    <t>Model Provenance &amp; Methodology</t>
  </si>
  <si>
    <t>Ticker</t>
  </si>
  <si>
    <t>DOW.NZ (secondary NZX line) / ASX: DOW (primary listing, priced here)</t>
  </si>
  <si>
    <t>Built by</t>
  </si>
  <si>
    <t>Claude Agent SDK DCF-builder skill, 2026-08-10</t>
  </si>
  <si>
    <t>Price date/source</t>
  </si>
  <si>
    <t>ASX:DOW A$7.80, verified 2026-08-10 via Yahoo Finance DOW.AX chart API. The DOW.NZ (NZX) quote is a STALE artefact (NZ$0.00063 frozen since 20-Jul-2024) and must NOT be used.</t>
  </si>
  <si>
    <t>Financial data vintage</t>
  </si>
  <si>
    <t>FY2025 Annual Report (year ended 30-Jun-2025) + H1-2026 Half Year Report (period ended 31-Dec-2025). FY2026 guidance from H1-2026 results release, 19-Feb-2026.</t>
  </si>
  <si>
    <t>Currency</t>
  </si>
  <si>
    <t>All figures AUD millions. AUDNZD = 1.1993 quoted for reference only -- NOT applied to any valuation figure.</t>
  </si>
  <si>
    <t>Key methodology choice: lease principal</t>
  </si>
  <si>
    <t>IFRS-16 lease principal repayment (A$147.6m FY2025) is deducted in FULL from reported FCF to reach "owner FCF" -- this is a plant/fleet-heavy services contractor where leases are a real recurring operating cost, not financing optionality. Same treatment as 2CC.NZ and TAH.NZ elsewhere in this research library.</t>
  </si>
  <si>
    <t>Key methodology choice: WACC</t>
  </si>
  <si>
    <t>12.0% base WACC = 9.0% unadjusted (9.8% CoE / ~3.85% after-tax CoD blend) + 1.5% cyclicality premium (EBITDA ranged A$82.7m-A$829.2m, &gt;10x peak-to-trough) + 1.0% legal-overhang premium (unresolved class action + ACCC proceedings) + 0.5% government-concentration premium (~90% govt revenue).</t>
  </si>
  <si>
    <t>Key methodology choice: horizon</t>
  </si>
  <si>
    <t>10-year explicit build (not 5) to let the post-scandal margin recovery and capex/tax normalization fully play out before terminal capitalization.</t>
  </si>
  <si>
    <t>Key methodology choice: terminal value</t>
  </si>
  <si>
    <t>min(Gordon Growth, 13x terminal owner FCF, 7.49x terminal EBITDA) for base case -- Gordon bound in the base case at 10.49x implied FCF multiple.</t>
  </si>
  <si>
    <t>Key methodology choice: share count</t>
  </si>
  <si>
    <t>Divides by YEAR-10 projected share count (629.7m), reflecting the A$230m on-market buyback (A$64.4m/~8.3m shares spent by H1-2026, remainder modelled retiring in Year 1) plus modest ongoing net buybacks thereafter.</t>
  </si>
  <si>
    <t>Sanity check result</t>
  </si>
  <si>
    <t>TRIPPED on the low side -- base-case implied EV/EBITDA (4.26x) and P/Sales (0.196x) both fall BELOW the historical 10yr floor (ex-FY2020/FY2023 outliers: 6.12x EV/EBITDA, 0.284x P/S). Diagnosed as a genuine finding (thin owner-FCF conversion after lease/capex/tax charges, versus a market pricing a stronger multiple-re-rating story) rather than a modeling bug -- see sanity_check block in the JSON for full diagnosis. No mechanical WACC/margin adjustment was applied to force convergence with the market price.</t>
  </si>
  <si>
    <t>What to refresh after next earnings</t>
  </si>
  <si>
    <t>FY2026 full-year result (expected ~Aug-2026): actual underlying NPATA vs A$295-315m guidance, actual FY2026 lease principal repayment, buyback program completion status and final share count, and any Dec-2025 mediation / ACCC proceedings outcome (both were unresolved as of this valuation date).</t>
  </si>
  <si>
    <t>Cell colour convention</t>
  </si>
  <si>
    <t>Gray/shaded cells = INPUTS (editable). White cells = FORMULAS (do not hardcode over these). Green cells = key OUTPUT results.</t>
  </si>
  <si>
    <t>Staleness warning</t>
  </si>
  <si>
    <t>All projections, multiples and legal-risk assumptions in this model are dated 2026-08-10 and will go stale, particularly the two unresolved legal overhangs (class action mediation outcome, ACCC proceedings) which are binary and could materially move both the cash-flow base and the appropriate WACC premium once resolved.</t>
  </si>
</sst>
</file>

<file path=xl/styles.xml><?xml version="1.0" encoding="utf-8"?>
<styleSheet xmlns="http://schemas.openxmlformats.org/spreadsheetml/2006/main">
  <numFmts count="4">
    <numFmt numFmtId="164" formatCode="#,##0.0"/>
    <numFmt numFmtId="165" formatCode="0.00%"/>
    <numFmt numFmtId="166" formatCode="&quot;A$&quot;#,##0.00"/>
    <numFmt numFmtId="167" formatCode="0.0%"/>
  </numFmts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i/>
      <sz val="11"/>
      <color rgb="FFD6303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164" fontId="0" fillId="2" borderId="2" xfId="0" applyNumberFormat="1" applyFill="1" applyBorder="1"/>
    <xf numFmtId="164" fontId="0" fillId="0" borderId="2" xfId="0" applyNumberFormat="1" applyBorder="1"/>
    <xf numFmtId="165" fontId="0" fillId="2" borderId="2" xfId="0" applyNumberFormat="1" applyFill="1" applyBorder="1"/>
    <xf numFmtId="0" fontId="5" fillId="3" borderId="2" xfId="0" applyFont="1" applyFill="1" applyBorder="1"/>
    <xf numFmtId="0" fontId="6" fillId="0" borderId="0" xfId="0" applyFont="1"/>
    <xf numFmtId="166" fontId="5" fillId="4" borderId="2" xfId="0" applyNumberFormat="1" applyFont="1" applyFill="1" applyBorder="1"/>
    <xf numFmtId="167" fontId="0" fillId="0" borderId="2" xfId="0" applyNumberFormat="1" applyBorder="1"/>
    <xf numFmtId="165" fontId="5" fillId="3" borderId="0" xfId="0" applyNumberFormat="1" applyFont="1" applyFill="1"/>
    <xf numFmtId="166" fontId="0" fillId="0" borderId="2" xfId="0" applyNumberFormat="1" applyBorder="1"/>
    <xf numFmtId="0" fontId="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66"/>
  <sheetViews>
    <sheetView tabSelected="1" workbookViewId="0"/>
  </sheetViews>
  <sheetFormatPr defaultRowHeight="15"/>
  <cols>
    <col min="1" max="1" width="28.7109375" customWidth="1"/>
    <col min="2" max="12" width="12.7109375" customWidth="1"/>
  </cols>
  <sheetData>
    <row r="1" spans="1:2">
      <c r="A1" s="1" t="s">
        <v>0</v>
      </c>
    </row>
    <row r="2" spans="1:2">
      <c r="A2" s="2" t="s">
        <v>1</v>
      </c>
    </row>
    <row r="3" spans="1:2">
      <c r="A3" s="3" t="s">
        <v>2</v>
      </c>
    </row>
    <row r="5" spans="1:2">
      <c r="A5" s="4" t="s">
        <v>3</v>
      </c>
    </row>
    <row r="6" spans="1:2">
      <c r="A6" t="s">
        <v>4</v>
      </c>
      <c r="B6" s="5">
        <v>7.8</v>
      </c>
    </row>
    <row r="7" spans="1:2">
      <c r="A7" t="s">
        <v>5</v>
      </c>
      <c r="B7" s="5">
        <v>668.2</v>
      </c>
    </row>
    <row r="8" spans="1:2">
      <c r="A8" t="s">
        <v>6</v>
      </c>
      <c r="B8" s="5">
        <v>683.4</v>
      </c>
    </row>
    <row r="9" spans="1:2">
      <c r="A9" t="s">
        <v>7</v>
      </c>
      <c r="B9" s="5">
        <v>1295.5</v>
      </c>
    </row>
    <row r="10" spans="1:2">
      <c r="A10" t="s">
        <v>8</v>
      </c>
      <c r="B10" s="6">
        <f>B9-B8</f>
        <v>0</v>
      </c>
    </row>
    <row r="11" spans="1:2">
      <c r="A11" t="s">
        <v>9</v>
      </c>
      <c r="B11" s="5">
        <v>439.6</v>
      </c>
    </row>
    <row r="12" spans="1:2">
      <c r="A12" t="s">
        <v>10</v>
      </c>
      <c r="B12" s="5">
        <v>147.6</v>
      </c>
    </row>
    <row r="13" spans="1:2">
      <c r="A13" t="s">
        <v>11</v>
      </c>
      <c r="B13" s="5">
        <v>3.7</v>
      </c>
    </row>
    <row r="14" spans="1:2">
      <c r="A14" t="s">
        <v>12</v>
      </c>
      <c r="B14" s="5">
        <v>16.9</v>
      </c>
    </row>
    <row r="15" spans="1:2">
      <c r="A15" t="s">
        <v>13</v>
      </c>
      <c r="B15" s="6">
        <f>B11-B12-B13-B14</f>
        <v>0</v>
      </c>
    </row>
    <row r="17" spans="1:11">
      <c r="A17" t="s">
        <v>14</v>
      </c>
      <c r="B17" s="7">
        <v>0.12</v>
      </c>
    </row>
    <row r="18" spans="1:11">
      <c r="A18" t="s">
        <v>15</v>
      </c>
      <c r="B18" s="7">
        <v>0.0225</v>
      </c>
    </row>
    <row r="19" spans="1:11">
      <c r="A19" t="s">
        <v>16</v>
      </c>
      <c r="B19" s="5">
        <v>13</v>
      </c>
    </row>
    <row r="21" spans="1:11">
      <c r="A21" s="4" t="s">
        <v>17</v>
      </c>
    </row>
    <row r="22" spans="1:11">
      <c r="B22" s="8" t="s">
        <v>18</v>
      </c>
      <c r="C22" s="8" t="s">
        <v>19</v>
      </c>
      <c r="D22" s="8" t="s">
        <v>20</v>
      </c>
      <c r="E22" s="8" t="s">
        <v>21</v>
      </c>
      <c r="F22" s="8" t="s">
        <v>22</v>
      </c>
      <c r="G22" s="8" t="s">
        <v>23</v>
      </c>
      <c r="H22" s="8" t="s">
        <v>24</v>
      </c>
      <c r="I22" s="8" t="s">
        <v>25</v>
      </c>
      <c r="J22" s="8" t="s">
        <v>26</v>
      </c>
      <c r="K22" s="8" t="s">
        <v>27</v>
      </c>
    </row>
    <row r="23" spans="1:11">
      <c r="A23" t="s">
        <v>28</v>
      </c>
      <c r="B23" s="7">
        <v>-0.015</v>
      </c>
      <c r="C23" s="7">
        <v>-0.005</v>
      </c>
      <c r="D23" s="7">
        <v>0.005</v>
      </c>
      <c r="E23" s="7">
        <v>0.015</v>
      </c>
      <c r="F23" s="7">
        <v>0.02</v>
      </c>
      <c r="G23" s="7">
        <v>0.02</v>
      </c>
      <c r="H23" s="7">
        <v>0.02</v>
      </c>
      <c r="I23" s="7">
        <v>0.02</v>
      </c>
      <c r="J23" s="7">
        <v>0.02</v>
      </c>
      <c r="K23" s="7">
        <v>0.02</v>
      </c>
    </row>
    <row r="24" spans="1:11">
      <c r="A24" t="s">
        <v>29</v>
      </c>
      <c r="B24" s="7">
        <v>0.0607</v>
      </c>
      <c r="C24" s="7">
        <v>0.06179999999999999</v>
      </c>
      <c r="D24" s="7">
        <v>0.06280000000000001</v>
      </c>
      <c r="E24" s="7">
        <v>0.0638</v>
      </c>
      <c r="F24" s="7">
        <v>0.06480000000000001</v>
      </c>
      <c r="G24" s="7">
        <v>0.0659</v>
      </c>
      <c r="H24" s="7">
        <v>0.0669</v>
      </c>
      <c r="I24" s="7">
        <v>0.0679</v>
      </c>
      <c r="J24" s="7">
        <v>0.06900000000000001</v>
      </c>
      <c r="K24" s="7">
        <v>0.07000000000000001</v>
      </c>
    </row>
    <row r="25" spans="1:11">
      <c r="A25" t="s">
        <v>30</v>
      </c>
      <c r="B25" s="7">
        <v>0.012</v>
      </c>
      <c r="C25" s="7">
        <v>0.013</v>
      </c>
      <c r="D25" s="7">
        <v>0.014</v>
      </c>
      <c r="E25" s="7">
        <v>0.015</v>
      </c>
      <c r="F25" s="7">
        <v>0.016</v>
      </c>
      <c r="G25" s="7">
        <v>0.017</v>
      </c>
      <c r="H25" s="7">
        <v>0.017</v>
      </c>
      <c r="I25" s="7">
        <v>0.018</v>
      </c>
      <c r="J25" s="7">
        <v>0.018</v>
      </c>
      <c r="K25" s="7">
        <v>0.018</v>
      </c>
    </row>
    <row r="26" spans="1:11">
      <c r="A26" t="s">
        <v>31</v>
      </c>
      <c r="B26" s="7">
        <v>0.014</v>
      </c>
      <c r="C26" s="7">
        <v>0.014</v>
      </c>
      <c r="D26" s="7">
        <v>0.014</v>
      </c>
      <c r="E26" s="7">
        <v>0.0135</v>
      </c>
      <c r="F26" s="7">
        <v>0.0135</v>
      </c>
      <c r="G26" s="7">
        <v>0.013</v>
      </c>
      <c r="H26" s="7">
        <v>0.013</v>
      </c>
      <c r="I26" s="7">
        <v>0.013</v>
      </c>
      <c r="J26" s="7">
        <v>0.013</v>
      </c>
      <c r="K26" s="7">
        <v>0.013</v>
      </c>
    </row>
    <row r="27" spans="1:11">
      <c r="A27" t="s">
        <v>32</v>
      </c>
      <c r="B27" s="7">
        <v>0.24</v>
      </c>
      <c r="C27" s="7">
        <v>0.25</v>
      </c>
      <c r="D27" s="7">
        <v>0.26</v>
      </c>
      <c r="E27" s="7">
        <v>0.27</v>
      </c>
      <c r="F27" s="7">
        <v>0.28</v>
      </c>
      <c r="G27" s="7">
        <v>0.29</v>
      </c>
      <c r="H27" s="7">
        <v>0.3</v>
      </c>
      <c r="I27" s="7">
        <v>0.3</v>
      </c>
      <c r="J27" s="7">
        <v>0.3</v>
      </c>
      <c r="K27" s="7">
        <v>0.3</v>
      </c>
    </row>
    <row r="28" spans="1:11">
      <c r="A28" t="s">
        <v>33</v>
      </c>
      <c r="B28" s="7">
        <v>0.0327</v>
      </c>
    </row>
    <row r="29" spans="1:11">
      <c r="A29" t="s">
        <v>34</v>
      </c>
      <c r="B29" s="7">
        <v>0.08</v>
      </c>
    </row>
    <row r="31" spans="1:11">
      <c r="A31" s="4" t="s">
        <v>35</v>
      </c>
    </row>
    <row r="32" spans="1:11">
      <c r="A32" s="8"/>
      <c r="B32" s="8" t="s">
        <v>18</v>
      </c>
      <c r="C32" s="8" t="s">
        <v>19</v>
      </c>
      <c r="D32" s="8" t="s">
        <v>20</v>
      </c>
      <c r="E32" s="8" t="s">
        <v>21</v>
      </c>
      <c r="F32" s="8" t="s">
        <v>22</v>
      </c>
      <c r="G32" s="8" t="s">
        <v>23</v>
      </c>
      <c r="H32" s="8" t="s">
        <v>24</v>
      </c>
      <c r="I32" s="8" t="s">
        <v>25</v>
      </c>
      <c r="J32" s="8" t="s">
        <v>26</v>
      </c>
      <c r="K32" s="8" t="s">
        <v>27</v>
      </c>
    </row>
    <row r="33" spans="1:11">
      <c r="A33" t="s">
        <v>36</v>
      </c>
      <c r="B33" s="6">
        <f>10481.5*(1+B23)</f>
        <v>0</v>
      </c>
      <c r="C33" s="6">
        <f>B33*(1+C23)</f>
        <v>0</v>
      </c>
      <c r="D33" s="6">
        <f>C33*(1+D23)</f>
        <v>0</v>
      </c>
      <c r="E33" s="6">
        <f>D33*(1+E23)</f>
        <v>0</v>
      </c>
      <c r="F33" s="6">
        <f>E33*(1+F23)</f>
        <v>0</v>
      </c>
      <c r="G33" s="6">
        <f>F33*(1+G23)</f>
        <v>0</v>
      </c>
      <c r="H33" s="6">
        <f>G33*(1+H23)</f>
        <v>0</v>
      </c>
      <c r="I33" s="6">
        <f>H33*(1+I23)</f>
        <v>0</v>
      </c>
      <c r="J33" s="6">
        <f>I33*(1+J23)</f>
        <v>0</v>
      </c>
      <c r="K33" s="6">
        <f>J33*(1+K23)</f>
        <v>0</v>
      </c>
    </row>
    <row r="34" spans="1:11">
      <c r="A34" t="s">
        <v>37</v>
      </c>
      <c r="B34" s="6">
        <f>B33*B24</f>
        <v>0</v>
      </c>
      <c r="C34" s="6">
        <f>C33*C24</f>
        <v>0</v>
      </c>
      <c r="D34" s="6">
        <f>D33*D24</f>
        <v>0</v>
      </c>
      <c r="E34" s="6">
        <f>E33*E24</f>
        <v>0</v>
      </c>
      <c r="F34" s="6">
        <f>F33*F24</f>
        <v>0</v>
      </c>
      <c r="G34" s="6">
        <f>G33*G24</f>
        <v>0</v>
      </c>
      <c r="H34" s="6">
        <f>H33*H24</f>
        <v>0</v>
      </c>
      <c r="I34" s="6">
        <f>I33*I24</f>
        <v>0</v>
      </c>
      <c r="J34" s="6">
        <f>J33*J24</f>
        <v>0</v>
      </c>
      <c r="K34" s="6">
        <f>K33*K24</f>
        <v>0</v>
      </c>
    </row>
    <row r="35" spans="1:11">
      <c r="A35" t="s">
        <v>38</v>
      </c>
      <c r="B35" s="6">
        <f>B33*$B$28</f>
        <v>0</v>
      </c>
      <c r="C35" s="6">
        <f>C33*$B$28</f>
        <v>0</v>
      </c>
      <c r="D35" s="6">
        <f>D33*$B$28</f>
        <v>0</v>
      </c>
      <c r="E35" s="6">
        <f>E33*$B$28</f>
        <v>0</v>
      </c>
      <c r="F35" s="6">
        <f>F33*$B$28</f>
        <v>0</v>
      </c>
      <c r="G35" s="6">
        <f>G33*$B$28</f>
        <v>0</v>
      </c>
      <c r="H35" s="6">
        <f>H33*$B$28</f>
        <v>0</v>
      </c>
      <c r="I35" s="6">
        <f>I33*$B$28</f>
        <v>0</v>
      </c>
      <c r="J35" s="6">
        <f>J33*$B$28</f>
        <v>0</v>
      </c>
      <c r="K35" s="6">
        <f>K33*$B$28</f>
        <v>0</v>
      </c>
    </row>
    <row r="36" spans="1:11">
      <c r="A36" t="s">
        <v>39</v>
      </c>
      <c r="B36" s="6">
        <f>B34-B35</f>
        <v>0</v>
      </c>
      <c r="C36" s="6">
        <f>C34-C35</f>
        <v>0</v>
      </c>
      <c r="D36" s="6">
        <f>D34-D35</f>
        <v>0</v>
      </c>
      <c r="E36" s="6">
        <f>E34-E35</f>
        <v>0</v>
      </c>
      <c r="F36" s="6">
        <f>F34-F35</f>
        <v>0</v>
      </c>
      <c r="G36" s="6">
        <f>G34-G35</f>
        <v>0</v>
      </c>
      <c r="H36" s="6">
        <f>H34-H35</f>
        <v>0</v>
      </c>
      <c r="I36" s="6">
        <f>I34-I35</f>
        <v>0</v>
      </c>
      <c r="J36" s="6">
        <f>J34-J35</f>
        <v>0</v>
      </c>
      <c r="K36" s="6">
        <f>K34-K35</f>
        <v>0</v>
      </c>
    </row>
    <row r="37" spans="1:11">
      <c r="A37" t="s">
        <v>40</v>
      </c>
      <c r="B37" s="6">
        <f>B36*(1-B27)</f>
        <v>0</v>
      </c>
      <c r="C37" s="6">
        <f>C36*(1-C27)</f>
        <v>0</v>
      </c>
      <c r="D37" s="6">
        <f>D36*(1-D27)</f>
        <v>0</v>
      </c>
      <c r="E37" s="6">
        <f>E36*(1-E27)</f>
        <v>0</v>
      </c>
      <c r="F37" s="6">
        <f>F36*(1-F27)</f>
        <v>0</v>
      </c>
      <c r="G37" s="6">
        <f>G36*(1-G27)</f>
        <v>0</v>
      </c>
      <c r="H37" s="6">
        <f>H36*(1-H27)</f>
        <v>0</v>
      </c>
      <c r="I37" s="6">
        <f>I36*(1-I27)</f>
        <v>0</v>
      </c>
      <c r="J37" s="6">
        <f>J36*(1-J27)</f>
        <v>0</v>
      </c>
      <c r="K37" s="6">
        <f>K36*(1-K27)</f>
        <v>0</v>
      </c>
    </row>
    <row r="38" spans="1:11">
      <c r="A38" t="s">
        <v>41</v>
      </c>
      <c r="B38" s="6">
        <f>B33*B25</f>
        <v>0</v>
      </c>
      <c r="C38" s="6">
        <f>C33*C25</f>
        <v>0</v>
      </c>
      <c r="D38" s="6">
        <f>D33*D25</f>
        <v>0</v>
      </c>
      <c r="E38" s="6">
        <f>E33*E25</f>
        <v>0</v>
      </c>
      <c r="F38" s="6">
        <f>F33*F25</f>
        <v>0</v>
      </c>
      <c r="G38" s="6">
        <f>G33*G25</f>
        <v>0</v>
      </c>
      <c r="H38" s="6">
        <f>H33*H25</f>
        <v>0</v>
      </c>
      <c r="I38" s="6">
        <f>I33*I25</f>
        <v>0</v>
      </c>
      <c r="J38" s="6">
        <f>J33*J25</f>
        <v>0</v>
      </c>
      <c r="K38" s="6">
        <f>K33*K25</f>
        <v>0</v>
      </c>
    </row>
    <row r="39" spans="1:11">
      <c r="A39" t="s">
        <v>42</v>
      </c>
      <c r="B39" s="6">
        <f>B33*B26</f>
        <v>0</v>
      </c>
      <c r="C39" s="6">
        <f>C33*C26</f>
        <v>0</v>
      </c>
      <c r="D39" s="6">
        <f>D33*D26</f>
        <v>0</v>
      </c>
      <c r="E39" s="6">
        <f>E33*E26</f>
        <v>0</v>
      </c>
      <c r="F39" s="6">
        <f>F33*F26</f>
        <v>0</v>
      </c>
      <c r="G39" s="6">
        <f>G33*G26</f>
        <v>0</v>
      </c>
      <c r="H39" s="6">
        <f>H33*H26</f>
        <v>0</v>
      </c>
      <c r="I39" s="6">
        <f>I33*I26</f>
        <v>0</v>
      </c>
      <c r="J39" s="6">
        <f>J33*J26</f>
        <v>0</v>
      </c>
      <c r="K39" s="6">
        <f>K33*K26</f>
        <v>0</v>
      </c>
    </row>
    <row r="40" spans="1:11">
      <c r="A40" t="s">
        <v>43</v>
      </c>
      <c r="B40" s="6">
        <f>-$B$29*(B33-10481.5)</f>
        <v>0</v>
      </c>
      <c r="C40" s="6">
        <f>-$B$29*(C33-B33)</f>
        <v>0</v>
      </c>
      <c r="D40" s="6">
        <f>-$B$29*(D33-C33)</f>
        <v>0</v>
      </c>
      <c r="E40" s="6">
        <f>-$B$29*(E33-D33)</f>
        <v>0</v>
      </c>
      <c r="F40" s="6">
        <f>-$B$29*(F33-E33)</f>
        <v>0</v>
      </c>
      <c r="G40" s="6">
        <f>-$B$29*(G33-F33)</f>
        <v>0</v>
      </c>
      <c r="H40" s="6">
        <f>-$B$29*(H33-G33)</f>
        <v>0</v>
      </c>
      <c r="I40" s="6">
        <f>-$B$29*(I33-H33)</f>
        <v>0</v>
      </c>
      <c r="J40" s="6">
        <f>-$B$29*(J33-I33)</f>
        <v>0</v>
      </c>
      <c r="K40" s="6">
        <f>-$B$29*(K33-J33)</f>
        <v>0</v>
      </c>
    </row>
    <row r="41" spans="1:11">
      <c r="A41" t="s">
        <v>44</v>
      </c>
      <c r="B41" s="6">
        <f>B37+B35-B38-B39+B40</f>
        <v>0</v>
      </c>
      <c r="C41" s="6">
        <f>C37+C35-C38-C39+C40</f>
        <v>0</v>
      </c>
      <c r="D41" s="6">
        <f>D37+D35-D38-D39+D40</f>
        <v>0</v>
      </c>
      <c r="E41" s="6">
        <f>E37+E35-E38-E39+E40</f>
        <v>0</v>
      </c>
      <c r="F41" s="6">
        <f>F37+F35-F38-F39+F40</f>
        <v>0</v>
      </c>
      <c r="G41" s="6">
        <f>G37+G35-G38-G39+G40</f>
        <v>0</v>
      </c>
      <c r="H41" s="6">
        <f>H37+H35-H38-H39+H40</f>
        <v>0</v>
      </c>
      <c r="I41" s="6">
        <f>I37+I35-I38-I39+I40</f>
        <v>0</v>
      </c>
      <c r="J41" s="6">
        <f>J37+J35-J38-J39+J40</f>
        <v>0</v>
      </c>
      <c r="K41" s="6">
        <f>K37+K35-K38-K39+K40</f>
        <v>0</v>
      </c>
    </row>
    <row r="42" spans="1:11">
      <c r="A42" t="s">
        <v>45</v>
      </c>
      <c r="B42" s="6">
        <f>1/(1+$B$17)^1</f>
        <v>0</v>
      </c>
      <c r="C42" s="6">
        <f>1/(1+$B$17)^2</f>
        <v>0</v>
      </c>
      <c r="D42" s="6">
        <f>1/(1+$B$17)^3</f>
        <v>0</v>
      </c>
      <c r="E42" s="6">
        <f>1/(1+$B$17)^4</f>
        <v>0</v>
      </c>
      <c r="F42" s="6">
        <f>1/(1+$B$17)^5</f>
        <v>0</v>
      </c>
      <c r="G42" s="6">
        <f>1/(1+$B$17)^6</f>
        <v>0</v>
      </c>
      <c r="H42" s="6">
        <f>1/(1+$B$17)^7</f>
        <v>0</v>
      </c>
      <c r="I42" s="6">
        <f>1/(1+$B$17)^8</f>
        <v>0</v>
      </c>
      <c r="J42" s="6">
        <f>1/(1+$B$17)^9</f>
        <v>0</v>
      </c>
      <c r="K42" s="6">
        <f>1/(1+$B$17)^10</f>
        <v>0</v>
      </c>
    </row>
    <row r="43" spans="1:11">
      <c r="A43" t="s">
        <v>46</v>
      </c>
      <c r="B43" s="6">
        <f>B41*B42</f>
        <v>0</v>
      </c>
      <c r="C43" s="6">
        <f>C41*C42</f>
        <v>0</v>
      </c>
      <c r="D43" s="6">
        <f>D41*D42</f>
        <v>0</v>
      </c>
      <c r="E43" s="6">
        <f>E41*E42</f>
        <v>0</v>
      </c>
      <c r="F43" s="6">
        <f>F41*F42</f>
        <v>0</v>
      </c>
      <c r="G43" s="6">
        <f>G41*G42</f>
        <v>0</v>
      </c>
      <c r="H43" s="6">
        <f>H41*H42</f>
        <v>0</v>
      </c>
      <c r="I43" s="6">
        <f>I41*I42</f>
        <v>0</v>
      </c>
      <c r="J43" s="6">
        <f>J41*J42</f>
        <v>0</v>
      </c>
      <c r="K43" s="6">
        <f>K41*K42</f>
        <v>0</v>
      </c>
    </row>
    <row r="45" spans="1:11">
      <c r="A45" t="s">
        <v>47</v>
      </c>
      <c r="B45" s="5">
        <v>647</v>
      </c>
      <c r="C45" s="5">
        <v>645</v>
      </c>
      <c r="D45" s="5">
        <v>643.1</v>
      </c>
      <c r="E45" s="5">
        <v>641.2</v>
      </c>
      <c r="F45" s="5">
        <v>639.2</v>
      </c>
      <c r="G45" s="5">
        <v>637.3</v>
      </c>
      <c r="H45" s="5">
        <v>635.4</v>
      </c>
      <c r="I45" s="5">
        <v>633.5</v>
      </c>
      <c r="J45" s="5">
        <v>631.6</v>
      </c>
      <c r="K45" s="5">
        <v>629.7</v>
      </c>
    </row>
    <row r="47" spans="1:11">
      <c r="A47" s="4" t="s">
        <v>48</v>
      </c>
    </row>
    <row r="48" spans="1:11">
      <c r="A48" t="s">
        <v>49</v>
      </c>
      <c r="B48" s="6">
        <f>SUM(B43:K43)</f>
        <v>0</v>
      </c>
    </row>
    <row r="49" spans="1:2">
      <c r="A49" t="s">
        <v>50</v>
      </c>
      <c r="B49" s="6">
        <f>K41*(1+$B$18)</f>
        <v>0</v>
      </c>
    </row>
    <row r="50" spans="1:2">
      <c r="A50" t="s">
        <v>51</v>
      </c>
      <c r="B50" s="6">
        <f>B49/($B$17-$B$18)</f>
        <v>0</v>
      </c>
    </row>
    <row r="51" spans="1:2">
      <c r="A51" t="s">
        <v>52</v>
      </c>
      <c r="B51" s="6">
        <f>K41*$B$19</f>
        <v>0</v>
      </c>
    </row>
    <row r="52" spans="1:2">
      <c r="A52" t="s">
        <v>53</v>
      </c>
      <c r="B52" s="6">
        <f>MIN(B50,B51)</f>
        <v>0</v>
      </c>
    </row>
    <row r="53" spans="1:2">
      <c r="A53" t="s">
        <v>54</v>
      </c>
      <c r="B53" s="6">
        <f>B52*K42</f>
        <v>0</v>
      </c>
    </row>
    <row r="54" spans="1:2">
      <c r="A54" t="s">
        <v>55</v>
      </c>
      <c r="B54" s="6">
        <f>B48+B53</f>
        <v>0</v>
      </c>
    </row>
    <row r="55" spans="1:2">
      <c r="A55" t="s">
        <v>56</v>
      </c>
      <c r="B55" s="6">
        <f>B10</f>
        <v>0</v>
      </c>
    </row>
    <row r="56" spans="1:2">
      <c r="A56" t="s">
        <v>57</v>
      </c>
      <c r="B56" s="6">
        <f>B54-B55</f>
        <v>0</v>
      </c>
    </row>
    <row r="57" spans="1:2">
      <c r="A57" s="9" t="s">
        <v>58</v>
      </c>
      <c r="B57" s="10">
        <f>B56/K45</f>
        <v>0</v>
      </c>
    </row>
    <row r="59" spans="1:2">
      <c r="A59" s="4" t="s">
        <v>59</v>
      </c>
    </row>
    <row r="60" spans="1:2">
      <c r="A60" t="s">
        <v>60</v>
      </c>
      <c r="B60" s="6">
        <f>NPV(0.15,B41:K41)</f>
        <v>0</v>
      </c>
    </row>
    <row r="61" spans="1:2">
      <c r="A61" t="s">
        <v>61</v>
      </c>
      <c r="B61" s="6">
        <f>B52/(1.15^10)</f>
        <v>0</v>
      </c>
    </row>
    <row r="62" spans="1:2">
      <c r="A62" t="s">
        <v>56</v>
      </c>
      <c r="B62" s="6">
        <f>B10</f>
        <v>0</v>
      </c>
    </row>
    <row r="63" spans="1:2">
      <c r="A63" t="s">
        <v>62</v>
      </c>
      <c r="B63" s="10">
        <f>(B60+B61-B62)/K45</f>
        <v>0</v>
      </c>
    </row>
    <row r="65" spans="1:2">
      <c r="A65" t="s">
        <v>63</v>
      </c>
      <c r="B65" s="11">
        <f>(B57-B6)/B6</f>
        <v>0</v>
      </c>
    </row>
    <row r="66" spans="1:2">
      <c r="A66" t="s">
        <v>64</v>
      </c>
      <c r="B66" s="11">
        <f>(B6-B63)/B6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cols>
    <col min="1" max="1" width="18.7109375" customWidth="1"/>
    <col min="2" max="6" width="12.7109375" customWidth="1"/>
  </cols>
  <sheetData>
    <row r="1" spans="1:6">
      <c r="A1" s="1" t="s">
        <v>65</v>
      </c>
    </row>
    <row r="2" spans="1:6">
      <c r="A2" t="s">
        <v>66</v>
      </c>
    </row>
    <row r="4" spans="1:6">
      <c r="A4" s="8" t="s">
        <v>67</v>
      </c>
      <c r="B4" s="12">
        <v>0.0125</v>
      </c>
      <c r="C4" s="12">
        <v>0.0175</v>
      </c>
      <c r="D4" s="12">
        <v>0.0225</v>
      </c>
      <c r="E4" s="12">
        <v>0.0275</v>
      </c>
      <c r="F4" s="12">
        <v>0.0325</v>
      </c>
    </row>
    <row r="5" spans="1:6">
      <c r="A5" s="12">
        <v>0.1</v>
      </c>
      <c r="B5" s="13">
        <v>3.93</v>
      </c>
      <c r="C5" s="13">
        <v>4.07</v>
      </c>
      <c r="D5" s="13">
        <v>4.2</v>
      </c>
      <c r="E5" s="13">
        <v>4.2</v>
      </c>
      <c r="F5" s="13">
        <v>4.2</v>
      </c>
    </row>
    <row r="6" spans="1:6">
      <c r="A6" s="12">
        <v>0.11</v>
      </c>
      <c r="B6" s="13">
        <v>3.43</v>
      </c>
      <c r="C6" s="13">
        <v>3.53</v>
      </c>
      <c r="D6" s="13">
        <v>3.65</v>
      </c>
      <c r="E6" s="13">
        <v>3.78</v>
      </c>
      <c r="F6" s="13">
        <v>3.87</v>
      </c>
    </row>
    <row r="7" spans="1:6">
      <c r="A7" s="12">
        <v>0.12</v>
      </c>
      <c r="B7" s="13">
        <v>3.02</v>
      </c>
      <c r="C7" s="13">
        <v>3.1</v>
      </c>
      <c r="D7" s="13">
        <v>3.18</v>
      </c>
      <c r="E7" s="13">
        <v>3.28</v>
      </c>
      <c r="F7" s="13">
        <v>3.39</v>
      </c>
    </row>
    <row r="8" spans="1:6">
      <c r="A8" s="12">
        <v>0.13</v>
      </c>
      <c r="B8" s="13">
        <v>2.68</v>
      </c>
      <c r="C8" s="13">
        <v>2.74</v>
      </c>
      <c r="D8" s="13">
        <v>2.8</v>
      </c>
      <c r="E8" s="13">
        <v>2.88</v>
      </c>
      <c r="F8" s="13">
        <v>2.96</v>
      </c>
    </row>
    <row r="9" spans="1:6">
      <c r="A9" s="12">
        <v>0.14</v>
      </c>
      <c r="B9" s="13">
        <v>2.39</v>
      </c>
      <c r="C9" s="13">
        <v>2.44</v>
      </c>
      <c r="D9" s="13">
        <v>2.49</v>
      </c>
      <c r="E9" s="13">
        <v>2.55</v>
      </c>
      <c r="F9" s="13">
        <v>2.61</v>
      </c>
    </row>
    <row r="11" spans="1:6">
      <c r="A11" s="2" t="s">
        <v>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4"/>
  <sheetViews>
    <sheetView workbookViewId="0"/>
  </sheetViews>
  <sheetFormatPr defaultRowHeight="15"/>
  <cols>
    <col min="1" max="1" width="24.7109375" customWidth="1"/>
    <col min="2" max="10" width="12.7109375" customWidth="1"/>
  </cols>
  <sheetData>
    <row r="1" spans="1:9">
      <c r="A1" s="1" t="s">
        <v>69</v>
      </c>
    </row>
    <row r="3" spans="1:9">
      <c r="A3" s="8" t="s">
        <v>70</v>
      </c>
      <c r="B3" s="8" t="s">
        <v>71</v>
      </c>
      <c r="C3" s="8" t="s">
        <v>72</v>
      </c>
      <c r="D3" s="8" t="s">
        <v>73</v>
      </c>
      <c r="E3" s="8" t="s">
        <v>74</v>
      </c>
      <c r="F3" s="8" t="s">
        <v>75</v>
      </c>
      <c r="G3" s="8" t="s">
        <v>76</v>
      </c>
      <c r="H3" s="8" t="s">
        <v>77</v>
      </c>
      <c r="I3" s="8" t="s">
        <v>78</v>
      </c>
    </row>
    <row r="4" spans="1:9">
      <c r="A4" t="s">
        <v>36</v>
      </c>
      <c r="B4" s="6">
        <v>12016.6</v>
      </c>
      <c r="C4" s="6">
        <v>12789.4</v>
      </c>
      <c r="D4" s="6">
        <v>12669.4</v>
      </c>
      <c r="E4" s="6">
        <v>11530.2</v>
      </c>
      <c r="F4" s="6">
        <v>10972.3</v>
      </c>
      <c r="G4" s="6">
        <v>11640.4</v>
      </c>
      <c r="H4" s="6">
        <v>10979.5</v>
      </c>
      <c r="I4" s="6">
        <v>10481.5</v>
      </c>
    </row>
    <row r="5" spans="1:9">
      <c r="A5" t="s">
        <v>37</v>
      </c>
      <c r="B5" s="6">
        <v>575</v>
      </c>
      <c r="C5" s="6">
        <v>822.2</v>
      </c>
      <c r="D5" s="6">
        <v>476</v>
      </c>
      <c r="E5" s="6">
        <v>829.2</v>
      </c>
      <c r="F5" s="6">
        <v>648.7</v>
      </c>
      <c r="G5" s="6">
        <v>82.7</v>
      </c>
      <c r="H5" s="6">
        <v>526.5</v>
      </c>
      <c r="I5" s="6">
        <v>625.7</v>
      </c>
    </row>
    <row r="6" spans="1:9">
      <c r="A6" t="s">
        <v>79</v>
      </c>
      <c r="B6" s="6">
        <v>71.40000000000001</v>
      </c>
      <c r="C6" s="6">
        <v>261.8</v>
      </c>
      <c r="D6" s="6">
        <v>-150.3</v>
      </c>
      <c r="E6" s="6">
        <v>181.6</v>
      </c>
      <c r="F6" s="6">
        <v>140</v>
      </c>
      <c r="G6" s="6">
        <v>-385.7</v>
      </c>
      <c r="H6" s="6">
        <v>69.09999999999999</v>
      </c>
      <c r="I6" s="6">
        <v>136.7</v>
      </c>
    </row>
    <row r="7" spans="1:9">
      <c r="A7" t="s">
        <v>80</v>
      </c>
      <c r="B7" s="6">
        <v>179.5</v>
      </c>
      <c r="C7" s="6">
        <v>239.2</v>
      </c>
      <c r="D7" s="6">
        <v>-173.6</v>
      </c>
      <c r="E7" s="6">
        <v>430.1</v>
      </c>
      <c r="F7" s="6">
        <v>215.6</v>
      </c>
      <c r="G7" s="6">
        <v>55.2</v>
      </c>
      <c r="H7" s="6">
        <v>397.8</v>
      </c>
      <c r="I7" s="6">
        <v>439.6</v>
      </c>
    </row>
    <row r="8" spans="1:9">
      <c r="A8" t="s">
        <v>81</v>
      </c>
      <c r="B8" s="6">
        <v>3205.1</v>
      </c>
      <c r="C8" s="6">
        <v>3050.2</v>
      </c>
      <c r="D8" s="6">
        <v>2620.5</v>
      </c>
      <c r="E8" s="6">
        <v>2957.4</v>
      </c>
      <c r="F8" s="6">
        <v>2811.8</v>
      </c>
      <c r="G8" s="6">
        <v>2289.8</v>
      </c>
      <c r="H8" s="6">
        <v>2259.4</v>
      </c>
      <c r="I8" s="6">
        <v>2240.3</v>
      </c>
    </row>
    <row r="10" spans="1:9">
      <c r="A10" s="9" t="s">
        <v>82</v>
      </c>
      <c r="B10" s="13">
        <v>6.66</v>
      </c>
      <c r="C10" s="13">
        <v>6.79</v>
      </c>
      <c r="D10" s="13">
        <v>4.3</v>
      </c>
      <c r="E10" s="13">
        <v>5.59</v>
      </c>
      <c r="F10" s="13">
        <v>5.05</v>
      </c>
      <c r="G10" s="13">
        <v>4.11</v>
      </c>
      <c r="H10" s="13">
        <v>4.64</v>
      </c>
      <c r="I10" s="13">
        <v>6.31</v>
      </c>
    </row>
    <row r="12" spans="1:9">
      <c r="A12" s="4" t="s">
        <v>83</v>
      </c>
    </row>
    <row r="13" spans="1:9">
      <c r="A13" t="s">
        <v>84</v>
      </c>
      <c r="B13" s="6">
        <v>8.48</v>
      </c>
      <c r="C13" s="6">
        <v>6.12</v>
      </c>
      <c r="D13" s="6">
        <v>10.05</v>
      </c>
      <c r="E13" s="6">
        <v>6.31</v>
      </c>
      <c r="F13" s="6">
        <v>7.06</v>
      </c>
      <c r="G13" s="6">
        <v>48.43</v>
      </c>
      <c r="H13" s="6">
        <v>9.06</v>
      </c>
      <c r="I13" s="6">
        <v>7.9</v>
      </c>
    </row>
    <row r="14" spans="1:9">
      <c r="A14" t="s">
        <v>85</v>
      </c>
      <c r="B14" s="6">
        <v>55.47</v>
      </c>
      <c r="C14" s="6">
        <v>15.42</v>
      </c>
      <c r="E14" s="6">
        <v>21.45</v>
      </c>
      <c r="F14" s="6">
        <v>24.36</v>
      </c>
      <c r="H14" s="6">
        <v>45.1</v>
      </c>
      <c r="I14" s="6">
        <v>31</v>
      </c>
    </row>
    <row r="15" spans="1:9">
      <c r="A15" t="s">
        <v>86</v>
      </c>
      <c r="B15" s="6">
        <v>1.24</v>
      </c>
      <c r="C15" s="6">
        <v>1.32</v>
      </c>
      <c r="D15" s="6">
        <v>0.98</v>
      </c>
      <c r="E15" s="6">
        <v>1.32</v>
      </c>
      <c r="F15" s="6">
        <v>1.21</v>
      </c>
      <c r="G15" s="6">
        <v>1.21</v>
      </c>
      <c r="H15" s="6">
        <v>1.38</v>
      </c>
      <c r="I15" s="6">
        <v>1.89</v>
      </c>
    </row>
    <row r="16" spans="1:9">
      <c r="A16" t="s">
        <v>87</v>
      </c>
      <c r="B16" s="6">
        <v>0.33</v>
      </c>
      <c r="C16" s="6">
        <v>0.316</v>
      </c>
      <c r="D16" s="6">
        <v>0.202</v>
      </c>
      <c r="E16" s="6">
        <v>0.338</v>
      </c>
      <c r="F16" s="6">
        <v>0.311</v>
      </c>
      <c r="G16" s="6">
        <v>0.237</v>
      </c>
      <c r="H16" s="6">
        <v>0.284</v>
      </c>
      <c r="I16" s="6">
        <v>0.404</v>
      </c>
    </row>
    <row r="18" spans="1:1">
      <c r="A18" s="9" t="s">
        <v>88</v>
      </c>
    </row>
    <row r="19" spans="1:1">
      <c r="A19" t="s">
        <v>89</v>
      </c>
    </row>
    <row r="20" spans="1:1">
      <c r="A20" t="s">
        <v>90</v>
      </c>
    </row>
    <row r="21" spans="1:1">
      <c r="A21" t="s">
        <v>91</v>
      </c>
    </row>
    <row r="22" spans="1:1">
      <c r="A22" t="s">
        <v>92</v>
      </c>
    </row>
    <row r="24" spans="1:1">
      <c r="A24" s="14" t="s">
        <v>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7"/>
  <sheetViews>
    <sheetView workbookViewId="0"/>
  </sheetViews>
  <sheetFormatPr defaultRowHeight="15"/>
  <cols>
    <col min="1" max="1" width="32.7109375" customWidth="1"/>
    <col min="2" max="9" width="11.7109375" customWidth="1"/>
  </cols>
  <sheetData>
    <row r="1" spans="1:9">
      <c r="A1" s="1" t="s">
        <v>94</v>
      </c>
    </row>
    <row r="3" spans="1:9">
      <c r="A3" s="8" t="s">
        <v>95</v>
      </c>
      <c r="B3" s="8">
        <v>2018</v>
      </c>
      <c r="C3" s="8">
        <v>2019</v>
      </c>
      <c r="D3" s="8">
        <v>2020</v>
      </c>
      <c r="E3" s="8">
        <v>2021</v>
      </c>
      <c r="F3" s="8">
        <v>2022</v>
      </c>
      <c r="G3" s="8">
        <v>2023</v>
      </c>
      <c r="H3" s="8">
        <v>2024</v>
      </c>
      <c r="I3" s="8">
        <v>2025</v>
      </c>
    </row>
    <row r="4" spans="1:9">
      <c r="A4" t="s">
        <v>80</v>
      </c>
      <c r="B4" s="6">
        <v>179.5</v>
      </c>
      <c r="C4" s="6">
        <v>239.2</v>
      </c>
      <c r="D4" s="6">
        <v>-173.6</v>
      </c>
      <c r="E4" s="6">
        <v>430.1</v>
      </c>
      <c r="F4" s="6">
        <v>215.6</v>
      </c>
      <c r="G4" s="6">
        <v>55.2</v>
      </c>
      <c r="H4" s="6">
        <v>397.8</v>
      </c>
      <c r="I4" s="6">
        <v>439.6</v>
      </c>
    </row>
    <row r="5" spans="1:9">
      <c r="A5" t="s">
        <v>96</v>
      </c>
      <c r="B5" s="6">
        <v>0</v>
      </c>
      <c r="C5" s="6">
        <v>0</v>
      </c>
      <c r="D5" s="6">
        <v>152.9</v>
      </c>
      <c r="E5" s="6">
        <v>194.5</v>
      </c>
      <c r="F5" s="6">
        <v>163.6</v>
      </c>
      <c r="G5" s="6">
        <v>165</v>
      </c>
      <c r="H5" s="6">
        <v>163.5</v>
      </c>
      <c r="I5" s="6">
        <v>147.6</v>
      </c>
    </row>
    <row r="6" spans="1:9">
      <c r="A6" t="s">
        <v>97</v>
      </c>
      <c r="B6" s="6">
        <v>2.8</v>
      </c>
      <c r="C6" s="6">
        <v>4</v>
      </c>
      <c r="D6" s="6">
        <v>4.8</v>
      </c>
      <c r="E6" s="6">
        <v>-0.4</v>
      </c>
      <c r="F6" s="6">
        <v>4.2</v>
      </c>
      <c r="G6" s="6">
        <v>4.2</v>
      </c>
      <c r="H6" s="6">
        <v>3.2</v>
      </c>
      <c r="I6" s="6">
        <v>3.7</v>
      </c>
    </row>
    <row r="7" spans="1:9">
      <c r="A7" t="s">
        <v>98</v>
      </c>
      <c r="B7" s="6">
        <v>0</v>
      </c>
      <c r="C7" s="6">
        <v>0</v>
      </c>
      <c r="D7" s="6">
        <v>0</v>
      </c>
      <c r="E7" s="6">
        <v>2.9</v>
      </c>
      <c r="F7" s="6">
        <v>2.2</v>
      </c>
      <c r="G7" s="6">
        <v>7.1</v>
      </c>
      <c r="H7" s="6">
        <v>4.7</v>
      </c>
      <c r="I7" s="6">
        <v>16.9</v>
      </c>
    </row>
    <row r="8" spans="1:9">
      <c r="A8" t="inlineStr">
        <is>
          <t>= Owner FCF</t>
        </is>
      </c>
      <c r="B8" s="6">
        <v>176.7</v>
      </c>
      <c r="C8" s="6">
        <v>235.2</v>
      </c>
      <c r="D8" s="6">
        <v>-331.3</v>
      </c>
      <c r="E8" s="6">
        <v>232.7</v>
      </c>
      <c r="F8" s="6">
        <v>45.6</v>
      </c>
      <c r="G8" s="6">
        <v>-121.1</v>
      </c>
      <c r="H8" s="6">
        <v>226.4</v>
      </c>
      <c r="I8" s="6">
        <v>271.4</v>
      </c>
    </row>
    <row r="10" spans="1:9">
      <c r="A10" t="s">
        <v>99</v>
      </c>
      <c r="B10" s="11">
        <v>0.01493766955711266</v>
      </c>
      <c r="C10" s="11">
        <v>0.01870298841227892</v>
      </c>
      <c r="D10" s="11">
        <v>-0.01370230634442041</v>
      </c>
      <c r="E10" s="11">
        <v>0.03730204159511544</v>
      </c>
      <c r="F10" s="11">
        <v>0.01964948096570455</v>
      </c>
      <c r="G10" s="11">
        <v>0.004742105082299578</v>
      </c>
      <c r="H10" s="11">
        <v>0.03623115806730726</v>
      </c>
      <c r="I10" s="11">
        <v>0.04194056194247007</v>
      </c>
    </row>
    <row r="11" spans="1:9">
      <c r="A11" t="s">
        <v>100</v>
      </c>
      <c r="B11" s="11">
        <v>0.01470465855566466</v>
      </c>
      <c r="C11" s="11">
        <v>0.0183902294087291</v>
      </c>
      <c r="D11" s="11">
        <v>-0.02614962034508343</v>
      </c>
      <c r="E11" s="11">
        <v>0.02018178349031239</v>
      </c>
      <c r="F11" s="11">
        <v>0.004155919907403188</v>
      </c>
      <c r="G11" s="11">
        <v>-0.01040342256279853</v>
      </c>
      <c r="H11" s="11">
        <v>0.02062024682362585</v>
      </c>
      <c r="I11" s="11">
        <v>0.02589324047130659</v>
      </c>
    </row>
    <row r="13" spans="1:9">
      <c r="A13" s="9" t="s">
        <v>101</v>
      </c>
      <c r="B13" s="11">
        <v>0</v>
      </c>
      <c r="C13" s="11">
        <v>0</v>
      </c>
      <c r="D13" s="11"/>
      <c r="E13" s="11">
        <v>0.4522204138572425</v>
      </c>
      <c r="F13" s="11">
        <v>0.7588126159554731</v>
      </c>
      <c r="G13" s="11">
        <v>2.989130434782608</v>
      </c>
      <c r="H13" s="11">
        <v>0.4110105580693816</v>
      </c>
      <c r="I13" s="11">
        <v>0.3357597816196542</v>
      </c>
    </row>
    <row r="15" spans="1:9">
      <c r="A15" s="3" t="s">
        <v>102</v>
      </c>
    </row>
    <row r="16" spans="1:9">
      <c r="A16" s="3" t="s">
        <v>103</v>
      </c>
    </row>
    <row r="17" spans="1:1">
      <c r="A17" t="s">
        <v>104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cols>
    <col min="1" max="1" width="28.7109375" customWidth="1"/>
    <col min="2" max="2" width="90.7109375" customWidth="1"/>
  </cols>
  <sheetData>
    <row r="1" spans="1:2">
      <c r="A1" s="1" t="s">
        <v>105</v>
      </c>
    </row>
    <row r="3" spans="1:2">
      <c r="A3" s="9" t="s">
        <v>106</v>
      </c>
      <c r="B3" t="s">
        <v>107</v>
      </c>
    </row>
    <row r="4" spans="1:2">
      <c r="A4" s="9" t="s">
        <v>108</v>
      </c>
      <c r="B4" t="s">
        <v>109</v>
      </c>
    </row>
    <row r="5" spans="1:2">
      <c r="A5" s="9" t="s">
        <v>110</v>
      </c>
      <c r="B5" t="s">
        <v>111</v>
      </c>
    </row>
    <row r="6" spans="1:2">
      <c r="A6" s="9" t="s">
        <v>112</v>
      </c>
      <c r="B6" t="s">
        <v>113</v>
      </c>
    </row>
    <row r="7" spans="1:2">
      <c r="A7" s="9" t="s">
        <v>114</v>
      </c>
      <c r="B7" t="s">
        <v>115</v>
      </c>
    </row>
    <row r="8" spans="1:2">
      <c r="A8" s="9" t="s">
        <v>116</v>
      </c>
      <c r="B8" t="s">
        <v>117</v>
      </c>
    </row>
    <row r="9" spans="1:2">
      <c r="A9" s="9" t="s">
        <v>118</v>
      </c>
      <c r="B9" t="s">
        <v>119</v>
      </c>
    </row>
    <row r="10" spans="1:2">
      <c r="A10" s="9" t="s">
        <v>120</v>
      </c>
      <c r="B10" t="s">
        <v>121</v>
      </c>
    </row>
    <row r="11" spans="1:2">
      <c r="A11" s="9" t="s">
        <v>122</v>
      </c>
      <c r="B11" t="s">
        <v>123</v>
      </c>
    </row>
    <row r="12" spans="1:2">
      <c r="A12" s="9" t="s">
        <v>124</v>
      </c>
      <c r="B12" t="s">
        <v>125</v>
      </c>
    </row>
    <row r="13" spans="1:2">
      <c r="A13" s="9" t="s">
        <v>126</v>
      </c>
      <c r="B13" t="s">
        <v>127</v>
      </c>
    </row>
    <row r="14" spans="1:2">
      <c r="A14" s="9" t="s">
        <v>128</v>
      </c>
      <c r="B14" t="s">
        <v>129</v>
      </c>
    </row>
    <row r="15" spans="1:2">
      <c r="A15" s="9" t="s">
        <v>130</v>
      </c>
      <c r="B15" t="s">
        <v>131</v>
      </c>
    </row>
    <row r="16" spans="1:2">
      <c r="A16" s="9" t="s">
        <v>132</v>
      </c>
      <c r="B16" t="s">
        <v>133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 Model</vt:lpstr>
      <vt:lpstr>Sensitivity</vt:lpstr>
      <vt:lpstr>Historical</vt:lpstr>
      <vt:lpstr>FCF Quality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2026-08-10T08:00:51Z</dcterms:created>
  <dcterms:modified xsi:type="dcterms:W3CDTF">2026-08-10T08:00:51Z</dcterms:modified>
</cp:coreProperties>
</file>