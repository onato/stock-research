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<sst xmlns="http://schemas.openxmlformats.org/spreadsheetml/2006/main" count="358" uniqueCount="165">
  <si>
    <t xml:space="preserve">Ticker</t>
  </si>
  <si>
    <t xml:space="preserve">0327.HK</t>
  </si>
  <si>
    <t xml:space="preserve">Company</t>
  </si>
  <si>
    <t xml:space="preserve">PAX Global Technology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</si>
  <si>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</si>
  <si>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</si>
  <si>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</si>
  <si>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</si>
  <si>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(HKEX),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</si>
  <si>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</si>
  <si>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</si>
  <si>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</si>
  <si>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</si>
  <si>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</si>
  <si>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</si>
  <si>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</si>
  <si>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</si>
  <si>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</si>
  <si>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</si>
  <si>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</si>
  <si>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</si>
  <si>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2026-10-10T22:22:05Z</t>
  </si>
  <si>
    <t xml:space="preserve">Drivers file</t>
  </si>
  <si>
    <t xml:space="preserve">0327.HK_Drivers.json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</si>
  <si>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</si>
  <si>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</si>
  <si>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</si>
  <si>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PAX is valued as a cyclical hardware manufacturer with a small recurring SaaS tail, on owner FCF after a working-capital drag on growth, at a 12x terminal cap. The striking feature is the price: at HK$3.66 the market cap is roughly the HK$4.08bn of cash and deposits, so the market assigns close to zero value to a business that earned HK$754m attributable in FY2025 and HK$518m in H1 FY2026. Even the bear case values the operating business well above zero. The model therefore says the stock is cheap on flows; the honest counterweight is that the market is pricing a governance/capital-return discount (largest shareholder Hi Sun 34%, new board, dividend cut with record cash, cash largely in RMB/PRC entities) that a DCF cannot see. That discount is not hidden in a WACC premium; it is the gap between weighted IV and price, and it closes only if cash is returned.
key_risks_to_valuation: Cash accessibility: ~HK$4.1bn of cash is ~105% of market cap; if minorities never receive it (retained indefinitely, related-party use, PRC repatriation friction), most of the bridge is worth far less than book; Memory-chip cost inflation persisting beyond 2027 without price pass-through (each 1pp of EBITDA margin is ~HK$0.6/share); Revenue lumpiness: FY2022-25 revenue fell 27%; H1 FY2026 strength may be pull-forward of large North American / World Cup orders; New management (December 2025) and Hi Sun related-party governance; Working capital: inventory rose HK$757m in H1 FY2026; an obsolescence write-down (as in FY2025) would hit both margin and cash; Services/SaaS revenue fell 12% in H1 FY2026 - the recurring-revenue thesis is not yet visible in the numbers</t>
  </si>
  <si>
    <t xml:space="preserve">Data sources</t>
  </si>
  <si>
    <t xml:space="preserve">price: Yahoo Finance chart API at inputs.price_as_of; 52-week range 3.16-5.65
financials: 0327.HK_Metrics.csv (FY2017-FY2025, H1 FY2023-FY2026); FY2025 Annual Report cash-flow statement and notes; H1 FY2026 Interim Report balance sheet, cash-flow statement, segment note (EBITDA), note 12 (diluted shares), note 15 (leases)
qualitative: 0327.HK_Analysis.json (2026-10-11); H1 FY2026 interim MD&amp;A (gross margin, dividend, liquidity)</t>
  </si>
  <si>
    <t xml:space="preserve">Scenario narrative: bear</t>
  </si>
  <si>
    <t xml:space="preserve">Hardware commoditises: Newland, Sunmi and other Chinese peers plus Clover/Square undercut ASPs, the memory squeeze persists into 2027 without price pass-through, and the H1 FY2026 jump proves to be pull-forward (World Cup, one-off North American rollout). Revenue falls again in FY2027 as it did in FY2023-25, services/SaaS keeps shrinking (-12% in H1 FY2026), and EBITDA resets to ~15% - the FY2024 level. The new board's capital allocation stays opaque (dividend cut 68% with record cash), so the cash pile earns little for minorities.</t>
  </si>
  <si>
    <t xml:space="preserve">Scenario narrative: base</t>
  </si>
  <si>
    <t xml:space="preserve">The Android replacement cycle in North America, Europe and Japan carries FY2026 to ~HK$6.4bn (+9%) after a strong H1, then mid-single-digit growth as MAXSTORE's 18m+ connected base slowly lifts the services tail. Memory-chip inflation squeezes gross margin through 2027 and pricing discipline only partly offsets it, so EBITDA settles at the ~18% decade average. Growth keeps consuming working capital at ~40c per incremental HK$. Cash keeps accumulating; the new management team pays modest dividends.</t>
  </si>
  <si>
    <t xml:space="preserve">Scenario narrative: bull</t>
  </si>
  <si>
    <t xml:space="preserve">Android migration runs longer and wider than in base: USCA (+52% in H1) compounds with a leading North American processor and World Cup-related upgrades, Japan's self-service/unattended demand keeps doubling, and LACIS recovers from its FY2025 -20%. Memory prices normalise from 2027, MAXSTORE monetisation reverses the H1 FY2026 services decline, and the opex discipline seen in H1 (R&amp;D -17%, selling -5%) holds, lifting EBITDA to ~20.5% - roughly the FY2020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</si>
  <si>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</si>
  <si>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</si>
  <si>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</si>
  <si>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</si>
  <si>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</si>
  <si>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</si>
  <si>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</si>
  <si>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</si>
  <si>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</si>
  <si>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</si>
  <si>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</si>
  <si>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</si>
  <si>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</si>
  <si>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</si>
  <si>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</si>
  <si>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</si>
  <si>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</si>
  <si>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</si>
  <si>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</si>
  <si>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</si>
  <si>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</si>
  <si>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</si>
  <si>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</si>
  <si>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</si>
  <si>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</si>
  <si>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</si>
  <si>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</si>
  <si>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ProfitForPeriodTotal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</si>
  <si>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</si>
  <si>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</si>
  <si>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</si>
  <si>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</si>
  <si>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</si>
  <si>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</si>
  <si>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</si>
  <si>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</si>
  <si>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</si>
  <si>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</si>
  <si>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</si>
  <si>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</si>
  <si>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</si>
  <si>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</si>
  <si>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</si>
  <si>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</si>
  <si>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</si>
  <si>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</si>
  <si>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</si>
  <si>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</si>
  <si>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</si>
  <si>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</si>
  <si>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</si>
  <si>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</si>
  <si>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</si>
  <si>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</si>
  <si>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</si>
  <si>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</si>
  <si>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</si>
  <si>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</si>
  <si>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</si>
  <si>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</si>
  <si>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</si>
  <si>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</si>
  <si>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</si>
  <si>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</si>
  <si>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</si>
  <si>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</si>
  <si>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</si>
  <si>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</si>
  <si>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</si>
  <si>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</si>
  <si>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</si>
  <si>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</si>
  <si>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</si>
  <si>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</si>
  <si>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0327.HK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</si>
  <si>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</si>
  <si>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</si>
  <si>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</si>
  <si>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</si>
  <si>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</si>
  <si>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</si>
  <si>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</si>
  <si>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</si>
  <si>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</si>
  <si>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</si>
  <si>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</si>
  <si>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</si>
  <si>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</si>
  <si>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</si>
  <si>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</si>
  <si>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</si>
  <si>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</si>
  <si>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</si>
  <si>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</si>
  <si>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</si>
  <si>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</si>
  <si>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</si>
  <si>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</si>
  <si>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</si>
  <si>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</si>
  <si>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</si>
  <si>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</si>
  <si>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</si>
  <si>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</si>
  <si>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</si>
  <si>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0327.HK owner-FCF component DCF: base case (millions, HKD)</t>
  </si>
  <si>
    <t xml:space="preserve">0327.HK owner-FCF component DCF: bull case (millions, HKD)</t>
  </si>
  <si>
    <t xml:space="preserve">0327.HK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</si>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</sst>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3.66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3591.08</v>
      </c>
      <c r="C2" s="0" t="n">
        <v>2133.487</v>
      </c>
      <c r="D2" s="0" t="n">
        <v>1457.593</v>
      </c>
      <c r="E2" s="0" t="n">
        <v>40.6</v>
      </c>
      <c r="F2" s="0" t="n">
        <v>428.023</v>
      </c>
      <c r="G2" s="0" t="n">
        <v>11.9</v>
      </c>
      <c r="I2" s="0" t="n">
        <v>407.507</v>
      </c>
      <c r="J2" s="0" t="n">
        <v>11.3</v>
      </c>
      <c r="K2" s="0" t="n">
        <v>0.367</v>
      </c>
      <c r="L2" s="0" t="n">
        <v>214.47</v>
      </c>
      <c r="M2" s="0" t="n">
        <v>17.52</v>
      </c>
      <c r="N2" s="0" t="n">
        <v>196.95</v>
      </c>
      <c r="O2" s="0" t="n">
        <v>3897.066</v>
      </c>
      <c r="P2" s="0" t="n">
        <v>5232.216</v>
      </c>
      <c r="Q2" s="0" t="n">
        <v>1335.15</v>
      </c>
      <c r="R2" s="0" t="n">
        <v>14.367</v>
      </c>
      <c r="S2" s="0" t="n">
        <v>2165.224</v>
      </c>
      <c r="T2" s="0" t="n">
        <v>1109.277</v>
      </c>
      <c r="AA2" s="0" t="s">
        <v>17</v>
      </c>
      <c r="AB2" s="0" t="s">
        <v>14</v>
      </c>
      <c r="AC2" s="0" t="n">
        <v>336.566</v>
      </c>
    </row>
    <row r="3" customFormat="false" ht="15" hidden="false" customHeight="false" outlineLevel="0" collapsed="false">
      <c r="A3" s="0" t="s">
        <v>65</v>
      </c>
      <c r="B3" s="0" t="n">
        <v>4415.409</v>
      </c>
      <c r="C3" s="0" t="n">
        <v>2788.728</v>
      </c>
      <c r="D3" s="0" t="n">
        <v>1626.681</v>
      </c>
      <c r="E3" s="0" t="n">
        <v>36.8</v>
      </c>
      <c r="F3" s="0" t="n">
        <v>639.269</v>
      </c>
      <c r="G3" s="0" t="n">
        <v>14.5</v>
      </c>
      <c r="H3" s="0" t="n">
        <v>659.608</v>
      </c>
      <c r="I3" s="0" t="n">
        <v>522.47</v>
      </c>
      <c r="J3" s="0" t="n">
        <v>11.8</v>
      </c>
      <c r="K3" s="0" t="n">
        <v>0.475</v>
      </c>
      <c r="L3" s="0" t="n">
        <v>198.28</v>
      </c>
      <c r="M3" s="0" t="n">
        <v>37.214</v>
      </c>
      <c r="N3" s="0" t="n">
        <v>161.066</v>
      </c>
      <c r="O3" s="0" t="n">
        <v>4212.608</v>
      </c>
      <c r="P3" s="0" t="n">
        <v>5775.554</v>
      </c>
      <c r="Q3" s="0" t="n">
        <v>1562.946</v>
      </c>
      <c r="R3" s="0" t="n">
        <v>8.244</v>
      </c>
      <c r="S3" s="0" t="n">
        <v>2160.192</v>
      </c>
      <c r="T3" s="0" t="n">
        <v>1100.194</v>
      </c>
      <c r="U3" s="0" t="n">
        <v>0</v>
      </c>
      <c r="AA3" s="0" t="s">
        <v>17</v>
      </c>
      <c r="AB3" s="0" t="s">
        <v>14</v>
      </c>
      <c r="AC3" s="0" t="n">
        <v>515.398</v>
      </c>
    </row>
    <row r="4" customFormat="false" ht="15" hidden="false" customHeight="false" outlineLevel="0" collapsed="false">
      <c r="A4" s="0" t="s">
        <v>66</v>
      </c>
      <c r="B4" s="0" t="n">
        <v>4925.733</v>
      </c>
      <c r="C4" s="0" t="n">
        <v>2980.9</v>
      </c>
      <c r="D4" s="0" t="n">
        <v>1944.833</v>
      </c>
      <c r="E4" s="0" t="n">
        <v>39.5</v>
      </c>
      <c r="F4" s="0" t="n">
        <v>761.626</v>
      </c>
      <c r="G4" s="0" t="n">
        <v>15.5</v>
      </c>
      <c r="H4" s="0" t="n">
        <v>813.856</v>
      </c>
      <c r="I4" s="0" t="n">
        <v>623.873</v>
      </c>
      <c r="J4" s="0" t="n">
        <v>12.7</v>
      </c>
      <c r="K4" s="0" t="n">
        <v>0.567</v>
      </c>
      <c r="L4" s="0" t="n">
        <v>1206.891</v>
      </c>
      <c r="M4" s="0" t="n">
        <v>28.028</v>
      </c>
      <c r="N4" s="0" t="n">
        <v>1178.863</v>
      </c>
      <c r="O4" s="0" t="n">
        <v>4739.352</v>
      </c>
      <c r="P4" s="0" t="n">
        <v>6719.223</v>
      </c>
      <c r="Q4" s="0" t="n">
        <v>1979.871</v>
      </c>
      <c r="R4" s="0" t="n">
        <v>2.254</v>
      </c>
      <c r="S4" s="0" t="n">
        <v>3230.005</v>
      </c>
      <c r="T4" s="0" t="n">
        <v>1100.194</v>
      </c>
      <c r="U4" s="0" t="n">
        <v>38.686</v>
      </c>
      <c r="AA4" s="0" t="s">
        <v>17</v>
      </c>
      <c r="AB4" s="0" t="s">
        <v>14</v>
      </c>
      <c r="AC4" s="0" t="n">
        <v>624.864</v>
      </c>
    </row>
    <row r="5" customFormat="false" ht="15" hidden="false" customHeight="false" outlineLevel="0" collapsed="false">
      <c r="A5" s="0" t="s">
        <v>67</v>
      </c>
      <c r="B5" s="0" t="n">
        <v>5650.619</v>
      </c>
      <c r="C5" s="0" t="n">
        <v>3313.31</v>
      </c>
      <c r="D5" s="0" t="n">
        <v>2337.309</v>
      </c>
      <c r="E5" s="0" t="n">
        <v>41.4</v>
      </c>
      <c r="F5" s="0" t="n">
        <v>1067.172</v>
      </c>
      <c r="G5" s="0" t="n">
        <v>18.9</v>
      </c>
      <c r="H5" s="0" t="n">
        <v>1127.584</v>
      </c>
      <c r="I5" s="0" t="n">
        <v>900.123</v>
      </c>
      <c r="J5" s="0" t="n">
        <v>15.9</v>
      </c>
      <c r="K5" s="0" t="n">
        <v>0.823</v>
      </c>
      <c r="L5" s="0" t="n">
        <v>735.048</v>
      </c>
      <c r="M5" s="0" t="n">
        <v>60.155</v>
      </c>
      <c r="N5" s="0" t="n">
        <v>674.893</v>
      </c>
      <c r="O5" s="0" t="n">
        <v>5573.572</v>
      </c>
      <c r="P5" s="0" t="n">
        <v>7637.059</v>
      </c>
      <c r="Q5" s="0" t="n">
        <v>2063.487</v>
      </c>
      <c r="R5" s="0" t="n">
        <v>0</v>
      </c>
      <c r="S5" s="0" t="n">
        <v>3802.741</v>
      </c>
      <c r="T5" s="0" t="n">
        <v>1093.117</v>
      </c>
      <c r="U5" s="0" t="n">
        <v>38.805</v>
      </c>
      <c r="AA5" s="0" t="s">
        <v>17</v>
      </c>
      <c r="AB5" s="0" t="s">
        <v>14</v>
      </c>
      <c r="AC5" s="0" t="n">
        <v>903.85</v>
      </c>
    </row>
    <row r="6" customFormat="false" ht="15" hidden="false" customHeight="false" outlineLevel="0" collapsed="false">
      <c r="A6" s="0" t="s">
        <v>68</v>
      </c>
      <c r="B6" s="0" t="n">
        <v>7195.982</v>
      </c>
      <c r="C6" s="0" t="n">
        <v>4368.785</v>
      </c>
      <c r="D6" s="0" t="n">
        <v>2827.197</v>
      </c>
      <c r="E6" s="0" t="n">
        <v>39.3</v>
      </c>
      <c r="F6" s="0" t="n">
        <v>1277.972</v>
      </c>
      <c r="G6" s="0" t="n">
        <v>17.8</v>
      </c>
      <c r="H6" s="0" t="n">
        <v>1346.355</v>
      </c>
      <c r="I6" s="0" t="n">
        <v>1083.774</v>
      </c>
      <c r="J6" s="0" t="n">
        <v>15.1</v>
      </c>
      <c r="K6" s="0" t="n">
        <v>0.957</v>
      </c>
      <c r="L6" s="0" t="n">
        <v>347.659</v>
      </c>
      <c r="M6" s="0" t="n">
        <v>344.869</v>
      </c>
      <c r="N6" s="0" t="n">
        <v>2.79</v>
      </c>
      <c r="O6" s="0" t="n">
        <v>6456.556</v>
      </c>
      <c r="P6" s="0" t="n">
        <v>8821.278</v>
      </c>
      <c r="Q6" s="0" t="n">
        <v>2364.722</v>
      </c>
      <c r="R6" s="0" t="n">
        <v>0</v>
      </c>
      <c r="S6" s="0" t="n">
        <v>3532.954</v>
      </c>
      <c r="T6" s="0" t="n">
        <v>1132.246</v>
      </c>
      <c r="U6" s="0" t="n">
        <v>13.668</v>
      </c>
      <c r="AA6" s="0" t="s">
        <v>17</v>
      </c>
      <c r="AB6" s="0" t="s">
        <v>14</v>
      </c>
      <c r="AC6" s="0" t="n">
        <v>1092.242</v>
      </c>
    </row>
    <row r="7" customFormat="false" ht="15" hidden="false" customHeight="false" outlineLevel="0" collapsed="false">
      <c r="A7" s="0" t="s">
        <v>69</v>
      </c>
      <c r="B7" s="0" t="n">
        <v>8062.702</v>
      </c>
      <c r="C7" s="0" t="n">
        <v>4756.561</v>
      </c>
      <c r="D7" s="0" t="n">
        <v>3306.141</v>
      </c>
      <c r="E7" s="0" t="n">
        <v>41</v>
      </c>
      <c r="F7" s="0" t="n">
        <v>1429.342</v>
      </c>
      <c r="G7" s="0" t="n">
        <v>17.7</v>
      </c>
      <c r="H7" s="0" t="n">
        <v>1492.72</v>
      </c>
      <c r="I7" s="0" t="n">
        <v>1264.675</v>
      </c>
      <c r="J7" s="0" t="n">
        <v>15.7</v>
      </c>
      <c r="K7" s="0" t="n">
        <v>1.141</v>
      </c>
      <c r="L7" s="0" t="n">
        <v>648.527</v>
      </c>
      <c r="M7" s="0" t="n">
        <v>330.609</v>
      </c>
      <c r="N7" s="0" t="n">
        <v>317.918</v>
      </c>
      <c r="O7" s="0" t="n">
        <v>6905.85</v>
      </c>
      <c r="P7" s="0" t="n">
        <v>9490.329</v>
      </c>
      <c r="Q7" s="0" t="n">
        <v>2584.479</v>
      </c>
      <c r="R7" s="0" t="n">
        <v>0</v>
      </c>
      <c r="S7" s="0" t="n">
        <v>3160.238</v>
      </c>
      <c r="T7" s="0" t="n">
        <v>1107.932</v>
      </c>
      <c r="U7" s="0" t="n">
        <v>0</v>
      </c>
      <c r="AA7" s="0" t="s">
        <v>17</v>
      </c>
      <c r="AB7" s="0" t="s">
        <v>14</v>
      </c>
      <c r="AC7" s="0" t="n">
        <v>1268.203</v>
      </c>
    </row>
    <row r="8" customFormat="false" ht="15" hidden="false" customHeight="false" outlineLevel="0" collapsed="false">
      <c r="A8" s="0" t="s">
        <v>70</v>
      </c>
      <c r="B8" s="0" t="n">
        <v>6709.324</v>
      </c>
      <c r="C8" s="0" t="n">
        <v>3715.323</v>
      </c>
      <c r="D8" s="0" t="n">
        <v>2994.001</v>
      </c>
      <c r="E8" s="0" t="n">
        <v>44.6</v>
      </c>
      <c r="F8" s="0" t="n">
        <v>1254.366</v>
      </c>
      <c r="G8" s="0" t="n">
        <v>18.7</v>
      </c>
      <c r="H8" s="0" t="n">
        <v>1320.011</v>
      </c>
      <c r="I8" s="0" t="n">
        <v>1155.164</v>
      </c>
      <c r="J8" s="0" t="n">
        <v>17.2</v>
      </c>
      <c r="K8" s="0" t="n">
        <v>1.051</v>
      </c>
      <c r="L8" s="0" t="n">
        <v>490.017</v>
      </c>
      <c r="M8" s="0" t="n">
        <v>213.001</v>
      </c>
      <c r="N8" s="0" t="n">
        <v>277.016</v>
      </c>
      <c r="O8" s="0" t="n">
        <v>7486.174</v>
      </c>
      <c r="P8" s="0" t="n">
        <v>9075.329</v>
      </c>
      <c r="Q8" s="0" t="n">
        <v>1589.155</v>
      </c>
      <c r="R8" s="0" t="n">
        <v>0</v>
      </c>
      <c r="S8" s="0" t="n">
        <v>2863.597</v>
      </c>
      <c r="T8" s="0" t="n">
        <v>1099.336</v>
      </c>
      <c r="U8" s="0" t="n">
        <v>0</v>
      </c>
      <c r="AA8" s="0" t="s">
        <v>17</v>
      </c>
      <c r="AB8" s="0" t="s">
        <v>14</v>
      </c>
      <c r="AC8" s="0" t="n">
        <v>1165.103</v>
      </c>
    </row>
    <row r="9" customFormat="false" ht="15" hidden="false" customHeight="false" outlineLevel="0" collapsed="false">
      <c r="A9" s="0" t="s">
        <v>71</v>
      </c>
      <c r="B9" s="0" t="n">
        <v>6044.878</v>
      </c>
      <c r="C9" s="0" t="n">
        <v>3191.489</v>
      </c>
      <c r="D9" s="0" t="n">
        <v>2853.389</v>
      </c>
      <c r="E9" s="0" t="n">
        <v>47.2</v>
      </c>
      <c r="F9" s="0" t="n">
        <v>856.163</v>
      </c>
      <c r="G9" s="0" t="n">
        <v>14.2</v>
      </c>
      <c r="H9" s="0" t="n">
        <v>954.202</v>
      </c>
      <c r="I9" s="0" t="n">
        <v>713.427</v>
      </c>
      <c r="J9" s="0" t="n">
        <v>11.8</v>
      </c>
      <c r="K9" s="0" t="n">
        <v>0.658</v>
      </c>
      <c r="L9" s="0" t="n">
        <v>1162.691</v>
      </c>
      <c r="M9" s="0" t="n">
        <v>126.876</v>
      </c>
      <c r="N9" s="0" t="n">
        <v>1035.815</v>
      </c>
      <c r="O9" s="0" t="n">
        <v>7564.587</v>
      </c>
      <c r="P9" s="0" t="n">
        <v>9169.505</v>
      </c>
      <c r="Q9" s="0" t="n">
        <v>1604.918</v>
      </c>
      <c r="R9" s="0" t="n">
        <v>0</v>
      </c>
      <c r="S9" s="0" t="n">
        <v>3083.598</v>
      </c>
      <c r="T9" s="0" t="n">
        <v>1084.507</v>
      </c>
      <c r="U9" s="0" t="n">
        <v>31.668</v>
      </c>
      <c r="AA9" s="0" t="s">
        <v>17</v>
      </c>
      <c r="AB9" s="0" t="s">
        <v>14</v>
      </c>
      <c r="AC9" s="0" t="n">
        <v>720.922</v>
      </c>
    </row>
    <row r="10" customFormat="false" ht="15" hidden="false" customHeight="false" outlineLevel="0" collapsed="false">
      <c r="A10" s="0" t="s">
        <v>72</v>
      </c>
      <c r="B10" s="0" t="n">
        <v>5872.54</v>
      </c>
      <c r="C10" s="0" t="n">
        <v>3312.517</v>
      </c>
      <c r="D10" s="0" t="n">
        <v>2560.023</v>
      </c>
      <c r="E10" s="0" t="n">
        <v>43.6</v>
      </c>
      <c r="F10" s="0" t="n">
        <v>915.794</v>
      </c>
      <c r="G10" s="0" t="n">
        <v>15.6</v>
      </c>
      <c r="H10" s="0" t="n">
        <v>1028.164</v>
      </c>
      <c r="I10" s="0" t="n">
        <v>753.587</v>
      </c>
      <c r="J10" s="0" t="n">
        <v>12.8</v>
      </c>
      <c r="K10" s="0" t="n">
        <v>0.7</v>
      </c>
      <c r="L10" s="0" t="n">
        <v>1304.509</v>
      </c>
      <c r="M10" s="0" t="n">
        <v>63.414</v>
      </c>
      <c r="N10" s="0" t="n">
        <v>1241.095</v>
      </c>
      <c r="O10" s="0" t="n">
        <v>7972.42</v>
      </c>
      <c r="P10" s="0" t="n">
        <v>9979.194</v>
      </c>
      <c r="Q10" s="0" t="n">
        <v>2006.774</v>
      </c>
      <c r="R10" s="0" t="n">
        <v>0</v>
      </c>
      <c r="S10" s="0" t="n">
        <v>3907.245</v>
      </c>
      <c r="T10" s="0" t="n">
        <v>1076.827</v>
      </c>
      <c r="U10" s="0" t="n">
        <v>0</v>
      </c>
      <c r="AA10" s="0" t="s">
        <v>17</v>
      </c>
      <c r="AB10" s="0" t="s">
        <v>14</v>
      </c>
      <c r="AC10" s="0" t="n">
        <v>756.218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3.66</v>
      </c>
    </row>
    <row r="3" customFormat="false" ht="15" hidden="false" customHeight="false" outlineLevel="0" collapsed="false">
      <c r="A3" s="0" t="s">
        <v>76</v>
      </c>
      <c r="B3" s="3" t="n">
        <v>1067.6</v>
      </c>
    </row>
    <row r="4" customFormat="false" ht="15" hidden="false" customHeight="false" outlineLevel="0" collapsed="false">
      <c r="A4" s="0" t="s">
        <v>77</v>
      </c>
      <c r="B4" s="3" t="n">
        <v>-4021.4</v>
      </c>
    </row>
    <row r="5" customFormat="false" ht="15" hidden="false" customHeight="false" outlineLevel="0" collapsed="false">
      <c r="A5" s="0" t="s">
        <v>78</v>
      </c>
      <c r="B5" s="3" t="n">
        <v>-244.8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5872.54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5</v>
      </c>
      <c r="D13" s="3" t="n">
        <v>-3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18</v>
      </c>
      <c r="D14" s="3" t="n">
        <v>16</v>
      </c>
      <c r="E14" s="3" t="n">
        <v>15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98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101</v>
      </c>
      <c r="C18" s="3" t="n">
        <v>2.3</v>
      </c>
      <c r="D18" s="3" t="n">
        <v>2.3</v>
      </c>
      <c r="E18" s="3" t="n">
        <v>2.3</v>
      </c>
      <c r="F18" s="3" t="n">
        <v>2.3</v>
      </c>
      <c r="G18" s="3" t="n">
        <v>2.3</v>
      </c>
      <c r="H18" s="3" t="n">
        <v>2.3</v>
      </c>
      <c r="I18" s="3" t="n">
        <v>2.3</v>
      </c>
      <c r="J18" s="3" t="n">
        <v>2.3</v>
      </c>
      <c r="K18" s="3" t="n">
        <v>2.3</v>
      </c>
      <c r="L18" s="3" t="n">
        <v>2.3</v>
      </c>
    </row>
    <row r="19" customFormat="false" ht="15" hidden="false" customHeight="false" outlineLevel="0" collapsed="false">
      <c r="A19" s="0" t="s">
        <v>102</v>
      </c>
      <c r="C19" s="3" t="n">
        <v>17</v>
      </c>
      <c r="D19" s="3" t="n">
        <v>17</v>
      </c>
      <c r="E19" s="3" t="n">
        <v>17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103</v>
      </c>
      <c r="B20" s="3" t="n">
        <v>9.5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-40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9</v>
      </c>
      <c r="D27" s="3" t="n">
        <v>5</v>
      </c>
      <c r="E27" s="3" t="n">
        <v>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19.5</v>
      </c>
      <c r="D28" s="3" t="n">
        <v>18.5</v>
      </c>
      <c r="E28" s="3" t="n">
        <v>18</v>
      </c>
      <c r="F28" s="3" t="n">
        <v>18</v>
      </c>
      <c r="G28" s="3" t="n">
        <v>18</v>
      </c>
      <c r="H28" s="3" t="n">
        <v>18</v>
      </c>
      <c r="I28" s="3" t="n">
        <v>18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98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2</v>
      </c>
      <c r="D31" s="3" t="n">
        <v>2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101</v>
      </c>
      <c r="C32" s="3" t="n">
        <v>2.3</v>
      </c>
      <c r="D32" s="3" t="n">
        <v>2.3</v>
      </c>
      <c r="E32" s="3" t="n">
        <v>2.3</v>
      </c>
      <c r="F32" s="3" t="n">
        <v>2.3</v>
      </c>
      <c r="G32" s="3" t="n">
        <v>2.3</v>
      </c>
      <c r="H32" s="3" t="n">
        <v>2.3</v>
      </c>
      <c r="I32" s="3" t="n">
        <v>2.3</v>
      </c>
      <c r="J32" s="3" t="n">
        <v>2.3</v>
      </c>
      <c r="K32" s="3" t="n">
        <v>2.3</v>
      </c>
      <c r="L32" s="3" t="n">
        <v>2.3</v>
      </c>
    </row>
    <row r="33" customFormat="false" ht="15" hidden="false" customHeight="false" outlineLevel="0" collapsed="false">
      <c r="A33" s="0" t="s">
        <v>102</v>
      </c>
      <c r="C33" s="3" t="n">
        <v>16</v>
      </c>
      <c r="D33" s="3" t="n">
        <v>16</v>
      </c>
      <c r="E33" s="3" t="n">
        <v>16</v>
      </c>
      <c r="F33" s="3" t="n">
        <v>16</v>
      </c>
      <c r="G33" s="3" t="n">
        <v>16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103</v>
      </c>
      <c r="B34" s="3" t="n">
        <v>9.5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-40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13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20.5</v>
      </c>
      <c r="D42" s="3" t="n">
        <v>20</v>
      </c>
      <c r="E42" s="3" t="n">
        <v>20</v>
      </c>
      <c r="F42" s="3" t="n">
        <v>20.5</v>
      </c>
      <c r="G42" s="3" t="n">
        <v>20.5</v>
      </c>
      <c r="H42" s="3" t="n">
        <v>20.5</v>
      </c>
      <c r="I42" s="3" t="n">
        <v>20.5</v>
      </c>
      <c r="J42" s="3" t="n">
        <v>20.5</v>
      </c>
      <c r="K42" s="3" t="n">
        <v>20.5</v>
      </c>
      <c r="L42" s="3" t="n">
        <v>20.5</v>
      </c>
    </row>
    <row r="43" customFormat="false" ht="15" hidden="false" customHeight="false" outlineLevel="0" collapsed="false">
      <c r="A43" s="0" t="s">
        <v>98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2</v>
      </c>
      <c r="D45" s="3" t="n">
        <v>2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101</v>
      </c>
      <c r="C46" s="3" t="n">
        <v>2.3</v>
      </c>
      <c r="D46" s="3" t="n">
        <v>2.3</v>
      </c>
      <c r="E46" s="3" t="n">
        <v>2.3</v>
      </c>
      <c r="F46" s="3" t="n">
        <v>2.3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102</v>
      </c>
      <c r="C47" s="3" t="n">
        <v>16</v>
      </c>
      <c r="D47" s="3" t="n">
        <v>16</v>
      </c>
      <c r="E47" s="3" t="n">
        <v>16</v>
      </c>
      <c r="F47" s="3" t="n">
        <v>16</v>
      </c>
      <c r="G47" s="3" t="n">
        <v>16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103</v>
      </c>
      <c r="B48" s="3" t="n">
        <v>9.5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-40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5</v>
      </c>
      <c r="D5" s="4" t="n">
        <f aca="false">Assumptions!D13</f>
        <v>-3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5872.54</v>
      </c>
      <c r="C6" s="0" t="n">
        <f aca="false">B6*(1+C5/100)</f>
        <v>6166.167</v>
      </c>
      <c r="D6" s="0" t="n">
        <f aca="false">C6*(1+D5/100)</f>
        <v>5981.18199</v>
      </c>
      <c r="E6" s="0" t="n">
        <f aca="false">D6*(1+E5/100)</f>
        <v>5981.18199</v>
      </c>
      <c r="F6" s="0" t="n">
        <f aca="false">E6*(1+F5/100)</f>
        <v>6100.8056298</v>
      </c>
      <c r="G6" s="0" t="n">
        <f aca="false">F6*(1+G5/100)</f>
        <v>6222.821742396</v>
      </c>
      <c r="H6" s="0" t="n">
        <f aca="false">G6*(1+H5/100)</f>
        <v>6347.27817724392</v>
      </c>
      <c r="I6" s="0" t="n">
        <f aca="false">H6*(1+I5/100)</f>
        <v>6474.2237407888</v>
      </c>
      <c r="J6" s="0" t="n">
        <f aca="false">I6*(1+J5/100)</f>
        <v>6603.70821560457</v>
      </c>
      <c r="K6" s="0" t="n">
        <f aca="false">J6*(1+K5/100)</f>
        <v>6735.78237991667</v>
      </c>
      <c r="L6" s="0" t="n">
        <f aca="false">K6*(1+L5/100)</f>
        <v>6870.498027515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18</v>
      </c>
      <c r="D7" s="4" t="n">
        <f aca="false">Assumptions!D14</f>
        <v>16</v>
      </c>
      <c r="E7" s="4" t="n">
        <f aca="false">Assumptions!E14</f>
        <v>15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1109.91006</v>
      </c>
      <c r="D8" s="0" t="n">
        <f aca="false">D6*D7/100</f>
        <v>956.9891184</v>
      </c>
      <c r="E8" s="0" t="n">
        <f aca="false">E6*E7/100</f>
        <v>897.1772985</v>
      </c>
      <c r="F8" s="0" t="n">
        <f aca="false">F6*F7/100</f>
        <v>915.12084447</v>
      </c>
      <c r="G8" s="0" t="n">
        <f aca="false">G6*G7/100</f>
        <v>933.4232613594</v>
      </c>
      <c r="H8" s="0" t="n">
        <f aca="false">H6*H7/100</f>
        <v>952.091726586588</v>
      </c>
      <c r="I8" s="0" t="n">
        <f aca="false">I6*I7/100</f>
        <v>971.13356111832</v>
      </c>
      <c r="J8" s="0" t="n">
        <f aca="false">J6*J7/100</f>
        <v>990.556232340686</v>
      </c>
      <c r="K8" s="0" t="n">
        <f aca="false">K6*K7/100</f>
        <v>1010.3673569875</v>
      </c>
      <c r="L8" s="0" t="n">
        <f aca="false">L6*L7/100</f>
        <v>1030.57470412725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-18.498501</v>
      </c>
      <c r="D10" s="0" t="n">
        <f aca="false">-D6*D9/100</f>
        <v>-17.94354597</v>
      </c>
      <c r="E10" s="0" t="n">
        <f aca="false">-E6*E9/100</f>
        <v>-17.94354597</v>
      </c>
      <c r="F10" s="0" t="n">
        <f aca="false">-F6*F9/100</f>
        <v>-18.3024168894</v>
      </c>
      <c r="G10" s="0" t="n">
        <f aca="false">-G6*G9/100</f>
        <v>-18.668465227188</v>
      </c>
      <c r="H10" s="0" t="n">
        <f aca="false">-H6*H9/100</f>
        <v>-19.0418345317318</v>
      </c>
      <c r="I10" s="0" t="n">
        <f aca="false">-I6*I9/100</f>
        <v>-19.4226712223664</v>
      </c>
      <c r="J10" s="0" t="n">
        <f aca="false">-J6*J9/100</f>
        <v>-19.8111246468137</v>
      </c>
      <c r="K10" s="0" t="n">
        <f aca="false">-K6*K9/100</f>
        <v>-20.20734713975</v>
      </c>
      <c r="L10" s="0" t="n">
        <f aca="false">-L6*L9/100</f>
        <v>-20.611494082545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1091.411559</v>
      </c>
      <c r="D11" s="0" t="n">
        <f aca="false">D8+D10+D24</f>
        <v>939.04557243</v>
      </c>
      <c r="E11" s="0" t="n">
        <f aca="false">E8+E10+E24</f>
        <v>879.23375253</v>
      </c>
      <c r="F11" s="0" t="n">
        <f aca="false">F8+F10+F24</f>
        <v>896.8184275806</v>
      </c>
      <c r="G11" s="0" t="n">
        <f aca="false">G8+G10+G24</f>
        <v>914.754796132212</v>
      </c>
      <c r="H11" s="0" t="n">
        <f aca="false">H8+H10+H24</f>
        <v>933.049892054856</v>
      </c>
      <c r="I11" s="0" t="n">
        <f aca="false">I8+I10+I24</f>
        <v>951.710889895953</v>
      </c>
      <c r="J11" s="0" t="n">
        <f aca="false">J8+J10+J24</f>
        <v>970.745107693873</v>
      </c>
      <c r="K11" s="0" t="n">
        <f aca="false">K8+K10+K24</f>
        <v>990.16000984775</v>
      </c>
      <c r="L11" s="0" t="n">
        <f aca="false">L8+L10+L24</f>
        <v>1009.96321004471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-123.32334</v>
      </c>
      <c r="D12" s="4" t="n">
        <f aca="false">-D6*Assumptions!D17/100</f>
        <v>-119.6236398</v>
      </c>
      <c r="E12" s="4" t="n">
        <f aca="false">-E6*Assumptions!E17/100</f>
        <v>-119.6236398</v>
      </c>
      <c r="F12" s="4" t="n">
        <f aca="false">-F6*Assumptions!F17/100</f>
        <v>-122.016112596</v>
      </c>
      <c r="G12" s="4" t="n">
        <f aca="false">-G6*Assumptions!G17/100</f>
        <v>-124.45643484792</v>
      </c>
      <c r="H12" s="4" t="n">
        <f aca="false">-H6*Assumptions!H17/100</f>
        <v>-126.945563544878</v>
      </c>
      <c r="I12" s="4" t="n">
        <f aca="false">-I6*Assumptions!I17/100</f>
        <v>-129.484474815776</v>
      </c>
      <c r="J12" s="4" t="n">
        <f aca="false">-J6*Assumptions!J17/100</f>
        <v>-132.074164312091</v>
      </c>
      <c r="K12" s="4" t="n">
        <f aca="false">-K6*Assumptions!K17/100</f>
        <v>-134.715647598333</v>
      </c>
      <c r="L12" s="4" t="n">
        <f aca="false">-L6*Assumptions!L17/100</f>
        <v>-137.4099605503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968.088219</v>
      </c>
      <c r="D13" s="0" t="n">
        <f aca="false">D11+D12</f>
        <v>819.42193263</v>
      </c>
      <c r="E13" s="0" t="n">
        <f aca="false">E11+E12</f>
        <v>759.61011273</v>
      </c>
      <c r="F13" s="0" t="n">
        <f aca="false">F11+F12</f>
        <v>774.8023149846</v>
      </c>
      <c r="G13" s="0" t="n">
        <f aca="false">G11+G12</f>
        <v>790.298361284292</v>
      </c>
      <c r="H13" s="0" t="n">
        <f aca="false">H11+H12</f>
        <v>806.104328509978</v>
      </c>
      <c r="I13" s="0" t="n">
        <f aca="false">I11+I12</f>
        <v>822.226415080178</v>
      </c>
      <c r="J13" s="0" t="n">
        <f aca="false">J11+J12</f>
        <v>838.670943381781</v>
      </c>
      <c r="K13" s="0" t="n">
        <f aca="false">K11+K12</f>
        <v>855.444362249417</v>
      </c>
      <c r="L13" s="0" t="n">
        <f aca="false">L11+L12</f>
        <v>872.553249494405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17</v>
      </c>
      <c r="D14" s="4" t="n">
        <f aca="false">Assumptions!D19</f>
        <v>17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803.51322177</v>
      </c>
      <c r="D15" s="0" t="n">
        <f aca="false">D13-MAX(0,D13)*D14/100</f>
        <v>680.1202040829</v>
      </c>
      <c r="E15" s="0" t="n">
        <f aca="false">E13-MAX(0,E13)*E14/100</f>
        <v>630.4763935659</v>
      </c>
      <c r="F15" s="0" t="n">
        <f aca="false">F13-MAX(0,F13)*F14/100</f>
        <v>643.085921437218</v>
      </c>
      <c r="G15" s="0" t="n">
        <f aca="false">G13-MAX(0,G13)*G14/100</f>
        <v>655.947639865962</v>
      </c>
      <c r="H15" s="0" t="n">
        <f aca="false">H13-MAX(0,H13)*H14/100</f>
        <v>669.066592663282</v>
      </c>
      <c r="I15" s="0" t="n">
        <f aca="false">I13-MAX(0,I13)*I14/100</f>
        <v>682.447924516547</v>
      </c>
      <c r="J15" s="0" t="n">
        <f aca="false">J13-MAX(0,J13)*J14/100</f>
        <v>696.096883006878</v>
      </c>
      <c r="K15" s="0" t="n">
        <f aca="false">K13-MAX(0,K13)*K14/100</f>
        <v>710.018820667016</v>
      </c>
      <c r="L15" s="0" t="n">
        <f aca="false">L13-MAX(0,L13)*L14/100</f>
        <v>724.219197080356</v>
      </c>
    </row>
    <row r="16" customFormat="false" ht="15" hidden="false" customHeight="false" outlineLevel="0" collapsed="false">
      <c r="A16" s="0" t="s">
        <v>118</v>
      </c>
      <c r="C16" s="0" t="n">
        <f aca="false">-C12</f>
        <v>123.32334</v>
      </c>
      <c r="D16" s="0" t="n">
        <f aca="false">-D12</f>
        <v>119.6236398</v>
      </c>
      <c r="E16" s="0" t="n">
        <f aca="false">-E12</f>
        <v>119.6236398</v>
      </c>
      <c r="F16" s="0" t="n">
        <f aca="false">-F12</f>
        <v>122.016112596</v>
      </c>
      <c r="G16" s="0" t="n">
        <f aca="false">-G12</f>
        <v>124.45643484792</v>
      </c>
      <c r="H16" s="0" t="n">
        <f aca="false">-H12</f>
        <v>126.945563544878</v>
      </c>
      <c r="I16" s="0" t="n">
        <f aca="false">-I12</f>
        <v>129.484474815776</v>
      </c>
      <c r="J16" s="0" t="n">
        <f aca="false">-J12</f>
        <v>132.074164312091</v>
      </c>
      <c r="K16" s="0" t="n">
        <f aca="false">-K12</f>
        <v>134.715647598333</v>
      </c>
      <c r="L16" s="0" t="n">
        <f aca="false">-L12</f>
        <v>137.4099605503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-141.821841</v>
      </c>
      <c r="D17" s="4" t="n">
        <f aca="false">-D6*Assumptions!D18/100</f>
        <v>-137.56718577</v>
      </c>
      <c r="E17" s="4" t="n">
        <f aca="false">-E6*Assumptions!E18/100</f>
        <v>-137.56718577</v>
      </c>
      <c r="F17" s="4" t="n">
        <f aca="false">-F6*Assumptions!F18/100</f>
        <v>-140.3185294854</v>
      </c>
      <c r="G17" s="4" t="n">
        <f aca="false">-G6*Assumptions!G18/100</f>
        <v>-143.124900075108</v>
      </c>
      <c r="H17" s="4" t="n">
        <f aca="false">-H6*Assumptions!H18/100</f>
        <v>-145.98739807661</v>
      </c>
      <c r="I17" s="4" t="n">
        <f aca="false">-I6*Assumptions!I18/100</f>
        <v>-148.907146038142</v>
      </c>
      <c r="J17" s="4" t="n">
        <f aca="false">-J6*Assumptions!J18/100</f>
        <v>-151.885288958905</v>
      </c>
      <c r="K17" s="4" t="n">
        <f aca="false">-K6*Assumptions!K18/100</f>
        <v>-154.922994738083</v>
      </c>
      <c r="L17" s="4" t="n">
        <f aca="false">-L6*Assumptions!L18/100</f>
        <v>-158.021454632845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-117.4508</v>
      </c>
      <c r="D18" s="4" t="n">
        <f aca="false">(D6-C6)*Assumptions!$B$23/100</f>
        <v>73.9940040000001</v>
      </c>
      <c r="E18" s="4" t="n">
        <f aca="false">(E6-D6)*Assumptions!$B$23/100</f>
        <v>-0</v>
      </c>
      <c r="F18" s="4" t="n">
        <f aca="false">(F6-E6)*Assumptions!$B$23/100</f>
        <v>-47.84945592</v>
      </c>
      <c r="G18" s="4" t="n">
        <f aca="false">(G6-F6)*Assumptions!$B$23/100</f>
        <v>-48.8064450384001</v>
      </c>
      <c r="H18" s="4" t="n">
        <f aca="false">(H6-G6)*Assumptions!$B$23/100</f>
        <v>-49.7825739391679</v>
      </c>
      <c r="I18" s="4" t="n">
        <f aca="false">(I6-H6)*Assumptions!$B$23/100</f>
        <v>-50.7782254179514</v>
      </c>
      <c r="J18" s="4" t="n">
        <f aca="false">(J6-I6)*Assumptions!$B$23/100</f>
        <v>-51.7937899263103</v>
      </c>
      <c r="K18" s="4" t="n">
        <f aca="false">(K6-J6)*Assumptions!$B$23/100</f>
        <v>-52.8296657248367</v>
      </c>
      <c r="L18" s="4" t="n">
        <f aca="false">(L6-K6)*Assumptions!$B$23/100</f>
        <v>-53.8862590393335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667.56392077</v>
      </c>
      <c r="D19" s="0" t="n">
        <f aca="false">D15+D16+D17+D18</f>
        <v>736.1706621129</v>
      </c>
      <c r="E19" s="0" t="n">
        <f aca="false">E15+E16+E17+E18</f>
        <v>612.5328475959</v>
      </c>
      <c r="F19" s="0" t="n">
        <f aca="false">F15+F16+F17+F18</f>
        <v>576.934048627818</v>
      </c>
      <c r="G19" s="0" t="n">
        <f aca="false">G15+G16+G17+G18</f>
        <v>588.472729600374</v>
      </c>
      <c r="H19" s="0" t="n">
        <f aca="false">H15+H16+H17+H18</f>
        <v>600.242184192382</v>
      </c>
      <c r="I19" s="0" t="n">
        <f aca="false">I15+I16+I17+I18</f>
        <v>612.24702787623</v>
      </c>
      <c r="J19" s="0" t="n">
        <f aca="false">J15+J16+J17+J18</f>
        <v>624.491968433754</v>
      </c>
      <c r="K19" s="0" t="n">
        <f aca="false">K15+K16+K17+K18</f>
        <v>636.981807802429</v>
      </c>
      <c r="L19" s="0" t="n">
        <f aca="false">L15+L16+L17+L18</f>
        <v>649.721443958478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609.647416228311</v>
      </c>
      <c r="D21" s="0" t="n">
        <f aca="false">D19*D20</f>
        <v>613.974405965597</v>
      </c>
      <c r="E21" s="0" t="n">
        <f aca="false">E19*E20</f>
        <v>466.538002458733</v>
      </c>
      <c r="F21" s="0" t="n">
        <f aca="false">F19*F20</f>
        <v>401.300493260949</v>
      </c>
      <c r="G21" s="0" t="n">
        <f aca="false">G19*G20</f>
        <v>373.81415810609</v>
      </c>
      <c r="H21" s="0" t="n">
        <f aca="false">H19*H20</f>
        <v>348.210448646769</v>
      </c>
      <c r="I21" s="0" t="n">
        <f aca="false">I19*I20</f>
        <v>324.360417917538</v>
      </c>
      <c r="J21" s="0" t="n">
        <f aca="false">J19*J20</f>
        <v>302.143950936885</v>
      </c>
      <c r="K21" s="0" t="n">
        <f aca="false">K19*K20</f>
        <v>281.449159776824</v>
      </c>
      <c r="L21" s="0" t="n">
        <f aca="false">L19*L20</f>
        <v>262.171820066083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3983.61027336378</v>
      </c>
    </row>
    <row r="31" customFormat="false" ht="15" hidden="false" customHeight="false" outlineLevel="0" collapsed="false">
      <c r="A31" s="0" t="s">
        <v>127</v>
      </c>
      <c r="B31" s="0" t="n">
        <f aca="false">L19</f>
        <v>649.721443958478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8243.34082022319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7796.65732750173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7796.65732750173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3146.06184079299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7129.67211415677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10906.2721141568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10.215691377067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1.79117250739537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118.281965717192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105.522321578576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10.4253244674527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4884.94270828041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7.66382516927131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9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5872.54</v>
      </c>
      <c r="C6" s="0" t="n">
        <f aca="false">B6*(1+C5/100)</f>
        <v>6401.0686</v>
      </c>
      <c r="D6" s="0" t="n">
        <f aca="false">C6*(1+D5/100)</f>
        <v>6721.12203</v>
      </c>
      <c r="E6" s="0" t="n">
        <f aca="false">D6*(1+E5/100)</f>
        <v>7057.1781315</v>
      </c>
      <c r="F6" s="0" t="n">
        <f aca="false">E6*(1+F5/100)</f>
        <v>7374.7511474175</v>
      </c>
      <c r="G6" s="0" t="n">
        <f aca="false">F6*(1+G5/100)</f>
        <v>7669.7411933142</v>
      </c>
      <c r="H6" s="0" t="n">
        <f aca="false">G6*(1+H5/100)</f>
        <v>7976.53084104677</v>
      </c>
      <c r="I6" s="0" t="n">
        <f aca="false">H6*(1+I5/100)</f>
        <v>8255.70942048341</v>
      </c>
      <c r="J6" s="0" t="n">
        <f aca="false">I6*(1+J5/100)</f>
        <v>8503.38070309791</v>
      </c>
      <c r="K6" s="0" t="n">
        <f aca="false">J6*(1+K5/100)</f>
        <v>8758.48212419085</v>
      </c>
      <c r="L6" s="0" t="n">
        <f aca="false">K6*(1+L5/100)</f>
        <v>9021.23658791657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19.5</v>
      </c>
      <c r="D7" s="4" t="n">
        <f aca="false">Assumptions!D28</f>
        <v>18.5</v>
      </c>
      <c r="E7" s="4" t="n">
        <f aca="false">Assumptions!E28</f>
        <v>18</v>
      </c>
      <c r="F7" s="4" t="n">
        <f aca="false">Assumptions!F28</f>
        <v>18</v>
      </c>
      <c r="G7" s="4" t="n">
        <f aca="false">Assumptions!G28</f>
        <v>18</v>
      </c>
      <c r="H7" s="4" t="n">
        <f aca="false">Assumptions!H28</f>
        <v>18</v>
      </c>
      <c r="I7" s="4" t="n">
        <f aca="false">Assumptions!I28</f>
        <v>18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1248.208377</v>
      </c>
      <c r="D8" s="0" t="n">
        <f aca="false">D6*D7/100</f>
        <v>1243.40757555</v>
      </c>
      <c r="E8" s="0" t="n">
        <f aca="false">E6*E7/100</f>
        <v>1270.29206367</v>
      </c>
      <c r="F8" s="0" t="n">
        <f aca="false">F6*F7/100</f>
        <v>1327.45520653515</v>
      </c>
      <c r="G8" s="0" t="n">
        <f aca="false">G6*G7/100</f>
        <v>1380.55341479656</v>
      </c>
      <c r="H8" s="0" t="n">
        <f aca="false">H6*H7/100</f>
        <v>1435.77555138842</v>
      </c>
      <c r="I8" s="0" t="n">
        <f aca="false">I6*I7/100</f>
        <v>1486.02769568701</v>
      </c>
      <c r="J8" s="0" t="n">
        <f aca="false">J6*J7/100</f>
        <v>1530.60852655762</v>
      </c>
      <c r="K8" s="0" t="n">
        <f aca="false">K6*K7/100</f>
        <v>1576.52678235435</v>
      </c>
      <c r="L8" s="0" t="n">
        <f aca="false">L6*L7/100</f>
        <v>1623.82258582498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-19.2032058</v>
      </c>
      <c r="D10" s="0" t="n">
        <f aca="false">-D6*D9/100</f>
        <v>-20.16336609</v>
      </c>
      <c r="E10" s="0" t="n">
        <f aca="false">-E6*E9/100</f>
        <v>-21.1715343945</v>
      </c>
      <c r="F10" s="0" t="n">
        <f aca="false">-F6*F9/100</f>
        <v>-22.1242534422525</v>
      </c>
      <c r="G10" s="0" t="n">
        <f aca="false">-G6*G9/100</f>
        <v>-23.0092235799426</v>
      </c>
      <c r="H10" s="0" t="n">
        <f aca="false">-H6*H9/100</f>
        <v>-23.9295925231403</v>
      </c>
      <c r="I10" s="0" t="n">
        <f aca="false">-I6*I9/100</f>
        <v>-24.7671282614502</v>
      </c>
      <c r="J10" s="0" t="n">
        <f aca="false">-J6*J9/100</f>
        <v>-25.5101421092937</v>
      </c>
      <c r="K10" s="0" t="n">
        <f aca="false">-K6*K9/100</f>
        <v>-26.2754463725725</v>
      </c>
      <c r="L10" s="0" t="n">
        <f aca="false">-L6*L9/100</f>
        <v>-27.0637097637497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1229.0051712</v>
      </c>
      <c r="D11" s="0" t="n">
        <f aca="false">D8+D10+D24</f>
        <v>1223.24420946</v>
      </c>
      <c r="E11" s="0" t="n">
        <f aca="false">E8+E10+E24</f>
        <v>1249.1205292755</v>
      </c>
      <c r="F11" s="0" t="n">
        <f aca="false">F8+F10+F24</f>
        <v>1305.3309530929</v>
      </c>
      <c r="G11" s="0" t="n">
        <f aca="false">G8+G10+G24</f>
        <v>1357.54419121661</v>
      </c>
      <c r="H11" s="0" t="n">
        <f aca="false">H8+H10+H24</f>
        <v>1411.84595886528</v>
      </c>
      <c r="I11" s="0" t="n">
        <f aca="false">I8+I10+I24</f>
        <v>1461.26056742556</v>
      </c>
      <c r="J11" s="0" t="n">
        <f aca="false">J8+J10+J24</f>
        <v>1505.09838444833</v>
      </c>
      <c r="K11" s="0" t="n">
        <f aca="false">K8+K10+K24</f>
        <v>1550.25133598178</v>
      </c>
      <c r="L11" s="0" t="n">
        <f aca="false">L8+L10+L24</f>
        <v>1596.75887606123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-128.021372</v>
      </c>
      <c r="D12" s="4" t="n">
        <f aca="false">-D6*Assumptions!D31/100</f>
        <v>-134.4224406</v>
      </c>
      <c r="E12" s="4" t="n">
        <f aca="false">-E6*Assumptions!E31/100</f>
        <v>-141.14356263</v>
      </c>
      <c r="F12" s="4" t="n">
        <f aca="false">-F6*Assumptions!F31/100</f>
        <v>-147.49502294835</v>
      </c>
      <c r="G12" s="4" t="n">
        <f aca="false">-G6*Assumptions!G31/100</f>
        <v>-153.394823866284</v>
      </c>
      <c r="H12" s="4" t="n">
        <f aca="false">-H6*Assumptions!H31/100</f>
        <v>-159.530616820935</v>
      </c>
      <c r="I12" s="4" t="n">
        <f aca="false">-I6*Assumptions!I31/100</f>
        <v>-165.114188409668</v>
      </c>
      <c r="J12" s="4" t="n">
        <f aca="false">-J6*Assumptions!J31/100</f>
        <v>-170.067614061958</v>
      </c>
      <c r="K12" s="4" t="n">
        <f aca="false">-K6*Assumptions!K31/100</f>
        <v>-175.169642483817</v>
      </c>
      <c r="L12" s="4" t="n">
        <f aca="false">-L6*Assumptions!L31/100</f>
        <v>-180.424731758331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1100.9837992</v>
      </c>
      <c r="D13" s="0" t="n">
        <f aca="false">D11+D12</f>
        <v>1088.82176886</v>
      </c>
      <c r="E13" s="0" t="n">
        <f aca="false">E11+E12</f>
        <v>1107.9769666455</v>
      </c>
      <c r="F13" s="0" t="n">
        <f aca="false">F11+F12</f>
        <v>1157.83593014455</v>
      </c>
      <c r="G13" s="0" t="n">
        <f aca="false">G11+G12</f>
        <v>1204.14936735033</v>
      </c>
      <c r="H13" s="0" t="n">
        <f aca="false">H11+H12</f>
        <v>1252.31534204434</v>
      </c>
      <c r="I13" s="0" t="n">
        <f aca="false">I11+I12</f>
        <v>1296.14637901589</v>
      </c>
      <c r="J13" s="0" t="n">
        <f aca="false">J11+J12</f>
        <v>1335.03077038637</v>
      </c>
      <c r="K13" s="0" t="n">
        <f aca="false">K11+K12</f>
        <v>1375.08169349796</v>
      </c>
      <c r="L13" s="0" t="n">
        <f aca="false">L11+L12</f>
        <v>1416.3341443029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16</v>
      </c>
      <c r="D14" s="4" t="n">
        <f aca="false">Assumptions!D33</f>
        <v>16</v>
      </c>
      <c r="E14" s="4" t="n">
        <f aca="false">Assumptions!E33</f>
        <v>16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924.826391328</v>
      </c>
      <c r="D15" s="0" t="n">
        <f aca="false">D13-MAX(0,D13)*D14/100</f>
        <v>914.6102858424</v>
      </c>
      <c r="E15" s="0" t="n">
        <f aca="false">E13-MAX(0,E13)*E14/100</f>
        <v>930.70065198222</v>
      </c>
      <c r="F15" s="0" t="n">
        <f aca="false">F13-MAX(0,F13)*F14/100</f>
        <v>972.58218132142</v>
      </c>
      <c r="G15" s="0" t="n">
        <f aca="false">G13-MAX(0,G13)*G14/100</f>
        <v>1011.48546857428</v>
      </c>
      <c r="H15" s="0" t="n">
        <f aca="false">H13-MAX(0,H13)*H14/100</f>
        <v>1051.94488731725</v>
      </c>
      <c r="I15" s="0" t="n">
        <f aca="false">I13-MAX(0,I13)*I14/100</f>
        <v>1088.76295837335</v>
      </c>
      <c r="J15" s="0" t="n">
        <f aca="false">J13-MAX(0,J13)*J14/100</f>
        <v>1121.42584712455</v>
      </c>
      <c r="K15" s="0" t="n">
        <f aca="false">K13-MAX(0,K13)*K14/100</f>
        <v>1155.06862253829</v>
      </c>
      <c r="L15" s="0" t="n">
        <f aca="false">L13-MAX(0,L13)*L14/100</f>
        <v>1189.72068121444</v>
      </c>
    </row>
    <row r="16" customFormat="false" ht="15" hidden="false" customHeight="false" outlineLevel="0" collapsed="false">
      <c r="A16" s="0" t="s">
        <v>118</v>
      </c>
      <c r="C16" s="0" t="n">
        <f aca="false">-C12</f>
        <v>128.021372</v>
      </c>
      <c r="D16" s="0" t="n">
        <f aca="false">-D12</f>
        <v>134.4224406</v>
      </c>
      <c r="E16" s="0" t="n">
        <f aca="false">-E12</f>
        <v>141.14356263</v>
      </c>
      <c r="F16" s="0" t="n">
        <f aca="false">-F12</f>
        <v>147.49502294835</v>
      </c>
      <c r="G16" s="0" t="n">
        <f aca="false">-G12</f>
        <v>153.394823866284</v>
      </c>
      <c r="H16" s="0" t="n">
        <f aca="false">-H12</f>
        <v>159.530616820935</v>
      </c>
      <c r="I16" s="0" t="n">
        <f aca="false">-I12</f>
        <v>165.114188409668</v>
      </c>
      <c r="J16" s="0" t="n">
        <f aca="false">-J12</f>
        <v>170.067614061958</v>
      </c>
      <c r="K16" s="0" t="n">
        <f aca="false">-K12</f>
        <v>175.169642483817</v>
      </c>
      <c r="L16" s="0" t="n">
        <f aca="false">-L12</f>
        <v>180.424731758331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-147.2245778</v>
      </c>
      <c r="D17" s="4" t="n">
        <f aca="false">-D6*Assumptions!D32/100</f>
        <v>-154.58580669</v>
      </c>
      <c r="E17" s="4" t="n">
        <f aca="false">-E6*Assumptions!E32/100</f>
        <v>-162.3150970245</v>
      </c>
      <c r="F17" s="4" t="n">
        <f aca="false">-F6*Assumptions!F32/100</f>
        <v>-169.619276390603</v>
      </c>
      <c r="G17" s="4" t="n">
        <f aca="false">-G6*Assumptions!G32/100</f>
        <v>-176.404047446227</v>
      </c>
      <c r="H17" s="4" t="n">
        <f aca="false">-H6*Assumptions!H32/100</f>
        <v>-183.460209344076</v>
      </c>
      <c r="I17" s="4" t="n">
        <f aca="false">-I6*Assumptions!I32/100</f>
        <v>-189.881316671118</v>
      </c>
      <c r="J17" s="4" t="n">
        <f aca="false">-J6*Assumptions!J32/100</f>
        <v>-195.577756171252</v>
      </c>
      <c r="K17" s="4" t="n">
        <f aca="false">-K6*Assumptions!K32/100</f>
        <v>-201.445088856389</v>
      </c>
      <c r="L17" s="4" t="n">
        <f aca="false">-L6*Assumptions!L32/100</f>
        <v>-207.488441522081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-211.41144</v>
      </c>
      <c r="D18" s="4" t="n">
        <f aca="false">(D6-C6)*Assumptions!$B$37/100</f>
        <v>-128.021372</v>
      </c>
      <c r="E18" s="4" t="n">
        <f aca="false">(E6-D6)*Assumptions!$B$37/100</f>
        <v>-134.4224406</v>
      </c>
      <c r="F18" s="4" t="n">
        <f aca="false">(F6-E6)*Assumptions!$B$37/100</f>
        <v>-127.029206367</v>
      </c>
      <c r="G18" s="4" t="n">
        <f aca="false">(G6-F6)*Assumptions!$B$37/100</f>
        <v>-117.99601835868</v>
      </c>
      <c r="H18" s="4" t="n">
        <f aca="false">(H6-G6)*Assumptions!$B$37/100</f>
        <v>-122.715859093027</v>
      </c>
      <c r="I18" s="4" t="n">
        <f aca="false">(I6-H6)*Assumptions!$B$37/100</f>
        <v>-111.671431774654</v>
      </c>
      <c r="J18" s="4" t="n">
        <f aca="false">(J6-I6)*Assumptions!$B$37/100</f>
        <v>-99.0685130458012</v>
      </c>
      <c r="K18" s="4" t="n">
        <f aca="false">(K6-J6)*Assumptions!$B$37/100</f>
        <v>-102.040568437175</v>
      </c>
      <c r="L18" s="4" t="n">
        <f aca="false">(L6-K6)*Assumptions!$B$37/100</f>
        <v>-105.10178549029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694.211745528</v>
      </c>
      <c r="D19" s="0" t="n">
        <f aca="false">D15+D16+D17+D18</f>
        <v>766.4255477524</v>
      </c>
      <c r="E19" s="0" t="n">
        <f aca="false">E15+E16+E17+E18</f>
        <v>775.10667698772</v>
      </c>
      <c r="F19" s="0" t="n">
        <f aca="false">F15+F16+F17+F18</f>
        <v>823.428721512168</v>
      </c>
      <c r="G19" s="0" t="n">
        <f aca="false">G15+G16+G17+G18</f>
        <v>870.480226635654</v>
      </c>
      <c r="H19" s="0" t="n">
        <f aca="false">H15+H16+H17+H18</f>
        <v>905.29943570108</v>
      </c>
      <c r="I19" s="0" t="n">
        <f aca="false">I15+I16+I17+I18</f>
        <v>952.324398337247</v>
      </c>
      <c r="J19" s="0" t="n">
        <f aca="false">J15+J16+J17+J18</f>
        <v>996.847191969457</v>
      </c>
      <c r="K19" s="0" t="n">
        <f aca="false">K15+K16+K17+K18</f>
        <v>1026.75260772854</v>
      </c>
      <c r="L19" s="0" t="n">
        <f aca="false">L15+L16+L17+L18</f>
        <v>1057.5551859604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633.983329249315</v>
      </c>
      <c r="D21" s="0" t="n">
        <f aca="false">D19*D20</f>
        <v>639.20731240166</v>
      </c>
      <c r="E21" s="0" t="n">
        <f aca="false">E19*E20</f>
        <v>590.362985746101</v>
      </c>
      <c r="F21" s="0" t="n">
        <f aca="false">F19*F20</f>
        <v>572.755851199962</v>
      </c>
      <c r="G21" s="0" t="n">
        <f aca="false">G19*G20</f>
        <v>552.953122039792</v>
      </c>
      <c r="H21" s="0" t="n">
        <f aca="false">H19*H20</f>
        <v>525.179220932771</v>
      </c>
      <c r="I21" s="0" t="n">
        <f aca="false">I19*I20</f>
        <v>504.528933213839</v>
      </c>
      <c r="J21" s="0" t="n">
        <f aca="false">J19*J20</f>
        <v>482.298194830894</v>
      </c>
      <c r="K21" s="0" t="n">
        <f aca="false">K19*K20</f>
        <v>453.668621621754</v>
      </c>
      <c r="L21" s="0" t="n">
        <f aca="false">L19*L20</f>
        <v>426.738520794892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5381.67609203098</v>
      </c>
    </row>
    <row r="31" customFormat="false" ht="15" hidden="false" customHeight="false" outlineLevel="0" collapsed="false">
      <c r="A31" s="0" t="s">
        <v>127</v>
      </c>
      <c r="B31" s="0" t="n">
        <f aca="false">L19</f>
        <v>1057.5551859604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15485.6295087058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12690.6622315248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12690.6622315248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5120.8622495387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10502.5383415697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14279.1383415697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13.3749890797768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2.65436860103191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142.360186853476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159.908651519409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13.6581183776157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8671.95252487526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9.50275358878401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13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5872.54</v>
      </c>
      <c r="C6" s="0" t="n">
        <f aca="false">B6*(1+C5/100)</f>
        <v>6635.9702</v>
      </c>
      <c r="D6" s="0" t="n">
        <f aca="false">C6*(1+D5/100)</f>
        <v>7233.207518</v>
      </c>
      <c r="E6" s="0" t="n">
        <f aca="false">D6*(1+E5/100)</f>
        <v>7811.86411944</v>
      </c>
      <c r="F6" s="0" t="n">
        <f aca="false">E6*(1+F5/100)</f>
        <v>8358.6946078008</v>
      </c>
      <c r="G6" s="0" t="n">
        <f aca="false">F6*(1+G5/100)</f>
        <v>8860.21628426885</v>
      </c>
      <c r="H6" s="0" t="n">
        <f aca="false">G6*(1+H5/100)</f>
        <v>9303.22709848229</v>
      </c>
      <c r="I6" s="0" t="n">
        <f aca="false">H6*(1+I5/100)</f>
        <v>9721.87231791399</v>
      </c>
      <c r="J6" s="0" t="n">
        <f aca="false">I6*(1+J5/100)</f>
        <v>10110.7472106306</v>
      </c>
      <c r="K6" s="0" t="n">
        <f aca="false">J6*(1+K5/100)</f>
        <v>10464.6233630026</v>
      </c>
      <c r="L6" s="0" t="n">
        <f aca="false">K6*(1+L5/100)</f>
        <v>10778.5620638927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20.5</v>
      </c>
      <c r="D7" s="4" t="n">
        <f aca="false">Assumptions!D42</f>
        <v>20</v>
      </c>
      <c r="E7" s="4" t="n">
        <f aca="false">Assumptions!E42</f>
        <v>20</v>
      </c>
      <c r="F7" s="4" t="n">
        <f aca="false">Assumptions!F42</f>
        <v>20.5</v>
      </c>
      <c r="G7" s="4" t="n">
        <f aca="false">Assumptions!G42</f>
        <v>20.5</v>
      </c>
      <c r="H7" s="4" t="n">
        <f aca="false">Assumptions!H42</f>
        <v>20.5</v>
      </c>
      <c r="I7" s="4" t="n">
        <f aca="false">Assumptions!I42</f>
        <v>20.5</v>
      </c>
      <c r="J7" s="4" t="n">
        <f aca="false">Assumptions!J42</f>
        <v>20.5</v>
      </c>
      <c r="K7" s="4" t="n">
        <f aca="false">Assumptions!K42</f>
        <v>20.5</v>
      </c>
      <c r="L7" s="4" t="n">
        <f aca="false">Assumptions!L42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1360.373891</v>
      </c>
      <c r="D8" s="0" t="n">
        <f aca="false">D6*D7/100</f>
        <v>1446.6415036</v>
      </c>
      <c r="E8" s="0" t="n">
        <f aca="false">E6*E7/100</f>
        <v>1562.372823888</v>
      </c>
      <c r="F8" s="0" t="n">
        <f aca="false">F6*F7/100</f>
        <v>1713.53239459916</v>
      </c>
      <c r="G8" s="0" t="n">
        <f aca="false">G6*G7/100</f>
        <v>1816.34433827511</v>
      </c>
      <c r="H8" s="0" t="n">
        <f aca="false">H6*H7/100</f>
        <v>1907.16155518887</v>
      </c>
      <c r="I8" s="0" t="n">
        <f aca="false">I6*I7/100</f>
        <v>1992.98382517237</v>
      </c>
      <c r="J8" s="0" t="n">
        <f aca="false">J6*J7/100</f>
        <v>2072.70317817926</v>
      </c>
      <c r="K8" s="0" t="n">
        <f aca="false">K6*K7/100</f>
        <v>2145.24778941554</v>
      </c>
      <c r="L8" s="0" t="n">
        <f aca="false">L6*L7/100</f>
        <v>2209.605223098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-19.9079106</v>
      </c>
      <c r="D10" s="0" t="n">
        <f aca="false">-D6*D9/100</f>
        <v>-21.699622554</v>
      </c>
      <c r="E10" s="0" t="n">
        <f aca="false">-E6*E9/100</f>
        <v>-23.43559235832</v>
      </c>
      <c r="F10" s="0" t="n">
        <f aca="false">-F6*F9/100</f>
        <v>-25.0760838234024</v>
      </c>
      <c r="G10" s="0" t="n">
        <f aca="false">-G6*G9/100</f>
        <v>-26.5806488528065</v>
      </c>
      <c r="H10" s="0" t="n">
        <f aca="false">-H6*H9/100</f>
        <v>-27.9096812954469</v>
      </c>
      <c r="I10" s="0" t="n">
        <f aca="false">-I6*I9/100</f>
        <v>-29.165616953742</v>
      </c>
      <c r="J10" s="0" t="n">
        <f aca="false">-J6*J9/100</f>
        <v>-30.3322416318917</v>
      </c>
      <c r="K10" s="0" t="n">
        <f aca="false">-K6*K9/100</f>
        <v>-31.3938700890079</v>
      </c>
      <c r="L10" s="0" t="n">
        <f aca="false">-L6*L9/100</f>
        <v>-32.3356861916781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1340.4659804</v>
      </c>
      <c r="D11" s="0" t="n">
        <f aca="false">D8+D10+D24</f>
        <v>1424.941881046</v>
      </c>
      <c r="E11" s="0" t="n">
        <f aca="false">E8+E10+E24</f>
        <v>1538.93723152968</v>
      </c>
      <c r="F11" s="0" t="n">
        <f aca="false">F8+F10+F24</f>
        <v>1688.45631077576</v>
      </c>
      <c r="G11" s="0" t="n">
        <f aca="false">G8+G10+G24</f>
        <v>1789.76368942231</v>
      </c>
      <c r="H11" s="0" t="n">
        <f aca="false">H8+H10+H24</f>
        <v>1879.25187389342</v>
      </c>
      <c r="I11" s="0" t="n">
        <f aca="false">I8+I10+I24</f>
        <v>1963.81820821863</v>
      </c>
      <c r="J11" s="0" t="n">
        <f aca="false">J8+J10+J24</f>
        <v>2042.37093654737</v>
      </c>
      <c r="K11" s="0" t="n">
        <f aca="false">K8+K10+K24</f>
        <v>2113.85391932653</v>
      </c>
      <c r="L11" s="0" t="n">
        <f aca="false">L8+L10+L24</f>
        <v>2177.26953690633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-132.719404</v>
      </c>
      <c r="D12" s="4" t="n">
        <f aca="false">-D6*Assumptions!D45/100</f>
        <v>-144.66415036</v>
      </c>
      <c r="E12" s="4" t="n">
        <f aca="false">-E6*Assumptions!E45/100</f>
        <v>-156.2372823888</v>
      </c>
      <c r="F12" s="4" t="n">
        <f aca="false">-F6*Assumptions!F45/100</f>
        <v>-167.173892156016</v>
      </c>
      <c r="G12" s="4" t="n">
        <f aca="false">-G6*Assumptions!G45/100</f>
        <v>-177.204325685377</v>
      </c>
      <c r="H12" s="4" t="n">
        <f aca="false">-H6*Assumptions!H45/100</f>
        <v>-186.064541969646</v>
      </c>
      <c r="I12" s="4" t="n">
        <f aca="false">-I6*Assumptions!I45/100</f>
        <v>-194.43744635828</v>
      </c>
      <c r="J12" s="4" t="n">
        <f aca="false">-J6*Assumptions!J45/100</f>
        <v>-202.214944212611</v>
      </c>
      <c r="K12" s="4" t="n">
        <f aca="false">-K6*Assumptions!K45/100</f>
        <v>-209.292467260052</v>
      </c>
      <c r="L12" s="4" t="n">
        <f aca="false">-L6*Assumptions!L45/100</f>
        <v>-215.571241277854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1207.7465764</v>
      </c>
      <c r="D13" s="0" t="n">
        <f aca="false">D11+D12</f>
        <v>1280.277730686</v>
      </c>
      <c r="E13" s="0" t="n">
        <f aca="false">E11+E12</f>
        <v>1382.69994914088</v>
      </c>
      <c r="F13" s="0" t="n">
        <f aca="false">F11+F12</f>
        <v>1521.28241861975</v>
      </c>
      <c r="G13" s="0" t="n">
        <f aca="false">G11+G12</f>
        <v>1612.55936373693</v>
      </c>
      <c r="H13" s="0" t="n">
        <f aca="false">H11+H12</f>
        <v>1693.18733192378</v>
      </c>
      <c r="I13" s="0" t="n">
        <f aca="false">I11+I12</f>
        <v>1769.38076186035</v>
      </c>
      <c r="J13" s="0" t="n">
        <f aca="false">J11+J12</f>
        <v>1840.15599233476</v>
      </c>
      <c r="K13" s="0" t="n">
        <f aca="false">K11+K12</f>
        <v>1904.56145206648</v>
      </c>
      <c r="L13" s="0" t="n">
        <f aca="false">L11+L12</f>
        <v>1961.69829562847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16</v>
      </c>
      <c r="D14" s="4" t="n">
        <f aca="false">Assumptions!D47</f>
        <v>16</v>
      </c>
      <c r="E14" s="4" t="n">
        <f aca="false">Assumptions!E47</f>
        <v>16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1014.507124176</v>
      </c>
      <c r="D15" s="0" t="n">
        <f aca="false">D13-MAX(0,D13)*D14/100</f>
        <v>1075.43329377624</v>
      </c>
      <c r="E15" s="0" t="n">
        <f aca="false">E13-MAX(0,E13)*E14/100</f>
        <v>1161.46795727834</v>
      </c>
      <c r="F15" s="0" t="n">
        <f aca="false">F13-MAX(0,F13)*F14/100</f>
        <v>1277.87723164059</v>
      </c>
      <c r="G15" s="0" t="n">
        <f aca="false">G13-MAX(0,G13)*G14/100</f>
        <v>1354.54986553902</v>
      </c>
      <c r="H15" s="0" t="n">
        <f aca="false">H13-MAX(0,H13)*H14/100</f>
        <v>1422.27735881597</v>
      </c>
      <c r="I15" s="0" t="n">
        <f aca="false">I13-MAX(0,I13)*I14/100</f>
        <v>1486.27983996269</v>
      </c>
      <c r="J15" s="0" t="n">
        <f aca="false">J13-MAX(0,J13)*J14/100</f>
        <v>1545.7310335612</v>
      </c>
      <c r="K15" s="0" t="n">
        <f aca="false">K13-MAX(0,K13)*K14/100</f>
        <v>1599.83161973584</v>
      </c>
      <c r="L15" s="0" t="n">
        <f aca="false">L13-MAX(0,L13)*L14/100</f>
        <v>1647.82656832792</v>
      </c>
    </row>
    <row r="16" customFormat="false" ht="15" hidden="false" customHeight="false" outlineLevel="0" collapsed="false">
      <c r="A16" s="0" t="s">
        <v>118</v>
      </c>
      <c r="C16" s="0" t="n">
        <f aca="false">-C12</f>
        <v>132.719404</v>
      </c>
      <c r="D16" s="0" t="n">
        <f aca="false">-D12</f>
        <v>144.66415036</v>
      </c>
      <c r="E16" s="0" t="n">
        <f aca="false">-E12</f>
        <v>156.2372823888</v>
      </c>
      <c r="F16" s="0" t="n">
        <f aca="false">-F12</f>
        <v>167.173892156016</v>
      </c>
      <c r="G16" s="0" t="n">
        <f aca="false">-G12</f>
        <v>177.204325685377</v>
      </c>
      <c r="H16" s="0" t="n">
        <f aca="false">-H12</f>
        <v>186.064541969646</v>
      </c>
      <c r="I16" s="0" t="n">
        <f aca="false">-I12</f>
        <v>194.43744635828</v>
      </c>
      <c r="J16" s="0" t="n">
        <f aca="false">-J12</f>
        <v>202.214944212611</v>
      </c>
      <c r="K16" s="0" t="n">
        <f aca="false">-K12</f>
        <v>209.292467260052</v>
      </c>
      <c r="L16" s="0" t="n">
        <f aca="false">-L12</f>
        <v>215.571241277854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-152.6273146</v>
      </c>
      <c r="D17" s="4" t="n">
        <f aca="false">-D6*Assumptions!D46/100</f>
        <v>-166.363772914</v>
      </c>
      <c r="E17" s="4" t="n">
        <f aca="false">-E6*Assumptions!E46/100</f>
        <v>-179.67287474712</v>
      </c>
      <c r="F17" s="4" t="n">
        <f aca="false">-F6*Assumptions!F46/100</f>
        <v>-192.249975979418</v>
      </c>
      <c r="G17" s="4" t="n">
        <f aca="false">-G6*Assumptions!G46/100</f>
        <v>-203.784974538184</v>
      </c>
      <c r="H17" s="4" t="n">
        <f aca="false">-H6*Assumptions!H46/100</f>
        <v>-213.974223265093</v>
      </c>
      <c r="I17" s="4" t="n">
        <f aca="false">-I6*Assumptions!I46/100</f>
        <v>-223.603063312022</v>
      </c>
      <c r="J17" s="4" t="n">
        <f aca="false">-J6*Assumptions!J46/100</f>
        <v>-232.547185844503</v>
      </c>
      <c r="K17" s="4" t="n">
        <f aca="false">-K6*Assumptions!K46/100</f>
        <v>-240.68633734906</v>
      </c>
      <c r="L17" s="4" t="n">
        <f aca="false">-L6*Assumptions!L46/100</f>
        <v>-247.906927469532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-305.37208</v>
      </c>
      <c r="D18" s="4" t="n">
        <f aca="false">(D6-C6)*Assumptions!$B$51/100</f>
        <v>-238.8949272</v>
      </c>
      <c r="E18" s="4" t="n">
        <f aca="false">(E6-D6)*Assumptions!$B$51/100</f>
        <v>-231.462640576</v>
      </c>
      <c r="F18" s="4" t="n">
        <f aca="false">(F6-E6)*Assumptions!$B$51/100</f>
        <v>-218.73219534432</v>
      </c>
      <c r="G18" s="4" t="n">
        <f aca="false">(G6-F6)*Assumptions!$B$51/100</f>
        <v>-200.608670587219</v>
      </c>
      <c r="H18" s="4" t="n">
        <f aca="false">(H6-G6)*Assumptions!$B$51/100</f>
        <v>-177.204325685377</v>
      </c>
      <c r="I18" s="4" t="n">
        <f aca="false">(I6-H6)*Assumptions!$B$51/100</f>
        <v>-167.458087772681</v>
      </c>
      <c r="J18" s="4" t="n">
        <f aca="false">(J6-I6)*Assumptions!$B$51/100</f>
        <v>-155.549957086624</v>
      </c>
      <c r="K18" s="4" t="n">
        <f aca="false">(K6-J6)*Assumptions!$B$51/100</f>
        <v>-141.550460948827</v>
      </c>
      <c r="L18" s="4" t="n">
        <f aca="false">(L6-K6)*Assumptions!$B$51/100</f>
        <v>-125.575480356032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689.227133576</v>
      </c>
      <c r="D19" s="0" t="n">
        <f aca="false">D15+D16+D17+D18</f>
        <v>814.83874402224</v>
      </c>
      <c r="E19" s="0" t="n">
        <f aca="false">E15+E16+E17+E18</f>
        <v>906.569724344019</v>
      </c>
      <c r="F19" s="0" t="n">
        <f aca="false">F15+F16+F17+F18</f>
        <v>1034.06895247286</v>
      </c>
      <c r="G19" s="0" t="n">
        <f aca="false">G15+G16+G17+G18</f>
        <v>1127.360546099</v>
      </c>
      <c r="H19" s="0" t="n">
        <f aca="false">H15+H16+H17+H18</f>
        <v>1217.16335183515</v>
      </c>
      <c r="I19" s="0" t="n">
        <f aca="false">I15+I16+I17+I18</f>
        <v>1289.65613523627</v>
      </c>
      <c r="J19" s="0" t="n">
        <f aca="false">J15+J16+J17+J18</f>
        <v>1359.84883484268</v>
      </c>
      <c r="K19" s="0" t="n">
        <f aca="false">K15+K16+K17+K18</f>
        <v>1426.88728869801</v>
      </c>
      <c r="L19" s="0" t="n">
        <f aca="false">L15+L16+L17+L18</f>
        <v>1489.91540178021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629.431172215525</v>
      </c>
      <c r="D21" s="0" t="n">
        <f aca="false">D19*D20</f>
        <v>679.584449050053</v>
      </c>
      <c r="E21" s="0" t="n">
        <f aca="false">E19*E20</f>
        <v>690.492322077151</v>
      </c>
      <c r="F21" s="0" t="n">
        <f aca="false">F19*F20</f>
        <v>719.271781029678</v>
      </c>
      <c r="G21" s="0" t="n">
        <f aca="false">G19*G20</f>
        <v>716.13060762935</v>
      </c>
      <c r="H21" s="0" t="n">
        <f aca="false">H19*H20</f>
        <v>706.096652285741</v>
      </c>
      <c r="I21" s="0" t="n">
        <f aca="false">I19*I20</f>
        <v>683.242847982789</v>
      </c>
      <c r="J21" s="0" t="n">
        <f aca="false">J19*J20</f>
        <v>657.926955676889</v>
      </c>
      <c r="K21" s="0" t="n">
        <f aca="false">K19*K20</f>
        <v>630.467343935271</v>
      </c>
      <c r="L21" s="0" t="n">
        <f aca="false">L19*L20</f>
        <v>601.202001659913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6713.84613354236</v>
      </c>
    </row>
    <row r="31" customFormat="false" ht="15" hidden="false" customHeight="false" outlineLevel="0" collapsed="false">
      <c r="A31" s="0" t="s">
        <v>127</v>
      </c>
      <c r="B31" s="0" t="n">
        <f aca="false">L19</f>
        <v>1489.91540178021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23609.4286743633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17878.9848213625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17878.9848213625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7214.42401991895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13928.2701534613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17704.8701534613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16.5838049395479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3.53109424577811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161.692426783937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206.75915938132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16.9289263203696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12788.4405319468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11.3623628450019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10.215691377067</v>
      </c>
      <c r="C4" s="0" t="n">
        <f aca="false">B4/Assumptions!$B$2-1</f>
        <v>1.79117250739537</v>
      </c>
      <c r="D4" s="4" t="n">
        <f aca="false">Assumptions!$B$24</f>
        <v>0.3</v>
      </c>
      <c r="E4" s="4" t="n">
        <f aca="false">DCF_Bear!$B$43</f>
        <v>10.4253244674527</v>
      </c>
      <c r="F4" s="4" t="n">
        <f aca="false">DCF_Bear!$B$47</f>
        <v>7.66382516927131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13.3749890797768</v>
      </c>
      <c r="C5" s="0" t="n">
        <f aca="false">B5/Assumptions!$B$2-1</f>
        <v>2.65436860103191</v>
      </c>
      <c r="D5" s="4" t="n">
        <f aca="false">Assumptions!$B$38</f>
        <v>0.5</v>
      </c>
      <c r="E5" s="4" t="n">
        <f aca="false">DCF_Base!$B$43</f>
        <v>13.6581183776157</v>
      </c>
      <c r="F5" s="4" t="n">
        <f aca="false">DCF_Base!$B$47</f>
        <v>9.50275358878401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16.5838049395479</v>
      </c>
      <c r="C6" s="0" t="n">
        <f aca="false">B6/Assumptions!$B$2-1</f>
        <v>3.53109424577811</v>
      </c>
      <c r="D6" s="4" t="n">
        <f aca="false">Assumptions!$B$52</f>
        <v>0.2</v>
      </c>
      <c r="E6" s="4" t="n">
        <f aca="false">DCF_Bull!$B$43</f>
        <v>16.9289263203696</v>
      </c>
      <c r="F6" s="4" t="n">
        <f aca="false">DCF_Bull!$B$47</f>
        <v>11.3623628450019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13.0689629409181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13.3424417931176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0.719947174343821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-3440.47185559092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9.32299691417379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13.7199051867043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13.3749890797768</v>
      </c>
      <c r="C16" s="3" t="n">
        <v>9.5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13.045238554278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12.4282282257585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11.4771793175132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9.50275358878401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14.8539590947888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14.8539590947888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14.8539590947888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14.8539590947888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14.8539590947888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14.0807938609354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14.0807938609354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14.0807938609354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14.0807938609354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14.0807938609354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13.3749890797768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13.3749890797768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13.3749890797768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13.3749890797768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13.3749890797768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12.466293289836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12.729891551019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12.729891551019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12.729891551019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12.729891551019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11.522522431184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11.7182567896347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11.9357394101355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12.1395684132058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12.1395684132058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2026-10-10T22:22:05Z</dcterms:created>
  <dc:creator>openpyxl</dc:creator>
  <dc:description/>
  <dc:language>en-NZ</dc:language>
  <cp:lastModifiedBy/>
  <dcterms:modified xsi:type="dcterms:W3CDTF">2026-10-10T22:22:05Z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