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<sst xmlns="http://schemas.openxmlformats.org/spreadsheetml/2006/main" count="354" uniqueCount="164">
  <si>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</si>
  <si>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0288.HK</t>
  </si>
  <si>
    <t xml:space="preserve">Company</t>
  </si>
  <si>
    <t xml:space="preserve">WH Group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</si>
  <si>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</si>
  <si>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</si>
  <si>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</si>
  <si>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</si>
  <si>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regular HKEX close (Friday; 2026-10-11 is a Sunday)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</si>
  <si>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</si>
  <si>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</si>
  <si>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</si>
  <si>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</si>
  <si>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</si>
  <si>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</si>
  <si>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</si>
  <si>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</si>
  <si>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</si>
  <si>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</si>
  <si>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</si>
  <si>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</si>
  <si>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</si>
  <si>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2026-10-10T21:50:43Z</t>
  </si>
  <si>
    <t xml:space="preserve">Drivers file</t>
  </si>
  <si>
    <t xml:space="preserve">0288.HK_Drivers.json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</si>
  <si>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</si>
  <si>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</si>
  <si>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</si>
  <si>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WH Group as a mid-cycle integrated protein processor whose packaged-meats franchise now carries the earnings, on attributable owner FCF after the Shuanghui and Smithfield minorities. Do not capitalise the FY2024-25 peak-ish US hog margins or the FY2023 trough; cap the exit at 12x FCF because the pork segment is a commodity cycle.
key_risks_to_valuation: Hog-cycle and biological fair-value volatility in the pork segment (China pork in loss, EU pork profit down 98% in H1 2026); African swine fever (Spain, Germany) and foot-and-mouth disease shutting export markets; China packaged-meats volume decline and channel shift; US-China tariffs on US pork (~47%) and further trade escalation; Further sell-downs of Smithfield raise the NCI leakage (offset by cash proceeds, typically paid out as special dividends); HKD/China listing discount: the stock has traded at ~6-8x earnings for years; the 12x FCF exit is above the stock's own historical multiple range</t>
  </si>
  <si>
    <t xml:space="preserve">Data sources</t>
  </si>
  <si>
    <t xml:space="preserve">price: Yahoo Finance chart API at inputs.price_as_of; 52-week range HK$6.27-10.84. FX Yahoo USDHKD=X.
financials: WH Group Annual Reports FY2018-FY2025 and Interim Reports H1 2024-H1 2026 (research/0288.HK/Extracted), via 0288.HK_Metrics.csv and the DuckDB kpis table.
qualitative: research/0288.HK/Reports/0288.HK_Analysis.json (2026-10-11).</t>
  </si>
  <si>
    <t xml:space="preserve">Scenario narrative: bear</t>
  </si>
  <si>
    <t xml:space="preserve">A repeat of the FY2023 trough: China and EU pork stay in loss as ASF (Spain, Germany) and the Chinese supply glut persist, US processing spreads narrow and the 47% China tariff keeps US pork exports shut; China packaged volumes keep shrinking (-3.8% in FY2025). Margin drops to ~9.3% in 2027 and only recovers to a 10% mid-cycle, revenue shrinks in 2027 with hog prices, and the Sioux Falls spend runs over budget.</t>
  </si>
  <si>
    <t xml:space="preserve">Scenario narrative: base</t>
  </si>
  <si>
    <t xml:space="preserve">Packaged meats (82% of FY2025 operating profit) keeps compounding low-single-digit in the US and Europe while China packaged volumes stabilise rather than recover; the pork segment runs a normal hog cycle around the current oversupply in China and the EU, so group EBITDA fades from ~11.5% to an 11% mid-cycle margin. Smithfield's Sioux Falls replacement lifts capex to ~3.5% of revenue in 2027-29 without margin credit. Revenue grows ~3% (Smithfield's low-single-digit guide, poultry and Morliny organic growth), and the 13% Smithfield and 30% Shuanghui minorities take ~18.5% of after-tax profit.</t>
  </si>
  <si>
    <t xml:space="preserve">Scenario narrative: bull</t>
  </si>
  <si>
    <t xml:space="preserve">The China and EU hog cycles turn up together from the 2026 lows (China hog prices -27.5% y/y, EU carcass -20% in H1 2026) while US hog production stays profitable on cheap feed; China packaged meats returns to volume growth through the new-channel/product transformation; Morliny's Wolf/Argal platform and Smithfield's Nathan's brand lift packaged mix; Sioux Falls delivers the promised efficiency. EBITDA margin steps up to ~12.3% and revenue grows 4-5% early.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</si>
  <si>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</si>
  <si>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</si>
  <si>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</si>
  <si>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</si>
  <si>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</si>
  <si>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</si>
  <si>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</si>
  <si>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</si>
  <si>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</si>
  <si>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</si>
  <si>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</si>
  <si>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</si>
  <si>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</si>
  <si>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</si>
  <si>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</si>
  <si>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</si>
  <si>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</si>
  <si>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</si>
  <si>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</si>
  <si>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</si>
  <si>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</si>
  <si>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</si>
  <si>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</si>
  <si>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</si>
  <si>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</si>
  <si>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</si>
  <si>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</si>
  <si>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</si>
  <si>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</si>
  <si>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</si>
  <si>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</si>
  <si>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</si>
  <si>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</si>
  <si>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</si>
  <si>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</si>
  <si>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</si>
  <si>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</si>
  <si>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</si>
  <si>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</si>
  <si>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</si>
  <si>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</si>
  <si>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</si>
  <si>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</si>
  <si>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</si>
  <si>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</si>
  <si>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</si>
  <si>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</si>
  <si>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</si>
  <si>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</si>
  <si>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</si>
  <si>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</si>
  <si>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</si>
  <si>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</si>
  <si>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</si>
  <si>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</si>
  <si>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</si>
  <si>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</si>
  <si>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</si>
  <si>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</si>
  <si>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</si>
  <si>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</si>
  <si>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</si>
  <si>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</si>
  <si>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</si>
  <si>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</si>
  <si>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</si>
  <si>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</si>
  <si>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</si>
  <si>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</si>
  <si>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</si>
  <si>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</si>
  <si>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</si>
  <si>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0288.HK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</si>
  <si>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</si>
  <si>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</si>
  <si>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</si>
  <si>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</si>
  <si>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</si>
  <si>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</si>
  <si>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</si>
  <si>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</si>
  <si>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</si>
  <si>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</si>
  <si>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</si>
  <si>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</si>
  <si>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</si>
  <si>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</si>
  <si>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</si>
  <si>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</si>
  <si>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</si>
  <si>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</si>
  <si>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</si>
  <si>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</si>
  <si>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</si>
  <si>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</si>
  <si>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</si>
  <si>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</si>
  <si>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</si>
  <si>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</si>
  <si>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</si>
  <si>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</si>
  <si>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</si>
  <si>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</si>
  <si>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0288.HK owner-FCF component DCF: base case (millions, USD)</t>
  </si>
  <si>
    <t xml:space="preserve">0288.HK owner-FCF component DCF: bull case (millions, USD)</t>
  </si>
  <si>
    <t xml:space="preserve">0288.HK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</si>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</sst>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6.585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22605</v>
      </c>
      <c r="C2" s="0" t="n">
        <v>17907</v>
      </c>
      <c r="D2" s="0" t="n">
        <v>4698</v>
      </c>
      <c r="E2" s="0" t="n">
        <v>20.8</v>
      </c>
      <c r="F2" s="0" t="n">
        <v>1650</v>
      </c>
      <c r="G2" s="0" t="n">
        <v>7.3</v>
      </c>
      <c r="H2" s="0" t="n">
        <v>1967</v>
      </c>
      <c r="I2" s="0" t="n">
        <v>943</v>
      </c>
      <c r="J2" s="0" t="n">
        <v>4.2</v>
      </c>
      <c r="K2" s="0" t="n">
        <v>0.064</v>
      </c>
      <c r="L2" s="0" t="n">
        <v>1255</v>
      </c>
      <c r="M2" s="0" t="n">
        <v>811</v>
      </c>
      <c r="N2" s="0" t="n">
        <v>444</v>
      </c>
      <c r="O2" s="0" t="n">
        <v>7746</v>
      </c>
      <c r="P2" s="0" t="n">
        <v>15298</v>
      </c>
      <c r="Q2" s="0" t="n">
        <v>6880</v>
      </c>
      <c r="R2" s="0" t="n">
        <v>3119</v>
      </c>
      <c r="S2" s="0" t="n">
        <v>525</v>
      </c>
      <c r="T2" s="0" t="n">
        <v>14674.8</v>
      </c>
      <c r="U2" s="0" t="n">
        <v>21</v>
      </c>
      <c r="W2" s="0" t="n">
        <v>2106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24103</v>
      </c>
      <c r="C3" s="0" t="n">
        <v>18871</v>
      </c>
      <c r="D3" s="0" t="n">
        <v>5232</v>
      </c>
      <c r="E3" s="0" t="n">
        <v>21.7</v>
      </c>
      <c r="F3" s="0" t="n">
        <v>2031</v>
      </c>
      <c r="G3" s="0" t="n">
        <v>8.4</v>
      </c>
      <c r="H3" s="0" t="n">
        <v>2777</v>
      </c>
      <c r="I3" s="0" t="n">
        <v>1465</v>
      </c>
      <c r="J3" s="0" t="n">
        <v>6.1</v>
      </c>
      <c r="K3" s="0" t="n">
        <v>0.099</v>
      </c>
      <c r="L3" s="0" t="n">
        <v>1463</v>
      </c>
      <c r="M3" s="0" t="n">
        <v>680</v>
      </c>
      <c r="N3" s="0" t="n">
        <v>783</v>
      </c>
      <c r="O3" s="0" t="n">
        <v>8684</v>
      </c>
      <c r="P3" s="0" t="n">
        <v>17282</v>
      </c>
      <c r="Q3" s="0" t="n">
        <v>7830</v>
      </c>
      <c r="R3" s="0" t="n">
        <v>3092</v>
      </c>
      <c r="S3" s="0" t="n">
        <v>552</v>
      </c>
      <c r="T3" s="0" t="n">
        <v>14702.7</v>
      </c>
      <c r="U3" s="0" t="n">
        <v>8</v>
      </c>
      <c r="W3" s="0" t="n">
        <v>2671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25589</v>
      </c>
      <c r="C4" s="0" t="n">
        <v>20563</v>
      </c>
      <c r="D4" s="0" t="n">
        <v>5026</v>
      </c>
      <c r="E4" s="0" t="n">
        <v>19.6</v>
      </c>
      <c r="F4" s="0" t="n">
        <v>1729</v>
      </c>
      <c r="G4" s="0" t="n">
        <v>6.8</v>
      </c>
      <c r="H4" s="0" t="n">
        <v>2094</v>
      </c>
      <c r="I4" s="0" t="n">
        <v>828</v>
      </c>
      <c r="J4" s="0" t="n">
        <v>3.2</v>
      </c>
      <c r="K4" s="0" t="n">
        <v>0.056</v>
      </c>
      <c r="L4" s="0" t="n">
        <v>2357</v>
      </c>
      <c r="M4" s="0" t="n">
        <v>551</v>
      </c>
      <c r="N4" s="0" t="n">
        <v>1806</v>
      </c>
      <c r="O4" s="0" t="n">
        <v>10005</v>
      </c>
      <c r="P4" s="0" t="n">
        <v>18715</v>
      </c>
      <c r="Q4" s="0" t="n">
        <v>7730</v>
      </c>
      <c r="R4" s="0" t="n">
        <v>2682</v>
      </c>
      <c r="S4" s="0" t="n">
        <v>1599</v>
      </c>
      <c r="T4" s="0" t="n">
        <v>14733.5</v>
      </c>
      <c r="U4" s="0" t="n">
        <v>0</v>
      </c>
      <c r="W4" s="0" t="n">
        <v>2279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27293</v>
      </c>
      <c r="C5" s="0" t="n">
        <v>22297</v>
      </c>
      <c r="D5" s="0" t="n">
        <v>4996</v>
      </c>
      <c r="E5" s="0" t="n">
        <v>18.3</v>
      </c>
      <c r="F5" s="0" t="n">
        <v>1966</v>
      </c>
      <c r="G5" s="0" t="n">
        <v>7.2</v>
      </c>
      <c r="H5" s="0" t="n">
        <v>2518</v>
      </c>
      <c r="I5" s="0" t="n">
        <v>1068</v>
      </c>
      <c r="J5" s="0" t="n">
        <v>3.9</v>
      </c>
      <c r="K5" s="0" t="n">
        <v>0.0755</v>
      </c>
      <c r="L5" s="0" t="n">
        <v>1822</v>
      </c>
      <c r="M5" s="0" t="n">
        <v>922</v>
      </c>
      <c r="N5" s="0" t="n">
        <v>900</v>
      </c>
      <c r="O5" s="0" t="n">
        <v>8748</v>
      </c>
      <c r="P5" s="0" t="n">
        <v>19411</v>
      </c>
      <c r="Q5" s="0" t="n">
        <v>9724</v>
      </c>
      <c r="R5" s="0" t="n">
        <v>4014</v>
      </c>
      <c r="S5" s="0" t="n">
        <v>1556</v>
      </c>
      <c r="T5" s="0" t="n">
        <v>14142.5</v>
      </c>
      <c r="U5" s="0" t="n">
        <v>0</v>
      </c>
      <c r="W5" s="0" t="n">
        <v>2476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28136</v>
      </c>
      <c r="C6" s="0" t="n">
        <v>22959</v>
      </c>
      <c r="D6" s="0" t="n">
        <v>5177</v>
      </c>
      <c r="E6" s="0" t="n">
        <v>18.4</v>
      </c>
      <c r="F6" s="0" t="n">
        <v>2093</v>
      </c>
      <c r="G6" s="0" t="n">
        <v>7.4</v>
      </c>
      <c r="H6" s="0" t="n">
        <v>3103</v>
      </c>
      <c r="I6" s="0" t="n">
        <v>1370</v>
      </c>
      <c r="J6" s="0" t="n">
        <v>4.9</v>
      </c>
      <c r="K6" s="0" t="n">
        <v>0.1068</v>
      </c>
      <c r="L6" s="0" t="n">
        <v>1803</v>
      </c>
      <c r="M6" s="0" t="n">
        <v>948</v>
      </c>
      <c r="N6" s="0" t="n">
        <v>855</v>
      </c>
      <c r="O6" s="0" t="n">
        <v>9600</v>
      </c>
      <c r="P6" s="0" t="n">
        <v>19855</v>
      </c>
      <c r="Q6" s="0" t="n">
        <v>9443</v>
      </c>
      <c r="R6" s="0" t="n">
        <v>3366</v>
      </c>
      <c r="S6" s="0" t="n">
        <v>1394</v>
      </c>
      <c r="T6" s="0" t="n">
        <v>12830.2</v>
      </c>
      <c r="U6" s="0" t="n">
        <v>0</v>
      </c>
      <c r="W6" s="0" t="n">
        <v>3157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26236</v>
      </c>
      <c r="C7" s="0" t="n">
        <v>21111</v>
      </c>
      <c r="D7" s="0" t="n">
        <v>5125</v>
      </c>
      <c r="E7" s="0" t="n">
        <v>19.5</v>
      </c>
      <c r="F7" s="0" t="n">
        <v>1471</v>
      </c>
      <c r="G7" s="0" t="n">
        <v>5.6</v>
      </c>
      <c r="H7" s="0" t="n">
        <v>2005</v>
      </c>
      <c r="I7" s="0" t="n">
        <v>629</v>
      </c>
      <c r="J7" s="0" t="n">
        <v>2.4</v>
      </c>
      <c r="K7" s="0" t="n">
        <v>0.049</v>
      </c>
      <c r="L7" s="0" t="n">
        <v>1617</v>
      </c>
      <c r="M7" s="0" t="n">
        <v>800</v>
      </c>
      <c r="N7" s="0" t="n">
        <v>817</v>
      </c>
      <c r="O7" s="0" t="n">
        <v>9831</v>
      </c>
      <c r="P7" s="0" t="n">
        <v>19179</v>
      </c>
      <c r="Q7" s="0" t="n">
        <v>8604</v>
      </c>
      <c r="R7" s="0" t="n">
        <v>3228</v>
      </c>
      <c r="S7" s="0" t="n">
        <v>1156</v>
      </c>
      <c r="T7" s="0" t="n">
        <v>12830.2</v>
      </c>
      <c r="U7" s="0" t="n">
        <v>0</v>
      </c>
      <c r="W7" s="0" t="n">
        <v>1972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25941</v>
      </c>
      <c r="C8" s="0" t="n">
        <v>20741</v>
      </c>
      <c r="D8" s="0" t="n">
        <v>5200</v>
      </c>
      <c r="E8" s="0" t="n">
        <v>20</v>
      </c>
      <c r="F8" s="0" t="n">
        <v>2404</v>
      </c>
      <c r="G8" s="0" t="n">
        <v>9.3</v>
      </c>
      <c r="H8" s="0" t="n">
        <v>3280</v>
      </c>
      <c r="I8" s="0" t="n">
        <v>1612</v>
      </c>
      <c r="J8" s="0" t="n">
        <v>6.2</v>
      </c>
      <c r="K8" s="0" t="n">
        <v>0.1256</v>
      </c>
      <c r="L8" s="0" t="n">
        <v>2519</v>
      </c>
      <c r="M8" s="0" t="n">
        <v>707</v>
      </c>
      <c r="N8" s="0" t="n">
        <v>1812</v>
      </c>
      <c r="O8" s="0" t="n">
        <v>10661</v>
      </c>
      <c r="P8" s="0" t="n">
        <v>19841</v>
      </c>
      <c r="Q8" s="0" t="n">
        <v>8480</v>
      </c>
      <c r="R8" s="0" t="n">
        <v>3310</v>
      </c>
      <c r="S8" s="0" t="n">
        <v>2100</v>
      </c>
      <c r="T8" s="0" t="n">
        <v>12830.2</v>
      </c>
      <c r="U8" s="0" t="n">
        <v>0</v>
      </c>
      <c r="W8" s="0" t="n">
        <v>3078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28026</v>
      </c>
      <c r="C9" s="0" t="n">
        <v>23039</v>
      </c>
      <c r="D9" s="0" t="n">
        <v>4987</v>
      </c>
      <c r="E9" s="0" t="n">
        <v>17.8</v>
      </c>
      <c r="F9" s="0" t="n">
        <v>2612</v>
      </c>
      <c r="G9" s="0" t="n">
        <v>9.3</v>
      </c>
      <c r="H9" s="0" t="n">
        <v>3352</v>
      </c>
      <c r="I9" s="0" t="n">
        <v>1567</v>
      </c>
      <c r="J9" s="0" t="n">
        <v>5.6</v>
      </c>
      <c r="K9" s="0" t="n">
        <v>0.122</v>
      </c>
      <c r="L9" s="0" t="n">
        <v>2526</v>
      </c>
      <c r="M9" s="0" t="n">
        <v>611</v>
      </c>
      <c r="N9" s="0" t="n">
        <v>1915</v>
      </c>
      <c r="O9" s="0" t="n">
        <v>11187</v>
      </c>
      <c r="P9" s="0" t="n">
        <v>21910</v>
      </c>
      <c r="Q9" s="0" t="n">
        <v>9105</v>
      </c>
      <c r="R9" s="0" t="n">
        <v>3633</v>
      </c>
      <c r="S9" s="0" t="n">
        <v>3335</v>
      </c>
      <c r="T9" s="0" t="n">
        <v>12830.2</v>
      </c>
      <c r="U9" s="0" t="n">
        <v>24</v>
      </c>
      <c r="W9" s="0" t="n">
        <v>3377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6.585</v>
      </c>
    </row>
    <row r="3" customFormat="false" ht="15" hidden="false" customHeight="false" outlineLevel="0" collapsed="false">
      <c r="A3" s="0" t="s">
        <v>75</v>
      </c>
      <c r="B3" s="3" t="n">
        <v>12830.22</v>
      </c>
    </row>
    <row r="4" customFormat="false" ht="15" hidden="false" customHeight="false" outlineLevel="0" collapsed="false">
      <c r="A4" s="0" t="s">
        <v>76</v>
      </c>
      <c r="B4" s="3" t="n">
        <v>652</v>
      </c>
    </row>
    <row r="5" customFormat="false" ht="15" hidden="false" customHeight="false" outlineLevel="0" collapsed="false">
      <c r="A5" s="0" t="s">
        <v>77</v>
      </c>
      <c r="B5" s="3" t="n">
        <v>-679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28026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7.8472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1.5</v>
      </c>
      <c r="D13" s="3" t="n">
        <v>-2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11.2</v>
      </c>
      <c r="D14" s="3" t="n">
        <v>9.3</v>
      </c>
      <c r="E14" s="3" t="n">
        <v>9.6</v>
      </c>
      <c r="F14" s="3" t="n">
        <v>10</v>
      </c>
      <c r="G14" s="3" t="n">
        <v>10</v>
      </c>
      <c r="H14" s="3" t="n">
        <v>10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97</v>
      </c>
      <c r="C15" s="3" t="n">
        <v>0.09</v>
      </c>
      <c r="D15" s="3" t="n">
        <v>0.09</v>
      </c>
      <c r="E15" s="3" t="n">
        <v>0.09</v>
      </c>
      <c r="F15" s="3" t="n">
        <v>0.09</v>
      </c>
      <c r="G15" s="3" t="n">
        <v>0.09</v>
      </c>
      <c r="H15" s="3" t="n">
        <v>0.09</v>
      </c>
      <c r="I15" s="3" t="n">
        <v>0.09</v>
      </c>
      <c r="J15" s="3" t="n">
        <v>0.09</v>
      </c>
      <c r="K15" s="3" t="n">
        <v>0.09</v>
      </c>
      <c r="L15" s="3" t="n">
        <v>0.09</v>
      </c>
    </row>
    <row r="16" customFormat="false" ht="15" hidden="false" customHeight="false" outlineLevel="0" collapsed="false">
      <c r="A16" s="0" t="s">
        <v>98</v>
      </c>
      <c r="C16" s="3" t="n">
        <v>0.38</v>
      </c>
      <c r="D16" s="3" t="n">
        <v>0.38</v>
      </c>
      <c r="E16" s="3" t="n">
        <v>0.38</v>
      </c>
      <c r="F16" s="3" t="n">
        <v>0.38</v>
      </c>
      <c r="G16" s="3" t="n">
        <v>0.38</v>
      </c>
      <c r="H16" s="3" t="n">
        <v>0.38</v>
      </c>
      <c r="I16" s="3" t="n">
        <v>0.38</v>
      </c>
      <c r="J16" s="3" t="n">
        <v>0.38</v>
      </c>
      <c r="K16" s="3" t="n">
        <v>0.38</v>
      </c>
      <c r="L16" s="3" t="n">
        <v>0.38</v>
      </c>
    </row>
    <row r="17" customFormat="false" ht="15" hidden="false" customHeight="false" outlineLevel="0" collapsed="false">
      <c r="A17" s="0" t="s">
        <v>99</v>
      </c>
      <c r="C17" s="3" t="n">
        <v>2.35</v>
      </c>
      <c r="D17" s="3" t="n">
        <v>2.4</v>
      </c>
      <c r="E17" s="3" t="n">
        <v>2.4</v>
      </c>
      <c r="F17" s="3" t="n">
        <v>2.5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</row>
    <row r="18" customFormat="false" ht="15" hidden="false" customHeight="false" outlineLevel="0" collapsed="false">
      <c r="A18" s="0" t="s">
        <v>100</v>
      </c>
      <c r="C18" s="3" t="n">
        <v>2.2</v>
      </c>
      <c r="D18" s="3" t="n">
        <v>3.4</v>
      </c>
      <c r="E18" s="3" t="n">
        <v>3.7</v>
      </c>
      <c r="F18" s="3" t="n">
        <v>3.4</v>
      </c>
      <c r="G18" s="3" t="n">
        <v>2.7</v>
      </c>
      <c r="H18" s="3" t="n">
        <v>2.6</v>
      </c>
      <c r="I18" s="3" t="n">
        <v>2.6</v>
      </c>
      <c r="J18" s="3" t="n">
        <v>2.6</v>
      </c>
      <c r="K18" s="3" t="n">
        <v>2.6</v>
      </c>
      <c r="L18" s="3" t="n">
        <v>2.6</v>
      </c>
    </row>
    <row r="19" customFormat="false" ht="15" hidden="false" customHeight="false" outlineLevel="0" collapsed="false">
      <c r="A19" s="0" t="s">
        <v>101</v>
      </c>
      <c r="C19" s="3" t="n">
        <v>35.6</v>
      </c>
      <c r="D19" s="3" t="n">
        <v>35.6</v>
      </c>
      <c r="E19" s="3" t="n">
        <v>35.6</v>
      </c>
      <c r="F19" s="3" t="n">
        <v>35.6</v>
      </c>
      <c r="G19" s="3" t="n">
        <v>35.6</v>
      </c>
      <c r="H19" s="3" t="n">
        <v>35.6</v>
      </c>
      <c r="I19" s="3" t="n">
        <v>35.6</v>
      </c>
      <c r="J19" s="3" t="n">
        <v>35.6</v>
      </c>
      <c r="K19" s="3" t="n">
        <v>35.6</v>
      </c>
      <c r="L19" s="3" t="n">
        <v>35.6</v>
      </c>
    </row>
    <row r="20" customFormat="false" ht="15" hidden="false" customHeight="false" outlineLevel="0" collapsed="false">
      <c r="A20" s="0" t="s">
        <v>102</v>
      </c>
      <c r="B20" s="3" t="n">
        <v>8.5</v>
      </c>
    </row>
    <row r="21" customFormat="false" ht="15" hidden="false" customHeight="false" outlineLevel="0" collapsed="false">
      <c r="A21" s="0" t="s">
        <v>103</v>
      </c>
      <c r="B21" s="3" t="n">
        <v>1.5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-10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3</v>
      </c>
      <c r="D27" s="3" t="n">
        <v>3</v>
      </c>
      <c r="E27" s="3" t="n">
        <v>3</v>
      </c>
      <c r="F27" s="3" t="n">
        <v>3</v>
      </c>
      <c r="G27" s="3" t="n">
        <v>2.5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11.5</v>
      </c>
      <c r="D28" s="3" t="n">
        <v>11.2</v>
      </c>
      <c r="E28" s="3" t="n">
        <v>11</v>
      </c>
      <c r="F28" s="3" t="n">
        <v>11</v>
      </c>
      <c r="G28" s="3" t="n">
        <v>11</v>
      </c>
      <c r="H28" s="3" t="n">
        <v>11</v>
      </c>
      <c r="I28" s="3" t="n">
        <v>11</v>
      </c>
      <c r="J28" s="3" t="n">
        <v>11</v>
      </c>
      <c r="K28" s="3" t="n">
        <v>11</v>
      </c>
      <c r="L28" s="3" t="n">
        <v>11</v>
      </c>
    </row>
    <row r="29" customFormat="false" ht="15" hidden="false" customHeight="false" outlineLevel="0" collapsed="false">
      <c r="A29" s="0" t="s">
        <v>97</v>
      </c>
      <c r="C29" s="3" t="n">
        <v>0.09</v>
      </c>
      <c r="D29" s="3" t="n">
        <v>0.09</v>
      </c>
      <c r="E29" s="3" t="n">
        <v>0.09</v>
      </c>
      <c r="F29" s="3" t="n">
        <v>0.09</v>
      </c>
      <c r="G29" s="3" t="n">
        <v>0.09</v>
      </c>
      <c r="H29" s="3" t="n">
        <v>0.09</v>
      </c>
      <c r="I29" s="3" t="n">
        <v>0.09</v>
      </c>
      <c r="J29" s="3" t="n">
        <v>0.09</v>
      </c>
      <c r="K29" s="3" t="n">
        <v>0.09</v>
      </c>
      <c r="L29" s="3" t="n">
        <v>0.09</v>
      </c>
    </row>
    <row r="30" customFormat="false" ht="15" hidden="false" customHeight="false" outlineLevel="0" collapsed="false">
      <c r="A30" s="0" t="s">
        <v>98</v>
      </c>
      <c r="C30" s="3" t="n">
        <v>0.38</v>
      </c>
      <c r="D30" s="3" t="n">
        <v>0.38</v>
      </c>
      <c r="E30" s="3" t="n">
        <v>0.38</v>
      </c>
      <c r="F30" s="3" t="n">
        <v>0.38</v>
      </c>
      <c r="G30" s="3" t="n">
        <v>0.38</v>
      </c>
      <c r="H30" s="3" t="n">
        <v>0.38</v>
      </c>
      <c r="I30" s="3" t="n">
        <v>0.38</v>
      </c>
      <c r="J30" s="3" t="n">
        <v>0.38</v>
      </c>
      <c r="K30" s="3" t="n">
        <v>0.38</v>
      </c>
      <c r="L30" s="3" t="n">
        <v>0.38</v>
      </c>
    </row>
    <row r="31" customFormat="false" ht="15" hidden="false" customHeight="false" outlineLevel="0" collapsed="false">
      <c r="A31" s="0" t="s">
        <v>99</v>
      </c>
      <c r="C31" s="3" t="n">
        <v>2.35</v>
      </c>
      <c r="D31" s="3" t="n">
        <v>2.35</v>
      </c>
      <c r="E31" s="3" t="n">
        <v>2.35</v>
      </c>
      <c r="F31" s="3" t="n">
        <v>2.45</v>
      </c>
      <c r="G31" s="3" t="n">
        <v>2.5</v>
      </c>
      <c r="H31" s="3" t="n">
        <v>2.5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100</v>
      </c>
      <c r="C32" s="3" t="n">
        <v>2.2</v>
      </c>
      <c r="D32" s="3" t="n">
        <v>3.3</v>
      </c>
      <c r="E32" s="3" t="n">
        <v>3.6</v>
      </c>
      <c r="F32" s="3" t="n">
        <v>3.3</v>
      </c>
      <c r="G32" s="3" t="n">
        <v>2.8</v>
      </c>
      <c r="H32" s="3" t="n">
        <v>2.7</v>
      </c>
      <c r="I32" s="3" t="n">
        <v>2.7</v>
      </c>
      <c r="J32" s="3" t="n">
        <v>2.7</v>
      </c>
      <c r="K32" s="3" t="n">
        <v>2.7</v>
      </c>
      <c r="L32" s="3" t="n">
        <v>2.7</v>
      </c>
    </row>
    <row r="33" customFormat="false" ht="15" hidden="false" customHeight="false" outlineLevel="0" collapsed="false">
      <c r="A33" s="0" t="s">
        <v>101</v>
      </c>
      <c r="C33" s="3" t="n">
        <v>35.6</v>
      </c>
      <c r="D33" s="3" t="n">
        <v>35.6</v>
      </c>
      <c r="E33" s="3" t="n">
        <v>35.6</v>
      </c>
      <c r="F33" s="3" t="n">
        <v>35.6</v>
      </c>
      <c r="G33" s="3" t="n">
        <v>35.6</v>
      </c>
      <c r="H33" s="3" t="n">
        <v>35.6</v>
      </c>
      <c r="I33" s="3" t="n">
        <v>35.6</v>
      </c>
      <c r="J33" s="3" t="n">
        <v>35.6</v>
      </c>
      <c r="K33" s="3" t="n">
        <v>35.6</v>
      </c>
      <c r="L33" s="3" t="n">
        <v>35.6</v>
      </c>
    </row>
    <row r="34" customFormat="false" ht="15" hidden="false" customHeight="false" outlineLevel="0" collapsed="false">
      <c r="A34" s="0" t="s">
        <v>102</v>
      </c>
      <c r="B34" s="3" t="n">
        <v>8.5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-10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4</v>
      </c>
      <c r="D41" s="3" t="n">
        <v>5</v>
      </c>
      <c r="E41" s="3" t="n">
        <v>4.5</v>
      </c>
      <c r="F41" s="3" t="n">
        <v>4</v>
      </c>
      <c r="G41" s="3" t="n">
        <v>3.5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11.7</v>
      </c>
      <c r="D42" s="3" t="n">
        <v>12</v>
      </c>
      <c r="E42" s="3" t="n">
        <v>12.2</v>
      </c>
      <c r="F42" s="3" t="n">
        <v>12.3</v>
      </c>
      <c r="G42" s="3" t="n">
        <v>12.3</v>
      </c>
      <c r="H42" s="3" t="n">
        <v>12.3</v>
      </c>
      <c r="I42" s="3" t="n">
        <v>12.3</v>
      </c>
      <c r="J42" s="3" t="n">
        <v>12.3</v>
      </c>
      <c r="K42" s="3" t="n">
        <v>12.3</v>
      </c>
      <c r="L42" s="3" t="n">
        <v>12.3</v>
      </c>
    </row>
    <row r="43" customFormat="false" ht="15" hidden="false" customHeight="false" outlineLevel="0" collapsed="false">
      <c r="A43" s="0" t="s">
        <v>97</v>
      </c>
      <c r="C43" s="3" t="n">
        <v>0.09</v>
      </c>
      <c r="D43" s="3" t="n">
        <v>0.09</v>
      </c>
      <c r="E43" s="3" t="n">
        <v>0.09</v>
      </c>
      <c r="F43" s="3" t="n">
        <v>0.09</v>
      </c>
      <c r="G43" s="3" t="n">
        <v>0.09</v>
      </c>
      <c r="H43" s="3" t="n">
        <v>0.09</v>
      </c>
      <c r="I43" s="3" t="n">
        <v>0.09</v>
      </c>
      <c r="J43" s="3" t="n">
        <v>0.09</v>
      </c>
      <c r="K43" s="3" t="n">
        <v>0.09</v>
      </c>
      <c r="L43" s="3" t="n">
        <v>0.09</v>
      </c>
    </row>
    <row r="44" customFormat="false" ht="15" hidden="false" customHeight="false" outlineLevel="0" collapsed="false">
      <c r="A44" s="0" t="s">
        <v>98</v>
      </c>
      <c r="C44" s="3" t="n">
        <v>0.38</v>
      </c>
      <c r="D44" s="3" t="n">
        <v>0.38</v>
      </c>
      <c r="E44" s="3" t="n">
        <v>0.38</v>
      </c>
      <c r="F44" s="3" t="n">
        <v>0.38</v>
      </c>
      <c r="G44" s="3" t="n">
        <v>0.38</v>
      </c>
      <c r="H44" s="3" t="n">
        <v>0.38</v>
      </c>
      <c r="I44" s="3" t="n">
        <v>0.38</v>
      </c>
      <c r="J44" s="3" t="n">
        <v>0.38</v>
      </c>
      <c r="K44" s="3" t="n">
        <v>0.38</v>
      </c>
      <c r="L44" s="3" t="n">
        <v>0.38</v>
      </c>
    </row>
    <row r="45" customFormat="false" ht="15" hidden="false" customHeight="false" outlineLevel="0" collapsed="false">
      <c r="A45" s="0" t="s">
        <v>99</v>
      </c>
      <c r="C45" s="3" t="n">
        <v>2.35</v>
      </c>
      <c r="D45" s="3" t="n">
        <v>2.35</v>
      </c>
      <c r="E45" s="3" t="n">
        <v>2.35</v>
      </c>
      <c r="F45" s="3" t="n">
        <v>2.45</v>
      </c>
      <c r="G45" s="3" t="n">
        <v>2.5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100</v>
      </c>
      <c r="C46" s="3" t="n">
        <v>2.2</v>
      </c>
      <c r="D46" s="3" t="n">
        <v>3.3</v>
      </c>
      <c r="E46" s="3" t="n">
        <v>3.6</v>
      </c>
      <c r="F46" s="3" t="n">
        <v>3.3</v>
      </c>
      <c r="G46" s="3" t="n">
        <v>2.9</v>
      </c>
      <c r="H46" s="3" t="n">
        <v>2.8</v>
      </c>
      <c r="I46" s="3" t="n">
        <v>2.8</v>
      </c>
      <c r="J46" s="3" t="n">
        <v>2.8</v>
      </c>
      <c r="K46" s="3" t="n">
        <v>2.8</v>
      </c>
      <c r="L46" s="3" t="n">
        <v>2.8</v>
      </c>
    </row>
    <row r="47" customFormat="false" ht="15" hidden="false" customHeight="false" outlineLevel="0" collapsed="false">
      <c r="A47" s="0" t="s">
        <v>101</v>
      </c>
      <c r="C47" s="3" t="n">
        <v>35.6</v>
      </c>
      <c r="D47" s="3" t="n">
        <v>35.6</v>
      </c>
      <c r="E47" s="3" t="n">
        <v>35.6</v>
      </c>
      <c r="F47" s="3" t="n">
        <v>35.6</v>
      </c>
      <c r="G47" s="3" t="n">
        <v>35.6</v>
      </c>
      <c r="H47" s="3" t="n">
        <v>35.6</v>
      </c>
      <c r="I47" s="3" t="n">
        <v>35.6</v>
      </c>
      <c r="J47" s="3" t="n">
        <v>35.6</v>
      </c>
      <c r="K47" s="3" t="n">
        <v>35.6</v>
      </c>
      <c r="L47" s="3" t="n">
        <v>35.6</v>
      </c>
    </row>
    <row r="48" customFormat="false" ht="15" hidden="false" customHeight="false" outlineLevel="0" collapsed="false">
      <c r="A48" s="0" t="s">
        <v>102</v>
      </c>
      <c r="B48" s="3" t="n">
        <v>8.5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12</v>
      </c>
    </row>
    <row r="51" customFormat="false" ht="15" hidden="false" customHeight="false" outlineLevel="0" collapsed="false">
      <c r="A51" s="0" t="s">
        <v>105</v>
      </c>
      <c r="B51" s="3" t="n">
        <v>-10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1.5</v>
      </c>
      <c r="D5" s="4" t="n">
        <f aca="false">Assumptions!D13</f>
        <v>-2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28026</v>
      </c>
      <c r="C6" s="0" t="n">
        <f aca="false">B6*(1+C5/100)</f>
        <v>28446.39</v>
      </c>
      <c r="D6" s="0" t="n">
        <f aca="false">C6*(1+D5/100)</f>
        <v>27877.4622</v>
      </c>
      <c r="E6" s="0" t="n">
        <f aca="false">D6*(1+E5/100)</f>
        <v>28156.236822</v>
      </c>
      <c r="F6" s="0" t="n">
        <f aca="false">E6*(1+F5/100)</f>
        <v>28719.36155844</v>
      </c>
      <c r="G6" s="0" t="n">
        <f aca="false">F6*(1+G5/100)</f>
        <v>29293.7487896088</v>
      </c>
      <c r="H6" s="0" t="n">
        <f aca="false">G6*(1+H5/100)</f>
        <v>29879.623765401</v>
      </c>
      <c r="I6" s="0" t="n">
        <f aca="false">H6*(1+I5/100)</f>
        <v>30327.818121882</v>
      </c>
      <c r="J6" s="0" t="n">
        <f aca="false">I6*(1+J5/100)</f>
        <v>30782.7353937102</v>
      </c>
      <c r="K6" s="0" t="n">
        <f aca="false">J6*(1+K5/100)</f>
        <v>31244.4764246159</v>
      </c>
      <c r="L6" s="0" t="n">
        <f aca="false">K6*(1+L5/100)</f>
        <v>31713.1435709851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11.2</v>
      </c>
      <c r="D7" s="4" t="n">
        <f aca="false">Assumptions!D14</f>
        <v>9.3</v>
      </c>
      <c r="E7" s="4" t="n">
        <f aca="false">Assumptions!E14</f>
        <v>9.6</v>
      </c>
      <c r="F7" s="4" t="n">
        <f aca="false">Assumptions!F14</f>
        <v>10</v>
      </c>
      <c r="G7" s="4" t="n">
        <f aca="false">Assumptions!G14</f>
        <v>10</v>
      </c>
      <c r="H7" s="4" t="n">
        <f aca="false">Assumptions!H14</f>
        <v>10</v>
      </c>
      <c r="I7" s="4" t="n">
        <f aca="false">Assumptions!I14</f>
        <v>10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44</v>
      </c>
      <c r="C8" s="0" t="n">
        <f aca="false">C6*C7/100</f>
        <v>3185.99568</v>
      </c>
      <c r="D8" s="0" t="n">
        <f aca="false">D6*D7/100</f>
        <v>2592.6039846</v>
      </c>
      <c r="E8" s="0" t="n">
        <f aca="false">E6*E7/100</f>
        <v>2702.998734912</v>
      </c>
      <c r="F8" s="0" t="n">
        <f aca="false">F6*F7/100</f>
        <v>2871.936155844</v>
      </c>
      <c r="G8" s="0" t="n">
        <f aca="false">G6*G7/100</f>
        <v>2929.37487896088</v>
      </c>
      <c r="H8" s="0" t="n">
        <f aca="false">H6*H7/100</f>
        <v>2987.9623765401</v>
      </c>
      <c r="I8" s="0" t="n">
        <f aca="false">I6*I7/100</f>
        <v>3032.7818121882</v>
      </c>
      <c r="J8" s="0" t="n">
        <f aca="false">J6*J7/100</f>
        <v>3078.27353937102</v>
      </c>
      <c r="K8" s="0" t="n">
        <f aca="false">K6*K7/100</f>
        <v>3124.44764246159</v>
      </c>
      <c r="L8" s="0" t="n">
        <f aca="false">L6*L7/100</f>
        <v>3171.31435709851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0.09</v>
      </c>
      <c r="D9" s="4" t="n">
        <f aca="false">Assumptions!D15</f>
        <v>0.09</v>
      </c>
      <c r="E9" s="4" t="n">
        <f aca="false">Assumptions!E15</f>
        <v>0.09</v>
      </c>
      <c r="F9" s="4" t="n">
        <f aca="false">Assumptions!F15</f>
        <v>0.09</v>
      </c>
      <c r="G9" s="4" t="n">
        <f aca="false">Assumptions!G15</f>
        <v>0.09</v>
      </c>
      <c r="H9" s="4" t="n">
        <f aca="false">Assumptions!H15</f>
        <v>0.09</v>
      </c>
      <c r="I9" s="4" t="n">
        <f aca="false">Assumptions!I15</f>
        <v>0.09</v>
      </c>
      <c r="J9" s="4" t="n">
        <f aca="false">Assumptions!J15</f>
        <v>0.09</v>
      </c>
      <c r="K9" s="4" t="n">
        <f aca="false">Assumptions!K15</f>
        <v>0.09</v>
      </c>
      <c r="L9" s="4" t="n">
        <f aca="false">Assumptions!L15</f>
        <v>0.09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-25.601751</v>
      </c>
      <c r="D10" s="0" t="n">
        <f aca="false">-D6*D9/100</f>
        <v>-25.08971598</v>
      </c>
      <c r="E10" s="0" t="n">
        <f aca="false">-E6*E9/100</f>
        <v>-25.3406131398</v>
      </c>
      <c r="F10" s="0" t="n">
        <f aca="false">-F6*F9/100</f>
        <v>-25.847425402596</v>
      </c>
      <c r="G10" s="0" t="n">
        <f aca="false">-G6*G9/100</f>
        <v>-26.3643739106479</v>
      </c>
      <c r="H10" s="0" t="n">
        <f aca="false">-H6*H9/100</f>
        <v>-26.8916613888609</v>
      </c>
      <c r="I10" s="0" t="n">
        <f aca="false">-I6*I9/100</f>
        <v>-27.2950363096938</v>
      </c>
      <c r="J10" s="0" t="n">
        <f aca="false">-J6*J9/100</f>
        <v>-27.7044618543392</v>
      </c>
      <c r="K10" s="0" t="n">
        <f aca="false">-K6*K9/100</f>
        <v>-28.1200287821543</v>
      </c>
      <c r="L10" s="0" t="n">
        <f aca="false">-L6*L9/100</f>
        <v>-28.5418292138866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3052.297647</v>
      </c>
      <c r="D11" s="0" t="n">
        <f aca="false">D8+D10+D24</f>
        <v>2461.57991226</v>
      </c>
      <c r="E11" s="0" t="n">
        <f aca="false">E8+E10+E24</f>
        <v>2570.6644218486</v>
      </c>
      <c r="F11" s="0" t="n">
        <f aca="false">F8+F10+F24</f>
        <v>2736.95515651933</v>
      </c>
      <c r="G11" s="0" t="n">
        <f aca="false">G8+G10+G24</f>
        <v>2791.69425964972</v>
      </c>
      <c r="H11" s="0" t="n">
        <f aca="false">H8+H10+H24</f>
        <v>2847.52814484271</v>
      </c>
      <c r="I11" s="0" t="n">
        <f aca="false">I8+I10+I24</f>
        <v>2890.24106701535</v>
      </c>
      <c r="J11" s="0" t="n">
        <f aca="false">J8+J10+J24</f>
        <v>2933.59468302058</v>
      </c>
      <c r="K11" s="0" t="n">
        <f aca="false">K8+K10+K24</f>
        <v>2977.59860326589</v>
      </c>
      <c r="L11" s="0" t="n">
        <f aca="false">L8+L10+L24</f>
        <v>3022.26258231488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-668.490165</v>
      </c>
      <c r="D12" s="4" t="n">
        <f aca="false">-D6*Assumptions!D17/100</f>
        <v>-669.0590928</v>
      </c>
      <c r="E12" s="4" t="n">
        <f aca="false">-E6*Assumptions!E17/100</f>
        <v>-675.749683728</v>
      </c>
      <c r="F12" s="4" t="n">
        <f aca="false">-F6*Assumptions!F17/100</f>
        <v>-717.984038961</v>
      </c>
      <c r="G12" s="4" t="n">
        <f aca="false">-G6*Assumptions!G17/100</f>
        <v>-746.990594135024</v>
      </c>
      <c r="H12" s="4" t="n">
        <f aca="false">-H6*Assumptions!H17/100</f>
        <v>-761.930406017725</v>
      </c>
      <c r="I12" s="4" t="n">
        <f aca="false">-I6*Assumptions!I17/100</f>
        <v>-773.359362107991</v>
      </c>
      <c r="J12" s="4" t="n">
        <f aca="false">-J6*Assumptions!J17/100</f>
        <v>-784.95975253961</v>
      </c>
      <c r="K12" s="4" t="n">
        <f aca="false">-K6*Assumptions!K17/100</f>
        <v>-796.734148827704</v>
      </c>
      <c r="L12" s="4" t="n">
        <f aca="false">-L6*Assumptions!L17/100</f>
        <v>-808.68516106012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2383.807482</v>
      </c>
      <c r="D13" s="0" t="n">
        <f aca="false">D11+D12</f>
        <v>1792.52081946</v>
      </c>
      <c r="E13" s="0" t="n">
        <f aca="false">E11+E12</f>
        <v>1894.9147381206</v>
      </c>
      <c r="F13" s="0" t="n">
        <f aca="false">F11+F12</f>
        <v>2018.97111755833</v>
      </c>
      <c r="G13" s="0" t="n">
        <f aca="false">G11+G12</f>
        <v>2044.70366551469</v>
      </c>
      <c r="H13" s="0" t="n">
        <f aca="false">H11+H12</f>
        <v>2085.59773882499</v>
      </c>
      <c r="I13" s="0" t="n">
        <f aca="false">I11+I12</f>
        <v>2116.88170490736</v>
      </c>
      <c r="J13" s="0" t="n">
        <f aca="false">J11+J12</f>
        <v>2148.63493048097</v>
      </c>
      <c r="K13" s="0" t="n">
        <f aca="false">K11+K12</f>
        <v>2180.86445443819</v>
      </c>
      <c r="L13" s="0" t="n">
        <f aca="false">L11+L12</f>
        <v>2213.57742125476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35.6</v>
      </c>
      <c r="D14" s="4" t="n">
        <f aca="false">Assumptions!D19</f>
        <v>35.6</v>
      </c>
      <c r="E14" s="4" t="n">
        <f aca="false">Assumptions!E19</f>
        <v>35.6</v>
      </c>
      <c r="F14" s="4" t="n">
        <f aca="false">Assumptions!F19</f>
        <v>35.6</v>
      </c>
      <c r="G14" s="4" t="n">
        <f aca="false">Assumptions!G19</f>
        <v>35.6</v>
      </c>
      <c r="H14" s="4" t="n">
        <f aca="false">Assumptions!H19</f>
        <v>35.6</v>
      </c>
      <c r="I14" s="4" t="n">
        <f aca="false">Assumptions!I19</f>
        <v>35.6</v>
      </c>
      <c r="J14" s="4" t="n">
        <f aca="false">Assumptions!J19</f>
        <v>35.6</v>
      </c>
      <c r="K14" s="4" t="n">
        <f aca="false">Assumptions!K19</f>
        <v>35.6</v>
      </c>
      <c r="L14" s="4" t="n">
        <f aca="false">Assumptions!L19</f>
        <v>35.6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1535.172018408</v>
      </c>
      <c r="D15" s="0" t="n">
        <f aca="false">D13-MAX(0,D13)*D14/100</f>
        <v>1154.38340773224</v>
      </c>
      <c r="E15" s="0" t="n">
        <f aca="false">E13-MAX(0,E13)*E14/100</f>
        <v>1220.32509134967</v>
      </c>
      <c r="F15" s="0" t="n">
        <f aca="false">F13-MAX(0,F13)*F14/100</f>
        <v>1300.21739970757</v>
      </c>
      <c r="G15" s="0" t="n">
        <f aca="false">G13-MAX(0,G13)*G14/100</f>
        <v>1316.78916059146</v>
      </c>
      <c r="H15" s="0" t="n">
        <f aca="false">H13-MAX(0,H13)*H14/100</f>
        <v>1343.12494380329</v>
      </c>
      <c r="I15" s="0" t="n">
        <f aca="false">I13-MAX(0,I13)*I14/100</f>
        <v>1363.27181796034</v>
      </c>
      <c r="J15" s="0" t="n">
        <f aca="false">J13-MAX(0,J13)*J14/100</f>
        <v>1383.72089522975</v>
      </c>
      <c r="K15" s="0" t="n">
        <f aca="false">K13-MAX(0,K13)*K14/100</f>
        <v>1404.47670865819</v>
      </c>
      <c r="L15" s="0" t="n">
        <f aca="false">L13-MAX(0,L13)*L14/100</f>
        <v>1425.54385928807</v>
      </c>
    </row>
    <row r="16" customFormat="false" ht="15" hidden="false" customHeight="false" outlineLevel="0" collapsed="false">
      <c r="A16" s="0" t="s">
        <v>117</v>
      </c>
      <c r="C16" s="0" t="n">
        <f aca="false">-C12</f>
        <v>668.490165</v>
      </c>
      <c r="D16" s="0" t="n">
        <f aca="false">-D12</f>
        <v>669.0590928</v>
      </c>
      <c r="E16" s="0" t="n">
        <f aca="false">-E12</f>
        <v>675.749683728</v>
      </c>
      <c r="F16" s="0" t="n">
        <f aca="false">-F12</f>
        <v>717.984038961</v>
      </c>
      <c r="G16" s="0" t="n">
        <f aca="false">-G12</f>
        <v>746.990594135024</v>
      </c>
      <c r="H16" s="0" t="n">
        <f aca="false">-H12</f>
        <v>761.930406017725</v>
      </c>
      <c r="I16" s="0" t="n">
        <f aca="false">-I12</f>
        <v>773.359362107991</v>
      </c>
      <c r="J16" s="0" t="n">
        <f aca="false">-J12</f>
        <v>784.95975253961</v>
      </c>
      <c r="K16" s="0" t="n">
        <f aca="false">-K12</f>
        <v>796.734148827704</v>
      </c>
      <c r="L16" s="0" t="n">
        <f aca="false">-L12</f>
        <v>808.68516106012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-625.82058</v>
      </c>
      <c r="D17" s="4" t="n">
        <f aca="false">-D6*Assumptions!D18/100</f>
        <v>-947.8337148</v>
      </c>
      <c r="E17" s="4" t="n">
        <f aca="false">-E6*Assumptions!E18/100</f>
        <v>-1041.780762414</v>
      </c>
      <c r="F17" s="4" t="n">
        <f aca="false">-F6*Assumptions!F18/100</f>
        <v>-976.45829298696</v>
      </c>
      <c r="G17" s="4" t="n">
        <f aca="false">-G6*Assumptions!G18/100</f>
        <v>-790.931217319438</v>
      </c>
      <c r="H17" s="4" t="n">
        <f aca="false">-H6*Assumptions!H18/100</f>
        <v>-776.870217900425</v>
      </c>
      <c r="I17" s="4" t="n">
        <f aca="false">-I6*Assumptions!I18/100</f>
        <v>-788.523271168932</v>
      </c>
      <c r="J17" s="4" t="n">
        <f aca="false">-J6*Assumptions!J18/100</f>
        <v>-800.351120236466</v>
      </c>
      <c r="K17" s="4" t="n">
        <f aca="false">-K6*Assumptions!K18/100</f>
        <v>-812.356387040012</v>
      </c>
      <c r="L17" s="4" t="n">
        <f aca="false">-L6*Assumptions!L18/100</f>
        <v>-824.541732845613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-42.0389999999996</v>
      </c>
      <c r="D18" s="4" t="n">
        <f aca="false">(D6-C6)*Assumptions!$B$23/100</f>
        <v>56.8927800000001</v>
      </c>
      <c r="E18" s="4" t="n">
        <f aca="false">(E6-D6)*Assumptions!$B$23/100</f>
        <v>-27.8774622000001</v>
      </c>
      <c r="F18" s="4" t="n">
        <f aca="false">(F6-E6)*Assumptions!$B$23/100</f>
        <v>-56.3124736440001</v>
      </c>
      <c r="G18" s="4" t="n">
        <f aca="false">(G6-F6)*Assumptions!$B$23/100</f>
        <v>-57.4387231168799</v>
      </c>
      <c r="H18" s="4" t="n">
        <f aca="false">(H6-G6)*Assumptions!$B$23/100</f>
        <v>-58.5874975792176</v>
      </c>
      <c r="I18" s="4" t="n">
        <f aca="false">(I6-H6)*Assumptions!$B$23/100</f>
        <v>-44.819435648101</v>
      </c>
      <c r="J18" s="4" t="n">
        <f aca="false">(J6-I6)*Assumptions!$B$23/100</f>
        <v>-45.4917271828228</v>
      </c>
      <c r="K18" s="4" t="n">
        <f aca="false">(K6-J6)*Assumptions!$B$23/100</f>
        <v>-46.174103090565</v>
      </c>
      <c r="L18" s="4" t="n">
        <f aca="false">(L6-K6)*Assumptions!$B$23/100</f>
        <v>-46.8667146369236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1535.802603408</v>
      </c>
      <c r="D19" s="0" t="n">
        <f aca="false">D15+D16+D17+D18</f>
        <v>932.50156573224</v>
      </c>
      <c r="E19" s="0" t="n">
        <f aca="false">E15+E16+E17+E18</f>
        <v>826.416550463666</v>
      </c>
      <c r="F19" s="0" t="n">
        <f aca="false">F15+F16+F17+F18</f>
        <v>985.430672037606</v>
      </c>
      <c r="G19" s="0" t="n">
        <f aca="false">G15+G16+G17+G18</f>
        <v>1215.40981429017</v>
      </c>
      <c r="H19" s="0" t="n">
        <f aca="false">H15+H16+H17+H18</f>
        <v>1269.59763434137</v>
      </c>
      <c r="I19" s="0" t="n">
        <f aca="false">I15+I16+I17+I18</f>
        <v>1303.2884732513</v>
      </c>
      <c r="J19" s="0" t="n">
        <f aca="false">J15+J16+J17+J18</f>
        <v>1322.83780035007</v>
      </c>
      <c r="K19" s="0" t="n">
        <f aca="false">K15+K16+K17+K18</f>
        <v>1342.68036735532</v>
      </c>
      <c r="L19" s="0" t="n">
        <f aca="false">L15+L16+L17+L18</f>
        <v>1362.82057286565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1415.48627042212</v>
      </c>
      <c r="D21" s="0" t="n">
        <f aca="false">D19*D20</f>
        <v>792.11838495805</v>
      </c>
      <c r="E21" s="0" t="n">
        <f aca="false">E19*E20</f>
        <v>647.008210035192</v>
      </c>
      <c r="F21" s="0" t="n">
        <f aca="false">F19*F20</f>
        <v>711.061431871224</v>
      </c>
      <c r="G21" s="0" t="n">
        <f aca="false">G19*G20</f>
        <v>808.302734413526</v>
      </c>
      <c r="H21" s="0" t="n">
        <f aca="false">H19*H20</f>
        <v>778.193636992218</v>
      </c>
      <c r="I21" s="0" t="n">
        <f aca="false">I19*I20</f>
        <v>736.26200119803</v>
      </c>
      <c r="J21" s="0" t="n">
        <f aca="false">J19*J20</f>
        <v>688.761226927189</v>
      </c>
      <c r="K21" s="0" t="n">
        <f aca="false">K19*K20</f>
        <v>644.325018738338</v>
      </c>
      <c r="L21" s="0" t="n">
        <f aca="false">L19*L20</f>
        <v>602.755662690703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0.38</v>
      </c>
      <c r="D23" s="4" t="n">
        <f aca="false">Assumptions!D16</f>
        <v>0.38</v>
      </c>
      <c r="E23" s="4" t="n">
        <f aca="false">Assumptions!E16</f>
        <v>0.38</v>
      </c>
      <c r="F23" s="4" t="n">
        <f aca="false">Assumptions!F16</f>
        <v>0.38</v>
      </c>
      <c r="G23" s="4" t="n">
        <f aca="false">Assumptions!G16</f>
        <v>0.38</v>
      </c>
      <c r="H23" s="4" t="n">
        <f aca="false">Assumptions!H16</f>
        <v>0.38</v>
      </c>
      <c r="I23" s="4" t="n">
        <f aca="false">Assumptions!I16</f>
        <v>0.38</v>
      </c>
      <c r="J23" s="4" t="n">
        <f aca="false">Assumptions!J16</f>
        <v>0.38</v>
      </c>
      <c r="K23" s="4" t="n">
        <f aca="false">Assumptions!K16</f>
        <v>0.38</v>
      </c>
      <c r="L23" s="4" t="n">
        <f aca="false">Assumptions!L16</f>
        <v>0.38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-108.096282</v>
      </c>
      <c r="D24" s="0" t="n">
        <f aca="false">-D6*D23/100</f>
        <v>-105.93435636</v>
      </c>
      <c r="E24" s="0" t="n">
        <f aca="false">-E6*E23/100</f>
        <v>-106.9936999236</v>
      </c>
      <c r="F24" s="0" t="n">
        <f aca="false">-F6*F23/100</f>
        <v>-109.133573922072</v>
      </c>
      <c r="G24" s="0" t="n">
        <f aca="false">-G6*G23/100</f>
        <v>-111.316245400513</v>
      </c>
      <c r="H24" s="0" t="n">
        <f aca="false">-H6*H23/100</f>
        <v>-113.542570308524</v>
      </c>
      <c r="I24" s="0" t="n">
        <f aca="false">-I6*I23/100</f>
        <v>-115.245708863152</v>
      </c>
      <c r="J24" s="0" t="n">
        <f aca="false">-J6*J23/100</f>
        <v>-116.974394496099</v>
      </c>
      <c r="K24" s="0" t="n">
        <f aca="false">-K6*K23/100</f>
        <v>-118.72901041354</v>
      </c>
      <c r="L24" s="0" t="n">
        <f aca="false">-L6*L23/100</f>
        <v>-120.509945569743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7824.27457824659</v>
      </c>
    </row>
    <row r="31" customFormat="false" ht="15" hidden="false" customHeight="false" outlineLevel="0" collapsed="false">
      <c r="A31" s="0" t="s">
        <v>126</v>
      </c>
      <c r="B31" s="0" t="n">
        <f aca="false">L19</f>
        <v>1362.82057286565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19760.8983065519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16353.8468743878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16353.8468743878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7233.06795228844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15057.342530535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13726.342530535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8.39528512415332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0.274910421283724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173.37791969027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183.042704306752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8.6132785740419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10246.3917145084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4.36893317079493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3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28026</v>
      </c>
      <c r="C6" s="0" t="n">
        <f aca="false">B6*(1+C5/100)</f>
        <v>28866.78</v>
      </c>
      <c r="D6" s="0" t="n">
        <f aca="false">C6*(1+D5/100)</f>
        <v>29732.7834</v>
      </c>
      <c r="E6" s="0" t="n">
        <f aca="false">D6*(1+E5/100)</f>
        <v>30624.766902</v>
      </c>
      <c r="F6" s="0" t="n">
        <f aca="false">E6*(1+F5/100)</f>
        <v>31543.50990906</v>
      </c>
      <c r="G6" s="0" t="n">
        <f aca="false">F6*(1+G5/100)</f>
        <v>32332.0976567865</v>
      </c>
      <c r="H6" s="0" t="n">
        <f aca="false">G6*(1+H5/100)</f>
        <v>33140.4000982062</v>
      </c>
      <c r="I6" s="0" t="n">
        <f aca="false">H6*(1+I5/100)</f>
        <v>33968.9101006613</v>
      </c>
      <c r="J6" s="0" t="n">
        <f aca="false">I6*(1+J5/100)</f>
        <v>34818.1328531778</v>
      </c>
      <c r="K6" s="0" t="n">
        <f aca="false">J6*(1+K5/100)</f>
        <v>35688.5861745073</v>
      </c>
      <c r="L6" s="0" t="n">
        <f aca="false">K6*(1+L5/100)</f>
        <v>36580.80082887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11.5</v>
      </c>
      <c r="D7" s="4" t="n">
        <f aca="false">Assumptions!D28</f>
        <v>11.2</v>
      </c>
      <c r="E7" s="4" t="n">
        <f aca="false">Assumptions!E28</f>
        <v>11</v>
      </c>
      <c r="F7" s="4" t="n">
        <f aca="false">Assumptions!F28</f>
        <v>11</v>
      </c>
      <c r="G7" s="4" t="n">
        <f aca="false">Assumptions!G28</f>
        <v>11</v>
      </c>
      <c r="H7" s="4" t="n">
        <f aca="false">Assumptions!H28</f>
        <v>11</v>
      </c>
      <c r="I7" s="4" t="n">
        <f aca="false">Assumptions!I28</f>
        <v>11</v>
      </c>
      <c r="J7" s="4" t="n">
        <f aca="false">Assumptions!J28</f>
        <v>11</v>
      </c>
      <c r="K7" s="4" t="n">
        <f aca="false">Assumptions!K28</f>
        <v>11</v>
      </c>
      <c r="L7" s="4" t="n">
        <f aca="false">Assumptions!L28</f>
        <v>11</v>
      </c>
    </row>
    <row r="8" customFormat="false" ht="15" hidden="false" customHeight="false" outlineLevel="0" collapsed="false">
      <c r="A8" s="0" t="s">
        <v>44</v>
      </c>
      <c r="C8" s="0" t="n">
        <f aca="false">C6*C7/100</f>
        <v>3319.6797</v>
      </c>
      <c r="D8" s="0" t="n">
        <f aca="false">D6*D7/100</f>
        <v>3330.0717408</v>
      </c>
      <c r="E8" s="0" t="n">
        <f aca="false">E6*E7/100</f>
        <v>3368.72435922</v>
      </c>
      <c r="F8" s="0" t="n">
        <f aca="false">F6*F7/100</f>
        <v>3469.7860899966</v>
      </c>
      <c r="G8" s="0" t="n">
        <f aca="false">G6*G7/100</f>
        <v>3556.53074224652</v>
      </c>
      <c r="H8" s="0" t="n">
        <f aca="false">H6*H7/100</f>
        <v>3645.44401080268</v>
      </c>
      <c r="I8" s="0" t="n">
        <f aca="false">I6*I7/100</f>
        <v>3736.58011107274</v>
      </c>
      <c r="J8" s="0" t="n">
        <f aca="false">J6*J7/100</f>
        <v>3829.99461384956</v>
      </c>
      <c r="K8" s="0" t="n">
        <f aca="false">K6*K7/100</f>
        <v>3925.7444791958</v>
      </c>
      <c r="L8" s="0" t="n">
        <f aca="false">L6*L7/100</f>
        <v>4023.8880911757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0.09</v>
      </c>
      <c r="D9" s="4" t="n">
        <f aca="false">Assumptions!D29</f>
        <v>0.09</v>
      </c>
      <c r="E9" s="4" t="n">
        <f aca="false">Assumptions!E29</f>
        <v>0.09</v>
      </c>
      <c r="F9" s="4" t="n">
        <f aca="false">Assumptions!F29</f>
        <v>0.09</v>
      </c>
      <c r="G9" s="4" t="n">
        <f aca="false">Assumptions!G29</f>
        <v>0.09</v>
      </c>
      <c r="H9" s="4" t="n">
        <f aca="false">Assumptions!H29</f>
        <v>0.09</v>
      </c>
      <c r="I9" s="4" t="n">
        <f aca="false">Assumptions!I29</f>
        <v>0.09</v>
      </c>
      <c r="J9" s="4" t="n">
        <f aca="false">Assumptions!J29</f>
        <v>0.09</v>
      </c>
      <c r="K9" s="4" t="n">
        <f aca="false">Assumptions!K29</f>
        <v>0.09</v>
      </c>
      <c r="L9" s="4" t="n">
        <f aca="false">Assumptions!L29</f>
        <v>0.09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-25.980102</v>
      </c>
      <c r="D10" s="0" t="n">
        <f aca="false">-D6*D9/100</f>
        <v>-26.75950506</v>
      </c>
      <c r="E10" s="0" t="n">
        <f aca="false">-E6*E9/100</f>
        <v>-27.5622902118</v>
      </c>
      <c r="F10" s="0" t="n">
        <f aca="false">-F6*F9/100</f>
        <v>-28.389158918154</v>
      </c>
      <c r="G10" s="0" t="n">
        <f aca="false">-G6*G9/100</f>
        <v>-29.0988878911079</v>
      </c>
      <c r="H10" s="0" t="n">
        <f aca="false">-H6*H9/100</f>
        <v>-29.8263600883855</v>
      </c>
      <c r="I10" s="0" t="n">
        <f aca="false">-I6*I9/100</f>
        <v>-30.5720190905952</v>
      </c>
      <c r="J10" s="0" t="n">
        <f aca="false">-J6*J9/100</f>
        <v>-31.3363195678601</v>
      </c>
      <c r="K10" s="0" t="n">
        <f aca="false">-K6*K9/100</f>
        <v>-32.1197275570566</v>
      </c>
      <c r="L10" s="0" t="n">
        <f aca="false">-L6*L9/100</f>
        <v>-32.922720745983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3184.005834</v>
      </c>
      <c r="D11" s="0" t="n">
        <f aca="false">D8+D10+D24</f>
        <v>3190.32765882</v>
      </c>
      <c r="E11" s="0" t="n">
        <f aca="false">E8+E10+E24</f>
        <v>3224.7879547806</v>
      </c>
      <c r="F11" s="0" t="n">
        <f aca="false">F8+F10+F24</f>
        <v>3321.53159342402</v>
      </c>
      <c r="G11" s="0" t="n">
        <f aca="false">G8+G10+G24</f>
        <v>3404.56988325962</v>
      </c>
      <c r="H11" s="0" t="n">
        <f aca="false">H8+H10+H24</f>
        <v>3489.68413034111</v>
      </c>
      <c r="I11" s="0" t="n">
        <f aca="false">I8+I10+I24</f>
        <v>3576.92623359964</v>
      </c>
      <c r="J11" s="0" t="n">
        <f aca="false">J8+J10+J24</f>
        <v>3666.34938943963</v>
      </c>
      <c r="K11" s="0" t="n">
        <f aca="false">K8+K10+K24</f>
        <v>3758.00812417562</v>
      </c>
      <c r="L11" s="0" t="n">
        <f aca="false">L8+L10+L24</f>
        <v>3851.95832728001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-678.36933</v>
      </c>
      <c r="D12" s="4" t="n">
        <f aca="false">-D6*Assumptions!D31/100</f>
        <v>-698.7204099</v>
      </c>
      <c r="E12" s="4" t="n">
        <f aca="false">-E6*Assumptions!E31/100</f>
        <v>-719.682022197</v>
      </c>
      <c r="F12" s="4" t="n">
        <f aca="false">-F6*Assumptions!F31/100</f>
        <v>-772.81599277197</v>
      </c>
      <c r="G12" s="4" t="n">
        <f aca="false">-G6*Assumptions!G31/100</f>
        <v>-808.302441419663</v>
      </c>
      <c r="H12" s="4" t="n">
        <f aca="false">-H6*Assumptions!H31/100</f>
        <v>-828.510002455154</v>
      </c>
      <c r="I12" s="4" t="n">
        <f aca="false">-I6*Assumptions!I31/100</f>
        <v>-849.222752516533</v>
      </c>
      <c r="J12" s="4" t="n">
        <f aca="false">-J6*Assumptions!J31/100</f>
        <v>-870.453321329446</v>
      </c>
      <c r="K12" s="4" t="n">
        <f aca="false">-K6*Assumptions!K31/100</f>
        <v>-892.214654362682</v>
      </c>
      <c r="L12" s="4" t="n">
        <f aca="false">-L6*Assumptions!L31/100</f>
        <v>-914.520020721749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2505.636504</v>
      </c>
      <c r="D13" s="0" t="n">
        <f aca="false">D11+D12</f>
        <v>2491.60724892</v>
      </c>
      <c r="E13" s="0" t="n">
        <f aca="false">E11+E12</f>
        <v>2505.1059325836</v>
      </c>
      <c r="F13" s="0" t="n">
        <f aca="false">F11+F12</f>
        <v>2548.71560065205</v>
      </c>
      <c r="G13" s="0" t="n">
        <f aca="false">G11+G12</f>
        <v>2596.26744183996</v>
      </c>
      <c r="H13" s="0" t="n">
        <f aca="false">H11+H12</f>
        <v>2661.17412788596</v>
      </c>
      <c r="I13" s="0" t="n">
        <f aca="false">I11+I12</f>
        <v>2727.7034810831</v>
      </c>
      <c r="J13" s="0" t="n">
        <f aca="false">J11+J12</f>
        <v>2795.89606811018</v>
      </c>
      <c r="K13" s="0" t="n">
        <f aca="false">K11+K12</f>
        <v>2865.79346981293</v>
      </c>
      <c r="L13" s="0" t="n">
        <f aca="false">L11+L12</f>
        <v>2937.43830655826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35.6</v>
      </c>
      <c r="D14" s="4" t="n">
        <f aca="false">Assumptions!D33</f>
        <v>35.6</v>
      </c>
      <c r="E14" s="4" t="n">
        <f aca="false">Assumptions!E33</f>
        <v>35.6</v>
      </c>
      <c r="F14" s="4" t="n">
        <f aca="false">Assumptions!F33</f>
        <v>35.6</v>
      </c>
      <c r="G14" s="4" t="n">
        <f aca="false">Assumptions!G33</f>
        <v>35.6</v>
      </c>
      <c r="H14" s="4" t="n">
        <f aca="false">Assumptions!H33</f>
        <v>35.6</v>
      </c>
      <c r="I14" s="4" t="n">
        <f aca="false">Assumptions!I33</f>
        <v>35.6</v>
      </c>
      <c r="J14" s="4" t="n">
        <f aca="false">Assumptions!J33</f>
        <v>35.6</v>
      </c>
      <c r="K14" s="4" t="n">
        <f aca="false">Assumptions!K33</f>
        <v>35.6</v>
      </c>
      <c r="L14" s="4" t="n">
        <f aca="false">Assumptions!L33</f>
        <v>35.6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1613.629908576</v>
      </c>
      <c r="D15" s="0" t="n">
        <f aca="false">D13-MAX(0,D13)*D14/100</f>
        <v>1604.59506830448</v>
      </c>
      <c r="E15" s="0" t="n">
        <f aca="false">E13-MAX(0,E13)*E14/100</f>
        <v>1613.28822058384</v>
      </c>
      <c r="F15" s="0" t="n">
        <f aca="false">F13-MAX(0,F13)*F14/100</f>
        <v>1641.37284681992</v>
      </c>
      <c r="G15" s="0" t="n">
        <f aca="false">G13-MAX(0,G13)*G14/100</f>
        <v>1671.99623254493</v>
      </c>
      <c r="H15" s="0" t="n">
        <f aca="false">H13-MAX(0,H13)*H14/100</f>
        <v>1713.79613835855</v>
      </c>
      <c r="I15" s="0" t="n">
        <f aca="false">I13-MAX(0,I13)*I14/100</f>
        <v>1756.64104181752</v>
      </c>
      <c r="J15" s="0" t="n">
        <f aca="false">J13-MAX(0,J13)*J14/100</f>
        <v>1800.55706786296</v>
      </c>
      <c r="K15" s="0" t="n">
        <f aca="false">K13-MAX(0,K13)*K14/100</f>
        <v>1845.57099455953</v>
      </c>
      <c r="L15" s="0" t="n">
        <f aca="false">L13-MAX(0,L13)*L14/100</f>
        <v>1891.71026942352</v>
      </c>
    </row>
    <row r="16" customFormat="false" ht="15" hidden="false" customHeight="false" outlineLevel="0" collapsed="false">
      <c r="A16" s="0" t="s">
        <v>117</v>
      </c>
      <c r="C16" s="0" t="n">
        <f aca="false">-C12</f>
        <v>678.36933</v>
      </c>
      <c r="D16" s="0" t="n">
        <f aca="false">-D12</f>
        <v>698.7204099</v>
      </c>
      <c r="E16" s="0" t="n">
        <f aca="false">-E12</f>
        <v>719.682022197</v>
      </c>
      <c r="F16" s="0" t="n">
        <f aca="false">-F12</f>
        <v>772.81599277197</v>
      </c>
      <c r="G16" s="0" t="n">
        <f aca="false">-G12</f>
        <v>808.302441419663</v>
      </c>
      <c r="H16" s="0" t="n">
        <f aca="false">-H12</f>
        <v>828.510002455154</v>
      </c>
      <c r="I16" s="0" t="n">
        <f aca="false">-I12</f>
        <v>849.222752516533</v>
      </c>
      <c r="J16" s="0" t="n">
        <f aca="false">-J12</f>
        <v>870.453321329446</v>
      </c>
      <c r="K16" s="0" t="n">
        <f aca="false">-K12</f>
        <v>892.214654362682</v>
      </c>
      <c r="L16" s="0" t="n">
        <f aca="false">-L12</f>
        <v>914.520020721749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-635.06916</v>
      </c>
      <c r="D17" s="4" t="n">
        <f aca="false">-D6*Assumptions!D32/100</f>
        <v>-981.1818522</v>
      </c>
      <c r="E17" s="4" t="n">
        <f aca="false">-E6*Assumptions!E32/100</f>
        <v>-1102.491608472</v>
      </c>
      <c r="F17" s="4" t="n">
        <f aca="false">-F6*Assumptions!F32/100</f>
        <v>-1040.93582699898</v>
      </c>
      <c r="G17" s="4" t="n">
        <f aca="false">-G6*Assumptions!G32/100</f>
        <v>-905.298734390022</v>
      </c>
      <c r="H17" s="4" t="n">
        <f aca="false">-H6*Assumptions!H32/100</f>
        <v>-894.790802651567</v>
      </c>
      <c r="I17" s="4" t="n">
        <f aca="false">-I6*Assumptions!I32/100</f>
        <v>-917.160572717856</v>
      </c>
      <c r="J17" s="4" t="n">
        <f aca="false">-J6*Assumptions!J32/100</f>
        <v>-940.089587035802</v>
      </c>
      <c r="K17" s="4" t="n">
        <f aca="false">-K6*Assumptions!K32/100</f>
        <v>-963.591826711697</v>
      </c>
      <c r="L17" s="4" t="n">
        <f aca="false">-L6*Assumptions!L32/100</f>
        <v>-987.681622379489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-84.0780000000002</v>
      </c>
      <c r="D18" s="4" t="n">
        <f aca="false">(D6-C6)*Assumptions!$B$37/100</f>
        <v>-86.6003400000001</v>
      </c>
      <c r="E18" s="4" t="n">
        <f aca="false">(E6-D6)*Assumptions!$B$37/100</f>
        <v>-89.1983501999999</v>
      </c>
      <c r="F18" s="4" t="n">
        <f aca="false">(F6-E6)*Assumptions!$B$37/100</f>
        <v>-91.8743007060002</v>
      </c>
      <c r="G18" s="4" t="n">
        <f aca="false">(G6-F6)*Assumptions!$B$37/100</f>
        <v>-78.8587747726499</v>
      </c>
      <c r="H18" s="4" t="n">
        <f aca="false">(H6-G6)*Assumptions!$B$37/100</f>
        <v>-80.8302441419659</v>
      </c>
      <c r="I18" s="4" t="n">
        <f aca="false">(I6-H6)*Assumptions!$B$37/100</f>
        <v>-82.851000245515</v>
      </c>
      <c r="J18" s="4" t="n">
        <f aca="false">(J6-I6)*Assumptions!$B$37/100</f>
        <v>-84.9222752516529</v>
      </c>
      <c r="K18" s="4" t="n">
        <f aca="false">(K6-J6)*Assumptions!$B$37/100</f>
        <v>-87.0453321329442</v>
      </c>
      <c r="L18" s="4" t="n">
        <f aca="false">(L6-K6)*Assumptions!$B$37/100</f>
        <v>-89.2214654362681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1572.852078576</v>
      </c>
      <c r="D19" s="0" t="n">
        <f aca="false">D15+D16+D17+D18</f>
        <v>1235.53328600448</v>
      </c>
      <c r="E19" s="0" t="n">
        <f aca="false">E15+E16+E17+E18</f>
        <v>1141.28028410884</v>
      </c>
      <c r="F19" s="0" t="n">
        <f aca="false">F15+F16+F17+F18</f>
        <v>1281.37871188691</v>
      </c>
      <c r="G19" s="0" t="n">
        <f aca="false">G15+G16+G17+G18</f>
        <v>1496.14116480192</v>
      </c>
      <c r="H19" s="0" t="n">
        <f aca="false">H15+H16+H17+H18</f>
        <v>1566.68509402018</v>
      </c>
      <c r="I19" s="0" t="n">
        <f aca="false">I15+I16+I17+I18</f>
        <v>1605.85222137068</v>
      </c>
      <c r="J19" s="0" t="n">
        <f aca="false">J15+J16+J17+J18</f>
        <v>1645.99852690495</v>
      </c>
      <c r="K19" s="0" t="n">
        <f aca="false">K15+K16+K17+K18</f>
        <v>1687.14849007757</v>
      </c>
      <c r="L19" s="0" t="n">
        <f aca="false">L15+L16+L17+L18</f>
        <v>1729.32720232951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1449.63325214378</v>
      </c>
      <c r="D21" s="0" t="n">
        <f aca="false">D19*D20</f>
        <v>1049.5302818106</v>
      </c>
      <c r="E21" s="0" t="n">
        <f aca="false">E19*E20</f>
        <v>893.517577008134</v>
      </c>
      <c r="F21" s="0" t="n">
        <f aca="false">F19*F20</f>
        <v>924.609926905989</v>
      </c>
      <c r="G21" s="0" t="n">
        <f aca="false">G19*G20</f>
        <v>995.001834244949</v>
      </c>
      <c r="H21" s="0" t="n">
        <f aca="false">H19*H20</f>
        <v>960.291936877725</v>
      </c>
      <c r="I21" s="0" t="n">
        <f aca="false">I19*I20</f>
        <v>907.188235299233</v>
      </c>
      <c r="J21" s="0" t="n">
        <f aca="false">J19*J20</f>
        <v>857.021143946281</v>
      </c>
      <c r="K21" s="0" t="n">
        <f aca="false">K19*K20</f>
        <v>809.62826962667</v>
      </c>
      <c r="L21" s="0" t="n">
        <f aca="false">L19*L20</f>
        <v>764.856199416901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0.38</v>
      </c>
      <c r="D23" s="4" t="n">
        <f aca="false">Assumptions!D30</f>
        <v>0.38</v>
      </c>
      <c r="E23" s="4" t="n">
        <f aca="false">Assumptions!E30</f>
        <v>0.38</v>
      </c>
      <c r="F23" s="4" t="n">
        <f aca="false">Assumptions!F30</f>
        <v>0.38</v>
      </c>
      <c r="G23" s="4" t="n">
        <f aca="false">Assumptions!G30</f>
        <v>0.38</v>
      </c>
      <c r="H23" s="4" t="n">
        <f aca="false">Assumptions!H30</f>
        <v>0.38</v>
      </c>
      <c r="I23" s="4" t="n">
        <f aca="false">Assumptions!I30</f>
        <v>0.38</v>
      </c>
      <c r="J23" s="4" t="n">
        <f aca="false">Assumptions!J30</f>
        <v>0.38</v>
      </c>
      <c r="K23" s="4" t="n">
        <f aca="false">Assumptions!K30</f>
        <v>0.38</v>
      </c>
      <c r="L23" s="4" t="n">
        <f aca="false">Assumptions!L30</f>
        <v>0.38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-109.693764</v>
      </c>
      <c r="D24" s="0" t="n">
        <f aca="false">-D6*D23/100</f>
        <v>-112.98457692</v>
      </c>
      <c r="E24" s="0" t="n">
        <f aca="false">-E6*E23/100</f>
        <v>-116.3741142276</v>
      </c>
      <c r="F24" s="0" t="n">
        <f aca="false">-F6*F23/100</f>
        <v>-119.865337654428</v>
      </c>
      <c r="G24" s="0" t="n">
        <f aca="false">-G6*G23/100</f>
        <v>-122.861971095789</v>
      </c>
      <c r="H24" s="0" t="n">
        <f aca="false">-H6*H23/100</f>
        <v>-125.933520373183</v>
      </c>
      <c r="I24" s="0" t="n">
        <f aca="false">-I6*I23/100</f>
        <v>-129.081858382513</v>
      </c>
      <c r="J24" s="0" t="n">
        <f aca="false">-J6*J23/100</f>
        <v>-132.308904842076</v>
      </c>
      <c r="K24" s="0" t="n">
        <f aca="false">-K6*K23/100</f>
        <v>-135.616627463128</v>
      </c>
      <c r="L24" s="0" t="n">
        <f aca="false">-L6*L23/100</f>
        <v>-139.007043149706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9611.27865728026</v>
      </c>
    </row>
    <row r="31" customFormat="false" ht="15" hidden="false" customHeight="false" outlineLevel="0" collapsed="false">
      <c r="A31" s="0" t="s">
        <v>126</v>
      </c>
      <c r="B31" s="0" t="n">
        <f aca="false">L19</f>
        <v>1729.32720232951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27137.1345596323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20751.9264279541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20751.9264279541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9178.27439300281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18789.5530502831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17458.5530502831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10.6779741497949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0.621560235352298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189.935074985907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228.499446053331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10.9338964468014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13568.5672798162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5.67455141852331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4</v>
      </c>
      <c r="D5" s="4" t="n">
        <f aca="false">Assumptions!D41</f>
        <v>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28026</v>
      </c>
      <c r="C6" s="0" t="n">
        <f aca="false">B6*(1+C5/100)</f>
        <v>29147.04</v>
      </c>
      <c r="D6" s="0" t="n">
        <f aca="false">C6*(1+D5/100)</f>
        <v>30604.392</v>
      </c>
      <c r="E6" s="0" t="n">
        <f aca="false">D6*(1+E5/100)</f>
        <v>31981.58964</v>
      </c>
      <c r="F6" s="0" t="n">
        <f aca="false">E6*(1+F5/100)</f>
        <v>33260.8532256</v>
      </c>
      <c r="G6" s="0" t="n">
        <f aca="false">F6*(1+G5/100)</f>
        <v>34424.983088496</v>
      </c>
      <c r="H6" s="0" t="n">
        <f aca="false">G6*(1+H5/100)</f>
        <v>35629.8574965934</v>
      </c>
      <c r="I6" s="0" t="n">
        <f aca="false">H6*(1+I5/100)</f>
        <v>36698.7532214912</v>
      </c>
      <c r="J6" s="0" t="n">
        <f aca="false">I6*(1+J5/100)</f>
        <v>37799.7158181359</v>
      </c>
      <c r="K6" s="0" t="n">
        <f aca="false">J6*(1+K5/100)</f>
        <v>38933.70729268</v>
      </c>
      <c r="L6" s="0" t="n">
        <f aca="false">K6*(1+L5/100)</f>
        <v>40101.7185114604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11.7</v>
      </c>
      <c r="D7" s="4" t="n">
        <f aca="false">Assumptions!D42</f>
        <v>12</v>
      </c>
      <c r="E7" s="4" t="n">
        <f aca="false">Assumptions!E42</f>
        <v>12.2</v>
      </c>
      <c r="F7" s="4" t="n">
        <f aca="false">Assumptions!F42</f>
        <v>12.3</v>
      </c>
      <c r="G7" s="4" t="n">
        <f aca="false">Assumptions!G42</f>
        <v>12.3</v>
      </c>
      <c r="H7" s="4" t="n">
        <f aca="false">Assumptions!H42</f>
        <v>12.3</v>
      </c>
      <c r="I7" s="4" t="n">
        <f aca="false">Assumptions!I42</f>
        <v>12.3</v>
      </c>
      <c r="J7" s="4" t="n">
        <f aca="false">Assumptions!J42</f>
        <v>12.3</v>
      </c>
      <c r="K7" s="4" t="n">
        <f aca="false">Assumptions!K42</f>
        <v>12.3</v>
      </c>
      <c r="L7" s="4" t="n">
        <f aca="false">Assumptions!L42</f>
        <v>12.3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3410.20368</v>
      </c>
      <c r="D8" s="0" t="n">
        <f aca="false">D6*D7/100</f>
        <v>3672.52704</v>
      </c>
      <c r="E8" s="0" t="n">
        <f aca="false">E6*E7/100</f>
        <v>3901.75393608</v>
      </c>
      <c r="F8" s="0" t="n">
        <f aca="false">F6*F7/100</f>
        <v>4091.0849467488</v>
      </c>
      <c r="G8" s="0" t="n">
        <f aca="false">G6*G7/100</f>
        <v>4234.27291988501</v>
      </c>
      <c r="H8" s="0" t="n">
        <f aca="false">H6*H7/100</f>
        <v>4382.47247208098</v>
      </c>
      <c r="I8" s="0" t="n">
        <f aca="false">I6*I7/100</f>
        <v>4513.94664624341</v>
      </c>
      <c r="J8" s="0" t="n">
        <f aca="false">J6*J7/100</f>
        <v>4649.36504563072</v>
      </c>
      <c r="K8" s="0" t="n">
        <f aca="false">K6*K7/100</f>
        <v>4788.84599699964</v>
      </c>
      <c r="L8" s="0" t="n">
        <f aca="false">L6*L7/100</f>
        <v>4932.51137690963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0.09</v>
      </c>
      <c r="D9" s="4" t="n">
        <f aca="false">Assumptions!D43</f>
        <v>0.09</v>
      </c>
      <c r="E9" s="4" t="n">
        <f aca="false">Assumptions!E43</f>
        <v>0.09</v>
      </c>
      <c r="F9" s="4" t="n">
        <f aca="false">Assumptions!F43</f>
        <v>0.09</v>
      </c>
      <c r="G9" s="4" t="n">
        <f aca="false">Assumptions!G43</f>
        <v>0.09</v>
      </c>
      <c r="H9" s="4" t="n">
        <f aca="false">Assumptions!H43</f>
        <v>0.09</v>
      </c>
      <c r="I9" s="4" t="n">
        <f aca="false">Assumptions!I43</f>
        <v>0.09</v>
      </c>
      <c r="J9" s="4" t="n">
        <f aca="false">Assumptions!J43</f>
        <v>0.09</v>
      </c>
      <c r="K9" s="4" t="n">
        <f aca="false">Assumptions!K43</f>
        <v>0.09</v>
      </c>
      <c r="L9" s="4" t="n">
        <f aca="false">Assumptions!L43</f>
        <v>0.09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-26.232336</v>
      </c>
      <c r="D10" s="0" t="n">
        <f aca="false">-D6*D9/100</f>
        <v>-27.5439528</v>
      </c>
      <c r="E10" s="0" t="n">
        <f aca="false">-E6*E9/100</f>
        <v>-28.783430676</v>
      </c>
      <c r="F10" s="0" t="n">
        <f aca="false">-F6*F9/100</f>
        <v>-29.93476790304</v>
      </c>
      <c r="G10" s="0" t="n">
        <f aca="false">-G6*G9/100</f>
        <v>-30.9824847796464</v>
      </c>
      <c r="H10" s="0" t="n">
        <f aca="false">-H6*H9/100</f>
        <v>-32.066871746934</v>
      </c>
      <c r="I10" s="0" t="n">
        <f aca="false">-I6*I9/100</f>
        <v>-33.0288778993421</v>
      </c>
      <c r="J10" s="0" t="n">
        <f aca="false">-J6*J9/100</f>
        <v>-34.0197442363223</v>
      </c>
      <c r="K10" s="0" t="n">
        <f aca="false">-K6*K9/100</f>
        <v>-35.040336563412</v>
      </c>
      <c r="L10" s="0" t="n">
        <f aca="false">-L6*L9/100</f>
        <v>-36.0915466603143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3273.212592</v>
      </c>
      <c r="D11" s="0" t="n">
        <f aca="false">D8+D10+D24</f>
        <v>3528.6863976</v>
      </c>
      <c r="E11" s="0" t="n">
        <f aca="false">E8+E10+E24</f>
        <v>3751.440464772</v>
      </c>
      <c r="F11" s="0" t="n">
        <f aca="false">F8+F10+F24</f>
        <v>3934.75893658848</v>
      </c>
      <c r="G11" s="0" t="n">
        <f aca="false">G8+G10+G24</f>
        <v>4072.47549936908</v>
      </c>
      <c r="H11" s="0" t="n">
        <f aca="false">H8+H10+H24</f>
        <v>4215.01214184699</v>
      </c>
      <c r="I11" s="0" t="n">
        <f aca="false">I8+I10+I24</f>
        <v>4341.4625061024</v>
      </c>
      <c r="J11" s="0" t="n">
        <f aca="false">J8+J10+J24</f>
        <v>4471.70638128548</v>
      </c>
      <c r="K11" s="0" t="n">
        <f aca="false">K8+K10+K24</f>
        <v>4605.85757272404</v>
      </c>
      <c r="L11" s="0" t="n">
        <f aca="false">L8+L10+L24</f>
        <v>4744.03329990576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-684.95544</v>
      </c>
      <c r="D12" s="4" t="n">
        <f aca="false">-D6*Assumptions!D45/100</f>
        <v>-719.203212</v>
      </c>
      <c r="E12" s="4" t="n">
        <f aca="false">-E6*Assumptions!E45/100</f>
        <v>-751.56735654</v>
      </c>
      <c r="F12" s="4" t="n">
        <f aca="false">-F6*Assumptions!F45/100</f>
        <v>-814.8909040272</v>
      </c>
      <c r="G12" s="4" t="n">
        <f aca="false">-G6*Assumptions!G45/100</f>
        <v>-860.6245772124</v>
      </c>
      <c r="H12" s="4" t="n">
        <f aca="false">-H6*Assumptions!H45/100</f>
        <v>-890.746437414834</v>
      </c>
      <c r="I12" s="4" t="n">
        <f aca="false">-I6*Assumptions!I45/100</f>
        <v>-917.468830537279</v>
      </c>
      <c r="J12" s="4" t="n">
        <f aca="false">-J6*Assumptions!J45/100</f>
        <v>-944.992895453397</v>
      </c>
      <c r="K12" s="4" t="n">
        <f aca="false">-K6*Assumptions!K45/100</f>
        <v>-973.342682317</v>
      </c>
      <c r="L12" s="4" t="n">
        <f aca="false">-L6*Assumptions!L45/100</f>
        <v>-1002.54296278651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2588.257152</v>
      </c>
      <c r="D13" s="0" t="n">
        <f aca="false">D11+D12</f>
        <v>2809.4831856</v>
      </c>
      <c r="E13" s="0" t="n">
        <f aca="false">E11+E12</f>
        <v>2999.873108232</v>
      </c>
      <c r="F13" s="0" t="n">
        <f aca="false">F11+F12</f>
        <v>3119.86803256128</v>
      </c>
      <c r="G13" s="0" t="n">
        <f aca="false">G11+G12</f>
        <v>3211.85092215668</v>
      </c>
      <c r="H13" s="0" t="n">
        <f aca="false">H11+H12</f>
        <v>3324.26570443216</v>
      </c>
      <c r="I13" s="0" t="n">
        <f aca="false">I11+I12</f>
        <v>3423.99367556513</v>
      </c>
      <c r="J13" s="0" t="n">
        <f aca="false">J11+J12</f>
        <v>3526.71348583208</v>
      </c>
      <c r="K13" s="0" t="n">
        <f aca="false">K11+K12</f>
        <v>3632.51489040704</v>
      </c>
      <c r="L13" s="0" t="n">
        <f aca="false">L11+L12</f>
        <v>3741.49033711925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35.6</v>
      </c>
      <c r="D14" s="4" t="n">
        <f aca="false">Assumptions!D47</f>
        <v>35.6</v>
      </c>
      <c r="E14" s="4" t="n">
        <f aca="false">Assumptions!E47</f>
        <v>35.6</v>
      </c>
      <c r="F14" s="4" t="n">
        <f aca="false">Assumptions!F47</f>
        <v>35.6</v>
      </c>
      <c r="G14" s="4" t="n">
        <f aca="false">Assumptions!G47</f>
        <v>35.6</v>
      </c>
      <c r="H14" s="4" t="n">
        <f aca="false">Assumptions!H47</f>
        <v>35.6</v>
      </c>
      <c r="I14" s="4" t="n">
        <f aca="false">Assumptions!I47</f>
        <v>35.6</v>
      </c>
      <c r="J14" s="4" t="n">
        <f aca="false">Assumptions!J47</f>
        <v>35.6</v>
      </c>
      <c r="K14" s="4" t="n">
        <f aca="false">Assumptions!K47</f>
        <v>35.6</v>
      </c>
      <c r="L14" s="4" t="n">
        <f aca="false">Assumptions!L47</f>
        <v>35.6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1666.837605888</v>
      </c>
      <c r="D15" s="0" t="n">
        <f aca="false">D13-MAX(0,D13)*D14/100</f>
        <v>1809.3071715264</v>
      </c>
      <c r="E15" s="0" t="n">
        <f aca="false">E13-MAX(0,E13)*E14/100</f>
        <v>1931.91828170141</v>
      </c>
      <c r="F15" s="0" t="n">
        <f aca="false">F13-MAX(0,F13)*F14/100</f>
        <v>2009.19501296946</v>
      </c>
      <c r="G15" s="0" t="n">
        <f aca="false">G13-MAX(0,G13)*G14/100</f>
        <v>2068.4319938689</v>
      </c>
      <c r="H15" s="0" t="n">
        <f aca="false">H13-MAX(0,H13)*H14/100</f>
        <v>2140.82711365431</v>
      </c>
      <c r="I15" s="0" t="n">
        <f aca="false">I13-MAX(0,I13)*I14/100</f>
        <v>2205.05192706394</v>
      </c>
      <c r="J15" s="0" t="n">
        <f aca="false">J13-MAX(0,J13)*J14/100</f>
        <v>2271.20348487586</v>
      </c>
      <c r="K15" s="0" t="n">
        <f aca="false">K13-MAX(0,K13)*K14/100</f>
        <v>2339.33958942213</v>
      </c>
      <c r="L15" s="0" t="n">
        <f aca="false">L13-MAX(0,L13)*L14/100</f>
        <v>2409.5197771048</v>
      </c>
    </row>
    <row r="16" customFormat="false" ht="15" hidden="false" customHeight="false" outlineLevel="0" collapsed="false">
      <c r="A16" s="0" t="s">
        <v>117</v>
      </c>
      <c r="C16" s="0" t="n">
        <f aca="false">-C12</f>
        <v>684.95544</v>
      </c>
      <c r="D16" s="0" t="n">
        <f aca="false">-D12</f>
        <v>719.203212</v>
      </c>
      <c r="E16" s="0" t="n">
        <f aca="false">-E12</f>
        <v>751.56735654</v>
      </c>
      <c r="F16" s="0" t="n">
        <f aca="false">-F12</f>
        <v>814.8909040272</v>
      </c>
      <c r="G16" s="0" t="n">
        <f aca="false">-G12</f>
        <v>860.6245772124</v>
      </c>
      <c r="H16" s="0" t="n">
        <f aca="false">-H12</f>
        <v>890.746437414834</v>
      </c>
      <c r="I16" s="0" t="n">
        <f aca="false">-I12</f>
        <v>917.468830537279</v>
      </c>
      <c r="J16" s="0" t="n">
        <f aca="false">-J12</f>
        <v>944.992895453397</v>
      </c>
      <c r="K16" s="0" t="n">
        <f aca="false">-K12</f>
        <v>973.342682317</v>
      </c>
      <c r="L16" s="0" t="n">
        <f aca="false">-L12</f>
        <v>1002.54296278651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-641.23488</v>
      </c>
      <c r="D17" s="4" t="n">
        <f aca="false">-D6*Assumptions!D46/100</f>
        <v>-1009.944936</v>
      </c>
      <c r="E17" s="4" t="n">
        <f aca="false">-E6*Assumptions!E46/100</f>
        <v>-1151.33722704</v>
      </c>
      <c r="F17" s="4" t="n">
        <f aca="false">-F6*Assumptions!F46/100</f>
        <v>-1097.6081564448</v>
      </c>
      <c r="G17" s="4" t="n">
        <f aca="false">-G6*Assumptions!G46/100</f>
        <v>-998.324509566384</v>
      </c>
      <c r="H17" s="4" t="n">
        <f aca="false">-H6*Assumptions!H46/100</f>
        <v>-997.636009904614</v>
      </c>
      <c r="I17" s="4" t="n">
        <f aca="false">-I6*Assumptions!I46/100</f>
        <v>-1027.56509020175</v>
      </c>
      <c r="J17" s="4" t="n">
        <f aca="false">-J6*Assumptions!J46/100</f>
        <v>-1058.39204290781</v>
      </c>
      <c r="K17" s="4" t="n">
        <f aca="false">-K6*Assumptions!K46/100</f>
        <v>-1090.14380419504</v>
      </c>
      <c r="L17" s="4" t="n">
        <f aca="false">-L6*Assumptions!L46/100</f>
        <v>-1122.84811832089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-112.104</v>
      </c>
      <c r="D18" s="4" t="n">
        <f aca="false">(D6-C6)*Assumptions!$B$51/100</f>
        <v>-145.7352</v>
      </c>
      <c r="E18" s="4" t="n">
        <f aca="false">(E6-D6)*Assumptions!$B$51/100</f>
        <v>-137.719764</v>
      </c>
      <c r="F18" s="4" t="n">
        <f aca="false">(F6-E6)*Assumptions!$B$51/100</f>
        <v>-127.92635856</v>
      </c>
      <c r="G18" s="4" t="n">
        <f aca="false">(G6-F6)*Assumptions!$B$51/100</f>
        <v>-116.4129862896</v>
      </c>
      <c r="H18" s="4" t="n">
        <f aca="false">(H6-G6)*Assumptions!$B$51/100</f>
        <v>-120.487440809736</v>
      </c>
      <c r="I18" s="4" t="n">
        <f aca="false">(I6-H6)*Assumptions!$B$51/100</f>
        <v>-106.88957248978</v>
      </c>
      <c r="J18" s="4" t="n">
        <f aca="false">(J6-I6)*Assumptions!$B$51/100</f>
        <v>-110.096259664473</v>
      </c>
      <c r="K18" s="4" t="n">
        <f aca="false">(K6-J6)*Assumptions!$B$51/100</f>
        <v>-113.399147454408</v>
      </c>
      <c r="L18" s="4" t="n">
        <f aca="false">(L6-K6)*Assumptions!$B$51/100</f>
        <v>-116.80112187804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1598.454165888</v>
      </c>
      <c r="D19" s="0" t="n">
        <f aca="false">D15+D16+D17+D18</f>
        <v>1372.8302475264</v>
      </c>
      <c r="E19" s="0" t="n">
        <f aca="false">E15+E16+E17+E18</f>
        <v>1394.42864720141</v>
      </c>
      <c r="F19" s="0" t="n">
        <f aca="false">F15+F16+F17+F18</f>
        <v>1598.55140199186</v>
      </c>
      <c r="G19" s="0" t="n">
        <f aca="false">G15+G16+G17+G18</f>
        <v>1814.31907522532</v>
      </c>
      <c r="H19" s="0" t="n">
        <f aca="false">H15+H16+H17+H18</f>
        <v>1913.4501003548</v>
      </c>
      <c r="I19" s="0" t="n">
        <f aca="false">I15+I16+I17+I18</f>
        <v>1988.06609490969</v>
      </c>
      <c r="J19" s="0" t="n">
        <f aca="false">J15+J16+J17+J18</f>
        <v>2047.70807775698</v>
      </c>
      <c r="K19" s="0" t="n">
        <f aca="false">K15+K16+K17+K18</f>
        <v>2109.13932008969</v>
      </c>
      <c r="L19" s="0" t="n">
        <f aca="false">L15+L16+L17+L18</f>
        <v>2172.41349969238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1473.22964597972</v>
      </c>
      <c r="D21" s="0" t="n">
        <f aca="false">D19*D20</f>
        <v>1166.1579116366</v>
      </c>
      <c r="E21" s="0" t="n">
        <f aca="false">E19*E20</f>
        <v>1091.70948057779</v>
      </c>
      <c r="F21" s="0" t="n">
        <f aca="false">F19*F20</f>
        <v>1153.47358375781</v>
      </c>
      <c r="G21" s="0" t="n">
        <f aca="false">G19*G20</f>
        <v>1206.6045973635</v>
      </c>
      <c r="H21" s="0" t="n">
        <f aca="false">H19*H20</f>
        <v>1172.83984509839</v>
      </c>
      <c r="I21" s="0" t="n">
        <f aca="false">I19*I20</f>
        <v>1123.11092409234</v>
      </c>
      <c r="J21" s="0" t="n">
        <f aca="false">J19*J20</f>
        <v>1066.17903393097</v>
      </c>
      <c r="K21" s="0" t="n">
        <f aca="false">K19*K20</f>
        <v>1012.13309211881</v>
      </c>
      <c r="L21" s="0" t="n">
        <f aca="false">L19*L20</f>
        <v>960.826806343198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0.38</v>
      </c>
      <c r="D23" s="4" t="n">
        <f aca="false">Assumptions!D44</f>
        <v>0.38</v>
      </c>
      <c r="E23" s="4" t="n">
        <f aca="false">Assumptions!E44</f>
        <v>0.38</v>
      </c>
      <c r="F23" s="4" t="n">
        <f aca="false">Assumptions!F44</f>
        <v>0.38</v>
      </c>
      <c r="G23" s="4" t="n">
        <f aca="false">Assumptions!G44</f>
        <v>0.38</v>
      </c>
      <c r="H23" s="4" t="n">
        <f aca="false">Assumptions!H44</f>
        <v>0.38</v>
      </c>
      <c r="I23" s="4" t="n">
        <f aca="false">Assumptions!I44</f>
        <v>0.38</v>
      </c>
      <c r="J23" s="4" t="n">
        <f aca="false">Assumptions!J44</f>
        <v>0.38</v>
      </c>
      <c r="K23" s="4" t="n">
        <f aca="false">Assumptions!K44</f>
        <v>0.38</v>
      </c>
      <c r="L23" s="4" t="n">
        <f aca="false">Assumptions!L44</f>
        <v>0.38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-110.758752</v>
      </c>
      <c r="D24" s="0" t="n">
        <f aca="false">-D6*D23/100</f>
        <v>-116.2966896</v>
      </c>
      <c r="E24" s="0" t="n">
        <f aca="false">-E6*E23/100</f>
        <v>-121.530040632</v>
      </c>
      <c r="F24" s="0" t="n">
        <f aca="false">-F6*F23/100</f>
        <v>-126.39124225728</v>
      </c>
      <c r="G24" s="0" t="n">
        <f aca="false">-G6*G23/100</f>
        <v>-130.814935736285</v>
      </c>
      <c r="H24" s="0" t="n">
        <f aca="false">-H6*H23/100</f>
        <v>-135.393458487055</v>
      </c>
      <c r="I24" s="0" t="n">
        <f aca="false">-I6*I23/100</f>
        <v>-139.455262241666</v>
      </c>
      <c r="J24" s="0" t="n">
        <f aca="false">-J6*J23/100</f>
        <v>-143.638920108916</v>
      </c>
      <c r="K24" s="0" t="n">
        <f aca="false">-K6*K23/100</f>
        <v>-147.948087712184</v>
      </c>
      <c r="L24" s="0" t="n">
        <f aca="false">-L6*L23/100</f>
        <v>-152.386530343549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11426.2649208991</v>
      </c>
    </row>
    <row r="31" customFormat="false" ht="15" hidden="false" customHeight="false" outlineLevel="0" collapsed="false">
      <c r="A31" s="0" t="s">
        <v>126</v>
      </c>
      <c r="B31" s="0" t="n">
        <f aca="false">L19</f>
        <v>2172.41349969238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37112.0639530781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26068.9619963085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26068.9619963085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11529.9216761184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22956.1865970175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21625.1865970175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13.2263643385784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1.00855950471958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201.119390473611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272.697230188835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13.5161593526672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17813.7906974775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7.10318327810663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8.39528512415332</v>
      </c>
      <c r="C4" s="0" t="n">
        <f aca="false">B4/Assumptions!$B$2-1</f>
        <v>0.274910421283724</v>
      </c>
      <c r="D4" s="4" t="n">
        <f aca="false">Assumptions!$B$24</f>
        <v>0.25</v>
      </c>
      <c r="E4" s="4" t="n">
        <f aca="false">DCF_Bear!$B$43</f>
        <v>8.6132785740419</v>
      </c>
      <c r="F4" s="4" t="n">
        <f aca="false">DCF_Bear!$B$47</f>
        <v>4.36893317079493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10.6779741497949</v>
      </c>
      <c r="C5" s="0" t="n">
        <f aca="false">B5/Assumptions!$B$2-1</f>
        <v>0.621560235352298</v>
      </c>
      <c r="D5" s="4" t="n">
        <f aca="false">Assumptions!$B$38</f>
        <v>0.5</v>
      </c>
      <c r="E5" s="4" t="n">
        <f aca="false">DCF_Base!$B$43</f>
        <v>10.9338964468014</v>
      </c>
      <c r="F5" s="4" t="n">
        <f aca="false">DCF_Base!$B$47</f>
        <v>5.67455141852331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13.2263643385784</v>
      </c>
      <c r="C6" s="0" t="n">
        <f aca="false">B6/Assumptions!$B$2-1</f>
        <v>1.00855950471958</v>
      </c>
      <c r="D6" s="4" t="n">
        <f aca="false">Assumptions!$B$52</f>
        <v>0.25</v>
      </c>
      <c r="E6" s="4" t="n">
        <f aca="false">DCF_Bull!$B$43</f>
        <v>13.5161593526672</v>
      </c>
      <c r="F6" s="4" t="n">
        <f aca="false">DCF_Bull!$B$47</f>
        <v>7.10318327810663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10.7443994405804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10.999307705078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0.387122562185356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-1631.72404346247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5.70530482148704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10.6779741497949</v>
      </c>
      <c r="C15" s="3" t="n">
        <v>8.5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10.290579262423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9.56626673459608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8.65540035893823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7.68399638604843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5.67455141852331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12.4178337961243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12.4178337961243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12.4178337961243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12.4178337961243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12.4178337961243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11.5078203831578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11.5078203831578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11.5078203831578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11.5078203831578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11.5078203831578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10.6779741497949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10.6779741497949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10.6779741497949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10.6779741497949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10.6779741497949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9.87008726247714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9.92029812407366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9.92029812407366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9.92029812407366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9.92029812407366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8.6943898304913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8.94621618502852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9.2276691695113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9.2276691695113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9.2276691695113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2026-10-10T21:50:43Z</dcterms:created>
  <dc:creator>openpyxl</dc:creator>
  <dc:description/>
  <dc:language>en-NZ</dc:language>
  <cp:lastModifiedBy/>
  <dcterms:modified xsi:type="dcterms:W3CDTF">2026-10-10T21:50:43Z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