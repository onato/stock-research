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<sst xmlns="http://schemas.openxmlformats.org/spreadsheetml/2006/main" count="366" uniqueCount="168">
  <si>
    <t xml:space="preserve">Ticker</t>
  </si>
  <si>
    <t xml:space="preserve">NWS.AX</t>
  </si>
  <si>
    <t xml:space="preserve">Company</t>
  </si>
  <si>
    <t xml:space="preserve">News Corporation (ASX CDI, Class B voting line; files USD 10-K as NWS/NWSA on Nasdaq)</t>
  </si>
  <si>
    <t xml:space="preserve">Valuation date</t>
  </si>
  <si>
    <t xml:space="preserve">2026-09-24</t>
  </si>
  <si>
    <t xml:space="preserve">Current price</t>
  </si>
  <si>
    <t xml:space="preserve">Price as of</t>
  </si>
  <si>
    <t xml:space="preserve">2026-09-24T06:10:03Z (ASX regular close 16:10 AEST; not after-hours)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</si>
  <si>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</si>
  <si>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</si>
  <si>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</si>
  <si>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</si>
  <si>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</si>
  <si>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</si>
  <si>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</si>
  <si>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AUD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</si>
  <si>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</si>
  <si>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</si>
  <si>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</si>
  <si>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</si>
  <si>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</si>
  <si>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2026-09-24T09:09:11Z</t>
  </si>
  <si>
    <t xml:space="preserve">Drivers file</t>
  </si>
  <si>
    <t xml:space="preserve">NWS.AX_Drivers.json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</si>
  <si>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</si>
  <si>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</si>
  <si>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</si>
  <si>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House value is a consolidated continuing-operations owner-FCF DCF, built from segment components (Segment EBITDA margin, SBC, D&amp;A, capex, negative working-capital capture) with the REA Group minority charged once as a leakage on after-tax flows and the DAZN/other investment portfolio added in the bridge at carrying value. Three deliberate framing choices: (1) FOXTEL BREAK -- FY0 is FY2026, the first clean post-Foxtel year; FY2015-FY2023 as-reported rows include the pay-TV business and FY2025 net income carries the $692m after-tax disposal gain, so neither the long-run CAGRs nor FY2025 earnings are used as bases. (2) MINORITY INTEREST -- REA is 62% owned and consolidated; the minority's 38% is removed inside the flows (combined tax-plus-leakage rate 43.8% -&gt; 45.3%), NOT by deducting the $710m NCI book value or REA's market value in the bridge, because charging both would double-count and deducting a market value that capitalises REA at ~45x earnings against flows the DCF capitalises at 15x FCF would over-deduct. (3) HOLDCO / SUM-OF-THE-PARTS -- reported as a MEMO, not the house value. At the 24-Sep-2026 REA.AX close (~A$20bn market cap, ~131.5m shares) the 62% stake is worth ~US$8.7bn; against a ~US$15.7bn blended enterprise value (Class A and Class B at their respective Nasdaq closes, plus the net-debt/investments bridge) that leaves the stub -- Dow Jones ($663m EBITDA), HarperCollins ($287m), News Media ($139m), Move (~breakeven) less corporate ($203m), ~$886m of EBITDA -- implied at roughly US$7bn or ~8x EBITDA. Management's 'materially undervalued on a sum-of-the-parts basis' claim is that Dow Jones alone deserves a mid-teens-plus multiple. The house DCF disagrees with the market mainly about REA: the model's consolidated flows give REA's 62% share a ~15x FCF exit, the market pays ~45x earnings for the listed line. A reader who believes REA's market multiple is durable should add roughly (REA market value of the stake minus its DCF-implied value) per share to the house figure; the spread between house IV and the price is largely that one judgment plus the holding-company discount the dual-class structure sustains.
key_risks_to_valuation: REA multiple: the largest single driver of the gap between house IV and the market price is whether REA's ~45x earnings multiple is a durable asset value or a premium the model should not capitalise; the leakage approach values the minority's share at the same 15x FCF as the rest of the consolidated flows.; AI licensing durability: OpenAI (~$250m/5yr) and Meta (~$150m/3yr) are inside the FY2027-FY2029 revenue path via RPO; the base assumes renewal at similar annual value, the bear assumes step-down. Roughly $80-130m/yr of near-costless EBITDA is at stake, ~1pt of group margin.; Working-capital sign: three consecutive years of cash absorption are modelled as continuing (-15% of revenue growth); if receivables normalise the base is ~$80m/yr too low.; Combined tax/leakage rate: a 2pt error in NCI leakage (e.g. REA outgrowing the group faster than assumed) moves attributable FCF ~3%.; Currency: model in USD, quote in AUD at 1.4219; a 5% AUD move shifts the A$ IV ~5% with no change in the business, and ~50% of revenue is AUD/GBP so the FX also flows through the USD flows.; Governance: Murdoch Family Trust ~41% voting control and the 2024 Starboard vote mean the sum-of-the-parts discount has no activist catalyst; a break-up or collapse of the dual-class structure is upside not in any scenario.; Buybacks at a price above house IV: $641m FY2026 repurchases are value-neutral in the model (flat count, SBC expensed) but in fact retire ~4%/yr of shares; if the market is right about REA they are accretive, if the house model is right they are executed above intrinsic value.
sotp_memo_inputs: rea_ax_price_aud: 152.08
rea_price_as_of: 2026-09-24T06:10:03Z
rea_shares_m_approx: 131.5
news_corp_rea_stake_pct: 62.0
stake_value_usd_m_approx: 8700
stub_segment_ebitda_fy2026_usd_m: 886
stub_implied_ev_usd_m_approx: 7000
note: Memo only; REA share count is approximate (post its FY2026 buyback). Not used in any scenario value.</t>
  </si>
  <si>
    <t xml:space="preserve">Data sources</t>
  </si>
  <si>
    <t xml:space="preserve">price: Yahoo Finance chart API for NWS.AX at inputs.price_as_of (52-week range A$36.01-52.60); Nasdaq NWS/NWSA closes of 2026-09-23 and AUDUSD=X of 2026-09-24 for the parity check; REA.AX close of 2026-09-24 for the SOTP memo.
financials: NWS.AX_Annual_FY2026.txt (Form 10-K for FY ended 30-Jun-2026): income statement l.2640-2669, Segment EBITDA reconciliation l.2803-2816, segment note l.6670-6696 (FY2026) and l.6698-6718 (FY2025), balance sheet l.4010-4060, cash flow statement l.4080-4129, Note 13 equity compensation l.5644-5662, Note 14 EPS/diluted shares l.5807-5822, RPO l.4919-4923, cash taxes l.6944-6945, cover-page share count l.189, REA ownership l.522. FY2023 continuing-ops revenue/EBITDA from NWS.AX_Annual_FY2025.txt segment note l.6888ff. Prior-year SBC from each year's Note on equity-based compensation. Metrics.csv / metrics_normalized for the history pivot.
qualitative: NWS.AX_Analysis.json (2026-09-24): segment mix, AI licensing terms, Dow Jones $1bn EBITDA target, Foxtel/DAZN transaction, governance history, Q4 FY2026 call commentary.</t>
  </si>
  <si>
    <t xml:space="preserve">Scenario narrative: bear</t>
  </si>
  <si>
    <t xml:space="preserve">AI answer-engines and summarisation erode referral traffic and subscription conversion at WSJ, The Times and the tabloids faster than licensing fees offset, and the 3-5 year OpenAI/Meta deals are renewed at lower value or not at all as the courts settle fair use in the platforms' favour. US existing-home sales stay depressed and Australian listing volumes soften, so Digital Real Estate growth slows to mid single digits; a weak publishing slate and continued print decline leave Book Publishing and News Media flat-to-down. Margin gives back to 16.5% as digital investment and journalist costs outrun revenue. Governance -- the Murdoch Family Trust's ~41% vote and the unresolved succession -- keeps any sum-of-the-parts discount from closing, so the terminal cap is 12x. Working capital absorbs 20% of the (small) revenue growth.</t>
  </si>
  <si>
    <t xml:space="preserve">Scenario narrative: base</t>
  </si>
  <si>
    <t xml:space="preserve">Dow Jones compounds toward management's $1bn Segment EBITDA (FY2026 $663m) on Risk &amp; Compliance, Dow Jones Energy and near-record WSJ digital subscriptions; the OpenAI and Meta licences run their terms and are replaced by a mix of horizontal and vertical AI deals at broadly similar annual value rather than growing without limit. REA keeps 8-12% yield-led growth in a market it dominates; Move grows revenue high single digits on premium products while US existing-home sales stay subdued rather than recovering sharply. HarperCollins grows low-to-mid single digits on backlist and audio with hit-driven noise; News Media print decline continues at ~5%/yr, offset by digital so the segment is flat-to-slightly-down in dollars. Group margin climbs from 18.0% to 21% over a decade on mix. Working capital keeps absorbing ~15% of incremental revenue. The 38% REA minority takes 23-25% of after-tax flow throughout.</t>
  </si>
  <si>
    <t xml:space="preserve">Scenario narrative: bull</t>
  </si>
  <si>
    <t xml:space="preserve">The AI-licensing pipeline scales -- multiple additional LLM and vertical deals lift Dow Jones and News Media licensing revenue to a materially larger, largely costless stream -- while Risk &amp; Compliance sustains high-teens growth and Dow Jones passes $1bn EBITDA ahead of FY2031. US housing normalises from multi-decade-low transaction volumes, lifting Move to a meaningful EBITDA contributor, and REA continues double-digit yield growth plus its own buybacks. Group margin reaches 24%; the capital-return programme keeps shrinking the count. The market re-rates the stub (Dow Jones, HarperCollins, News Media, Move) as an information-services business rather than a newspaper group -- the 17x cap reflects that, not a full sum-of-the-parts unlock, which would require a break-up the dual-class structure makes unlikely.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</si>
  <si>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</si>
  <si>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</si>
  <si>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</si>
  <si>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</si>
  <si>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</si>
  <si>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</si>
  <si>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</si>
  <si>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</si>
  <si>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</si>
  <si>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</si>
  <si>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</si>
  <si>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</si>
  <si>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</si>
  <si>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</si>
  <si>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</si>
  <si>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</si>
  <si>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</si>
  <si>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</si>
  <si>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</si>
  <si>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</si>
  <si>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</si>
  <si>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</si>
  <si>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</si>
  <si>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</si>
  <si>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</si>
  <si>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</si>
  <si>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</si>
  <si>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NetInterestIncome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</si>
  <si>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</si>
  <si>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</si>
  <si>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</si>
  <si>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</si>
  <si>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</si>
  <si>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</si>
  <si>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</si>
  <si>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</si>
  <si>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</si>
  <si>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</si>
  <si>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</si>
  <si>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</si>
  <si>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</si>
  <si>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</si>
  <si>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</si>
  <si>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</si>
  <si>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</si>
  <si>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</si>
  <si>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</si>
  <si>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</si>
  <si>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</si>
  <si>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</si>
  <si>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</si>
  <si>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</si>
  <si>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</si>
  <si>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</si>
  <si>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</si>
  <si>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</si>
  <si>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</si>
  <si>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</si>
  <si>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</si>
  <si>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</si>
  <si>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</si>
  <si>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</si>
  <si>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</si>
  <si>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</si>
  <si>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</si>
  <si>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</si>
  <si>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</si>
  <si>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</si>
  <si>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</si>
  <si>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</si>
  <si>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</si>
  <si>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</si>
  <si>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</si>
  <si>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</si>
  <si>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</si>
  <si>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</si>
  <si>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</si>
  <si>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NWS.AX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</si>
  <si>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</si>
  <si>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</si>
  <si>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</si>
  <si>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</si>
  <si>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</si>
  <si>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</si>
  <si>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</si>
  <si>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</si>
  <si>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</si>
  <si>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</si>
  <si>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</si>
  <si>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</si>
  <si>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</si>
  <si>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</si>
  <si>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</si>
  <si>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</si>
  <si>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</si>
  <si>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</si>
  <si>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</si>
  <si>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</si>
  <si>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</si>
  <si>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</si>
  <si>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</si>
  <si>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</si>
  <si>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</si>
  <si>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</si>
  <si>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</si>
  <si>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</si>
  <si>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</si>
  <si>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</si>
  <si>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NWS.AX owner-FCF component DCF: base case (millions, USD)</t>
  </si>
  <si>
    <t xml:space="preserve">NWS.AX owner-FCF component DCF: bull case (millions, USD)</t>
  </si>
  <si>
    <t xml:space="preserve">NWS.AX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</si>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</sst>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44.43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113.4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</row>
    <row r="2" customFormat="false" ht="15" hidden="false" customHeight="false" outlineLevel="0" collapsed="false">
      <c r="A2" s="0" t="s">
        <v>65</v>
      </c>
      <c r="B2" s="0" t="n">
        <v>8524</v>
      </c>
      <c r="F2" s="0" t="n">
        <v>363</v>
      </c>
      <c r="G2" s="0" t="n">
        <v>4.3</v>
      </c>
      <c r="H2" s="0" t="n">
        <v>945</v>
      </c>
      <c r="I2" s="0" t="n">
        <v>-147</v>
      </c>
      <c r="J2" s="0" t="n">
        <v>-1.7</v>
      </c>
      <c r="K2" s="0" t="n">
        <v>-0.26</v>
      </c>
      <c r="L2" s="0" t="n">
        <v>988</v>
      </c>
      <c r="M2" s="0" t="n">
        <v>308</v>
      </c>
      <c r="N2" s="0" t="n">
        <v>680</v>
      </c>
      <c r="O2" s="0" t="n">
        <v>12116</v>
      </c>
      <c r="P2" s="0" t="n">
        <v>15035</v>
      </c>
      <c r="Q2" s="0" t="n">
        <v>2919</v>
      </c>
      <c r="R2" s="0" t="n">
        <v>0</v>
      </c>
      <c r="S2" s="0" t="n">
        <v>1951</v>
      </c>
      <c r="T2" s="0" t="n">
        <v>581.55</v>
      </c>
      <c r="AA2" s="0" t="s">
        <v>18</v>
      </c>
      <c r="AB2" s="0" t="s">
        <v>14</v>
      </c>
      <c r="AC2" s="0" t="n">
        <v>56</v>
      </c>
    </row>
    <row r="3" customFormat="false" ht="15" hidden="false" customHeight="false" outlineLevel="0" collapsed="false">
      <c r="A3" s="0" t="s">
        <v>66</v>
      </c>
      <c r="B3" s="0" t="n">
        <v>8292</v>
      </c>
      <c r="F3" s="0" t="n">
        <v>90</v>
      </c>
      <c r="G3" s="0" t="n">
        <v>1.1</v>
      </c>
      <c r="H3" s="0" t="n">
        <v>842</v>
      </c>
      <c r="I3" s="0" t="n">
        <v>179</v>
      </c>
      <c r="J3" s="0" t="n">
        <v>2.2</v>
      </c>
      <c r="K3" s="0" t="n">
        <v>0.3</v>
      </c>
      <c r="L3" s="0" t="n">
        <v>952</v>
      </c>
      <c r="M3" s="0" t="n">
        <v>256</v>
      </c>
      <c r="N3" s="0" t="n">
        <v>696</v>
      </c>
      <c r="O3" s="0" t="n">
        <v>11782</v>
      </c>
      <c r="P3" s="0" t="n">
        <v>15483</v>
      </c>
      <c r="Q3" s="0" t="n">
        <v>3701</v>
      </c>
      <c r="R3" s="0" t="n">
        <v>369</v>
      </c>
      <c r="S3" s="0" t="n">
        <v>1832</v>
      </c>
      <c r="T3" s="0" t="n">
        <v>580.12</v>
      </c>
      <c r="AA3" s="0" t="s">
        <v>18</v>
      </c>
      <c r="AB3" s="0" t="s">
        <v>14</v>
      </c>
      <c r="AC3" s="0" t="n">
        <v>43</v>
      </c>
    </row>
    <row r="4" customFormat="false" ht="15" hidden="false" customHeight="false" outlineLevel="0" collapsed="false">
      <c r="A4" s="0" t="s">
        <v>67</v>
      </c>
      <c r="B4" s="0" t="n">
        <v>8139</v>
      </c>
      <c r="F4" s="0" t="n">
        <v>-491</v>
      </c>
      <c r="G4" s="0" t="n">
        <v>-6</v>
      </c>
      <c r="H4" s="0" t="n">
        <v>885</v>
      </c>
      <c r="I4" s="0" t="n">
        <v>-738</v>
      </c>
      <c r="J4" s="0" t="n">
        <v>-9.1</v>
      </c>
      <c r="K4" s="0" t="n">
        <v>-1.27</v>
      </c>
      <c r="L4" s="0" t="n">
        <v>499</v>
      </c>
      <c r="M4" s="0" t="n">
        <v>256</v>
      </c>
      <c r="N4" s="0" t="n">
        <v>243</v>
      </c>
      <c r="O4" s="0" t="n">
        <v>11073</v>
      </c>
      <c r="P4" s="0" t="n">
        <v>14552</v>
      </c>
      <c r="Q4" s="0" t="n">
        <v>3479</v>
      </c>
      <c r="R4" s="0" t="n">
        <v>379</v>
      </c>
      <c r="S4" s="0" t="n">
        <v>2016</v>
      </c>
      <c r="T4" s="0" t="n">
        <v>581.92</v>
      </c>
      <c r="AA4" s="0" t="s">
        <v>18</v>
      </c>
      <c r="AB4" s="0" t="s">
        <v>14</v>
      </c>
      <c r="AC4" s="0" t="n">
        <v>39</v>
      </c>
    </row>
    <row r="5" customFormat="false" ht="15" hidden="false" customHeight="false" outlineLevel="0" collapsed="false">
      <c r="A5" s="0" t="s">
        <v>68</v>
      </c>
      <c r="B5" s="0" t="n">
        <v>9024</v>
      </c>
      <c r="F5" s="0" t="n">
        <v>249</v>
      </c>
      <c r="G5" s="0" t="n">
        <v>2.8</v>
      </c>
      <c r="H5" s="0" t="n">
        <v>1072</v>
      </c>
      <c r="I5" s="0" t="n">
        <v>-1514</v>
      </c>
      <c r="J5" s="0" t="n">
        <v>-16.8</v>
      </c>
      <c r="K5" s="0" t="n">
        <v>-2.6</v>
      </c>
      <c r="L5" s="0" t="n">
        <v>757</v>
      </c>
      <c r="M5" s="0" t="n">
        <v>364</v>
      </c>
      <c r="N5" s="0" t="n">
        <v>393</v>
      </c>
      <c r="O5" s="0" t="n">
        <v>10477</v>
      </c>
      <c r="P5" s="0" t="n">
        <v>16346</v>
      </c>
      <c r="Q5" s="0" t="n">
        <v>5869</v>
      </c>
      <c r="R5" s="0" t="n">
        <v>1952</v>
      </c>
      <c r="S5" s="0" t="n">
        <v>2034</v>
      </c>
      <c r="T5" s="0" t="n">
        <v>583.02</v>
      </c>
      <c r="AA5" s="0" t="s">
        <v>18</v>
      </c>
      <c r="AB5" s="0" t="s">
        <v>14</v>
      </c>
      <c r="AC5" s="0" t="n">
        <v>-7</v>
      </c>
    </row>
    <row r="6" customFormat="false" ht="15" hidden="false" customHeight="false" outlineLevel="0" collapsed="false">
      <c r="A6" s="0" t="s">
        <v>69</v>
      </c>
      <c r="B6" s="0" t="n">
        <v>10074</v>
      </c>
      <c r="F6" s="0" t="n">
        <v>397</v>
      </c>
      <c r="G6" s="0" t="n">
        <v>3.9</v>
      </c>
      <c r="H6" s="0" t="n">
        <v>1244</v>
      </c>
      <c r="I6" s="0" t="n">
        <v>155</v>
      </c>
      <c r="J6" s="0" t="n">
        <v>1.5</v>
      </c>
      <c r="K6" s="0" t="n">
        <v>0.26</v>
      </c>
      <c r="L6" s="0" t="n">
        <v>928</v>
      </c>
      <c r="M6" s="0" t="n">
        <v>572</v>
      </c>
      <c r="N6" s="0" t="n">
        <v>356</v>
      </c>
      <c r="O6" s="0" t="n">
        <v>10311</v>
      </c>
      <c r="P6" s="0" t="n">
        <v>15711</v>
      </c>
      <c r="Q6" s="0" t="n">
        <v>5400</v>
      </c>
      <c r="R6" s="0" t="n">
        <v>1453</v>
      </c>
      <c r="S6" s="0" t="n">
        <v>1643</v>
      </c>
      <c r="T6" s="0" t="n">
        <v>585.21</v>
      </c>
      <c r="AA6" s="0" t="s">
        <v>18</v>
      </c>
      <c r="AB6" s="0" t="s">
        <v>14</v>
      </c>
      <c r="AC6" s="0" t="n">
        <v>-59</v>
      </c>
    </row>
    <row r="7" customFormat="false" ht="15" hidden="false" customHeight="false" outlineLevel="0" collapsed="false">
      <c r="A7" s="0" t="s">
        <v>70</v>
      </c>
      <c r="B7" s="0" t="n">
        <v>9008</v>
      </c>
      <c r="F7" s="0" t="n">
        <v>-1461</v>
      </c>
      <c r="G7" s="0" t="n">
        <v>-16.2</v>
      </c>
      <c r="H7" s="0" t="n">
        <v>1013</v>
      </c>
      <c r="I7" s="0" t="n">
        <v>-1269</v>
      </c>
      <c r="J7" s="0" t="n">
        <v>-14.1</v>
      </c>
      <c r="K7" s="0" t="n">
        <v>-2.16</v>
      </c>
      <c r="L7" s="0" t="n">
        <v>780</v>
      </c>
      <c r="M7" s="0" t="n">
        <v>438</v>
      </c>
      <c r="N7" s="0" t="n">
        <v>342</v>
      </c>
      <c r="O7" s="0" t="n">
        <v>8389</v>
      </c>
      <c r="P7" s="0" t="n">
        <v>14261</v>
      </c>
      <c r="Q7" s="0" t="n">
        <v>5872</v>
      </c>
      <c r="R7" s="0" t="n">
        <v>1259</v>
      </c>
      <c r="S7" s="0" t="n">
        <v>1517</v>
      </c>
      <c r="T7" s="0" t="n">
        <v>588.55</v>
      </c>
      <c r="AA7" s="0" t="s">
        <v>18</v>
      </c>
      <c r="AB7" s="0" t="s">
        <v>14</v>
      </c>
      <c r="AC7" s="0" t="n">
        <v>-25</v>
      </c>
    </row>
    <row r="8" customFormat="false" ht="15" hidden="false" customHeight="false" outlineLevel="0" collapsed="false">
      <c r="A8" s="0" t="s">
        <v>71</v>
      </c>
      <c r="B8" s="0" t="n">
        <v>9358</v>
      </c>
      <c r="F8" s="0" t="n">
        <v>425</v>
      </c>
      <c r="G8" s="0" t="n">
        <v>4.5</v>
      </c>
      <c r="H8" s="0" t="n">
        <v>1273</v>
      </c>
      <c r="I8" s="0" t="n">
        <v>330</v>
      </c>
      <c r="J8" s="0" t="n">
        <v>3.5</v>
      </c>
      <c r="K8" s="0" t="n">
        <v>0.56</v>
      </c>
      <c r="L8" s="0" t="n">
        <v>1237</v>
      </c>
      <c r="M8" s="0" t="n">
        <v>390</v>
      </c>
      <c r="N8" s="0" t="n">
        <v>847</v>
      </c>
      <c r="O8" s="0" t="n">
        <v>9146</v>
      </c>
      <c r="P8" s="0" t="n">
        <v>16771</v>
      </c>
      <c r="Q8" s="0" t="n">
        <v>7625</v>
      </c>
      <c r="R8" s="0" t="n">
        <v>2313</v>
      </c>
      <c r="S8" s="0" t="n">
        <v>2236</v>
      </c>
      <c r="T8" s="0" t="n">
        <v>590.84</v>
      </c>
      <c r="AA8" s="0" t="s">
        <v>18</v>
      </c>
      <c r="AB8" s="0" t="s">
        <v>14</v>
      </c>
      <c r="AC8" s="0" t="n">
        <v>-53</v>
      </c>
    </row>
    <row r="9" customFormat="false" ht="15" hidden="false" customHeight="false" outlineLevel="0" collapsed="false">
      <c r="A9" s="0" t="s">
        <v>72</v>
      </c>
      <c r="B9" s="0" t="n">
        <v>10385</v>
      </c>
      <c r="F9" s="0" t="n">
        <v>872</v>
      </c>
      <c r="G9" s="0" t="n">
        <v>8.4</v>
      </c>
      <c r="H9" s="0" t="n">
        <v>1669</v>
      </c>
      <c r="I9" s="0" t="n">
        <v>623</v>
      </c>
      <c r="J9" s="0" t="n">
        <v>6</v>
      </c>
      <c r="K9" s="0" t="n">
        <v>1.05</v>
      </c>
      <c r="L9" s="0" t="n">
        <v>1354</v>
      </c>
      <c r="M9" s="0" t="n">
        <v>499</v>
      </c>
      <c r="N9" s="0" t="n">
        <v>855</v>
      </c>
      <c r="O9" s="0" t="n">
        <v>9143</v>
      </c>
      <c r="P9" s="0" t="n">
        <v>17221</v>
      </c>
      <c r="Q9" s="0" t="n">
        <v>8078</v>
      </c>
      <c r="R9" s="0" t="n">
        <v>3069</v>
      </c>
      <c r="S9" s="0" t="n">
        <v>1822</v>
      </c>
      <c r="T9" s="0" t="n">
        <v>584.37</v>
      </c>
      <c r="AA9" s="0" t="s">
        <v>18</v>
      </c>
      <c r="AB9" s="0" t="s">
        <v>14</v>
      </c>
      <c r="AC9" s="0" t="n">
        <v>-99</v>
      </c>
    </row>
    <row r="10" customFormat="false" ht="15" hidden="false" customHeight="false" outlineLevel="0" collapsed="false">
      <c r="A10" s="0" t="s">
        <v>73</v>
      </c>
      <c r="B10" s="0" t="n">
        <v>9879</v>
      </c>
      <c r="F10" s="0" t="n">
        <v>556</v>
      </c>
      <c r="G10" s="0" t="n">
        <v>5.6</v>
      </c>
      <c r="H10" s="0" t="n">
        <v>1420</v>
      </c>
      <c r="I10" s="0" t="n">
        <v>149</v>
      </c>
      <c r="J10" s="0" t="n">
        <v>1.5</v>
      </c>
      <c r="K10" s="0" t="n">
        <v>0.26</v>
      </c>
      <c r="L10" s="0" t="n">
        <v>1092</v>
      </c>
      <c r="M10" s="0" t="n">
        <v>499</v>
      </c>
      <c r="N10" s="0" t="n">
        <v>593</v>
      </c>
      <c r="O10" s="0" t="n">
        <v>8945</v>
      </c>
      <c r="P10" s="0" t="n">
        <v>16921</v>
      </c>
      <c r="Q10" s="0" t="n">
        <v>7976</v>
      </c>
      <c r="R10" s="0" t="n">
        <v>2967</v>
      </c>
      <c r="S10" s="0" t="n">
        <v>1833</v>
      </c>
      <c r="AA10" s="0" t="s">
        <v>18</v>
      </c>
      <c r="AB10" s="0" t="s">
        <v>14</v>
      </c>
      <c r="AC10" s="0" t="n">
        <v>-100</v>
      </c>
    </row>
    <row r="11" customFormat="false" ht="15" hidden="false" customHeight="false" outlineLevel="0" collapsed="false">
      <c r="A11" s="0" t="s">
        <v>74</v>
      </c>
      <c r="B11" s="0" t="n">
        <v>8252</v>
      </c>
      <c r="F11" s="0" t="n">
        <v>668</v>
      </c>
      <c r="G11" s="0" t="n">
        <v>8.1</v>
      </c>
      <c r="H11" s="0" t="n">
        <v>1241</v>
      </c>
      <c r="I11" s="0" t="n">
        <v>266</v>
      </c>
      <c r="J11" s="0" t="n">
        <v>3.2</v>
      </c>
      <c r="K11" s="0" t="n">
        <v>0.46</v>
      </c>
      <c r="L11" s="0" t="n">
        <v>897</v>
      </c>
      <c r="M11" s="0" t="n">
        <v>357</v>
      </c>
      <c r="N11" s="0" t="n">
        <v>540</v>
      </c>
      <c r="O11" s="0" t="n">
        <v>9011</v>
      </c>
      <c r="P11" s="0" t="n">
        <v>16684</v>
      </c>
      <c r="Q11" s="0" t="n">
        <v>7673</v>
      </c>
      <c r="R11" s="0" t="n">
        <v>2102</v>
      </c>
      <c r="S11" s="0" t="n">
        <v>1872</v>
      </c>
      <c r="T11" s="0" t="n">
        <v>569.09</v>
      </c>
      <c r="AA11" s="0" t="s">
        <v>18</v>
      </c>
      <c r="AB11" s="0" t="s">
        <v>14</v>
      </c>
      <c r="AC11" s="0" t="n">
        <v>-18</v>
      </c>
    </row>
    <row r="12" customFormat="false" ht="15" hidden="false" customHeight="false" outlineLevel="0" collapsed="false">
      <c r="A12" s="0" t="s">
        <v>75</v>
      </c>
      <c r="B12" s="0" t="n">
        <v>8452</v>
      </c>
      <c r="F12" s="0" t="n">
        <v>824</v>
      </c>
      <c r="G12" s="0" t="n">
        <v>9.7</v>
      </c>
      <c r="H12" s="0" t="n">
        <v>1415</v>
      </c>
      <c r="I12" s="0" t="n">
        <v>1180</v>
      </c>
      <c r="J12" s="0" t="n">
        <v>14</v>
      </c>
      <c r="K12" s="0" t="n">
        <v>2.07</v>
      </c>
      <c r="L12" s="0" t="n">
        <v>978</v>
      </c>
      <c r="M12" s="0" t="n">
        <v>407</v>
      </c>
      <c r="N12" s="0" t="n">
        <v>571</v>
      </c>
      <c r="O12" s="0" t="n">
        <v>9389</v>
      </c>
      <c r="P12" s="0" t="n">
        <v>15504</v>
      </c>
      <c r="Q12" s="0" t="n">
        <v>6115</v>
      </c>
      <c r="R12" s="0" t="n">
        <v>1962</v>
      </c>
      <c r="S12" s="0" t="n">
        <v>2403</v>
      </c>
      <c r="T12" s="0" t="n">
        <v>565.39</v>
      </c>
      <c r="AA12" s="0" t="s">
        <v>18</v>
      </c>
      <c r="AB12" s="0" t="s">
        <v>14</v>
      </c>
      <c r="AC12" s="0" t="n">
        <v>3</v>
      </c>
    </row>
    <row r="13" customFormat="false" ht="15" hidden="false" customHeight="false" outlineLevel="0" collapsed="false">
      <c r="A13" s="0" t="s">
        <v>76</v>
      </c>
      <c r="B13" s="0" t="n">
        <v>9028</v>
      </c>
      <c r="F13" s="0" t="n">
        <v>1029</v>
      </c>
      <c r="G13" s="0" t="n">
        <v>11.4</v>
      </c>
      <c r="H13" s="0" t="n">
        <v>1627</v>
      </c>
      <c r="I13" s="0" t="n">
        <v>573</v>
      </c>
      <c r="J13" s="0" t="n">
        <v>6.3</v>
      </c>
      <c r="K13" s="0" t="n">
        <v>1.03</v>
      </c>
      <c r="L13" s="0" t="n">
        <v>1237</v>
      </c>
      <c r="M13" s="0" t="n">
        <v>426</v>
      </c>
      <c r="N13" s="0" t="n">
        <v>811</v>
      </c>
      <c r="O13" s="0" t="n">
        <v>9236</v>
      </c>
      <c r="P13" s="0" t="n">
        <v>15544</v>
      </c>
      <c r="Q13" s="0" t="n">
        <v>6308</v>
      </c>
      <c r="R13" s="0" t="n">
        <v>1989</v>
      </c>
      <c r="S13" s="0" t="n">
        <v>2095</v>
      </c>
      <c r="T13" s="0" t="n">
        <v>543.42</v>
      </c>
      <c r="AA13" s="0" t="s">
        <v>18</v>
      </c>
      <c r="AB13" s="0" t="s">
        <v>14</v>
      </c>
      <c r="AC13" s="0" t="n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77</v>
      </c>
      <c r="B1" s="2" t="s">
        <v>78</v>
      </c>
    </row>
    <row r="2" customFormat="false" ht="15" hidden="false" customHeight="false" outlineLevel="0" collapsed="false">
      <c r="A2" s="0" t="s">
        <v>79</v>
      </c>
      <c r="B2" s="3" t="n">
        <v>44.43</v>
      </c>
    </row>
    <row r="3" customFormat="false" ht="15" hidden="false" customHeight="false" outlineLevel="0" collapsed="false">
      <c r="A3" s="0" t="s">
        <v>80</v>
      </c>
      <c r="B3" s="3" t="n">
        <v>543</v>
      </c>
    </row>
    <row r="4" customFormat="false" ht="15" hidden="false" customHeight="false" outlineLevel="0" collapsed="false">
      <c r="A4" s="0" t="s">
        <v>81</v>
      </c>
      <c r="B4" s="3" t="n">
        <v>-106</v>
      </c>
    </row>
    <row r="5" customFormat="false" ht="15" hidden="false" customHeight="false" outlineLevel="0" collapsed="false">
      <c r="A5" s="0" t="s">
        <v>82</v>
      </c>
      <c r="B5" s="3" t="n">
        <v>905</v>
      </c>
    </row>
    <row r="6" customFormat="false" ht="15" hidden="false" customHeight="false" outlineLevel="0" collapsed="false">
      <c r="A6" s="0" t="s">
        <v>83</v>
      </c>
      <c r="B6" s="3" t="n">
        <v>15</v>
      </c>
    </row>
    <row r="7" customFormat="false" ht="15" hidden="false" customHeight="false" outlineLevel="0" collapsed="false">
      <c r="A7" s="0" t="s">
        <v>84</v>
      </c>
      <c r="B7" s="3" t="n">
        <v>9028</v>
      </c>
    </row>
    <row r="8" customFormat="false" ht="15" hidden="false" customHeight="false" outlineLevel="0" collapsed="false">
      <c r="A8" s="0" t="s">
        <v>85</v>
      </c>
      <c r="B8" s="3" t="s">
        <v>76</v>
      </c>
    </row>
    <row r="9" customFormat="false" ht="15" hidden="false" customHeight="false" outlineLevel="0" collapsed="false">
      <c r="A9" s="0" t="s">
        <v>86</v>
      </c>
      <c r="B9" s="3" t="s">
        <v>87</v>
      </c>
    </row>
    <row r="10" customFormat="false" ht="15" hidden="false" customHeight="false" outlineLevel="0" collapsed="false">
      <c r="A10" s="0" t="s">
        <v>88</v>
      </c>
      <c r="B10" s="3" t="n">
        <v>1.4219</v>
      </c>
    </row>
    <row r="12" customFormat="false" ht="15" hidden="false" customHeight="false" outlineLevel="0" collapsed="false">
      <c r="A12" s="2" t="s">
        <v>89</v>
      </c>
      <c r="C12" s="2" t="s">
        <v>90</v>
      </c>
      <c r="D12" s="2" t="s">
        <v>91</v>
      </c>
      <c r="E12" s="2" t="s">
        <v>92</v>
      </c>
      <c r="F12" s="2" t="s">
        <v>93</v>
      </c>
      <c r="G12" s="2" t="s">
        <v>94</v>
      </c>
      <c r="H12" s="2" t="s">
        <v>95</v>
      </c>
      <c r="I12" s="2" t="s">
        <v>96</v>
      </c>
      <c r="J12" s="2" t="s">
        <v>97</v>
      </c>
      <c r="K12" s="2" t="s">
        <v>98</v>
      </c>
      <c r="L12" s="2" t="s">
        <v>99</v>
      </c>
    </row>
    <row r="13" customFormat="false" ht="15" hidden="false" customHeight="false" outlineLevel="0" collapsed="false">
      <c r="A13" s="0" t="s">
        <v>100</v>
      </c>
      <c r="C13" s="3" t="n">
        <v>3</v>
      </c>
      <c r="D13" s="3" t="n">
        <v>2</v>
      </c>
      <c r="E13" s="3" t="n">
        <v>2</v>
      </c>
      <c r="F13" s="3" t="n">
        <v>1.5</v>
      </c>
      <c r="G13" s="3" t="n">
        <v>1.5</v>
      </c>
      <c r="H13" s="3" t="n">
        <v>1.5</v>
      </c>
      <c r="I13" s="3" t="n">
        <v>1.5</v>
      </c>
      <c r="J13" s="3" t="n">
        <v>1.5</v>
      </c>
      <c r="K13" s="3" t="n">
        <v>1.5</v>
      </c>
      <c r="L13" s="3" t="n">
        <v>1.5</v>
      </c>
    </row>
    <row r="14" customFormat="false" ht="15" hidden="false" customHeight="false" outlineLevel="0" collapsed="false">
      <c r="A14" s="0" t="s">
        <v>101</v>
      </c>
      <c r="C14" s="3" t="n">
        <v>17.5</v>
      </c>
      <c r="D14" s="3" t="n">
        <v>17.3</v>
      </c>
      <c r="E14" s="3" t="n">
        <v>17</v>
      </c>
      <c r="F14" s="3" t="n">
        <v>16.8</v>
      </c>
      <c r="G14" s="3" t="n">
        <v>16.6</v>
      </c>
      <c r="H14" s="3" t="n">
        <v>16.5</v>
      </c>
      <c r="I14" s="3" t="n">
        <v>16.5</v>
      </c>
      <c r="J14" s="3" t="n">
        <v>16.5</v>
      </c>
      <c r="K14" s="3" t="n">
        <v>16.5</v>
      </c>
      <c r="L14" s="3" t="n">
        <v>16.5</v>
      </c>
    </row>
    <row r="15" customFormat="false" ht="15" hidden="false" customHeight="false" outlineLevel="0" collapsed="false">
      <c r="A15" s="0" t="s">
        <v>102</v>
      </c>
      <c r="C15" s="3" t="n">
        <v>0.94</v>
      </c>
      <c r="D15" s="3" t="n">
        <v>0.92</v>
      </c>
      <c r="E15" s="3" t="n">
        <v>0.9</v>
      </c>
      <c r="F15" s="3" t="n">
        <v>0.88</v>
      </c>
      <c r="G15" s="3" t="n">
        <v>0.86</v>
      </c>
      <c r="H15" s="3" t="n">
        <v>0.85</v>
      </c>
      <c r="I15" s="3" t="n">
        <v>0.85</v>
      </c>
      <c r="J15" s="3" t="n">
        <v>0.85</v>
      </c>
      <c r="K15" s="3" t="n">
        <v>0.85</v>
      </c>
      <c r="L15" s="3" t="n">
        <v>0.85</v>
      </c>
    </row>
    <row r="16" customFormat="false" ht="15" hidden="false" customHeight="false" outlineLevel="0" collapsed="false">
      <c r="A16" s="0" t="s">
        <v>103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104</v>
      </c>
      <c r="C17" s="3" t="n">
        <v>5.4</v>
      </c>
      <c r="D17" s="3" t="n">
        <v>5.4</v>
      </c>
      <c r="E17" s="3" t="n">
        <v>5.4</v>
      </c>
      <c r="F17" s="3" t="n">
        <v>5.4</v>
      </c>
      <c r="G17" s="3" t="n">
        <v>5.4</v>
      </c>
      <c r="H17" s="3" t="n">
        <v>5.4</v>
      </c>
      <c r="I17" s="3" t="n">
        <v>5.4</v>
      </c>
      <c r="J17" s="3" t="n">
        <v>5.4</v>
      </c>
      <c r="K17" s="3" t="n">
        <v>5.4</v>
      </c>
      <c r="L17" s="3" t="n">
        <v>5.4</v>
      </c>
    </row>
    <row r="18" customFormat="false" ht="15" hidden="false" customHeight="false" outlineLevel="0" collapsed="false">
      <c r="A18" s="0" t="s">
        <v>105</v>
      </c>
      <c r="C18" s="3" t="n">
        <v>4.8</v>
      </c>
      <c r="D18" s="3" t="n">
        <v>4.8</v>
      </c>
      <c r="E18" s="3" t="n">
        <v>4.8</v>
      </c>
      <c r="F18" s="3" t="n">
        <v>4.8</v>
      </c>
      <c r="G18" s="3" t="n">
        <v>4.8</v>
      </c>
      <c r="H18" s="3" t="n">
        <v>4.8</v>
      </c>
      <c r="I18" s="3" t="n">
        <v>4.8</v>
      </c>
      <c r="J18" s="3" t="n">
        <v>4.8</v>
      </c>
      <c r="K18" s="3" t="n">
        <v>4.8</v>
      </c>
      <c r="L18" s="3" t="n">
        <v>4.8</v>
      </c>
    </row>
    <row r="19" customFormat="false" ht="15" hidden="false" customHeight="false" outlineLevel="0" collapsed="false">
      <c r="A19" s="0" t="s">
        <v>106</v>
      </c>
      <c r="C19" s="3" t="n">
        <v>43.8</v>
      </c>
      <c r="D19" s="3" t="n">
        <v>44</v>
      </c>
      <c r="E19" s="3" t="n">
        <v>44.2</v>
      </c>
      <c r="F19" s="3" t="n">
        <v>44.4</v>
      </c>
      <c r="G19" s="3" t="n">
        <v>44.6</v>
      </c>
      <c r="H19" s="3" t="n">
        <v>44.8</v>
      </c>
      <c r="I19" s="3" t="n">
        <v>45</v>
      </c>
      <c r="J19" s="3" t="n">
        <v>45.1</v>
      </c>
      <c r="K19" s="3" t="n">
        <v>45.2</v>
      </c>
      <c r="L19" s="3" t="n">
        <v>45.3</v>
      </c>
    </row>
    <row r="20" customFormat="false" ht="15" hidden="false" customHeight="false" outlineLevel="0" collapsed="false">
      <c r="A20" s="0" t="s">
        <v>107</v>
      </c>
      <c r="B20" s="3" t="n">
        <v>9</v>
      </c>
    </row>
    <row r="21" customFormat="false" ht="15" hidden="false" customHeight="false" outlineLevel="0" collapsed="false">
      <c r="A21" s="0" t="s">
        <v>108</v>
      </c>
      <c r="B21" s="3" t="n">
        <v>1.5</v>
      </c>
    </row>
    <row r="22" customFormat="false" ht="15" hidden="false" customHeight="false" outlineLevel="0" collapsed="false">
      <c r="A22" s="0" t="s">
        <v>109</v>
      </c>
      <c r="B22" s="3" t="n">
        <v>12</v>
      </c>
    </row>
    <row r="23" customFormat="false" ht="15" hidden="false" customHeight="false" outlineLevel="0" collapsed="false">
      <c r="A23" s="0" t="s">
        <v>110</v>
      </c>
      <c r="B23" s="3" t="n">
        <v>-20</v>
      </c>
    </row>
    <row r="24" customFormat="false" ht="15" hidden="false" customHeight="false" outlineLevel="0" collapsed="false">
      <c r="A24" s="0" t="s">
        <v>111</v>
      </c>
      <c r="B24" s="3" t="n">
        <v>0.2</v>
      </c>
    </row>
    <row r="26" customFormat="false" ht="15" hidden="false" customHeight="false" outlineLevel="0" collapsed="false">
      <c r="A26" s="2" t="s">
        <v>112</v>
      </c>
      <c r="C26" s="2" t="s">
        <v>90</v>
      </c>
      <c r="D26" s="2" t="s">
        <v>91</v>
      </c>
      <c r="E26" s="2" t="s">
        <v>92</v>
      </c>
      <c r="F26" s="2" t="s">
        <v>93</v>
      </c>
      <c r="G26" s="2" t="s">
        <v>94</v>
      </c>
      <c r="H26" s="2" t="s">
        <v>95</v>
      </c>
      <c r="I26" s="2" t="s">
        <v>96</v>
      </c>
      <c r="J26" s="2" t="s">
        <v>97</v>
      </c>
      <c r="K26" s="2" t="s">
        <v>98</v>
      </c>
      <c r="L26" s="2" t="s">
        <v>99</v>
      </c>
    </row>
    <row r="27" customFormat="false" ht="15" hidden="false" customHeight="false" outlineLevel="0" collapsed="false">
      <c r="A27" s="0" t="s">
        <v>100</v>
      </c>
      <c r="C27" s="3" t="n">
        <v>6</v>
      </c>
      <c r="D27" s="3" t="n">
        <v>5.5</v>
      </c>
      <c r="E27" s="3" t="n">
        <v>5</v>
      </c>
      <c r="F27" s="3" t="n">
        <v>4.5</v>
      </c>
      <c r="G27" s="3" t="n">
        <v>4</v>
      </c>
      <c r="H27" s="3" t="n">
        <v>3.5</v>
      </c>
      <c r="I27" s="3" t="n">
        <v>3</v>
      </c>
      <c r="J27" s="3" t="n">
        <v>3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101</v>
      </c>
      <c r="C28" s="3" t="n">
        <v>18.5</v>
      </c>
      <c r="D28" s="3" t="n">
        <v>19</v>
      </c>
      <c r="E28" s="3" t="n">
        <v>19.4</v>
      </c>
      <c r="F28" s="3" t="n">
        <v>19.8</v>
      </c>
      <c r="G28" s="3" t="n">
        <v>20.1</v>
      </c>
      <c r="H28" s="3" t="n">
        <v>20.4</v>
      </c>
      <c r="I28" s="3" t="n">
        <v>20.6</v>
      </c>
      <c r="J28" s="3" t="n">
        <v>20.8</v>
      </c>
      <c r="K28" s="3" t="n">
        <v>21</v>
      </c>
      <c r="L28" s="3" t="n">
        <v>21</v>
      </c>
    </row>
    <row r="29" customFormat="false" ht="15" hidden="false" customHeight="false" outlineLevel="0" collapsed="false">
      <c r="A29" s="0" t="s">
        <v>102</v>
      </c>
      <c r="C29" s="3" t="n">
        <v>0.94</v>
      </c>
      <c r="D29" s="3" t="n">
        <v>0.92</v>
      </c>
      <c r="E29" s="3" t="n">
        <v>0.9</v>
      </c>
      <c r="F29" s="3" t="n">
        <v>0.88</v>
      </c>
      <c r="G29" s="3" t="n">
        <v>0.86</v>
      </c>
      <c r="H29" s="3" t="n">
        <v>0.85</v>
      </c>
      <c r="I29" s="3" t="n">
        <v>0.85</v>
      </c>
      <c r="J29" s="3" t="n">
        <v>0.85</v>
      </c>
      <c r="K29" s="3" t="n">
        <v>0.85</v>
      </c>
      <c r="L29" s="3" t="n">
        <v>0.85</v>
      </c>
    </row>
    <row r="30" customFormat="false" ht="15" hidden="false" customHeight="false" outlineLevel="0" collapsed="false">
      <c r="A30" s="0" t="s">
        <v>103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104</v>
      </c>
      <c r="C31" s="3" t="n">
        <v>5.3</v>
      </c>
      <c r="D31" s="3" t="n">
        <v>5.2</v>
      </c>
      <c r="E31" s="3" t="n">
        <v>5.1</v>
      </c>
      <c r="F31" s="3" t="n">
        <v>5</v>
      </c>
      <c r="G31" s="3" t="n">
        <v>5</v>
      </c>
      <c r="H31" s="3" t="n">
        <v>5</v>
      </c>
      <c r="I31" s="3" t="n">
        <v>5</v>
      </c>
      <c r="J31" s="3" t="n">
        <v>5</v>
      </c>
      <c r="K31" s="3" t="n">
        <v>5</v>
      </c>
      <c r="L31" s="3" t="n">
        <v>5</v>
      </c>
    </row>
    <row r="32" customFormat="false" ht="15" hidden="false" customHeight="false" outlineLevel="0" collapsed="false">
      <c r="A32" s="0" t="s">
        <v>105</v>
      </c>
      <c r="C32" s="3" t="n">
        <v>4.7</v>
      </c>
      <c r="D32" s="3" t="n">
        <v>4.6</v>
      </c>
      <c r="E32" s="3" t="n">
        <v>4.5</v>
      </c>
      <c r="F32" s="3" t="n">
        <v>4.5</v>
      </c>
      <c r="G32" s="3" t="n">
        <v>4.5</v>
      </c>
      <c r="H32" s="3" t="n">
        <v>4.5</v>
      </c>
      <c r="I32" s="3" t="n">
        <v>4.5</v>
      </c>
      <c r="J32" s="3" t="n">
        <v>4.5</v>
      </c>
      <c r="K32" s="3" t="n">
        <v>4.5</v>
      </c>
      <c r="L32" s="3" t="n">
        <v>4.5</v>
      </c>
    </row>
    <row r="33" customFormat="false" ht="15" hidden="false" customHeight="false" outlineLevel="0" collapsed="false">
      <c r="A33" s="0" t="s">
        <v>106</v>
      </c>
      <c r="C33" s="3" t="n">
        <v>43.8</v>
      </c>
      <c r="D33" s="3" t="n">
        <v>44</v>
      </c>
      <c r="E33" s="3" t="n">
        <v>44.2</v>
      </c>
      <c r="F33" s="3" t="n">
        <v>44.4</v>
      </c>
      <c r="G33" s="3" t="n">
        <v>44.6</v>
      </c>
      <c r="H33" s="3" t="n">
        <v>44.8</v>
      </c>
      <c r="I33" s="3" t="n">
        <v>45</v>
      </c>
      <c r="J33" s="3" t="n">
        <v>45.1</v>
      </c>
      <c r="K33" s="3" t="n">
        <v>45.2</v>
      </c>
      <c r="L33" s="3" t="n">
        <v>45.3</v>
      </c>
    </row>
    <row r="34" customFormat="false" ht="15" hidden="false" customHeight="false" outlineLevel="0" collapsed="false">
      <c r="A34" s="0" t="s">
        <v>107</v>
      </c>
      <c r="B34" s="3" t="n">
        <v>9</v>
      </c>
    </row>
    <row r="35" customFormat="false" ht="15" hidden="false" customHeight="false" outlineLevel="0" collapsed="false">
      <c r="A35" s="0" t="s">
        <v>108</v>
      </c>
      <c r="B35" s="3" t="n">
        <v>2.5</v>
      </c>
    </row>
    <row r="36" customFormat="false" ht="15" hidden="false" customHeight="false" outlineLevel="0" collapsed="false">
      <c r="A36" s="0" t="s">
        <v>109</v>
      </c>
      <c r="B36" s="3" t="n">
        <v>15</v>
      </c>
    </row>
    <row r="37" customFormat="false" ht="15" hidden="false" customHeight="false" outlineLevel="0" collapsed="false">
      <c r="A37" s="0" t="s">
        <v>110</v>
      </c>
      <c r="B37" s="3" t="n">
        <v>-15</v>
      </c>
    </row>
    <row r="38" customFormat="false" ht="15" hidden="false" customHeight="false" outlineLevel="0" collapsed="false">
      <c r="A38" s="0" t="s">
        <v>111</v>
      </c>
      <c r="B38" s="3" t="n">
        <v>0.5</v>
      </c>
    </row>
    <row r="40" customFormat="false" ht="15" hidden="false" customHeight="false" outlineLevel="0" collapsed="false">
      <c r="A40" s="2" t="s">
        <v>113</v>
      </c>
      <c r="C40" s="2" t="s">
        <v>90</v>
      </c>
      <c r="D40" s="2" t="s">
        <v>91</v>
      </c>
      <c r="E40" s="2" t="s">
        <v>92</v>
      </c>
      <c r="F40" s="2" t="s">
        <v>93</v>
      </c>
      <c r="G40" s="2" t="s">
        <v>94</v>
      </c>
      <c r="H40" s="2" t="s">
        <v>95</v>
      </c>
      <c r="I40" s="2" t="s">
        <v>96</v>
      </c>
      <c r="J40" s="2" t="s">
        <v>97</v>
      </c>
      <c r="K40" s="2" t="s">
        <v>98</v>
      </c>
      <c r="L40" s="2" t="s">
        <v>99</v>
      </c>
    </row>
    <row r="41" customFormat="false" ht="15" hidden="false" customHeight="false" outlineLevel="0" collapsed="false">
      <c r="A41" s="0" t="s">
        <v>100</v>
      </c>
      <c r="C41" s="3" t="n">
        <v>8</v>
      </c>
      <c r="D41" s="3" t="n">
        <v>7.5</v>
      </c>
      <c r="E41" s="3" t="n">
        <v>7</v>
      </c>
      <c r="F41" s="3" t="n">
        <v>6.5</v>
      </c>
      <c r="G41" s="3" t="n">
        <v>6</v>
      </c>
      <c r="H41" s="3" t="n">
        <v>5</v>
      </c>
      <c r="I41" s="3" t="n">
        <v>4.5</v>
      </c>
      <c r="J41" s="3" t="n">
        <v>4</v>
      </c>
      <c r="K41" s="3" t="n">
        <v>3.5</v>
      </c>
      <c r="L41" s="3" t="n">
        <v>3</v>
      </c>
    </row>
    <row r="42" customFormat="false" ht="15" hidden="false" customHeight="false" outlineLevel="0" collapsed="false">
      <c r="A42" s="0" t="s">
        <v>101</v>
      </c>
      <c r="C42" s="3" t="n">
        <v>19</v>
      </c>
      <c r="D42" s="3" t="n">
        <v>20</v>
      </c>
      <c r="E42" s="3" t="n">
        <v>21</v>
      </c>
      <c r="F42" s="3" t="n">
        <v>21.8</v>
      </c>
      <c r="G42" s="3" t="n">
        <v>22.5</v>
      </c>
      <c r="H42" s="3" t="n">
        <v>23</v>
      </c>
      <c r="I42" s="3" t="n">
        <v>23.4</v>
      </c>
      <c r="J42" s="3" t="n">
        <v>23.7</v>
      </c>
      <c r="K42" s="3" t="n">
        <v>24</v>
      </c>
      <c r="L42" s="3" t="n">
        <v>24</v>
      </c>
    </row>
    <row r="43" customFormat="false" ht="15" hidden="false" customHeight="false" outlineLevel="0" collapsed="false">
      <c r="A43" s="0" t="s">
        <v>102</v>
      </c>
      <c r="C43" s="3" t="n">
        <v>0.94</v>
      </c>
      <c r="D43" s="3" t="n">
        <v>0.92</v>
      </c>
      <c r="E43" s="3" t="n">
        <v>0.9</v>
      </c>
      <c r="F43" s="3" t="n">
        <v>0.88</v>
      </c>
      <c r="G43" s="3" t="n">
        <v>0.86</v>
      </c>
      <c r="H43" s="3" t="n">
        <v>0.85</v>
      </c>
      <c r="I43" s="3" t="n">
        <v>0.85</v>
      </c>
      <c r="J43" s="3" t="n">
        <v>0.85</v>
      </c>
      <c r="K43" s="3" t="n">
        <v>0.85</v>
      </c>
      <c r="L43" s="3" t="n">
        <v>0.85</v>
      </c>
    </row>
    <row r="44" customFormat="false" ht="15" hidden="false" customHeight="false" outlineLevel="0" collapsed="false">
      <c r="A44" s="0" t="s">
        <v>103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104</v>
      </c>
      <c r="C45" s="3" t="n">
        <v>5.3</v>
      </c>
      <c r="D45" s="3" t="n">
        <v>5.2</v>
      </c>
      <c r="E45" s="3" t="n">
        <v>5.1</v>
      </c>
      <c r="F45" s="3" t="n">
        <v>5</v>
      </c>
      <c r="G45" s="3" t="n">
        <v>5</v>
      </c>
      <c r="H45" s="3" t="n">
        <v>5</v>
      </c>
      <c r="I45" s="3" t="n">
        <v>5</v>
      </c>
      <c r="J45" s="3" t="n">
        <v>5</v>
      </c>
      <c r="K45" s="3" t="n">
        <v>5</v>
      </c>
      <c r="L45" s="3" t="n">
        <v>5</v>
      </c>
    </row>
    <row r="46" customFormat="false" ht="15" hidden="false" customHeight="false" outlineLevel="0" collapsed="false">
      <c r="A46" s="0" t="s">
        <v>105</v>
      </c>
      <c r="C46" s="3" t="n">
        <v>4.7</v>
      </c>
      <c r="D46" s="3" t="n">
        <v>4.6</v>
      </c>
      <c r="E46" s="3" t="n">
        <v>4.5</v>
      </c>
      <c r="F46" s="3" t="n">
        <v>4.5</v>
      </c>
      <c r="G46" s="3" t="n">
        <v>4.5</v>
      </c>
      <c r="H46" s="3" t="n">
        <v>4.5</v>
      </c>
      <c r="I46" s="3" t="n">
        <v>4.5</v>
      </c>
      <c r="J46" s="3" t="n">
        <v>4.5</v>
      </c>
      <c r="K46" s="3" t="n">
        <v>4.5</v>
      </c>
      <c r="L46" s="3" t="n">
        <v>4.5</v>
      </c>
    </row>
    <row r="47" customFormat="false" ht="15" hidden="false" customHeight="false" outlineLevel="0" collapsed="false">
      <c r="A47" s="0" t="s">
        <v>106</v>
      </c>
      <c r="C47" s="3" t="n">
        <v>43.8</v>
      </c>
      <c r="D47" s="3" t="n">
        <v>44.2</v>
      </c>
      <c r="E47" s="3" t="n">
        <v>44.6</v>
      </c>
      <c r="F47" s="3" t="n">
        <v>45</v>
      </c>
      <c r="G47" s="3" t="n">
        <v>45.4</v>
      </c>
      <c r="H47" s="3" t="n">
        <v>45.8</v>
      </c>
      <c r="I47" s="3" t="n">
        <v>46.1</v>
      </c>
      <c r="J47" s="3" t="n">
        <v>46.4</v>
      </c>
      <c r="K47" s="3" t="n">
        <v>46.6</v>
      </c>
      <c r="L47" s="3" t="n">
        <v>46.7</v>
      </c>
    </row>
    <row r="48" customFormat="false" ht="15" hidden="false" customHeight="false" outlineLevel="0" collapsed="false">
      <c r="A48" s="0" t="s">
        <v>107</v>
      </c>
      <c r="B48" s="3" t="n">
        <v>9</v>
      </c>
    </row>
    <row r="49" customFormat="false" ht="15" hidden="false" customHeight="false" outlineLevel="0" collapsed="false">
      <c r="A49" s="0" t="s">
        <v>108</v>
      </c>
      <c r="B49" s="3" t="n">
        <v>3</v>
      </c>
    </row>
    <row r="50" customFormat="false" ht="15" hidden="false" customHeight="false" outlineLevel="0" collapsed="false">
      <c r="A50" s="0" t="s">
        <v>109</v>
      </c>
      <c r="B50" s="3" t="n">
        <v>17</v>
      </c>
    </row>
    <row r="51" customFormat="false" ht="15" hidden="false" customHeight="false" outlineLevel="0" collapsed="false">
      <c r="A51" s="0" t="s">
        <v>110</v>
      </c>
      <c r="B51" s="3" t="n">
        <v>-10</v>
      </c>
    </row>
    <row r="52" customFormat="false" ht="15" hidden="false" customHeight="false" outlineLevel="0" collapsed="false">
      <c r="A52" s="0" t="s">
        <v>111</v>
      </c>
      <c r="B52" s="3" t="n">
        <v>0.3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114</v>
      </c>
    </row>
    <row r="3" customFormat="false" ht="15" hidden="false" customHeight="false" outlineLevel="0" collapsed="false">
      <c r="A3" s="0" t="s">
        <v>115</v>
      </c>
      <c r="B3" s="0" t="s">
        <v>76</v>
      </c>
      <c r="C3" s="2" t="s">
        <v>90</v>
      </c>
      <c r="D3" s="2" t="s">
        <v>91</v>
      </c>
      <c r="E3" s="2" t="s">
        <v>92</v>
      </c>
      <c r="F3" s="2" t="s">
        <v>93</v>
      </c>
      <c r="G3" s="2" t="s">
        <v>94</v>
      </c>
      <c r="H3" s="2" t="s">
        <v>95</v>
      </c>
      <c r="I3" s="2" t="s">
        <v>96</v>
      </c>
      <c r="J3" s="2" t="s">
        <v>97</v>
      </c>
      <c r="K3" s="2" t="s">
        <v>98</v>
      </c>
      <c r="L3" s="2" t="s">
        <v>99</v>
      </c>
    </row>
    <row r="4" customFormat="false" ht="15" hidden="false" customHeight="false" outlineLevel="0" collapsed="false">
      <c r="A4" s="0" t="s">
        <v>116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100</v>
      </c>
      <c r="C5" s="4" t="n">
        <f aca="false">Assumptions!C13</f>
        <v>3</v>
      </c>
      <c r="D5" s="4" t="n">
        <f aca="false">Assumptions!D13</f>
        <v>2</v>
      </c>
      <c r="E5" s="4" t="n">
        <f aca="false">Assumptions!E13</f>
        <v>2</v>
      </c>
      <c r="F5" s="4" t="n">
        <f aca="false">Assumptions!F13</f>
        <v>1.5</v>
      </c>
      <c r="G5" s="4" t="n">
        <f aca="false">Assumptions!G13</f>
        <v>1.5</v>
      </c>
      <c r="H5" s="4" t="n">
        <f aca="false">Assumptions!H13</f>
        <v>1.5</v>
      </c>
      <c r="I5" s="4" t="n">
        <f aca="false">Assumptions!I13</f>
        <v>1.5</v>
      </c>
      <c r="J5" s="4" t="n">
        <f aca="false">Assumptions!J13</f>
        <v>1.5</v>
      </c>
      <c r="K5" s="4" t="n">
        <f aca="false">Assumptions!K13</f>
        <v>1.5</v>
      </c>
      <c r="L5" s="4" t="n">
        <f aca="false">Assumptions!L13</f>
        <v>1.5</v>
      </c>
    </row>
    <row r="6" customFormat="false" ht="15" hidden="false" customHeight="false" outlineLevel="0" collapsed="false">
      <c r="A6" s="0" t="s">
        <v>38</v>
      </c>
      <c r="B6" s="3" t="n">
        <v>9028</v>
      </c>
      <c r="C6" s="0" t="n">
        <f aca="false">B6*(1+C5/100)</f>
        <v>9298.84</v>
      </c>
      <c r="D6" s="0" t="n">
        <f aca="false">C6*(1+D5/100)</f>
        <v>9484.8168</v>
      </c>
      <c r="E6" s="0" t="n">
        <f aca="false">D6*(1+E5/100)</f>
        <v>9674.513136</v>
      </c>
      <c r="F6" s="0" t="n">
        <f aca="false">E6*(1+F5/100)</f>
        <v>9819.63083304</v>
      </c>
      <c r="G6" s="0" t="n">
        <f aca="false">F6*(1+G5/100)</f>
        <v>9966.9252955356</v>
      </c>
      <c r="H6" s="0" t="n">
        <f aca="false">G6*(1+H5/100)</f>
        <v>10116.4291749686</v>
      </c>
      <c r="I6" s="0" t="n">
        <f aca="false">H6*(1+I5/100)</f>
        <v>10268.1756125932</v>
      </c>
      <c r="J6" s="0" t="n">
        <f aca="false">I6*(1+J5/100)</f>
        <v>10422.1982467821</v>
      </c>
      <c r="K6" s="0" t="n">
        <f aca="false">J6*(1+K5/100)</f>
        <v>10578.5312204838</v>
      </c>
      <c r="L6" s="0" t="n">
        <f aca="false">K6*(1+L5/100)</f>
        <v>10737.209188791</v>
      </c>
    </row>
    <row r="7" customFormat="false" ht="15" hidden="false" customHeight="false" outlineLevel="0" collapsed="false">
      <c r="A7" s="0" t="s">
        <v>101</v>
      </c>
      <c r="C7" s="4" t="n">
        <f aca="false">Assumptions!C14</f>
        <v>17.5</v>
      </c>
      <c r="D7" s="4" t="n">
        <f aca="false">Assumptions!D14</f>
        <v>17.3</v>
      </c>
      <c r="E7" s="4" t="n">
        <f aca="false">Assumptions!E14</f>
        <v>17</v>
      </c>
      <c r="F7" s="4" t="n">
        <f aca="false">Assumptions!F14</f>
        <v>16.8</v>
      </c>
      <c r="G7" s="4" t="n">
        <f aca="false">Assumptions!G14</f>
        <v>16.6</v>
      </c>
      <c r="H7" s="4" t="n">
        <f aca="false">Assumptions!H14</f>
        <v>16.5</v>
      </c>
      <c r="I7" s="4" t="n">
        <f aca="false">Assumptions!I14</f>
        <v>16.5</v>
      </c>
      <c r="J7" s="4" t="n">
        <f aca="false">Assumptions!J14</f>
        <v>16.5</v>
      </c>
      <c r="K7" s="4" t="n">
        <f aca="false">Assumptions!K14</f>
        <v>16.5</v>
      </c>
      <c r="L7" s="4" t="n">
        <f aca="false">Assumptions!L14</f>
        <v>16.5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1627.297</v>
      </c>
      <c r="D8" s="0" t="n">
        <f aca="false">D6*D7/100</f>
        <v>1640.8733064</v>
      </c>
      <c r="E8" s="0" t="n">
        <f aca="false">E6*E7/100</f>
        <v>1644.66723312</v>
      </c>
      <c r="F8" s="0" t="n">
        <f aca="false">F6*F7/100</f>
        <v>1649.69797995072</v>
      </c>
      <c r="G8" s="0" t="n">
        <f aca="false">G6*G7/100</f>
        <v>1654.50959905891</v>
      </c>
      <c r="H8" s="0" t="n">
        <f aca="false">H6*H7/100</f>
        <v>1669.21081386982</v>
      </c>
      <c r="I8" s="0" t="n">
        <f aca="false">I6*I7/100</f>
        <v>1694.24897607787</v>
      </c>
      <c r="J8" s="0" t="n">
        <f aca="false">J6*J7/100</f>
        <v>1719.66271071904</v>
      </c>
      <c r="K8" s="0" t="n">
        <f aca="false">K6*K7/100</f>
        <v>1745.45765137982</v>
      </c>
      <c r="L8" s="0" t="n">
        <f aca="false">L6*L7/100</f>
        <v>1771.63951615052</v>
      </c>
    </row>
    <row r="9" customFormat="false" ht="15" hidden="false" customHeight="false" outlineLevel="0" collapsed="false">
      <c r="A9" s="0" t="s">
        <v>102</v>
      </c>
      <c r="C9" s="4" t="n">
        <f aca="false">Assumptions!C15</f>
        <v>0.94</v>
      </c>
      <c r="D9" s="4" t="n">
        <f aca="false">Assumptions!D15</f>
        <v>0.92</v>
      </c>
      <c r="E9" s="4" t="n">
        <f aca="false">Assumptions!E15</f>
        <v>0.9</v>
      </c>
      <c r="F9" s="4" t="n">
        <f aca="false">Assumptions!F15</f>
        <v>0.88</v>
      </c>
      <c r="G9" s="4" t="n">
        <f aca="false">Assumptions!G15</f>
        <v>0.86</v>
      </c>
      <c r="H9" s="4" t="n">
        <f aca="false">Assumptions!H15</f>
        <v>0.85</v>
      </c>
      <c r="I9" s="4" t="n">
        <f aca="false">Assumptions!I15</f>
        <v>0.85</v>
      </c>
      <c r="J9" s="4" t="n">
        <f aca="false">Assumptions!J15</f>
        <v>0.85</v>
      </c>
      <c r="K9" s="4" t="n">
        <f aca="false">Assumptions!K15</f>
        <v>0.85</v>
      </c>
      <c r="L9" s="4" t="n">
        <f aca="false">Assumptions!L15</f>
        <v>0.85</v>
      </c>
    </row>
    <row r="10" customFormat="false" ht="15" hidden="false" customHeight="false" outlineLevel="0" collapsed="false">
      <c r="A10" s="0" t="s">
        <v>117</v>
      </c>
      <c r="C10" s="0" t="n">
        <f aca="false">-C6*C9/100</f>
        <v>-87.409096</v>
      </c>
      <c r="D10" s="0" t="n">
        <f aca="false">-D6*D9/100</f>
        <v>-87.26031456</v>
      </c>
      <c r="E10" s="0" t="n">
        <f aca="false">-E6*E9/100</f>
        <v>-87.070618224</v>
      </c>
      <c r="F10" s="0" t="n">
        <f aca="false">-F6*F9/100</f>
        <v>-86.412751330752</v>
      </c>
      <c r="G10" s="0" t="n">
        <f aca="false">-G6*G9/100</f>
        <v>-85.7155575416062</v>
      </c>
      <c r="H10" s="0" t="n">
        <f aca="false">-H6*H9/100</f>
        <v>-85.9896479872334</v>
      </c>
      <c r="I10" s="0" t="n">
        <f aca="false">-I6*I9/100</f>
        <v>-87.2794927070419</v>
      </c>
      <c r="J10" s="0" t="n">
        <f aca="false">-J6*J9/100</f>
        <v>-88.5886850976475</v>
      </c>
      <c r="K10" s="0" t="n">
        <f aca="false">-K6*K9/100</f>
        <v>-89.9175153741122</v>
      </c>
      <c r="L10" s="0" t="n">
        <f aca="false">-L6*L9/100</f>
        <v>-91.2662781047239</v>
      </c>
    </row>
    <row r="11" customFormat="false" ht="15" hidden="false" customHeight="false" outlineLevel="0" collapsed="false">
      <c r="A11" s="0" t="s">
        <v>118</v>
      </c>
      <c r="C11" s="0" t="n">
        <f aca="false">C8+C10+C24</f>
        <v>1539.887904</v>
      </c>
      <c r="D11" s="0" t="n">
        <f aca="false">D8+D10+D24</f>
        <v>1553.61299184</v>
      </c>
      <c r="E11" s="0" t="n">
        <f aca="false">E8+E10+E24</f>
        <v>1557.596614896</v>
      </c>
      <c r="F11" s="0" t="n">
        <f aca="false">F8+F10+F24</f>
        <v>1563.28522861997</v>
      </c>
      <c r="G11" s="0" t="n">
        <f aca="false">G8+G10+G24</f>
        <v>1568.7940415173</v>
      </c>
      <c r="H11" s="0" t="n">
        <f aca="false">H8+H10+H24</f>
        <v>1583.22116588259</v>
      </c>
      <c r="I11" s="0" t="n">
        <f aca="false">I8+I10+I24</f>
        <v>1606.96948337083</v>
      </c>
      <c r="J11" s="0" t="n">
        <f aca="false">J8+J10+J24</f>
        <v>1631.07402562139</v>
      </c>
      <c r="K11" s="0" t="n">
        <f aca="false">K8+K10+K24</f>
        <v>1655.54013600571</v>
      </c>
      <c r="L11" s="0" t="n">
        <f aca="false">L8+L10+L24</f>
        <v>1680.3732380458</v>
      </c>
    </row>
    <row r="12" customFormat="false" ht="15" hidden="false" customHeight="false" outlineLevel="0" collapsed="false">
      <c r="A12" s="0" t="s">
        <v>119</v>
      </c>
      <c r="C12" s="4" t="n">
        <f aca="false">-C6*Assumptions!C17/100</f>
        <v>-502.13736</v>
      </c>
      <c r="D12" s="4" t="n">
        <f aca="false">-D6*Assumptions!D17/100</f>
        <v>-512.1801072</v>
      </c>
      <c r="E12" s="4" t="n">
        <f aca="false">-E6*Assumptions!E17/100</f>
        <v>-522.423709344</v>
      </c>
      <c r="F12" s="4" t="n">
        <f aca="false">-F6*Assumptions!F17/100</f>
        <v>-530.26006498416</v>
      </c>
      <c r="G12" s="4" t="n">
        <f aca="false">-G6*Assumptions!G17/100</f>
        <v>-538.213965958923</v>
      </c>
      <c r="H12" s="4" t="n">
        <f aca="false">-H6*Assumptions!H17/100</f>
        <v>-546.287175448306</v>
      </c>
      <c r="I12" s="4" t="n">
        <f aca="false">-I6*Assumptions!I17/100</f>
        <v>-554.481483080031</v>
      </c>
      <c r="J12" s="4" t="n">
        <f aca="false">-J6*Assumptions!J17/100</f>
        <v>-562.798705326231</v>
      </c>
      <c r="K12" s="4" t="n">
        <f aca="false">-K6*Assumptions!K17/100</f>
        <v>-571.240685906124</v>
      </c>
      <c r="L12" s="4" t="n">
        <f aca="false">-L6*Assumptions!L17/100</f>
        <v>-579.809296194716</v>
      </c>
    </row>
    <row r="13" customFormat="false" ht="15" hidden="false" customHeight="false" outlineLevel="0" collapsed="false">
      <c r="A13" s="0" t="s">
        <v>120</v>
      </c>
      <c r="C13" s="0" t="n">
        <f aca="false">C11+C12</f>
        <v>1037.750544</v>
      </c>
      <c r="D13" s="0" t="n">
        <f aca="false">D11+D12</f>
        <v>1041.43288464</v>
      </c>
      <c r="E13" s="0" t="n">
        <f aca="false">E11+E12</f>
        <v>1035.172905552</v>
      </c>
      <c r="F13" s="0" t="n">
        <f aca="false">F11+F12</f>
        <v>1033.02516363581</v>
      </c>
      <c r="G13" s="0" t="n">
        <f aca="false">G11+G12</f>
        <v>1030.58007555838</v>
      </c>
      <c r="H13" s="0" t="n">
        <f aca="false">H11+H12</f>
        <v>1036.93399043428</v>
      </c>
      <c r="I13" s="0" t="n">
        <f aca="false">I11+I12</f>
        <v>1052.4880002908</v>
      </c>
      <c r="J13" s="0" t="n">
        <f aca="false">J11+J12</f>
        <v>1068.27532029516</v>
      </c>
      <c r="K13" s="0" t="n">
        <f aca="false">K11+K12</f>
        <v>1084.29945009959</v>
      </c>
      <c r="L13" s="0" t="n">
        <f aca="false">L11+L12</f>
        <v>1100.56394185108</v>
      </c>
    </row>
    <row r="14" customFormat="false" ht="15" hidden="false" customHeight="false" outlineLevel="0" collapsed="false">
      <c r="A14" s="0" t="s">
        <v>106</v>
      </c>
      <c r="C14" s="4" t="n">
        <f aca="false">Assumptions!C19</f>
        <v>43.8</v>
      </c>
      <c r="D14" s="4" t="n">
        <f aca="false">Assumptions!D19</f>
        <v>44</v>
      </c>
      <c r="E14" s="4" t="n">
        <f aca="false">Assumptions!E19</f>
        <v>44.2</v>
      </c>
      <c r="F14" s="4" t="n">
        <f aca="false">Assumptions!F19</f>
        <v>44.4</v>
      </c>
      <c r="G14" s="4" t="n">
        <f aca="false">Assumptions!G19</f>
        <v>44.6</v>
      </c>
      <c r="H14" s="4" t="n">
        <f aca="false">Assumptions!H19</f>
        <v>44.8</v>
      </c>
      <c r="I14" s="4" t="n">
        <f aca="false">Assumptions!I19</f>
        <v>45</v>
      </c>
      <c r="J14" s="4" t="n">
        <f aca="false">Assumptions!J19</f>
        <v>45.1</v>
      </c>
      <c r="K14" s="4" t="n">
        <f aca="false">Assumptions!K19</f>
        <v>45.2</v>
      </c>
      <c r="L14" s="4" t="n">
        <f aca="false">Assumptions!L19</f>
        <v>45.3</v>
      </c>
    </row>
    <row r="15" customFormat="false" ht="15" hidden="false" customHeight="false" outlineLevel="0" collapsed="false">
      <c r="A15" s="0" t="s">
        <v>121</v>
      </c>
      <c r="C15" s="0" t="n">
        <f aca="false">C13-MAX(0,C13)*C14/100</f>
        <v>583.215805728</v>
      </c>
      <c r="D15" s="0" t="n">
        <f aca="false">D13-MAX(0,D13)*D14/100</f>
        <v>583.2024153984</v>
      </c>
      <c r="E15" s="0" t="n">
        <f aca="false">E13-MAX(0,E13)*E14/100</f>
        <v>577.626481298016</v>
      </c>
      <c r="F15" s="0" t="n">
        <f aca="false">F13-MAX(0,F13)*F14/100</f>
        <v>574.361990981509</v>
      </c>
      <c r="G15" s="0" t="n">
        <f aca="false">G13-MAX(0,G13)*G14/100</f>
        <v>570.941361859343</v>
      </c>
      <c r="H15" s="0" t="n">
        <f aca="false">H13-MAX(0,H13)*H14/100</f>
        <v>572.387562719725</v>
      </c>
      <c r="I15" s="0" t="n">
        <f aca="false">I13-MAX(0,I13)*I14/100</f>
        <v>578.86840015994</v>
      </c>
      <c r="J15" s="0" t="n">
        <f aca="false">J13-MAX(0,J13)*J14/100</f>
        <v>586.483150842043</v>
      </c>
      <c r="K15" s="0" t="n">
        <f aca="false">K13-MAX(0,K13)*K14/100</f>
        <v>594.196098654574</v>
      </c>
      <c r="L15" s="0" t="n">
        <f aca="false">L13-MAX(0,L13)*L14/100</f>
        <v>602.008476192542</v>
      </c>
    </row>
    <row r="16" customFormat="false" ht="15" hidden="false" customHeight="false" outlineLevel="0" collapsed="false">
      <c r="A16" s="0" t="s">
        <v>122</v>
      </c>
      <c r="C16" s="0" t="n">
        <f aca="false">-C12</f>
        <v>502.13736</v>
      </c>
      <c r="D16" s="0" t="n">
        <f aca="false">-D12</f>
        <v>512.1801072</v>
      </c>
      <c r="E16" s="0" t="n">
        <f aca="false">-E12</f>
        <v>522.423709344</v>
      </c>
      <c r="F16" s="0" t="n">
        <f aca="false">-F12</f>
        <v>530.26006498416</v>
      </c>
      <c r="G16" s="0" t="n">
        <f aca="false">-G12</f>
        <v>538.213965958923</v>
      </c>
      <c r="H16" s="0" t="n">
        <f aca="false">-H12</f>
        <v>546.287175448306</v>
      </c>
      <c r="I16" s="0" t="n">
        <f aca="false">-I12</f>
        <v>554.481483080031</v>
      </c>
      <c r="J16" s="0" t="n">
        <f aca="false">-J12</f>
        <v>562.798705326231</v>
      </c>
      <c r="K16" s="0" t="n">
        <f aca="false">-K12</f>
        <v>571.240685906124</v>
      </c>
      <c r="L16" s="0" t="n">
        <f aca="false">-L12</f>
        <v>579.809296194716</v>
      </c>
    </row>
    <row r="17" customFormat="false" ht="15" hidden="false" customHeight="false" outlineLevel="0" collapsed="false">
      <c r="A17" s="0" t="s">
        <v>123</v>
      </c>
      <c r="C17" s="4" t="n">
        <f aca="false">-C6*Assumptions!C18/100</f>
        <v>-446.34432</v>
      </c>
      <c r="D17" s="4" t="n">
        <f aca="false">-D6*Assumptions!D18/100</f>
        <v>-455.2712064</v>
      </c>
      <c r="E17" s="4" t="n">
        <f aca="false">-E6*Assumptions!E18/100</f>
        <v>-464.376630528</v>
      </c>
      <c r="F17" s="4" t="n">
        <f aca="false">-F6*Assumptions!F18/100</f>
        <v>-471.34227998592</v>
      </c>
      <c r="G17" s="4" t="n">
        <f aca="false">-G6*Assumptions!G18/100</f>
        <v>-478.412414185709</v>
      </c>
      <c r="H17" s="4" t="n">
        <f aca="false">-H6*Assumptions!H18/100</f>
        <v>-485.588600398494</v>
      </c>
      <c r="I17" s="4" t="n">
        <f aca="false">-I6*Assumptions!I18/100</f>
        <v>-492.872429404472</v>
      </c>
      <c r="J17" s="4" t="n">
        <f aca="false">-J6*Assumptions!J18/100</f>
        <v>-500.265515845539</v>
      </c>
      <c r="K17" s="4" t="n">
        <f aca="false">-K6*Assumptions!K18/100</f>
        <v>-507.769498583222</v>
      </c>
      <c r="L17" s="4" t="n">
        <f aca="false">-L6*Assumptions!L18/100</f>
        <v>-515.38604106197</v>
      </c>
    </row>
    <row r="18" customFormat="false" ht="15" hidden="false" customHeight="false" outlineLevel="0" collapsed="false">
      <c r="A18" s="0" t="s">
        <v>124</v>
      </c>
      <c r="C18" s="4" t="n">
        <f aca="false">(C6-B6)*Assumptions!$B$23/100</f>
        <v>-54.168</v>
      </c>
      <c r="D18" s="4" t="n">
        <f aca="false">(D6-C6)*Assumptions!$B$23/100</f>
        <v>-37.1953600000001</v>
      </c>
      <c r="E18" s="4" t="n">
        <f aca="false">(E6-D6)*Assumptions!$B$23/100</f>
        <v>-37.9392672000002</v>
      </c>
      <c r="F18" s="4" t="n">
        <f aca="false">(F6-E6)*Assumptions!$B$23/100</f>
        <v>-29.0235394079999</v>
      </c>
      <c r="G18" s="4" t="n">
        <f aca="false">(G6-F6)*Assumptions!$B$23/100</f>
        <v>-29.45889249912</v>
      </c>
      <c r="H18" s="4" t="n">
        <f aca="false">(H6-G6)*Assumptions!$B$23/100</f>
        <v>-29.9007758866064</v>
      </c>
      <c r="I18" s="4" t="n">
        <f aca="false">(I6-H6)*Assumptions!$B$23/100</f>
        <v>-30.3492875249056</v>
      </c>
      <c r="J18" s="4" t="n">
        <f aca="false">(J6-I6)*Assumptions!$B$23/100</f>
        <v>-30.8045268377791</v>
      </c>
      <c r="K18" s="4" t="n">
        <f aca="false">(K6-J6)*Assumptions!$B$23/100</f>
        <v>-31.266594740346</v>
      </c>
      <c r="L18" s="4" t="n">
        <f aca="false">(L6-K6)*Assumptions!$B$23/100</f>
        <v>-31.7355936614513</v>
      </c>
    </row>
    <row r="19" customFormat="false" ht="15" hidden="false" customHeight="false" outlineLevel="0" collapsed="false">
      <c r="A19" s="0" t="s">
        <v>125</v>
      </c>
      <c r="C19" s="0" t="n">
        <f aca="false">C15+C16+C17+C18</f>
        <v>584.840845728</v>
      </c>
      <c r="D19" s="0" t="n">
        <f aca="false">D15+D16+D17+D18</f>
        <v>602.9159561984</v>
      </c>
      <c r="E19" s="0" t="n">
        <f aca="false">E15+E16+E17+E18</f>
        <v>597.734292914016</v>
      </c>
      <c r="F19" s="0" t="n">
        <f aca="false">F15+F16+F17+F18</f>
        <v>604.25623657175</v>
      </c>
      <c r="G19" s="0" t="n">
        <f aca="false">G15+G16+G17+G18</f>
        <v>601.284021133437</v>
      </c>
      <c r="H19" s="0" t="n">
        <f aca="false">H15+H16+H17+H18</f>
        <v>603.185361882931</v>
      </c>
      <c r="I19" s="0" t="n">
        <f aca="false">I15+I16+I17+I18</f>
        <v>610.128166310593</v>
      </c>
      <c r="J19" s="0" t="n">
        <f aca="false">J15+J16+J17+J18</f>
        <v>618.211813484957</v>
      </c>
      <c r="K19" s="0" t="n">
        <f aca="false">K15+K16+K17+K18</f>
        <v>626.400691237131</v>
      </c>
      <c r="L19" s="0" t="n">
        <f aca="false">L15+L16+L17+L18</f>
        <v>634.696137663837</v>
      </c>
    </row>
    <row r="20" customFormat="false" ht="15" hidden="false" customHeight="false" outlineLevel="0" collapsed="false">
      <c r="A20" s="0" t="s">
        <v>126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127</v>
      </c>
      <c r="C21" s="0" t="n">
        <f aca="false">C19*C20</f>
        <v>536.551234612844</v>
      </c>
      <c r="D21" s="0" t="n">
        <f aca="false">D19*D20</f>
        <v>507.462297953371</v>
      </c>
      <c r="E21" s="0" t="n">
        <f aca="false">E19*E20</f>
        <v>461.560546454184</v>
      </c>
      <c r="F21" s="0" t="n">
        <f aca="false">F19*F20</f>
        <v>428.070351930803</v>
      </c>
      <c r="G21" s="0" t="n">
        <f aca="false">G19*G20</f>
        <v>390.793357414298</v>
      </c>
      <c r="H21" s="0" t="n">
        <f aca="false">H19*H20</f>
        <v>359.659723342607</v>
      </c>
      <c r="I21" s="0" t="n">
        <f aca="false">I19*I20</f>
        <v>333.761000715353</v>
      </c>
      <c r="J21" s="0" t="n">
        <f aca="false">J19*J20</f>
        <v>310.25966288345</v>
      </c>
      <c r="K21" s="0" t="n">
        <f aca="false">K19*K20</f>
        <v>288.412279353788</v>
      </c>
      <c r="L21" s="0" t="n">
        <f aca="false">L19*L20</f>
        <v>268.102507644159</v>
      </c>
    </row>
    <row r="23" customFormat="false" ht="15" hidden="false" customHeight="false" outlineLevel="0" collapsed="false">
      <c r="A23" s="0" t="s">
        <v>103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128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129</v>
      </c>
    </row>
    <row r="27" customFormat="false" ht="15" hidden="false" customHeight="false" outlineLevel="0" collapsed="false">
      <c r="A27" s="0" t="s">
        <v>107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108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109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130</v>
      </c>
      <c r="B30" s="0" t="n">
        <f aca="false">SUM(C21:L21)</f>
        <v>3884.63296230486</v>
      </c>
    </row>
    <row r="31" customFormat="false" ht="15" hidden="false" customHeight="false" outlineLevel="0" collapsed="false">
      <c r="A31" s="0" t="s">
        <v>131</v>
      </c>
      <c r="B31" s="0" t="n">
        <f aca="false">L19</f>
        <v>634.696137663837</v>
      </c>
    </row>
    <row r="32" customFormat="false" ht="15" hidden="false" customHeight="false" outlineLevel="0" collapsed="false">
      <c r="A32" s="0" t="s">
        <v>132</v>
      </c>
      <c r="B32" s="0" t="n">
        <f aca="false">IF(B27&gt;B28,B31*(1+B28/100)/((B27-B28)/100),B31*B29)</f>
        <v>8589.55439638393</v>
      </c>
    </row>
    <row r="33" customFormat="false" ht="15" hidden="false" customHeight="false" outlineLevel="0" collapsed="false">
      <c r="A33" s="0" t="s">
        <v>133</v>
      </c>
      <c r="B33" s="0" t="n">
        <f aca="false">B31*B29</f>
        <v>7616.35365196604</v>
      </c>
    </row>
    <row r="34" customFormat="false" ht="15" hidden="false" customHeight="false" outlineLevel="0" collapsed="false">
      <c r="A34" s="0" t="s">
        <v>134</v>
      </c>
      <c r="B34" s="0" t="n">
        <f aca="false">MAX(0,MIN(B32,B33))</f>
        <v>7616.35365196604</v>
      </c>
    </row>
    <row r="35" customFormat="false" ht="15" hidden="false" customHeight="false" outlineLevel="0" collapsed="false">
      <c r="A35" s="0" t="s">
        <v>135</v>
      </c>
      <c r="B35" s="0" t="n">
        <f aca="false">B34/(1+B27/100)^L4</f>
        <v>3217.2300917299</v>
      </c>
    </row>
    <row r="36" customFormat="false" ht="15" hidden="false" customHeight="false" outlineLevel="0" collapsed="false">
      <c r="A36" s="0" t="s">
        <v>136</v>
      </c>
      <c r="B36" s="0" t="n">
        <f aca="false">B30+B35</f>
        <v>7101.86305403476</v>
      </c>
    </row>
    <row r="37" customFormat="false" ht="15" hidden="false" customHeight="false" outlineLevel="0" collapsed="false">
      <c r="A37" s="0" t="s">
        <v>137</v>
      </c>
      <c r="B37" s="0" t="n">
        <f aca="false">B36+Assumptions!$B$5-Assumptions!$B$4</f>
        <v>8112.86305403476</v>
      </c>
    </row>
    <row r="38" customFormat="false" ht="15" hidden="false" customHeight="false" outlineLevel="0" collapsed="false">
      <c r="A38" s="0" t="s">
        <v>138</v>
      </c>
      <c r="B38" s="0" t="n">
        <f aca="false">B37/Assumptions!$B$3*Assumptions!$B$10</f>
        <v>21.2443461814586</v>
      </c>
    </row>
    <row r="39" customFormat="false" ht="15" hidden="false" customHeight="false" outlineLevel="0" collapsed="false">
      <c r="A39" s="0" t="s">
        <v>139</v>
      </c>
      <c r="B39" s="4" t="n">
        <f aca="false">B38/Assumptions!$B$2-1</f>
        <v>-0.521846811130799</v>
      </c>
    </row>
    <row r="41" customFormat="false" ht="15" hidden="false" customHeight="false" outlineLevel="0" collapsed="false">
      <c r="A41" s="0" t="s">
        <v>140</v>
      </c>
      <c r="B41" s="0" t="n">
        <f aca="false">SUMPRODUCT(-C10:L10/(1+$B$27/100)^C4:L4)</f>
        <v>561.227534754704</v>
      </c>
    </row>
    <row r="42" customFormat="false" ht="15" hidden="false" customHeight="false" outlineLevel="0" collapsed="false">
      <c r="A42" s="0" t="s">
        <v>141</v>
      </c>
      <c r="B42" s="0" t="n">
        <f aca="false">IF(B27&gt;B28,-L10*(1+B28/100)/((B27-B28)/100),-L10*20)/(1+B27/100)^L4</f>
        <v>521.73520145642</v>
      </c>
    </row>
    <row r="43" customFormat="false" ht="15" hidden="false" customHeight="false" outlineLevel="0" collapsed="false">
      <c r="A43" s="0" t="s">
        <v>142</v>
      </c>
      <c r="B43" s="0" t="n">
        <f aca="false">(B37+B41+B42)/Assumptions!$B$3*Assumptions!$B$10</f>
        <v>24.0801928013824</v>
      </c>
    </row>
    <row r="45" customFormat="false" ht="15" hidden="false" customHeight="false" outlineLevel="0" collapsed="false">
      <c r="A45" s="0" t="s">
        <v>83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143</v>
      </c>
      <c r="B46" s="0" t="n">
        <f aca="false">MAX(0,MIN(IF(B45&gt;B28,B31*(1+B28/100)/((B45-B28)/100),B31*B29),B31*B29))</f>
        <v>4771.97466465774</v>
      </c>
    </row>
    <row r="47" customFormat="false" ht="15" hidden="false" customHeight="false" outlineLevel="0" collapsed="false">
      <c r="A47" s="0" t="s">
        <v>144</v>
      </c>
      <c r="B47" s="0" t="n">
        <f aca="false">(SUMPRODUCT(C19:L19/(1+B45/100)^C4:L4)+B46/(1+B45/100)^L4+Assumptions!$B$5-Assumptions!$B$4)/Assumptions!$B$3*Assumptions!$B$10</f>
        <v>13.6681636074609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145</v>
      </c>
    </row>
    <row r="3" customFormat="false" ht="15" hidden="false" customHeight="false" outlineLevel="0" collapsed="false">
      <c r="A3" s="0" t="s">
        <v>115</v>
      </c>
      <c r="B3" s="0" t="s">
        <v>76</v>
      </c>
      <c r="C3" s="2" t="s">
        <v>90</v>
      </c>
      <c r="D3" s="2" t="s">
        <v>91</v>
      </c>
      <c r="E3" s="2" t="s">
        <v>92</v>
      </c>
      <c r="F3" s="2" t="s">
        <v>93</v>
      </c>
      <c r="G3" s="2" t="s">
        <v>94</v>
      </c>
      <c r="H3" s="2" t="s">
        <v>95</v>
      </c>
      <c r="I3" s="2" t="s">
        <v>96</v>
      </c>
      <c r="J3" s="2" t="s">
        <v>97</v>
      </c>
      <c r="K3" s="2" t="s">
        <v>98</v>
      </c>
      <c r="L3" s="2" t="s">
        <v>99</v>
      </c>
    </row>
    <row r="4" customFormat="false" ht="15" hidden="false" customHeight="false" outlineLevel="0" collapsed="false">
      <c r="A4" s="0" t="s">
        <v>116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100</v>
      </c>
      <c r="C5" s="4" t="n">
        <f aca="false">Assumptions!C27</f>
        <v>6</v>
      </c>
      <c r="D5" s="4" t="n">
        <f aca="false">Assumptions!D27</f>
        <v>5.5</v>
      </c>
      <c r="E5" s="4" t="n">
        <f aca="false">Assumptions!E27</f>
        <v>5</v>
      </c>
      <c r="F5" s="4" t="n">
        <f aca="false">Assumptions!F27</f>
        <v>4.5</v>
      </c>
      <c r="G5" s="4" t="n">
        <f aca="false">Assumptions!G27</f>
        <v>4</v>
      </c>
      <c r="H5" s="4" t="n">
        <f aca="false">Assumptions!H27</f>
        <v>3.5</v>
      </c>
      <c r="I5" s="4" t="n">
        <f aca="false">Assumptions!I27</f>
        <v>3</v>
      </c>
      <c r="J5" s="4" t="n">
        <f aca="false">Assumptions!J27</f>
        <v>3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38</v>
      </c>
      <c r="B6" s="3" t="n">
        <v>9028</v>
      </c>
      <c r="C6" s="0" t="n">
        <f aca="false">B6*(1+C5/100)</f>
        <v>9569.68</v>
      </c>
      <c r="D6" s="0" t="n">
        <f aca="false">C6*(1+D5/100)</f>
        <v>10096.0124</v>
      </c>
      <c r="E6" s="0" t="n">
        <f aca="false">D6*(1+E5/100)</f>
        <v>10600.81302</v>
      </c>
      <c r="F6" s="0" t="n">
        <f aca="false">E6*(1+F5/100)</f>
        <v>11077.8496059</v>
      </c>
      <c r="G6" s="0" t="n">
        <f aca="false">F6*(1+G5/100)</f>
        <v>11520.963590136</v>
      </c>
      <c r="H6" s="0" t="n">
        <f aca="false">G6*(1+H5/100)</f>
        <v>11924.1973157908</v>
      </c>
      <c r="I6" s="0" t="n">
        <f aca="false">H6*(1+I5/100)</f>
        <v>12281.9232352645</v>
      </c>
      <c r="J6" s="0" t="n">
        <f aca="false">I6*(1+J5/100)</f>
        <v>12650.3809323224</v>
      </c>
      <c r="K6" s="0" t="n">
        <f aca="false">J6*(1+K5/100)</f>
        <v>12966.6404556305</v>
      </c>
      <c r="L6" s="0" t="n">
        <f aca="false">K6*(1+L5/100)</f>
        <v>13290.8064670212</v>
      </c>
    </row>
    <row r="7" customFormat="false" ht="15" hidden="false" customHeight="false" outlineLevel="0" collapsed="false">
      <c r="A7" s="0" t="s">
        <v>101</v>
      </c>
      <c r="C7" s="4" t="n">
        <f aca="false">Assumptions!C28</f>
        <v>18.5</v>
      </c>
      <c r="D7" s="4" t="n">
        <f aca="false">Assumptions!D28</f>
        <v>19</v>
      </c>
      <c r="E7" s="4" t="n">
        <f aca="false">Assumptions!E28</f>
        <v>19.4</v>
      </c>
      <c r="F7" s="4" t="n">
        <f aca="false">Assumptions!F28</f>
        <v>19.8</v>
      </c>
      <c r="G7" s="4" t="n">
        <f aca="false">Assumptions!G28</f>
        <v>20.1</v>
      </c>
      <c r="H7" s="4" t="n">
        <f aca="false">Assumptions!H28</f>
        <v>20.4</v>
      </c>
      <c r="I7" s="4" t="n">
        <f aca="false">Assumptions!I28</f>
        <v>20.6</v>
      </c>
      <c r="J7" s="4" t="n">
        <f aca="false">Assumptions!J28</f>
        <v>20.8</v>
      </c>
      <c r="K7" s="4" t="n">
        <f aca="false">Assumptions!K28</f>
        <v>21</v>
      </c>
      <c r="L7" s="4" t="n">
        <f aca="false">Assumptions!L28</f>
        <v>21</v>
      </c>
    </row>
    <row r="8" customFormat="false" ht="15" hidden="false" customHeight="false" outlineLevel="0" collapsed="false">
      <c r="A8" s="0" t="s">
        <v>44</v>
      </c>
      <c r="C8" s="0" t="n">
        <f aca="false">C6*C7/100</f>
        <v>1770.3908</v>
      </c>
      <c r="D8" s="0" t="n">
        <f aca="false">D6*D7/100</f>
        <v>1918.242356</v>
      </c>
      <c r="E8" s="0" t="n">
        <f aca="false">E6*E7/100</f>
        <v>2056.55772588</v>
      </c>
      <c r="F8" s="0" t="n">
        <f aca="false">F6*F7/100</f>
        <v>2193.4142219682</v>
      </c>
      <c r="G8" s="0" t="n">
        <f aca="false">G6*G7/100</f>
        <v>2315.71368161734</v>
      </c>
      <c r="H8" s="0" t="n">
        <f aca="false">H6*H7/100</f>
        <v>2432.53625242131</v>
      </c>
      <c r="I8" s="0" t="n">
        <f aca="false">I6*I7/100</f>
        <v>2530.07618646448</v>
      </c>
      <c r="J8" s="0" t="n">
        <f aca="false">J6*J7/100</f>
        <v>2631.27923392306</v>
      </c>
      <c r="K8" s="0" t="n">
        <f aca="false">K6*K7/100</f>
        <v>2722.9944956824</v>
      </c>
      <c r="L8" s="0" t="n">
        <f aca="false">L6*L7/100</f>
        <v>2791.06935807446</v>
      </c>
    </row>
    <row r="9" customFormat="false" ht="15" hidden="false" customHeight="false" outlineLevel="0" collapsed="false">
      <c r="A9" s="0" t="s">
        <v>102</v>
      </c>
      <c r="C9" s="4" t="n">
        <f aca="false">Assumptions!C29</f>
        <v>0.94</v>
      </c>
      <c r="D9" s="4" t="n">
        <f aca="false">Assumptions!D29</f>
        <v>0.92</v>
      </c>
      <c r="E9" s="4" t="n">
        <f aca="false">Assumptions!E29</f>
        <v>0.9</v>
      </c>
      <c r="F9" s="4" t="n">
        <f aca="false">Assumptions!F29</f>
        <v>0.88</v>
      </c>
      <c r="G9" s="4" t="n">
        <f aca="false">Assumptions!G29</f>
        <v>0.86</v>
      </c>
      <c r="H9" s="4" t="n">
        <f aca="false">Assumptions!H29</f>
        <v>0.85</v>
      </c>
      <c r="I9" s="4" t="n">
        <f aca="false">Assumptions!I29</f>
        <v>0.85</v>
      </c>
      <c r="J9" s="4" t="n">
        <f aca="false">Assumptions!J29</f>
        <v>0.85</v>
      </c>
      <c r="K9" s="4" t="n">
        <f aca="false">Assumptions!K29</f>
        <v>0.85</v>
      </c>
      <c r="L9" s="4" t="n">
        <f aca="false">Assumptions!L29</f>
        <v>0.85</v>
      </c>
    </row>
    <row r="10" customFormat="false" ht="15" hidden="false" customHeight="false" outlineLevel="0" collapsed="false">
      <c r="A10" s="0" t="s">
        <v>117</v>
      </c>
      <c r="C10" s="0" t="n">
        <f aca="false">-C6*C9/100</f>
        <v>-89.954992</v>
      </c>
      <c r="D10" s="0" t="n">
        <f aca="false">-D6*D9/100</f>
        <v>-92.88331408</v>
      </c>
      <c r="E10" s="0" t="n">
        <f aca="false">-E6*E9/100</f>
        <v>-95.40731718</v>
      </c>
      <c r="F10" s="0" t="n">
        <f aca="false">-F6*F9/100</f>
        <v>-97.48507653192</v>
      </c>
      <c r="G10" s="0" t="n">
        <f aca="false">-G6*G9/100</f>
        <v>-99.0802868751696</v>
      </c>
      <c r="H10" s="0" t="n">
        <f aca="false">-H6*H9/100</f>
        <v>-101.355677184221</v>
      </c>
      <c r="I10" s="0" t="n">
        <f aca="false">-I6*I9/100</f>
        <v>-104.396347499748</v>
      </c>
      <c r="J10" s="0" t="n">
        <f aca="false">-J6*J9/100</f>
        <v>-107.528237924741</v>
      </c>
      <c r="K10" s="0" t="n">
        <f aca="false">-K6*K9/100</f>
        <v>-110.216443872859</v>
      </c>
      <c r="L10" s="0" t="n">
        <f aca="false">-L6*L9/100</f>
        <v>-112.971854969681</v>
      </c>
    </row>
    <row r="11" customFormat="false" ht="15" hidden="false" customHeight="false" outlineLevel="0" collapsed="false">
      <c r="A11" s="0" t="s">
        <v>118</v>
      </c>
      <c r="C11" s="0" t="n">
        <f aca="false">C8+C10+C24</f>
        <v>1680.435808</v>
      </c>
      <c r="D11" s="0" t="n">
        <f aca="false">D8+D10+D24</f>
        <v>1825.35904192</v>
      </c>
      <c r="E11" s="0" t="n">
        <f aca="false">E8+E10+E24</f>
        <v>1961.1504087</v>
      </c>
      <c r="F11" s="0" t="n">
        <f aca="false">F8+F10+F24</f>
        <v>2095.92914543628</v>
      </c>
      <c r="G11" s="0" t="n">
        <f aca="false">G8+G10+G24</f>
        <v>2216.63339474217</v>
      </c>
      <c r="H11" s="0" t="n">
        <f aca="false">H8+H10+H24</f>
        <v>2331.18057523709</v>
      </c>
      <c r="I11" s="0" t="n">
        <f aca="false">I8+I10+I24</f>
        <v>2425.67983896474</v>
      </c>
      <c r="J11" s="0" t="n">
        <f aca="false">J8+J10+J24</f>
        <v>2523.75099599832</v>
      </c>
      <c r="K11" s="0" t="n">
        <f aca="false">K8+K10+K24</f>
        <v>2612.77805180954</v>
      </c>
      <c r="L11" s="0" t="n">
        <f aca="false">L8+L10+L24</f>
        <v>2678.09750310478</v>
      </c>
    </row>
    <row r="12" customFormat="false" ht="15" hidden="false" customHeight="false" outlineLevel="0" collapsed="false">
      <c r="A12" s="0" t="s">
        <v>119</v>
      </c>
      <c r="C12" s="4" t="n">
        <f aca="false">-C6*Assumptions!C31/100</f>
        <v>-507.19304</v>
      </c>
      <c r="D12" s="4" t="n">
        <f aca="false">-D6*Assumptions!D31/100</f>
        <v>-524.9926448</v>
      </c>
      <c r="E12" s="4" t="n">
        <f aca="false">-E6*Assumptions!E31/100</f>
        <v>-540.64146402</v>
      </c>
      <c r="F12" s="4" t="n">
        <f aca="false">-F6*Assumptions!F31/100</f>
        <v>-553.892480295</v>
      </c>
      <c r="G12" s="4" t="n">
        <f aca="false">-G6*Assumptions!G31/100</f>
        <v>-576.0481795068</v>
      </c>
      <c r="H12" s="4" t="n">
        <f aca="false">-H6*Assumptions!H31/100</f>
        <v>-596.209865789538</v>
      </c>
      <c r="I12" s="4" t="n">
        <f aca="false">-I6*Assumptions!I31/100</f>
        <v>-614.096161763224</v>
      </c>
      <c r="J12" s="4" t="n">
        <f aca="false">-J6*Assumptions!J31/100</f>
        <v>-632.519046616121</v>
      </c>
      <c r="K12" s="4" t="n">
        <f aca="false">-K6*Assumptions!K31/100</f>
        <v>-648.332022781524</v>
      </c>
      <c r="L12" s="4" t="n">
        <f aca="false">-L6*Assumptions!L31/100</f>
        <v>-664.540323351062</v>
      </c>
    </row>
    <row r="13" customFormat="false" ht="15" hidden="false" customHeight="false" outlineLevel="0" collapsed="false">
      <c r="A13" s="0" t="s">
        <v>120</v>
      </c>
      <c r="C13" s="0" t="n">
        <f aca="false">C11+C12</f>
        <v>1173.242768</v>
      </c>
      <c r="D13" s="0" t="n">
        <f aca="false">D11+D12</f>
        <v>1300.36639712</v>
      </c>
      <c r="E13" s="0" t="n">
        <f aca="false">E11+E12</f>
        <v>1420.50894468</v>
      </c>
      <c r="F13" s="0" t="n">
        <f aca="false">F11+F12</f>
        <v>1542.03666514128</v>
      </c>
      <c r="G13" s="0" t="n">
        <f aca="false">G11+G12</f>
        <v>1640.58521523537</v>
      </c>
      <c r="H13" s="0" t="n">
        <f aca="false">H11+H12</f>
        <v>1734.97070944756</v>
      </c>
      <c r="I13" s="0" t="n">
        <f aca="false">I11+I12</f>
        <v>1811.58367720151</v>
      </c>
      <c r="J13" s="0" t="n">
        <f aca="false">J11+J12</f>
        <v>1891.2319493822</v>
      </c>
      <c r="K13" s="0" t="n">
        <f aca="false">K11+K12</f>
        <v>1964.44602902802</v>
      </c>
      <c r="L13" s="0" t="n">
        <f aca="false">L11+L12</f>
        <v>2013.55717975372</v>
      </c>
    </row>
    <row r="14" customFormat="false" ht="15" hidden="false" customHeight="false" outlineLevel="0" collapsed="false">
      <c r="A14" s="0" t="s">
        <v>106</v>
      </c>
      <c r="C14" s="4" t="n">
        <f aca="false">Assumptions!C33</f>
        <v>43.8</v>
      </c>
      <c r="D14" s="4" t="n">
        <f aca="false">Assumptions!D33</f>
        <v>44</v>
      </c>
      <c r="E14" s="4" t="n">
        <f aca="false">Assumptions!E33</f>
        <v>44.2</v>
      </c>
      <c r="F14" s="4" t="n">
        <f aca="false">Assumptions!F33</f>
        <v>44.4</v>
      </c>
      <c r="G14" s="4" t="n">
        <f aca="false">Assumptions!G33</f>
        <v>44.6</v>
      </c>
      <c r="H14" s="4" t="n">
        <f aca="false">Assumptions!H33</f>
        <v>44.8</v>
      </c>
      <c r="I14" s="4" t="n">
        <f aca="false">Assumptions!I33</f>
        <v>45</v>
      </c>
      <c r="J14" s="4" t="n">
        <f aca="false">Assumptions!J33</f>
        <v>45.1</v>
      </c>
      <c r="K14" s="4" t="n">
        <f aca="false">Assumptions!K33</f>
        <v>45.2</v>
      </c>
      <c r="L14" s="4" t="n">
        <f aca="false">Assumptions!L33</f>
        <v>45.3</v>
      </c>
    </row>
    <row r="15" customFormat="false" ht="15" hidden="false" customHeight="false" outlineLevel="0" collapsed="false">
      <c r="A15" s="0" t="s">
        <v>121</v>
      </c>
      <c r="C15" s="0" t="n">
        <f aca="false">C13-MAX(0,C13)*C14/100</f>
        <v>659.362435616</v>
      </c>
      <c r="D15" s="0" t="n">
        <f aca="false">D13-MAX(0,D13)*D14/100</f>
        <v>728.2051823872</v>
      </c>
      <c r="E15" s="0" t="n">
        <f aca="false">E13-MAX(0,E13)*E14/100</f>
        <v>792.64399113144</v>
      </c>
      <c r="F15" s="0" t="n">
        <f aca="false">F13-MAX(0,F13)*F14/100</f>
        <v>857.372385818552</v>
      </c>
      <c r="G15" s="0" t="n">
        <f aca="false">G13-MAX(0,G13)*G14/100</f>
        <v>908.884209240393</v>
      </c>
      <c r="H15" s="0" t="n">
        <f aca="false">H13-MAX(0,H13)*H14/100</f>
        <v>957.703831615051</v>
      </c>
      <c r="I15" s="0" t="n">
        <f aca="false">I13-MAX(0,I13)*I14/100</f>
        <v>996.371022460831</v>
      </c>
      <c r="J15" s="0" t="n">
        <f aca="false">J13-MAX(0,J13)*J14/100</f>
        <v>1038.28634021083</v>
      </c>
      <c r="K15" s="0" t="n">
        <f aca="false">K13-MAX(0,K13)*K14/100</f>
        <v>1076.51642390735</v>
      </c>
      <c r="L15" s="0" t="n">
        <f aca="false">L13-MAX(0,L13)*L14/100</f>
        <v>1101.41577732528</v>
      </c>
    </row>
    <row r="16" customFormat="false" ht="15" hidden="false" customHeight="false" outlineLevel="0" collapsed="false">
      <c r="A16" s="0" t="s">
        <v>122</v>
      </c>
      <c r="C16" s="0" t="n">
        <f aca="false">-C12</f>
        <v>507.19304</v>
      </c>
      <c r="D16" s="0" t="n">
        <f aca="false">-D12</f>
        <v>524.9926448</v>
      </c>
      <c r="E16" s="0" t="n">
        <f aca="false">-E12</f>
        <v>540.64146402</v>
      </c>
      <c r="F16" s="0" t="n">
        <f aca="false">-F12</f>
        <v>553.892480295</v>
      </c>
      <c r="G16" s="0" t="n">
        <f aca="false">-G12</f>
        <v>576.0481795068</v>
      </c>
      <c r="H16" s="0" t="n">
        <f aca="false">-H12</f>
        <v>596.209865789538</v>
      </c>
      <c r="I16" s="0" t="n">
        <f aca="false">-I12</f>
        <v>614.096161763224</v>
      </c>
      <c r="J16" s="0" t="n">
        <f aca="false">-J12</f>
        <v>632.519046616121</v>
      </c>
      <c r="K16" s="0" t="n">
        <f aca="false">-K12</f>
        <v>648.332022781524</v>
      </c>
      <c r="L16" s="0" t="n">
        <f aca="false">-L12</f>
        <v>664.540323351062</v>
      </c>
    </row>
    <row r="17" customFormat="false" ht="15" hidden="false" customHeight="false" outlineLevel="0" collapsed="false">
      <c r="A17" s="0" t="s">
        <v>123</v>
      </c>
      <c r="C17" s="4" t="n">
        <f aca="false">-C6*Assumptions!C32/100</f>
        <v>-449.77496</v>
      </c>
      <c r="D17" s="4" t="n">
        <f aca="false">-D6*Assumptions!D32/100</f>
        <v>-464.4165704</v>
      </c>
      <c r="E17" s="4" t="n">
        <f aca="false">-E6*Assumptions!E32/100</f>
        <v>-477.0365859</v>
      </c>
      <c r="F17" s="4" t="n">
        <f aca="false">-F6*Assumptions!F32/100</f>
        <v>-498.5032322655</v>
      </c>
      <c r="G17" s="4" t="n">
        <f aca="false">-G6*Assumptions!G32/100</f>
        <v>-518.44336155612</v>
      </c>
      <c r="H17" s="4" t="n">
        <f aca="false">-H6*Assumptions!H32/100</f>
        <v>-536.588879210584</v>
      </c>
      <c r="I17" s="4" t="n">
        <f aca="false">-I6*Assumptions!I32/100</f>
        <v>-552.686545586902</v>
      </c>
      <c r="J17" s="4" t="n">
        <f aca="false">-J6*Assumptions!J32/100</f>
        <v>-569.267141954509</v>
      </c>
      <c r="K17" s="4" t="n">
        <f aca="false">-K6*Assumptions!K32/100</f>
        <v>-583.498820503372</v>
      </c>
      <c r="L17" s="4" t="n">
        <f aca="false">-L6*Assumptions!L32/100</f>
        <v>-598.086291015956</v>
      </c>
    </row>
    <row r="18" customFormat="false" ht="15" hidden="false" customHeight="false" outlineLevel="0" collapsed="false">
      <c r="A18" s="0" t="s">
        <v>124</v>
      </c>
      <c r="C18" s="4" t="n">
        <f aca="false">(C6-B6)*Assumptions!$B$37/100</f>
        <v>-81.252</v>
      </c>
      <c r="D18" s="4" t="n">
        <f aca="false">(D6-C6)*Assumptions!$B$37/100</f>
        <v>-78.9498599999999</v>
      </c>
      <c r="E18" s="4" t="n">
        <f aca="false">(E6-D6)*Assumptions!$B$37/100</f>
        <v>-75.720093</v>
      </c>
      <c r="F18" s="4" t="n">
        <f aca="false">(F6-E6)*Assumptions!$B$37/100</f>
        <v>-71.5554878849999</v>
      </c>
      <c r="G18" s="4" t="n">
        <f aca="false">(G6-F6)*Assumptions!$B$37/100</f>
        <v>-66.4670976354001</v>
      </c>
      <c r="H18" s="4" t="n">
        <f aca="false">(H6-G6)*Assumptions!$B$37/100</f>
        <v>-60.485058848214</v>
      </c>
      <c r="I18" s="4" t="n">
        <f aca="false">(I6-H6)*Assumptions!$B$37/100</f>
        <v>-53.6588879210585</v>
      </c>
      <c r="J18" s="4" t="n">
        <f aca="false">(J6-I6)*Assumptions!$B$37/100</f>
        <v>-55.2686545586902</v>
      </c>
      <c r="K18" s="4" t="n">
        <f aca="false">(K6-J6)*Assumptions!$B$37/100</f>
        <v>-47.4389284962089</v>
      </c>
      <c r="L18" s="4" t="n">
        <f aca="false">(L6-K6)*Assumptions!$B$37/100</f>
        <v>-48.624901708614</v>
      </c>
    </row>
    <row r="19" customFormat="false" ht="15" hidden="false" customHeight="false" outlineLevel="0" collapsed="false">
      <c r="A19" s="0" t="s">
        <v>125</v>
      </c>
      <c r="C19" s="0" t="n">
        <f aca="false">C15+C16+C17+C18</f>
        <v>635.528515616</v>
      </c>
      <c r="D19" s="0" t="n">
        <f aca="false">D15+D16+D17+D18</f>
        <v>709.8313967872</v>
      </c>
      <c r="E19" s="0" t="n">
        <f aca="false">E15+E16+E17+E18</f>
        <v>780.52877625144</v>
      </c>
      <c r="F19" s="0" t="n">
        <f aca="false">F15+F16+F17+F18</f>
        <v>841.206145963052</v>
      </c>
      <c r="G19" s="0" t="n">
        <f aca="false">G15+G16+G17+G18</f>
        <v>900.021929555673</v>
      </c>
      <c r="H19" s="0" t="n">
        <f aca="false">H15+H16+H17+H18</f>
        <v>956.839759345791</v>
      </c>
      <c r="I19" s="0" t="n">
        <f aca="false">I15+I16+I17+I18</f>
        <v>1004.1217507161</v>
      </c>
      <c r="J19" s="0" t="n">
        <f aca="false">J15+J16+J17+J18</f>
        <v>1046.26959031375</v>
      </c>
      <c r="K19" s="0" t="n">
        <f aca="false">K15+K16+K17+K18</f>
        <v>1093.9106976893</v>
      </c>
      <c r="L19" s="0" t="n">
        <f aca="false">L15+L16+L17+L18</f>
        <v>1119.24490795178</v>
      </c>
    </row>
    <row r="20" customFormat="false" ht="15" hidden="false" customHeight="false" outlineLevel="0" collapsed="false">
      <c r="A20" s="0" t="s">
        <v>126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127</v>
      </c>
      <c r="C21" s="0" t="n">
        <f aca="false">C19*C20</f>
        <v>583.053684051376</v>
      </c>
      <c r="D21" s="0" t="n">
        <f aca="false">D19*D20</f>
        <v>597.450885268243</v>
      </c>
      <c r="E21" s="0" t="n">
        <f aca="false">E19*E20</f>
        <v>602.711426733641</v>
      </c>
      <c r="F21" s="0" t="n">
        <f aca="false">F19*F20</f>
        <v>595.931641503215</v>
      </c>
      <c r="G21" s="0" t="n">
        <f aca="false">G19*G20</f>
        <v>584.95250037503</v>
      </c>
      <c r="H21" s="0" t="n">
        <f aca="false">H19*H20</f>
        <v>570.532285556867</v>
      </c>
      <c r="I21" s="0" t="n">
        <f aca="false">I19*I20</f>
        <v>549.288983633729</v>
      </c>
      <c r="J21" s="0" t="n">
        <f aca="false">J19*J20</f>
        <v>525.087426825513</v>
      </c>
      <c r="K21" s="0" t="n">
        <f aca="false">K19*K20</f>
        <v>503.66687352621</v>
      </c>
      <c r="L21" s="0" t="n">
        <f aca="false">L19*L20</f>
        <v>472.7811446818</v>
      </c>
    </row>
    <row r="23" customFormat="false" ht="15" hidden="false" customHeight="false" outlineLevel="0" collapsed="false">
      <c r="A23" s="0" t="s">
        <v>103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128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129</v>
      </c>
    </row>
    <row r="27" customFormat="false" ht="15" hidden="false" customHeight="false" outlineLevel="0" collapsed="false">
      <c r="A27" s="0" t="s">
        <v>107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108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109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130</v>
      </c>
      <c r="B30" s="0" t="n">
        <f aca="false">SUM(C21:L21)</f>
        <v>5585.45685215563</v>
      </c>
    </row>
    <row r="31" customFormat="false" ht="15" hidden="false" customHeight="false" outlineLevel="0" collapsed="false">
      <c r="A31" s="0" t="s">
        <v>131</v>
      </c>
      <c r="B31" s="0" t="n">
        <f aca="false">L19</f>
        <v>1119.24490795178</v>
      </c>
    </row>
    <row r="32" customFormat="false" ht="15" hidden="false" customHeight="false" outlineLevel="0" collapsed="false">
      <c r="A32" s="0" t="s">
        <v>132</v>
      </c>
      <c r="B32" s="0" t="n">
        <f aca="false">IF(B27&gt;B28,B31*(1+B28/100)/((B27-B28)/100),B31*B29)</f>
        <v>17649.631240778</v>
      </c>
    </row>
    <row r="33" customFormat="false" ht="15" hidden="false" customHeight="false" outlineLevel="0" collapsed="false">
      <c r="A33" s="0" t="s">
        <v>133</v>
      </c>
      <c r="B33" s="0" t="n">
        <f aca="false">B31*B29</f>
        <v>16788.6736192766</v>
      </c>
    </row>
    <row r="34" customFormat="false" ht="15" hidden="false" customHeight="false" outlineLevel="0" collapsed="false">
      <c r="A34" s="0" t="s">
        <v>134</v>
      </c>
      <c r="B34" s="0" t="n">
        <f aca="false">MAX(0,MIN(B32,B33))</f>
        <v>16788.6736192766</v>
      </c>
    </row>
    <row r="35" customFormat="false" ht="15" hidden="false" customHeight="false" outlineLevel="0" collapsed="false">
      <c r="A35" s="0" t="s">
        <v>135</v>
      </c>
      <c r="B35" s="0" t="n">
        <f aca="false">B34/(1+B27/100)^L4</f>
        <v>7091.71717022701</v>
      </c>
    </row>
    <row r="36" customFormat="false" ht="15" hidden="false" customHeight="false" outlineLevel="0" collapsed="false">
      <c r="A36" s="0" t="s">
        <v>136</v>
      </c>
      <c r="B36" s="0" t="n">
        <f aca="false">B30+B35</f>
        <v>12677.1740223826</v>
      </c>
    </row>
    <row r="37" customFormat="false" ht="15" hidden="false" customHeight="false" outlineLevel="0" collapsed="false">
      <c r="A37" s="0" t="s">
        <v>137</v>
      </c>
      <c r="B37" s="0" t="n">
        <f aca="false">B36+Assumptions!$B$5-Assumptions!$B$4</f>
        <v>13688.1740223826</v>
      </c>
    </row>
    <row r="38" customFormat="false" ht="15" hidden="false" customHeight="false" outlineLevel="0" collapsed="false">
      <c r="A38" s="0" t="s">
        <v>138</v>
      </c>
      <c r="B38" s="0" t="n">
        <f aca="false">B37/Assumptions!$B$3*Assumptions!$B$10</f>
        <v>35.8438575366959</v>
      </c>
    </row>
    <row r="39" customFormat="false" ht="15" hidden="false" customHeight="false" outlineLevel="0" collapsed="false">
      <c r="A39" s="0" t="s">
        <v>139</v>
      </c>
      <c r="B39" s="4" t="n">
        <f aca="false">B38/Assumptions!$B$2-1</f>
        <v>-0.193251012003244</v>
      </c>
    </row>
    <row r="41" customFormat="false" ht="15" hidden="false" customHeight="false" outlineLevel="0" collapsed="false">
      <c r="A41" s="0" t="s">
        <v>140</v>
      </c>
      <c r="B41" s="0" t="n">
        <f aca="false">SUMPRODUCT(-C10:L10/(1+$B$27/100)^C4:L4)</f>
        <v>637.809268568012</v>
      </c>
    </row>
    <row r="42" customFormat="false" ht="15" hidden="false" customHeight="false" outlineLevel="0" collapsed="false">
      <c r="A42" s="0" t="s">
        <v>141</v>
      </c>
      <c r="B42" s="0" t="n">
        <f aca="false">IF(B27&gt;B28,-L10*(1+B28/100)/((B27-B28)/100),-L10*20)/(1+B27/100)^L4</f>
        <v>752.516088070794</v>
      </c>
    </row>
    <row r="43" customFormat="false" ht="15" hidden="false" customHeight="false" outlineLevel="0" collapsed="false">
      <c r="A43" s="0" t="s">
        <v>142</v>
      </c>
      <c r="B43" s="0" t="n">
        <f aca="false">(B37+B41+B42)/Assumptions!$B$3*Assumptions!$B$10</f>
        <v>39.4845640276806</v>
      </c>
    </row>
    <row r="45" customFormat="false" ht="15" hidden="false" customHeight="false" outlineLevel="0" collapsed="false">
      <c r="A45" s="0" t="s">
        <v>83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143</v>
      </c>
      <c r="B46" s="0" t="n">
        <f aca="false">MAX(0,MIN(IF(B45&gt;B28,B31*(1+B28/100)/((B45-B28)/100),B31*B29),B31*B29))</f>
        <v>9177.80824520456</v>
      </c>
    </row>
    <row r="47" customFormat="false" ht="15" hidden="false" customHeight="false" outlineLevel="0" collapsed="false">
      <c r="A47" s="0" t="s">
        <v>144</v>
      </c>
      <c r="B47" s="0" t="n">
        <f aca="false">(SUMPRODUCT(C19:L19/(1+B45/100)^C4:L4)+B46/(1+B45/100)^L4+Assumptions!$B$5-Assumptions!$B$4)/Assumptions!$B$3*Assumptions!$B$10</f>
        <v>19.7217911897021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146</v>
      </c>
    </row>
    <row r="3" customFormat="false" ht="15" hidden="false" customHeight="false" outlineLevel="0" collapsed="false">
      <c r="A3" s="0" t="s">
        <v>115</v>
      </c>
      <c r="B3" s="0" t="s">
        <v>76</v>
      </c>
      <c r="C3" s="2" t="s">
        <v>90</v>
      </c>
      <c r="D3" s="2" t="s">
        <v>91</v>
      </c>
      <c r="E3" s="2" t="s">
        <v>92</v>
      </c>
      <c r="F3" s="2" t="s">
        <v>93</v>
      </c>
      <c r="G3" s="2" t="s">
        <v>94</v>
      </c>
      <c r="H3" s="2" t="s">
        <v>95</v>
      </c>
      <c r="I3" s="2" t="s">
        <v>96</v>
      </c>
      <c r="J3" s="2" t="s">
        <v>97</v>
      </c>
      <c r="K3" s="2" t="s">
        <v>98</v>
      </c>
      <c r="L3" s="2" t="s">
        <v>99</v>
      </c>
    </row>
    <row r="4" customFormat="false" ht="15" hidden="false" customHeight="false" outlineLevel="0" collapsed="false">
      <c r="A4" s="0" t="s">
        <v>116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100</v>
      </c>
      <c r="C5" s="4" t="n">
        <f aca="false">Assumptions!C41</f>
        <v>8</v>
      </c>
      <c r="D5" s="4" t="n">
        <f aca="false">Assumptions!D41</f>
        <v>7.5</v>
      </c>
      <c r="E5" s="4" t="n">
        <f aca="false">Assumptions!E41</f>
        <v>7</v>
      </c>
      <c r="F5" s="4" t="n">
        <f aca="false">Assumptions!F41</f>
        <v>6.5</v>
      </c>
      <c r="G5" s="4" t="n">
        <f aca="false">Assumptions!G41</f>
        <v>6</v>
      </c>
      <c r="H5" s="4" t="n">
        <f aca="false">Assumptions!H41</f>
        <v>5</v>
      </c>
      <c r="I5" s="4" t="n">
        <f aca="false">Assumptions!I41</f>
        <v>4.5</v>
      </c>
      <c r="J5" s="4" t="n">
        <f aca="false">Assumptions!J41</f>
        <v>4</v>
      </c>
      <c r="K5" s="4" t="n">
        <f aca="false">Assumptions!K41</f>
        <v>3.5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38</v>
      </c>
      <c r="B6" s="3" t="n">
        <v>9028</v>
      </c>
      <c r="C6" s="0" t="n">
        <f aca="false">B6*(1+C5/100)</f>
        <v>9750.24</v>
      </c>
      <c r="D6" s="0" t="n">
        <f aca="false">C6*(1+D5/100)</f>
        <v>10481.508</v>
      </c>
      <c r="E6" s="0" t="n">
        <f aca="false">D6*(1+E5/100)</f>
        <v>11215.21356</v>
      </c>
      <c r="F6" s="0" t="n">
        <f aca="false">E6*(1+F5/100)</f>
        <v>11944.2024414</v>
      </c>
      <c r="G6" s="0" t="n">
        <f aca="false">F6*(1+G5/100)</f>
        <v>12660.854587884</v>
      </c>
      <c r="H6" s="0" t="n">
        <f aca="false">G6*(1+H5/100)</f>
        <v>13293.8973172782</v>
      </c>
      <c r="I6" s="0" t="n">
        <f aca="false">H6*(1+I5/100)</f>
        <v>13892.1226965557</v>
      </c>
      <c r="J6" s="0" t="n">
        <f aca="false">I6*(1+J5/100)</f>
        <v>14447.8076044179</v>
      </c>
      <c r="K6" s="0" t="n">
        <f aca="false">J6*(1+K5/100)</f>
        <v>14953.4808705726</v>
      </c>
      <c r="L6" s="0" t="n">
        <f aca="false">K6*(1+L5/100)</f>
        <v>15402.0852966898</v>
      </c>
    </row>
    <row r="7" customFormat="false" ht="15" hidden="false" customHeight="false" outlineLevel="0" collapsed="false">
      <c r="A7" s="0" t="s">
        <v>101</v>
      </c>
      <c r="C7" s="4" t="n">
        <f aca="false">Assumptions!C42</f>
        <v>19</v>
      </c>
      <c r="D7" s="4" t="n">
        <f aca="false">Assumptions!D42</f>
        <v>20</v>
      </c>
      <c r="E7" s="4" t="n">
        <f aca="false">Assumptions!E42</f>
        <v>21</v>
      </c>
      <c r="F7" s="4" t="n">
        <f aca="false">Assumptions!F42</f>
        <v>21.8</v>
      </c>
      <c r="G7" s="4" t="n">
        <f aca="false">Assumptions!G42</f>
        <v>22.5</v>
      </c>
      <c r="H7" s="4" t="n">
        <f aca="false">Assumptions!H42</f>
        <v>23</v>
      </c>
      <c r="I7" s="4" t="n">
        <f aca="false">Assumptions!I42</f>
        <v>23.4</v>
      </c>
      <c r="J7" s="4" t="n">
        <f aca="false">Assumptions!J42</f>
        <v>23.7</v>
      </c>
      <c r="K7" s="4" t="n">
        <f aca="false">Assumptions!K42</f>
        <v>24</v>
      </c>
      <c r="L7" s="4" t="n">
        <f aca="false">Assumptions!L42</f>
        <v>24</v>
      </c>
    </row>
    <row r="8" customFormat="false" ht="15" hidden="false" customHeight="false" outlineLevel="0" collapsed="false">
      <c r="A8" s="0" t="s">
        <v>44</v>
      </c>
      <c r="C8" s="0" t="n">
        <f aca="false">C6*C7/100</f>
        <v>1852.5456</v>
      </c>
      <c r="D8" s="0" t="n">
        <f aca="false">D6*D7/100</f>
        <v>2096.3016</v>
      </c>
      <c r="E8" s="0" t="n">
        <f aca="false">E6*E7/100</f>
        <v>2355.1948476</v>
      </c>
      <c r="F8" s="0" t="n">
        <f aca="false">F6*F7/100</f>
        <v>2603.8361322252</v>
      </c>
      <c r="G8" s="0" t="n">
        <f aca="false">G6*G7/100</f>
        <v>2848.6922822739</v>
      </c>
      <c r="H8" s="0" t="n">
        <f aca="false">H6*H7/100</f>
        <v>3057.59638297399</v>
      </c>
      <c r="I8" s="0" t="n">
        <f aca="false">I6*I7/100</f>
        <v>3250.75671099404</v>
      </c>
      <c r="J8" s="0" t="n">
        <f aca="false">J6*J7/100</f>
        <v>3424.13040224705</v>
      </c>
      <c r="K8" s="0" t="n">
        <f aca="false">K6*K7/100</f>
        <v>3588.83540893742</v>
      </c>
      <c r="L8" s="0" t="n">
        <f aca="false">L6*L7/100</f>
        <v>3696.50047120554</v>
      </c>
    </row>
    <row r="9" customFormat="false" ht="15" hidden="false" customHeight="false" outlineLevel="0" collapsed="false">
      <c r="A9" s="0" t="s">
        <v>102</v>
      </c>
      <c r="C9" s="4" t="n">
        <f aca="false">Assumptions!C43</f>
        <v>0.94</v>
      </c>
      <c r="D9" s="4" t="n">
        <f aca="false">Assumptions!D43</f>
        <v>0.92</v>
      </c>
      <c r="E9" s="4" t="n">
        <f aca="false">Assumptions!E43</f>
        <v>0.9</v>
      </c>
      <c r="F9" s="4" t="n">
        <f aca="false">Assumptions!F43</f>
        <v>0.88</v>
      </c>
      <c r="G9" s="4" t="n">
        <f aca="false">Assumptions!G43</f>
        <v>0.86</v>
      </c>
      <c r="H9" s="4" t="n">
        <f aca="false">Assumptions!H43</f>
        <v>0.85</v>
      </c>
      <c r="I9" s="4" t="n">
        <f aca="false">Assumptions!I43</f>
        <v>0.85</v>
      </c>
      <c r="J9" s="4" t="n">
        <f aca="false">Assumptions!J43</f>
        <v>0.85</v>
      </c>
      <c r="K9" s="4" t="n">
        <f aca="false">Assumptions!K43</f>
        <v>0.85</v>
      </c>
      <c r="L9" s="4" t="n">
        <f aca="false">Assumptions!L43</f>
        <v>0.85</v>
      </c>
    </row>
    <row r="10" customFormat="false" ht="15" hidden="false" customHeight="false" outlineLevel="0" collapsed="false">
      <c r="A10" s="0" t="s">
        <v>117</v>
      </c>
      <c r="C10" s="0" t="n">
        <f aca="false">-C6*C9/100</f>
        <v>-91.652256</v>
      </c>
      <c r="D10" s="0" t="n">
        <f aca="false">-D6*D9/100</f>
        <v>-96.4298736</v>
      </c>
      <c r="E10" s="0" t="n">
        <f aca="false">-E6*E9/100</f>
        <v>-100.93692204</v>
      </c>
      <c r="F10" s="0" t="n">
        <f aca="false">-F6*F9/100</f>
        <v>-105.10898148432</v>
      </c>
      <c r="G10" s="0" t="n">
        <f aca="false">-G6*G9/100</f>
        <v>-108.883349455802</v>
      </c>
      <c r="H10" s="0" t="n">
        <f aca="false">-H6*H9/100</f>
        <v>-112.998127196865</v>
      </c>
      <c r="I10" s="0" t="n">
        <f aca="false">-I6*I9/100</f>
        <v>-118.083042920724</v>
      </c>
      <c r="J10" s="0" t="n">
        <f aca="false">-J6*J9/100</f>
        <v>-122.806364637553</v>
      </c>
      <c r="K10" s="0" t="n">
        <f aca="false">-K6*K9/100</f>
        <v>-127.104587399867</v>
      </c>
      <c r="L10" s="0" t="n">
        <f aca="false">-L6*L9/100</f>
        <v>-130.917725021863</v>
      </c>
    </row>
    <row r="11" customFormat="false" ht="15" hidden="false" customHeight="false" outlineLevel="0" collapsed="false">
      <c r="A11" s="0" t="s">
        <v>118</v>
      </c>
      <c r="C11" s="0" t="n">
        <f aca="false">C8+C10+C24</f>
        <v>1760.893344</v>
      </c>
      <c r="D11" s="0" t="n">
        <f aca="false">D8+D10+D24</f>
        <v>1999.8717264</v>
      </c>
      <c r="E11" s="0" t="n">
        <f aca="false">E8+E10+E24</f>
        <v>2254.25792556</v>
      </c>
      <c r="F11" s="0" t="n">
        <f aca="false">F8+F10+F24</f>
        <v>2498.72715074088</v>
      </c>
      <c r="G11" s="0" t="n">
        <f aca="false">G8+G10+G24</f>
        <v>2739.8089328181</v>
      </c>
      <c r="H11" s="0" t="n">
        <f aca="false">H8+H10+H24</f>
        <v>2944.59825577712</v>
      </c>
      <c r="I11" s="0" t="n">
        <f aca="false">I8+I10+I24</f>
        <v>3132.67366807331</v>
      </c>
      <c r="J11" s="0" t="n">
        <f aca="false">J8+J10+J24</f>
        <v>3301.3240376095</v>
      </c>
      <c r="K11" s="0" t="n">
        <f aca="false">K8+K10+K24</f>
        <v>3461.73082153755</v>
      </c>
      <c r="L11" s="0" t="n">
        <f aca="false">L8+L10+L24</f>
        <v>3565.58274618368</v>
      </c>
    </row>
    <row r="12" customFormat="false" ht="15" hidden="false" customHeight="false" outlineLevel="0" collapsed="false">
      <c r="A12" s="0" t="s">
        <v>119</v>
      </c>
      <c r="C12" s="4" t="n">
        <f aca="false">-C6*Assumptions!C45/100</f>
        <v>-516.76272</v>
      </c>
      <c r="D12" s="4" t="n">
        <f aca="false">-D6*Assumptions!D45/100</f>
        <v>-545.038416</v>
      </c>
      <c r="E12" s="4" t="n">
        <f aca="false">-E6*Assumptions!E45/100</f>
        <v>-571.97589156</v>
      </c>
      <c r="F12" s="4" t="n">
        <f aca="false">-F6*Assumptions!F45/100</f>
        <v>-597.21012207</v>
      </c>
      <c r="G12" s="4" t="n">
        <f aca="false">-G6*Assumptions!G45/100</f>
        <v>-633.0427293942</v>
      </c>
      <c r="H12" s="4" t="n">
        <f aca="false">-H6*Assumptions!H45/100</f>
        <v>-664.69486586391</v>
      </c>
      <c r="I12" s="4" t="n">
        <f aca="false">-I6*Assumptions!I45/100</f>
        <v>-694.606134827786</v>
      </c>
      <c r="J12" s="4" t="n">
        <f aca="false">-J6*Assumptions!J45/100</f>
        <v>-722.390380220897</v>
      </c>
      <c r="K12" s="4" t="n">
        <f aca="false">-K6*Assumptions!K45/100</f>
        <v>-747.674043528629</v>
      </c>
      <c r="L12" s="4" t="n">
        <f aca="false">-L6*Assumptions!L45/100</f>
        <v>-770.104264834488</v>
      </c>
    </row>
    <row r="13" customFormat="false" ht="15" hidden="false" customHeight="false" outlineLevel="0" collapsed="false">
      <c r="A13" s="0" t="s">
        <v>120</v>
      </c>
      <c r="C13" s="0" t="n">
        <f aca="false">C11+C12</f>
        <v>1244.130624</v>
      </c>
      <c r="D13" s="0" t="n">
        <f aca="false">D11+D12</f>
        <v>1454.8333104</v>
      </c>
      <c r="E13" s="0" t="n">
        <f aca="false">E11+E12</f>
        <v>1682.282034</v>
      </c>
      <c r="F13" s="0" t="n">
        <f aca="false">F11+F12</f>
        <v>1901.51702867088</v>
      </c>
      <c r="G13" s="0" t="n">
        <f aca="false">G11+G12</f>
        <v>2106.7662034239</v>
      </c>
      <c r="H13" s="0" t="n">
        <f aca="false">H11+H12</f>
        <v>2279.90338991321</v>
      </c>
      <c r="I13" s="0" t="n">
        <f aca="false">I11+I12</f>
        <v>2438.06753324553</v>
      </c>
      <c r="J13" s="0" t="n">
        <f aca="false">J11+J12</f>
        <v>2578.9336573886</v>
      </c>
      <c r="K13" s="0" t="n">
        <f aca="false">K11+K12</f>
        <v>2714.05677800892</v>
      </c>
      <c r="L13" s="0" t="n">
        <f aca="false">L11+L12</f>
        <v>2795.47848134919</v>
      </c>
    </row>
    <row r="14" customFormat="false" ht="15" hidden="false" customHeight="false" outlineLevel="0" collapsed="false">
      <c r="A14" s="0" t="s">
        <v>106</v>
      </c>
      <c r="C14" s="4" t="n">
        <f aca="false">Assumptions!C47</f>
        <v>43.8</v>
      </c>
      <c r="D14" s="4" t="n">
        <f aca="false">Assumptions!D47</f>
        <v>44.2</v>
      </c>
      <c r="E14" s="4" t="n">
        <f aca="false">Assumptions!E47</f>
        <v>44.6</v>
      </c>
      <c r="F14" s="4" t="n">
        <f aca="false">Assumptions!F47</f>
        <v>45</v>
      </c>
      <c r="G14" s="4" t="n">
        <f aca="false">Assumptions!G47</f>
        <v>45.4</v>
      </c>
      <c r="H14" s="4" t="n">
        <f aca="false">Assumptions!H47</f>
        <v>45.8</v>
      </c>
      <c r="I14" s="4" t="n">
        <f aca="false">Assumptions!I47</f>
        <v>46.1</v>
      </c>
      <c r="J14" s="4" t="n">
        <f aca="false">Assumptions!J47</f>
        <v>46.4</v>
      </c>
      <c r="K14" s="4" t="n">
        <f aca="false">Assumptions!K47</f>
        <v>46.6</v>
      </c>
      <c r="L14" s="4" t="n">
        <f aca="false">Assumptions!L47</f>
        <v>46.7</v>
      </c>
    </row>
    <row r="15" customFormat="false" ht="15" hidden="false" customHeight="false" outlineLevel="0" collapsed="false">
      <c r="A15" s="0" t="s">
        <v>121</v>
      </c>
      <c r="C15" s="0" t="n">
        <f aca="false">C13-MAX(0,C13)*C14/100</f>
        <v>699.201410688</v>
      </c>
      <c r="D15" s="0" t="n">
        <f aca="false">D13-MAX(0,D13)*D14/100</f>
        <v>811.7969872032</v>
      </c>
      <c r="E15" s="0" t="n">
        <f aca="false">E13-MAX(0,E13)*E14/100</f>
        <v>931.984246836</v>
      </c>
      <c r="F15" s="0" t="n">
        <f aca="false">F13-MAX(0,F13)*F14/100</f>
        <v>1045.83436576898</v>
      </c>
      <c r="G15" s="0" t="n">
        <f aca="false">G13-MAX(0,G13)*G14/100</f>
        <v>1150.29434706945</v>
      </c>
      <c r="H15" s="0" t="n">
        <f aca="false">H13-MAX(0,H13)*H14/100</f>
        <v>1235.70763733296</v>
      </c>
      <c r="I15" s="0" t="n">
        <f aca="false">I13-MAX(0,I13)*I14/100</f>
        <v>1314.11840041934</v>
      </c>
      <c r="J15" s="0" t="n">
        <f aca="false">J13-MAX(0,J13)*J14/100</f>
        <v>1382.30844036029</v>
      </c>
      <c r="K15" s="0" t="n">
        <f aca="false">K13-MAX(0,K13)*K14/100</f>
        <v>1449.30631945676</v>
      </c>
      <c r="L15" s="0" t="n">
        <f aca="false">L13-MAX(0,L13)*L14/100</f>
        <v>1489.99003055912</v>
      </c>
    </row>
    <row r="16" customFormat="false" ht="15" hidden="false" customHeight="false" outlineLevel="0" collapsed="false">
      <c r="A16" s="0" t="s">
        <v>122</v>
      </c>
      <c r="C16" s="0" t="n">
        <f aca="false">-C12</f>
        <v>516.76272</v>
      </c>
      <c r="D16" s="0" t="n">
        <f aca="false">-D12</f>
        <v>545.038416</v>
      </c>
      <c r="E16" s="0" t="n">
        <f aca="false">-E12</f>
        <v>571.97589156</v>
      </c>
      <c r="F16" s="0" t="n">
        <f aca="false">-F12</f>
        <v>597.21012207</v>
      </c>
      <c r="G16" s="0" t="n">
        <f aca="false">-G12</f>
        <v>633.0427293942</v>
      </c>
      <c r="H16" s="0" t="n">
        <f aca="false">-H12</f>
        <v>664.69486586391</v>
      </c>
      <c r="I16" s="0" t="n">
        <f aca="false">-I12</f>
        <v>694.606134827786</v>
      </c>
      <c r="J16" s="0" t="n">
        <f aca="false">-J12</f>
        <v>722.390380220897</v>
      </c>
      <c r="K16" s="0" t="n">
        <f aca="false">-K12</f>
        <v>747.674043528629</v>
      </c>
      <c r="L16" s="0" t="n">
        <f aca="false">-L12</f>
        <v>770.104264834488</v>
      </c>
    </row>
    <row r="17" customFormat="false" ht="15" hidden="false" customHeight="false" outlineLevel="0" collapsed="false">
      <c r="A17" s="0" t="s">
        <v>123</v>
      </c>
      <c r="C17" s="4" t="n">
        <f aca="false">-C6*Assumptions!C46/100</f>
        <v>-458.26128</v>
      </c>
      <c r="D17" s="4" t="n">
        <f aca="false">-D6*Assumptions!D46/100</f>
        <v>-482.149368</v>
      </c>
      <c r="E17" s="4" t="n">
        <f aca="false">-E6*Assumptions!E46/100</f>
        <v>-504.6846102</v>
      </c>
      <c r="F17" s="4" t="n">
        <f aca="false">-F6*Assumptions!F46/100</f>
        <v>-537.489109863</v>
      </c>
      <c r="G17" s="4" t="n">
        <f aca="false">-G6*Assumptions!G46/100</f>
        <v>-569.73845645478</v>
      </c>
      <c r="H17" s="4" t="n">
        <f aca="false">-H6*Assumptions!H46/100</f>
        <v>-598.225379277519</v>
      </c>
      <c r="I17" s="4" t="n">
        <f aca="false">-I6*Assumptions!I46/100</f>
        <v>-625.145521345007</v>
      </c>
      <c r="J17" s="4" t="n">
        <f aca="false">-J6*Assumptions!J46/100</f>
        <v>-650.151342198808</v>
      </c>
      <c r="K17" s="4" t="n">
        <f aca="false">-K6*Assumptions!K46/100</f>
        <v>-672.906639175766</v>
      </c>
      <c r="L17" s="4" t="n">
        <f aca="false">-L6*Assumptions!L46/100</f>
        <v>-693.093838351039</v>
      </c>
    </row>
    <row r="18" customFormat="false" ht="15" hidden="false" customHeight="false" outlineLevel="0" collapsed="false">
      <c r="A18" s="0" t="s">
        <v>124</v>
      </c>
      <c r="C18" s="4" t="n">
        <f aca="false">(C6-B6)*Assumptions!$B$51/100</f>
        <v>-72.224</v>
      </c>
      <c r="D18" s="4" t="n">
        <f aca="false">(D6-C6)*Assumptions!$B$51/100</f>
        <v>-73.1268</v>
      </c>
      <c r="E18" s="4" t="n">
        <f aca="false">(E6-D6)*Assumptions!$B$51/100</f>
        <v>-73.370556</v>
      </c>
      <c r="F18" s="4" t="n">
        <f aca="false">(F6-E6)*Assumptions!$B$51/100</f>
        <v>-72.8988881399999</v>
      </c>
      <c r="G18" s="4" t="n">
        <f aca="false">(G6-F6)*Assumptions!$B$51/100</f>
        <v>-71.6652146484001</v>
      </c>
      <c r="H18" s="4" t="n">
        <f aca="false">(H6-G6)*Assumptions!$B$51/100</f>
        <v>-63.3042729394201</v>
      </c>
      <c r="I18" s="4" t="n">
        <f aca="false">(I6-H6)*Assumptions!$B$51/100</f>
        <v>-59.8225379277517</v>
      </c>
      <c r="J18" s="4" t="n">
        <f aca="false">(J6-I6)*Assumptions!$B$51/100</f>
        <v>-55.5684907862229</v>
      </c>
      <c r="K18" s="4" t="n">
        <f aca="false">(K6-J6)*Assumptions!$B$51/100</f>
        <v>-50.5673266154627</v>
      </c>
      <c r="L18" s="4" t="n">
        <f aca="false">(L6-K6)*Assumptions!$B$51/100</f>
        <v>-44.8604426117177</v>
      </c>
    </row>
    <row r="19" customFormat="false" ht="15" hidden="false" customHeight="false" outlineLevel="0" collapsed="false">
      <c r="A19" s="0" t="s">
        <v>125</v>
      </c>
      <c r="C19" s="0" t="n">
        <f aca="false">C15+C16+C17+C18</f>
        <v>685.478850688</v>
      </c>
      <c r="D19" s="0" t="n">
        <f aca="false">D15+D16+D17+D18</f>
        <v>801.5592352032</v>
      </c>
      <c r="E19" s="0" t="n">
        <f aca="false">E15+E16+E17+E18</f>
        <v>925.904972196</v>
      </c>
      <c r="F19" s="0" t="n">
        <f aca="false">F15+F16+F17+F18</f>
        <v>1032.65648983598</v>
      </c>
      <c r="G19" s="0" t="n">
        <f aca="false">G15+G16+G17+G18</f>
        <v>1141.93340536047</v>
      </c>
      <c r="H19" s="0" t="n">
        <f aca="false">H15+H16+H17+H18</f>
        <v>1238.87285097993</v>
      </c>
      <c r="I19" s="0" t="n">
        <f aca="false">I15+I16+I17+I18</f>
        <v>1323.75647597437</v>
      </c>
      <c r="J19" s="0" t="n">
        <f aca="false">J15+J16+J17+J18</f>
        <v>1398.97898759616</v>
      </c>
      <c r="K19" s="0" t="n">
        <f aca="false">K15+K16+K17+K18</f>
        <v>1473.50639719416</v>
      </c>
      <c r="L19" s="0" t="n">
        <f aca="false">L15+L16+L17+L18</f>
        <v>1522.14001443085</v>
      </c>
    </row>
    <row r="20" customFormat="false" ht="15" hidden="false" customHeight="false" outlineLevel="0" collapsed="false">
      <c r="A20" s="0" t="s">
        <v>126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127</v>
      </c>
      <c r="C21" s="0" t="n">
        <f aca="false">C19*C20</f>
        <v>628.879679530275</v>
      </c>
      <c r="D21" s="0" t="n">
        <f aca="false">D19*D20</f>
        <v>674.656371688579</v>
      </c>
      <c r="E21" s="0" t="n">
        <f aca="false">E19*E20</f>
        <v>714.96852363615</v>
      </c>
      <c r="F21" s="0" t="n">
        <f aca="false">F19*F20</f>
        <v>731.559891769902</v>
      </c>
      <c r="G21" s="0" t="n">
        <f aca="false">G19*G20</f>
        <v>742.178361206319</v>
      </c>
      <c r="H21" s="0" t="n">
        <f aca="false">H19*H20</f>
        <v>738.699403197037</v>
      </c>
      <c r="I21" s="0" t="n">
        <f aca="false">I19*I20</f>
        <v>724.140124191088</v>
      </c>
      <c r="J21" s="0" t="n">
        <f aca="false">J19*J20</f>
        <v>702.100379845259</v>
      </c>
      <c r="K21" s="0" t="n">
        <f aca="false">K19*K20</f>
        <v>678.443278563174</v>
      </c>
      <c r="L21" s="0" t="n">
        <f aca="false">L19*L20</f>
        <v>642.96839170395</v>
      </c>
    </row>
    <row r="23" customFormat="false" ht="15" hidden="false" customHeight="false" outlineLevel="0" collapsed="false">
      <c r="A23" s="0" t="s">
        <v>103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128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129</v>
      </c>
    </row>
    <row r="27" customFormat="false" ht="15" hidden="false" customHeight="false" outlineLevel="0" collapsed="false">
      <c r="A27" s="0" t="s">
        <v>107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108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109</v>
      </c>
      <c r="B29" s="4" t="n">
        <f aca="false">Assumptions!$B$50</f>
        <v>17</v>
      </c>
    </row>
    <row r="30" customFormat="false" ht="15" hidden="false" customHeight="false" outlineLevel="0" collapsed="false">
      <c r="A30" s="0" t="s">
        <v>130</v>
      </c>
      <c r="B30" s="0" t="n">
        <f aca="false">SUM(C21:L21)</f>
        <v>6978.59440533173</v>
      </c>
    </row>
    <row r="31" customFormat="false" ht="15" hidden="false" customHeight="false" outlineLevel="0" collapsed="false">
      <c r="A31" s="0" t="s">
        <v>131</v>
      </c>
      <c r="B31" s="0" t="n">
        <f aca="false">L19</f>
        <v>1522.14001443085</v>
      </c>
    </row>
    <row r="32" customFormat="false" ht="15" hidden="false" customHeight="false" outlineLevel="0" collapsed="false">
      <c r="A32" s="0" t="s">
        <v>132</v>
      </c>
      <c r="B32" s="0" t="n">
        <f aca="false">IF(B27&gt;B28,B31*(1+B28/100)/((B27-B28)/100),B31*B29)</f>
        <v>26130.0702477296</v>
      </c>
    </row>
    <row r="33" customFormat="false" ht="15" hidden="false" customHeight="false" outlineLevel="0" collapsed="false">
      <c r="A33" s="0" t="s">
        <v>133</v>
      </c>
      <c r="B33" s="0" t="n">
        <f aca="false">B31*B29</f>
        <v>25876.3802453244</v>
      </c>
    </row>
    <row r="34" customFormat="false" ht="15" hidden="false" customHeight="false" outlineLevel="0" collapsed="false">
      <c r="A34" s="0" t="s">
        <v>134</v>
      </c>
      <c r="B34" s="0" t="n">
        <f aca="false">MAX(0,MIN(B32,B33))</f>
        <v>25876.3802453244</v>
      </c>
    </row>
    <row r="35" customFormat="false" ht="15" hidden="false" customHeight="false" outlineLevel="0" collapsed="false">
      <c r="A35" s="0" t="s">
        <v>135</v>
      </c>
      <c r="B35" s="0" t="n">
        <f aca="false">B34/(1+B27/100)^L4</f>
        <v>10930.4626589672</v>
      </c>
    </row>
    <row r="36" customFormat="false" ht="15" hidden="false" customHeight="false" outlineLevel="0" collapsed="false">
      <c r="A36" s="0" t="s">
        <v>136</v>
      </c>
      <c r="B36" s="0" t="n">
        <f aca="false">B30+B35</f>
        <v>17909.0570642989</v>
      </c>
    </row>
    <row r="37" customFormat="false" ht="15" hidden="false" customHeight="false" outlineLevel="0" collapsed="false">
      <c r="A37" s="0" t="s">
        <v>137</v>
      </c>
      <c r="B37" s="0" t="n">
        <f aca="false">B36+Assumptions!$B$5-Assumptions!$B$4</f>
        <v>18920.0570642989</v>
      </c>
    </row>
    <row r="38" customFormat="false" ht="15" hidden="false" customHeight="false" outlineLevel="0" collapsed="false">
      <c r="A38" s="0" t="s">
        <v>138</v>
      </c>
      <c r="B38" s="0" t="n">
        <f aca="false">B37/Assumptions!$B$3*Assumptions!$B$10</f>
        <v>49.5440683972865</v>
      </c>
    </row>
    <row r="39" customFormat="false" ht="15" hidden="false" customHeight="false" outlineLevel="0" collapsed="false">
      <c r="A39" s="0" t="s">
        <v>139</v>
      </c>
      <c r="B39" s="4" t="n">
        <f aca="false">B38/Assumptions!$B$2-1</f>
        <v>0.115103947721957</v>
      </c>
    </row>
    <row r="41" customFormat="false" ht="15" hidden="false" customHeight="false" outlineLevel="0" collapsed="false">
      <c r="A41" s="0" t="s">
        <v>140</v>
      </c>
      <c r="B41" s="0" t="n">
        <f aca="false">SUMPRODUCT(-C10:L10/(1+$B$27/100)^C4:L4)</f>
        <v>695.846593877493</v>
      </c>
    </row>
    <row r="42" customFormat="false" ht="15" hidden="false" customHeight="false" outlineLevel="0" collapsed="false">
      <c r="A42" s="0" t="s">
        <v>141</v>
      </c>
      <c r="B42" s="0" t="n">
        <f aca="false">IF(B27&gt;B28,-L10*(1+B28/100)/((B27-B28)/100),-L10*20)/(1+B27/100)^L4</f>
        <v>949.334895322267</v>
      </c>
    </row>
    <row r="43" customFormat="false" ht="15" hidden="false" customHeight="false" outlineLevel="0" collapsed="false">
      <c r="A43" s="0" t="s">
        <v>142</v>
      </c>
      <c r="B43" s="0" t="n">
        <f aca="false">(B37+B41+B42)/Assumptions!$B$3*Assumptions!$B$10</f>
        <v>53.8521412508651</v>
      </c>
    </row>
    <row r="45" customFormat="false" ht="15" hidden="false" customHeight="false" outlineLevel="0" collapsed="false">
      <c r="A45" s="0" t="s">
        <v>83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143</v>
      </c>
      <c r="B46" s="0" t="n">
        <f aca="false">MAX(0,MIN(IF(B45&gt;B28,B31*(1+B28/100)/((B45-B28)/100),B31*B29),B31*B29))</f>
        <v>13065.0351238648</v>
      </c>
    </row>
    <row r="47" customFormat="false" ht="15" hidden="false" customHeight="false" outlineLevel="0" collapsed="false">
      <c r="A47" s="0" t="s">
        <v>144</v>
      </c>
      <c r="B47" s="0" t="n">
        <f aca="false">(SUMPRODUCT(C19:L19/(1+B45/100)^C4:L4)+B46/(1+B45/100)^L4+Assumptions!$B$5-Assumptions!$B$4)/Assumptions!$B$3*Assumptions!$B$10</f>
        <v>24.8643784904309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147</v>
      </c>
    </row>
    <row r="3" customFormat="false" ht="15" hidden="false" customHeight="false" outlineLevel="0" collapsed="false">
      <c r="A3" s="2" t="s">
        <v>148</v>
      </c>
      <c r="B3" s="2" t="s">
        <v>149</v>
      </c>
      <c r="C3" s="2" t="s">
        <v>139</v>
      </c>
      <c r="D3" s="2" t="s">
        <v>150</v>
      </c>
      <c r="E3" s="2" t="s">
        <v>142</v>
      </c>
      <c r="F3" s="2" t="s">
        <v>151</v>
      </c>
    </row>
    <row r="4" customFormat="false" ht="15" hidden="false" customHeight="false" outlineLevel="0" collapsed="false">
      <c r="A4" s="0" t="s">
        <v>152</v>
      </c>
      <c r="B4" s="4" t="n">
        <f aca="false">DCF_Bear!$B$38</f>
        <v>21.2443461814586</v>
      </c>
      <c r="C4" s="0" t="n">
        <f aca="false">B4/Assumptions!$B$2-1</f>
        <v>-0.521846811130799</v>
      </c>
      <c r="D4" s="4" t="n">
        <f aca="false">Assumptions!$B$24</f>
        <v>0.2</v>
      </c>
      <c r="E4" s="4" t="n">
        <f aca="false">DCF_Bear!$B$43</f>
        <v>24.0801928013824</v>
      </c>
      <c r="F4" s="4" t="n">
        <f aca="false">DCF_Bear!$B$47</f>
        <v>13.6681636074609</v>
      </c>
    </row>
    <row r="5" customFormat="false" ht="15" hidden="false" customHeight="false" outlineLevel="0" collapsed="false">
      <c r="A5" s="0" t="s">
        <v>153</v>
      </c>
      <c r="B5" s="4" t="n">
        <f aca="false">DCF_Base!$B$38</f>
        <v>35.8438575366959</v>
      </c>
      <c r="C5" s="0" t="n">
        <f aca="false">B5/Assumptions!$B$2-1</f>
        <v>-0.193251012003244</v>
      </c>
      <c r="D5" s="4" t="n">
        <f aca="false">Assumptions!$B$38</f>
        <v>0.5</v>
      </c>
      <c r="E5" s="4" t="n">
        <f aca="false">DCF_Base!$B$43</f>
        <v>39.4845640276806</v>
      </c>
      <c r="F5" s="4" t="n">
        <f aca="false">DCF_Base!$B$47</f>
        <v>19.7217911897021</v>
      </c>
    </row>
    <row r="6" customFormat="false" ht="15" hidden="false" customHeight="false" outlineLevel="0" collapsed="false">
      <c r="A6" s="0" t="s">
        <v>154</v>
      </c>
      <c r="B6" s="4" t="n">
        <f aca="false">DCF_Bull!$B$38</f>
        <v>49.5440683972865</v>
      </c>
      <c r="C6" s="0" t="n">
        <f aca="false">B6/Assumptions!$B$2-1</f>
        <v>0.115103947721957</v>
      </c>
      <c r="D6" s="4" t="n">
        <f aca="false">Assumptions!$B$52</f>
        <v>0.3</v>
      </c>
      <c r="E6" s="4" t="n">
        <f aca="false">DCF_Bull!$B$43</f>
        <v>53.8521412508651</v>
      </c>
      <c r="F6" s="4" t="n">
        <f aca="false">DCF_Bull!$B$47</f>
        <v>24.8643784904309</v>
      </c>
    </row>
    <row r="8" customFormat="false" ht="15" hidden="false" customHeight="false" outlineLevel="0" collapsed="false">
      <c r="A8" s="0" t="s">
        <v>155</v>
      </c>
      <c r="B8" s="0" t="n">
        <f aca="false">SUMPRODUCT(B4:B6,D4:D6)</f>
        <v>37.0340185238256</v>
      </c>
    </row>
    <row r="9" customFormat="false" ht="15" hidden="false" customHeight="false" outlineLevel="0" collapsed="false">
      <c r="A9" s="0" t="s">
        <v>156</v>
      </c>
      <c r="B9" s="0" t="n">
        <f aca="false">SUMPRODUCT(E4:E6,D4:D6)</f>
        <v>40.7139629493763</v>
      </c>
    </row>
    <row r="10" customFormat="false" ht="15" hidden="false" customHeight="false" outlineLevel="0" collapsed="false">
      <c r="A10" s="0" t="s">
        <v>157</v>
      </c>
      <c r="B10" s="0" t="n">
        <f aca="false">1-Assumptions!$B$2/B8</f>
        <v>-0.199707776011837</v>
      </c>
    </row>
    <row r="11" customFormat="false" ht="15" hidden="false" customHeight="false" outlineLevel="0" collapsed="false">
      <c r="A11" s="0" t="s">
        <v>158</v>
      </c>
      <c r="B11" s="0" t="n">
        <f aca="false">IF(ABS(B9-B8)&gt;0.01*ABS(B8),(Assumptions!$B$2-B8)/(B9-B8)*100,"n/a")</f>
        <v>200.980792666933</v>
      </c>
    </row>
    <row r="12" customFormat="false" ht="15" hidden="false" customHeight="false" outlineLevel="0" collapsed="false">
      <c r="A12" s="0" t="s">
        <v>159</v>
      </c>
      <c r="B12" s="0" t="n">
        <f aca="false">SUMPRODUCT(F4:F6,D4:D6)</f>
        <v>20.0538418634725</v>
      </c>
    </row>
    <row r="14" customFormat="false" ht="15" hidden="false" customHeight="false" outlineLevel="0" collapsed="false">
      <c r="A14" s="2" t="s">
        <v>160</v>
      </c>
      <c r="C14" s="0" t="s">
        <v>161</v>
      </c>
    </row>
    <row r="15" customFormat="false" ht="15" hidden="false" customHeight="false" outlineLevel="0" collapsed="false">
      <c r="A15" s="0" t="s">
        <v>162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35.8438575366959</v>
      </c>
      <c r="C15" s="3" t="n">
        <v>9</v>
      </c>
    </row>
    <row r="16" customFormat="false" ht="15" hidden="false" customHeight="false" outlineLevel="0" collapsed="false">
      <c r="A16" s="0" t="s">
        <v>163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32.0295008140737</v>
      </c>
      <c r="C16" s="3" t="n">
        <v>10</v>
      </c>
    </row>
    <row r="17" customFormat="false" ht="15" hidden="false" customHeight="false" outlineLevel="0" collapsed="false">
      <c r="A17" s="0" t="s">
        <v>164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28.3935182173293</v>
      </c>
      <c r="C17" s="3" t="n">
        <v>11</v>
      </c>
    </row>
    <row r="18" customFormat="false" ht="15" hidden="false" customHeight="false" outlineLevel="0" collapsed="false">
      <c r="A18" s="0" t="s">
        <v>165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25.5306550802858</v>
      </c>
      <c r="C18" s="3" t="n">
        <v>12</v>
      </c>
    </row>
    <row r="19" customFormat="false" ht="15" hidden="false" customHeight="false" outlineLevel="0" collapsed="false">
      <c r="A19" s="0" t="s">
        <v>166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19.7217911897021</v>
      </c>
      <c r="C19" s="3" t="n">
        <v>15</v>
      </c>
    </row>
    <row r="21" customFormat="false" ht="15" hidden="false" customHeight="false" outlineLevel="0" collapsed="false">
      <c r="A21" s="2" t="s">
        <v>167</v>
      </c>
    </row>
    <row r="22" customFormat="false" ht="15" hidden="false" customHeight="false" outlineLevel="0" collapsed="false">
      <c r="B22" s="3" t="n">
        <v>1.5</v>
      </c>
      <c r="C22" s="3" t="n">
        <v>2</v>
      </c>
      <c r="D22" s="3" t="n">
        <v>2.5</v>
      </c>
      <c r="E22" s="3" t="n">
        <v>3</v>
      </c>
      <c r="F22" s="3" t="n">
        <v>3.5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41.1535981730355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41.1535981730355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41.1535981730355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41.1535981730355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41.1535981730355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38.3747276128161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38.3747276128161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38.3747276128161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38.3747276128161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38.3747276128161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34.0280877132819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35.3132754454385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35.8438575366959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35.8438575366959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35.8438575366959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30.0797460224383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30.9936935810174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32.0295008140737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33.2132805089951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33.536129516701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26.9746403583606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27.6446660139847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28.3935182173293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29.235976946092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30.1907635053563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2026-09-24T09:09:11Z</dcterms:created>
  <dc:creator>openpyxl</dc:creator>
  <dc:description/>
  <dc:language>en-NZ</dc:language>
  <cp:lastModifiedBy/>
  <dcterms:modified xsi:type="dcterms:W3CDTF">2026-09-24T09:09:11Z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