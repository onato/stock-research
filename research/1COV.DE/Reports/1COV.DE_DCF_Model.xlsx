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<sst xmlns="http://schemas.openxmlformats.org/spreadsheetml/2006/main" count="366" uniqueCount="167">
  <si>
    <t xml:space="preserve">Ticker</t>
  </si>
  <si>
    <t xml:space="preserve">1COV.DE</t>
  </si>
  <si>
    <t xml:space="preserve">Company</t>
  </si>
  <si>
    <t xml:space="preserve">Covestro AG</t>
  </si>
  <si>
    <t xml:space="preserve">Valuation date</t>
  </si>
  <si>
    <t xml:space="preserve">2026-10-25</t>
  </si>
  <si>
    <t xml:space="preserve">Current price</t>
  </si>
  <si>
    <t xml:space="preserve">Price as of</t>
  </si>
  <si>
    <t xml:space="preserve">2026-10-23T15:35:16Z (Xetra regular-session close, Friday; latest available print on 2026-10-25)</t>
  </si>
  <si>
    <t xml:space="preserve">Balance sheet date</t>
  </si>
  <si>
    <t xml:space="preserve">2025-12-31</t>
  </si>
  <si>
    <t xml:space="preserve">Model</t>
  </si>
  <si>
    <t xml:space="preserve">Squeeze-out special situation: compensation-anchored deal weighting (corporate_action) over a standalone owner-FCF going-concern DCF (engine route, deal-fails leg)</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</si>
  <si>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</si>
  <si>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</si>
  <si>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</si>
  <si>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</si>
  <si>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</si>
  <si>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</si>
  <si>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</si>
  <si>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</si>
  <si>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2026-10-24T11:40:32Z</t>
  </si>
  <si>
    <t xml:space="preserve">Drivers file</t>
  </si>
  <si>
    <t xml:space="preserve">1COV.DE_Drivers.json</t>
  </si>
  <si>
    <t xml:space="preserve">Convention</t>
  </si>
  <si>
    <t xml:space="preserve">Percents stored as percents; formulas divide by 100. Blue = input, green = link, black = formula.</t>
  </si>
  <si>
    <t xml:space="preserve">Methodology</t>
  </si>
  <si>
    <t xml:space="preserve">summary: Covestro is not valued here as an operating equity. XRG (ADNOC) owns 96.16% and the AGM has approved a statutory squeeze-out at EUR 59.46 cash per share, backed by a bank guarantee; once the resolution is registered every remaining share is transferred by law. A minority holder's outcome is therefore a fixed-amount, guaranteed cash claim plus a free option on a court-ordered increase (Spruchverfahren), not a share of future Covestro cash flows. The headline decision value is corporate_action.deal_weighted_iv: P(registration) x [PV of EUR 59.46 at a near-risk-free rate + expected PV of an appraisal uplift] + P(failure) x standalone DCF. The owner-FCF DCF below (engine output, probability_weighted.weighted_iv) is kept for two reasons: it is the value in the improbable deal-fails path, and it answers whether EUR 59.46 is fair for the business. On house assumptions it is far below EUR 59.46 -- at the trough of the chemicals cycle, with structural Chinese overcapacity, a 12x terminal cap and 8% WACC, the going-concern value per share is a fraction of the compensation -- so the compensation is generous relative to a conservative fundamental view, and the only plausible source of extra value is the appraisal proceeding, which courts decide on an IDW S1 earnings value from management's own plan and on the 3-month pre-announcement VWAP floor, not on house assumptions.
key_risks_to_valuation: Timing: registration not confirmed as of 2026-10-24; pending annulment actions / Freigabeverfahren could push payment into H2 2027 or later. Each extra year costs ~2.5-3% of PV on the claim (no statutory interest accrues until registration is published).; Squeeze-out failure (modelled at 2%): an annulment action that succeeds and is not overridden by a release order would leave minorities in a 96%-controlled, General-Standard-listed, illiquid company whose going-concern value on house assumptions is far below the compensation.; Appraisal (Spruchverfahren) upside is uncertain in probability, size and timing (typically 3-7 years); the EUR 62 voluntary offer is a commonly-argued reference point but not a legal floor for squeeze-out compensation.; Price above compensation: at EUR 60.20 a buyer today pays more than the guaranteed cash amount and depends on the appraisal for any return.; Standalone DCF is terminal-heavy and trough-anchored; it is sensitive to the mature EBITDA margin (13% base) and the 12x terminal cap.; Stale operating anchors: no 2026 interim filings in the folder (latest balance sheet 2025-12-31).</t>
  </si>
  <si>
    <t xml:space="preserve">Data sources</t>
  </si>
  <si>
    <t xml:space="preserve">price: Yahoo Finance chart API at inputs.price_as_of (Xetra, EUR). Yahoo now serves only post-segment-change bars for this symbol, so the pre-announcement 3-month VWAP (the Spruchverfahren floor reference) could not be reconstructed.
financials: Covestro Annual Report FY2025 (Extracted/1COV.DE_Annual_FY2025.txt): key data p.1, net financial debt table lines 3120-3134, cash flows lines 3060-3118, forecast lines 3901-3943, equity and share count lines 1035-1046 and 16406-16482, right-of-use assets lines 15893-15906; Metrics.csv FY2014-FY2025 history.
qualitative: 1COV.DE_Analysis.json (special_situation_notice, recent_developments, guidance) for the XRG takeover, the squeeze-out request, the EUR 59.46 compensation and the 2026-05-19 AGM resolution.</t>
  </si>
  <si>
    <t xml:space="preserve">Scenario narrative: bear</t>
  </si>
  <si>
    <t xml:space="preserve">Going-concern bear: Chinese overcapacity is permanent, EU energy disadvantage persists, tariffs fragment trade; margin recovers only to 9% and capex is starved toward maintenance.</t>
  </si>
  <si>
    <t xml:space="preserve">Scenario narrative: base</t>
  </si>
  <si>
    <t xml:space="preserve">Going-concern base (deal-fails leg only): FY2026 EBITDA ~EUR 740m per guidance, gradual absorption of Chinese MDI/polycarbonate overcapacity, STRONG's EUR 400m saving by 2028, EBITDA margin to 13% by 2032 (decade mean ex price spikes). Axes: MDI/PC spread vs Chinese capacity, European auto/construction volume, EU energy cost.</t>
  </si>
  <si>
    <t xml:space="preserve">Scenario narrative: bull</t>
  </si>
  <si>
    <t xml:space="preserve">Going-concern bull: cyclical recovery from 2027 as Western capacity closes and Chinese additions pause; specialty capacity (Antwerp, Zhuhai TPU, Newark) ramps; margin back to ~16%, the 2016 level. Upside accrues to XRG, not to minority holders, under the squeeze-out.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</si>
  <si>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</si>
  <si>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</si>
  <si>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</si>
  <si>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</si>
  <si>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</si>
  <si>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</si>
  <si>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</si>
  <si>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</si>
  <si>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</si>
  <si>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</si>
  <si>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</si>
  <si>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</si>
  <si>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</si>
  <si>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</si>
  <si>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</si>
  <si>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</si>
  <si>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</si>
  <si>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</si>
  <si>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</si>
  <si>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</si>
  <si>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</si>
  <si>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</si>
  <si>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</si>
  <si>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</si>
  <si>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</si>
  <si>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</si>
  <si>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</si>
  <si>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</si>
  <si>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</si>
  <si>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</si>
  <si>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</si>
  <si>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</si>
  <si>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</si>
  <si>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</si>
  <si>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</si>
  <si>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</si>
  <si>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</si>
  <si>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</si>
  <si>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</si>
  <si>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</si>
  <si>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</si>
  <si>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</si>
  <si>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</si>
  <si>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</si>
  <si>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</si>
  <si>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</si>
  <si>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</si>
  <si>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</si>
  <si>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</si>
  <si>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</si>
  <si>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</si>
  <si>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</si>
  <si>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</si>
  <si>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</si>
  <si>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</si>
  <si>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</si>
  <si>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</si>
  <si>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</si>
  <si>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</si>
  <si>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</si>
  <si>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</si>
  <si>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</si>
  <si>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</si>
  <si>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</si>
  <si>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</si>
  <si>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</si>
  <si>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</si>
  <si>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</si>
  <si>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</si>
  <si>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</si>
  <si>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</si>
  <si>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</si>
  <si>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</si>
  <si>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</si>
  <si>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</si>
  <si>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</si>
  <si>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1COV.DE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</si>
  <si>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</si>
  <si>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</si>
  <si>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</si>
  <si>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</si>
  <si>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</si>
  <si>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</si>
  <si>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</si>
  <si>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</si>
  <si>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</si>
  <si>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</si>
  <si>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</si>
  <si>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</si>
  <si>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</si>
  <si>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</si>
  <si>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</si>
  <si>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</si>
  <si>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</si>
  <si>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</si>
  <si>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</si>
  <si>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</si>
  <si>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</si>
  <si>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</si>
  <si>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</si>
  <si>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</si>
  <si>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</si>
  <si>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</si>
  <si>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</si>
  <si>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</si>
  <si>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</si>
  <si>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</si>
  <si>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1COV.DE owner-FCF component DCF: base case (millions, EUR)</t>
  </si>
  <si>
    <t xml:space="preserve">1COV.DE owner-FCF component DCF: bull case (millions, EUR)</t>
  </si>
  <si>
    <t xml:space="preserve">1COV.DE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</si>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</sst>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60.2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11761</v>
      </c>
      <c r="C2" s="0" t="n">
        <v>9609</v>
      </c>
      <c r="D2" s="0" t="n">
        <v>2152</v>
      </c>
      <c r="E2" s="0" t="n">
        <v>18.3</v>
      </c>
      <c r="F2" s="0" t="n">
        <v>517</v>
      </c>
      <c r="G2" s="0" t="n">
        <v>4.4</v>
      </c>
      <c r="H2" s="0" t="n">
        <v>1122</v>
      </c>
      <c r="I2" s="0" t="n">
        <v>272</v>
      </c>
      <c r="J2" s="0" t="n">
        <v>2.3</v>
      </c>
      <c r="K2" s="0" t="n">
        <v>1.94</v>
      </c>
      <c r="L2" s="0" t="n">
        <v>925</v>
      </c>
      <c r="M2" s="0" t="n">
        <v>612</v>
      </c>
      <c r="N2" s="0" t="n">
        <v>313</v>
      </c>
      <c r="O2" s="0" t="n">
        <v>1770</v>
      </c>
      <c r="P2" s="0" t="n">
        <v>10392</v>
      </c>
      <c r="Q2" s="0" t="n">
        <v>8605</v>
      </c>
      <c r="R2" s="0" t="n">
        <v>4722</v>
      </c>
      <c r="S2" s="0" t="n">
        <v>201</v>
      </c>
      <c r="T2" s="0" t="n">
        <v>140.2</v>
      </c>
      <c r="AA2" s="0" t="s">
        <v>17</v>
      </c>
      <c r="AB2" s="0" t="s">
        <v>14</v>
      </c>
    </row>
    <row r="3" customFormat="false" ht="15" hidden="false" customHeight="false" outlineLevel="0" collapsed="false">
      <c r="A3" s="0" t="s">
        <v>64</v>
      </c>
      <c r="B3" s="0" t="n">
        <v>12082</v>
      </c>
      <c r="C3" s="0" t="n">
        <v>9438</v>
      </c>
      <c r="D3" s="0" t="n">
        <v>2644</v>
      </c>
      <c r="E3" s="0" t="n">
        <v>21.9</v>
      </c>
      <c r="F3" s="0" t="n">
        <v>680</v>
      </c>
      <c r="G3" s="0" t="n">
        <v>5.6</v>
      </c>
      <c r="H3" s="0" t="n">
        <v>1419</v>
      </c>
      <c r="I3" s="0" t="n">
        <v>343</v>
      </c>
      <c r="J3" s="0" t="n">
        <v>2.8</v>
      </c>
      <c r="K3" s="0" t="n">
        <v>2.21</v>
      </c>
      <c r="L3" s="0" t="n">
        <v>1473</v>
      </c>
      <c r="M3" s="0" t="n">
        <v>509</v>
      </c>
      <c r="N3" s="0" t="n">
        <v>964</v>
      </c>
      <c r="O3" s="0" t="n">
        <v>3596</v>
      </c>
      <c r="P3" s="0" t="n">
        <v>10531</v>
      </c>
      <c r="Q3" s="0" t="n">
        <v>6919</v>
      </c>
      <c r="R3" s="0" t="n">
        <v>2881</v>
      </c>
      <c r="S3" s="0" t="n">
        <v>642</v>
      </c>
      <c r="T3" s="0" t="n">
        <v>154.897</v>
      </c>
      <c r="AA3" s="0" t="s">
        <v>17</v>
      </c>
      <c r="AB3" s="0" t="s">
        <v>14</v>
      </c>
    </row>
    <row r="4" customFormat="false" ht="15" hidden="false" customHeight="false" outlineLevel="0" collapsed="false">
      <c r="A4" s="0" t="s">
        <v>65</v>
      </c>
      <c r="B4" s="0" t="n">
        <v>11904</v>
      </c>
      <c r="C4" s="0" t="n">
        <v>8611</v>
      </c>
      <c r="D4" s="0" t="n">
        <v>3293</v>
      </c>
      <c r="E4" s="0" t="n">
        <v>27.7</v>
      </c>
      <c r="F4" s="0" t="n">
        <v>1331</v>
      </c>
      <c r="G4" s="0" t="n">
        <v>11.2</v>
      </c>
      <c r="H4" s="0" t="n">
        <v>2014</v>
      </c>
      <c r="I4" s="0" t="n">
        <v>795</v>
      </c>
      <c r="J4" s="0" t="n">
        <v>6.7</v>
      </c>
      <c r="K4" s="0" t="n">
        <v>3.93</v>
      </c>
      <c r="L4" s="0" t="n">
        <v>1786</v>
      </c>
      <c r="M4" s="0" t="n">
        <v>419</v>
      </c>
      <c r="N4" s="0" t="n">
        <v>1367</v>
      </c>
      <c r="O4" s="0" t="n">
        <v>4189</v>
      </c>
      <c r="P4" s="0" t="n">
        <v>10234</v>
      </c>
      <c r="Q4" s="0" t="n">
        <v>6018</v>
      </c>
      <c r="R4" s="0" t="n">
        <v>1931</v>
      </c>
      <c r="S4" s="0" t="n">
        <v>267</v>
      </c>
      <c r="T4" s="0" t="n">
        <v>202.5</v>
      </c>
      <c r="AA4" s="0" t="s">
        <v>17</v>
      </c>
      <c r="AB4" s="0" t="s">
        <v>14</v>
      </c>
    </row>
    <row r="5" customFormat="false" ht="15" hidden="false" customHeight="false" outlineLevel="0" collapsed="false">
      <c r="A5" s="0" t="s">
        <v>66</v>
      </c>
      <c r="B5" s="0" t="n">
        <v>14138</v>
      </c>
      <c r="C5" s="0" t="n">
        <v>9308</v>
      </c>
      <c r="D5" s="0" t="n">
        <v>4830</v>
      </c>
      <c r="E5" s="0" t="n">
        <v>34.2</v>
      </c>
      <c r="F5" s="0" t="n">
        <v>2808</v>
      </c>
      <c r="G5" s="0" t="n">
        <v>19.9</v>
      </c>
      <c r="H5" s="0" t="n">
        <v>3435</v>
      </c>
      <c r="I5" s="0" t="n">
        <v>2009</v>
      </c>
      <c r="J5" s="0" t="n">
        <v>14.2</v>
      </c>
      <c r="K5" s="0" t="n">
        <v>9.93</v>
      </c>
      <c r="L5" s="0" t="n">
        <v>2361</v>
      </c>
      <c r="M5" s="0" t="n">
        <v>518</v>
      </c>
      <c r="N5" s="0" t="n">
        <v>1843</v>
      </c>
      <c r="O5" s="0" t="n">
        <v>5335</v>
      </c>
      <c r="P5" s="0" t="n">
        <v>11341</v>
      </c>
      <c r="Q5" s="0" t="n">
        <v>5976</v>
      </c>
      <c r="R5" s="0" t="n">
        <v>1796</v>
      </c>
      <c r="S5" s="0" t="n">
        <v>1232</v>
      </c>
      <c r="T5" s="0" t="n">
        <v>202.3</v>
      </c>
      <c r="AA5" s="0" t="s">
        <v>17</v>
      </c>
      <c r="AB5" s="0" t="s">
        <v>14</v>
      </c>
    </row>
    <row r="6" customFormat="false" ht="15" hidden="false" customHeight="false" outlineLevel="0" collapsed="false">
      <c r="A6" s="0" t="s">
        <v>67</v>
      </c>
      <c r="B6" s="0" t="n">
        <v>14616</v>
      </c>
      <c r="C6" s="0" t="n">
        <v>9918</v>
      </c>
      <c r="D6" s="0" t="n">
        <v>4698</v>
      </c>
      <c r="E6" s="0" t="n">
        <v>32.1</v>
      </c>
      <c r="F6" s="0" t="n">
        <v>2580</v>
      </c>
      <c r="G6" s="0" t="n">
        <v>17.7</v>
      </c>
      <c r="H6" s="0" t="n">
        <v>3200</v>
      </c>
      <c r="I6" s="0" t="n">
        <v>1823</v>
      </c>
      <c r="J6" s="0" t="n">
        <v>12.5</v>
      </c>
      <c r="K6" s="0" t="n">
        <v>9.46</v>
      </c>
      <c r="L6" s="0" t="n">
        <v>2376</v>
      </c>
      <c r="M6" s="0" t="n">
        <v>707</v>
      </c>
      <c r="N6" s="0" t="n">
        <v>1669</v>
      </c>
      <c r="O6" s="0" t="n">
        <v>5342</v>
      </c>
      <c r="P6" s="0" t="n">
        <v>11084</v>
      </c>
      <c r="Q6" s="0" t="n">
        <v>5709</v>
      </c>
      <c r="R6" s="0" t="n">
        <v>1225</v>
      </c>
      <c r="S6" s="0" t="n">
        <v>865</v>
      </c>
      <c r="T6" s="0" t="n">
        <v>192.7</v>
      </c>
      <c r="AA6" s="0" t="s">
        <v>17</v>
      </c>
      <c r="AB6" s="0" t="s">
        <v>14</v>
      </c>
    </row>
    <row r="7" customFormat="false" ht="15" hidden="false" customHeight="false" outlineLevel="0" collapsed="false">
      <c r="A7" s="0" t="s">
        <v>68</v>
      </c>
      <c r="B7" s="0" t="n">
        <v>12412</v>
      </c>
      <c r="C7" s="0" t="n">
        <v>9658</v>
      </c>
      <c r="D7" s="0" t="n">
        <v>2754</v>
      </c>
      <c r="E7" s="0" t="n">
        <v>22.2</v>
      </c>
      <c r="F7" s="0" t="n">
        <v>852</v>
      </c>
      <c r="G7" s="0" t="n">
        <v>6.9</v>
      </c>
      <c r="H7" s="0" t="n">
        <v>1604</v>
      </c>
      <c r="I7" s="0" t="n">
        <v>552</v>
      </c>
      <c r="J7" s="0" t="n">
        <v>4.4</v>
      </c>
      <c r="K7" s="0" t="n">
        <v>3.02</v>
      </c>
      <c r="L7" s="0" t="n">
        <v>1383</v>
      </c>
      <c r="M7" s="0" t="n">
        <v>910</v>
      </c>
      <c r="N7" s="0" t="n">
        <v>473</v>
      </c>
      <c r="O7" s="0" t="n">
        <v>5207</v>
      </c>
      <c r="P7" s="0" t="n">
        <v>11518</v>
      </c>
      <c r="Q7" s="0" t="n">
        <v>6264</v>
      </c>
      <c r="R7" s="0" t="n">
        <v>1752</v>
      </c>
      <c r="S7" s="0" t="n">
        <v>748</v>
      </c>
      <c r="T7" s="0" t="n">
        <v>182.8</v>
      </c>
      <c r="AA7" s="0" t="s">
        <v>17</v>
      </c>
      <c r="AB7" s="0" t="s">
        <v>14</v>
      </c>
    </row>
    <row r="8" customFormat="false" ht="15" hidden="false" customHeight="false" outlineLevel="0" collapsed="false">
      <c r="A8" s="0" t="s">
        <v>69</v>
      </c>
      <c r="B8" s="0" t="n">
        <v>10706</v>
      </c>
      <c r="C8" s="0" t="n">
        <v>8207</v>
      </c>
      <c r="D8" s="0" t="n">
        <v>2499</v>
      </c>
      <c r="E8" s="0" t="n">
        <v>23.3</v>
      </c>
      <c r="F8" s="0" t="n">
        <v>696</v>
      </c>
      <c r="G8" s="0" t="n">
        <v>6.5</v>
      </c>
      <c r="H8" s="0" t="n">
        <v>1472</v>
      </c>
      <c r="I8" s="0" t="n">
        <v>459</v>
      </c>
      <c r="J8" s="0" t="n">
        <v>4.3</v>
      </c>
      <c r="K8" s="0" t="n">
        <v>2.48</v>
      </c>
      <c r="L8" s="0" t="n">
        <v>1234</v>
      </c>
      <c r="M8" s="0" t="n">
        <v>704</v>
      </c>
      <c r="N8" s="0" t="n">
        <v>530</v>
      </c>
      <c r="O8" s="0" t="n">
        <v>5607</v>
      </c>
      <c r="P8" s="0" t="n">
        <v>12924</v>
      </c>
      <c r="Q8" s="0" t="n">
        <v>7280</v>
      </c>
      <c r="R8" s="0" t="n">
        <v>2899</v>
      </c>
      <c r="S8" s="0" t="n">
        <v>1404</v>
      </c>
      <c r="T8" s="0" t="n">
        <v>185.1</v>
      </c>
      <c r="AA8" s="0" t="s">
        <v>17</v>
      </c>
      <c r="AB8" s="0" t="s">
        <v>14</v>
      </c>
    </row>
    <row r="9" customFormat="false" ht="15" hidden="false" customHeight="false" outlineLevel="0" collapsed="false">
      <c r="A9" s="0" t="s">
        <v>70</v>
      </c>
      <c r="B9" s="0" t="n">
        <v>15903</v>
      </c>
      <c r="C9" s="0" t="n">
        <v>11475</v>
      </c>
      <c r="D9" s="0" t="n">
        <v>4428</v>
      </c>
      <c r="E9" s="0" t="n">
        <v>27.8</v>
      </c>
      <c r="F9" s="0" t="n">
        <v>2262</v>
      </c>
      <c r="G9" s="0" t="n">
        <v>14.2</v>
      </c>
      <c r="H9" s="0" t="n">
        <v>3085</v>
      </c>
      <c r="I9" s="0" t="n">
        <v>1616</v>
      </c>
      <c r="J9" s="0" t="n">
        <v>10.2</v>
      </c>
      <c r="K9" s="0" t="n">
        <v>8.37</v>
      </c>
      <c r="L9" s="0" t="n">
        <v>2193</v>
      </c>
      <c r="M9" s="0" t="n">
        <v>764</v>
      </c>
      <c r="N9" s="0" t="n">
        <v>1429</v>
      </c>
      <c r="O9" s="0" t="n">
        <v>7696</v>
      </c>
      <c r="P9" s="0" t="n">
        <v>15571</v>
      </c>
      <c r="Q9" s="0" t="n">
        <v>7809</v>
      </c>
      <c r="R9" s="0" t="n">
        <v>2541</v>
      </c>
      <c r="S9" s="0" t="n">
        <v>649</v>
      </c>
      <c r="T9" s="0" t="n">
        <v>193.1</v>
      </c>
      <c r="AA9" s="0" t="s">
        <v>17</v>
      </c>
      <c r="AB9" s="0" t="s">
        <v>14</v>
      </c>
    </row>
    <row r="10" customFormat="false" ht="15" hidden="false" customHeight="false" outlineLevel="0" collapsed="false">
      <c r="A10" s="0" t="s">
        <v>71</v>
      </c>
      <c r="B10" s="0" t="n">
        <v>17968</v>
      </c>
      <c r="C10" s="0" t="n">
        <v>15404</v>
      </c>
      <c r="D10" s="0" t="n">
        <v>2564</v>
      </c>
      <c r="E10" s="0" t="n">
        <v>14.3</v>
      </c>
      <c r="F10" s="0" t="n">
        <v>267</v>
      </c>
      <c r="G10" s="0" t="n">
        <v>1.5</v>
      </c>
      <c r="H10" s="0" t="n">
        <v>1617</v>
      </c>
      <c r="I10" s="0" t="n">
        <v>-272</v>
      </c>
      <c r="J10" s="0" t="n">
        <v>-1.5</v>
      </c>
      <c r="K10" s="0" t="n">
        <v>-1.42</v>
      </c>
      <c r="L10" s="0" t="n">
        <v>970</v>
      </c>
      <c r="M10" s="0" t="n">
        <v>832</v>
      </c>
      <c r="N10" s="0" t="n">
        <v>138</v>
      </c>
      <c r="O10" s="0" t="n">
        <v>7086</v>
      </c>
      <c r="P10" s="0" t="n">
        <v>14585</v>
      </c>
      <c r="Q10" s="0" t="n">
        <v>7463</v>
      </c>
      <c r="R10" s="0" t="n">
        <v>3689</v>
      </c>
      <c r="S10" s="0" t="n">
        <v>1198</v>
      </c>
      <c r="T10" s="0" t="n">
        <v>191.5</v>
      </c>
      <c r="AA10" s="0" t="s">
        <v>17</v>
      </c>
      <c r="AB10" s="0" t="s">
        <v>14</v>
      </c>
    </row>
    <row r="11" customFormat="false" ht="15" hidden="false" customHeight="false" outlineLevel="0" collapsed="false">
      <c r="A11" s="0" t="s">
        <v>72</v>
      </c>
      <c r="B11" s="0" t="n">
        <v>14377</v>
      </c>
      <c r="C11" s="0" t="n">
        <v>12071</v>
      </c>
      <c r="D11" s="0" t="n">
        <v>2306</v>
      </c>
      <c r="E11" s="0" t="n">
        <v>16</v>
      </c>
      <c r="F11" s="0" t="n">
        <v>186</v>
      </c>
      <c r="G11" s="0" t="n">
        <v>1.3</v>
      </c>
      <c r="H11" s="0" t="n">
        <v>1080</v>
      </c>
      <c r="I11" s="0" t="n">
        <v>-198</v>
      </c>
      <c r="J11" s="0" t="n">
        <v>-1.4</v>
      </c>
      <c r="K11" s="0" t="n">
        <v>-1.05</v>
      </c>
      <c r="L11" s="0" t="n">
        <v>997</v>
      </c>
      <c r="M11" s="0" t="n">
        <v>765</v>
      </c>
      <c r="N11" s="0" t="n">
        <v>232</v>
      </c>
      <c r="O11" s="0" t="n">
        <v>6590</v>
      </c>
      <c r="P11" s="0" t="n">
        <v>13637</v>
      </c>
      <c r="Q11" s="0" t="n">
        <v>7019</v>
      </c>
      <c r="R11" s="0" t="n">
        <v>3407</v>
      </c>
      <c r="S11" s="0" t="n">
        <v>625</v>
      </c>
      <c r="T11" s="0" t="n">
        <v>188.6</v>
      </c>
      <c r="AA11" s="0" t="s">
        <v>17</v>
      </c>
      <c r="AB11" s="0" t="s">
        <v>14</v>
      </c>
    </row>
    <row r="12" customFormat="false" ht="15" hidden="false" customHeight="false" outlineLevel="0" collapsed="false">
      <c r="A12" s="0" t="s">
        <v>73</v>
      </c>
      <c r="B12" s="0" t="n">
        <v>14179</v>
      </c>
      <c r="C12" s="0" t="n">
        <v>12002</v>
      </c>
      <c r="D12" s="0" t="n">
        <v>2177</v>
      </c>
      <c r="E12" s="0" t="n">
        <v>15.4</v>
      </c>
      <c r="F12" s="0" t="n">
        <v>87</v>
      </c>
      <c r="G12" s="0" t="n">
        <v>0.6</v>
      </c>
      <c r="H12" s="0" t="n">
        <v>1071</v>
      </c>
      <c r="I12" s="0" t="n">
        <v>-266</v>
      </c>
      <c r="J12" s="0" t="n">
        <v>-1.9</v>
      </c>
      <c r="K12" s="0" t="n">
        <v>-1.41</v>
      </c>
      <c r="L12" s="0" t="n">
        <v>870</v>
      </c>
      <c r="M12" s="0" t="n">
        <v>781</v>
      </c>
      <c r="N12" s="0" t="n">
        <v>89</v>
      </c>
      <c r="O12" s="0" t="n">
        <v>6658</v>
      </c>
      <c r="P12" s="0" t="n">
        <v>13631</v>
      </c>
      <c r="Q12" s="0" t="n">
        <v>6952</v>
      </c>
      <c r="R12" s="0" t="n">
        <v>3156</v>
      </c>
      <c r="S12" s="0" t="n">
        <v>509</v>
      </c>
      <c r="T12" s="0" t="n">
        <v>188.7</v>
      </c>
      <c r="AA12" s="0" t="s">
        <v>17</v>
      </c>
      <c r="AB12" s="0" t="s">
        <v>14</v>
      </c>
    </row>
    <row r="13" customFormat="false" ht="15" hidden="false" customHeight="false" outlineLevel="0" collapsed="false">
      <c r="A13" s="0" t="s">
        <v>74</v>
      </c>
      <c r="B13" s="0" t="n">
        <v>12942</v>
      </c>
      <c r="C13" s="0" t="n">
        <v>11225</v>
      </c>
      <c r="D13" s="0" t="n">
        <v>1717</v>
      </c>
      <c r="E13" s="0" t="n">
        <v>13.3</v>
      </c>
      <c r="F13" s="0" t="n">
        <v>-347</v>
      </c>
      <c r="G13" s="0" t="n">
        <v>-2.7</v>
      </c>
      <c r="H13" s="0" t="n">
        <v>740</v>
      </c>
      <c r="I13" s="0" t="n">
        <v>-644</v>
      </c>
      <c r="J13" s="0" t="n">
        <v>-5</v>
      </c>
      <c r="K13" s="0" t="n">
        <v>-3.39</v>
      </c>
      <c r="L13" s="0" t="n">
        <v>487</v>
      </c>
      <c r="M13" s="0" t="n">
        <v>770</v>
      </c>
      <c r="N13" s="0" t="n">
        <v>-283</v>
      </c>
      <c r="O13" s="0" t="n">
        <v>6998</v>
      </c>
      <c r="P13" s="0" t="n">
        <v>13467</v>
      </c>
      <c r="Q13" s="0" t="n">
        <v>6451</v>
      </c>
      <c r="R13" s="0" t="n">
        <v>3141</v>
      </c>
      <c r="S13" s="0" t="n">
        <v>648</v>
      </c>
      <c r="T13" s="0" t="n">
        <v>190</v>
      </c>
      <c r="AA13" s="0" t="s">
        <v>17</v>
      </c>
      <c r="AB13"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60.2</v>
      </c>
    </row>
    <row r="3" customFormat="false" ht="15" hidden="false" customHeight="false" outlineLevel="0" collapsed="false">
      <c r="A3" s="0" t="s">
        <v>78</v>
      </c>
      <c r="B3" s="3" t="n">
        <v>207.64</v>
      </c>
    </row>
    <row r="4" customFormat="false" ht="15" hidden="false" customHeight="false" outlineLevel="0" collapsed="false">
      <c r="A4" s="0" t="s">
        <v>79</v>
      </c>
      <c r="B4" s="3" t="n">
        <v>1122</v>
      </c>
    </row>
    <row r="5" customFormat="false" ht="15" hidden="false" customHeight="false" outlineLevel="0" collapsed="false">
      <c r="A5" s="0" t="s">
        <v>80</v>
      </c>
      <c r="B5" s="3" t="n">
        <v>-555</v>
      </c>
    </row>
    <row r="6" customFormat="false" ht="15" hidden="false" customHeight="false" outlineLevel="0" collapsed="false">
      <c r="A6" s="0" t="s">
        <v>81</v>
      </c>
      <c r="B6" s="3" t="n">
        <v>15</v>
      </c>
    </row>
    <row r="7" customFormat="false" ht="15" hidden="false" customHeight="false" outlineLevel="0" collapsed="false">
      <c r="A7" s="0" t="s">
        <v>82</v>
      </c>
      <c r="B7" s="3" t="n">
        <v>12942</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-4</v>
      </c>
      <c r="D13" s="3" t="n">
        <v>0</v>
      </c>
      <c r="E13" s="3" t="n">
        <v>2</v>
      </c>
      <c r="F13" s="3" t="n">
        <v>2.5</v>
      </c>
      <c r="G13" s="3" t="n">
        <v>2.5</v>
      </c>
      <c r="H13" s="3" t="n">
        <v>2</v>
      </c>
      <c r="I13" s="3" t="n">
        <v>2</v>
      </c>
      <c r="J13" s="3" t="n">
        <v>2</v>
      </c>
      <c r="K13" s="3" t="n">
        <v>2</v>
      </c>
      <c r="L13" s="3" t="n">
        <v>2</v>
      </c>
    </row>
    <row r="14" customFormat="false" ht="15" hidden="false" customHeight="false" outlineLevel="0" collapsed="false">
      <c r="A14" s="0" t="s">
        <v>99</v>
      </c>
      <c r="C14" s="3" t="n">
        <v>5</v>
      </c>
      <c r="D14" s="3" t="n">
        <v>5.5</v>
      </c>
      <c r="E14" s="3" t="n">
        <v>6.5</v>
      </c>
      <c r="F14" s="3" t="n">
        <v>7</v>
      </c>
      <c r="G14" s="3" t="n">
        <v>7.5</v>
      </c>
      <c r="H14" s="3" t="n">
        <v>8.5</v>
      </c>
      <c r="I14" s="3" t="n">
        <v>9</v>
      </c>
      <c r="J14" s="3" t="n">
        <v>9</v>
      </c>
      <c r="K14" s="3" t="n">
        <v>9</v>
      </c>
      <c r="L14" s="3" t="n">
        <v>9</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1.45</v>
      </c>
      <c r="D16" s="3" t="n">
        <v>1.45</v>
      </c>
      <c r="E16" s="3" t="n">
        <v>1.45</v>
      </c>
      <c r="F16" s="3" t="n">
        <v>1.45</v>
      </c>
      <c r="G16" s="3" t="n">
        <v>1.45</v>
      </c>
      <c r="H16" s="3" t="n">
        <v>1.45</v>
      </c>
      <c r="I16" s="3" t="n">
        <v>1.45</v>
      </c>
      <c r="J16" s="3" t="n">
        <v>1.45</v>
      </c>
      <c r="K16" s="3" t="n">
        <v>1.45</v>
      </c>
      <c r="L16" s="3" t="n">
        <v>1.45</v>
      </c>
    </row>
    <row r="17" customFormat="false" ht="15" hidden="false" customHeight="false" outlineLevel="0" collapsed="false">
      <c r="A17" s="0" t="s">
        <v>102</v>
      </c>
      <c r="C17" s="3" t="n">
        <v>5.2</v>
      </c>
      <c r="D17" s="3" t="n">
        <v>5.2</v>
      </c>
      <c r="E17" s="3" t="n">
        <v>5.2</v>
      </c>
      <c r="F17" s="3" t="n">
        <v>5.2</v>
      </c>
      <c r="G17" s="3" t="n">
        <v>5.2</v>
      </c>
      <c r="H17" s="3" t="n">
        <v>5.2</v>
      </c>
      <c r="I17" s="3" t="n">
        <v>5.2</v>
      </c>
      <c r="J17" s="3" t="n">
        <v>5.2</v>
      </c>
      <c r="K17" s="3" t="n">
        <v>5.2</v>
      </c>
      <c r="L17" s="3" t="n">
        <v>5.2</v>
      </c>
    </row>
    <row r="18" customFormat="false" ht="15" hidden="false" customHeight="false" outlineLevel="0" collapsed="false">
      <c r="A18" s="0" t="s">
        <v>103</v>
      </c>
      <c r="C18" s="3" t="n">
        <v>5</v>
      </c>
      <c r="D18" s="3" t="n">
        <v>5</v>
      </c>
      <c r="E18" s="3" t="n">
        <v>5.2</v>
      </c>
      <c r="F18" s="3" t="n">
        <v>5.2</v>
      </c>
      <c r="G18" s="3" t="n">
        <v>5.2</v>
      </c>
      <c r="H18" s="3" t="n">
        <v>5.2</v>
      </c>
      <c r="I18" s="3" t="n">
        <v>5.2</v>
      </c>
      <c r="J18" s="3" t="n">
        <v>5.2</v>
      </c>
      <c r="K18" s="3" t="n">
        <v>5.2</v>
      </c>
      <c r="L18" s="3" t="n">
        <v>5.2</v>
      </c>
    </row>
    <row r="19" customFormat="false" ht="15" hidden="false" customHeight="false" outlineLevel="0" collapsed="false">
      <c r="A19" s="0" t="s">
        <v>104</v>
      </c>
      <c r="C19" s="3" t="n">
        <v>28</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105</v>
      </c>
      <c r="B20" s="3" t="n">
        <v>8</v>
      </c>
    </row>
    <row r="21" customFormat="false" ht="15" hidden="false" customHeight="false" outlineLevel="0" collapsed="false">
      <c r="A21" s="0" t="s">
        <v>106</v>
      </c>
      <c r="B21" s="3" t="n">
        <v>1.5</v>
      </c>
    </row>
    <row r="22" customFormat="false" ht="15" hidden="false" customHeight="false" outlineLevel="0" collapsed="false">
      <c r="A22" s="0" t="s">
        <v>107</v>
      </c>
      <c r="B22" s="3" t="n">
        <v>12</v>
      </c>
    </row>
    <row r="23" customFormat="false" ht="15" hidden="false" customHeight="false" outlineLevel="0" collapsed="false">
      <c r="A23" s="0" t="s">
        <v>108</v>
      </c>
      <c r="B23" s="3" t="n">
        <v>-20</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-2</v>
      </c>
      <c r="D27" s="3" t="n">
        <v>3</v>
      </c>
      <c r="E27" s="3" t="n">
        <v>4</v>
      </c>
      <c r="F27" s="3" t="n">
        <v>4</v>
      </c>
      <c r="G27" s="3" t="n">
        <v>3.5</v>
      </c>
      <c r="H27" s="3" t="n">
        <v>3</v>
      </c>
      <c r="I27" s="3" t="n">
        <v>2.5</v>
      </c>
      <c r="J27" s="3" t="n">
        <v>2.5</v>
      </c>
      <c r="K27" s="3" t="n">
        <v>2.5</v>
      </c>
      <c r="L27" s="3" t="n">
        <v>2.5</v>
      </c>
    </row>
    <row r="28" customFormat="false" ht="15" hidden="false" customHeight="false" outlineLevel="0" collapsed="false">
      <c r="A28" s="0" t="s">
        <v>99</v>
      </c>
      <c r="C28" s="3" t="n">
        <v>5.8</v>
      </c>
      <c r="D28" s="3" t="n">
        <v>7.5</v>
      </c>
      <c r="E28" s="3" t="n">
        <v>9</v>
      </c>
      <c r="F28" s="3" t="n">
        <v>10.5</v>
      </c>
      <c r="G28" s="3" t="n">
        <v>11.5</v>
      </c>
      <c r="H28" s="3" t="n">
        <v>12.5</v>
      </c>
      <c r="I28" s="3" t="n">
        <v>13</v>
      </c>
      <c r="J28" s="3" t="n">
        <v>13</v>
      </c>
      <c r="K28" s="3" t="n">
        <v>13</v>
      </c>
      <c r="L28" s="3" t="n">
        <v>13</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1.45</v>
      </c>
      <c r="D30" s="3" t="n">
        <v>1.45</v>
      </c>
      <c r="E30" s="3" t="n">
        <v>1.45</v>
      </c>
      <c r="F30" s="3" t="n">
        <v>1.45</v>
      </c>
      <c r="G30" s="3" t="n">
        <v>1.45</v>
      </c>
      <c r="H30" s="3" t="n">
        <v>1.45</v>
      </c>
      <c r="I30" s="3" t="n">
        <v>1.45</v>
      </c>
      <c r="J30" s="3" t="n">
        <v>1.45</v>
      </c>
      <c r="K30" s="3" t="n">
        <v>1.45</v>
      </c>
      <c r="L30" s="3" t="n">
        <v>1.45</v>
      </c>
    </row>
    <row r="31" customFormat="false" ht="15" hidden="false" customHeight="false" outlineLevel="0" collapsed="false">
      <c r="A31" s="0" t="s">
        <v>102</v>
      </c>
      <c r="C31" s="3" t="n">
        <v>5.2</v>
      </c>
      <c r="D31" s="3" t="n">
        <v>5.2</v>
      </c>
      <c r="E31" s="3" t="n">
        <v>5.2</v>
      </c>
      <c r="F31" s="3" t="n">
        <v>5.2</v>
      </c>
      <c r="G31" s="3" t="n">
        <v>5.2</v>
      </c>
      <c r="H31" s="3" t="n">
        <v>5.2</v>
      </c>
      <c r="I31" s="3" t="n">
        <v>5.2</v>
      </c>
      <c r="J31" s="3" t="n">
        <v>5.2</v>
      </c>
      <c r="K31" s="3" t="n">
        <v>5.2</v>
      </c>
      <c r="L31" s="3" t="n">
        <v>5.2</v>
      </c>
    </row>
    <row r="32" customFormat="false" ht="15" hidden="false" customHeight="false" outlineLevel="0" collapsed="false">
      <c r="A32" s="0" t="s">
        <v>103</v>
      </c>
      <c r="C32" s="3" t="n">
        <v>5.5</v>
      </c>
      <c r="D32" s="3" t="n">
        <v>5.4</v>
      </c>
      <c r="E32" s="3" t="n">
        <v>5.4</v>
      </c>
      <c r="F32" s="3" t="n">
        <v>5.5</v>
      </c>
      <c r="G32" s="3" t="n">
        <v>5.5</v>
      </c>
      <c r="H32" s="3" t="n">
        <v>5.5</v>
      </c>
      <c r="I32" s="3" t="n">
        <v>5.5</v>
      </c>
      <c r="J32" s="3" t="n">
        <v>5.5</v>
      </c>
      <c r="K32" s="3" t="n">
        <v>5.5</v>
      </c>
      <c r="L32" s="3" t="n">
        <v>5.5</v>
      </c>
    </row>
    <row r="33" customFormat="false" ht="15" hidden="false" customHeight="false" outlineLevel="0" collapsed="false">
      <c r="A33" s="0" t="s">
        <v>104</v>
      </c>
      <c r="C33" s="3" t="n">
        <v>28</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105</v>
      </c>
      <c r="B34" s="3" t="n">
        <v>8</v>
      </c>
    </row>
    <row r="35" customFormat="false" ht="15" hidden="false" customHeight="false" outlineLevel="0" collapsed="false">
      <c r="A35" s="0" t="s">
        <v>106</v>
      </c>
      <c r="B35" s="3" t="n">
        <v>2</v>
      </c>
    </row>
    <row r="36" customFormat="false" ht="15" hidden="false" customHeight="false" outlineLevel="0" collapsed="false">
      <c r="A36" s="0" t="s">
        <v>107</v>
      </c>
      <c r="B36" s="3" t="n">
        <v>12</v>
      </c>
    </row>
    <row r="37" customFormat="false" ht="15" hidden="false" customHeight="false" outlineLevel="0" collapsed="false">
      <c r="A37" s="0" t="s">
        <v>108</v>
      </c>
      <c r="B37" s="3" t="n">
        <v>-20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0</v>
      </c>
      <c r="D41" s="3" t="n">
        <v>5</v>
      </c>
      <c r="E41" s="3" t="n">
        <v>6</v>
      </c>
      <c r="F41" s="3" t="n">
        <v>5</v>
      </c>
      <c r="G41" s="3" t="n">
        <v>4</v>
      </c>
      <c r="H41" s="3" t="n">
        <v>3.5</v>
      </c>
      <c r="I41" s="3" t="n">
        <v>3</v>
      </c>
      <c r="J41" s="3" t="n">
        <v>2.5</v>
      </c>
      <c r="K41" s="3" t="n">
        <v>2.5</v>
      </c>
      <c r="L41" s="3" t="n">
        <v>2.5</v>
      </c>
    </row>
    <row r="42" customFormat="false" ht="15" hidden="false" customHeight="false" outlineLevel="0" collapsed="false">
      <c r="A42" s="0" t="s">
        <v>99</v>
      </c>
      <c r="C42" s="3" t="n">
        <v>6.2</v>
      </c>
      <c r="D42" s="3" t="n">
        <v>9</v>
      </c>
      <c r="E42" s="3" t="n">
        <v>11.5</v>
      </c>
      <c r="F42" s="3" t="n">
        <v>13.5</v>
      </c>
      <c r="G42" s="3" t="n">
        <v>15</v>
      </c>
      <c r="H42" s="3" t="n">
        <v>15.5</v>
      </c>
      <c r="I42" s="3" t="n">
        <v>16</v>
      </c>
      <c r="J42" s="3" t="n">
        <v>16</v>
      </c>
      <c r="K42" s="3" t="n">
        <v>16</v>
      </c>
      <c r="L42" s="3" t="n">
        <v>16</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1.45</v>
      </c>
      <c r="D44" s="3" t="n">
        <v>1.45</v>
      </c>
      <c r="E44" s="3" t="n">
        <v>1.45</v>
      </c>
      <c r="F44" s="3" t="n">
        <v>1.45</v>
      </c>
      <c r="G44" s="3" t="n">
        <v>1.45</v>
      </c>
      <c r="H44" s="3" t="n">
        <v>1.45</v>
      </c>
      <c r="I44" s="3" t="n">
        <v>1.45</v>
      </c>
      <c r="J44" s="3" t="n">
        <v>1.45</v>
      </c>
      <c r="K44" s="3" t="n">
        <v>1.45</v>
      </c>
      <c r="L44" s="3" t="n">
        <v>1.45</v>
      </c>
    </row>
    <row r="45" customFormat="false" ht="15" hidden="false" customHeight="false" outlineLevel="0" collapsed="false">
      <c r="A45" s="0" t="s">
        <v>102</v>
      </c>
      <c r="C45" s="3" t="n">
        <v>5.2</v>
      </c>
      <c r="D45" s="3" t="n">
        <v>5.2</v>
      </c>
      <c r="E45" s="3" t="n">
        <v>5.2</v>
      </c>
      <c r="F45" s="3" t="n">
        <v>5.2</v>
      </c>
      <c r="G45" s="3" t="n">
        <v>5.2</v>
      </c>
      <c r="H45" s="3" t="n">
        <v>5.2</v>
      </c>
      <c r="I45" s="3" t="n">
        <v>5.2</v>
      </c>
      <c r="J45" s="3" t="n">
        <v>5.2</v>
      </c>
      <c r="K45" s="3" t="n">
        <v>5.2</v>
      </c>
      <c r="L45" s="3" t="n">
        <v>5.2</v>
      </c>
    </row>
    <row r="46" customFormat="false" ht="15" hidden="false" customHeight="false" outlineLevel="0" collapsed="false">
      <c r="A46" s="0" t="s">
        <v>103</v>
      </c>
      <c r="C46" s="3" t="n">
        <v>5.5</v>
      </c>
      <c r="D46" s="3" t="n">
        <v>5.6</v>
      </c>
      <c r="E46" s="3" t="n">
        <v>5.8</v>
      </c>
      <c r="F46" s="3" t="n">
        <v>5.8</v>
      </c>
      <c r="G46" s="3" t="n">
        <v>5.8</v>
      </c>
      <c r="H46" s="3" t="n">
        <v>5.8</v>
      </c>
      <c r="I46" s="3" t="n">
        <v>5.8</v>
      </c>
      <c r="J46" s="3" t="n">
        <v>5.8</v>
      </c>
      <c r="K46" s="3" t="n">
        <v>5.8</v>
      </c>
      <c r="L46" s="3" t="n">
        <v>5.8</v>
      </c>
    </row>
    <row r="47" customFormat="false" ht="15" hidden="false" customHeight="false" outlineLevel="0" collapsed="false">
      <c r="A47" s="0" t="s">
        <v>104</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105</v>
      </c>
      <c r="B48" s="3" t="n">
        <v>8</v>
      </c>
    </row>
    <row r="49" customFormat="false" ht="15" hidden="false" customHeight="false" outlineLevel="0" collapsed="false">
      <c r="A49" s="0" t="s">
        <v>106</v>
      </c>
      <c r="B49" s="3" t="n">
        <v>2</v>
      </c>
    </row>
    <row r="50" customFormat="false" ht="15" hidden="false" customHeight="false" outlineLevel="0" collapsed="false">
      <c r="A50" s="0" t="s">
        <v>107</v>
      </c>
      <c r="B50" s="3" t="n">
        <v>12</v>
      </c>
    </row>
    <row r="51" customFormat="false" ht="15" hidden="false" customHeight="false" outlineLevel="0" collapsed="false">
      <c r="A51" s="0" t="s">
        <v>108</v>
      </c>
      <c r="B51" s="3" t="n">
        <v>-20</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-4</v>
      </c>
      <c r="D5" s="4" t="n">
        <f aca="false">Assumptions!D13</f>
        <v>0</v>
      </c>
      <c r="E5" s="4" t="n">
        <f aca="false">Assumptions!E13</f>
        <v>2</v>
      </c>
      <c r="F5" s="4" t="n">
        <f aca="false">Assumptions!F13</f>
        <v>2.5</v>
      </c>
      <c r="G5" s="4" t="n">
        <f aca="false">Assumptions!G13</f>
        <v>2.5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12942</v>
      </c>
      <c r="C6" s="0" t="n">
        <f aca="false">B6*(1+C5/100)</f>
        <v>12424.32</v>
      </c>
      <c r="D6" s="0" t="n">
        <f aca="false">C6*(1+D5/100)</f>
        <v>12424.32</v>
      </c>
      <c r="E6" s="0" t="n">
        <f aca="false">D6*(1+E5/100)</f>
        <v>12672.8064</v>
      </c>
      <c r="F6" s="0" t="n">
        <f aca="false">E6*(1+F5/100)</f>
        <v>12989.62656</v>
      </c>
      <c r="G6" s="0" t="n">
        <f aca="false">F6*(1+G5/100)</f>
        <v>13314.367224</v>
      </c>
      <c r="H6" s="0" t="n">
        <f aca="false">G6*(1+H5/100)</f>
        <v>13580.65456848</v>
      </c>
      <c r="I6" s="0" t="n">
        <f aca="false">H6*(1+I5/100)</f>
        <v>13852.2676598496</v>
      </c>
      <c r="J6" s="0" t="n">
        <f aca="false">I6*(1+J5/100)</f>
        <v>14129.3130130466</v>
      </c>
      <c r="K6" s="0" t="n">
        <f aca="false">J6*(1+K5/100)</f>
        <v>14411.8992733075</v>
      </c>
      <c r="L6" s="0" t="n">
        <f aca="false">K6*(1+L5/100)</f>
        <v>14700.1372587737</v>
      </c>
    </row>
    <row r="7" customFormat="false" ht="15" hidden="false" customHeight="false" outlineLevel="0" collapsed="false">
      <c r="A7" s="0" t="s">
        <v>99</v>
      </c>
      <c r="C7" s="4" t="n">
        <f aca="false">Assumptions!C14</f>
        <v>5</v>
      </c>
      <c r="D7" s="4" t="n">
        <f aca="false">Assumptions!D14</f>
        <v>5.5</v>
      </c>
      <c r="E7" s="4" t="n">
        <f aca="false">Assumptions!E14</f>
        <v>6.5</v>
      </c>
      <c r="F7" s="4" t="n">
        <f aca="false">Assumptions!F14</f>
        <v>7</v>
      </c>
      <c r="G7" s="4" t="n">
        <f aca="false">Assumptions!G14</f>
        <v>7.5</v>
      </c>
      <c r="H7" s="4" t="n">
        <f aca="false">Assumptions!H14</f>
        <v>8.5</v>
      </c>
      <c r="I7" s="4" t="n">
        <f aca="false">Assumptions!I14</f>
        <v>9</v>
      </c>
      <c r="J7" s="4" t="n">
        <f aca="false">Assumptions!J14</f>
        <v>9</v>
      </c>
      <c r="K7" s="4" t="n">
        <f aca="false">Assumptions!K14</f>
        <v>9</v>
      </c>
      <c r="L7" s="4" t="n">
        <f aca="false">Assumptions!L14</f>
        <v>9</v>
      </c>
    </row>
    <row r="8" customFormat="false" ht="15" hidden="false" customHeight="false" outlineLevel="0" collapsed="false">
      <c r="A8" s="0" t="s">
        <v>43</v>
      </c>
      <c r="C8" s="0" t="n">
        <f aca="false">C6*C7/100</f>
        <v>621.216</v>
      </c>
      <c r="D8" s="0" t="n">
        <f aca="false">D6*D7/100</f>
        <v>683.3376</v>
      </c>
      <c r="E8" s="0" t="n">
        <f aca="false">E6*E7/100</f>
        <v>823.732416</v>
      </c>
      <c r="F8" s="0" t="n">
        <f aca="false">F6*F7/100</f>
        <v>909.2738592</v>
      </c>
      <c r="G8" s="0" t="n">
        <f aca="false">G6*G7/100</f>
        <v>998.5775418</v>
      </c>
      <c r="H8" s="0" t="n">
        <f aca="false">H6*H7/100</f>
        <v>1154.3556383208</v>
      </c>
      <c r="I8" s="0" t="n">
        <f aca="false">I6*I7/100</f>
        <v>1246.70408938646</v>
      </c>
      <c r="J8" s="0" t="n">
        <f aca="false">J6*J7/100</f>
        <v>1271.63817117419</v>
      </c>
      <c r="K8" s="0" t="n">
        <f aca="false">K6*K7/100</f>
        <v>1297.07093459768</v>
      </c>
      <c r="L8" s="0" t="n">
        <f aca="false">L6*L7/100</f>
        <v>1323.01235328963</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441.06336</v>
      </c>
      <c r="D11" s="0" t="n">
        <f aca="false">D8+D10+D24</f>
        <v>503.18496</v>
      </c>
      <c r="E11" s="0" t="n">
        <f aca="false">E8+E10+E24</f>
        <v>639.9767232</v>
      </c>
      <c r="F11" s="0" t="n">
        <f aca="false">F8+F10+F24</f>
        <v>720.92427408</v>
      </c>
      <c r="G11" s="0" t="n">
        <f aca="false">G8+G10+G24</f>
        <v>805.519217052</v>
      </c>
      <c r="H11" s="0" t="n">
        <f aca="false">H8+H10+H24</f>
        <v>957.43614707784</v>
      </c>
      <c r="I11" s="0" t="n">
        <f aca="false">I8+I10+I24</f>
        <v>1045.84620831864</v>
      </c>
      <c r="J11" s="0" t="n">
        <f aca="false">J8+J10+J24</f>
        <v>1066.76313248502</v>
      </c>
      <c r="K11" s="0" t="n">
        <f aca="false">K8+K10+K24</f>
        <v>1088.09839513472</v>
      </c>
      <c r="L11" s="0" t="n">
        <f aca="false">L8+L10+L24</f>
        <v>1109.86036303741</v>
      </c>
    </row>
    <row r="12" customFormat="false" ht="15" hidden="false" customHeight="false" outlineLevel="0" collapsed="false">
      <c r="A12" s="0" t="s">
        <v>117</v>
      </c>
      <c r="C12" s="4" t="n">
        <f aca="false">-C6*Assumptions!C17/100</f>
        <v>-646.06464</v>
      </c>
      <c r="D12" s="4" t="n">
        <f aca="false">-D6*Assumptions!D17/100</f>
        <v>-646.06464</v>
      </c>
      <c r="E12" s="4" t="n">
        <f aca="false">-E6*Assumptions!E17/100</f>
        <v>-658.9859328</v>
      </c>
      <c r="F12" s="4" t="n">
        <f aca="false">-F6*Assumptions!F17/100</f>
        <v>-675.46058112</v>
      </c>
      <c r="G12" s="4" t="n">
        <f aca="false">-G6*Assumptions!G17/100</f>
        <v>-692.347095648</v>
      </c>
      <c r="H12" s="4" t="n">
        <f aca="false">-H6*Assumptions!H17/100</f>
        <v>-706.19403756096</v>
      </c>
      <c r="I12" s="4" t="n">
        <f aca="false">-I6*Assumptions!I17/100</f>
        <v>-720.317918312179</v>
      </c>
      <c r="J12" s="4" t="n">
        <f aca="false">-J6*Assumptions!J17/100</f>
        <v>-734.724276678423</v>
      </c>
      <c r="K12" s="4" t="n">
        <f aca="false">-K6*Assumptions!K17/100</f>
        <v>-749.418762211991</v>
      </c>
      <c r="L12" s="4" t="n">
        <f aca="false">-L6*Assumptions!L17/100</f>
        <v>-764.407137456231</v>
      </c>
    </row>
    <row r="13" customFormat="false" ht="15" hidden="false" customHeight="false" outlineLevel="0" collapsed="false">
      <c r="A13" s="0" t="s">
        <v>118</v>
      </c>
      <c r="C13" s="0" t="n">
        <f aca="false">C11+C12</f>
        <v>-205.00128</v>
      </c>
      <c r="D13" s="0" t="n">
        <f aca="false">D11+D12</f>
        <v>-142.87968</v>
      </c>
      <c r="E13" s="0" t="n">
        <f aca="false">E11+E12</f>
        <v>-19.0092096000001</v>
      </c>
      <c r="F13" s="0" t="n">
        <f aca="false">F11+F12</f>
        <v>45.4636929599998</v>
      </c>
      <c r="G13" s="0" t="n">
        <f aca="false">G11+G12</f>
        <v>113.172121404</v>
      </c>
      <c r="H13" s="0" t="n">
        <f aca="false">H11+H12</f>
        <v>251.24210951688</v>
      </c>
      <c r="I13" s="0" t="n">
        <f aca="false">I11+I12</f>
        <v>325.528290006466</v>
      </c>
      <c r="J13" s="0" t="n">
        <f aca="false">J11+J12</f>
        <v>332.038855806595</v>
      </c>
      <c r="K13" s="0" t="n">
        <f aca="false">K11+K12</f>
        <v>338.679632922727</v>
      </c>
      <c r="L13" s="0" t="n">
        <f aca="false">L11+L12</f>
        <v>345.453225581181</v>
      </c>
    </row>
    <row r="14" customFormat="false" ht="15" hidden="false" customHeight="false" outlineLevel="0" collapsed="false">
      <c r="A14" s="0" t="s">
        <v>104</v>
      </c>
      <c r="C14" s="4" t="n">
        <f aca="false">Assumptions!C19</f>
        <v>28</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119</v>
      </c>
      <c r="C15" s="0" t="n">
        <f aca="false">C13-MAX(0,C13)*C14/100</f>
        <v>-205.00128</v>
      </c>
      <c r="D15" s="0" t="n">
        <f aca="false">D13-MAX(0,D13)*D14/100</f>
        <v>-142.87968</v>
      </c>
      <c r="E15" s="0" t="n">
        <f aca="false">E13-MAX(0,E13)*E14/100</f>
        <v>-19.0092096000001</v>
      </c>
      <c r="F15" s="0" t="n">
        <f aca="false">F13-MAX(0,F13)*F14/100</f>
        <v>32.7338589311998</v>
      </c>
      <c r="G15" s="0" t="n">
        <f aca="false">G13-MAX(0,G13)*G14/100</f>
        <v>81.4839274108799</v>
      </c>
      <c r="H15" s="0" t="n">
        <f aca="false">H13-MAX(0,H13)*H14/100</f>
        <v>180.894318852154</v>
      </c>
      <c r="I15" s="0" t="n">
        <f aca="false">I13-MAX(0,I13)*I14/100</f>
        <v>234.380368804655</v>
      </c>
      <c r="J15" s="0" t="n">
        <f aca="false">J13-MAX(0,J13)*J14/100</f>
        <v>239.067976180748</v>
      </c>
      <c r="K15" s="0" t="n">
        <f aca="false">K13-MAX(0,K13)*K14/100</f>
        <v>243.849335704363</v>
      </c>
      <c r="L15" s="0" t="n">
        <f aca="false">L13-MAX(0,L13)*L14/100</f>
        <v>248.726322418451</v>
      </c>
    </row>
    <row r="16" customFormat="false" ht="15" hidden="false" customHeight="false" outlineLevel="0" collapsed="false">
      <c r="A16" s="0" t="s">
        <v>120</v>
      </c>
      <c r="C16" s="0" t="n">
        <f aca="false">-C12</f>
        <v>646.06464</v>
      </c>
      <c r="D16" s="0" t="n">
        <f aca="false">-D12</f>
        <v>646.06464</v>
      </c>
      <c r="E16" s="0" t="n">
        <f aca="false">-E12</f>
        <v>658.9859328</v>
      </c>
      <c r="F16" s="0" t="n">
        <f aca="false">-F12</f>
        <v>675.46058112</v>
      </c>
      <c r="G16" s="0" t="n">
        <f aca="false">-G12</f>
        <v>692.347095648</v>
      </c>
      <c r="H16" s="0" t="n">
        <f aca="false">-H12</f>
        <v>706.19403756096</v>
      </c>
      <c r="I16" s="0" t="n">
        <f aca="false">-I12</f>
        <v>720.317918312179</v>
      </c>
      <c r="J16" s="0" t="n">
        <f aca="false">-J12</f>
        <v>734.724276678423</v>
      </c>
      <c r="K16" s="0" t="n">
        <f aca="false">-K12</f>
        <v>749.418762211991</v>
      </c>
      <c r="L16" s="0" t="n">
        <f aca="false">-L12</f>
        <v>764.407137456231</v>
      </c>
    </row>
    <row r="17" customFormat="false" ht="15" hidden="false" customHeight="false" outlineLevel="0" collapsed="false">
      <c r="A17" s="0" t="s">
        <v>121</v>
      </c>
      <c r="C17" s="4" t="n">
        <f aca="false">-C6*Assumptions!C18/100</f>
        <v>-621.216</v>
      </c>
      <c r="D17" s="4" t="n">
        <f aca="false">-D6*Assumptions!D18/100</f>
        <v>-621.216</v>
      </c>
      <c r="E17" s="4" t="n">
        <f aca="false">-E6*Assumptions!E18/100</f>
        <v>-658.9859328</v>
      </c>
      <c r="F17" s="4" t="n">
        <f aca="false">-F6*Assumptions!F18/100</f>
        <v>-675.46058112</v>
      </c>
      <c r="G17" s="4" t="n">
        <f aca="false">-G6*Assumptions!G18/100</f>
        <v>-692.347095648</v>
      </c>
      <c r="H17" s="4" t="n">
        <f aca="false">-H6*Assumptions!H18/100</f>
        <v>-706.19403756096</v>
      </c>
      <c r="I17" s="4" t="n">
        <f aca="false">-I6*Assumptions!I18/100</f>
        <v>-720.317918312179</v>
      </c>
      <c r="J17" s="4" t="n">
        <f aca="false">-J6*Assumptions!J18/100</f>
        <v>-734.724276678423</v>
      </c>
      <c r="K17" s="4" t="n">
        <f aca="false">-K6*Assumptions!K18/100</f>
        <v>-749.418762211991</v>
      </c>
      <c r="L17" s="4" t="n">
        <f aca="false">-L6*Assumptions!L18/100</f>
        <v>-764.407137456231</v>
      </c>
    </row>
    <row r="18" customFormat="false" ht="15" hidden="false" customHeight="false" outlineLevel="0" collapsed="false">
      <c r="A18" s="0" t="s">
        <v>122</v>
      </c>
      <c r="C18" s="4" t="n">
        <f aca="false">(C6-B6)*Assumptions!$B$23/100</f>
        <v>103.536</v>
      </c>
      <c r="D18" s="4" t="n">
        <f aca="false">(D6-C6)*Assumptions!$B$23/100</f>
        <v>-0</v>
      </c>
      <c r="E18" s="4" t="n">
        <f aca="false">(E6-D6)*Assumptions!$B$23/100</f>
        <v>-49.69728</v>
      </c>
      <c r="F18" s="4" t="n">
        <f aca="false">(F6-E6)*Assumptions!$B$23/100</f>
        <v>-63.3640319999999</v>
      </c>
      <c r="G18" s="4" t="n">
        <f aca="false">(G6-F6)*Assumptions!$B$23/100</f>
        <v>-64.9481327999998</v>
      </c>
      <c r="H18" s="4" t="n">
        <f aca="false">(H6-G6)*Assumptions!$B$23/100</f>
        <v>-53.2574688960001</v>
      </c>
      <c r="I18" s="4" t="n">
        <f aca="false">(I6-H6)*Assumptions!$B$23/100</f>
        <v>-54.3226182739199</v>
      </c>
      <c r="J18" s="4" t="n">
        <f aca="false">(J6-I6)*Assumptions!$B$23/100</f>
        <v>-55.4090706393985</v>
      </c>
      <c r="K18" s="4" t="n">
        <f aca="false">(K6-J6)*Assumptions!$B$23/100</f>
        <v>-56.5172520521865</v>
      </c>
      <c r="L18" s="4" t="n">
        <f aca="false">(L6-K6)*Assumptions!$B$23/100</f>
        <v>-57.6475970932301</v>
      </c>
    </row>
    <row r="19" customFormat="false" ht="15" hidden="false" customHeight="false" outlineLevel="0" collapsed="false">
      <c r="A19" s="0" t="s">
        <v>123</v>
      </c>
      <c r="C19" s="0" t="n">
        <f aca="false">C15+C16+C17+C18</f>
        <v>-76.61664</v>
      </c>
      <c r="D19" s="0" t="n">
        <f aca="false">D15+D16+D17+D18</f>
        <v>-118.03104</v>
      </c>
      <c r="E19" s="0" t="n">
        <f aca="false">E15+E16+E17+E18</f>
        <v>-68.7064896</v>
      </c>
      <c r="F19" s="0" t="n">
        <f aca="false">F15+F16+F17+F18</f>
        <v>-30.6301730688</v>
      </c>
      <c r="G19" s="0" t="n">
        <f aca="false">G15+G16+G17+G18</f>
        <v>16.5357946108801</v>
      </c>
      <c r="H19" s="0" t="n">
        <f aca="false">H15+H16+H17+H18</f>
        <v>127.636849956153</v>
      </c>
      <c r="I19" s="0" t="n">
        <f aca="false">I15+I16+I17+I18</f>
        <v>180.057750530735</v>
      </c>
      <c r="J19" s="0" t="n">
        <f aca="false">J15+J16+J17+J18</f>
        <v>183.65890554135</v>
      </c>
      <c r="K19" s="0" t="n">
        <f aca="false">K15+K16+K17+K18</f>
        <v>187.332083652177</v>
      </c>
      <c r="L19" s="0" t="n">
        <f aca="false">L15+L16+L17+L18</f>
        <v>191.07872532522</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-70.9413333333333</v>
      </c>
      <c r="D21" s="0" t="n">
        <f aca="false">D19*D20</f>
        <v>-101.192592592593</v>
      </c>
      <c r="E21" s="0" t="n">
        <f aca="false">E19*E20</f>
        <v>-54.541426611797</v>
      </c>
      <c r="F21" s="0" t="n">
        <f aca="false">F19*F20</f>
        <v>-22.51409160189</v>
      </c>
      <c r="G21" s="0" t="n">
        <f aca="false">G19*G20</f>
        <v>11.2539839617663</v>
      </c>
      <c r="H21" s="0" t="n">
        <f aca="false">H19*H20</f>
        <v>80.432866113404</v>
      </c>
      <c r="I21" s="0" t="n">
        <f aca="false">I19*I20</f>
        <v>105.061968027189</v>
      </c>
      <c r="J21" s="0" t="n">
        <f aca="false">J19*J20</f>
        <v>99.2251920256788</v>
      </c>
      <c r="K21" s="0" t="n">
        <f aca="false">K19*K20</f>
        <v>93.7126813575855</v>
      </c>
      <c r="L21" s="0" t="n">
        <f aca="false">L19*L20</f>
        <v>88.5064212821641</v>
      </c>
    </row>
    <row r="23" customFormat="false" ht="15" hidden="false" customHeight="false" outlineLevel="0" collapsed="false">
      <c r="A23" s="0" t="s">
        <v>101</v>
      </c>
      <c r="C23" s="4" t="n">
        <f aca="false">Assumptions!C16</f>
        <v>1.45</v>
      </c>
      <c r="D23" s="4" t="n">
        <f aca="false">Assumptions!D16</f>
        <v>1.45</v>
      </c>
      <c r="E23" s="4" t="n">
        <f aca="false">Assumptions!E16</f>
        <v>1.45</v>
      </c>
      <c r="F23" s="4" t="n">
        <f aca="false">Assumptions!F16</f>
        <v>1.45</v>
      </c>
      <c r="G23" s="4" t="n">
        <f aca="false">Assumptions!G16</f>
        <v>1.45</v>
      </c>
      <c r="H23" s="4" t="n">
        <f aca="false">Assumptions!H16</f>
        <v>1.45</v>
      </c>
      <c r="I23" s="4" t="n">
        <f aca="false">Assumptions!I16</f>
        <v>1.45</v>
      </c>
      <c r="J23" s="4" t="n">
        <f aca="false">Assumptions!J16</f>
        <v>1.45</v>
      </c>
      <c r="K23" s="4" t="n">
        <f aca="false">Assumptions!K16</f>
        <v>1.45</v>
      </c>
      <c r="L23" s="4" t="n">
        <f aca="false">Assumptions!L16</f>
        <v>1.45</v>
      </c>
    </row>
    <row r="24" customFormat="false" ht="15" hidden="false" customHeight="false" outlineLevel="0" collapsed="false">
      <c r="A24" s="0" t="s">
        <v>126</v>
      </c>
      <c r="C24" s="0" t="n">
        <f aca="false">-C6*C23/100</f>
        <v>-180.15264</v>
      </c>
      <c r="D24" s="0" t="n">
        <f aca="false">-D6*D23/100</f>
        <v>-180.15264</v>
      </c>
      <c r="E24" s="0" t="n">
        <f aca="false">-E6*E23/100</f>
        <v>-183.7556928</v>
      </c>
      <c r="F24" s="0" t="n">
        <f aca="false">-F6*F23/100</f>
        <v>-188.34958512</v>
      </c>
      <c r="G24" s="0" t="n">
        <f aca="false">-G6*G23/100</f>
        <v>-193.058324748</v>
      </c>
      <c r="H24" s="0" t="n">
        <f aca="false">-H6*H23/100</f>
        <v>-196.91949124296</v>
      </c>
      <c r="I24" s="0" t="n">
        <f aca="false">-I6*I23/100</f>
        <v>-200.857881067819</v>
      </c>
      <c r="J24" s="0" t="n">
        <f aca="false">-J6*J23/100</f>
        <v>-204.875038689176</v>
      </c>
      <c r="K24" s="0" t="n">
        <f aca="false">-K6*K23/100</f>
        <v>-208.972539462959</v>
      </c>
      <c r="L24" s="0" t="n">
        <f aca="false">-L6*L23/100</f>
        <v>-213.151990252218</v>
      </c>
    </row>
    <row r="26" customFormat="false" ht="15" hidden="false" customHeight="false" outlineLevel="0" collapsed="false">
      <c r="A26" s="2" t="s">
        <v>127</v>
      </c>
    </row>
    <row r="27" customFormat="false" ht="15" hidden="false" customHeight="false" outlineLevel="0" collapsed="false">
      <c r="A27" s="0" t="s">
        <v>105</v>
      </c>
      <c r="B27" s="4" t="n">
        <f aca="false">Assumptions!$B$20</f>
        <v>8</v>
      </c>
    </row>
    <row r="28" customFormat="false" ht="15" hidden="false" customHeight="false" outlineLevel="0" collapsed="false">
      <c r="A28" s="0" t="s">
        <v>106</v>
      </c>
      <c r="B28" s="4" t="n">
        <f aca="false">Assumptions!$B$21</f>
        <v>1.5</v>
      </c>
    </row>
    <row r="29" customFormat="false" ht="15" hidden="false" customHeight="false" outlineLevel="0" collapsed="false">
      <c r="A29" s="0" t="s">
        <v>107</v>
      </c>
      <c r="B29" s="4" t="n">
        <f aca="false">Assumptions!$B$22</f>
        <v>12</v>
      </c>
    </row>
    <row r="30" customFormat="false" ht="15" hidden="false" customHeight="false" outlineLevel="0" collapsed="false">
      <c r="A30" s="0" t="s">
        <v>128</v>
      </c>
      <c r="B30" s="0" t="n">
        <f aca="false">SUM(C21:L21)</f>
        <v>229.003668628175</v>
      </c>
    </row>
    <row r="31" customFormat="false" ht="15" hidden="false" customHeight="false" outlineLevel="0" collapsed="false">
      <c r="A31" s="0" t="s">
        <v>129</v>
      </c>
      <c r="B31" s="0" t="n">
        <f aca="false">L19</f>
        <v>191.07872532522</v>
      </c>
    </row>
    <row r="32" customFormat="false" ht="15" hidden="false" customHeight="false" outlineLevel="0" collapsed="false">
      <c r="A32" s="0" t="s">
        <v>130</v>
      </c>
      <c r="B32" s="0" t="n">
        <f aca="false">IF(B27&gt;B28,B31*(1+B28/100)/((B27-B28)/100),B31*B29)</f>
        <v>2983.76778777075</v>
      </c>
    </row>
    <row r="33" customFormat="false" ht="15" hidden="false" customHeight="false" outlineLevel="0" collapsed="false">
      <c r="A33" s="0" t="s">
        <v>131</v>
      </c>
      <c r="B33" s="0" t="n">
        <f aca="false">B31*B29</f>
        <v>2292.94470390265</v>
      </c>
    </row>
    <row r="34" customFormat="false" ht="15" hidden="false" customHeight="false" outlineLevel="0" collapsed="false">
      <c r="A34" s="0" t="s">
        <v>132</v>
      </c>
      <c r="B34" s="0" t="n">
        <f aca="false">MAX(0,MIN(B32,B33))</f>
        <v>2292.94470390265</v>
      </c>
    </row>
    <row r="35" customFormat="false" ht="15" hidden="false" customHeight="false" outlineLevel="0" collapsed="false">
      <c r="A35" s="0" t="s">
        <v>133</v>
      </c>
      <c r="B35" s="0" t="n">
        <f aca="false">B34/(1+B27/100)^L4</f>
        <v>1062.07705538597</v>
      </c>
    </row>
    <row r="36" customFormat="false" ht="15" hidden="false" customHeight="false" outlineLevel="0" collapsed="false">
      <c r="A36" s="0" t="s">
        <v>134</v>
      </c>
      <c r="B36" s="0" t="n">
        <f aca="false">B30+B35</f>
        <v>1291.08072401414</v>
      </c>
    </row>
    <row r="37" customFormat="false" ht="15" hidden="false" customHeight="false" outlineLevel="0" collapsed="false">
      <c r="A37" s="0" t="s">
        <v>135</v>
      </c>
      <c r="B37" s="0" t="n">
        <f aca="false">B36+Assumptions!$B$5-Assumptions!$B$4</f>
        <v>-385.919275985855</v>
      </c>
    </row>
    <row r="38" customFormat="false" ht="15" hidden="false" customHeight="false" outlineLevel="0" collapsed="false">
      <c r="A38" s="0" t="s">
        <v>136</v>
      </c>
      <c r="B38" s="0" t="n">
        <f aca="false">B37/Assumptions!$B$3*Assumptions!$B$10</f>
        <v>-1.85859793867201</v>
      </c>
    </row>
    <row r="39" customFormat="false" ht="15" hidden="false" customHeight="false" outlineLevel="0" collapsed="false">
      <c r="A39" s="0" t="s">
        <v>137</v>
      </c>
      <c r="B39" s="4" t="n">
        <f aca="false">B38/Assumptions!$B$2-1</f>
        <v>-1.0308737199115</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-1.85859793867201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1436.62893485258</v>
      </c>
    </row>
    <row r="47" customFormat="false" ht="15" hidden="false" customHeight="false" outlineLevel="0" collapsed="false">
      <c r="A47" s="0" t="s">
        <v>142</v>
      </c>
      <c r="B47" s="0" t="n">
        <f aca="false">(SUMPRODUCT(C19:L19/(1+B45/100)^C4:L4)+B46/(1+B45/100)^L4+Assumptions!$B$5-Assumptions!$B$4)/Assumptions!$B$3*Assumptions!$B$10</f>
        <v>-6.0144156593059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-2</v>
      </c>
      <c r="D5" s="4" t="n">
        <f aca="false">Assumptions!D27</f>
        <v>3</v>
      </c>
      <c r="E5" s="4" t="n">
        <f aca="false">Assumptions!E27</f>
        <v>4</v>
      </c>
      <c r="F5" s="4" t="n">
        <f aca="false">Assumptions!F27</f>
        <v>4</v>
      </c>
      <c r="G5" s="4" t="n">
        <f aca="false">Assumptions!G27</f>
        <v>3.5</v>
      </c>
      <c r="H5" s="4" t="n">
        <f aca="false">Assumptions!H27</f>
        <v>3</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12942</v>
      </c>
      <c r="C6" s="0" t="n">
        <f aca="false">B6*(1+C5/100)</f>
        <v>12683.16</v>
      </c>
      <c r="D6" s="0" t="n">
        <f aca="false">C6*(1+D5/100)</f>
        <v>13063.6548</v>
      </c>
      <c r="E6" s="0" t="n">
        <f aca="false">D6*(1+E5/100)</f>
        <v>13586.200992</v>
      </c>
      <c r="F6" s="0" t="n">
        <f aca="false">E6*(1+F5/100)</f>
        <v>14129.64903168</v>
      </c>
      <c r="G6" s="0" t="n">
        <f aca="false">F6*(1+G5/100)</f>
        <v>14624.1867477888</v>
      </c>
      <c r="H6" s="0" t="n">
        <f aca="false">G6*(1+H5/100)</f>
        <v>15062.9123502225</v>
      </c>
      <c r="I6" s="0" t="n">
        <f aca="false">H6*(1+I5/100)</f>
        <v>15439.485158978</v>
      </c>
      <c r="J6" s="0" t="n">
        <f aca="false">I6*(1+J5/100)</f>
        <v>15825.4722879525</v>
      </c>
      <c r="K6" s="0" t="n">
        <f aca="false">J6*(1+K5/100)</f>
        <v>16221.1090951513</v>
      </c>
      <c r="L6" s="0" t="n">
        <f aca="false">K6*(1+L5/100)</f>
        <v>16626.6368225301</v>
      </c>
    </row>
    <row r="7" customFormat="false" ht="15" hidden="false" customHeight="false" outlineLevel="0" collapsed="false">
      <c r="A7" s="0" t="s">
        <v>99</v>
      </c>
      <c r="C7" s="4" t="n">
        <f aca="false">Assumptions!C28</f>
        <v>5.8</v>
      </c>
      <c r="D7" s="4" t="n">
        <f aca="false">Assumptions!D28</f>
        <v>7.5</v>
      </c>
      <c r="E7" s="4" t="n">
        <f aca="false">Assumptions!E28</f>
        <v>9</v>
      </c>
      <c r="F7" s="4" t="n">
        <f aca="false">Assumptions!F28</f>
        <v>10.5</v>
      </c>
      <c r="G7" s="4" t="n">
        <f aca="false">Assumptions!G28</f>
        <v>11.5</v>
      </c>
      <c r="H7" s="4" t="n">
        <f aca="false">Assumptions!H28</f>
        <v>12.5</v>
      </c>
      <c r="I7" s="4" t="n">
        <f aca="false">Assumptions!I28</f>
        <v>13</v>
      </c>
      <c r="J7" s="4" t="n">
        <f aca="false">Assumptions!J28</f>
        <v>13</v>
      </c>
      <c r="K7" s="4" t="n">
        <f aca="false">Assumptions!K28</f>
        <v>13</v>
      </c>
      <c r="L7" s="4" t="n">
        <f aca="false">Assumptions!L28</f>
        <v>13</v>
      </c>
    </row>
    <row r="8" customFormat="false" ht="15" hidden="false" customHeight="false" outlineLevel="0" collapsed="false">
      <c r="A8" s="0" t="s">
        <v>43</v>
      </c>
      <c r="C8" s="0" t="n">
        <f aca="false">C6*C7/100</f>
        <v>735.62328</v>
      </c>
      <c r="D8" s="0" t="n">
        <f aca="false">D6*D7/100</f>
        <v>979.77411</v>
      </c>
      <c r="E8" s="0" t="n">
        <f aca="false">E6*E7/100</f>
        <v>1222.75808928</v>
      </c>
      <c r="F8" s="0" t="n">
        <f aca="false">F6*F7/100</f>
        <v>1483.6131483264</v>
      </c>
      <c r="G8" s="0" t="n">
        <f aca="false">G6*G7/100</f>
        <v>1681.78147599571</v>
      </c>
      <c r="H8" s="0" t="n">
        <f aca="false">H6*H7/100</f>
        <v>1882.86404377781</v>
      </c>
      <c r="I8" s="0" t="n">
        <f aca="false">I6*I7/100</f>
        <v>2007.13307066714</v>
      </c>
      <c r="J8" s="0" t="n">
        <f aca="false">J6*J7/100</f>
        <v>2057.31139743382</v>
      </c>
      <c r="K8" s="0" t="n">
        <f aca="false">K6*K7/100</f>
        <v>2108.74418236967</v>
      </c>
      <c r="L8" s="0" t="n">
        <f aca="false">L6*L7/100</f>
        <v>2161.46278692891</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551.71746</v>
      </c>
      <c r="D11" s="0" t="n">
        <f aca="false">D8+D10+D24</f>
        <v>790.3511154</v>
      </c>
      <c r="E11" s="0" t="n">
        <f aca="false">E8+E10+E24</f>
        <v>1025.758174896</v>
      </c>
      <c r="F11" s="0" t="n">
        <f aca="false">F8+F10+F24</f>
        <v>1278.73323736704</v>
      </c>
      <c r="G11" s="0" t="n">
        <f aca="false">G8+G10+G24</f>
        <v>1469.73076815277</v>
      </c>
      <c r="H11" s="0" t="n">
        <f aca="false">H8+H10+H24</f>
        <v>1664.45181469958</v>
      </c>
      <c r="I11" s="0" t="n">
        <f aca="false">I8+I10+I24</f>
        <v>1783.26053586196</v>
      </c>
      <c r="J11" s="0" t="n">
        <f aca="false">J8+J10+J24</f>
        <v>1827.84204925851</v>
      </c>
      <c r="K11" s="0" t="n">
        <f aca="false">K8+K10+K24</f>
        <v>1873.53810048997</v>
      </c>
      <c r="L11" s="0" t="n">
        <f aca="false">L8+L10+L24</f>
        <v>1920.37655300222</v>
      </c>
    </row>
    <row r="12" customFormat="false" ht="15" hidden="false" customHeight="false" outlineLevel="0" collapsed="false">
      <c r="A12" s="0" t="s">
        <v>117</v>
      </c>
      <c r="C12" s="4" t="n">
        <f aca="false">-C6*Assumptions!C31/100</f>
        <v>-659.52432</v>
      </c>
      <c r="D12" s="4" t="n">
        <f aca="false">-D6*Assumptions!D31/100</f>
        <v>-679.3100496</v>
      </c>
      <c r="E12" s="4" t="n">
        <f aca="false">-E6*Assumptions!E31/100</f>
        <v>-706.482451584</v>
      </c>
      <c r="F12" s="4" t="n">
        <f aca="false">-F6*Assumptions!F31/100</f>
        <v>-734.74174964736</v>
      </c>
      <c r="G12" s="4" t="n">
        <f aca="false">-G6*Assumptions!G31/100</f>
        <v>-760.457710885018</v>
      </c>
      <c r="H12" s="4" t="n">
        <f aca="false">-H6*Assumptions!H31/100</f>
        <v>-783.271442211568</v>
      </c>
      <c r="I12" s="4" t="n">
        <f aca="false">-I6*Assumptions!I31/100</f>
        <v>-802.853228266857</v>
      </c>
      <c r="J12" s="4" t="n">
        <f aca="false">-J6*Assumptions!J31/100</f>
        <v>-822.924558973529</v>
      </c>
      <c r="K12" s="4" t="n">
        <f aca="false">-K6*Assumptions!K31/100</f>
        <v>-843.497672947867</v>
      </c>
      <c r="L12" s="4" t="n">
        <f aca="false">-L6*Assumptions!L31/100</f>
        <v>-864.585114771563</v>
      </c>
    </row>
    <row r="13" customFormat="false" ht="15" hidden="false" customHeight="false" outlineLevel="0" collapsed="false">
      <c r="A13" s="0" t="s">
        <v>118</v>
      </c>
      <c r="C13" s="0" t="n">
        <f aca="false">C11+C12</f>
        <v>-107.80686</v>
      </c>
      <c r="D13" s="0" t="n">
        <f aca="false">D11+D12</f>
        <v>111.0410658</v>
      </c>
      <c r="E13" s="0" t="n">
        <f aca="false">E11+E12</f>
        <v>319.275723312</v>
      </c>
      <c r="F13" s="0" t="n">
        <f aca="false">F11+F12</f>
        <v>543.99148771968</v>
      </c>
      <c r="G13" s="0" t="n">
        <f aca="false">G11+G12</f>
        <v>709.273057267757</v>
      </c>
      <c r="H13" s="0" t="n">
        <f aca="false">H11+H12</f>
        <v>881.180372488014</v>
      </c>
      <c r="I13" s="0" t="n">
        <f aca="false">I11+I12</f>
        <v>980.407307595105</v>
      </c>
      <c r="J13" s="0" t="n">
        <f aca="false">J11+J12</f>
        <v>1004.91749028498</v>
      </c>
      <c r="K13" s="0" t="n">
        <f aca="false">K11+K12</f>
        <v>1030.04042754211</v>
      </c>
      <c r="L13" s="0" t="n">
        <f aca="false">L11+L12</f>
        <v>1055.79143823066</v>
      </c>
    </row>
    <row r="14" customFormat="false" ht="15" hidden="false" customHeight="false" outlineLevel="0" collapsed="false">
      <c r="A14" s="0" t="s">
        <v>104</v>
      </c>
      <c r="C14" s="4" t="n">
        <f aca="false">Assumptions!C33</f>
        <v>28</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119</v>
      </c>
      <c r="C15" s="0" t="n">
        <f aca="false">C13-MAX(0,C13)*C14/100</f>
        <v>-107.80686</v>
      </c>
      <c r="D15" s="0" t="n">
        <f aca="false">D13-MAX(0,D13)*D14/100</f>
        <v>79.949567376</v>
      </c>
      <c r="E15" s="0" t="n">
        <f aca="false">E13-MAX(0,E13)*E14/100</f>
        <v>229.87852078464</v>
      </c>
      <c r="F15" s="0" t="n">
        <f aca="false">F13-MAX(0,F13)*F14/100</f>
        <v>391.67387115817</v>
      </c>
      <c r="G15" s="0" t="n">
        <f aca="false">G13-MAX(0,G13)*G14/100</f>
        <v>510.676601232785</v>
      </c>
      <c r="H15" s="0" t="n">
        <f aca="false">H13-MAX(0,H13)*H14/100</f>
        <v>634.44986819137</v>
      </c>
      <c r="I15" s="0" t="n">
        <f aca="false">I13-MAX(0,I13)*I14/100</f>
        <v>705.893261468475</v>
      </c>
      <c r="J15" s="0" t="n">
        <f aca="false">J13-MAX(0,J13)*J14/100</f>
        <v>723.540593005187</v>
      </c>
      <c r="K15" s="0" t="n">
        <f aca="false">K13-MAX(0,K13)*K14/100</f>
        <v>741.629107830317</v>
      </c>
      <c r="L15" s="0" t="n">
        <f aca="false">L13-MAX(0,L13)*L14/100</f>
        <v>760.169835526074</v>
      </c>
    </row>
    <row r="16" customFormat="false" ht="15" hidden="false" customHeight="false" outlineLevel="0" collapsed="false">
      <c r="A16" s="0" t="s">
        <v>120</v>
      </c>
      <c r="C16" s="0" t="n">
        <f aca="false">-C12</f>
        <v>659.52432</v>
      </c>
      <c r="D16" s="0" t="n">
        <f aca="false">-D12</f>
        <v>679.3100496</v>
      </c>
      <c r="E16" s="0" t="n">
        <f aca="false">-E12</f>
        <v>706.482451584</v>
      </c>
      <c r="F16" s="0" t="n">
        <f aca="false">-F12</f>
        <v>734.74174964736</v>
      </c>
      <c r="G16" s="0" t="n">
        <f aca="false">-G12</f>
        <v>760.457710885018</v>
      </c>
      <c r="H16" s="0" t="n">
        <f aca="false">-H12</f>
        <v>783.271442211568</v>
      </c>
      <c r="I16" s="0" t="n">
        <f aca="false">-I12</f>
        <v>802.853228266857</v>
      </c>
      <c r="J16" s="0" t="n">
        <f aca="false">-J12</f>
        <v>822.924558973529</v>
      </c>
      <c r="K16" s="0" t="n">
        <f aca="false">-K12</f>
        <v>843.497672947867</v>
      </c>
      <c r="L16" s="0" t="n">
        <f aca="false">-L12</f>
        <v>864.585114771563</v>
      </c>
    </row>
    <row r="17" customFormat="false" ht="15" hidden="false" customHeight="false" outlineLevel="0" collapsed="false">
      <c r="A17" s="0" t="s">
        <v>121</v>
      </c>
      <c r="C17" s="4" t="n">
        <f aca="false">-C6*Assumptions!C32/100</f>
        <v>-697.5738</v>
      </c>
      <c r="D17" s="4" t="n">
        <f aca="false">-D6*Assumptions!D32/100</f>
        <v>-705.4373592</v>
      </c>
      <c r="E17" s="4" t="n">
        <f aca="false">-E6*Assumptions!E32/100</f>
        <v>-733.654853568</v>
      </c>
      <c r="F17" s="4" t="n">
        <f aca="false">-F6*Assumptions!F32/100</f>
        <v>-777.1306967424</v>
      </c>
      <c r="G17" s="4" t="n">
        <f aca="false">-G6*Assumptions!G32/100</f>
        <v>-804.330271128384</v>
      </c>
      <c r="H17" s="4" t="n">
        <f aca="false">-H6*Assumptions!H32/100</f>
        <v>-828.460179262235</v>
      </c>
      <c r="I17" s="4" t="n">
        <f aca="false">-I6*Assumptions!I32/100</f>
        <v>-849.171683743791</v>
      </c>
      <c r="J17" s="4" t="n">
        <f aca="false">-J6*Assumptions!J32/100</f>
        <v>-870.400975837386</v>
      </c>
      <c r="K17" s="4" t="n">
        <f aca="false">-K6*Assumptions!K32/100</f>
        <v>-892.161000233321</v>
      </c>
      <c r="L17" s="4" t="n">
        <f aca="false">-L6*Assumptions!L32/100</f>
        <v>-914.465025239154</v>
      </c>
    </row>
    <row r="18" customFormat="false" ht="15" hidden="false" customHeight="false" outlineLevel="0" collapsed="false">
      <c r="A18" s="0" t="s">
        <v>122</v>
      </c>
      <c r="C18" s="4" t="n">
        <f aca="false">(C6-B6)*Assumptions!$B$37/100</f>
        <v>51.768</v>
      </c>
      <c r="D18" s="4" t="n">
        <f aca="false">(D6-C6)*Assumptions!$B$37/100</f>
        <v>-76.0989600000001</v>
      </c>
      <c r="E18" s="4" t="n">
        <f aca="false">(E6-D6)*Assumptions!$B$37/100</f>
        <v>-104.5092384</v>
      </c>
      <c r="F18" s="4" t="n">
        <f aca="false">(F6-E6)*Assumptions!$B$37/100</f>
        <v>-108.689607936</v>
      </c>
      <c r="G18" s="4" t="n">
        <f aca="false">(G6-F6)*Assumptions!$B$37/100</f>
        <v>-98.9075432217596</v>
      </c>
      <c r="H18" s="4" t="n">
        <f aca="false">(H6-G6)*Assumptions!$B$37/100</f>
        <v>-87.7451204867328</v>
      </c>
      <c r="I18" s="4" t="n">
        <f aca="false">(I6-H6)*Assumptions!$B$37/100</f>
        <v>-75.314561751112</v>
      </c>
      <c r="J18" s="4" t="n">
        <f aca="false">(J6-I6)*Assumptions!$B$37/100</f>
        <v>-77.1974257948899</v>
      </c>
      <c r="K18" s="4" t="n">
        <f aca="false">(K6-J6)*Assumptions!$B$37/100</f>
        <v>-79.1273614397622</v>
      </c>
      <c r="L18" s="4" t="n">
        <f aca="false">(L6-K6)*Assumptions!$B$37/100</f>
        <v>-81.1055454757563</v>
      </c>
    </row>
    <row r="19" customFormat="false" ht="15" hidden="false" customHeight="false" outlineLevel="0" collapsed="false">
      <c r="A19" s="0" t="s">
        <v>123</v>
      </c>
      <c r="C19" s="0" t="n">
        <f aca="false">C15+C16+C17+C18</f>
        <v>-94.08834</v>
      </c>
      <c r="D19" s="0" t="n">
        <f aca="false">D15+D16+D17+D18</f>
        <v>-22.2767022240001</v>
      </c>
      <c r="E19" s="0" t="n">
        <f aca="false">E15+E16+E17+E18</f>
        <v>98.1968804006399</v>
      </c>
      <c r="F19" s="0" t="n">
        <f aca="false">F15+F16+F17+F18</f>
        <v>240.595316127129</v>
      </c>
      <c r="G19" s="0" t="n">
        <f aca="false">G15+G16+G17+G18</f>
        <v>367.896497767659</v>
      </c>
      <c r="H19" s="0" t="n">
        <f aca="false">H15+H16+H17+H18</f>
        <v>501.51601065397</v>
      </c>
      <c r="I19" s="0" t="n">
        <f aca="false">I15+I16+I17+I18</f>
        <v>584.260244240429</v>
      </c>
      <c r="J19" s="0" t="n">
        <f aca="false">J15+J16+J17+J18</f>
        <v>598.86675034644</v>
      </c>
      <c r="K19" s="0" t="n">
        <f aca="false">K15+K16+K17+K18</f>
        <v>613.838419105101</v>
      </c>
      <c r="L19" s="0" t="n">
        <f aca="false">L15+L16+L17+L18</f>
        <v>629.184379582728</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-87.1188333333333</v>
      </c>
      <c r="D21" s="0" t="n">
        <f aca="false">D19*D20</f>
        <v>-19.0986816049383</v>
      </c>
      <c r="E21" s="0" t="n">
        <f aca="false">E19*E20</f>
        <v>77.9518496296295</v>
      </c>
      <c r="F21" s="0" t="n">
        <f aca="false">F19*F20</f>
        <v>176.84473979644</v>
      </c>
      <c r="G21" s="0" t="n">
        <f aca="false">G19*G20</f>
        <v>250.384174628234</v>
      </c>
      <c r="H21" s="0" t="n">
        <f aca="false">H19*H20</f>
        <v>316.040157309715</v>
      </c>
      <c r="I21" s="0" t="n">
        <f aca="false">I19*I20</f>
        <v>340.910240847799</v>
      </c>
      <c r="J21" s="0" t="n">
        <f aca="false">J19*J20</f>
        <v>323.549071174994</v>
      </c>
      <c r="K21" s="0" t="n">
        <f aca="false">K19*K20</f>
        <v>307.072035142934</v>
      </c>
      <c r="L21" s="0" t="n">
        <f aca="false">L19*L20</f>
        <v>291.434107427322</v>
      </c>
    </row>
    <row r="23" customFormat="false" ht="15" hidden="false" customHeight="false" outlineLevel="0" collapsed="false">
      <c r="A23" s="0" t="s">
        <v>101</v>
      </c>
      <c r="C23" s="4" t="n">
        <f aca="false">Assumptions!C30</f>
        <v>1.45</v>
      </c>
      <c r="D23" s="4" t="n">
        <f aca="false">Assumptions!D30</f>
        <v>1.45</v>
      </c>
      <c r="E23" s="4" t="n">
        <f aca="false">Assumptions!E30</f>
        <v>1.45</v>
      </c>
      <c r="F23" s="4" t="n">
        <f aca="false">Assumptions!F30</f>
        <v>1.45</v>
      </c>
      <c r="G23" s="4" t="n">
        <f aca="false">Assumptions!G30</f>
        <v>1.45</v>
      </c>
      <c r="H23" s="4" t="n">
        <f aca="false">Assumptions!H30</f>
        <v>1.45</v>
      </c>
      <c r="I23" s="4" t="n">
        <f aca="false">Assumptions!I30</f>
        <v>1.45</v>
      </c>
      <c r="J23" s="4" t="n">
        <f aca="false">Assumptions!J30</f>
        <v>1.45</v>
      </c>
      <c r="K23" s="4" t="n">
        <f aca="false">Assumptions!K30</f>
        <v>1.45</v>
      </c>
      <c r="L23" s="4" t="n">
        <f aca="false">Assumptions!L30</f>
        <v>1.45</v>
      </c>
    </row>
    <row r="24" customFormat="false" ht="15" hidden="false" customHeight="false" outlineLevel="0" collapsed="false">
      <c r="A24" s="0" t="s">
        <v>126</v>
      </c>
      <c r="C24" s="0" t="n">
        <f aca="false">-C6*C23/100</f>
        <v>-183.90582</v>
      </c>
      <c r="D24" s="0" t="n">
        <f aca="false">-D6*D23/100</f>
        <v>-189.4229946</v>
      </c>
      <c r="E24" s="0" t="n">
        <f aca="false">-E6*E23/100</f>
        <v>-196.999914384</v>
      </c>
      <c r="F24" s="0" t="n">
        <f aca="false">-F6*F23/100</f>
        <v>-204.87991095936</v>
      </c>
      <c r="G24" s="0" t="n">
        <f aca="false">-G6*G23/100</f>
        <v>-212.050707842938</v>
      </c>
      <c r="H24" s="0" t="n">
        <f aca="false">-H6*H23/100</f>
        <v>-218.412229078226</v>
      </c>
      <c r="I24" s="0" t="n">
        <f aca="false">-I6*I23/100</f>
        <v>-223.872534805181</v>
      </c>
      <c r="J24" s="0" t="n">
        <f aca="false">-J6*J23/100</f>
        <v>-229.469348175311</v>
      </c>
      <c r="K24" s="0" t="n">
        <f aca="false">-K6*K23/100</f>
        <v>-235.206081879694</v>
      </c>
      <c r="L24" s="0" t="n">
        <f aca="false">-L6*L23/100</f>
        <v>-241.086233926686</v>
      </c>
    </row>
    <row r="26" customFormat="false" ht="15" hidden="false" customHeight="false" outlineLevel="0" collapsed="false">
      <c r="A26" s="2" t="s">
        <v>127</v>
      </c>
    </row>
    <row r="27" customFormat="false" ht="15" hidden="false" customHeight="false" outlineLevel="0" collapsed="false">
      <c r="A27" s="0" t="s">
        <v>105</v>
      </c>
      <c r="B27" s="4" t="n">
        <f aca="false">Assumptions!$B$34</f>
        <v>8</v>
      </c>
    </row>
    <row r="28" customFormat="false" ht="15" hidden="false" customHeight="false" outlineLevel="0" collapsed="false">
      <c r="A28" s="0" t="s">
        <v>106</v>
      </c>
      <c r="B28" s="4" t="n">
        <f aca="false">Assumptions!$B$35</f>
        <v>2</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1977.9688610188</v>
      </c>
    </row>
    <row r="31" customFormat="false" ht="15" hidden="false" customHeight="false" outlineLevel="0" collapsed="false">
      <c r="A31" s="0" t="s">
        <v>129</v>
      </c>
      <c r="B31" s="0" t="n">
        <f aca="false">L19</f>
        <v>629.184379582728</v>
      </c>
    </row>
    <row r="32" customFormat="false" ht="15" hidden="false" customHeight="false" outlineLevel="0" collapsed="false">
      <c r="A32" s="0" t="s">
        <v>130</v>
      </c>
      <c r="B32" s="0" t="n">
        <f aca="false">IF(B27&gt;B28,B31*(1+B28/100)/((B27-B28)/100),B31*B29)</f>
        <v>10696.1344529064</v>
      </c>
    </row>
    <row r="33" customFormat="false" ht="15" hidden="false" customHeight="false" outlineLevel="0" collapsed="false">
      <c r="A33" s="0" t="s">
        <v>131</v>
      </c>
      <c r="B33" s="0" t="n">
        <f aca="false">B31*B29</f>
        <v>7550.21255499273</v>
      </c>
    </row>
    <row r="34" customFormat="false" ht="15" hidden="false" customHeight="false" outlineLevel="0" collapsed="false">
      <c r="A34" s="0" t="s">
        <v>132</v>
      </c>
      <c r="B34" s="0" t="n">
        <f aca="false">MAX(0,MIN(B32,B33))</f>
        <v>7550.21255499273</v>
      </c>
    </row>
    <row r="35" customFormat="false" ht="15" hidden="false" customHeight="false" outlineLevel="0" collapsed="false">
      <c r="A35" s="0" t="s">
        <v>133</v>
      </c>
      <c r="B35" s="0" t="n">
        <f aca="false">B34/(1+B27/100)^L4</f>
        <v>3497.20928912786</v>
      </c>
    </row>
    <row r="36" customFormat="false" ht="15" hidden="false" customHeight="false" outlineLevel="0" collapsed="false">
      <c r="A36" s="0" t="s">
        <v>134</v>
      </c>
      <c r="B36" s="0" t="n">
        <f aca="false">B30+B35</f>
        <v>5475.17815014666</v>
      </c>
    </row>
    <row r="37" customFormat="false" ht="15" hidden="false" customHeight="false" outlineLevel="0" collapsed="false">
      <c r="A37" s="0" t="s">
        <v>135</v>
      </c>
      <c r="B37" s="0" t="n">
        <f aca="false">B36+Assumptions!$B$5-Assumptions!$B$4</f>
        <v>3798.17815014666</v>
      </c>
    </row>
    <row r="38" customFormat="false" ht="15" hidden="false" customHeight="false" outlineLevel="0" collapsed="false">
      <c r="A38" s="0" t="s">
        <v>136</v>
      </c>
      <c r="B38" s="0" t="n">
        <f aca="false">B37/Assumptions!$B$3*Assumptions!$B$10</f>
        <v>18.2921313337828</v>
      </c>
    </row>
    <row r="39" customFormat="false" ht="15" hidden="false" customHeight="false" outlineLevel="0" collapsed="false">
      <c r="A39" s="0" t="s">
        <v>137</v>
      </c>
      <c r="B39" s="4" t="n">
        <f aca="false">B38/Assumptions!$B$2-1</f>
        <v>-0.696143997777695</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18.2921313337828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4936.67743980294</v>
      </c>
    </row>
    <row r="47" customFormat="false" ht="15" hidden="false" customHeight="false" outlineLevel="0" collapsed="false">
      <c r="A47" s="0" t="s">
        <v>142</v>
      </c>
      <c r="B47" s="0" t="n">
        <f aca="false">(SUMPRODUCT(C19:L19/(1+B45/100)^C4:L4)+B46/(1+B45/100)^L4+Assumptions!$B$5-Assumptions!$B$4)/Assumptions!$B$3*Assumptions!$B$10</f>
        <v>3.81380480138438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0</v>
      </c>
      <c r="D5" s="4" t="n">
        <f aca="false">Assumptions!D41</f>
        <v>5</v>
      </c>
      <c r="E5" s="4" t="n">
        <f aca="false">Assumptions!E41</f>
        <v>6</v>
      </c>
      <c r="F5" s="4" t="n">
        <f aca="false">Assumptions!F41</f>
        <v>5</v>
      </c>
      <c r="G5" s="4" t="n">
        <f aca="false">Assumptions!G41</f>
        <v>4</v>
      </c>
      <c r="H5" s="4" t="n">
        <f aca="false">Assumptions!H41</f>
        <v>3.5</v>
      </c>
      <c r="I5" s="4" t="n">
        <f aca="false">Assumptions!I41</f>
        <v>3</v>
      </c>
      <c r="J5" s="4" t="n">
        <f aca="false">Assumptions!J41</f>
        <v>2.5</v>
      </c>
      <c r="K5" s="4" t="n">
        <f aca="false">Assumptions!K41</f>
        <v>2.5</v>
      </c>
      <c r="L5" s="4" t="n">
        <f aca="false">Assumptions!L41</f>
        <v>2.5</v>
      </c>
    </row>
    <row r="6" customFormat="false" ht="15" hidden="false" customHeight="false" outlineLevel="0" collapsed="false">
      <c r="A6" s="0" t="s">
        <v>37</v>
      </c>
      <c r="B6" s="3" t="n">
        <v>12942</v>
      </c>
      <c r="C6" s="0" t="n">
        <f aca="false">B6*(1+C5/100)</f>
        <v>12942</v>
      </c>
      <c r="D6" s="0" t="n">
        <f aca="false">C6*(1+D5/100)</f>
        <v>13589.1</v>
      </c>
      <c r="E6" s="0" t="n">
        <f aca="false">D6*(1+E5/100)</f>
        <v>14404.446</v>
      </c>
      <c r="F6" s="0" t="n">
        <f aca="false">E6*(1+F5/100)</f>
        <v>15124.6683</v>
      </c>
      <c r="G6" s="0" t="n">
        <f aca="false">F6*(1+G5/100)</f>
        <v>15729.655032</v>
      </c>
      <c r="H6" s="0" t="n">
        <f aca="false">G6*(1+H5/100)</f>
        <v>16280.19295812</v>
      </c>
      <c r="I6" s="0" t="n">
        <f aca="false">H6*(1+I5/100)</f>
        <v>16768.5987468636</v>
      </c>
      <c r="J6" s="0" t="n">
        <f aca="false">I6*(1+J5/100)</f>
        <v>17187.8137155352</v>
      </c>
      <c r="K6" s="0" t="n">
        <f aca="false">J6*(1+K5/100)</f>
        <v>17617.5090584236</v>
      </c>
      <c r="L6" s="0" t="n">
        <f aca="false">K6*(1+L5/100)</f>
        <v>18057.9467848842</v>
      </c>
    </row>
    <row r="7" customFormat="false" ht="15" hidden="false" customHeight="false" outlineLevel="0" collapsed="false">
      <c r="A7" s="0" t="s">
        <v>99</v>
      </c>
      <c r="C7" s="4" t="n">
        <f aca="false">Assumptions!C42</f>
        <v>6.2</v>
      </c>
      <c r="D7" s="4" t="n">
        <f aca="false">Assumptions!D42</f>
        <v>9</v>
      </c>
      <c r="E7" s="4" t="n">
        <f aca="false">Assumptions!E42</f>
        <v>11.5</v>
      </c>
      <c r="F7" s="4" t="n">
        <f aca="false">Assumptions!F42</f>
        <v>13.5</v>
      </c>
      <c r="G7" s="4" t="n">
        <f aca="false">Assumptions!G42</f>
        <v>15</v>
      </c>
      <c r="H7" s="4" t="n">
        <f aca="false">Assumptions!H42</f>
        <v>15.5</v>
      </c>
      <c r="I7" s="4" t="n">
        <f aca="false">Assumptions!I42</f>
        <v>16</v>
      </c>
      <c r="J7" s="4" t="n">
        <f aca="false">Assumptions!J42</f>
        <v>16</v>
      </c>
      <c r="K7" s="4" t="n">
        <f aca="false">Assumptions!K42</f>
        <v>16</v>
      </c>
      <c r="L7" s="4" t="n">
        <f aca="false">Assumptions!L42</f>
        <v>16</v>
      </c>
    </row>
    <row r="8" customFormat="false" ht="15" hidden="false" customHeight="false" outlineLevel="0" collapsed="false">
      <c r="A8" s="0" t="s">
        <v>43</v>
      </c>
      <c r="C8" s="0" t="n">
        <f aca="false">C6*C7/100</f>
        <v>802.404</v>
      </c>
      <c r="D8" s="0" t="n">
        <f aca="false">D6*D7/100</f>
        <v>1223.019</v>
      </c>
      <c r="E8" s="0" t="n">
        <f aca="false">E6*E7/100</f>
        <v>1656.51129</v>
      </c>
      <c r="F8" s="0" t="n">
        <f aca="false">F6*F7/100</f>
        <v>2041.8302205</v>
      </c>
      <c r="G8" s="0" t="n">
        <f aca="false">G6*G7/100</f>
        <v>2359.4482548</v>
      </c>
      <c r="H8" s="0" t="n">
        <f aca="false">H6*H7/100</f>
        <v>2523.4299085086</v>
      </c>
      <c r="I8" s="0" t="n">
        <f aca="false">I6*I7/100</f>
        <v>2682.97579949818</v>
      </c>
      <c r="J8" s="0" t="n">
        <f aca="false">J6*J7/100</f>
        <v>2750.05019448563</v>
      </c>
      <c r="K8" s="0" t="n">
        <f aca="false">K6*K7/100</f>
        <v>2818.80144934777</v>
      </c>
      <c r="L8" s="0" t="n">
        <f aca="false">L6*L7/100</f>
        <v>2889.27148558147</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614.745</v>
      </c>
      <c r="D11" s="0" t="n">
        <f aca="false">D8+D10+D24</f>
        <v>1025.97705</v>
      </c>
      <c r="E11" s="0" t="n">
        <f aca="false">E8+E10+E24</f>
        <v>1447.646823</v>
      </c>
      <c r="F11" s="0" t="n">
        <f aca="false">F8+F10+F24</f>
        <v>1822.52253015</v>
      </c>
      <c r="G11" s="0" t="n">
        <f aca="false">G8+G10+G24</f>
        <v>2131.368256836</v>
      </c>
      <c r="H11" s="0" t="n">
        <f aca="false">H8+H10+H24</f>
        <v>2287.36711061586</v>
      </c>
      <c r="I11" s="0" t="n">
        <f aca="false">I8+I10+I24</f>
        <v>2439.83111766865</v>
      </c>
      <c r="J11" s="0" t="n">
        <f aca="false">J8+J10+J24</f>
        <v>2500.82689561037</v>
      </c>
      <c r="K11" s="0" t="n">
        <f aca="false">K8+K10+K24</f>
        <v>2563.34756800063</v>
      </c>
      <c r="L11" s="0" t="n">
        <f aca="false">L8+L10+L24</f>
        <v>2627.43125720065</v>
      </c>
    </row>
    <row r="12" customFormat="false" ht="15" hidden="false" customHeight="false" outlineLevel="0" collapsed="false">
      <c r="A12" s="0" t="s">
        <v>117</v>
      </c>
      <c r="C12" s="4" t="n">
        <f aca="false">-C6*Assumptions!C45/100</f>
        <v>-672.984</v>
      </c>
      <c r="D12" s="4" t="n">
        <f aca="false">-D6*Assumptions!D45/100</f>
        <v>-706.6332</v>
      </c>
      <c r="E12" s="4" t="n">
        <f aca="false">-E6*Assumptions!E45/100</f>
        <v>-749.031192</v>
      </c>
      <c r="F12" s="4" t="n">
        <f aca="false">-F6*Assumptions!F45/100</f>
        <v>-786.4827516</v>
      </c>
      <c r="G12" s="4" t="n">
        <f aca="false">-G6*Assumptions!G45/100</f>
        <v>-817.942061664</v>
      </c>
      <c r="H12" s="4" t="n">
        <f aca="false">-H6*Assumptions!H45/100</f>
        <v>-846.57003382224</v>
      </c>
      <c r="I12" s="4" t="n">
        <f aca="false">-I6*Assumptions!I45/100</f>
        <v>-871.967134836908</v>
      </c>
      <c r="J12" s="4" t="n">
        <f aca="false">-J6*Assumptions!J45/100</f>
        <v>-893.76631320783</v>
      </c>
      <c r="K12" s="4" t="n">
        <f aca="false">-K6*Assumptions!K45/100</f>
        <v>-916.110471038026</v>
      </c>
      <c r="L12" s="4" t="n">
        <f aca="false">-L6*Assumptions!L45/100</f>
        <v>-939.013232813976</v>
      </c>
    </row>
    <row r="13" customFormat="false" ht="15" hidden="false" customHeight="false" outlineLevel="0" collapsed="false">
      <c r="A13" s="0" t="s">
        <v>118</v>
      </c>
      <c r="C13" s="0" t="n">
        <f aca="false">C11+C12</f>
        <v>-58.2389999999999</v>
      </c>
      <c r="D13" s="0" t="n">
        <f aca="false">D11+D12</f>
        <v>319.34385</v>
      </c>
      <c r="E13" s="0" t="n">
        <f aca="false">E11+E12</f>
        <v>698.615631</v>
      </c>
      <c r="F13" s="0" t="n">
        <f aca="false">F11+F12</f>
        <v>1036.03977855</v>
      </c>
      <c r="G13" s="0" t="n">
        <f aca="false">G11+G12</f>
        <v>1313.426195172</v>
      </c>
      <c r="H13" s="0" t="n">
        <f aca="false">H11+H12</f>
        <v>1440.79707679362</v>
      </c>
      <c r="I13" s="0" t="n">
        <f aca="false">I11+I12</f>
        <v>1567.86398283175</v>
      </c>
      <c r="J13" s="0" t="n">
        <f aca="false">J11+J12</f>
        <v>1607.06058240254</v>
      </c>
      <c r="K13" s="0" t="n">
        <f aca="false">K11+K12</f>
        <v>1647.2370969626</v>
      </c>
      <c r="L13" s="0" t="n">
        <f aca="false">L11+L12</f>
        <v>1688.41802438667</v>
      </c>
    </row>
    <row r="14" customFormat="false" ht="15" hidden="false" customHeight="false" outlineLevel="0" collapsed="false">
      <c r="A14" s="0" t="s">
        <v>104</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119</v>
      </c>
      <c r="C15" s="0" t="n">
        <f aca="false">C13-MAX(0,C13)*C14/100</f>
        <v>-58.2389999999999</v>
      </c>
      <c r="D15" s="0" t="n">
        <f aca="false">D13-MAX(0,D13)*D14/100</f>
        <v>229.927572</v>
      </c>
      <c r="E15" s="0" t="n">
        <f aca="false">E13-MAX(0,E13)*E14/100</f>
        <v>503.00325432</v>
      </c>
      <c r="F15" s="0" t="n">
        <f aca="false">F13-MAX(0,F13)*F14/100</f>
        <v>745.948640556</v>
      </c>
      <c r="G15" s="0" t="n">
        <f aca="false">G13-MAX(0,G13)*G14/100</f>
        <v>945.66686052384</v>
      </c>
      <c r="H15" s="0" t="n">
        <f aca="false">H13-MAX(0,H13)*H14/100</f>
        <v>1037.37389529141</v>
      </c>
      <c r="I15" s="0" t="n">
        <f aca="false">I13-MAX(0,I13)*I14/100</f>
        <v>1128.86206763886</v>
      </c>
      <c r="J15" s="0" t="n">
        <f aca="false">J13-MAX(0,J13)*J14/100</f>
        <v>1157.08361932983</v>
      </c>
      <c r="K15" s="0" t="n">
        <f aca="false">K13-MAX(0,K13)*K14/100</f>
        <v>1186.01070981308</v>
      </c>
      <c r="L15" s="0" t="n">
        <f aca="false">L13-MAX(0,L13)*L14/100</f>
        <v>1215.6609775584</v>
      </c>
    </row>
    <row r="16" customFormat="false" ht="15" hidden="false" customHeight="false" outlineLevel="0" collapsed="false">
      <c r="A16" s="0" t="s">
        <v>120</v>
      </c>
      <c r="C16" s="0" t="n">
        <f aca="false">-C12</f>
        <v>672.984</v>
      </c>
      <c r="D16" s="0" t="n">
        <f aca="false">-D12</f>
        <v>706.6332</v>
      </c>
      <c r="E16" s="0" t="n">
        <f aca="false">-E12</f>
        <v>749.031192</v>
      </c>
      <c r="F16" s="0" t="n">
        <f aca="false">-F12</f>
        <v>786.4827516</v>
      </c>
      <c r="G16" s="0" t="n">
        <f aca="false">-G12</f>
        <v>817.942061664</v>
      </c>
      <c r="H16" s="0" t="n">
        <f aca="false">-H12</f>
        <v>846.57003382224</v>
      </c>
      <c r="I16" s="0" t="n">
        <f aca="false">-I12</f>
        <v>871.967134836908</v>
      </c>
      <c r="J16" s="0" t="n">
        <f aca="false">-J12</f>
        <v>893.76631320783</v>
      </c>
      <c r="K16" s="0" t="n">
        <f aca="false">-K12</f>
        <v>916.110471038026</v>
      </c>
      <c r="L16" s="0" t="n">
        <f aca="false">-L12</f>
        <v>939.013232813976</v>
      </c>
    </row>
    <row r="17" customFormat="false" ht="15" hidden="false" customHeight="false" outlineLevel="0" collapsed="false">
      <c r="A17" s="0" t="s">
        <v>121</v>
      </c>
      <c r="C17" s="4" t="n">
        <f aca="false">-C6*Assumptions!C46/100</f>
        <v>-711.81</v>
      </c>
      <c r="D17" s="4" t="n">
        <f aca="false">-D6*Assumptions!D46/100</f>
        <v>-760.9896</v>
      </c>
      <c r="E17" s="4" t="n">
        <f aca="false">-E6*Assumptions!E46/100</f>
        <v>-835.457868</v>
      </c>
      <c r="F17" s="4" t="n">
        <f aca="false">-F6*Assumptions!F46/100</f>
        <v>-877.2307614</v>
      </c>
      <c r="G17" s="4" t="n">
        <f aca="false">-G6*Assumptions!G46/100</f>
        <v>-912.319991856</v>
      </c>
      <c r="H17" s="4" t="n">
        <f aca="false">-H6*Assumptions!H46/100</f>
        <v>-944.25119157096</v>
      </c>
      <c r="I17" s="4" t="n">
        <f aca="false">-I6*Assumptions!I46/100</f>
        <v>-972.578727318089</v>
      </c>
      <c r="J17" s="4" t="n">
        <f aca="false">-J6*Assumptions!J46/100</f>
        <v>-996.893195501041</v>
      </c>
      <c r="K17" s="4" t="n">
        <f aca="false">-K6*Assumptions!K46/100</f>
        <v>-1021.81552538857</v>
      </c>
      <c r="L17" s="4" t="n">
        <f aca="false">-L6*Assumptions!L46/100</f>
        <v>-1047.36091352328</v>
      </c>
    </row>
    <row r="18" customFormat="false" ht="15" hidden="false" customHeight="false" outlineLevel="0" collapsed="false">
      <c r="A18" s="0" t="s">
        <v>122</v>
      </c>
      <c r="C18" s="4" t="n">
        <f aca="false">(C6-B6)*Assumptions!$B$51/100</f>
        <v>-0</v>
      </c>
      <c r="D18" s="4" t="n">
        <f aca="false">(D6-C6)*Assumptions!$B$51/100</f>
        <v>-129.42</v>
      </c>
      <c r="E18" s="4" t="n">
        <f aca="false">(E6-D6)*Assumptions!$B$51/100</f>
        <v>-163.0692</v>
      </c>
      <c r="F18" s="4" t="n">
        <f aca="false">(F6-E6)*Assumptions!$B$51/100</f>
        <v>-144.04446</v>
      </c>
      <c r="G18" s="4" t="n">
        <f aca="false">(G6-F6)*Assumptions!$B$51/100</f>
        <v>-120.9973464</v>
      </c>
      <c r="H18" s="4" t="n">
        <f aca="false">(H6-G6)*Assumptions!$B$51/100</f>
        <v>-110.107585224</v>
      </c>
      <c r="I18" s="4" t="n">
        <f aca="false">(I6-H6)*Assumptions!$B$51/100</f>
        <v>-97.6811577487202</v>
      </c>
      <c r="J18" s="4" t="n">
        <f aca="false">(J6-I6)*Assumptions!$B$51/100</f>
        <v>-83.8429937343179</v>
      </c>
      <c r="K18" s="4" t="n">
        <f aca="false">(K6-J6)*Assumptions!$B$51/100</f>
        <v>-85.9390685776758</v>
      </c>
      <c r="L18" s="4" t="n">
        <f aca="false">(L6-K6)*Assumptions!$B$51/100</f>
        <v>-88.0875452921173</v>
      </c>
    </row>
    <row r="19" customFormat="false" ht="15" hidden="false" customHeight="false" outlineLevel="0" collapsed="false">
      <c r="A19" s="0" t="s">
        <v>123</v>
      </c>
      <c r="C19" s="0" t="n">
        <f aca="false">C15+C16+C17+C18</f>
        <v>-97.0649999999998</v>
      </c>
      <c r="D19" s="0" t="n">
        <f aca="false">D15+D16+D17+D18</f>
        <v>46.1511720000001</v>
      </c>
      <c r="E19" s="0" t="n">
        <f aca="false">E15+E16+E17+E18</f>
        <v>253.50737832</v>
      </c>
      <c r="F19" s="0" t="n">
        <f aca="false">F15+F16+F17+F18</f>
        <v>511.156170756</v>
      </c>
      <c r="G19" s="0" t="n">
        <f aca="false">G15+G16+G17+G18</f>
        <v>730.29158393184</v>
      </c>
      <c r="H19" s="0" t="n">
        <f aca="false">H15+H16+H17+H18</f>
        <v>829.585152318687</v>
      </c>
      <c r="I19" s="0" t="n">
        <f aca="false">I15+I16+I17+I18</f>
        <v>930.569317408956</v>
      </c>
      <c r="J19" s="0" t="n">
        <f aca="false">J15+J16+J17+J18</f>
        <v>970.1137433023</v>
      </c>
      <c r="K19" s="0" t="n">
        <f aca="false">K15+K16+K17+K18</f>
        <v>994.366586884858</v>
      </c>
      <c r="L19" s="0" t="n">
        <f aca="false">L15+L16+L17+L18</f>
        <v>1019.22575155698</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-89.8749999999998</v>
      </c>
      <c r="D21" s="0" t="n">
        <f aca="false">D19*D20</f>
        <v>39.5671913580248</v>
      </c>
      <c r="E21" s="0" t="n">
        <f aca="false">E19*E20</f>
        <v>201.242330246913</v>
      </c>
      <c r="F21" s="0" t="n">
        <f aca="false">F19*F20</f>
        <v>375.715044946781</v>
      </c>
      <c r="G21" s="0" t="n">
        <f aca="false">G19*G20</f>
        <v>497.024180959175</v>
      </c>
      <c r="H21" s="0" t="n">
        <f aca="false">H19*H20</f>
        <v>522.77936590443</v>
      </c>
      <c r="I21" s="0" t="n">
        <f aca="false">I19*I20</f>
        <v>542.978258833766</v>
      </c>
      <c r="J21" s="0" t="n">
        <f aca="false">J19*J20</f>
        <v>524.12226993397</v>
      </c>
      <c r="K21" s="0" t="n">
        <f aca="false">K19*K20</f>
        <v>497.430858039184</v>
      </c>
      <c r="L21" s="0" t="n">
        <f aca="false">L19*L20</f>
        <v>472.098731009411</v>
      </c>
    </row>
    <row r="23" customFormat="false" ht="15" hidden="false" customHeight="false" outlineLevel="0" collapsed="false">
      <c r="A23" s="0" t="s">
        <v>101</v>
      </c>
      <c r="C23" s="4" t="n">
        <f aca="false">Assumptions!C44</f>
        <v>1.45</v>
      </c>
      <c r="D23" s="4" t="n">
        <f aca="false">Assumptions!D44</f>
        <v>1.45</v>
      </c>
      <c r="E23" s="4" t="n">
        <f aca="false">Assumptions!E44</f>
        <v>1.45</v>
      </c>
      <c r="F23" s="4" t="n">
        <f aca="false">Assumptions!F44</f>
        <v>1.45</v>
      </c>
      <c r="G23" s="4" t="n">
        <f aca="false">Assumptions!G44</f>
        <v>1.45</v>
      </c>
      <c r="H23" s="4" t="n">
        <f aca="false">Assumptions!H44</f>
        <v>1.45</v>
      </c>
      <c r="I23" s="4" t="n">
        <f aca="false">Assumptions!I44</f>
        <v>1.45</v>
      </c>
      <c r="J23" s="4" t="n">
        <f aca="false">Assumptions!J44</f>
        <v>1.45</v>
      </c>
      <c r="K23" s="4" t="n">
        <f aca="false">Assumptions!K44</f>
        <v>1.45</v>
      </c>
      <c r="L23" s="4" t="n">
        <f aca="false">Assumptions!L44</f>
        <v>1.45</v>
      </c>
    </row>
    <row r="24" customFormat="false" ht="15" hidden="false" customHeight="false" outlineLevel="0" collapsed="false">
      <c r="A24" s="0" t="s">
        <v>126</v>
      </c>
      <c r="C24" s="0" t="n">
        <f aca="false">-C6*C23/100</f>
        <v>-187.659</v>
      </c>
      <c r="D24" s="0" t="n">
        <f aca="false">-D6*D23/100</f>
        <v>-197.04195</v>
      </c>
      <c r="E24" s="0" t="n">
        <f aca="false">-E6*E23/100</f>
        <v>-208.864467</v>
      </c>
      <c r="F24" s="0" t="n">
        <f aca="false">-F6*F23/100</f>
        <v>-219.30769035</v>
      </c>
      <c r="G24" s="0" t="n">
        <f aca="false">-G6*G23/100</f>
        <v>-228.079997964</v>
      </c>
      <c r="H24" s="0" t="n">
        <f aca="false">-H6*H23/100</f>
        <v>-236.06279789274</v>
      </c>
      <c r="I24" s="0" t="n">
        <f aca="false">-I6*I23/100</f>
        <v>-243.144681829522</v>
      </c>
      <c r="J24" s="0" t="n">
        <f aca="false">-J6*J23/100</f>
        <v>-249.22329887526</v>
      </c>
      <c r="K24" s="0" t="n">
        <f aca="false">-K6*K23/100</f>
        <v>-255.453881347142</v>
      </c>
      <c r="L24" s="0" t="n">
        <f aca="false">-L6*L23/100</f>
        <v>-261.84022838082</v>
      </c>
    </row>
    <row r="26" customFormat="false" ht="15" hidden="false" customHeight="false" outlineLevel="0" collapsed="false">
      <c r="A26" s="2" t="s">
        <v>127</v>
      </c>
    </row>
    <row r="27" customFormat="false" ht="15" hidden="false" customHeight="false" outlineLevel="0" collapsed="false">
      <c r="A27" s="0" t="s">
        <v>105</v>
      </c>
      <c r="B27" s="4" t="n">
        <f aca="false">Assumptions!$B$48</f>
        <v>8</v>
      </c>
    </row>
    <row r="28" customFormat="false" ht="15" hidden="false" customHeight="false" outlineLevel="0" collapsed="false">
      <c r="A28" s="0" t="s">
        <v>106</v>
      </c>
      <c r="B28" s="4" t="n">
        <f aca="false">Assumptions!$B$49</f>
        <v>2</v>
      </c>
    </row>
    <row r="29" customFormat="false" ht="15" hidden="false" customHeight="false" outlineLevel="0" collapsed="false">
      <c r="A29" s="0" t="s">
        <v>107</v>
      </c>
      <c r="B29" s="4" t="n">
        <f aca="false">Assumptions!$B$50</f>
        <v>12</v>
      </c>
    </row>
    <row r="30" customFormat="false" ht="15" hidden="false" customHeight="false" outlineLevel="0" collapsed="false">
      <c r="A30" s="0" t="s">
        <v>128</v>
      </c>
      <c r="B30" s="0" t="n">
        <f aca="false">SUM(C21:L21)</f>
        <v>3583.08323123166</v>
      </c>
    </row>
    <row r="31" customFormat="false" ht="15" hidden="false" customHeight="false" outlineLevel="0" collapsed="false">
      <c r="A31" s="0" t="s">
        <v>129</v>
      </c>
      <c r="B31" s="0" t="n">
        <f aca="false">L19</f>
        <v>1019.22575155698</v>
      </c>
    </row>
    <row r="32" customFormat="false" ht="15" hidden="false" customHeight="false" outlineLevel="0" collapsed="false">
      <c r="A32" s="0" t="s">
        <v>130</v>
      </c>
      <c r="B32" s="0" t="n">
        <f aca="false">IF(B27&gt;B28,B31*(1+B28/100)/((B27-B28)/100),B31*B29)</f>
        <v>17326.8377764687</v>
      </c>
    </row>
    <row r="33" customFormat="false" ht="15" hidden="false" customHeight="false" outlineLevel="0" collapsed="false">
      <c r="A33" s="0" t="s">
        <v>131</v>
      </c>
      <c r="B33" s="0" t="n">
        <f aca="false">B31*B29</f>
        <v>12230.7090186838</v>
      </c>
    </row>
    <row r="34" customFormat="false" ht="15" hidden="false" customHeight="false" outlineLevel="0" collapsed="false">
      <c r="A34" s="0" t="s">
        <v>132</v>
      </c>
      <c r="B34" s="0" t="n">
        <f aca="false">MAX(0,MIN(B32,B33))</f>
        <v>12230.7090186838</v>
      </c>
    </row>
    <row r="35" customFormat="false" ht="15" hidden="false" customHeight="false" outlineLevel="0" collapsed="false">
      <c r="A35" s="0" t="s">
        <v>133</v>
      </c>
      <c r="B35" s="0" t="n">
        <f aca="false">B34/(1+B27/100)^L4</f>
        <v>5665.18477211293</v>
      </c>
    </row>
    <row r="36" customFormat="false" ht="15" hidden="false" customHeight="false" outlineLevel="0" collapsed="false">
      <c r="A36" s="0" t="s">
        <v>134</v>
      </c>
      <c r="B36" s="0" t="n">
        <f aca="false">B30+B35</f>
        <v>9248.26800334459</v>
      </c>
    </row>
    <row r="37" customFormat="false" ht="15" hidden="false" customHeight="false" outlineLevel="0" collapsed="false">
      <c r="A37" s="0" t="s">
        <v>135</v>
      </c>
      <c r="B37" s="0" t="n">
        <f aca="false">B36+Assumptions!$B$5-Assumptions!$B$4</f>
        <v>7571.26800334459</v>
      </c>
    </row>
    <row r="38" customFormat="false" ht="15" hidden="false" customHeight="false" outlineLevel="0" collapsed="false">
      <c r="A38" s="0" t="s">
        <v>136</v>
      </c>
      <c r="B38" s="0" t="n">
        <f aca="false">B37/Assumptions!$B$3*Assumptions!$B$10</f>
        <v>36.4634367335031</v>
      </c>
    </row>
    <row r="39" customFormat="false" ht="15" hidden="false" customHeight="false" outlineLevel="0" collapsed="false">
      <c r="A39" s="0" t="s">
        <v>137</v>
      </c>
      <c r="B39" s="4" t="n">
        <f aca="false">B38/Assumptions!$B$2-1</f>
        <v>-0.394295070872041</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36.4634367335031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7997.00205067784</v>
      </c>
    </row>
    <row r="47" customFormat="false" ht="15" hidden="false" customHeight="false" outlineLevel="0" collapsed="false">
      <c r="A47" s="0" t="s">
        <v>142</v>
      </c>
      <c r="B47" s="0" t="n">
        <f aca="false">(SUMPRODUCT(C19:L19/(1+B45/100)^C4:L4)+B46/(1+B45/100)^L4+Assumptions!$B$5-Assumptions!$B$4)/Assumptions!$B$3*Assumptions!$B$10</f>
        <v>12.6780560911845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-1.85859793867201</v>
      </c>
      <c r="C4" s="0" t="n">
        <f aca="false">B4/Assumptions!$B$2-1</f>
        <v>-1.0308737199115</v>
      </c>
      <c r="D4" s="4" t="n">
        <f aca="false">Assumptions!$B$24</f>
        <v>0.25</v>
      </c>
      <c r="E4" s="4" t="n">
        <f aca="false">DCF_Bear!$B$43</f>
        <v>-1.85859793867201</v>
      </c>
      <c r="F4" s="4" t="n">
        <f aca="false">DCF_Bear!$B$47</f>
        <v>-6.0144156593059</v>
      </c>
    </row>
    <row r="5" customFormat="false" ht="15" hidden="false" customHeight="false" outlineLevel="0" collapsed="false">
      <c r="A5" s="0" t="s">
        <v>151</v>
      </c>
      <c r="B5" s="4" t="n">
        <f aca="false">DCF_Base!$B$38</f>
        <v>18.2921313337828</v>
      </c>
      <c r="C5" s="0" t="n">
        <f aca="false">B5/Assumptions!$B$2-1</f>
        <v>-0.696143997777695</v>
      </c>
      <c r="D5" s="4" t="n">
        <f aca="false">Assumptions!$B$38</f>
        <v>0.5</v>
      </c>
      <c r="E5" s="4" t="n">
        <f aca="false">DCF_Base!$B$43</f>
        <v>18.2921313337828</v>
      </c>
      <c r="F5" s="4" t="n">
        <f aca="false">DCF_Base!$B$47</f>
        <v>3.81380480138438</v>
      </c>
    </row>
    <row r="6" customFormat="false" ht="15" hidden="false" customHeight="false" outlineLevel="0" collapsed="false">
      <c r="A6" s="0" t="s">
        <v>152</v>
      </c>
      <c r="B6" s="4" t="n">
        <f aca="false">DCF_Bull!$B$38</f>
        <v>36.4634367335031</v>
      </c>
      <c r="C6" s="0" t="n">
        <f aca="false">B6/Assumptions!$B$2-1</f>
        <v>-0.394295070872041</v>
      </c>
      <c r="D6" s="4" t="n">
        <f aca="false">Assumptions!$B$52</f>
        <v>0.25</v>
      </c>
      <c r="E6" s="4" t="n">
        <f aca="false">DCF_Bull!$B$43</f>
        <v>36.4634367335031</v>
      </c>
      <c r="F6" s="4" t="n">
        <f aca="false">DCF_Bull!$B$47</f>
        <v>12.6780560911845</v>
      </c>
    </row>
    <row r="8" customFormat="false" ht="15" hidden="false" customHeight="false" outlineLevel="0" collapsed="false">
      <c r="A8" s="0" t="s">
        <v>153</v>
      </c>
      <c r="B8" s="0" t="n">
        <f aca="false">SUMPRODUCT(B4:B6,D4:D6)</f>
        <v>17.7972753655992</v>
      </c>
    </row>
    <row r="9" customFormat="false" ht="15" hidden="false" customHeight="false" outlineLevel="0" collapsed="false">
      <c r="A9" s="0" t="s">
        <v>154</v>
      </c>
      <c r="B9" s="0" t="n">
        <f aca="false">SUMPRODUCT(E4:E6,D4:D6)</f>
        <v>17.7972753655992</v>
      </c>
    </row>
    <row r="10" customFormat="false" ht="15" hidden="false" customHeight="false" outlineLevel="0" collapsed="false">
      <c r="A10" s="0" t="s">
        <v>155</v>
      </c>
      <c r="B10" s="0" t="n">
        <f aca="false">1-Assumptions!$B$2/B8</f>
        <v>-2.38254023513971</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3.57281250866184</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18.2921313337828</v>
      </c>
      <c r="C15" s="3" t="n">
        <v>8</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16.1828200954385</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14.2637324546068</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11.8044532938515</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9.16629302085701</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3.81380480138438</v>
      </c>
      <c r="C20" s="3" t="n">
        <v>15</v>
      </c>
    </row>
    <row r="22" customFormat="false" ht="15" hidden="false" customHeight="false" outlineLevel="0" collapsed="false">
      <c r="A22" s="2" t="s">
        <v>166</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23.1692414514551</v>
      </c>
      <c r="C24" s="0" t="n">
        <f aca="false">(SUMPRODUCT(DCF_Base!$C$19:$L$19/(1+$A$24/100)^DCF_Base!$C$4:$L$4)+MAX(0,MIN(IF($A$24&gt;$C$23,DCF_Base!$L$19*(1+$C$23/100)/(($A$24-$C$23)/100),DCF_Base!$L$19*DCF_Base!$B$29),DCF_Base!$L$19*DCF_Base!$B$29))/(1+$A$24/100)^DCF_Base!$L$4+Assumptions!$B$5-Assumptions!$B$4)/Assumptions!$B$3*Assumptions!$B$10</f>
        <v>23.1692414514551</v>
      </c>
      <c r="D24" s="0" t="n">
        <f aca="false">(SUMPRODUCT(DCF_Base!$C$19:$L$19/(1+$A$24/100)^DCF_Base!$C$4:$L$4)+MAX(0,MIN(IF($A$24&gt;$D$23,DCF_Base!$L$19*(1+$D$23/100)/(($A$24-$D$23)/100),DCF_Base!$L$19*DCF_Base!$B$29),DCF_Base!$L$19*DCF_Base!$B$29))/(1+$A$24/100)^DCF_Base!$L$4+Assumptions!$B$5-Assumptions!$B$4)/Assumptions!$B$3*Assumptions!$B$10</f>
        <v>23.1692414514551</v>
      </c>
      <c r="E24" s="0" t="n">
        <f aca="false">(SUMPRODUCT(DCF_Base!$C$19:$L$19/(1+$A$24/100)^DCF_Base!$C$4:$L$4)+MAX(0,MIN(IF($A$24&gt;$E$23,DCF_Base!$L$19*(1+$E$23/100)/(($A$24-$E$23)/100),DCF_Base!$L$19*DCF_Base!$B$29),DCF_Base!$L$19*DCF_Base!$B$29))/(1+$A$24/100)^DCF_Base!$L$4+Assumptions!$B$5-Assumptions!$B$4)/Assumptions!$B$3*Assumptions!$B$10</f>
        <v>23.1692414514551</v>
      </c>
      <c r="F24" s="0" t="n">
        <f aca="false">(SUMPRODUCT(DCF_Base!$C$19:$L$19/(1+$A$24/100)^DCF_Base!$C$4:$L$4)+MAX(0,MIN(IF($A$24&gt;$F$23,DCF_Base!$L$19*(1+$F$23/100)/(($A$24-$F$23)/100),DCF_Base!$L$19*DCF_Base!$B$29),DCF_Base!$L$19*DCF_Base!$B$29))/(1+$A$24/100)^DCF_Base!$L$4+Assumptions!$B$5-Assumptions!$B$4)/Assumptions!$B$3*Assumptions!$B$10</f>
        <v>23.1692414514551</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20.6129592431875</v>
      </c>
      <c r="C25" s="0" t="n">
        <f aca="false">(SUMPRODUCT(DCF_Base!$C$19:$L$19/(1+$A$25/100)^DCF_Base!$C$4:$L$4)+MAX(0,MIN(IF($A$25&gt;$C$23,DCF_Base!$L$19*(1+$C$23/100)/(($A$25-$C$23)/100),DCF_Base!$L$19*DCF_Base!$B$29),DCF_Base!$L$19*DCF_Base!$B$29))/(1+$A$25/100)^DCF_Base!$L$4+Assumptions!$B$5-Assumptions!$B$4)/Assumptions!$B$3*Assumptions!$B$10</f>
        <v>20.6129592431875</v>
      </c>
      <c r="D25" s="0" t="n">
        <f aca="false">(SUMPRODUCT(DCF_Base!$C$19:$L$19/(1+$A$25/100)^DCF_Base!$C$4:$L$4)+MAX(0,MIN(IF($A$25&gt;$D$23,DCF_Base!$L$19*(1+$D$23/100)/(($A$25-$D$23)/100),DCF_Base!$L$19*DCF_Base!$B$29),DCF_Base!$L$19*DCF_Base!$B$29))/(1+$A$25/100)^DCF_Base!$L$4+Assumptions!$B$5-Assumptions!$B$4)/Assumptions!$B$3*Assumptions!$B$10</f>
        <v>20.6129592431875</v>
      </c>
      <c r="E25" s="0" t="n">
        <f aca="false">(SUMPRODUCT(DCF_Base!$C$19:$L$19/(1+$A$25/100)^DCF_Base!$C$4:$L$4)+MAX(0,MIN(IF($A$25&gt;$E$23,DCF_Base!$L$19*(1+$E$23/100)/(($A$25-$E$23)/100),DCF_Base!$L$19*DCF_Base!$B$29),DCF_Base!$L$19*DCF_Base!$B$29))/(1+$A$25/100)^DCF_Base!$L$4+Assumptions!$B$5-Assumptions!$B$4)/Assumptions!$B$3*Assumptions!$B$10</f>
        <v>20.6129592431875</v>
      </c>
      <c r="F25" s="0" t="n">
        <f aca="false">(SUMPRODUCT(DCF_Base!$C$19:$L$19/(1+$A$25/100)^DCF_Base!$C$4:$L$4)+MAX(0,MIN(IF($A$25&gt;$F$23,DCF_Base!$L$19*(1+$F$23/100)/(($A$25-$F$23)/100),DCF_Base!$L$19*DCF_Base!$B$29),DCF_Base!$L$19*DCF_Base!$B$29))/(1+$A$25/100)^DCF_Base!$L$4+Assumptions!$B$5-Assumptions!$B$4)/Assumptions!$B$3*Assumptions!$B$10</f>
        <v>20.6129592431875</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18.2921313337828</v>
      </c>
      <c r="C26" s="0" t="n">
        <f aca="false">(SUMPRODUCT(DCF_Base!$C$19:$L$19/(1+$A$26/100)^DCF_Base!$C$4:$L$4)+MAX(0,MIN(IF($A$26&gt;$C$23,DCF_Base!$L$19*(1+$C$23/100)/(($A$26-$C$23)/100),DCF_Base!$L$19*DCF_Base!$B$29),DCF_Base!$L$19*DCF_Base!$B$29))/(1+$A$26/100)^DCF_Base!$L$4+Assumptions!$B$5-Assumptions!$B$4)/Assumptions!$B$3*Assumptions!$B$10</f>
        <v>18.2921313337828</v>
      </c>
      <c r="D26" s="0" t="n">
        <f aca="false">(SUMPRODUCT(DCF_Base!$C$19:$L$19/(1+$A$26/100)^DCF_Base!$C$4:$L$4)+MAX(0,MIN(IF($A$26&gt;$D$23,DCF_Base!$L$19*(1+$D$23/100)/(($A$26-$D$23)/100),DCF_Base!$L$19*DCF_Base!$B$29),DCF_Base!$L$19*DCF_Base!$B$29))/(1+$A$26/100)^DCF_Base!$L$4+Assumptions!$B$5-Assumptions!$B$4)/Assumptions!$B$3*Assumptions!$B$10</f>
        <v>18.2921313337828</v>
      </c>
      <c r="E26" s="0" t="n">
        <f aca="false">(SUMPRODUCT(DCF_Base!$C$19:$L$19/(1+$A$26/100)^DCF_Base!$C$4:$L$4)+MAX(0,MIN(IF($A$26&gt;$E$23,DCF_Base!$L$19*(1+$E$23/100)/(($A$26-$E$23)/100),DCF_Base!$L$19*DCF_Base!$B$29),DCF_Base!$L$19*DCF_Base!$B$29))/(1+$A$26/100)^DCF_Base!$L$4+Assumptions!$B$5-Assumptions!$B$4)/Assumptions!$B$3*Assumptions!$B$10</f>
        <v>18.2921313337828</v>
      </c>
      <c r="F26" s="0" t="n">
        <f aca="false">(SUMPRODUCT(DCF_Base!$C$19:$L$19/(1+$A$26/100)^DCF_Base!$C$4:$L$4)+MAX(0,MIN(IF($A$26&gt;$F$23,DCF_Base!$L$19*(1+$F$23/100)/(($A$26-$F$23)/100),DCF_Base!$L$19*DCF_Base!$B$29),DCF_Base!$L$19*DCF_Base!$B$29))/(1+$A$26/100)^DCF_Base!$L$4+Assumptions!$B$5-Assumptions!$B$4)/Assumptions!$B$3*Assumptions!$B$10</f>
        <v>18.2921313337828</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16.1828200954385</v>
      </c>
      <c r="C27" s="0" t="n">
        <f aca="false">(SUMPRODUCT(DCF_Base!$C$19:$L$19/(1+$A$27/100)^DCF_Base!$C$4:$L$4)+MAX(0,MIN(IF($A$27&gt;$C$23,DCF_Base!$L$19*(1+$C$23/100)/(($A$27-$C$23)/100),DCF_Base!$L$19*DCF_Base!$B$29),DCF_Base!$L$19*DCF_Base!$B$29))/(1+$A$27/100)^DCF_Base!$L$4+Assumptions!$B$5-Assumptions!$B$4)/Assumptions!$B$3*Assumptions!$B$10</f>
        <v>16.1828200954385</v>
      </c>
      <c r="D27" s="0" t="n">
        <f aca="false">(SUMPRODUCT(DCF_Base!$C$19:$L$19/(1+$A$27/100)^DCF_Base!$C$4:$L$4)+MAX(0,MIN(IF($A$27&gt;$D$23,DCF_Base!$L$19*(1+$D$23/100)/(($A$27-$D$23)/100),DCF_Base!$L$19*DCF_Base!$B$29),DCF_Base!$L$19*DCF_Base!$B$29))/(1+$A$27/100)^DCF_Base!$L$4+Assumptions!$B$5-Assumptions!$B$4)/Assumptions!$B$3*Assumptions!$B$10</f>
        <v>16.1828200954385</v>
      </c>
      <c r="E27" s="0" t="n">
        <f aca="false">(SUMPRODUCT(DCF_Base!$C$19:$L$19/(1+$A$27/100)^DCF_Base!$C$4:$L$4)+MAX(0,MIN(IF($A$27&gt;$E$23,DCF_Base!$L$19*(1+$E$23/100)/(($A$27-$E$23)/100),DCF_Base!$L$19*DCF_Base!$B$29),DCF_Base!$L$19*DCF_Base!$B$29))/(1+$A$27/100)^DCF_Base!$L$4+Assumptions!$B$5-Assumptions!$B$4)/Assumptions!$B$3*Assumptions!$B$10</f>
        <v>16.1828200954385</v>
      </c>
      <c r="F27" s="0" t="n">
        <f aca="false">(SUMPRODUCT(DCF_Base!$C$19:$L$19/(1+$A$27/100)^DCF_Base!$C$4:$L$4)+MAX(0,MIN(IF($A$27&gt;$F$23,DCF_Base!$L$19*(1+$F$23/100)/(($A$27-$F$23)/100),DCF_Base!$L$19*DCF_Base!$B$29),DCF_Base!$L$19*DCF_Base!$B$29))/(1+$A$27/100)^DCF_Base!$L$4+Assumptions!$B$5-Assumptions!$B$4)/Assumptions!$B$3*Assumptions!$B$10</f>
        <v>16.1828200954385</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13.3550846306304</v>
      </c>
      <c r="C28" s="0" t="n">
        <f aca="false">(SUMPRODUCT(DCF_Base!$C$19:$L$19/(1+$A$28/100)^DCF_Base!$C$4:$L$4)+MAX(0,MIN(IF($A$28&gt;$C$23,DCF_Base!$L$19*(1+$C$23/100)/(($A$28-$C$23)/100),DCF_Base!$L$19*DCF_Base!$B$29),DCF_Base!$L$19*DCF_Base!$B$29))/(1+$A$28/100)^DCF_Base!$L$4+Assumptions!$B$5-Assumptions!$B$4)/Assumptions!$B$3*Assumptions!$B$10</f>
        <v>14.1950111906085</v>
      </c>
      <c r="D28" s="0" t="n">
        <f aca="false">(SUMPRODUCT(DCF_Base!$C$19:$L$19/(1+$A$28/100)^DCF_Base!$C$4:$L$4)+MAX(0,MIN(IF($A$28&gt;$D$23,DCF_Base!$L$19*(1+$D$23/100)/(($A$28-$D$23)/100),DCF_Base!$L$19*DCF_Base!$B$29),DCF_Base!$L$19*DCF_Base!$B$29))/(1+$A$28/100)^DCF_Base!$L$4+Assumptions!$B$5-Assumptions!$B$4)/Assumptions!$B$3*Assumptions!$B$10</f>
        <v>14.2637324546068</v>
      </c>
      <c r="E28" s="0" t="n">
        <f aca="false">(SUMPRODUCT(DCF_Base!$C$19:$L$19/(1+$A$28/100)^DCF_Base!$C$4:$L$4)+MAX(0,MIN(IF($A$28&gt;$E$23,DCF_Base!$L$19*(1+$E$23/100)/(($A$28-$E$23)/100),DCF_Base!$L$19*DCF_Base!$B$29),DCF_Base!$L$19*DCF_Base!$B$29))/(1+$A$28/100)^DCF_Base!$L$4+Assumptions!$B$5-Assumptions!$B$4)/Assumptions!$B$3*Assumptions!$B$10</f>
        <v>14.2637324546068</v>
      </c>
      <c r="F28" s="0" t="n">
        <f aca="false">(SUMPRODUCT(DCF_Base!$C$19:$L$19/(1+$A$28/100)^DCF_Base!$C$4:$L$4)+MAX(0,MIN(IF($A$28&gt;$F$23,DCF_Base!$L$19*(1+$F$23/100)/(($A$28-$F$23)/100),DCF_Base!$L$19*DCF_Base!$B$29),DCF_Base!$L$19*DCF_Base!$B$29))/(1+$A$28/100)^DCF_Base!$L$4+Assumptions!$B$5-Assumptions!$B$4)/Assumptions!$B$3*Assumptions!$B$10</f>
        <v>14.2637324546068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2026-10-24T11:40:32Z</dcterms:created>
  <dc:creator>openpyxl</dc:creator>
  <dc:description/>
  <dc:language>en-NZ</dc:language>
  <cp:lastModifiedBy/>
  <dcterms:modified xsi:type="dcterms:W3CDTF">2026-10-24T11:40:32Z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