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<sst xmlns="http://schemas.openxmlformats.org/spreadsheetml/2006/main" count="349" uniqueCount="163">
  <si>
    <t xml:space="preserve">Ticker</t>
  </si>
  <si>
    <t xml:space="preserve">6690.HK</t>
  </si>
  <si>
    <t xml:space="preserve">Company</t>
  </si>
  <si>
    <t xml:space="preserve">Haier Smart Home Co., Ltd.</t>
  </si>
  <si>
    <t xml:space="preserve">Valuation date</t>
  </si>
  <si>
    <t xml:space="preserve">2026-10-24</t>
  </si>
  <si>
    <t xml:space="preserve">Current price</t>
  </si>
  <si>
    <t xml:space="preserve">Price as of</t>
  </si>
  <si>
    <t xml:space="preserve">2026-10-23T08:08:08Z regular HKEX close</t>
  </si>
  <si>
    <t xml:space="preserve">Balance sheet date</t>
  </si>
  <si>
    <t xml:space="preserve">2026-06-30</t>
  </si>
  <si>
    <t xml:space="preserve">Model</t>
  </si>
  <si>
    <t xml:space="preserve">owner_fcf_dcf_component</t>
  </si>
  <si>
    <t xml:space="preserve">Currency (model)</t>
  </si>
  <si>
    <t xml:space="preserve">CNY</t>
  </si>
  <si>
    <t xml:space="preserve">Currency (quote)</t>
  </si>
  <si>
    <t xml:space="preserve">HKD</t>
  </si>
  <si>
    <t xml:space="preserve">Units</t>
  </si>
  <si>
    <t xml:space="preserve">millions</t>
  </si>
  <si>
    <t xml:space="preserve">Engine</t>
  </si>
  <si>
    <t xml:space="preserve">dcf_engine v1</t>
  </si>
  <si>
    <t xml:space="preserve">Built at</t>
  </si>
  <si>
    <t xml:space="preserve">2026-10-23T15:36:22Z</t>
  </si>
  <si>
    <t xml:space="preserve">Drivers file</t>
  </si>
  <si>
    <t xml:space="preserve">6690.HK_Drivers.json</t>
  </si>
  <si>
    <t xml:space="preserve">Convention</t>
  </si>
  <si>
    <t xml:space="preserve">Percents stored as percents; formulas divide by 100. Blue = input, green = link, black = formula.</t>
  </si>
  <si>
    <t xml:space="preserve">Methodology</t>
  </si>
  <si>
    <t xml:space="preserve">summary: Haier Smart Home is valued as a mature, cyclical, globally diversified consumer-durables manufacturer on an owner-FCF basis: SBC (small) expensed, bank interest, associate profits and investment income stripped from the flows with their source assets carried in the bridge, leases charged as an operating cost, and NCI deducted once at an estimated fair value. The flows are in RMB and discounted at a CNY-built 8.5% in every scenario; the dispersion of outcomes (tariffs, China saturation, HVAC upside) is priced in the three scenarios and a 25/50/25 weighting rather than in the discount rate. Terminal value is capped at 13-16x owner FCF because appliance makers do not sustain premium multiples through a cycle. Per-share values are computed in RMB and converted to HKD at 1.1752 so they compare with the H-share quote; the 16% H-share discount to the A-share is reported, not assumed away.
key_risks_to_valuation: US tariff policy on GE Appliances' imported components and finished goods -- management's most-cited risk; unresolved and outside the company's control; China market saturation and the eventual withdrawal of the national trade-in subsidy, which produced a -9.9% domestic retail print in H1 FY2026 when the prior programme faded; Industry price war (Midea, Gree) in a replacement-only domestic market compressing a ~10% owner EBITDA margin; Commodity inputs (copper spiked Q4 2025-H1 2026, steel, aluminium) and RMB appreciation against USD/EUR revenue; Bridge items are ~RMB28bn of value (3.0/share): associates are related-party finance-company stakes carried at book less 20%, NCI is an estimate, and the June 2026 balance sheet is used against FY2025 flows; Governance: Haier Group influence, combined Chairman/CEO, three major reorganisations in 2025-26, tri-listing (A/H/D) -- reflected in the persistent H-share discount to the A-share; Terminal value is ~55-60% of enterprise value and bound by the exit cap in base and bull; a lower cap or higher WACC moves value materially (see sensitivity grid)</t>
  </si>
  <si>
    <t xml:space="preserve">Data sources</t>
  </si>
  <si>
    <t xml:space="preserve">price: Yahoo Finance chart API for 6690.HK at inputs.price_as_of (regular HKEX close); 52-week range HK$18.90-28.20. FX from Yahoo CNYHKD=X same day; A-share parity check via 600690.SS.
financials: research/6690.HK/Reports/6690.HK_Metrics.csv (FY2020-FY2025 annual, H1 FY2024-H1 FY2026 interim, RMB millions) and kpis table; FY2025 Annual Report (adjusted operating profit reconciliation, cash flow statement, tax reconciliation, lease note 16(b), diluted EPS note); H1 FY2026 Interim Report (balance sheet at 2026-06-30, cash and WMP, borrowings note 16, diluted shares, India disposal note 22).
qualitative: research/6690.HK/Reports/6690.HK_Analysis.json (2026-10-24): business model, HVAC strategy, tariff and China-saturation risks, bull/bear cases, FY2026 guidance items.</t>
  </si>
  <si>
    <t xml:space="preserve">Scenario narrative: bear</t>
  </si>
  <si>
    <t xml:space="preserve">H1 FY2026 is the template rather than the trough: China retail stays in decline once the national subsidy is withdrawn (a demand cliff like FY2025/H1 FY2026), a price war among Midea, Gree and Haier over a saturated replacement market compresses pricing, US tariffs stay high and GE Appliances' import-dependent lines lose margin, and copper/steel inflation plus RMB appreciation squeeze a 6.5%-net-margin manufacturer. Revenue falls 5% in FY2026 and 1% in FY2027, then grows 1-2%. Owner EBITDA margin slides to 9.0% and stays there; capex stays elevated at 3.2-3.3% as regionalised manufacturing is a structural cost. Terminal growth 2.0%, exit capped at 13x.</t>
  </si>
  <si>
    <t xml:space="preserve">Scenario narrative: base</t>
  </si>
  <si>
    <t xml:space="preserve">Revenue dips ~2% in FY2026 as China appliance retail falls on the fading trade-in subsidy and GE Appliances absorbs tariffs and weak US housing, then recovers to 3-4% growth for FY2027-29 as the unified HVAC division (24% of revenue, growing high single digits), South/Southeast Asia and the Middle East (+24% in FY2025) and a restructured Europe outgrow a flat China core. Owner EBITDA margin eases to 10.0% in FY2026 on copper and tariffs, then recovers roughly 0.2pp a year to 11.0% -- the FY2024 level -- on HVAC mix, Casarte premiumisation, European Operating Model 2.0 and DTC logistics savings. Capex runs 3.0-3.2% of revenue while the Thailand and Kentucky plants are built; cash tax drifts from 18% to 19% under Pillar Two; working capital consumes 10% of each year's revenue increase. Terminal growth 2.5%, exit capped at 15x owner FCF.</t>
  </si>
  <si>
    <t xml:space="preserve">Scenario narrative: bull</t>
  </si>
  <si>
    <t xml:space="preserve">HVAC scales toward management's one-third-of-revenue target as heat-pump, data-centre cooling and commercial refrigeration (CCR, PROFROID) demand compounds; India (now 51%-owned, with a partner's capital) and South Asia become the third pillar; US tariffs stabilise and a Fed easing cycle revives housing-linked appliance replacement for GE Appliances; Casarte keeps double-digit growth in a premiumising China. Revenue is flat in FY2026 then grows 5-6% for three years, fading to 3%. Margin reaches 12.0% -- above any year in the FY2020-25 history -- on mix and the European turnaround. Terminal growth 3.0%, exit 16x.</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</si>
  <si>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</si>
  <si>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</si>
  <si>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</si>
  <si>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</si>
  <si>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</si>
  <si>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</si>
  <si>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</si>
  <si>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</si>
  <si>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</si>
  <si>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</si>
  <si>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</si>
  <si>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</si>
  <si>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</si>
  <si>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</si>
  <si>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</si>
  <si>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</si>
  <si>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</si>
  <si>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</si>
  <si>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</si>
  <si>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</si>
  <si>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</si>
  <si>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</si>
  <si>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</si>
  <si>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</si>
  <si>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</si>
  <si>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</si>
  <si>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</si>
  <si>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TotalEquityInclNCI</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</si>
  <si>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</si>
  <si>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</si>
  <si>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</si>
  <si>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</si>
  <si>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</si>
  <si>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</si>
  <si>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</si>
  <si>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</si>
  <si>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</si>
  <si>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</si>
  <si>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</si>
  <si>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</si>
  <si>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</si>
  <si>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</si>
  <si>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</si>
  <si>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</si>
  <si>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CNY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</si>
  <si>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</si>
  <si>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</si>
  <si>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</si>
  <si>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</si>
  <si>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</si>
  <si>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</si>
  <si>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</si>
  <si>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</si>
  <si>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</si>
  <si>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</si>
  <si>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</si>
  <si>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</si>
  <si>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</si>
  <si>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</si>
  <si>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</si>
  <si>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</si>
  <si>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</si>
  <si>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</si>
  <si>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</si>
  <si>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</si>
  <si>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</si>
  <si>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</si>
  <si>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</si>
  <si>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</si>
  <si>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</si>
  <si>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</si>
  <si>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6690.HK owner-FCF component DCF: bear case (millions, CNY)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</si>
  <si>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</si>
  <si>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</si>
  <si>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</si>
  <si>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</si>
  <si>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</si>
  <si>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</si>
  <si>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</si>
  <si>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</si>
  <si>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</si>
  <si>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</si>
  <si>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</si>
  <si>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</si>
  <si>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</si>
  <si>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</si>
  <si>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</si>
  <si>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</si>
  <si>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</si>
  <si>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</si>
  <si>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</si>
  <si>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</si>
  <si>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</si>
  <si>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</si>
  <si>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</si>
  <si>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</si>
  <si>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</si>
  <si>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</si>
  <si>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</si>
  <si>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</si>
  <si>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</si>
  <si>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</si>
  <si>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6690.HK owner-FCF component DCF: base case (millions, CNY)</t>
  </si>
  <si>
    <t xml:space="preserve">6690.HK owner-FCF component DCF: bull case (millions, CNY)</t>
  </si>
  <si>
    <t xml:space="preserve">6690.HK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</si>
  <si>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</si>
  <si>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</si>
  <si>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</si>
  <si>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</si>
  <si>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</si>
  <si>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</si>
  <si>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</si>
  <si>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</si>
  <si>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</si>
  <si>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</si>
  <si>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</si>
  <si>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</si>
  <si>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</si>
  <si>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</si>
  <si>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8.5%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</si>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</sst>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19.41</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row>
    <row r="2" customFormat="false" ht="15" hidden="false" customHeight="false" outlineLevel="0" collapsed="false">
      <c r="A2" s="0" t="s">
        <v>65</v>
      </c>
      <c r="B2" s="0" t="n">
        <v>209703</v>
      </c>
      <c r="C2" s="0" t="n">
        <v>148870</v>
      </c>
      <c r="D2" s="0" t="n">
        <v>60833</v>
      </c>
      <c r="E2" s="0" t="n">
        <v>29</v>
      </c>
      <c r="F2" s="0" t="n">
        <v>14876</v>
      </c>
      <c r="G2" s="0" t="n">
        <v>7.1</v>
      </c>
      <c r="H2" s="0" t="n">
        <v>19971</v>
      </c>
      <c r="I2" s="0" t="n">
        <v>8877</v>
      </c>
      <c r="J2" s="0" t="n">
        <v>4.2</v>
      </c>
      <c r="K2" s="0" t="n">
        <v>1.31</v>
      </c>
      <c r="L2" s="0" t="n">
        <v>17599</v>
      </c>
      <c r="M2" s="0" t="n">
        <v>7592</v>
      </c>
      <c r="N2" s="0" t="n">
        <v>10007</v>
      </c>
      <c r="O2" s="0" t="n">
        <v>66816</v>
      </c>
      <c r="P2" s="0" t="n">
        <v>203459</v>
      </c>
      <c r="Q2" s="0" t="n">
        <v>135348</v>
      </c>
      <c r="R2" s="0" t="n">
        <v>39494</v>
      </c>
      <c r="S2" s="0" t="n">
        <v>45635</v>
      </c>
      <c r="U2" s="0" t="n">
        <v>289</v>
      </c>
      <c r="AA2" s="0" t="s">
        <v>18</v>
      </c>
      <c r="AB2" s="0" t="s">
        <v>14</v>
      </c>
      <c r="AC2" s="0" t="n">
        <v>68111</v>
      </c>
    </row>
    <row r="3" customFormat="false" ht="15" hidden="false" customHeight="false" outlineLevel="0" collapsed="false">
      <c r="A3" s="0" t="s">
        <v>66</v>
      </c>
      <c r="B3" s="0" t="n">
        <v>227531</v>
      </c>
      <c r="C3" s="0" t="n">
        <v>158059</v>
      </c>
      <c r="D3" s="0" t="n">
        <v>69472</v>
      </c>
      <c r="E3" s="0" t="n">
        <v>30.5</v>
      </c>
      <c r="F3" s="0" t="n">
        <v>16630</v>
      </c>
      <c r="G3" s="0" t="n">
        <v>7.3</v>
      </c>
      <c r="H3" s="0" t="n">
        <v>21690</v>
      </c>
      <c r="I3" s="0" t="n">
        <v>13067</v>
      </c>
      <c r="J3" s="0" t="n">
        <v>5.7</v>
      </c>
      <c r="K3" s="0" t="n">
        <v>1.4</v>
      </c>
      <c r="L3" s="0" t="n">
        <v>23130</v>
      </c>
      <c r="M3" s="0" t="n">
        <v>7372</v>
      </c>
      <c r="N3" s="0" t="n">
        <v>15758</v>
      </c>
      <c r="O3" s="0" t="n">
        <v>79812</v>
      </c>
      <c r="P3" s="0" t="n">
        <v>217460</v>
      </c>
      <c r="Q3" s="0" t="n">
        <v>136376</v>
      </c>
      <c r="R3" s="0" t="n">
        <v>24026</v>
      </c>
      <c r="S3" s="0" t="n">
        <v>44958</v>
      </c>
      <c r="T3" s="0" t="n">
        <v>9399.001</v>
      </c>
      <c r="U3" s="0" t="n">
        <v>262</v>
      </c>
      <c r="AA3" s="0" t="s">
        <v>18</v>
      </c>
      <c r="AB3" s="0" t="s">
        <v>14</v>
      </c>
      <c r="AC3" s="0" t="n">
        <v>81084</v>
      </c>
    </row>
    <row r="4" customFormat="false" ht="15" hidden="false" customHeight="false" outlineLevel="0" collapsed="false">
      <c r="A4" s="0" t="s">
        <v>67</v>
      </c>
      <c r="B4" s="0" t="n">
        <v>243485</v>
      </c>
      <c r="C4" s="0" t="n">
        <v>168919</v>
      </c>
      <c r="D4" s="0" t="n">
        <v>74566</v>
      </c>
      <c r="E4" s="0" t="n">
        <v>30.6</v>
      </c>
      <c r="F4" s="0" t="n">
        <v>18785</v>
      </c>
      <c r="G4" s="0" t="n">
        <v>7.7</v>
      </c>
      <c r="H4" s="0" t="n">
        <v>24831</v>
      </c>
      <c r="I4" s="0" t="n">
        <v>14711</v>
      </c>
      <c r="J4" s="0" t="n">
        <v>6</v>
      </c>
      <c r="K4" s="0" t="n">
        <v>1.57</v>
      </c>
      <c r="L4" s="0" t="n">
        <v>20153</v>
      </c>
      <c r="M4" s="0" t="n">
        <v>8204</v>
      </c>
      <c r="N4" s="0" t="n">
        <v>11949</v>
      </c>
      <c r="O4" s="0" t="n">
        <v>93423</v>
      </c>
      <c r="P4" s="0" t="n">
        <v>235843</v>
      </c>
      <c r="Q4" s="0" t="n">
        <v>141129</v>
      </c>
      <c r="R4" s="0" t="n">
        <v>29839</v>
      </c>
      <c r="S4" s="0" t="n">
        <v>53369</v>
      </c>
      <c r="T4" s="0" t="n">
        <v>9375.006</v>
      </c>
      <c r="U4" s="0" t="n">
        <v>912</v>
      </c>
      <c r="AA4" s="0" t="s">
        <v>18</v>
      </c>
      <c r="AB4" s="0" t="s">
        <v>14</v>
      </c>
      <c r="AC4" s="0" t="n">
        <v>94714</v>
      </c>
    </row>
    <row r="5" customFormat="false" ht="15" hidden="false" customHeight="false" outlineLevel="0" collapsed="false">
      <c r="A5" s="0" t="s">
        <v>68</v>
      </c>
      <c r="B5" s="0" t="n">
        <v>261422</v>
      </c>
      <c r="C5" s="0" t="n">
        <v>180719</v>
      </c>
      <c r="D5" s="0" t="n">
        <v>80703</v>
      </c>
      <c r="E5" s="0" t="n">
        <v>30.9</v>
      </c>
      <c r="F5" s="0" t="n">
        <v>21823</v>
      </c>
      <c r="G5" s="0" t="n">
        <v>8.3</v>
      </c>
      <c r="H5" s="0" t="n">
        <v>28622</v>
      </c>
      <c r="I5" s="0" t="n">
        <v>16597</v>
      </c>
      <c r="J5" s="0" t="n">
        <v>6.3</v>
      </c>
      <c r="K5" s="0" t="n">
        <v>1.78</v>
      </c>
      <c r="L5" s="0" t="n">
        <v>25262</v>
      </c>
      <c r="M5" s="0" t="n">
        <v>9907</v>
      </c>
      <c r="N5" s="0" t="n">
        <v>15355</v>
      </c>
      <c r="O5" s="0" t="n">
        <v>103514</v>
      </c>
      <c r="P5" s="0" t="n">
        <v>253380</v>
      </c>
      <c r="Q5" s="0" t="n">
        <v>147468</v>
      </c>
      <c r="R5" s="0" t="n">
        <v>32723</v>
      </c>
      <c r="S5" s="0" t="n">
        <v>53977</v>
      </c>
      <c r="T5" s="0" t="n">
        <v>9335.031</v>
      </c>
      <c r="U5" s="0" t="n">
        <v>611</v>
      </c>
      <c r="AA5" s="0" t="s">
        <v>18</v>
      </c>
      <c r="AB5" s="0" t="s">
        <v>14</v>
      </c>
      <c r="AC5" s="0" t="n">
        <v>105912</v>
      </c>
    </row>
    <row r="6" customFormat="false" ht="15" hidden="false" customHeight="false" outlineLevel="0" collapsed="false">
      <c r="A6" s="0" t="s">
        <v>69</v>
      </c>
      <c r="B6" s="0" t="n">
        <v>285971</v>
      </c>
      <c r="C6" s="0" t="n">
        <v>208128</v>
      </c>
      <c r="D6" s="0" t="n">
        <v>77843</v>
      </c>
      <c r="E6" s="0" t="n">
        <v>27.2</v>
      </c>
      <c r="F6" s="0" t="n">
        <v>25438</v>
      </c>
      <c r="G6" s="0" t="n">
        <v>8.9</v>
      </c>
      <c r="H6" s="0" t="n">
        <v>33518</v>
      </c>
      <c r="I6" s="0" t="n">
        <v>18741</v>
      </c>
      <c r="J6" s="0" t="n">
        <v>6.6</v>
      </c>
      <c r="K6" s="0" t="n">
        <v>2.02</v>
      </c>
      <c r="L6" s="0" t="n">
        <v>26543</v>
      </c>
      <c r="M6" s="0" t="n">
        <v>10071</v>
      </c>
      <c r="N6" s="0" t="n">
        <v>16472</v>
      </c>
      <c r="O6" s="0" t="n">
        <v>111366</v>
      </c>
      <c r="P6" s="0" t="n">
        <v>290114</v>
      </c>
      <c r="Q6" s="0" t="n">
        <v>171725</v>
      </c>
      <c r="R6" s="0" t="n">
        <v>39625</v>
      </c>
      <c r="S6" s="0" t="n">
        <v>54981</v>
      </c>
      <c r="T6" s="0" t="n">
        <v>9293.416</v>
      </c>
      <c r="U6" s="0" t="n">
        <v>374</v>
      </c>
      <c r="AA6" s="0" t="s">
        <v>18</v>
      </c>
      <c r="AB6" s="0" t="s">
        <v>14</v>
      </c>
      <c r="AC6" s="0" t="n">
        <v>118389</v>
      </c>
    </row>
    <row r="7" customFormat="false" ht="15" hidden="false" customHeight="false" outlineLevel="0" collapsed="false">
      <c r="A7" s="0" t="s">
        <v>70</v>
      </c>
      <c r="B7" s="0" t="n">
        <v>302329</v>
      </c>
      <c r="C7" s="0" t="n">
        <v>223374</v>
      </c>
      <c r="D7" s="0" t="n">
        <v>78955</v>
      </c>
      <c r="E7" s="0" t="n">
        <v>26.1</v>
      </c>
      <c r="F7" s="0" t="n">
        <v>26066</v>
      </c>
      <c r="G7" s="0" t="n">
        <v>8.6</v>
      </c>
      <c r="H7" s="0" t="n">
        <v>34816</v>
      </c>
      <c r="I7" s="0" t="n">
        <v>19553</v>
      </c>
      <c r="J7" s="0" t="n">
        <v>6.5</v>
      </c>
      <c r="K7" s="0" t="n">
        <v>2.1</v>
      </c>
      <c r="L7" s="0" t="n">
        <v>26003</v>
      </c>
      <c r="M7" s="0" t="n">
        <v>8851</v>
      </c>
      <c r="N7" s="0" t="n">
        <v>17152</v>
      </c>
      <c r="O7" s="0" t="n">
        <v>118698</v>
      </c>
      <c r="P7" s="0" t="n">
        <v>295795</v>
      </c>
      <c r="Q7" s="0" t="n">
        <v>169818</v>
      </c>
      <c r="R7" s="0" t="n">
        <v>42564</v>
      </c>
      <c r="S7" s="0" t="n">
        <v>46268</v>
      </c>
      <c r="T7" s="0" t="n">
        <v>9291.776</v>
      </c>
      <c r="U7" s="0" t="n">
        <v>490</v>
      </c>
      <c r="AA7" s="0" t="s">
        <v>18</v>
      </c>
      <c r="AB7" s="0" t="s">
        <v>14</v>
      </c>
      <c r="AC7" s="0" t="n">
        <v>125977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71</v>
      </c>
      <c r="B1" s="2" t="s">
        <v>72</v>
      </c>
    </row>
    <row r="2" customFormat="false" ht="15" hidden="false" customHeight="false" outlineLevel="0" collapsed="false">
      <c r="A2" s="0" t="s">
        <v>73</v>
      </c>
      <c r="B2" s="3" t="n">
        <v>19.41</v>
      </c>
    </row>
    <row r="3" customFormat="false" ht="15" hidden="false" customHeight="false" outlineLevel="0" collapsed="false">
      <c r="A3" s="0" t="s">
        <v>74</v>
      </c>
      <c r="B3" s="3" t="n">
        <v>9248</v>
      </c>
    </row>
    <row r="4" customFormat="false" ht="15" hidden="false" customHeight="false" outlineLevel="0" collapsed="false">
      <c r="A4" s="0" t="s">
        <v>75</v>
      </c>
      <c r="B4" s="3" t="n">
        <v>-18793</v>
      </c>
    </row>
    <row r="5" customFormat="false" ht="15" hidden="false" customHeight="false" outlineLevel="0" collapsed="false">
      <c r="A5" s="0" t="s">
        <v>76</v>
      </c>
      <c r="B5" s="3" t="n">
        <v>9452</v>
      </c>
    </row>
    <row r="6" customFormat="false" ht="15" hidden="false" customHeight="false" outlineLevel="0" collapsed="false">
      <c r="A6" s="0" t="s">
        <v>77</v>
      </c>
      <c r="B6" s="3" t="n">
        <v>15</v>
      </c>
    </row>
    <row r="7" customFormat="false" ht="15" hidden="false" customHeight="false" outlineLevel="0" collapsed="false">
      <c r="A7" s="0" t="s">
        <v>78</v>
      </c>
      <c r="B7" s="3" t="n">
        <v>302329</v>
      </c>
    </row>
    <row r="8" customFormat="false" ht="15" hidden="false" customHeight="false" outlineLevel="0" collapsed="false">
      <c r="A8" s="0" t="s">
        <v>79</v>
      </c>
      <c r="B8" s="3" t="s">
        <v>70</v>
      </c>
    </row>
    <row r="9" customFormat="false" ht="15" hidden="false" customHeight="false" outlineLevel="0" collapsed="false">
      <c r="A9" s="0" t="s">
        <v>80</v>
      </c>
      <c r="B9" s="3" t="s">
        <v>81</v>
      </c>
    </row>
    <row r="10" customFormat="false" ht="15" hidden="false" customHeight="false" outlineLevel="0" collapsed="false">
      <c r="A10" s="0" t="s">
        <v>82</v>
      </c>
      <c r="B10" s="3" t="n">
        <v>1.1752</v>
      </c>
    </row>
    <row r="12" customFormat="false" ht="15" hidden="false" customHeight="false" outlineLevel="0" collapsed="false">
      <c r="A12" s="2" t="s">
        <v>83</v>
      </c>
      <c r="C12" s="2" t="s">
        <v>84</v>
      </c>
      <c r="D12" s="2" t="s">
        <v>85</v>
      </c>
      <c r="E12" s="2" t="s">
        <v>86</v>
      </c>
      <c r="F12" s="2" t="s">
        <v>87</v>
      </c>
      <c r="G12" s="2" t="s">
        <v>88</v>
      </c>
      <c r="H12" s="2" t="s">
        <v>89</v>
      </c>
      <c r="I12" s="2" t="s">
        <v>90</v>
      </c>
      <c r="J12" s="2" t="s">
        <v>91</v>
      </c>
      <c r="K12" s="2" t="s">
        <v>92</v>
      </c>
      <c r="L12" s="2" t="s">
        <v>93</v>
      </c>
    </row>
    <row r="13" customFormat="false" ht="15" hidden="false" customHeight="false" outlineLevel="0" collapsed="false">
      <c r="A13" s="0" t="s">
        <v>94</v>
      </c>
      <c r="C13" s="3" t="n">
        <v>-5</v>
      </c>
      <c r="D13" s="3" t="n">
        <v>-1</v>
      </c>
      <c r="E13" s="3" t="n">
        <v>1</v>
      </c>
      <c r="F13" s="3" t="n">
        <v>2</v>
      </c>
      <c r="G13" s="3" t="n">
        <v>2</v>
      </c>
      <c r="H13" s="3" t="n">
        <v>2</v>
      </c>
      <c r="I13" s="3" t="n">
        <v>2</v>
      </c>
      <c r="J13" s="3" t="n">
        <v>2</v>
      </c>
      <c r="K13" s="3" t="n">
        <v>2</v>
      </c>
      <c r="L13" s="3" t="n">
        <v>2</v>
      </c>
    </row>
    <row r="14" customFormat="false" ht="15" hidden="false" customHeight="false" outlineLevel="0" collapsed="false">
      <c r="A14" s="0" t="s">
        <v>95</v>
      </c>
      <c r="C14" s="3" t="n">
        <v>9.5</v>
      </c>
      <c r="D14" s="3" t="n">
        <v>9.2</v>
      </c>
      <c r="E14" s="3" t="n">
        <v>9</v>
      </c>
      <c r="F14" s="3" t="n">
        <v>9</v>
      </c>
      <c r="G14" s="3" t="n">
        <v>9</v>
      </c>
      <c r="H14" s="3" t="n">
        <v>9</v>
      </c>
      <c r="I14" s="3" t="n">
        <v>9</v>
      </c>
      <c r="J14" s="3" t="n">
        <v>9</v>
      </c>
      <c r="K14" s="3" t="n">
        <v>9</v>
      </c>
      <c r="L14" s="3" t="n">
        <v>9</v>
      </c>
    </row>
    <row r="15" customFormat="false" ht="15" hidden="false" customHeight="false" outlineLevel="0" collapsed="false">
      <c r="A15" s="0" t="s">
        <v>96</v>
      </c>
      <c r="C15" s="3" t="n">
        <v>0.16</v>
      </c>
      <c r="D15" s="3" t="n">
        <v>0.16</v>
      </c>
      <c r="E15" s="3" t="n">
        <v>0.16</v>
      </c>
      <c r="F15" s="3" t="n">
        <v>0.16</v>
      </c>
      <c r="G15" s="3" t="n">
        <v>0.16</v>
      </c>
      <c r="H15" s="3" t="n">
        <v>0.16</v>
      </c>
      <c r="I15" s="3" t="n">
        <v>0.16</v>
      </c>
      <c r="J15" s="3" t="n">
        <v>0.16</v>
      </c>
      <c r="K15" s="3" t="n">
        <v>0.16</v>
      </c>
      <c r="L15" s="3" t="n">
        <v>0.16</v>
      </c>
    </row>
    <row r="16" customFormat="false" ht="15" hidden="false" customHeight="false" outlineLevel="0" collapsed="false">
      <c r="A16" s="0" t="s">
        <v>97</v>
      </c>
      <c r="C16" s="3" t="n">
        <v>0.6</v>
      </c>
      <c r="D16" s="3" t="n">
        <v>0.6</v>
      </c>
      <c r="E16" s="3" t="n">
        <v>0.6</v>
      </c>
      <c r="F16" s="3" t="n">
        <v>0.6</v>
      </c>
      <c r="G16" s="3" t="n">
        <v>0.6</v>
      </c>
      <c r="H16" s="3" t="n">
        <v>0.6</v>
      </c>
      <c r="I16" s="3" t="n">
        <v>0.6</v>
      </c>
      <c r="J16" s="3" t="n">
        <v>0.6</v>
      </c>
      <c r="K16" s="3" t="n">
        <v>0.6</v>
      </c>
      <c r="L16" s="3" t="n">
        <v>0.6</v>
      </c>
    </row>
    <row r="17" customFormat="false" ht="15" hidden="false" customHeight="false" outlineLevel="0" collapsed="false">
      <c r="A17" s="0" t="s">
        <v>98</v>
      </c>
      <c r="C17" s="3" t="n">
        <v>2.3</v>
      </c>
      <c r="D17" s="3" t="n">
        <v>2.3</v>
      </c>
      <c r="E17" s="3" t="n">
        <v>2.3</v>
      </c>
      <c r="F17" s="3" t="n">
        <v>2.3</v>
      </c>
      <c r="G17" s="3" t="n">
        <v>2.3</v>
      </c>
      <c r="H17" s="3" t="n">
        <v>2.3</v>
      </c>
      <c r="I17" s="3" t="n">
        <v>2.3</v>
      </c>
      <c r="J17" s="3" t="n">
        <v>2.3</v>
      </c>
      <c r="K17" s="3" t="n">
        <v>2.3</v>
      </c>
      <c r="L17" s="3" t="n">
        <v>2.3</v>
      </c>
    </row>
    <row r="18" customFormat="false" ht="15" hidden="false" customHeight="false" outlineLevel="0" collapsed="false">
      <c r="A18" s="0" t="s">
        <v>99</v>
      </c>
      <c r="C18" s="3" t="n">
        <v>3.3</v>
      </c>
      <c r="D18" s="3" t="n">
        <v>3.3</v>
      </c>
      <c r="E18" s="3" t="n">
        <v>3.3</v>
      </c>
      <c r="F18" s="3" t="n">
        <v>3.2</v>
      </c>
      <c r="G18" s="3" t="n">
        <v>3.2</v>
      </c>
      <c r="H18" s="3" t="n">
        <v>3.2</v>
      </c>
      <c r="I18" s="3" t="n">
        <v>3.2</v>
      </c>
      <c r="J18" s="3" t="n">
        <v>3.2</v>
      </c>
      <c r="K18" s="3" t="n">
        <v>3.2</v>
      </c>
      <c r="L18" s="3" t="n">
        <v>3.2</v>
      </c>
    </row>
    <row r="19" customFormat="false" ht="15" hidden="false" customHeight="false" outlineLevel="0" collapsed="false">
      <c r="A19" s="0" t="s">
        <v>100</v>
      </c>
      <c r="C19" s="3" t="n">
        <v>19</v>
      </c>
      <c r="D19" s="3" t="n">
        <v>19</v>
      </c>
      <c r="E19" s="3" t="n">
        <v>19</v>
      </c>
      <c r="F19" s="3" t="n">
        <v>19</v>
      </c>
      <c r="G19" s="3" t="n">
        <v>19</v>
      </c>
      <c r="H19" s="3" t="n">
        <v>19</v>
      </c>
      <c r="I19" s="3" t="n">
        <v>19</v>
      </c>
      <c r="J19" s="3" t="n">
        <v>19</v>
      </c>
      <c r="K19" s="3" t="n">
        <v>19</v>
      </c>
      <c r="L19" s="3" t="n">
        <v>19</v>
      </c>
    </row>
    <row r="20" customFormat="false" ht="15" hidden="false" customHeight="false" outlineLevel="0" collapsed="false">
      <c r="A20" s="0" t="s">
        <v>101</v>
      </c>
      <c r="B20" s="3" t="n">
        <v>8.5</v>
      </c>
    </row>
    <row r="21" customFormat="false" ht="15" hidden="false" customHeight="false" outlineLevel="0" collapsed="false">
      <c r="A21" s="0" t="s">
        <v>102</v>
      </c>
      <c r="B21" s="3" t="n">
        <v>2</v>
      </c>
    </row>
    <row r="22" customFormat="false" ht="15" hidden="false" customHeight="false" outlineLevel="0" collapsed="false">
      <c r="A22" s="0" t="s">
        <v>103</v>
      </c>
      <c r="B22" s="3" t="n">
        <v>13</v>
      </c>
    </row>
    <row r="23" customFormat="false" ht="15" hidden="false" customHeight="false" outlineLevel="0" collapsed="false">
      <c r="A23" s="0" t="s">
        <v>104</v>
      </c>
      <c r="B23" s="3" t="n">
        <v>-10</v>
      </c>
    </row>
    <row r="24" customFormat="false" ht="15" hidden="false" customHeight="false" outlineLevel="0" collapsed="false">
      <c r="A24" s="0" t="s">
        <v>105</v>
      </c>
      <c r="B24" s="3" t="n">
        <v>0.25</v>
      </c>
    </row>
    <row r="26" customFormat="false" ht="15" hidden="false" customHeight="false" outlineLevel="0" collapsed="false">
      <c r="A26" s="2" t="s">
        <v>106</v>
      </c>
      <c r="C26" s="2" t="s">
        <v>84</v>
      </c>
      <c r="D26" s="2" t="s">
        <v>85</v>
      </c>
      <c r="E26" s="2" t="s">
        <v>86</v>
      </c>
      <c r="F26" s="2" t="s">
        <v>87</v>
      </c>
      <c r="G26" s="2" t="s">
        <v>88</v>
      </c>
      <c r="H26" s="2" t="s">
        <v>89</v>
      </c>
      <c r="I26" s="2" t="s">
        <v>90</v>
      </c>
      <c r="J26" s="2" t="s">
        <v>91</v>
      </c>
      <c r="K26" s="2" t="s">
        <v>92</v>
      </c>
      <c r="L26" s="2" t="s">
        <v>93</v>
      </c>
    </row>
    <row r="27" customFormat="false" ht="15" hidden="false" customHeight="false" outlineLevel="0" collapsed="false">
      <c r="A27" s="0" t="s">
        <v>94</v>
      </c>
      <c r="C27" s="3" t="n">
        <v>-2</v>
      </c>
      <c r="D27" s="3" t="n">
        <v>3</v>
      </c>
      <c r="E27" s="3" t="n">
        <v>4</v>
      </c>
      <c r="F27" s="3" t="n">
        <v>4</v>
      </c>
      <c r="G27" s="3" t="n">
        <v>3.5</v>
      </c>
      <c r="H27" s="3" t="n">
        <v>3.5</v>
      </c>
      <c r="I27" s="3" t="n">
        <v>3</v>
      </c>
      <c r="J27" s="3" t="n">
        <v>3</v>
      </c>
      <c r="K27" s="3" t="n">
        <v>2.5</v>
      </c>
      <c r="L27" s="3" t="n">
        <v>2.5</v>
      </c>
    </row>
    <row r="28" customFormat="false" ht="15" hidden="false" customHeight="false" outlineLevel="0" collapsed="false">
      <c r="A28" s="0" t="s">
        <v>95</v>
      </c>
      <c r="C28" s="3" t="n">
        <v>10</v>
      </c>
      <c r="D28" s="3" t="n">
        <v>10.3</v>
      </c>
      <c r="E28" s="3" t="n">
        <v>10.5</v>
      </c>
      <c r="F28" s="3" t="n">
        <v>10.7</v>
      </c>
      <c r="G28" s="3" t="n">
        <v>10.9</v>
      </c>
      <c r="H28" s="3" t="n">
        <v>11</v>
      </c>
      <c r="I28" s="3" t="n">
        <v>11</v>
      </c>
      <c r="J28" s="3" t="n">
        <v>11</v>
      </c>
      <c r="K28" s="3" t="n">
        <v>11</v>
      </c>
      <c r="L28" s="3" t="n">
        <v>11</v>
      </c>
    </row>
    <row r="29" customFormat="false" ht="15" hidden="false" customHeight="false" outlineLevel="0" collapsed="false">
      <c r="A29" s="0" t="s">
        <v>96</v>
      </c>
      <c r="C29" s="3" t="n">
        <v>0.16</v>
      </c>
      <c r="D29" s="3" t="n">
        <v>0.16</v>
      </c>
      <c r="E29" s="3" t="n">
        <v>0.16</v>
      </c>
      <c r="F29" s="3" t="n">
        <v>0.16</v>
      </c>
      <c r="G29" s="3" t="n">
        <v>0.16</v>
      </c>
      <c r="H29" s="3" t="n">
        <v>0.16</v>
      </c>
      <c r="I29" s="3" t="n">
        <v>0.16</v>
      </c>
      <c r="J29" s="3" t="n">
        <v>0.16</v>
      </c>
      <c r="K29" s="3" t="n">
        <v>0.16</v>
      </c>
      <c r="L29" s="3" t="n">
        <v>0.16</v>
      </c>
    </row>
    <row r="30" customFormat="false" ht="15" hidden="false" customHeight="false" outlineLevel="0" collapsed="false">
      <c r="A30" s="0" t="s">
        <v>97</v>
      </c>
      <c r="C30" s="3" t="n">
        <v>0.6</v>
      </c>
      <c r="D30" s="3" t="n">
        <v>0.6</v>
      </c>
      <c r="E30" s="3" t="n">
        <v>0.6</v>
      </c>
      <c r="F30" s="3" t="n">
        <v>0.6</v>
      </c>
      <c r="G30" s="3" t="n">
        <v>0.6</v>
      </c>
      <c r="H30" s="3" t="n">
        <v>0.6</v>
      </c>
      <c r="I30" s="3" t="n">
        <v>0.6</v>
      </c>
      <c r="J30" s="3" t="n">
        <v>0.6</v>
      </c>
      <c r="K30" s="3" t="n">
        <v>0.6</v>
      </c>
      <c r="L30" s="3" t="n">
        <v>0.6</v>
      </c>
    </row>
    <row r="31" customFormat="false" ht="15" hidden="false" customHeight="false" outlineLevel="0" collapsed="false">
      <c r="A31" s="0" t="s">
        <v>98</v>
      </c>
      <c r="C31" s="3" t="n">
        <v>2.3</v>
      </c>
      <c r="D31" s="3" t="n">
        <v>2.3</v>
      </c>
      <c r="E31" s="3" t="n">
        <v>2.3</v>
      </c>
      <c r="F31" s="3" t="n">
        <v>2.3</v>
      </c>
      <c r="G31" s="3" t="n">
        <v>2.3</v>
      </c>
      <c r="H31" s="3" t="n">
        <v>2.3</v>
      </c>
      <c r="I31" s="3" t="n">
        <v>2.3</v>
      </c>
      <c r="J31" s="3" t="n">
        <v>2.3</v>
      </c>
      <c r="K31" s="3" t="n">
        <v>2.3</v>
      </c>
      <c r="L31" s="3" t="n">
        <v>2.3</v>
      </c>
    </row>
    <row r="32" customFormat="false" ht="15" hidden="false" customHeight="false" outlineLevel="0" collapsed="false">
      <c r="A32" s="0" t="s">
        <v>99</v>
      </c>
      <c r="C32" s="3" t="n">
        <v>3.2</v>
      </c>
      <c r="D32" s="3" t="n">
        <v>3.2</v>
      </c>
      <c r="E32" s="3" t="n">
        <v>3.1</v>
      </c>
      <c r="F32" s="3" t="n">
        <v>3</v>
      </c>
      <c r="G32" s="3" t="n">
        <v>3</v>
      </c>
      <c r="H32" s="3" t="n">
        <v>3</v>
      </c>
      <c r="I32" s="3" t="n">
        <v>3</v>
      </c>
      <c r="J32" s="3" t="n">
        <v>3</v>
      </c>
      <c r="K32" s="3" t="n">
        <v>3</v>
      </c>
      <c r="L32" s="3" t="n">
        <v>3</v>
      </c>
    </row>
    <row r="33" customFormat="false" ht="15" hidden="false" customHeight="false" outlineLevel="0" collapsed="false">
      <c r="A33" s="0" t="s">
        <v>100</v>
      </c>
      <c r="C33" s="3" t="n">
        <v>18</v>
      </c>
      <c r="D33" s="3" t="n">
        <v>18</v>
      </c>
      <c r="E33" s="3" t="n">
        <v>18.5</v>
      </c>
      <c r="F33" s="3" t="n">
        <v>18.5</v>
      </c>
      <c r="G33" s="3" t="n">
        <v>19</v>
      </c>
      <c r="H33" s="3" t="n">
        <v>19</v>
      </c>
      <c r="I33" s="3" t="n">
        <v>19</v>
      </c>
      <c r="J33" s="3" t="n">
        <v>19</v>
      </c>
      <c r="K33" s="3" t="n">
        <v>19</v>
      </c>
      <c r="L33" s="3" t="n">
        <v>19</v>
      </c>
    </row>
    <row r="34" customFormat="false" ht="15" hidden="false" customHeight="false" outlineLevel="0" collapsed="false">
      <c r="A34" s="0" t="s">
        <v>101</v>
      </c>
      <c r="B34" s="3" t="n">
        <v>8.5</v>
      </c>
    </row>
    <row r="35" customFormat="false" ht="15" hidden="false" customHeight="false" outlineLevel="0" collapsed="false">
      <c r="A35" s="0" t="s">
        <v>102</v>
      </c>
      <c r="B35" s="3" t="n">
        <v>2.5</v>
      </c>
    </row>
    <row r="36" customFormat="false" ht="15" hidden="false" customHeight="false" outlineLevel="0" collapsed="false">
      <c r="A36" s="0" t="s">
        <v>103</v>
      </c>
      <c r="B36" s="3" t="n">
        <v>15</v>
      </c>
    </row>
    <row r="37" customFormat="false" ht="15" hidden="false" customHeight="false" outlineLevel="0" collapsed="false">
      <c r="A37" s="0" t="s">
        <v>104</v>
      </c>
      <c r="B37" s="3" t="n">
        <v>-10</v>
      </c>
    </row>
    <row r="38" customFormat="false" ht="15" hidden="false" customHeight="false" outlineLevel="0" collapsed="false">
      <c r="A38" s="0" t="s">
        <v>105</v>
      </c>
      <c r="B38" s="3" t="n">
        <v>0.5</v>
      </c>
    </row>
    <row r="40" customFormat="false" ht="15" hidden="false" customHeight="false" outlineLevel="0" collapsed="false">
      <c r="A40" s="2" t="s">
        <v>107</v>
      </c>
      <c r="C40" s="2" t="s">
        <v>84</v>
      </c>
      <c r="D40" s="2" t="s">
        <v>85</v>
      </c>
      <c r="E40" s="2" t="s">
        <v>86</v>
      </c>
      <c r="F40" s="2" t="s">
        <v>87</v>
      </c>
      <c r="G40" s="2" t="s">
        <v>88</v>
      </c>
      <c r="H40" s="2" t="s">
        <v>89</v>
      </c>
      <c r="I40" s="2" t="s">
        <v>90</v>
      </c>
      <c r="J40" s="2" t="s">
        <v>91</v>
      </c>
      <c r="K40" s="2" t="s">
        <v>92</v>
      </c>
      <c r="L40" s="2" t="s">
        <v>93</v>
      </c>
    </row>
    <row r="41" customFormat="false" ht="15" hidden="false" customHeight="false" outlineLevel="0" collapsed="false">
      <c r="A41" s="0" t="s">
        <v>94</v>
      </c>
      <c r="C41" s="3" t="n">
        <v>0</v>
      </c>
      <c r="D41" s="3" t="n">
        <v>5</v>
      </c>
      <c r="E41" s="3" t="n">
        <v>6</v>
      </c>
      <c r="F41" s="3" t="n">
        <v>6</v>
      </c>
      <c r="G41" s="3" t="n">
        <v>5.5</v>
      </c>
      <c r="H41" s="3" t="n">
        <v>5</v>
      </c>
      <c r="I41" s="3" t="n">
        <v>4.5</v>
      </c>
      <c r="J41" s="3" t="n">
        <v>4</v>
      </c>
      <c r="K41" s="3" t="n">
        <v>3.5</v>
      </c>
      <c r="L41" s="3" t="n">
        <v>3</v>
      </c>
    </row>
    <row r="42" customFormat="false" ht="15" hidden="false" customHeight="false" outlineLevel="0" collapsed="false">
      <c r="A42" s="0" t="s">
        <v>95</v>
      </c>
      <c r="C42" s="3" t="n">
        <v>10.3</v>
      </c>
      <c r="D42" s="3" t="n">
        <v>10.8</v>
      </c>
      <c r="E42" s="3" t="n">
        <v>11.2</v>
      </c>
      <c r="F42" s="3" t="n">
        <v>11.5</v>
      </c>
      <c r="G42" s="3" t="n">
        <v>11.8</v>
      </c>
      <c r="H42" s="3" t="n">
        <v>12</v>
      </c>
      <c r="I42" s="3" t="n">
        <v>12</v>
      </c>
      <c r="J42" s="3" t="n">
        <v>12</v>
      </c>
      <c r="K42" s="3" t="n">
        <v>12</v>
      </c>
      <c r="L42" s="3" t="n">
        <v>12</v>
      </c>
    </row>
    <row r="43" customFormat="false" ht="15" hidden="false" customHeight="false" outlineLevel="0" collapsed="false">
      <c r="A43" s="0" t="s">
        <v>96</v>
      </c>
      <c r="C43" s="3" t="n">
        <v>0.16</v>
      </c>
      <c r="D43" s="3" t="n">
        <v>0.16</v>
      </c>
      <c r="E43" s="3" t="n">
        <v>0.16</v>
      </c>
      <c r="F43" s="3" t="n">
        <v>0.16</v>
      </c>
      <c r="G43" s="3" t="n">
        <v>0.16</v>
      </c>
      <c r="H43" s="3" t="n">
        <v>0.16</v>
      </c>
      <c r="I43" s="3" t="n">
        <v>0.16</v>
      </c>
      <c r="J43" s="3" t="n">
        <v>0.16</v>
      </c>
      <c r="K43" s="3" t="n">
        <v>0.16</v>
      </c>
      <c r="L43" s="3" t="n">
        <v>0.16</v>
      </c>
    </row>
    <row r="44" customFormat="false" ht="15" hidden="false" customHeight="false" outlineLevel="0" collapsed="false">
      <c r="A44" s="0" t="s">
        <v>97</v>
      </c>
      <c r="C44" s="3" t="n">
        <v>0.6</v>
      </c>
      <c r="D44" s="3" t="n">
        <v>0.6</v>
      </c>
      <c r="E44" s="3" t="n">
        <v>0.6</v>
      </c>
      <c r="F44" s="3" t="n">
        <v>0.6</v>
      </c>
      <c r="G44" s="3" t="n">
        <v>0.6</v>
      </c>
      <c r="H44" s="3" t="n">
        <v>0.6</v>
      </c>
      <c r="I44" s="3" t="n">
        <v>0.6</v>
      </c>
      <c r="J44" s="3" t="n">
        <v>0.6</v>
      </c>
      <c r="K44" s="3" t="n">
        <v>0.6</v>
      </c>
      <c r="L44" s="3" t="n">
        <v>0.6</v>
      </c>
    </row>
    <row r="45" customFormat="false" ht="15" hidden="false" customHeight="false" outlineLevel="0" collapsed="false">
      <c r="A45" s="0" t="s">
        <v>98</v>
      </c>
      <c r="C45" s="3" t="n">
        <v>2.3</v>
      </c>
      <c r="D45" s="3" t="n">
        <v>2.3</v>
      </c>
      <c r="E45" s="3" t="n">
        <v>2.3</v>
      </c>
      <c r="F45" s="3" t="n">
        <v>2.3</v>
      </c>
      <c r="G45" s="3" t="n">
        <v>2.3</v>
      </c>
      <c r="H45" s="3" t="n">
        <v>2.3</v>
      </c>
      <c r="I45" s="3" t="n">
        <v>2.3</v>
      </c>
      <c r="J45" s="3" t="n">
        <v>2.3</v>
      </c>
      <c r="K45" s="3" t="n">
        <v>2.3</v>
      </c>
      <c r="L45" s="3" t="n">
        <v>2.3</v>
      </c>
    </row>
    <row r="46" customFormat="false" ht="15" hidden="false" customHeight="false" outlineLevel="0" collapsed="false">
      <c r="A46" s="0" t="s">
        <v>99</v>
      </c>
      <c r="C46" s="3" t="n">
        <v>3.2</v>
      </c>
      <c r="D46" s="3" t="n">
        <v>3.1</v>
      </c>
      <c r="E46" s="3" t="n">
        <v>3</v>
      </c>
      <c r="F46" s="3" t="n">
        <v>3</v>
      </c>
      <c r="G46" s="3" t="n">
        <v>3</v>
      </c>
      <c r="H46" s="3" t="n">
        <v>3</v>
      </c>
      <c r="I46" s="3" t="n">
        <v>3</v>
      </c>
      <c r="J46" s="3" t="n">
        <v>3</v>
      </c>
      <c r="K46" s="3" t="n">
        <v>3</v>
      </c>
      <c r="L46" s="3" t="n">
        <v>3</v>
      </c>
    </row>
    <row r="47" customFormat="false" ht="15" hidden="false" customHeight="false" outlineLevel="0" collapsed="false">
      <c r="A47" s="0" t="s">
        <v>100</v>
      </c>
      <c r="C47" s="3" t="n">
        <v>18</v>
      </c>
      <c r="D47" s="3" t="n">
        <v>18</v>
      </c>
      <c r="E47" s="3" t="n">
        <v>18</v>
      </c>
      <c r="F47" s="3" t="n">
        <v>18</v>
      </c>
      <c r="G47" s="3" t="n">
        <v>18</v>
      </c>
      <c r="H47" s="3" t="n">
        <v>18</v>
      </c>
      <c r="I47" s="3" t="n">
        <v>18</v>
      </c>
      <c r="J47" s="3" t="n">
        <v>18</v>
      </c>
      <c r="K47" s="3" t="n">
        <v>18</v>
      </c>
      <c r="L47" s="3" t="n">
        <v>18</v>
      </c>
    </row>
    <row r="48" customFormat="false" ht="15" hidden="false" customHeight="false" outlineLevel="0" collapsed="false">
      <c r="A48" s="0" t="s">
        <v>101</v>
      </c>
      <c r="B48" s="3" t="n">
        <v>8.5</v>
      </c>
    </row>
    <row r="49" customFormat="false" ht="15" hidden="false" customHeight="false" outlineLevel="0" collapsed="false">
      <c r="A49" s="0" t="s">
        <v>102</v>
      </c>
      <c r="B49" s="3" t="n">
        <v>3</v>
      </c>
    </row>
    <row r="50" customFormat="false" ht="15" hidden="false" customHeight="false" outlineLevel="0" collapsed="false">
      <c r="A50" s="0" t="s">
        <v>103</v>
      </c>
      <c r="B50" s="3" t="n">
        <v>16</v>
      </c>
    </row>
    <row r="51" customFormat="false" ht="15" hidden="false" customHeight="false" outlineLevel="0" collapsed="false">
      <c r="A51" s="0" t="s">
        <v>104</v>
      </c>
      <c r="B51" s="3" t="n">
        <v>-10</v>
      </c>
    </row>
    <row r="52" customFormat="false" ht="15" hidden="false" customHeight="false" outlineLevel="0" collapsed="false">
      <c r="A52" s="0" t="s">
        <v>105</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108</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Assumptions!C13</f>
        <v>-5</v>
      </c>
      <c r="D5" s="4" t="n">
        <f aca="false">Assumptions!D13</f>
        <v>-1</v>
      </c>
      <c r="E5" s="4" t="n">
        <f aca="false">Assumptions!E13</f>
        <v>1</v>
      </c>
      <c r="F5" s="4" t="n">
        <f aca="false">Assumptions!F13</f>
        <v>2</v>
      </c>
      <c r="G5" s="4" t="n">
        <f aca="false">Assumptions!G13</f>
        <v>2</v>
      </c>
      <c r="H5" s="4" t="n">
        <f aca="false">Assumptions!H13</f>
        <v>2</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302329</v>
      </c>
      <c r="C6" s="0" t="n">
        <f aca="false">B6*(1+C5/100)</f>
        <v>287212.55</v>
      </c>
      <c r="D6" s="0" t="n">
        <f aca="false">C6*(1+D5/100)</f>
        <v>284340.4245</v>
      </c>
      <c r="E6" s="0" t="n">
        <f aca="false">D6*(1+E5/100)</f>
        <v>287183.828745</v>
      </c>
      <c r="F6" s="0" t="n">
        <f aca="false">E6*(1+F5/100)</f>
        <v>292927.5053199</v>
      </c>
      <c r="G6" s="0" t="n">
        <f aca="false">F6*(1+G5/100)</f>
        <v>298786.055426298</v>
      </c>
      <c r="H6" s="0" t="n">
        <f aca="false">G6*(1+H5/100)</f>
        <v>304761.776534824</v>
      </c>
      <c r="I6" s="0" t="n">
        <f aca="false">H6*(1+I5/100)</f>
        <v>310857.01206552</v>
      </c>
      <c r="J6" s="0" t="n">
        <f aca="false">I6*(1+J5/100)</f>
        <v>317074.152306831</v>
      </c>
      <c r="K6" s="0" t="n">
        <f aca="false">J6*(1+K5/100)</f>
        <v>323415.635352967</v>
      </c>
      <c r="L6" s="0" t="n">
        <f aca="false">K6*(1+L5/100)</f>
        <v>329883.948060027</v>
      </c>
    </row>
    <row r="7" customFormat="false" ht="15" hidden="false" customHeight="false" outlineLevel="0" collapsed="false">
      <c r="A7" s="0" t="s">
        <v>95</v>
      </c>
      <c r="C7" s="4" t="n">
        <f aca="false">Assumptions!C14</f>
        <v>9.5</v>
      </c>
      <c r="D7" s="4" t="n">
        <f aca="false">Assumptions!D14</f>
        <v>9.2</v>
      </c>
      <c r="E7" s="4" t="n">
        <f aca="false">Assumptions!E14</f>
        <v>9</v>
      </c>
      <c r="F7" s="4" t="n">
        <f aca="false">Assumptions!F14</f>
        <v>9</v>
      </c>
      <c r="G7" s="4" t="n">
        <f aca="false">Assumptions!G14</f>
        <v>9</v>
      </c>
      <c r="H7" s="4" t="n">
        <f aca="false">Assumptions!H14</f>
        <v>9</v>
      </c>
      <c r="I7" s="4" t="n">
        <f aca="false">Assumptions!I14</f>
        <v>9</v>
      </c>
      <c r="J7" s="4" t="n">
        <f aca="false">Assumptions!J14</f>
        <v>9</v>
      </c>
      <c r="K7" s="4" t="n">
        <f aca="false">Assumptions!K14</f>
        <v>9</v>
      </c>
      <c r="L7" s="4" t="n">
        <f aca="false">Assumptions!L14</f>
        <v>9</v>
      </c>
    </row>
    <row r="8" customFormat="false" ht="15" hidden="false" customHeight="false" outlineLevel="0" collapsed="false">
      <c r="A8" s="0" t="s">
        <v>44</v>
      </c>
      <c r="C8" s="0" t="n">
        <f aca="false">C6*C7/100</f>
        <v>27285.19225</v>
      </c>
      <c r="D8" s="0" t="n">
        <f aca="false">D6*D7/100</f>
        <v>26159.319054</v>
      </c>
      <c r="E8" s="0" t="n">
        <f aca="false">E6*E7/100</f>
        <v>25846.54458705</v>
      </c>
      <c r="F8" s="0" t="n">
        <f aca="false">F6*F7/100</f>
        <v>26363.475478791</v>
      </c>
      <c r="G8" s="0" t="n">
        <f aca="false">G6*G7/100</f>
        <v>26890.7449883668</v>
      </c>
      <c r="H8" s="0" t="n">
        <f aca="false">H6*H7/100</f>
        <v>27428.5598881342</v>
      </c>
      <c r="I8" s="0" t="n">
        <f aca="false">I6*I7/100</f>
        <v>27977.1310858968</v>
      </c>
      <c r="J8" s="0" t="n">
        <f aca="false">J6*J7/100</f>
        <v>28536.6737076148</v>
      </c>
      <c r="K8" s="0" t="n">
        <f aca="false">K6*K7/100</f>
        <v>29107.4071817671</v>
      </c>
      <c r="L8" s="0" t="n">
        <f aca="false">L6*L7/100</f>
        <v>29689.5553254024</v>
      </c>
    </row>
    <row r="9" customFormat="false" ht="15" hidden="false" customHeight="false" outlineLevel="0" collapsed="false">
      <c r="A9" s="0" t="s">
        <v>96</v>
      </c>
      <c r="C9" s="4" t="n">
        <f aca="false">Assumptions!C15</f>
        <v>0.16</v>
      </c>
      <c r="D9" s="4" t="n">
        <f aca="false">Assumptions!D15</f>
        <v>0.16</v>
      </c>
      <c r="E9" s="4" t="n">
        <f aca="false">Assumptions!E15</f>
        <v>0.16</v>
      </c>
      <c r="F9" s="4" t="n">
        <f aca="false">Assumptions!F15</f>
        <v>0.16</v>
      </c>
      <c r="G9" s="4" t="n">
        <f aca="false">Assumptions!G15</f>
        <v>0.16</v>
      </c>
      <c r="H9" s="4" t="n">
        <f aca="false">Assumptions!H15</f>
        <v>0.16</v>
      </c>
      <c r="I9" s="4" t="n">
        <f aca="false">Assumptions!I15</f>
        <v>0.16</v>
      </c>
      <c r="J9" s="4" t="n">
        <f aca="false">Assumptions!J15</f>
        <v>0.16</v>
      </c>
      <c r="K9" s="4" t="n">
        <f aca="false">Assumptions!K15</f>
        <v>0.16</v>
      </c>
      <c r="L9" s="4" t="n">
        <f aca="false">Assumptions!L15</f>
        <v>0.16</v>
      </c>
    </row>
    <row r="10" customFormat="false" ht="15" hidden="false" customHeight="false" outlineLevel="0" collapsed="false">
      <c r="A10" s="0" t="s">
        <v>111</v>
      </c>
      <c r="C10" s="0" t="n">
        <f aca="false">-C6*C9/100</f>
        <v>-459.54008</v>
      </c>
      <c r="D10" s="0" t="n">
        <f aca="false">-D6*D9/100</f>
        <v>-454.9446792</v>
      </c>
      <c r="E10" s="0" t="n">
        <f aca="false">-E6*E9/100</f>
        <v>-459.494125992</v>
      </c>
      <c r="F10" s="0" t="n">
        <f aca="false">-F6*F9/100</f>
        <v>-468.68400851184</v>
      </c>
      <c r="G10" s="0" t="n">
        <f aca="false">-G6*G9/100</f>
        <v>-478.057688682077</v>
      </c>
      <c r="H10" s="0" t="n">
        <f aca="false">-H6*H9/100</f>
        <v>-487.618842455718</v>
      </c>
      <c r="I10" s="0" t="n">
        <f aca="false">-I6*I9/100</f>
        <v>-497.371219304833</v>
      </c>
      <c r="J10" s="0" t="n">
        <f aca="false">-J6*J9/100</f>
        <v>-507.318643690929</v>
      </c>
      <c r="K10" s="0" t="n">
        <f aca="false">-K6*K9/100</f>
        <v>-517.465016564748</v>
      </c>
      <c r="L10" s="0" t="n">
        <f aca="false">-L6*L9/100</f>
        <v>-527.814316896043</v>
      </c>
    </row>
    <row r="11" customFormat="false" ht="15" hidden="false" customHeight="false" outlineLevel="0" collapsed="false">
      <c r="A11" s="0" t="s">
        <v>112</v>
      </c>
      <c r="C11" s="0" t="n">
        <f aca="false">C8+C10+C24</f>
        <v>25102.37687</v>
      </c>
      <c r="D11" s="0" t="n">
        <f aca="false">D8+D10+D24</f>
        <v>23998.3318278</v>
      </c>
      <c r="E11" s="0" t="n">
        <f aca="false">E8+E10+E24</f>
        <v>23663.947488588</v>
      </c>
      <c r="F11" s="0" t="n">
        <f aca="false">F8+F10+F24</f>
        <v>24137.2264383598</v>
      </c>
      <c r="G11" s="0" t="n">
        <f aca="false">G8+G10+G24</f>
        <v>24619.9709671269</v>
      </c>
      <c r="H11" s="0" t="n">
        <f aca="false">H8+H10+H24</f>
        <v>25112.3703864695</v>
      </c>
      <c r="I11" s="0" t="n">
        <f aca="false">I8+I10+I24</f>
        <v>25614.6177941989</v>
      </c>
      <c r="J11" s="0" t="n">
        <f aca="false">J8+J10+J24</f>
        <v>26126.9101500829</v>
      </c>
      <c r="K11" s="0" t="n">
        <f aca="false">K8+K10+K24</f>
        <v>26649.4483530845</v>
      </c>
      <c r="L11" s="0" t="n">
        <f aca="false">L8+L10+L24</f>
        <v>27182.4373201462</v>
      </c>
    </row>
    <row r="12" customFormat="false" ht="15" hidden="false" customHeight="false" outlineLevel="0" collapsed="false">
      <c r="A12" s="0" t="s">
        <v>113</v>
      </c>
      <c r="C12" s="4" t="n">
        <f aca="false">-C6*Assumptions!C17/100</f>
        <v>-6605.88865</v>
      </c>
      <c r="D12" s="4" t="n">
        <f aca="false">-D6*Assumptions!D17/100</f>
        <v>-6539.8297635</v>
      </c>
      <c r="E12" s="4" t="n">
        <f aca="false">-E6*Assumptions!E17/100</f>
        <v>-6605.228061135</v>
      </c>
      <c r="F12" s="4" t="n">
        <f aca="false">-F6*Assumptions!F17/100</f>
        <v>-6737.3326223577</v>
      </c>
      <c r="G12" s="4" t="n">
        <f aca="false">-G6*Assumptions!G17/100</f>
        <v>-6872.07927480485</v>
      </c>
      <c r="H12" s="4" t="n">
        <f aca="false">-H6*Assumptions!H17/100</f>
        <v>-7009.52086030095</v>
      </c>
      <c r="I12" s="4" t="n">
        <f aca="false">-I6*Assumptions!I17/100</f>
        <v>-7149.71127750697</v>
      </c>
      <c r="J12" s="4" t="n">
        <f aca="false">-J6*Assumptions!J17/100</f>
        <v>-7292.70550305711</v>
      </c>
      <c r="K12" s="4" t="n">
        <f aca="false">-K6*Assumptions!K17/100</f>
        <v>-7438.55961311825</v>
      </c>
      <c r="L12" s="4" t="n">
        <f aca="false">-L6*Assumptions!L17/100</f>
        <v>-7587.33080538062</v>
      </c>
    </row>
    <row r="13" customFormat="false" ht="15" hidden="false" customHeight="false" outlineLevel="0" collapsed="false">
      <c r="A13" s="0" t="s">
        <v>114</v>
      </c>
      <c r="C13" s="0" t="n">
        <f aca="false">C11+C12</f>
        <v>18496.48822</v>
      </c>
      <c r="D13" s="0" t="n">
        <f aca="false">D11+D12</f>
        <v>17458.5020643</v>
      </c>
      <c r="E13" s="0" t="n">
        <f aca="false">E11+E12</f>
        <v>17058.719427453</v>
      </c>
      <c r="F13" s="0" t="n">
        <f aca="false">F11+F12</f>
        <v>17399.8938160021</v>
      </c>
      <c r="G13" s="0" t="n">
        <f aca="false">G11+G12</f>
        <v>17747.8916923221</v>
      </c>
      <c r="H13" s="0" t="n">
        <f aca="false">H11+H12</f>
        <v>18102.8495261685</v>
      </c>
      <c r="I13" s="0" t="n">
        <f aca="false">I11+I12</f>
        <v>18464.9065166919</v>
      </c>
      <c r="J13" s="0" t="n">
        <f aca="false">J11+J12</f>
        <v>18834.2046470258</v>
      </c>
      <c r="K13" s="0" t="n">
        <f aca="false">K11+K12</f>
        <v>19210.8887399663</v>
      </c>
      <c r="L13" s="0" t="n">
        <f aca="false">L11+L12</f>
        <v>19595.1065147656</v>
      </c>
    </row>
    <row r="14" customFormat="false" ht="15" hidden="false" customHeight="false" outlineLevel="0" collapsed="false">
      <c r="A14" s="0" t="s">
        <v>100</v>
      </c>
      <c r="C14" s="4" t="n">
        <f aca="false">Assumptions!C19</f>
        <v>19</v>
      </c>
      <c r="D14" s="4" t="n">
        <f aca="false">Assumptions!D19</f>
        <v>19</v>
      </c>
      <c r="E14" s="4" t="n">
        <f aca="false">Assumptions!E19</f>
        <v>19</v>
      </c>
      <c r="F14" s="4" t="n">
        <f aca="false">Assumptions!F19</f>
        <v>19</v>
      </c>
      <c r="G14" s="4" t="n">
        <f aca="false">Assumptions!G19</f>
        <v>19</v>
      </c>
      <c r="H14" s="4" t="n">
        <f aca="false">Assumptions!H19</f>
        <v>19</v>
      </c>
      <c r="I14" s="4" t="n">
        <f aca="false">Assumptions!I19</f>
        <v>19</v>
      </c>
      <c r="J14" s="4" t="n">
        <f aca="false">Assumptions!J19</f>
        <v>19</v>
      </c>
      <c r="K14" s="4" t="n">
        <f aca="false">Assumptions!K19</f>
        <v>19</v>
      </c>
      <c r="L14" s="4" t="n">
        <f aca="false">Assumptions!L19</f>
        <v>19</v>
      </c>
    </row>
    <row r="15" customFormat="false" ht="15" hidden="false" customHeight="false" outlineLevel="0" collapsed="false">
      <c r="A15" s="0" t="s">
        <v>115</v>
      </c>
      <c r="C15" s="0" t="n">
        <f aca="false">C13-MAX(0,C13)*C14/100</f>
        <v>14982.1554582</v>
      </c>
      <c r="D15" s="0" t="n">
        <f aca="false">D13-MAX(0,D13)*D14/100</f>
        <v>14141.386672083</v>
      </c>
      <c r="E15" s="0" t="n">
        <f aca="false">E13-MAX(0,E13)*E14/100</f>
        <v>13817.5627362369</v>
      </c>
      <c r="F15" s="0" t="n">
        <f aca="false">F13-MAX(0,F13)*F14/100</f>
        <v>14093.9139909617</v>
      </c>
      <c r="G15" s="0" t="n">
        <f aca="false">G13-MAX(0,G13)*G14/100</f>
        <v>14375.7922707809</v>
      </c>
      <c r="H15" s="0" t="n">
        <f aca="false">H13-MAX(0,H13)*H14/100</f>
        <v>14663.3081161965</v>
      </c>
      <c r="I15" s="0" t="n">
        <f aca="false">I13-MAX(0,I13)*I14/100</f>
        <v>14956.5742785204</v>
      </c>
      <c r="J15" s="0" t="n">
        <f aca="false">J13-MAX(0,J13)*J14/100</f>
        <v>15255.7057640909</v>
      </c>
      <c r="K15" s="0" t="n">
        <f aca="false">K13-MAX(0,K13)*K14/100</f>
        <v>15560.8198793727</v>
      </c>
      <c r="L15" s="0" t="n">
        <f aca="false">L13-MAX(0,L13)*L14/100</f>
        <v>15872.0362769601</v>
      </c>
    </row>
    <row r="16" customFormat="false" ht="15" hidden="false" customHeight="false" outlineLevel="0" collapsed="false">
      <c r="A16" s="0" t="s">
        <v>116</v>
      </c>
      <c r="C16" s="0" t="n">
        <f aca="false">-C12</f>
        <v>6605.88865</v>
      </c>
      <c r="D16" s="0" t="n">
        <f aca="false">-D12</f>
        <v>6539.8297635</v>
      </c>
      <c r="E16" s="0" t="n">
        <f aca="false">-E12</f>
        <v>6605.228061135</v>
      </c>
      <c r="F16" s="0" t="n">
        <f aca="false">-F12</f>
        <v>6737.3326223577</v>
      </c>
      <c r="G16" s="0" t="n">
        <f aca="false">-G12</f>
        <v>6872.07927480485</v>
      </c>
      <c r="H16" s="0" t="n">
        <f aca="false">-H12</f>
        <v>7009.52086030095</v>
      </c>
      <c r="I16" s="0" t="n">
        <f aca="false">-I12</f>
        <v>7149.71127750697</v>
      </c>
      <c r="J16" s="0" t="n">
        <f aca="false">-J12</f>
        <v>7292.70550305711</v>
      </c>
      <c r="K16" s="0" t="n">
        <f aca="false">-K12</f>
        <v>7438.55961311825</v>
      </c>
      <c r="L16" s="0" t="n">
        <f aca="false">-L12</f>
        <v>7587.33080538062</v>
      </c>
    </row>
    <row r="17" customFormat="false" ht="15" hidden="false" customHeight="false" outlineLevel="0" collapsed="false">
      <c r="A17" s="0" t="s">
        <v>117</v>
      </c>
      <c r="C17" s="4" t="n">
        <f aca="false">-C6*Assumptions!C18/100</f>
        <v>-9478.01415</v>
      </c>
      <c r="D17" s="4" t="n">
        <f aca="false">-D6*Assumptions!D18/100</f>
        <v>-9383.2340085</v>
      </c>
      <c r="E17" s="4" t="n">
        <f aca="false">-E6*Assumptions!E18/100</f>
        <v>-9477.066348585</v>
      </c>
      <c r="F17" s="4" t="n">
        <f aca="false">-F6*Assumptions!F18/100</f>
        <v>-9373.6801702368</v>
      </c>
      <c r="G17" s="4" t="n">
        <f aca="false">-G6*Assumptions!G18/100</f>
        <v>-9561.15377364154</v>
      </c>
      <c r="H17" s="4" t="n">
        <f aca="false">-H6*Assumptions!H18/100</f>
        <v>-9752.37684911437</v>
      </c>
      <c r="I17" s="4" t="n">
        <f aca="false">-I6*Assumptions!I18/100</f>
        <v>-9947.42438609665</v>
      </c>
      <c r="J17" s="4" t="n">
        <f aca="false">-J6*Assumptions!J18/100</f>
        <v>-10146.3728738186</v>
      </c>
      <c r="K17" s="4" t="n">
        <f aca="false">-K6*Assumptions!K18/100</f>
        <v>-10349.300331295</v>
      </c>
      <c r="L17" s="4" t="n">
        <f aca="false">-L6*Assumptions!L18/100</f>
        <v>-10556.2863379209</v>
      </c>
    </row>
    <row r="18" customFormat="false" ht="15" hidden="false" customHeight="false" outlineLevel="0" collapsed="false">
      <c r="A18" s="0" t="s">
        <v>118</v>
      </c>
      <c r="C18" s="4" t="n">
        <f aca="false">(C6-B6)*Assumptions!$B$23/100</f>
        <v>1511.645</v>
      </c>
      <c r="D18" s="4" t="n">
        <f aca="false">(D6-C6)*Assumptions!$B$23/100</f>
        <v>287.212550000002</v>
      </c>
      <c r="E18" s="4" t="n">
        <f aca="false">(E6-D6)*Assumptions!$B$23/100</f>
        <v>-284.340424499998</v>
      </c>
      <c r="F18" s="4" t="n">
        <f aca="false">(F6-E6)*Assumptions!$B$23/100</f>
        <v>-574.367657489999</v>
      </c>
      <c r="G18" s="4" t="n">
        <f aca="false">(G6-F6)*Assumptions!$B$23/100</f>
        <v>-585.8550106398</v>
      </c>
      <c r="H18" s="4" t="n">
        <f aca="false">(H6-G6)*Assumptions!$B$23/100</f>
        <v>-597.572110852599</v>
      </c>
      <c r="I18" s="4" t="n">
        <f aca="false">(I6-H6)*Assumptions!$B$23/100</f>
        <v>-609.523553069646</v>
      </c>
      <c r="J18" s="4" t="n">
        <f aca="false">(J6-I6)*Assumptions!$B$23/100</f>
        <v>-621.714024131041</v>
      </c>
      <c r="K18" s="4" t="n">
        <f aca="false">(K6-J6)*Assumptions!$B$23/100</f>
        <v>-634.148304613662</v>
      </c>
      <c r="L18" s="4" t="n">
        <f aca="false">(L6-K6)*Assumptions!$B$23/100</f>
        <v>-646.831270705938</v>
      </c>
    </row>
    <row r="19" customFormat="false" ht="15" hidden="false" customHeight="false" outlineLevel="0" collapsed="false">
      <c r="A19" s="0" t="s">
        <v>119</v>
      </c>
      <c r="C19" s="0" t="n">
        <f aca="false">C15+C16+C17+C18</f>
        <v>13621.6749582</v>
      </c>
      <c r="D19" s="0" t="n">
        <f aca="false">D15+D16+D17+D18</f>
        <v>11585.194977083</v>
      </c>
      <c r="E19" s="0" t="n">
        <f aca="false">E15+E16+E17+E18</f>
        <v>10661.3840242869</v>
      </c>
      <c r="F19" s="0" t="n">
        <f aca="false">F15+F16+F17+F18</f>
        <v>10883.1987855926</v>
      </c>
      <c r="G19" s="0" t="n">
        <f aca="false">G15+G16+G17+G18</f>
        <v>11100.8627613044</v>
      </c>
      <c r="H19" s="0" t="n">
        <f aca="false">H15+H16+H17+H18</f>
        <v>11322.8800165305</v>
      </c>
      <c r="I19" s="0" t="n">
        <f aca="false">I15+I16+I17+I18</f>
        <v>11549.3376168611</v>
      </c>
      <c r="J19" s="0" t="n">
        <f aca="false">J15+J16+J17+J18</f>
        <v>11780.3243691983</v>
      </c>
      <c r="K19" s="0" t="n">
        <f aca="false">K15+K16+K17+K18</f>
        <v>12015.9308565823</v>
      </c>
      <c r="L19" s="0" t="n">
        <f aca="false">L15+L16+L17+L18</f>
        <v>12256.249473714</v>
      </c>
    </row>
    <row r="20" customFormat="false" ht="15" hidden="false" customHeight="false" outlineLevel="0" collapsed="false">
      <c r="A20" s="0" t="s">
        <v>120</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121</v>
      </c>
      <c r="C21" s="0" t="n">
        <f aca="false">C19*C20</f>
        <v>12554.5391319816</v>
      </c>
      <c r="D21" s="0" t="n">
        <f aca="false">D19*D20</f>
        <v>9841.10512186116</v>
      </c>
      <c r="E21" s="0" t="n">
        <f aca="false">E19*E20</f>
        <v>8346.88389309424</v>
      </c>
      <c r="F21" s="0" t="n">
        <f aca="false">F19*F20</f>
        <v>7853.03637425982</v>
      </c>
      <c r="G21" s="0" t="n">
        <f aca="false">G19*G20</f>
        <v>7382.57797395853</v>
      </c>
      <c r="H21" s="0" t="n">
        <f aca="false">H19*H20</f>
        <v>6940.3037174541</v>
      </c>
      <c r="I21" s="0" t="n">
        <f aca="false">I19*I20</f>
        <v>6524.52515373566</v>
      </c>
      <c r="J21" s="0" t="n">
        <f aca="false">J19*J20</f>
        <v>6133.65498323537</v>
      </c>
      <c r="K21" s="0" t="n">
        <f aca="false">K19*K20</f>
        <v>5766.20099806458</v>
      </c>
      <c r="L21" s="0" t="n">
        <f aca="false">L19*L20</f>
        <v>5420.76038527731</v>
      </c>
    </row>
    <row r="23" customFormat="false" ht="15" hidden="false" customHeight="false" outlineLevel="0" collapsed="false">
      <c r="A23" s="0" t="s">
        <v>97</v>
      </c>
      <c r="C23" s="4" t="n">
        <f aca="false">Assumptions!C16</f>
        <v>0.6</v>
      </c>
      <c r="D23" s="4" t="n">
        <f aca="false">Assumptions!D16</f>
        <v>0.6</v>
      </c>
      <c r="E23" s="4" t="n">
        <f aca="false">Assumptions!E16</f>
        <v>0.6</v>
      </c>
      <c r="F23" s="4" t="n">
        <f aca="false">Assumptions!F16</f>
        <v>0.6</v>
      </c>
      <c r="G23" s="4" t="n">
        <f aca="false">Assumptions!G16</f>
        <v>0.6</v>
      </c>
      <c r="H23" s="4" t="n">
        <f aca="false">Assumptions!H16</f>
        <v>0.6</v>
      </c>
      <c r="I23" s="4" t="n">
        <f aca="false">Assumptions!I16</f>
        <v>0.6</v>
      </c>
      <c r="J23" s="4" t="n">
        <f aca="false">Assumptions!J16</f>
        <v>0.6</v>
      </c>
      <c r="K23" s="4" t="n">
        <f aca="false">Assumptions!K16</f>
        <v>0.6</v>
      </c>
      <c r="L23" s="4" t="n">
        <f aca="false">Assumptions!L16</f>
        <v>0.6</v>
      </c>
    </row>
    <row r="24" customFormat="false" ht="15" hidden="false" customHeight="false" outlineLevel="0" collapsed="false">
      <c r="A24" s="0" t="s">
        <v>122</v>
      </c>
      <c r="C24" s="0" t="n">
        <f aca="false">-C6*C23/100</f>
        <v>-1723.2753</v>
      </c>
      <c r="D24" s="0" t="n">
        <f aca="false">-D6*D23/100</f>
        <v>-1706.042547</v>
      </c>
      <c r="E24" s="0" t="n">
        <f aca="false">-E6*E23/100</f>
        <v>-1723.10297247</v>
      </c>
      <c r="F24" s="0" t="n">
        <f aca="false">-F6*F23/100</f>
        <v>-1757.5650319194</v>
      </c>
      <c r="G24" s="0" t="n">
        <f aca="false">-G6*G23/100</f>
        <v>-1792.71633255779</v>
      </c>
      <c r="H24" s="0" t="n">
        <f aca="false">-H6*H23/100</f>
        <v>-1828.57065920894</v>
      </c>
      <c r="I24" s="0" t="n">
        <f aca="false">-I6*I23/100</f>
        <v>-1865.14207239312</v>
      </c>
      <c r="J24" s="0" t="n">
        <f aca="false">-J6*J23/100</f>
        <v>-1902.44491384098</v>
      </c>
      <c r="K24" s="0" t="n">
        <f aca="false">-K6*K23/100</f>
        <v>-1940.4938121178</v>
      </c>
      <c r="L24" s="0" t="n">
        <f aca="false">-L6*L23/100</f>
        <v>-1979.30368836016</v>
      </c>
    </row>
    <row r="26" customFormat="false" ht="15" hidden="false" customHeight="false" outlineLevel="0" collapsed="false">
      <c r="A26" s="2" t="s">
        <v>123</v>
      </c>
    </row>
    <row r="27" customFormat="false" ht="15" hidden="false" customHeight="false" outlineLevel="0" collapsed="false">
      <c r="A27" s="0" t="s">
        <v>101</v>
      </c>
      <c r="B27" s="4" t="n">
        <f aca="false">Assumptions!$B$20</f>
        <v>8.5</v>
      </c>
    </row>
    <row r="28" customFormat="false" ht="15" hidden="false" customHeight="false" outlineLevel="0" collapsed="false">
      <c r="A28" s="0" t="s">
        <v>102</v>
      </c>
      <c r="B28" s="4" t="n">
        <f aca="false">Assumptions!$B$21</f>
        <v>2</v>
      </c>
    </row>
    <row r="29" customFormat="false" ht="15" hidden="false" customHeight="false" outlineLevel="0" collapsed="false">
      <c r="A29" s="0" t="s">
        <v>103</v>
      </c>
      <c r="B29" s="4" t="n">
        <f aca="false">Assumptions!$B$22</f>
        <v>13</v>
      </c>
    </row>
    <row r="30" customFormat="false" ht="15" hidden="false" customHeight="false" outlineLevel="0" collapsed="false">
      <c r="A30" s="0" t="s">
        <v>124</v>
      </c>
      <c r="B30" s="0" t="n">
        <f aca="false">SUM(C21:L21)</f>
        <v>76763.5877329223</v>
      </c>
    </row>
    <row r="31" customFormat="false" ht="15" hidden="false" customHeight="false" outlineLevel="0" collapsed="false">
      <c r="A31" s="0" t="s">
        <v>125</v>
      </c>
      <c r="B31" s="0" t="n">
        <f aca="false">L19</f>
        <v>12256.249473714</v>
      </c>
    </row>
    <row r="32" customFormat="false" ht="15" hidden="false" customHeight="false" outlineLevel="0" collapsed="false">
      <c r="A32" s="0" t="s">
        <v>126</v>
      </c>
      <c r="B32" s="0" t="n">
        <f aca="false">IF(B27&gt;B28,B31*(1+B28/100)/((B27-B28)/100),B31*B29)</f>
        <v>192328.837895204</v>
      </c>
    </row>
    <row r="33" customFormat="false" ht="15" hidden="false" customHeight="false" outlineLevel="0" collapsed="false">
      <c r="A33" s="0" t="s">
        <v>127</v>
      </c>
      <c r="B33" s="0" t="n">
        <f aca="false">B31*B29</f>
        <v>159331.243158281</v>
      </c>
    </row>
    <row r="34" customFormat="false" ht="15" hidden="false" customHeight="false" outlineLevel="0" collapsed="false">
      <c r="A34" s="0" t="s">
        <v>128</v>
      </c>
      <c r="B34" s="0" t="n">
        <f aca="false">MAX(0,MIN(B32,B33))</f>
        <v>159331.243158281</v>
      </c>
    </row>
    <row r="35" customFormat="false" ht="15" hidden="false" customHeight="false" outlineLevel="0" collapsed="false">
      <c r="A35" s="0" t="s">
        <v>129</v>
      </c>
      <c r="B35" s="0" t="n">
        <f aca="false">B34/(1+B27/100)^L4</f>
        <v>70469.885008605</v>
      </c>
    </row>
    <row r="36" customFormat="false" ht="15" hidden="false" customHeight="false" outlineLevel="0" collapsed="false">
      <c r="A36" s="0" t="s">
        <v>130</v>
      </c>
      <c r="B36" s="0" t="n">
        <f aca="false">B30+B35</f>
        <v>147233.472741527</v>
      </c>
    </row>
    <row r="37" customFormat="false" ht="15" hidden="false" customHeight="false" outlineLevel="0" collapsed="false">
      <c r="A37" s="0" t="s">
        <v>131</v>
      </c>
      <c r="B37" s="0" t="n">
        <f aca="false">B36+Assumptions!$B$5-Assumptions!$B$4</f>
        <v>175478.472741527</v>
      </c>
    </row>
    <row r="38" customFormat="false" ht="15" hidden="false" customHeight="false" outlineLevel="0" collapsed="false">
      <c r="A38" s="0" t="s">
        <v>132</v>
      </c>
      <c r="B38" s="0" t="n">
        <f aca="false">B37/Assumptions!$B$3*Assumptions!$B$10</f>
        <v>22.2991242610124</v>
      </c>
    </row>
    <row r="39" customFormat="false" ht="15" hidden="false" customHeight="false" outlineLevel="0" collapsed="false">
      <c r="A39" s="0" t="s">
        <v>133</v>
      </c>
      <c r="B39" s="4" t="n">
        <f aca="false">B38/Assumptions!$B$2-1</f>
        <v>0.148847205616302</v>
      </c>
    </row>
    <row r="41" customFormat="false" ht="15" hidden="false" customHeight="false" outlineLevel="0" collapsed="false">
      <c r="A41" s="0" t="s">
        <v>134</v>
      </c>
      <c r="B41" s="0" t="n">
        <f aca="false">SUMPRODUCT(-C10:L10/(1+$B$27/100)^C4:L4)</f>
        <v>3151.62900535917</v>
      </c>
    </row>
    <row r="42" customFormat="false" ht="15" hidden="false" customHeight="false" outlineLevel="0" collapsed="false">
      <c r="A42" s="0" t="s">
        <v>135</v>
      </c>
      <c r="B42" s="0" t="n">
        <f aca="false">IF(B27&gt;B28,-L10*(1+B28/100)/((B27-B28)/100),-L10*20)/(1+B27/100)^L4</f>
        <v>3663.28408761534</v>
      </c>
    </row>
    <row r="43" customFormat="false" ht="15" hidden="false" customHeight="false" outlineLevel="0" collapsed="false">
      <c r="A43" s="0" t="s">
        <v>136</v>
      </c>
      <c r="B43" s="0" t="n">
        <f aca="false">(B37+B41+B42)/Assumptions!$B$3*Assumptions!$B$10</f>
        <v>23.1651370061318</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96164.4189476018</v>
      </c>
    </row>
    <row r="47" customFormat="false" ht="15" hidden="false" customHeight="false" outlineLevel="0" collapsed="false">
      <c r="A47" s="0" t="s">
        <v>138</v>
      </c>
      <c r="B47" s="0" t="n">
        <f aca="false">(SUMPRODUCT(C19:L19/(1+B45/100)^C4:L4)+B46/(1+B45/100)^L4+Assumptions!$B$5-Assumptions!$B$4)/Assumptions!$B$3*Assumptions!$B$10</f>
        <v>14.0934118204192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139</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Assumptions!C27</f>
        <v>-2</v>
      </c>
      <c r="D5" s="4" t="n">
        <f aca="false">Assumptions!D27</f>
        <v>3</v>
      </c>
      <c r="E5" s="4" t="n">
        <f aca="false">Assumptions!E27</f>
        <v>4</v>
      </c>
      <c r="F5" s="4" t="n">
        <f aca="false">Assumptions!F27</f>
        <v>4</v>
      </c>
      <c r="G5" s="4" t="n">
        <f aca="false">Assumptions!G27</f>
        <v>3.5</v>
      </c>
      <c r="H5" s="4" t="n">
        <f aca="false">Assumptions!H27</f>
        <v>3.5</v>
      </c>
      <c r="I5" s="4" t="n">
        <f aca="false">Assumptions!I27</f>
        <v>3</v>
      </c>
      <c r="J5" s="4" t="n">
        <f aca="false">Assumptions!J27</f>
        <v>3</v>
      </c>
      <c r="K5" s="4" t="n">
        <f aca="false">Assumptions!K27</f>
        <v>2.5</v>
      </c>
      <c r="L5" s="4" t="n">
        <f aca="false">Assumptions!L27</f>
        <v>2.5</v>
      </c>
    </row>
    <row r="6" customFormat="false" ht="15" hidden="false" customHeight="false" outlineLevel="0" collapsed="false">
      <c r="A6" s="0" t="s">
        <v>38</v>
      </c>
      <c r="B6" s="3" t="n">
        <v>302329</v>
      </c>
      <c r="C6" s="0" t="n">
        <f aca="false">B6*(1+C5/100)</f>
        <v>296282.42</v>
      </c>
      <c r="D6" s="0" t="n">
        <f aca="false">C6*(1+D5/100)</f>
        <v>305170.8926</v>
      </c>
      <c r="E6" s="0" t="n">
        <f aca="false">D6*(1+E5/100)</f>
        <v>317377.728304</v>
      </c>
      <c r="F6" s="0" t="n">
        <f aca="false">E6*(1+F5/100)</f>
        <v>330072.83743616</v>
      </c>
      <c r="G6" s="0" t="n">
        <f aca="false">F6*(1+G5/100)</f>
        <v>341625.386746426</v>
      </c>
      <c r="H6" s="0" t="n">
        <f aca="false">G6*(1+H5/100)</f>
        <v>353582.27528255</v>
      </c>
      <c r="I6" s="0" t="n">
        <f aca="false">H6*(1+I5/100)</f>
        <v>364189.743541027</v>
      </c>
      <c r="J6" s="0" t="n">
        <f aca="false">I6*(1+J5/100)</f>
        <v>375115.435847258</v>
      </c>
      <c r="K6" s="0" t="n">
        <f aca="false">J6*(1+K5/100)</f>
        <v>384493.321743439</v>
      </c>
      <c r="L6" s="0" t="n">
        <f aca="false">K6*(1+L5/100)</f>
        <v>394105.654787025</v>
      </c>
    </row>
    <row r="7" customFormat="false" ht="15" hidden="false" customHeight="false" outlineLevel="0" collapsed="false">
      <c r="A7" s="0" t="s">
        <v>95</v>
      </c>
      <c r="C7" s="4" t="n">
        <f aca="false">Assumptions!C28</f>
        <v>10</v>
      </c>
      <c r="D7" s="4" t="n">
        <f aca="false">Assumptions!D28</f>
        <v>10.3</v>
      </c>
      <c r="E7" s="4" t="n">
        <f aca="false">Assumptions!E28</f>
        <v>10.5</v>
      </c>
      <c r="F7" s="4" t="n">
        <f aca="false">Assumptions!F28</f>
        <v>10.7</v>
      </c>
      <c r="G7" s="4" t="n">
        <f aca="false">Assumptions!G28</f>
        <v>10.9</v>
      </c>
      <c r="H7" s="4" t="n">
        <f aca="false">Assumptions!H28</f>
        <v>11</v>
      </c>
      <c r="I7" s="4" t="n">
        <f aca="false">Assumptions!I28</f>
        <v>11</v>
      </c>
      <c r="J7" s="4" t="n">
        <f aca="false">Assumptions!J28</f>
        <v>11</v>
      </c>
      <c r="K7" s="4" t="n">
        <f aca="false">Assumptions!K28</f>
        <v>11</v>
      </c>
      <c r="L7" s="4" t="n">
        <f aca="false">Assumptions!L28</f>
        <v>11</v>
      </c>
    </row>
    <row r="8" customFormat="false" ht="15" hidden="false" customHeight="false" outlineLevel="0" collapsed="false">
      <c r="A8" s="0" t="s">
        <v>44</v>
      </c>
      <c r="C8" s="0" t="n">
        <f aca="false">C6*C7/100</f>
        <v>29628.242</v>
      </c>
      <c r="D8" s="0" t="n">
        <f aca="false">D6*D7/100</f>
        <v>31432.6019378</v>
      </c>
      <c r="E8" s="0" t="n">
        <f aca="false">E6*E7/100</f>
        <v>33324.66147192</v>
      </c>
      <c r="F8" s="0" t="n">
        <f aca="false">F6*F7/100</f>
        <v>35317.7936056691</v>
      </c>
      <c r="G8" s="0" t="n">
        <f aca="false">G6*G7/100</f>
        <v>37237.1671553604</v>
      </c>
      <c r="H8" s="0" t="n">
        <f aca="false">H6*H7/100</f>
        <v>38894.0502810806</v>
      </c>
      <c r="I8" s="0" t="n">
        <f aca="false">I6*I7/100</f>
        <v>40060.871789513</v>
      </c>
      <c r="J8" s="0" t="n">
        <f aca="false">J6*J7/100</f>
        <v>41262.6979431984</v>
      </c>
      <c r="K8" s="0" t="n">
        <f aca="false">K6*K7/100</f>
        <v>42294.2653917783</v>
      </c>
      <c r="L8" s="0" t="n">
        <f aca="false">L6*L7/100</f>
        <v>43351.6220265728</v>
      </c>
    </row>
    <row r="9" customFormat="false" ht="15" hidden="false" customHeight="false" outlineLevel="0" collapsed="false">
      <c r="A9" s="0" t="s">
        <v>96</v>
      </c>
      <c r="C9" s="4" t="n">
        <f aca="false">Assumptions!C29</f>
        <v>0.16</v>
      </c>
      <c r="D9" s="4" t="n">
        <f aca="false">Assumptions!D29</f>
        <v>0.16</v>
      </c>
      <c r="E9" s="4" t="n">
        <f aca="false">Assumptions!E29</f>
        <v>0.16</v>
      </c>
      <c r="F9" s="4" t="n">
        <f aca="false">Assumptions!F29</f>
        <v>0.16</v>
      </c>
      <c r="G9" s="4" t="n">
        <f aca="false">Assumptions!G29</f>
        <v>0.16</v>
      </c>
      <c r="H9" s="4" t="n">
        <f aca="false">Assumptions!H29</f>
        <v>0.16</v>
      </c>
      <c r="I9" s="4" t="n">
        <f aca="false">Assumptions!I29</f>
        <v>0.16</v>
      </c>
      <c r="J9" s="4" t="n">
        <f aca="false">Assumptions!J29</f>
        <v>0.16</v>
      </c>
      <c r="K9" s="4" t="n">
        <f aca="false">Assumptions!K29</f>
        <v>0.16</v>
      </c>
      <c r="L9" s="4" t="n">
        <f aca="false">Assumptions!L29</f>
        <v>0.16</v>
      </c>
    </row>
    <row r="10" customFormat="false" ht="15" hidden="false" customHeight="false" outlineLevel="0" collapsed="false">
      <c r="A10" s="0" t="s">
        <v>111</v>
      </c>
      <c r="C10" s="0" t="n">
        <f aca="false">-C6*C9/100</f>
        <v>-474.051872</v>
      </c>
      <c r="D10" s="0" t="n">
        <f aca="false">-D6*D9/100</f>
        <v>-488.27342816</v>
      </c>
      <c r="E10" s="0" t="n">
        <f aca="false">-E6*E9/100</f>
        <v>-507.8043652864</v>
      </c>
      <c r="F10" s="0" t="n">
        <f aca="false">-F6*F9/100</f>
        <v>-528.116539897856</v>
      </c>
      <c r="G10" s="0" t="n">
        <f aca="false">-G6*G9/100</f>
        <v>-546.600618794281</v>
      </c>
      <c r="H10" s="0" t="n">
        <f aca="false">-H6*H9/100</f>
        <v>-565.731640452081</v>
      </c>
      <c r="I10" s="0" t="n">
        <f aca="false">-I6*I9/100</f>
        <v>-582.703589665643</v>
      </c>
      <c r="J10" s="0" t="n">
        <f aca="false">-J6*J9/100</f>
        <v>-600.184697355613</v>
      </c>
      <c r="K10" s="0" t="n">
        <f aca="false">-K6*K9/100</f>
        <v>-615.189314789503</v>
      </c>
      <c r="L10" s="0" t="n">
        <f aca="false">-L6*L9/100</f>
        <v>-630.56904765924</v>
      </c>
    </row>
    <row r="11" customFormat="false" ht="15" hidden="false" customHeight="false" outlineLevel="0" collapsed="false">
      <c r="A11" s="0" t="s">
        <v>112</v>
      </c>
      <c r="C11" s="0" t="n">
        <f aca="false">C8+C10+C24</f>
        <v>27376.495608</v>
      </c>
      <c r="D11" s="0" t="n">
        <f aca="false">D8+D10+D24</f>
        <v>29113.30315404</v>
      </c>
      <c r="E11" s="0" t="n">
        <f aca="false">E8+E10+E24</f>
        <v>30912.5907368096</v>
      </c>
      <c r="F11" s="0" t="n">
        <f aca="false">F8+F10+F24</f>
        <v>32809.2400411543</v>
      </c>
      <c r="G11" s="0" t="n">
        <f aca="false">G8+G10+G24</f>
        <v>34640.8142160876</v>
      </c>
      <c r="H11" s="0" t="n">
        <f aca="false">H8+H10+H24</f>
        <v>36206.8249889332</v>
      </c>
      <c r="I11" s="0" t="n">
        <f aca="false">I8+I10+I24</f>
        <v>37293.0297386012</v>
      </c>
      <c r="J11" s="0" t="n">
        <f aca="false">J8+J10+J24</f>
        <v>38411.8206307592</v>
      </c>
      <c r="K11" s="0" t="n">
        <f aca="false">K8+K10+K24</f>
        <v>39372.1161465282</v>
      </c>
      <c r="L11" s="0" t="n">
        <f aca="false">L8+L10+L24</f>
        <v>40356.4190501914</v>
      </c>
    </row>
    <row r="12" customFormat="false" ht="15" hidden="false" customHeight="false" outlineLevel="0" collapsed="false">
      <c r="A12" s="0" t="s">
        <v>113</v>
      </c>
      <c r="C12" s="4" t="n">
        <f aca="false">-C6*Assumptions!C31/100</f>
        <v>-6814.49566</v>
      </c>
      <c r="D12" s="4" t="n">
        <f aca="false">-D6*Assumptions!D31/100</f>
        <v>-7018.9305298</v>
      </c>
      <c r="E12" s="4" t="n">
        <f aca="false">-E6*Assumptions!E31/100</f>
        <v>-7299.687750992</v>
      </c>
      <c r="F12" s="4" t="n">
        <f aca="false">-F6*Assumptions!F31/100</f>
        <v>-7591.67526103168</v>
      </c>
      <c r="G12" s="4" t="n">
        <f aca="false">-G6*Assumptions!G31/100</f>
        <v>-7857.38389516779</v>
      </c>
      <c r="H12" s="4" t="n">
        <f aca="false">-H6*Assumptions!H31/100</f>
        <v>-8132.39233149866</v>
      </c>
      <c r="I12" s="4" t="n">
        <f aca="false">-I6*Assumptions!I31/100</f>
        <v>-8376.36410144362</v>
      </c>
      <c r="J12" s="4" t="n">
        <f aca="false">-J6*Assumptions!J31/100</f>
        <v>-8627.65502448693</v>
      </c>
      <c r="K12" s="4" t="n">
        <f aca="false">-K6*Assumptions!K31/100</f>
        <v>-8843.3464000991</v>
      </c>
      <c r="L12" s="4" t="n">
        <f aca="false">-L6*Assumptions!L31/100</f>
        <v>-9064.43006010158</v>
      </c>
    </row>
    <row r="13" customFormat="false" ht="15" hidden="false" customHeight="false" outlineLevel="0" collapsed="false">
      <c r="A13" s="0" t="s">
        <v>114</v>
      </c>
      <c r="C13" s="0" t="n">
        <f aca="false">C11+C12</f>
        <v>20561.999948</v>
      </c>
      <c r="D13" s="0" t="n">
        <f aca="false">D11+D12</f>
        <v>22094.37262424</v>
      </c>
      <c r="E13" s="0" t="n">
        <f aca="false">E11+E12</f>
        <v>23612.9029858176</v>
      </c>
      <c r="F13" s="0" t="n">
        <f aca="false">F11+F12</f>
        <v>25217.5647801226</v>
      </c>
      <c r="G13" s="0" t="n">
        <f aca="false">G11+G12</f>
        <v>26783.4303209198</v>
      </c>
      <c r="H13" s="0" t="n">
        <f aca="false">H11+H12</f>
        <v>28074.4326574345</v>
      </c>
      <c r="I13" s="0" t="n">
        <f aca="false">I11+I12</f>
        <v>28916.6656371575</v>
      </c>
      <c r="J13" s="0" t="n">
        <f aca="false">J11+J12</f>
        <v>29784.1656062723</v>
      </c>
      <c r="K13" s="0" t="n">
        <f aca="false">K11+K12</f>
        <v>30528.7697464291</v>
      </c>
      <c r="L13" s="0" t="n">
        <f aca="false">L11+L12</f>
        <v>31291.9889900898</v>
      </c>
    </row>
    <row r="14" customFormat="false" ht="15" hidden="false" customHeight="false" outlineLevel="0" collapsed="false">
      <c r="A14" s="0" t="s">
        <v>100</v>
      </c>
      <c r="C14" s="4" t="n">
        <f aca="false">Assumptions!C33</f>
        <v>18</v>
      </c>
      <c r="D14" s="4" t="n">
        <f aca="false">Assumptions!D33</f>
        <v>18</v>
      </c>
      <c r="E14" s="4" t="n">
        <f aca="false">Assumptions!E33</f>
        <v>18.5</v>
      </c>
      <c r="F14" s="4" t="n">
        <f aca="false">Assumptions!F33</f>
        <v>18.5</v>
      </c>
      <c r="G14" s="4" t="n">
        <f aca="false">Assumptions!G33</f>
        <v>19</v>
      </c>
      <c r="H14" s="4" t="n">
        <f aca="false">Assumptions!H33</f>
        <v>19</v>
      </c>
      <c r="I14" s="4" t="n">
        <f aca="false">Assumptions!I33</f>
        <v>19</v>
      </c>
      <c r="J14" s="4" t="n">
        <f aca="false">Assumptions!J33</f>
        <v>19</v>
      </c>
      <c r="K14" s="4" t="n">
        <f aca="false">Assumptions!K33</f>
        <v>19</v>
      </c>
      <c r="L14" s="4" t="n">
        <f aca="false">Assumptions!L33</f>
        <v>19</v>
      </c>
    </row>
    <row r="15" customFormat="false" ht="15" hidden="false" customHeight="false" outlineLevel="0" collapsed="false">
      <c r="A15" s="0" t="s">
        <v>115</v>
      </c>
      <c r="C15" s="0" t="n">
        <f aca="false">C13-MAX(0,C13)*C14/100</f>
        <v>16860.83995736</v>
      </c>
      <c r="D15" s="0" t="n">
        <f aca="false">D13-MAX(0,D13)*D14/100</f>
        <v>18117.3855518768</v>
      </c>
      <c r="E15" s="0" t="n">
        <f aca="false">E13-MAX(0,E13)*E14/100</f>
        <v>19244.5159334413</v>
      </c>
      <c r="F15" s="0" t="n">
        <f aca="false">F13-MAX(0,F13)*F14/100</f>
        <v>20552.3152957999</v>
      </c>
      <c r="G15" s="0" t="n">
        <f aca="false">G13-MAX(0,G13)*G14/100</f>
        <v>21694.578559945</v>
      </c>
      <c r="H15" s="0" t="n">
        <f aca="false">H13-MAX(0,H13)*H14/100</f>
        <v>22740.290452522</v>
      </c>
      <c r="I15" s="0" t="n">
        <f aca="false">I13-MAX(0,I13)*I14/100</f>
        <v>23422.4991660976</v>
      </c>
      <c r="J15" s="0" t="n">
        <f aca="false">J13-MAX(0,J13)*J14/100</f>
        <v>24125.1741410805</v>
      </c>
      <c r="K15" s="0" t="n">
        <f aca="false">K13-MAX(0,K13)*K14/100</f>
        <v>24728.3034946075</v>
      </c>
      <c r="L15" s="0" t="n">
        <f aca="false">L13-MAX(0,L13)*L14/100</f>
        <v>25346.5110819727</v>
      </c>
    </row>
    <row r="16" customFormat="false" ht="15" hidden="false" customHeight="false" outlineLevel="0" collapsed="false">
      <c r="A16" s="0" t="s">
        <v>116</v>
      </c>
      <c r="C16" s="0" t="n">
        <f aca="false">-C12</f>
        <v>6814.49566</v>
      </c>
      <c r="D16" s="0" t="n">
        <f aca="false">-D12</f>
        <v>7018.9305298</v>
      </c>
      <c r="E16" s="0" t="n">
        <f aca="false">-E12</f>
        <v>7299.687750992</v>
      </c>
      <c r="F16" s="0" t="n">
        <f aca="false">-F12</f>
        <v>7591.67526103168</v>
      </c>
      <c r="G16" s="0" t="n">
        <f aca="false">-G12</f>
        <v>7857.38389516779</v>
      </c>
      <c r="H16" s="0" t="n">
        <f aca="false">-H12</f>
        <v>8132.39233149866</v>
      </c>
      <c r="I16" s="0" t="n">
        <f aca="false">-I12</f>
        <v>8376.36410144362</v>
      </c>
      <c r="J16" s="0" t="n">
        <f aca="false">-J12</f>
        <v>8627.65502448693</v>
      </c>
      <c r="K16" s="0" t="n">
        <f aca="false">-K12</f>
        <v>8843.3464000991</v>
      </c>
      <c r="L16" s="0" t="n">
        <f aca="false">-L12</f>
        <v>9064.43006010158</v>
      </c>
    </row>
    <row r="17" customFormat="false" ht="15" hidden="false" customHeight="false" outlineLevel="0" collapsed="false">
      <c r="A17" s="0" t="s">
        <v>117</v>
      </c>
      <c r="C17" s="4" t="n">
        <f aca="false">-C6*Assumptions!C32/100</f>
        <v>-9481.03744</v>
      </c>
      <c r="D17" s="4" t="n">
        <f aca="false">-D6*Assumptions!D32/100</f>
        <v>-9765.4685632</v>
      </c>
      <c r="E17" s="4" t="n">
        <f aca="false">-E6*Assumptions!E32/100</f>
        <v>-9838.709577424</v>
      </c>
      <c r="F17" s="4" t="n">
        <f aca="false">-F6*Assumptions!F32/100</f>
        <v>-9902.1851230848</v>
      </c>
      <c r="G17" s="4" t="n">
        <f aca="false">-G6*Assumptions!G32/100</f>
        <v>-10248.7616023928</v>
      </c>
      <c r="H17" s="4" t="n">
        <f aca="false">-H6*Assumptions!H32/100</f>
        <v>-10607.4682584765</v>
      </c>
      <c r="I17" s="4" t="n">
        <f aca="false">-I6*Assumptions!I32/100</f>
        <v>-10925.6923062308</v>
      </c>
      <c r="J17" s="4" t="n">
        <f aca="false">-J6*Assumptions!J32/100</f>
        <v>-11253.4630754177</v>
      </c>
      <c r="K17" s="4" t="n">
        <f aca="false">-K6*Assumptions!K32/100</f>
        <v>-11534.7996523032</v>
      </c>
      <c r="L17" s="4" t="n">
        <f aca="false">-L6*Assumptions!L32/100</f>
        <v>-11823.1696436108</v>
      </c>
    </row>
    <row r="18" customFormat="false" ht="15" hidden="false" customHeight="false" outlineLevel="0" collapsed="false">
      <c r="A18" s="0" t="s">
        <v>118</v>
      </c>
      <c r="C18" s="4" t="n">
        <f aca="false">(C6-B6)*Assumptions!$B$37/100</f>
        <v>604.658000000002</v>
      </c>
      <c r="D18" s="4" t="n">
        <f aca="false">(D6-C6)*Assumptions!$B$37/100</f>
        <v>-888.847259999998</v>
      </c>
      <c r="E18" s="4" t="n">
        <f aca="false">(E6-D6)*Assumptions!$B$37/100</f>
        <v>-1220.6835704</v>
      </c>
      <c r="F18" s="4" t="n">
        <f aca="false">(F6-E6)*Assumptions!$B$37/100</f>
        <v>-1269.510913216</v>
      </c>
      <c r="G18" s="4" t="n">
        <f aca="false">(G6-F6)*Assumptions!$B$37/100</f>
        <v>-1155.25493102656</v>
      </c>
      <c r="H18" s="4" t="n">
        <f aca="false">(H6-G6)*Assumptions!$B$37/100</f>
        <v>-1195.68885361248</v>
      </c>
      <c r="I18" s="4" t="n">
        <f aca="false">(I6-H6)*Assumptions!$B$37/100</f>
        <v>-1060.74682584765</v>
      </c>
      <c r="J18" s="4" t="n">
        <f aca="false">(J6-I6)*Assumptions!$B$37/100</f>
        <v>-1092.56923062308</v>
      </c>
      <c r="K18" s="4" t="n">
        <f aca="false">(K6-J6)*Assumptions!$B$37/100</f>
        <v>-937.78858961814</v>
      </c>
      <c r="L18" s="4" t="n">
        <f aca="false">(L6-K6)*Assumptions!$B$37/100</f>
        <v>-961.233304358594</v>
      </c>
    </row>
    <row r="19" customFormat="false" ht="15" hidden="false" customHeight="false" outlineLevel="0" collapsed="false">
      <c r="A19" s="0" t="s">
        <v>119</v>
      </c>
      <c r="C19" s="0" t="n">
        <f aca="false">C15+C16+C17+C18</f>
        <v>14798.95617736</v>
      </c>
      <c r="D19" s="0" t="n">
        <f aca="false">D15+D16+D17+D18</f>
        <v>14482.0002584768</v>
      </c>
      <c r="E19" s="0" t="n">
        <f aca="false">E15+E16+E17+E18</f>
        <v>15484.8105366093</v>
      </c>
      <c r="F19" s="0" t="n">
        <f aca="false">F15+F16+F17+F18</f>
        <v>16972.2945205308</v>
      </c>
      <c r="G19" s="0" t="n">
        <f aca="false">G15+G16+G17+G18</f>
        <v>18147.9459216935</v>
      </c>
      <c r="H19" s="0" t="n">
        <f aca="false">H15+H16+H17+H18</f>
        <v>19069.5256719316</v>
      </c>
      <c r="I19" s="0" t="n">
        <f aca="false">I15+I16+I17+I18</f>
        <v>19812.4241354628</v>
      </c>
      <c r="J19" s="0" t="n">
        <f aca="false">J15+J16+J17+J18</f>
        <v>20406.7968595266</v>
      </c>
      <c r="K19" s="0" t="n">
        <f aca="false">K15+K16+K17+K18</f>
        <v>21099.0616527853</v>
      </c>
      <c r="L19" s="0" t="n">
        <f aca="false">L15+L16+L17+L18</f>
        <v>21626.538194105</v>
      </c>
    </row>
    <row r="20" customFormat="false" ht="15" hidden="false" customHeight="false" outlineLevel="0" collapsed="false">
      <c r="A20" s="0" t="s">
        <v>120</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121</v>
      </c>
      <c r="C21" s="0" t="n">
        <f aca="false">C19*C20</f>
        <v>13639.5909468756</v>
      </c>
      <c r="D21" s="0" t="n">
        <f aca="false">D19*D20</f>
        <v>12301.8116829636</v>
      </c>
      <c r="E21" s="0" t="n">
        <f aca="false">E19*E20</f>
        <v>12123.1835717769</v>
      </c>
      <c r="F21" s="0" t="n">
        <f aca="false">F19*F20</f>
        <v>12246.7712710369</v>
      </c>
      <c r="G21" s="0" t="n">
        <f aca="false">G19*G20</f>
        <v>12069.2083773083</v>
      </c>
      <c r="H21" s="0" t="n">
        <f aca="false">H19*H20</f>
        <v>11688.5721404603</v>
      </c>
      <c r="I21" s="0" t="n">
        <f aca="false">I19*I20</f>
        <v>11192.5604668087</v>
      </c>
      <c r="J21" s="0" t="n">
        <f aca="false">J19*J20</f>
        <v>10625.1956505189</v>
      </c>
      <c r="K21" s="0" t="n">
        <f aca="false">K19*K20</f>
        <v>10125.0108553905</v>
      </c>
      <c r="L21" s="0" t="n">
        <f aca="false">L19*L20</f>
        <v>9565.10242099099</v>
      </c>
    </row>
    <row r="23" customFormat="false" ht="15" hidden="false" customHeight="false" outlineLevel="0" collapsed="false">
      <c r="A23" s="0" t="s">
        <v>97</v>
      </c>
      <c r="C23" s="4" t="n">
        <f aca="false">Assumptions!C30</f>
        <v>0.6</v>
      </c>
      <c r="D23" s="4" t="n">
        <f aca="false">Assumptions!D30</f>
        <v>0.6</v>
      </c>
      <c r="E23" s="4" t="n">
        <f aca="false">Assumptions!E30</f>
        <v>0.6</v>
      </c>
      <c r="F23" s="4" t="n">
        <f aca="false">Assumptions!F30</f>
        <v>0.6</v>
      </c>
      <c r="G23" s="4" t="n">
        <f aca="false">Assumptions!G30</f>
        <v>0.6</v>
      </c>
      <c r="H23" s="4" t="n">
        <f aca="false">Assumptions!H30</f>
        <v>0.6</v>
      </c>
      <c r="I23" s="4" t="n">
        <f aca="false">Assumptions!I30</f>
        <v>0.6</v>
      </c>
      <c r="J23" s="4" t="n">
        <f aca="false">Assumptions!J30</f>
        <v>0.6</v>
      </c>
      <c r="K23" s="4" t="n">
        <f aca="false">Assumptions!K30</f>
        <v>0.6</v>
      </c>
      <c r="L23" s="4" t="n">
        <f aca="false">Assumptions!L30</f>
        <v>0.6</v>
      </c>
    </row>
    <row r="24" customFormat="false" ht="15" hidden="false" customHeight="false" outlineLevel="0" collapsed="false">
      <c r="A24" s="0" t="s">
        <v>122</v>
      </c>
      <c r="C24" s="0" t="n">
        <f aca="false">-C6*C23/100</f>
        <v>-1777.69452</v>
      </c>
      <c r="D24" s="0" t="n">
        <f aca="false">-D6*D23/100</f>
        <v>-1831.0253556</v>
      </c>
      <c r="E24" s="0" t="n">
        <f aca="false">-E6*E23/100</f>
        <v>-1904.266369824</v>
      </c>
      <c r="F24" s="0" t="n">
        <f aca="false">-F6*F23/100</f>
        <v>-1980.43702461696</v>
      </c>
      <c r="G24" s="0" t="n">
        <f aca="false">-G6*G23/100</f>
        <v>-2049.75232047855</v>
      </c>
      <c r="H24" s="0" t="n">
        <f aca="false">-H6*H23/100</f>
        <v>-2121.4936516953</v>
      </c>
      <c r="I24" s="0" t="n">
        <f aca="false">-I6*I23/100</f>
        <v>-2185.13846124616</v>
      </c>
      <c r="J24" s="0" t="n">
        <f aca="false">-J6*J23/100</f>
        <v>-2250.69261508355</v>
      </c>
      <c r="K24" s="0" t="n">
        <f aca="false">-K6*K23/100</f>
        <v>-2306.95993046064</v>
      </c>
      <c r="L24" s="0" t="n">
        <f aca="false">-L6*L23/100</f>
        <v>-2364.63392872215</v>
      </c>
    </row>
    <row r="26" customFormat="false" ht="15" hidden="false" customHeight="false" outlineLevel="0" collapsed="false">
      <c r="A26" s="2" t="s">
        <v>123</v>
      </c>
    </row>
    <row r="27" customFormat="false" ht="15" hidden="false" customHeight="false" outlineLevel="0" collapsed="false">
      <c r="A27" s="0" t="s">
        <v>101</v>
      </c>
      <c r="B27" s="4" t="n">
        <f aca="false">Assumptions!$B$34</f>
        <v>8.5</v>
      </c>
    </row>
    <row r="28" customFormat="false" ht="15" hidden="false" customHeight="false" outlineLevel="0" collapsed="false">
      <c r="A28" s="0" t="s">
        <v>102</v>
      </c>
      <c r="B28" s="4" t="n">
        <f aca="false">Assumptions!$B$35</f>
        <v>2.5</v>
      </c>
    </row>
    <row r="29" customFormat="false" ht="15" hidden="false" customHeight="false" outlineLevel="0" collapsed="false">
      <c r="A29" s="0" t="s">
        <v>103</v>
      </c>
      <c r="B29" s="4" t="n">
        <f aca="false">Assumptions!$B$36</f>
        <v>15</v>
      </c>
    </row>
    <row r="30" customFormat="false" ht="15" hidden="false" customHeight="false" outlineLevel="0" collapsed="false">
      <c r="A30" s="0" t="s">
        <v>124</v>
      </c>
      <c r="B30" s="0" t="n">
        <f aca="false">SUM(C21:L21)</f>
        <v>115577.007384131</v>
      </c>
    </row>
    <row r="31" customFormat="false" ht="15" hidden="false" customHeight="false" outlineLevel="0" collapsed="false">
      <c r="A31" s="0" t="s">
        <v>125</v>
      </c>
      <c r="B31" s="0" t="n">
        <f aca="false">L19</f>
        <v>21626.538194105</v>
      </c>
    </row>
    <row r="32" customFormat="false" ht="15" hidden="false" customHeight="false" outlineLevel="0" collapsed="false">
      <c r="A32" s="0" t="s">
        <v>126</v>
      </c>
      <c r="B32" s="0" t="n">
        <f aca="false">IF(B27&gt;B28,B31*(1+B28/100)/((B27-B28)/100),B31*B29)</f>
        <v>369453.36081596</v>
      </c>
    </row>
    <row r="33" customFormat="false" ht="15" hidden="false" customHeight="false" outlineLevel="0" collapsed="false">
      <c r="A33" s="0" t="s">
        <v>127</v>
      </c>
      <c r="B33" s="0" t="n">
        <f aca="false">B31*B29</f>
        <v>324398.072911575</v>
      </c>
    </row>
    <row r="34" customFormat="false" ht="15" hidden="false" customHeight="false" outlineLevel="0" collapsed="false">
      <c r="A34" s="0" t="s">
        <v>128</v>
      </c>
      <c r="B34" s="0" t="n">
        <f aca="false">MAX(0,MIN(B32,B33))</f>
        <v>324398.072911575</v>
      </c>
    </row>
    <row r="35" customFormat="false" ht="15" hidden="false" customHeight="false" outlineLevel="0" collapsed="false">
      <c r="A35" s="0" t="s">
        <v>129</v>
      </c>
      <c r="B35" s="0" t="n">
        <f aca="false">B34/(1+B27/100)^L4</f>
        <v>143476.536314865</v>
      </c>
    </row>
    <row r="36" customFormat="false" ht="15" hidden="false" customHeight="false" outlineLevel="0" collapsed="false">
      <c r="A36" s="0" t="s">
        <v>130</v>
      </c>
      <c r="B36" s="0" t="n">
        <f aca="false">B30+B35</f>
        <v>259053.543698995</v>
      </c>
    </row>
    <row r="37" customFormat="false" ht="15" hidden="false" customHeight="false" outlineLevel="0" collapsed="false">
      <c r="A37" s="0" t="s">
        <v>131</v>
      </c>
      <c r="B37" s="0" t="n">
        <f aca="false">B36+Assumptions!$B$5-Assumptions!$B$4</f>
        <v>287298.543698995</v>
      </c>
    </row>
    <row r="38" customFormat="false" ht="15" hidden="false" customHeight="false" outlineLevel="0" collapsed="false">
      <c r="A38" s="0" t="s">
        <v>132</v>
      </c>
      <c r="B38" s="0" t="n">
        <f aca="false">B37/Assumptions!$B$3*Assumptions!$B$10</f>
        <v>36.5087855271474</v>
      </c>
    </row>
    <row r="39" customFormat="false" ht="15" hidden="false" customHeight="false" outlineLevel="0" collapsed="false">
      <c r="A39" s="0" t="s">
        <v>133</v>
      </c>
      <c r="B39" s="4" t="n">
        <f aca="false">B38/Assumptions!$B$2-1</f>
        <v>0.880926611393479</v>
      </c>
    </row>
    <row r="41" customFormat="false" ht="15" hidden="false" customHeight="false" outlineLevel="0" collapsed="false">
      <c r="A41" s="0" t="s">
        <v>134</v>
      </c>
      <c r="B41" s="0" t="n">
        <f aca="false">SUMPRODUCT(-C10:L10/(1+$B$27/100)^C4:L4)</f>
        <v>3556.38753746864</v>
      </c>
    </row>
    <row r="42" customFormat="false" ht="15" hidden="false" customHeight="false" outlineLevel="0" collapsed="false">
      <c r="A42" s="0" t="s">
        <v>135</v>
      </c>
      <c r="B42" s="0" t="n">
        <f aca="false">IF(B27&gt;B28,-L10*(1+B28/100)/((B27-B28)/100),-L10*20)/(1+B27/100)^L4</f>
        <v>4764.39633795369</v>
      </c>
    </row>
    <row r="43" customFormat="false" ht="15" hidden="false" customHeight="false" outlineLevel="0" collapsed="false">
      <c r="A43" s="0" t="s">
        <v>136</v>
      </c>
      <c r="B43" s="0" t="n">
        <f aca="false">(B37+B41+B42)/Assumptions!$B$3*Assumptions!$B$10</f>
        <v>37.5661584953996</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177337.613191661</v>
      </c>
    </row>
    <row r="47" customFormat="false" ht="15" hidden="false" customHeight="false" outlineLevel="0" collapsed="false">
      <c r="A47" s="0" t="s">
        <v>138</v>
      </c>
      <c r="B47" s="0" t="n">
        <f aca="false">(SUMPRODUCT(C19:L19/(1+B45/100)^C4:L4)+B46/(1+B45/100)^L4+Assumptions!$B$5-Assumptions!$B$4)/Assumptions!$B$3*Assumptions!$B$10</f>
        <v>20.1434001396498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140</v>
      </c>
    </row>
    <row r="3" customFormat="false" ht="15" hidden="false" customHeight="false" outlineLevel="0" collapsed="false">
      <c r="A3" s="0" t="s">
        <v>109</v>
      </c>
      <c r="B3" s="0" t="s">
        <v>70</v>
      </c>
      <c r="C3" s="2" t="s">
        <v>84</v>
      </c>
      <c r="D3" s="2" t="s">
        <v>85</v>
      </c>
      <c r="E3" s="2" t="s">
        <v>86</v>
      </c>
      <c r="F3" s="2" t="s">
        <v>87</v>
      </c>
      <c r="G3" s="2" t="s">
        <v>88</v>
      </c>
      <c r="H3" s="2" t="s">
        <v>89</v>
      </c>
      <c r="I3" s="2" t="s">
        <v>90</v>
      </c>
      <c r="J3" s="2" t="s">
        <v>91</v>
      </c>
      <c r="K3" s="2" t="s">
        <v>92</v>
      </c>
      <c r="L3" s="2" t="s">
        <v>93</v>
      </c>
    </row>
    <row r="4" customFormat="false" ht="15" hidden="false" customHeight="false" outlineLevel="0" collapsed="false">
      <c r="A4" s="0" t="s">
        <v>110</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94</v>
      </c>
      <c r="C5" s="4" t="n">
        <f aca="false">Assumptions!C41</f>
        <v>0</v>
      </c>
      <c r="D5" s="4" t="n">
        <f aca="false">Assumptions!D41</f>
        <v>5</v>
      </c>
      <c r="E5" s="4" t="n">
        <f aca="false">Assumptions!E41</f>
        <v>6</v>
      </c>
      <c r="F5" s="4" t="n">
        <f aca="false">Assumptions!F41</f>
        <v>6</v>
      </c>
      <c r="G5" s="4" t="n">
        <f aca="false">Assumptions!G41</f>
        <v>5.5</v>
      </c>
      <c r="H5" s="4" t="n">
        <f aca="false">Assumptions!H41</f>
        <v>5</v>
      </c>
      <c r="I5" s="4" t="n">
        <f aca="false">Assumptions!I41</f>
        <v>4.5</v>
      </c>
      <c r="J5" s="4" t="n">
        <f aca="false">Assumptions!J41</f>
        <v>4</v>
      </c>
      <c r="K5" s="4" t="n">
        <f aca="false">Assumptions!K41</f>
        <v>3.5</v>
      </c>
      <c r="L5" s="4" t="n">
        <f aca="false">Assumptions!L41</f>
        <v>3</v>
      </c>
    </row>
    <row r="6" customFormat="false" ht="15" hidden="false" customHeight="false" outlineLevel="0" collapsed="false">
      <c r="A6" s="0" t="s">
        <v>38</v>
      </c>
      <c r="B6" s="3" t="n">
        <v>302329</v>
      </c>
      <c r="C6" s="0" t="n">
        <f aca="false">B6*(1+C5/100)</f>
        <v>302329</v>
      </c>
      <c r="D6" s="0" t="n">
        <f aca="false">C6*(1+D5/100)</f>
        <v>317445.45</v>
      </c>
      <c r="E6" s="0" t="n">
        <f aca="false">D6*(1+E5/100)</f>
        <v>336492.177</v>
      </c>
      <c r="F6" s="0" t="n">
        <f aca="false">E6*(1+F5/100)</f>
        <v>356681.70762</v>
      </c>
      <c r="G6" s="0" t="n">
        <f aca="false">F6*(1+G5/100)</f>
        <v>376299.2015391</v>
      </c>
      <c r="H6" s="0" t="n">
        <f aca="false">G6*(1+H5/100)</f>
        <v>395114.161616055</v>
      </c>
      <c r="I6" s="0" t="n">
        <f aca="false">H6*(1+I5/100)</f>
        <v>412894.298888778</v>
      </c>
      <c r="J6" s="0" t="n">
        <f aca="false">I6*(1+J5/100)</f>
        <v>429410.070844329</v>
      </c>
      <c r="K6" s="0" t="n">
        <f aca="false">J6*(1+K5/100)</f>
        <v>444439.42332388</v>
      </c>
      <c r="L6" s="0" t="n">
        <f aca="false">K6*(1+L5/100)</f>
        <v>457772.606023597</v>
      </c>
    </row>
    <row r="7" customFormat="false" ht="15" hidden="false" customHeight="false" outlineLevel="0" collapsed="false">
      <c r="A7" s="0" t="s">
        <v>95</v>
      </c>
      <c r="C7" s="4" t="n">
        <f aca="false">Assumptions!C42</f>
        <v>10.3</v>
      </c>
      <c r="D7" s="4" t="n">
        <f aca="false">Assumptions!D42</f>
        <v>10.8</v>
      </c>
      <c r="E7" s="4" t="n">
        <f aca="false">Assumptions!E42</f>
        <v>11.2</v>
      </c>
      <c r="F7" s="4" t="n">
        <f aca="false">Assumptions!F42</f>
        <v>11.5</v>
      </c>
      <c r="G7" s="4" t="n">
        <f aca="false">Assumptions!G42</f>
        <v>11.8</v>
      </c>
      <c r="H7" s="4" t="n">
        <f aca="false">Assumptions!H42</f>
        <v>12</v>
      </c>
      <c r="I7" s="4" t="n">
        <f aca="false">Assumptions!I42</f>
        <v>12</v>
      </c>
      <c r="J7" s="4" t="n">
        <f aca="false">Assumptions!J42</f>
        <v>12</v>
      </c>
      <c r="K7" s="4" t="n">
        <f aca="false">Assumptions!K42</f>
        <v>12</v>
      </c>
      <c r="L7" s="4" t="n">
        <f aca="false">Assumptions!L42</f>
        <v>12</v>
      </c>
    </row>
    <row r="8" customFormat="false" ht="15" hidden="false" customHeight="false" outlineLevel="0" collapsed="false">
      <c r="A8" s="0" t="s">
        <v>44</v>
      </c>
      <c r="C8" s="0" t="n">
        <f aca="false">C6*C7/100</f>
        <v>31139.887</v>
      </c>
      <c r="D8" s="0" t="n">
        <f aca="false">D6*D7/100</f>
        <v>34284.1086</v>
      </c>
      <c r="E8" s="0" t="n">
        <f aca="false">E6*E7/100</f>
        <v>37687.123824</v>
      </c>
      <c r="F8" s="0" t="n">
        <f aca="false">F6*F7/100</f>
        <v>41018.3963763</v>
      </c>
      <c r="G8" s="0" t="n">
        <f aca="false">G6*G7/100</f>
        <v>44403.3057816138</v>
      </c>
      <c r="H8" s="0" t="n">
        <f aca="false">H6*H7/100</f>
        <v>47413.6993939266</v>
      </c>
      <c r="I8" s="0" t="n">
        <f aca="false">I6*I7/100</f>
        <v>49547.3158666533</v>
      </c>
      <c r="J8" s="0" t="n">
        <f aca="false">J6*J7/100</f>
        <v>51529.2085013194</v>
      </c>
      <c r="K8" s="0" t="n">
        <f aca="false">K6*K7/100</f>
        <v>53332.7307988656</v>
      </c>
      <c r="L8" s="0" t="n">
        <f aca="false">L6*L7/100</f>
        <v>54932.7127228316</v>
      </c>
    </row>
    <row r="9" customFormat="false" ht="15" hidden="false" customHeight="false" outlineLevel="0" collapsed="false">
      <c r="A9" s="0" t="s">
        <v>96</v>
      </c>
      <c r="C9" s="4" t="n">
        <f aca="false">Assumptions!C43</f>
        <v>0.16</v>
      </c>
      <c r="D9" s="4" t="n">
        <f aca="false">Assumptions!D43</f>
        <v>0.16</v>
      </c>
      <c r="E9" s="4" t="n">
        <f aca="false">Assumptions!E43</f>
        <v>0.16</v>
      </c>
      <c r="F9" s="4" t="n">
        <f aca="false">Assumptions!F43</f>
        <v>0.16</v>
      </c>
      <c r="G9" s="4" t="n">
        <f aca="false">Assumptions!G43</f>
        <v>0.16</v>
      </c>
      <c r="H9" s="4" t="n">
        <f aca="false">Assumptions!H43</f>
        <v>0.16</v>
      </c>
      <c r="I9" s="4" t="n">
        <f aca="false">Assumptions!I43</f>
        <v>0.16</v>
      </c>
      <c r="J9" s="4" t="n">
        <f aca="false">Assumptions!J43</f>
        <v>0.16</v>
      </c>
      <c r="K9" s="4" t="n">
        <f aca="false">Assumptions!K43</f>
        <v>0.16</v>
      </c>
      <c r="L9" s="4" t="n">
        <f aca="false">Assumptions!L43</f>
        <v>0.16</v>
      </c>
    </row>
    <row r="10" customFormat="false" ht="15" hidden="false" customHeight="false" outlineLevel="0" collapsed="false">
      <c r="A10" s="0" t="s">
        <v>111</v>
      </c>
      <c r="C10" s="0" t="n">
        <f aca="false">-C6*C9/100</f>
        <v>-483.7264</v>
      </c>
      <c r="D10" s="0" t="n">
        <f aca="false">-D6*D9/100</f>
        <v>-507.91272</v>
      </c>
      <c r="E10" s="0" t="n">
        <f aca="false">-E6*E9/100</f>
        <v>-538.3874832</v>
      </c>
      <c r="F10" s="0" t="n">
        <f aca="false">-F6*F9/100</f>
        <v>-570.690732192</v>
      </c>
      <c r="G10" s="0" t="n">
        <f aca="false">-G6*G9/100</f>
        <v>-602.07872246256</v>
      </c>
      <c r="H10" s="0" t="n">
        <f aca="false">-H6*H9/100</f>
        <v>-632.182658585688</v>
      </c>
      <c r="I10" s="0" t="n">
        <f aca="false">-I6*I9/100</f>
        <v>-660.630878222044</v>
      </c>
      <c r="J10" s="0" t="n">
        <f aca="false">-J6*J9/100</f>
        <v>-687.056113350926</v>
      </c>
      <c r="K10" s="0" t="n">
        <f aca="false">-K6*K9/100</f>
        <v>-711.103077318208</v>
      </c>
      <c r="L10" s="0" t="n">
        <f aca="false">-L6*L9/100</f>
        <v>-732.436169637754</v>
      </c>
    </row>
    <row r="11" customFormat="false" ht="15" hidden="false" customHeight="false" outlineLevel="0" collapsed="false">
      <c r="A11" s="0" t="s">
        <v>112</v>
      </c>
      <c r="C11" s="0" t="n">
        <f aca="false">C8+C10+C24</f>
        <v>28842.1866</v>
      </c>
      <c r="D11" s="0" t="n">
        <f aca="false">D8+D10+D24</f>
        <v>31871.52318</v>
      </c>
      <c r="E11" s="0" t="n">
        <f aca="false">E8+E10+E24</f>
        <v>35129.7832788</v>
      </c>
      <c r="F11" s="0" t="n">
        <f aca="false">F8+F10+F24</f>
        <v>38307.615398388</v>
      </c>
      <c r="G11" s="0" t="n">
        <f aca="false">G8+G10+G24</f>
        <v>41543.4318499166</v>
      </c>
      <c r="H11" s="0" t="n">
        <f aca="false">H8+H10+H24</f>
        <v>44410.8317656446</v>
      </c>
      <c r="I11" s="0" t="n">
        <f aca="false">I8+I10+I24</f>
        <v>46409.3191950986</v>
      </c>
      <c r="J11" s="0" t="n">
        <f aca="false">J8+J10+J24</f>
        <v>48265.6919629025</v>
      </c>
      <c r="K11" s="0" t="n">
        <f aca="false">K8+K10+K24</f>
        <v>49954.9911816041</v>
      </c>
      <c r="L11" s="0" t="n">
        <f aca="false">L8+L10+L24</f>
        <v>51453.6409170522</v>
      </c>
    </row>
    <row r="12" customFormat="false" ht="15" hidden="false" customHeight="false" outlineLevel="0" collapsed="false">
      <c r="A12" s="0" t="s">
        <v>113</v>
      </c>
      <c r="C12" s="4" t="n">
        <f aca="false">-C6*Assumptions!C45/100</f>
        <v>-6953.567</v>
      </c>
      <c r="D12" s="4" t="n">
        <f aca="false">-D6*Assumptions!D45/100</f>
        <v>-7301.24535</v>
      </c>
      <c r="E12" s="4" t="n">
        <f aca="false">-E6*Assumptions!E45/100</f>
        <v>-7739.320071</v>
      </c>
      <c r="F12" s="4" t="n">
        <f aca="false">-F6*Assumptions!F45/100</f>
        <v>-8203.67927526</v>
      </c>
      <c r="G12" s="4" t="n">
        <f aca="false">-G6*Assumptions!G45/100</f>
        <v>-8654.8816353993</v>
      </c>
      <c r="H12" s="4" t="n">
        <f aca="false">-H6*Assumptions!H45/100</f>
        <v>-9087.62571716927</v>
      </c>
      <c r="I12" s="4" t="n">
        <f aca="false">-I6*Assumptions!I45/100</f>
        <v>-9496.56887444188</v>
      </c>
      <c r="J12" s="4" t="n">
        <f aca="false">-J6*Assumptions!J45/100</f>
        <v>-9876.43162941956</v>
      </c>
      <c r="K12" s="4" t="n">
        <f aca="false">-K6*Assumptions!K45/100</f>
        <v>-10222.1067364492</v>
      </c>
      <c r="L12" s="4" t="n">
        <f aca="false">-L6*Assumptions!L45/100</f>
        <v>-10528.7699385427</v>
      </c>
    </row>
    <row r="13" customFormat="false" ht="15" hidden="false" customHeight="false" outlineLevel="0" collapsed="false">
      <c r="A13" s="0" t="s">
        <v>114</v>
      </c>
      <c r="C13" s="0" t="n">
        <f aca="false">C11+C12</f>
        <v>21888.6196</v>
      </c>
      <c r="D13" s="0" t="n">
        <f aca="false">D11+D12</f>
        <v>24570.27783</v>
      </c>
      <c r="E13" s="0" t="n">
        <f aca="false">E11+E12</f>
        <v>27390.4632078</v>
      </c>
      <c r="F13" s="0" t="n">
        <f aca="false">F11+F12</f>
        <v>30103.936123128</v>
      </c>
      <c r="G13" s="0" t="n">
        <f aca="false">G11+G12</f>
        <v>32888.5502145173</v>
      </c>
      <c r="H13" s="0" t="n">
        <f aca="false">H11+H12</f>
        <v>35323.2060484753</v>
      </c>
      <c r="I13" s="0" t="n">
        <f aca="false">I11+I12</f>
        <v>36912.7503206567</v>
      </c>
      <c r="J13" s="0" t="n">
        <f aca="false">J11+J12</f>
        <v>38389.260333483</v>
      </c>
      <c r="K13" s="0" t="n">
        <f aca="false">K11+K12</f>
        <v>39732.8844451549</v>
      </c>
      <c r="L13" s="0" t="n">
        <f aca="false">L11+L12</f>
        <v>40924.8709785095</v>
      </c>
    </row>
    <row r="14" customFormat="false" ht="15" hidden="false" customHeight="false" outlineLevel="0" collapsed="false">
      <c r="A14" s="0" t="s">
        <v>100</v>
      </c>
      <c r="C14" s="4" t="n">
        <f aca="false">Assumptions!C47</f>
        <v>18</v>
      </c>
      <c r="D14" s="4" t="n">
        <f aca="false">Assumptions!D47</f>
        <v>18</v>
      </c>
      <c r="E14" s="4" t="n">
        <f aca="false">Assumptions!E47</f>
        <v>18</v>
      </c>
      <c r="F14" s="4" t="n">
        <f aca="false">Assumptions!F47</f>
        <v>18</v>
      </c>
      <c r="G14" s="4" t="n">
        <f aca="false">Assumptions!G47</f>
        <v>18</v>
      </c>
      <c r="H14" s="4" t="n">
        <f aca="false">Assumptions!H47</f>
        <v>18</v>
      </c>
      <c r="I14" s="4" t="n">
        <f aca="false">Assumptions!I47</f>
        <v>18</v>
      </c>
      <c r="J14" s="4" t="n">
        <f aca="false">Assumptions!J47</f>
        <v>18</v>
      </c>
      <c r="K14" s="4" t="n">
        <f aca="false">Assumptions!K47</f>
        <v>18</v>
      </c>
      <c r="L14" s="4" t="n">
        <f aca="false">Assumptions!L47</f>
        <v>18</v>
      </c>
    </row>
    <row r="15" customFormat="false" ht="15" hidden="false" customHeight="false" outlineLevel="0" collapsed="false">
      <c r="A15" s="0" t="s">
        <v>115</v>
      </c>
      <c r="C15" s="0" t="n">
        <f aca="false">C13-MAX(0,C13)*C14/100</f>
        <v>17948.668072</v>
      </c>
      <c r="D15" s="0" t="n">
        <f aca="false">D13-MAX(0,D13)*D14/100</f>
        <v>20147.6278206</v>
      </c>
      <c r="E15" s="0" t="n">
        <f aca="false">E13-MAX(0,E13)*E14/100</f>
        <v>22460.179830396</v>
      </c>
      <c r="F15" s="0" t="n">
        <f aca="false">F13-MAX(0,F13)*F14/100</f>
        <v>24685.227620965</v>
      </c>
      <c r="G15" s="0" t="n">
        <f aca="false">G13-MAX(0,G13)*G14/100</f>
        <v>26968.6111759042</v>
      </c>
      <c r="H15" s="0" t="n">
        <f aca="false">H13-MAX(0,H13)*H14/100</f>
        <v>28965.0289597498</v>
      </c>
      <c r="I15" s="0" t="n">
        <f aca="false">I13-MAX(0,I13)*I14/100</f>
        <v>30268.4552629385</v>
      </c>
      <c r="J15" s="0" t="n">
        <f aca="false">J13-MAX(0,J13)*J14/100</f>
        <v>31479.193473456</v>
      </c>
      <c r="K15" s="0" t="n">
        <f aca="false">K13-MAX(0,K13)*K14/100</f>
        <v>32580.965245027</v>
      </c>
      <c r="L15" s="0" t="n">
        <f aca="false">L13-MAX(0,L13)*L14/100</f>
        <v>33558.3942023778</v>
      </c>
    </row>
    <row r="16" customFormat="false" ht="15" hidden="false" customHeight="false" outlineLevel="0" collapsed="false">
      <c r="A16" s="0" t="s">
        <v>116</v>
      </c>
      <c r="C16" s="0" t="n">
        <f aca="false">-C12</f>
        <v>6953.567</v>
      </c>
      <c r="D16" s="0" t="n">
        <f aca="false">-D12</f>
        <v>7301.24535</v>
      </c>
      <c r="E16" s="0" t="n">
        <f aca="false">-E12</f>
        <v>7739.320071</v>
      </c>
      <c r="F16" s="0" t="n">
        <f aca="false">-F12</f>
        <v>8203.67927526</v>
      </c>
      <c r="G16" s="0" t="n">
        <f aca="false">-G12</f>
        <v>8654.8816353993</v>
      </c>
      <c r="H16" s="0" t="n">
        <f aca="false">-H12</f>
        <v>9087.62571716927</v>
      </c>
      <c r="I16" s="0" t="n">
        <f aca="false">-I12</f>
        <v>9496.56887444188</v>
      </c>
      <c r="J16" s="0" t="n">
        <f aca="false">-J12</f>
        <v>9876.43162941956</v>
      </c>
      <c r="K16" s="0" t="n">
        <f aca="false">-K12</f>
        <v>10222.1067364492</v>
      </c>
      <c r="L16" s="0" t="n">
        <f aca="false">-L12</f>
        <v>10528.7699385427</v>
      </c>
    </row>
    <row r="17" customFormat="false" ht="15" hidden="false" customHeight="false" outlineLevel="0" collapsed="false">
      <c r="A17" s="0" t="s">
        <v>117</v>
      </c>
      <c r="C17" s="4" t="n">
        <f aca="false">-C6*Assumptions!C46/100</f>
        <v>-9674.528</v>
      </c>
      <c r="D17" s="4" t="n">
        <f aca="false">-D6*Assumptions!D46/100</f>
        <v>-9840.80895</v>
      </c>
      <c r="E17" s="4" t="n">
        <f aca="false">-E6*Assumptions!E46/100</f>
        <v>-10094.76531</v>
      </c>
      <c r="F17" s="4" t="n">
        <f aca="false">-F6*Assumptions!F46/100</f>
        <v>-10700.4512286</v>
      </c>
      <c r="G17" s="4" t="n">
        <f aca="false">-G6*Assumptions!G46/100</f>
        <v>-11288.976046173</v>
      </c>
      <c r="H17" s="4" t="n">
        <f aca="false">-H6*Assumptions!H46/100</f>
        <v>-11853.4248484817</v>
      </c>
      <c r="I17" s="4" t="n">
        <f aca="false">-I6*Assumptions!I46/100</f>
        <v>-12386.8289666633</v>
      </c>
      <c r="J17" s="4" t="n">
        <f aca="false">-J6*Assumptions!J46/100</f>
        <v>-12882.3021253299</v>
      </c>
      <c r="K17" s="4" t="n">
        <f aca="false">-K6*Assumptions!K46/100</f>
        <v>-13333.1826997164</v>
      </c>
      <c r="L17" s="4" t="n">
        <f aca="false">-L6*Assumptions!L46/100</f>
        <v>-13733.1781807079</v>
      </c>
    </row>
    <row r="18" customFormat="false" ht="15" hidden="false" customHeight="false" outlineLevel="0" collapsed="false">
      <c r="A18" s="0" t="s">
        <v>118</v>
      </c>
      <c r="C18" s="4" t="n">
        <f aca="false">(C6-B6)*Assumptions!$B$51/100</f>
        <v>-0</v>
      </c>
      <c r="D18" s="4" t="n">
        <f aca="false">(D6-C6)*Assumptions!$B$51/100</f>
        <v>-1511.645</v>
      </c>
      <c r="E18" s="4" t="n">
        <f aca="false">(E6-D6)*Assumptions!$B$51/100</f>
        <v>-1904.6727</v>
      </c>
      <c r="F18" s="4" t="n">
        <f aca="false">(F6-E6)*Assumptions!$B$51/100</f>
        <v>-2018.953062</v>
      </c>
      <c r="G18" s="4" t="n">
        <f aca="false">(G6-F6)*Assumptions!$B$51/100</f>
        <v>-1961.74939191</v>
      </c>
      <c r="H18" s="4" t="n">
        <f aca="false">(H6-G6)*Assumptions!$B$51/100</f>
        <v>-1881.4960076955</v>
      </c>
      <c r="I18" s="4" t="n">
        <f aca="false">(I6-H6)*Assumptions!$B$51/100</f>
        <v>-1778.01372727224</v>
      </c>
      <c r="J18" s="4" t="n">
        <f aca="false">(J6-I6)*Assumptions!$B$51/100</f>
        <v>-1651.57719555511</v>
      </c>
      <c r="K18" s="4" t="n">
        <f aca="false">(K6-J6)*Assumptions!$B$51/100</f>
        <v>-1502.93524795515</v>
      </c>
      <c r="L18" s="4" t="n">
        <f aca="false">(L6-K6)*Assumptions!$B$51/100</f>
        <v>-1333.31826997164</v>
      </c>
    </row>
    <row r="19" customFormat="false" ht="15" hidden="false" customHeight="false" outlineLevel="0" collapsed="false">
      <c r="A19" s="0" t="s">
        <v>119</v>
      </c>
      <c r="C19" s="0" t="n">
        <f aca="false">C15+C16+C17+C18</f>
        <v>15227.707072</v>
      </c>
      <c r="D19" s="0" t="n">
        <f aca="false">D15+D16+D17+D18</f>
        <v>16096.4192206</v>
      </c>
      <c r="E19" s="0" t="n">
        <f aca="false">E15+E16+E17+E18</f>
        <v>18200.061891396</v>
      </c>
      <c r="F19" s="0" t="n">
        <f aca="false">F15+F16+F17+F18</f>
        <v>20169.502605625</v>
      </c>
      <c r="G19" s="0" t="n">
        <f aca="false">G15+G16+G17+G18</f>
        <v>22372.7673732205</v>
      </c>
      <c r="H19" s="0" t="n">
        <f aca="false">H15+H16+H17+H18</f>
        <v>24317.7338207419</v>
      </c>
      <c r="I19" s="0" t="n">
        <f aca="false">I15+I16+I17+I18</f>
        <v>25600.1814434448</v>
      </c>
      <c r="J19" s="0" t="n">
        <f aca="false">J15+J16+J17+J18</f>
        <v>26821.7457819906</v>
      </c>
      <c r="K19" s="0" t="n">
        <f aca="false">K15+K16+K17+K18</f>
        <v>27966.9540338047</v>
      </c>
      <c r="L19" s="0" t="n">
        <f aca="false">L15+L16+L17+L18</f>
        <v>29020.667690241</v>
      </c>
    </row>
    <row r="20" customFormat="false" ht="15" hidden="false" customHeight="false" outlineLevel="0" collapsed="false">
      <c r="A20" s="0" t="s">
        <v>120</v>
      </c>
      <c r="C20" s="0" t="n">
        <f aca="false">1/(1+$B$27/100)^C4</f>
        <v>0.921658986175115</v>
      </c>
      <c r="D20" s="0" t="n">
        <f aca="false">1/(1+$B$27/100)^D4</f>
        <v>0.849455286797341</v>
      </c>
      <c r="E20" s="0" t="n">
        <f aca="false">1/(1+$B$27/100)^E4</f>
        <v>0.782908098430729</v>
      </c>
      <c r="F20" s="0" t="n">
        <f aca="false">1/(1+$B$27/100)^F4</f>
        <v>0.721574284267953</v>
      </c>
      <c r="G20" s="0" t="n">
        <f aca="false">1/(1+$B$27/100)^G4</f>
        <v>0.665045423288436</v>
      </c>
      <c r="H20" s="0" t="n">
        <f aca="false">1/(1+$B$27/100)^H4</f>
        <v>0.612945090588421</v>
      </c>
      <c r="I20" s="0" t="n">
        <f aca="false">1/(1+$B$27/100)^I4</f>
        <v>0.564926350772738</v>
      </c>
      <c r="J20" s="0" t="n">
        <f aca="false">1/(1+$B$27/100)^J4</f>
        <v>0.520669447716809</v>
      </c>
      <c r="K20" s="0" t="n">
        <f aca="false">1/(1+$B$27/100)^K4</f>
        <v>0.479879675315031</v>
      </c>
      <c r="L20" s="0" t="n">
        <f aca="false">1/(1+$B$27/100)^L4</f>
        <v>0.442285415036895</v>
      </c>
    </row>
    <row r="21" customFormat="false" ht="15" hidden="false" customHeight="false" outlineLevel="0" collapsed="false">
      <c r="A21" s="0" t="s">
        <v>121</v>
      </c>
      <c r="C21" s="0" t="n">
        <f aca="false">C19*C20</f>
        <v>14034.7530617512</v>
      </c>
      <c r="D21" s="0" t="n">
        <f aca="false">D19*D20</f>
        <v>13673.188405445</v>
      </c>
      <c r="E21" s="0" t="n">
        <f aca="false">E19*E20</f>
        <v>14248.9758467144</v>
      </c>
      <c r="F21" s="0" t="n">
        <f aca="false">F19*F20</f>
        <v>14553.7944066945</v>
      </c>
      <c r="G21" s="0" t="n">
        <f aca="false">G19*G20</f>
        <v>14878.9065478572</v>
      </c>
      <c r="H21" s="0" t="n">
        <f aca="false">H19*H20</f>
        <v>14905.4355596597</v>
      </c>
      <c r="I21" s="0" t="n">
        <f aca="false">I19*I20</f>
        <v>14462.2170819652</v>
      </c>
      <c r="J21" s="0" t="n">
        <f aca="false">J19*J20</f>
        <v>13965.2635631097</v>
      </c>
      <c r="K21" s="0" t="n">
        <f aca="false">K19*K20</f>
        <v>13420.7728212926</v>
      </c>
      <c r="L21" s="0" t="n">
        <f aca="false">L19*L20</f>
        <v>12835.4180540261</v>
      </c>
    </row>
    <row r="23" customFormat="false" ht="15" hidden="false" customHeight="false" outlineLevel="0" collapsed="false">
      <c r="A23" s="0" t="s">
        <v>97</v>
      </c>
      <c r="C23" s="4" t="n">
        <f aca="false">Assumptions!C44</f>
        <v>0.6</v>
      </c>
      <c r="D23" s="4" t="n">
        <f aca="false">Assumptions!D44</f>
        <v>0.6</v>
      </c>
      <c r="E23" s="4" t="n">
        <f aca="false">Assumptions!E44</f>
        <v>0.6</v>
      </c>
      <c r="F23" s="4" t="n">
        <f aca="false">Assumptions!F44</f>
        <v>0.6</v>
      </c>
      <c r="G23" s="4" t="n">
        <f aca="false">Assumptions!G44</f>
        <v>0.6</v>
      </c>
      <c r="H23" s="4" t="n">
        <f aca="false">Assumptions!H44</f>
        <v>0.6</v>
      </c>
      <c r="I23" s="4" t="n">
        <f aca="false">Assumptions!I44</f>
        <v>0.6</v>
      </c>
      <c r="J23" s="4" t="n">
        <f aca="false">Assumptions!J44</f>
        <v>0.6</v>
      </c>
      <c r="K23" s="4" t="n">
        <f aca="false">Assumptions!K44</f>
        <v>0.6</v>
      </c>
      <c r="L23" s="4" t="n">
        <f aca="false">Assumptions!L44</f>
        <v>0.6</v>
      </c>
    </row>
    <row r="24" customFormat="false" ht="15" hidden="false" customHeight="false" outlineLevel="0" collapsed="false">
      <c r="A24" s="0" t="s">
        <v>122</v>
      </c>
      <c r="C24" s="0" t="n">
        <f aca="false">-C6*C23/100</f>
        <v>-1813.974</v>
      </c>
      <c r="D24" s="0" t="n">
        <f aca="false">-D6*D23/100</f>
        <v>-1904.6727</v>
      </c>
      <c r="E24" s="0" t="n">
        <f aca="false">-E6*E23/100</f>
        <v>-2018.953062</v>
      </c>
      <c r="F24" s="0" t="n">
        <f aca="false">-F6*F23/100</f>
        <v>-2140.09024572</v>
      </c>
      <c r="G24" s="0" t="n">
        <f aca="false">-G6*G23/100</f>
        <v>-2257.7952092346</v>
      </c>
      <c r="H24" s="0" t="n">
        <f aca="false">-H6*H23/100</f>
        <v>-2370.68496969633</v>
      </c>
      <c r="I24" s="0" t="n">
        <f aca="false">-I6*I23/100</f>
        <v>-2477.36579333267</v>
      </c>
      <c r="J24" s="0" t="n">
        <f aca="false">-J6*J23/100</f>
        <v>-2576.46042506597</v>
      </c>
      <c r="K24" s="0" t="n">
        <f aca="false">-K6*K23/100</f>
        <v>-2666.63653994328</v>
      </c>
      <c r="L24" s="0" t="n">
        <f aca="false">-L6*L23/100</f>
        <v>-2746.63563614158</v>
      </c>
    </row>
    <row r="26" customFormat="false" ht="15" hidden="false" customHeight="false" outlineLevel="0" collapsed="false">
      <c r="A26" s="2" t="s">
        <v>123</v>
      </c>
    </row>
    <row r="27" customFormat="false" ht="15" hidden="false" customHeight="false" outlineLevel="0" collapsed="false">
      <c r="A27" s="0" t="s">
        <v>101</v>
      </c>
      <c r="B27" s="4" t="n">
        <f aca="false">Assumptions!$B$48</f>
        <v>8.5</v>
      </c>
    </row>
    <row r="28" customFormat="false" ht="15" hidden="false" customHeight="false" outlineLevel="0" collapsed="false">
      <c r="A28" s="0" t="s">
        <v>102</v>
      </c>
      <c r="B28" s="4" t="n">
        <f aca="false">Assumptions!$B$49</f>
        <v>3</v>
      </c>
    </row>
    <row r="29" customFormat="false" ht="15" hidden="false" customHeight="false" outlineLevel="0" collapsed="false">
      <c r="A29" s="0" t="s">
        <v>103</v>
      </c>
      <c r="B29" s="4" t="n">
        <f aca="false">Assumptions!$B$50</f>
        <v>16</v>
      </c>
    </row>
    <row r="30" customFormat="false" ht="15" hidden="false" customHeight="false" outlineLevel="0" collapsed="false">
      <c r="A30" s="0" t="s">
        <v>124</v>
      </c>
      <c r="B30" s="0" t="n">
        <f aca="false">SUM(C21:L21)</f>
        <v>140978.725348516</v>
      </c>
    </row>
    <row r="31" customFormat="false" ht="15" hidden="false" customHeight="false" outlineLevel="0" collapsed="false">
      <c r="A31" s="0" t="s">
        <v>125</v>
      </c>
      <c r="B31" s="0" t="n">
        <f aca="false">L19</f>
        <v>29020.667690241</v>
      </c>
    </row>
    <row r="32" customFormat="false" ht="15" hidden="false" customHeight="false" outlineLevel="0" collapsed="false">
      <c r="A32" s="0" t="s">
        <v>126</v>
      </c>
      <c r="B32" s="0" t="n">
        <f aca="false">IF(B27&gt;B28,B31*(1+B28/100)/((B27-B28)/100),B31*B29)</f>
        <v>543477.958562695</v>
      </c>
    </row>
    <row r="33" customFormat="false" ht="15" hidden="false" customHeight="false" outlineLevel="0" collapsed="false">
      <c r="A33" s="0" t="s">
        <v>127</v>
      </c>
      <c r="B33" s="0" t="n">
        <f aca="false">B31*B29</f>
        <v>464330.683043856</v>
      </c>
    </row>
    <row r="34" customFormat="false" ht="15" hidden="false" customHeight="false" outlineLevel="0" collapsed="false">
      <c r="A34" s="0" t="s">
        <v>128</v>
      </c>
      <c r="B34" s="0" t="n">
        <f aca="false">MAX(0,MIN(B32,B33))</f>
        <v>464330.683043856</v>
      </c>
    </row>
    <row r="35" customFormat="false" ht="15" hidden="false" customHeight="false" outlineLevel="0" collapsed="false">
      <c r="A35" s="0" t="s">
        <v>129</v>
      </c>
      <c r="B35" s="0" t="n">
        <f aca="false">B34/(1+B27/100)^L4</f>
        <v>205366.688864417</v>
      </c>
    </row>
    <row r="36" customFormat="false" ht="15" hidden="false" customHeight="false" outlineLevel="0" collapsed="false">
      <c r="A36" s="0" t="s">
        <v>130</v>
      </c>
      <c r="B36" s="0" t="n">
        <f aca="false">B30+B35</f>
        <v>346345.414212932</v>
      </c>
    </row>
    <row r="37" customFormat="false" ht="15" hidden="false" customHeight="false" outlineLevel="0" collapsed="false">
      <c r="A37" s="0" t="s">
        <v>131</v>
      </c>
      <c r="B37" s="0" t="n">
        <f aca="false">B36+Assumptions!$B$5-Assumptions!$B$4</f>
        <v>374590.414212932</v>
      </c>
    </row>
    <row r="38" customFormat="false" ht="15" hidden="false" customHeight="false" outlineLevel="0" collapsed="false">
      <c r="A38" s="0" t="s">
        <v>132</v>
      </c>
      <c r="B38" s="0" t="n">
        <f aca="false">B37/Assumptions!$B$3*Assumptions!$B$10</f>
        <v>47.6014981383043</v>
      </c>
    </row>
    <row r="39" customFormat="false" ht="15" hidden="false" customHeight="false" outlineLevel="0" collapsed="false">
      <c r="A39" s="0" t="s">
        <v>133</v>
      </c>
      <c r="B39" s="4" t="n">
        <f aca="false">B38/Assumptions!$B$2-1</f>
        <v>1.45242133633716</v>
      </c>
    </row>
    <row r="41" customFormat="false" ht="15" hidden="false" customHeight="false" outlineLevel="0" collapsed="false">
      <c r="A41" s="0" t="s">
        <v>134</v>
      </c>
      <c r="B41" s="0" t="n">
        <f aca="false">SUMPRODUCT(-C10:L10/(1+$B$27/100)^C4:L4)</f>
        <v>3894.61322919078</v>
      </c>
    </row>
    <row r="42" customFormat="false" ht="15" hidden="false" customHeight="false" outlineLevel="0" collapsed="false">
      <c r="A42" s="0" t="s">
        <v>135</v>
      </c>
      <c r="B42" s="0" t="n">
        <f aca="false">IF(B27&gt;B28,-L10*(1+B28/100)/((B27-B28)/100),-L10*20)/(1+B27/100)^L4</f>
        <v>6066.62200608284</v>
      </c>
    </row>
    <row r="43" customFormat="false" ht="15" hidden="false" customHeight="false" outlineLevel="0" collapsed="false">
      <c r="A43" s="0" t="s">
        <v>136</v>
      </c>
      <c r="B43" s="0" t="n">
        <f aca="false">(B37+B41+B42)/Assumptions!$B$3*Assumptions!$B$10</f>
        <v>48.8673333079078</v>
      </c>
    </row>
    <row r="45" customFormat="false" ht="15" hidden="false" customHeight="false" outlineLevel="0" collapsed="false">
      <c r="A45" s="0" t="s">
        <v>77</v>
      </c>
      <c r="B45" s="4" t="n">
        <f aca="false">Assumptions!$B$6</f>
        <v>15</v>
      </c>
    </row>
    <row r="46" customFormat="false" ht="15" hidden="false" customHeight="false" outlineLevel="0" collapsed="false">
      <c r="A46" s="0" t="s">
        <v>137</v>
      </c>
      <c r="B46" s="0" t="n">
        <f aca="false">MAX(0,MIN(IF(B45&gt;B28,B31*(1+B28/100)/((B45-B28)/100),B31*B29),B31*B29))</f>
        <v>249094.064341235</v>
      </c>
    </row>
    <row r="47" customFormat="false" ht="15" hidden="false" customHeight="false" outlineLevel="0" collapsed="false">
      <c r="A47" s="0" t="s">
        <v>138</v>
      </c>
      <c r="B47" s="0" t="n">
        <f aca="false">(SUMPRODUCT(C19:L19/(1+B45/100)^C4:L4)+B46/(1+B45/100)^L4+Assumptions!$B$5-Assumptions!$B$4)/Assumptions!$B$3*Assumptions!$B$10</f>
        <v>24.6376138602215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141</v>
      </c>
    </row>
    <row r="3" customFormat="false" ht="15" hidden="false" customHeight="false" outlineLevel="0" collapsed="false">
      <c r="A3" s="2" t="s">
        <v>142</v>
      </c>
      <c r="B3" s="2" t="s">
        <v>143</v>
      </c>
      <c r="C3" s="2" t="s">
        <v>133</v>
      </c>
      <c r="D3" s="2" t="s">
        <v>144</v>
      </c>
      <c r="E3" s="2" t="s">
        <v>136</v>
      </c>
      <c r="F3" s="2" t="s">
        <v>145</v>
      </c>
    </row>
    <row r="4" customFormat="false" ht="15" hidden="false" customHeight="false" outlineLevel="0" collapsed="false">
      <c r="A4" s="0" t="s">
        <v>146</v>
      </c>
      <c r="B4" s="4" t="n">
        <f aca="false">DCF_Bear!$B$38</f>
        <v>22.2991242610124</v>
      </c>
      <c r="C4" s="0" t="n">
        <f aca="false">B4/Assumptions!$B$2-1</f>
        <v>0.148847205616302</v>
      </c>
      <c r="D4" s="4" t="n">
        <f aca="false">Assumptions!$B$24</f>
        <v>0.25</v>
      </c>
      <c r="E4" s="4" t="n">
        <f aca="false">DCF_Bear!$B$43</f>
        <v>23.1651370061318</v>
      </c>
      <c r="F4" s="4" t="n">
        <f aca="false">DCF_Bear!$B$47</f>
        <v>14.0934118204192</v>
      </c>
    </row>
    <row r="5" customFormat="false" ht="15" hidden="false" customHeight="false" outlineLevel="0" collapsed="false">
      <c r="A5" s="0" t="s">
        <v>147</v>
      </c>
      <c r="B5" s="4" t="n">
        <f aca="false">DCF_Base!$B$38</f>
        <v>36.5087855271474</v>
      </c>
      <c r="C5" s="0" t="n">
        <f aca="false">B5/Assumptions!$B$2-1</f>
        <v>0.880926611393479</v>
      </c>
      <c r="D5" s="4" t="n">
        <f aca="false">Assumptions!$B$38</f>
        <v>0.5</v>
      </c>
      <c r="E5" s="4" t="n">
        <f aca="false">DCF_Base!$B$43</f>
        <v>37.5661584953996</v>
      </c>
      <c r="F5" s="4" t="n">
        <f aca="false">DCF_Base!$B$47</f>
        <v>20.1434001396498</v>
      </c>
    </row>
    <row r="6" customFormat="false" ht="15" hidden="false" customHeight="false" outlineLevel="0" collapsed="false">
      <c r="A6" s="0" t="s">
        <v>148</v>
      </c>
      <c r="B6" s="4" t="n">
        <f aca="false">DCF_Bull!$B$38</f>
        <v>47.6014981383043</v>
      </c>
      <c r="C6" s="0" t="n">
        <f aca="false">B6/Assumptions!$B$2-1</f>
        <v>1.45242133633716</v>
      </c>
      <c r="D6" s="4" t="n">
        <f aca="false">Assumptions!$B$52</f>
        <v>0.25</v>
      </c>
      <c r="E6" s="4" t="n">
        <f aca="false">DCF_Bull!$B$43</f>
        <v>48.8673333079078</v>
      </c>
      <c r="F6" s="4" t="n">
        <f aca="false">DCF_Bull!$B$47</f>
        <v>24.6376138602215</v>
      </c>
    </row>
    <row r="8" customFormat="false" ht="15" hidden="false" customHeight="false" outlineLevel="0" collapsed="false">
      <c r="A8" s="0" t="s">
        <v>149</v>
      </c>
      <c r="B8" s="0" t="n">
        <f aca="false">SUMPRODUCT(B4:B6,D4:D6)</f>
        <v>35.7295483634029</v>
      </c>
    </row>
    <row r="9" customFormat="false" ht="15" hidden="false" customHeight="false" outlineLevel="0" collapsed="false">
      <c r="A9" s="0" t="s">
        <v>150</v>
      </c>
      <c r="B9" s="0" t="n">
        <f aca="false">SUMPRODUCT(E4:E6,D4:D6)</f>
        <v>36.7911968262097</v>
      </c>
    </row>
    <row r="10" customFormat="false" ht="15" hidden="false" customHeight="false" outlineLevel="0" collapsed="false">
      <c r="A10" s="0" t="s">
        <v>151</v>
      </c>
      <c r="B10" s="0" t="n">
        <f aca="false">1-Assumptions!$B$2/B8</f>
        <v>0.456752159232964</v>
      </c>
    </row>
    <row r="11" customFormat="false" ht="15" hidden="false" customHeight="false" outlineLevel="0" collapsed="false">
      <c r="A11" s="0" t="s">
        <v>152</v>
      </c>
      <c r="B11" s="0" t="n">
        <f aca="false">IF(ABS(B9-B8)&gt;0.01*ABS(B8),(Assumptions!$B$2-B8)/(B9-B8)*100,"n/a")</f>
        <v>-1537.1894685607</v>
      </c>
    </row>
    <row r="12" customFormat="false" ht="15" hidden="false" customHeight="false" outlineLevel="0" collapsed="false">
      <c r="A12" s="0" t="s">
        <v>153</v>
      </c>
      <c r="B12" s="0" t="n">
        <f aca="false">SUMPRODUCT(F4:F6,D4:D6)</f>
        <v>19.7544564899851</v>
      </c>
    </row>
    <row r="14" customFormat="false" ht="15" hidden="false" customHeight="false" outlineLevel="0" collapsed="false">
      <c r="A14" s="2" t="s">
        <v>154</v>
      </c>
      <c r="C14" s="0" t="s">
        <v>155</v>
      </c>
    </row>
    <row r="15" customFormat="false" ht="15" hidden="false" customHeight="false" outlineLevel="0" collapsed="false">
      <c r="A15" s="0" t="s">
        <v>156</v>
      </c>
      <c r="B15" s="0" t="n">
        <f aca="false">(SUMPRODUCT(DCF_Base!$C$19:$L$19/(1+$C$15/100)^DCF_Base!$C$4:$L$4)+MAX(0,MIN(IF($C$15&gt;DCF_Base!$B$28,DCF_Base!$L$19*(1+DCF_Base!$B$28/100)/(($C$15-DCF_Base!$B$28)/100),DCF_Base!$L$19*DCF_Base!$B$29),DCF_Base!$L$19*DCF_Base!$B$29))/(1+$C$15/100)^DCF_Base!$L$4+Assumptions!$B$5-Assumptions!$B$4)/Assumptions!$B$3*Assumptions!$B$10</f>
        <v>36.5087855271474</v>
      </c>
      <c r="C15" s="3" t="n">
        <v>8.5</v>
      </c>
    </row>
    <row r="16" customFormat="false" ht="15" hidden="false" customHeight="false" outlineLevel="0" collapsed="false">
      <c r="A16" s="0" t="s">
        <v>157</v>
      </c>
      <c r="B16" s="0" t="n">
        <f aca="false">(SUMPRODUCT(DCF_Base!$C$19:$L$19/(1+$C$16/100)^DCF_Base!$C$4:$L$4)+MAX(0,MIN(IF($C$16&gt;DCF_Base!$B$28,DCF_Base!$L$19*(1+DCF_Base!$B$28/100)/(($C$16-DCF_Base!$B$28)/100),DCF_Base!$L$19*DCF_Base!$B$29),DCF_Base!$L$19*DCF_Base!$B$29))/(1+$C$16/100)^DCF_Base!$L$4+Assumptions!$B$5-Assumptions!$B$4)/Assumptions!$B$3*Assumptions!$B$10</f>
        <v>35.3419151316115</v>
      </c>
      <c r="C16" s="3" t="n">
        <v>9</v>
      </c>
    </row>
    <row r="17" customFormat="false" ht="15" hidden="false" customHeight="false" outlineLevel="0" collapsed="false">
      <c r="A17" s="0" t="s">
        <v>158</v>
      </c>
      <c r="B17" s="0" t="n">
        <f aca="false">(SUMPRODUCT(DCF_Base!$C$19:$L$19/(1+$C$17/100)^DCF_Base!$C$4:$L$4)+MAX(0,MIN(IF($C$17&gt;DCF_Base!$B$28,DCF_Base!$L$19*(1+DCF_Base!$B$28/100)/(($C$17-DCF_Base!$B$28)/100),DCF_Base!$L$19*DCF_Base!$B$29),DCF_Base!$L$19*DCF_Base!$B$29))/(1+$C$17/100)^DCF_Base!$L$4+Assumptions!$B$5-Assumptions!$B$4)/Assumptions!$B$3*Assumptions!$B$10</f>
        <v>31.7501258564344</v>
      </c>
      <c r="C17" s="3" t="n">
        <v>10</v>
      </c>
    </row>
    <row r="18" customFormat="false" ht="15" hidden="false" customHeight="false" outlineLevel="0" collapsed="false">
      <c r="A18" s="0" t="s">
        <v>159</v>
      </c>
      <c r="B18" s="0" t="n">
        <f aca="false">(SUMPRODUCT(DCF_Base!$C$19:$L$19/(1+$C$18/100)^DCF_Base!$C$4:$L$4)+MAX(0,MIN(IF($C$18&gt;DCF_Base!$B$28,DCF_Base!$L$19*(1+DCF_Base!$B$28/100)/(($C$18-DCF_Base!$B$28)/100),DCF_Base!$L$19*DCF_Base!$B$29),DCF_Base!$L$19*DCF_Base!$B$29))/(1+$C$18/100)^DCF_Base!$L$4+Assumptions!$B$5-Assumptions!$B$4)/Assumptions!$B$3*Assumptions!$B$10</f>
        <v>28.3262932699587</v>
      </c>
      <c r="C18" s="3" t="n">
        <v>11</v>
      </c>
    </row>
    <row r="19" customFormat="false" ht="15" hidden="false" customHeight="false" outlineLevel="0" collapsed="false">
      <c r="A19" s="0" t="s">
        <v>160</v>
      </c>
      <c r="B19" s="0" t="n">
        <f aca="false">(SUMPRODUCT(DCF_Base!$C$19:$L$19/(1+$C$19/100)^DCF_Base!$C$4:$L$4)+MAX(0,MIN(IF($C$19&gt;DCF_Base!$B$28,DCF_Base!$L$19*(1+DCF_Base!$B$28/100)/(($C$19-DCF_Base!$B$28)/100),DCF_Base!$L$19*DCF_Base!$B$29),DCF_Base!$L$19*DCF_Base!$B$29))/(1+$C$19/100)^DCF_Base!$L$4+Assumptions!$B$5-Assumptions!$B$4)/Assumptions!$B$3*Assumptions!$B$10</f>
        <v>25.6280575803248</v>
      </c>
      <c r="C19" s="3" t="n">
        <v>12</v>
      </c>
    </row>
    <row r="20" customFormat="false" ht="15" hidden="false" customHeight="false" outlineLevel="0" collapsed="false">
      <c r="A20" s="0" t="s">
        <v>161</v>
      </c>
      <c r="B20" s="0" t="n">
        <f aca="false">(SUMPRODUCT(DCF_Base!$C$19:$L$19/(1+$C$20/100)^DCF_Base!$C$4:$L$4)+MAX(0,MIN(IF($C$20&gt;DCF_Base!$B$28,DCF_Base!$L$19*(1+DCF_Base!$B$28/100)/(($C$20-DCF_Base!$B$28)/100),DCF_Base!$L$19*DCF_Base!$B$29),DCF_Base!$L$19*DCF_Base!$B$29))/(1+$C$20/100)^DCF_Base!$L$4+Assumptions!$B$5-Assumptions!$B$4)/Assumptions!$B$3*Assumptions!$B$10</f>
        <v>20.1434001396498</v>
      </c>
      <c r="C20" s="3" t="n">
        <v>15</v>
      </c>
    </row>
    <row r="22" customFormat="false" ht="15" hidden="false" customHeight="false" outlineLevel="0" collapsed="false">
      <c r="A22" s="2" t="s">
        <v>162</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6.5</v>
      </c>
      <c r="B24" s="0" t="n">
        <f aca="false">(SUMPRODUCT(DCF_Base!$C$19:$L$19/(1+$A$24/100)^DCF_Base!$C$4:$L$4)+MAX(0,MIN(IF($A$24&gt;$B$23,DCF_Base!$L$19*(1+$B$23/100)/(($A$24-$B$23)/100),DCF_Base!$L$19*DCF_Base!$B$29),DCF_Base!$L$19*DCF_Base!$B$29))/(1+$A$24/100)^DCF_Base!$L$4+Assumptions!$B$5-Assumptions!$B$4)/Assumptions!$B$3*Assumptions!$B$10</f>
        <v>41.7600841561972</v>
      </c>
      <c r="C24" s="0" t="n">
        <f aca="false">(SUMPRODUCT(DCF_Base!$C$19:$L$19/(1+$A$24/100)^DCF_Base!$C$4:$L$4)+MAX(0,MIN(IF($A$24&gt;$C$23,DCF_Base!$L$19*(1+$C$23/100)/(($A$24-$C$23)/100),DCF_Base!$L$19*DCF_Base!$B$29),DCF_Base!$L$19*DCF_Base!$B$29))/(1+$A$24/100)^DCF_Base!$L$4+Assumptions!$B$5-Assumptions!$B$4)/Assumptions!$B$3*Assumptions!$B$10</f>
        <v>41.7600841561972</v>
      </c>
      <c r="D24" s="0" t="n">
        <f aca="false">(SUMPRODUCT(DCF_Base!$C$19:$L$19/(1+$A$24/100)^DCF_Base!$C$4:$L$4)+MAX(0,MIN(IF($A$24&gt;$D$23,DCF_Base!$L$19*(1+$D$23/100)/(($A$24-$D$23)/100),DCF_Base!$L$19*DCF_Base!$B$29),DCF_Base!$L$19*DCF_Base!$B$29))/(1+$A$24/100)^DCF_Base!$L$4+Assumptions!$B$5-Assumptions!$B$4)/Assumptions!$B$3*Assumptions!$B$10</f>
        <v>41.7600841561972</v>
      </c>
      <c r="E24" s="0" t="n">
        <f aca="false">(SUMPRODUCT(DCF_Base!$C$19:$L$19/(1+$A$24/100)^DCF_Base!$C$4:$L$4)+MAX(0,MIN(IF($A$24&gt;$E$23,DCF_Base!$L$19*(1+$E$23/100)/(($A$24-$E$23)/100),DCF_Base!$L$19*DCF_Base!$B$29),DCF_Base!$L$19*DCF_Base!$B$29))/(1+$A$24/100)^DCF_Base!$L$4+Assumptions!$B$5-Assumptions!$B$4)/Assumptions!$B$3*Assumptions!$B$10</f>
        <v>41.7600841561972</v>
      </c>
      <c r="F24" s="0" t="n">
        <f aca="false">(SUMPRODUCT(DCF_Base!$C$19:$L$19/(1+$A$24/100)^DCF_Base!$C$4:$L$4)+MAX(0,MIN(IF($A$24&gt;$F$23,DCF_Base!$L$19*(1+$F$23/100)/(($A$24-$F$23)/100),DCF_Base!$L$19*DCF_Base!$B$29),DCF_Base!$L$19*DCF_Base!$B$29))/(1+$A$24/100)^DCF_Base!$L$4+Assumptions!$B$5-Assumptions!$B$4)/Assumptions!$B$3*Assumptions!$B$10</f>
        <v>41.7600841561972</v>
      </c>
    </row>
    <row r="25" customFormat="false" ht="15" hidden="false" customHeight="false" outlineLevel="0" collapsed="false">
      <c r="A25" s="3" t="n">
        <v>7.5</v>
      </c>
      <c r="B25" s="0" t="n">
        <f aca="false">(SUMPRODUCT(DCF_Base!$C$19:$L$19/(1+$A$25/100)^DCF_Base!$C$4:$L$4)+MAX(0,MIN(IF($A$25&gt;$B$23,DCF_Base!$L$19*(1+$B$23/100)/(($A$25-$B$23)/100),DCF_Base!$L$19*DCF_Base!$B$29),DCF_Base!$L$19*DCF_Base!$B$29))/(1+$A$25/100)^DCF_Base!$L$4+Assumptions!$B$5-Assumptions!$B$4)/Assumptions!$B$3*Assumptions!$B$10</f>
        <v>39.0113923584999</v>
      </c>
      <c r="C25" s="0" t="n">
        <f aca="false">(SUMPRODUCT(DCF_Base!$C$19:$L$19/(1+$A$25/100)^DCF_Base!$C$4:$L$4)+MAX(0,MIN(IF($A$25&gt;$C$23,DCF_Base!$L$19*(1+$C$23/100)/(($A$25-$C$23)/100),DCF_Base!$L$19*DCF_Base!$B$29),DCF_Base!$L$19*DCF_Base!$B$29))/(1+$A$25/100)^DCF_Base!$L$4+Assumptions!$B$5-Assumptions!$B$4)/Assumptions!$B$3*Assumptions!$B$10</f>
        <v>39.0113923584999</v>
      </c>
      <c r="D25" s="0" t="n">
        <f aca="false">(SUMPRODUCT(DCF_Base!$C$19:$L$19/(1+$A$25/100)^DCF_Base!$C$4:$L$4)+MAX(0,MIN(IF($A$25&gt;$D$23,DCF_Base!$L$19*(1+$D$23/100)/(($A$25-$D$23)/100),DCF_Base!$L$19*DCF_Base!$B$29),DCF_Base!$L$19*DCF_Base!$B$29))/(1+$A$25/100)^DCF_Base!$L$4+Assumptions!$B$5-Assumptions!$B$4)/Assumptions!$B$3*Assumptions!$B$10</f>
        <v>39.0113923584999</v>
      </c>
      <c r="E25" s="0" t="n">
        <f aca="false">(SUMPRODUCT(DCF_Base!$C$19:$L$19/(1+$A$25/100)^DCF_Base!$C$4:$L$4)+MAX(0,MIN(IF($A$25&gt;$E$23,DCF_Base!$L$19*(1+$E$23/100)/(($A$25-$E$23)/100),DCF_Base!$L$19*DCF_Base!$B$29),DCF_Base!$L$19*DCF_Base!$B$29))/(1+$A$25/100)^DCF_Base!$L$4+Assumptions!$B$5-Assumptions!$B$4)/Assumptions!$B$3*Assumptions!$B$10</f>
        <v>39.0113923584999</v>
      </c>
      <c r="F25" s="0" t="n">
        <f aca="false">(SUMPRODUCT(DCF_Base!$C$19:$L$19/(1+$A$25/100)^DCF_Base!$C$4:$L$4)+MAX(0,MIN(IF($A$25&gt;$F$23,DCF_Base!$L$19*(1+$F$23/100)/(($A$25-$F$23)/100),DCF_Base!$L$19*DCF_Base!$B$29),DCF_Base!$L$19*DCF_Base!$B$29))/(1+$A$25/100)^DCF_Base!$L$4+Assumptions!$B$5-Assumptions!$B$4)/Assumptions!$B$3*Assumptions!$B$10</f>
        <v>39.0113923584999</v>
      </c>
    </row>
    <row r="26" customFormat="false" ht="15" hidden="false" customHeight="false" outlineLevel="0" collapsed="false">
      <c r="A26" s="3" t="n">
        <v>8.5</v>
      </c>
      <c r="B26" s="0" t="n">
        <f aca="false">(SUMPRODUCT(DCF_Base!$C$19:$L$19/(1+$A$26/100)^DCF_Base!$C$4:$L$4)+MAX(0,MIN(IF($A$26&gt;$B$23,DCF_Base!$L$19*(1+$B$23/100)/(($A$26-$B$23)/100),DCF_Base!$L$19*DCF_Base!$B$29),DCF_Base!$L$19*DCF_Base!$B$29))/(1+$A$26/100)^DCF_Base!$L$4+Assumptions!$B$5-Assumptions!$B$4)/Assumptions!$B$3*Assumptions!$B$10</f>
        <v>35.9010374537722</v>
      </c>
      <c r="C26" s="0" t="n">
        <f aca="false">(SUMPRODUCT(DCF_Base!$C$19:$L$19/(1+$A$26/100)^DCF_Base!$C$4:$L$4)+MAX(0,MIN(IF($A$26&gt;$C$23,DCF_Base!$L$19*(1+$C$23/100)/(($A$26-$C$23)/100),DCF_Base!$L$19*DCF_Base!$B$29),DCF_Base!$L$19*DCF_Base!$B$29))/(1+$A$26/100)^DCF_Base!$L$4+Assumptions!$B$5-Assumptions!$B$4)/Assumptions!$B$3*Assumptions!$B$10</f>
        <v>36.5087855271474</v>
      </c>
      <c r="D26" s="0" t="n">
        <f aca="false">(SUMPRODUCT(DCF_Base!$C$19:$L$19/(1+$A$26/100)^DCF_Base!$C$4:$L$4)+MAX(0,MIN(IF($A$26&gt;$D$23,DCF_Base!$L$19*(1+$D$23/100)/(($A$26-$D$23)/100),DCF_Base!$L$19*DCF_Base!$B$29),DCF_Base!$L$19*DCF_Base!$B$29))/(1+$A$26/100)^DCF_Base!$L$4+Assumptions!$B$5-Assumptions!$B$4)/Assumptions!$B$3*Assumptions!$B$10</f>
        <v>36.5087855271474</v>
      </c>
      <c r="E26" s="0" t="n">
        <f aca="false">(SUMPRODUCT(DCF_Base!$C$19:$L$19/(1+$A$26/100)^DCF_Base!$C$4:$L$4)+MAX(0,MIN(IF($A$26&gt;$E$23,DCF_Base!$L$19*(1+$E$23/100)/(($A$26-$E$23)/100),DCF_Base!$L$19*DCF_Base!$B$29),DCF_Base!$L$19*DCF_Base!$B$29))/(1+$A$26/100)^DCF_Base!$L$4+Assumptions!$B$5-Assumptions!$B$4)/Assumptions!$B$3*Assumptions!$B$10</f>
        <v>36.5087855271474</v>
      </c>
      <c r="F26" s="0" t="n">
        <f aca="false">(SUMPRODUCT(DCF_Base!$C$19:$L$19/(1+$A$26/100)^DCF_Base!$C$4:$L$4)+MAX(0,MIN(IF($A$26&gt;$F$23,DCF_Base!$L$19*(1+$F$23/100)/(($A$26-$F$23)/100),DCF_Base!$L$19*DCF_Base!$B$29),DCF_Base!$L$19*DCF_Base!$B$29))/(1+$A$26/100)^DCF_Base!$L$4+Assumptions!$B$5-Assumptions!$B$4)/Assumptions!$B$3*Assumptions!$B$10</f>
        <v>36.5087855271474</v>
      </c>
    </row>
    <row r="27" customFormat="false" ht="15" hidden="false" customHeight="false" outlineLevel="0" collapsed="false">
      <c r="A27" s="3" t="n">
        <v>9.5</v>
      </c>
      <c r="B27" s="0" t="n">
        <f aca="false">(SUMPRODUCT(DCF_Base!$C$19:$L$19/(1+$A$27/100)^DCF_Base!$C$4:$L$4)+MAX(0,MIN(IF($A$27&gt;$B$23,DCF_Base!$L$19*(1+$B$23/100)/(($A$27-$B$23)/100),DCF_Base!$L$19*DCF_Base!$B$29),DCF_Base!$L$19*DCF_Base!$B$29))/(1+$A$27/100)^DCF_Base!$L$4+Assumptions!$B$5-Assumptions!$B$4)/Assumptions!$B$3*Assumptions!$B$10</f>
        <v>31.6630663214599</v>
      </c>
      <c r="C27" s="0" t="n">
        <f aca="false">(SUMPRODUCT(DCF_Base!$C$19:$L$19/(1+$A$27/100)^DCF_Base!$C$4:$L$4)+MAX(0,MIN(IF($A$27&gt;$C$23,DCF_Base!$L$19*(1+$C$23/100)/(($A$27-$C$23)/100),DCF_Base!$L$19*DCF_Base!$B$29),DCF_Base!$L$19*DCF_Base!$B$29))/(1+$A$27/100)^DCF_Base!$L$4+Assumptions!$B$5-Assumptions!$B$4)/Assumptions!$B$3*Assumptions!$B$10</f>
        <v>32.6749780966397</v>
      </c>
      <c r="D27" s="0" t="n">
        <f aca="false">(SUMPRODUCT(DCF_Base!$C$19:$L$19/(1+$A$27/100)^DCF_Base!$C$4:$L$4)+MAX(0,MIN(IF($A$27&gt;$D$23,DCF_Base!$L$19*(1+$D$23/100)/(($A$27-$D$23)/100),DCF_Base!$L$19*DCF_Base!$B$29),DCF_Base!$L$19*DCF_Base!$B$29))/(1+$A$27/100)^DCF_Base!$L$4+Assumptions!$B$5-Assumptions!$B$4)/Assumptions!$B$3*Assumptions!$B$10</f>
        <v>33.8314486968452</v>
      </c>
      <c r="E27" s="0" t="n">
        <f aca="false">(SUMPRODUCT(DCF_Base!$C$19:$L$19/(1+$A$27/100)^DCF_Base!$C$4:$L$4)+MAX(0,MIN(IF($A$27&gt;$E$23,DCF_Base!$L$19*(1+$E$23/100)/(($A$27-$E$23)/100),DCF_Base!$L$19*DCF_Base!$B$29),DCF_Base!$L$19*DCF_Base!$B$29))/(1+$A$27/100)^DCF_Base!$L$4+Assumptions!$B$5-Assumptions!$B$4)/Assumptions!$B$3*Assumptions!$B$10</f>
        <v>34.2275002722581</v>
      </c>
      <c r="F27" s="0" t="n">
        <f aca="false">(SUMPRODUCT(DCF_Base!$C$19:$L$19/(1+$A$27/100)^DCF_Base!$C$4:$L$4)+MAX(0,MIN(IF($A$27&gt;$F$23,DCF_Base!$L$19*(1+$F$23/100)/(($A$27-$F$23)/100),DCF_Base!$L$19*DCF_Base!$B$29),DCF_Base!$L$19*DCF_Base!$B$29))/(1+$A$27/100)^DCF_Base!$L$4+Assumptions!$B$5-Assumptions!$B$4)/Assumptions!$B$3*Assumptions!$B$10</f>
        <v>34.2275002722581</v>
      </c>
    </row>
    <row r="28" customFormat="false" ht="15" hidden="false" customHeight="false" outlineLevel="0" collapsed="false">
      <c r="A28" s="3" t="n">
        <v>10.5</v>
      </c>
      <c r="B28" s="0" t="n">
        <f aca="false">(SUMPRODUCT(DCF_Base!$C$19:$L$19/(1+$A$28/100)^DCF_Base!$C$4:$L$4)+MAX(0,MIN(IF($A$28&gt;$B$23,DCF_Base!$L$19*(1+$B$23/100)/(($A$28-$B$23)/100),DCF_Base!$L$19*DCF_Base!$B$29),DCF_Base!$L$19*DCF_Base!$B$29))/(1+$A$28/100)^DCF_Base!$L$4+Assumptions!$B$5-Assumptions!$B$4)/Assumptions!$B$3*Assumptions!$B$10</f>
        <v>28.3764566405332</v>
      </c>
      <c r="C28" s="0" t="n">
        <f aca="false">(SUMPRODUCT(DCF_Base!$C$19:$L$19/(1+$A$28/100)^DCF_Base!$C$4:$L$4)+MAX(0,MIN(IF($A$28&gt;$C$23,DCF_Base!$L$19*(1+$C$23/100)/(($A$28-$C$23)/100),DCF_Base!$L$19*DCF_Base!$B$29),DCF_Base!$L$19*DCF_Base!$B$29))/(1+$A$28/100)^DCF_Base!$L$4+Assumptions!$B$5-Assumptions!$B$4)/Assumptions!$B$3*Assumptions!$B$10</f>
        <v>29.1077624698748</v>
      </c>
      <c r="D28" s="0" t="n">
        <f aca="false">(SUMPRODUCT(DCF_Base!$C$19:$L$19/(1+$A$28/100)^DCF_Base!$C$4:$L$4)+MAX(0,MIN(IF($A$28&gt;$D$23,DCF_Base!$L$19*(1+$D$23/100)/(($A$28-$D$23)/100),DCF_Base!$L$19*DCF_Base!$B$29),DCF_Base!$L$19*DCF_Base!$B$29))/(1+$A$28/100)^DCF_Base!$L$4+Assumptions!$B$5-Assumptions!$B$4)/Assumptions!$B$3*Assumptions!$B$10</f>
        <v>29.9304815278842</v>
      </c>
      <c r="E28" s="0" t="n">
        <f aca="false">(SUMPRODUCT(DCF_Base!$C$19:$L$19/(1+$A$28/100)^DCF_Base!$C$4:$L$4)+MAX(0,MIN(IF($A$28&gt;$E$23,DCF_Base!$L$19*(1+$E$23/100)/(($A$28-$E$23)/100),DCF_Base!$L$19*DCF_Base!$B$29),DCF_Base!$L$19*DCF_Base!$B$29))/(1+$A$28/100)^DCF_Base!$L$4+Assumptions!$B$5-Assumptions!$B$4)/Assumptions!$B$3*Assumptions!$B$10</f>
        <v>30.8628964602949</v>
      </c>
      <c r="F28" s="0" t="n">
        <f aca="false">(SUMPRODUCT(DCF_Base!$C$19:$L$19/(1+$A$28/100)^DCF_Base!$C$4:$L$4)+MAX(0,MIN(IF($A$28&gt;$F$23,DCF_Base!$L$19*(1+$F$23/100)/(($A$28-$F$23)/100),DCF_Base!$L$19*DCF_Base!$B$29),DCF_Base!$L$19*DCF_Base!$B$29))/(1+$A$28/100)^DCF_Base!$L$4+Assumptions!$B$5-Assumptions!$B$4)/Assumptions!$B$3*Assumptions!$B$10</f>
        <v>31.928513525907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2026-10-23T15:36:22Z</dcterms:created>
  <dc:creator>openpyxl</dc:creator>
  <dc:description/>
  <dc:language>en-NZ</dc:language>
  <cp:lastModifiedBy/>
  <dcterms:modified xsi:type="dcterms:W3CDTF">2026-10-23T15:36:22Z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