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<sst xmlns="http://schemas.openxmlformats.org/spreadsheetml/2006/main" count="389" uniqueCount="175">
  <si>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</si>
  <si>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MAR</t>
  </si>
  <si>
    <t xml:space="preserve">Company</t>
  </si>
  <si>
    <t xml:space="preserve">Marriott International,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</si>
  <si>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</si>
  <si>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</si>
  <si>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</si>
  <si>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</si>
  <si>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2026-10-01T20:00:01Z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</si>
  <si>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</si>
  <si>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</si>
  <si>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</si>
  <si>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</si>
  <si>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</si>
  <si>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</si>
  <si>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</si>
  <si>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</si>
  <si>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</si>
  <si>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</si>
  <si>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</si>
  <si>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</si>
  <si>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2026-10-02T00:40:22Z</t>
  </si>
  <si>
    <t xml:space="preserve">Drivers file</t>
  </si>
  <si>
    <t xml:space="preserve">MAR_Drivers.json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</si>
  <si>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</si>
  <si>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</si>
  <si>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</si>
  <si>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Marriott is valued as what it is -- a stream of management, franchise and co-brand fees on a room base it does not own -- with SBC and net-share-settlement taxes charged as cash, the ~0.3B/yr of key money charged as growth capex, and the EBITDA basis held between GAAP (reimbursement deficit as a cost) and Marriott's adjusted definition (deficit as timing). The flows are unlevered and the 16.5B of net debt is deducted once at 9% WACC. Book equity is negative and ignored. The headline finding is a discount-rate gap: the owner-FCF value at 9%/3% is well below the market price, which capitalises ~3.3B of company-defined FCF at ~30x and relies on debt-assisted buybacks for mid-teens EPS growth. Street basis (SBC as non-cash) adds the PV of ~0.4B/yr of SBC and does not close the gap; the required-return table shows the rate the current price implies.
key_risks_to_valuation: Discount-rate sensitivity: ~60% of EV is terminal value; each 1pp of WACC moves the base value materially (see sensitivity grid); Margin basis: if the cost-reimbursement deficit is genuinely permanent, the base margin path (19.5-&gt;20.5%) is ~1-2pp too generous; if it is pure timing, the bull (22%) is the right anchor; Key money: contract acquisition costs are modelled inside capex at ~1.1-1.3% of revenue from memory of the FY2025 10-K investing section rather than a parsed line; +/-0.1B/yr is ~+/-$4/share; Lodging demand cyclicality: a COVID-scale shock (revenue -50%) is outside the bear case; the bear models a 2001/2009-style RevPAR -9% year; Leverage: 16.9B debt against 0.5B cash and negative book equity; buybacks are partly debt-funded (FY2025 net debt +1.8B against 3.3B repurchased), so a credit-market closure stops the flat-share-count mechanism; Valuation vintage: flows are TTM to 30-Jun-2026 and the balance sheet is 30-Jun-2026; the Q3-2026 10-Q (late Oct/early Nov 2026) will move net debt up ~0.5-1.0B on continued buybacks and the diluted count down ~2-3M</t>
  </si>
  <si>
    <t xml:space="preserve">Data sources</t>
  </si>
  <si>
    <t xml:space="preserve">price: Yahoo Finance chart API at inputs.price_as_of (regular close); 52-week range 256.76-410.98
financials: SEC XBRL companyfacts CIK 0001048286 (state/xbrl_cache) via MAR_Metrics.csv / core_metrics: FY2025 10-K (filed Jan-2026), Q1-2026 and Q2-2026 10-Qs; kpis table for buybacks, cash taxes, equity-award taxes, interest income
qualitative: MAR_Analysis.json dated 2026-10-02 (FY2026 guidance as raised at Q2-2026 results, Aug-2026; pipeline, Bonvoy, citizenM, Middle East drag)</t>
  </si>
  <si>
    <t xml:space="preserve">Scenario narrative: bear</t>
  </si>
  <si>
    <t xml:space="preserve">The axes are lodging-demand cyclicality and the GAAP/adjusted margin gap. A demand shock in year 2 (RevPAR -9%, not a COVID-scale collapse) takes gross revenue down 5% and the margin to 16.5% as incentive fees vanish and the reimbursement deficit widens; recovery takes two years and net unit growth slows to 3-4% as owner financing tightens. The reimbursement deficit never reverses, capping the margin at the FY2023-25 GAAP level (~18.5%). Leverage (net debt/EBITDA ~3.4x, negative book equity) means buybacks pause but solvency is not in question; the scenario does not hit the terminal floor.</t>
  </si>
  <si>
    <t xml:space="preserve">Scenario narrative: base</t>
  </si>
  <si>
    <t xml:space="preserve">Marriott compounds as a fee-taker on a growing room base: ~4.5% net unit growth from a record pipeline (over half international), RevPAR +3% a year, and a Bonvoy/co-brand stream that scales with little capital. Gross revenue (which carries ~18-19B of zero-margin reimbursements) grows ~5% fading to 3%; the pre-SBC EBITDA margin on that gross base expands from 19.5% to 20.5% as fee revenue outgrows pass-through. Capex plus key money run ~3.2-3.4% of revenue. No recession is inserted into the explicit ten years; the cycle risk is carried in the bear weight. Gordon value at 9%/3% (17.2x year-10 FCF) sits under the 20x cap, so the cap does not bind.</t>
  </si>
  <si>
    <t xml:space="preserve">Scenario narrative: bull</t>
  </si>
  <si>
    <t xml:space="preserve">Unit growth holds at 5-6% as conversions and the citizenM/City Express brands widen the funnel, Middle East construction and RevPAR drag fade, and global RevPAR compounds 3-4%. The margin reaches Marriott's own adjusted-EBITDA basis (~22%) because the loyalty float keeps funding the reimbursement timing and incentive fees grow with hotel profitability. Key money intensity eases toward 3% as conversions displace new-builds. Terminal growth 3.5%.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</si>
  <si>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</si>
  <si>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</si>
  <si>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</si>
  <si>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</si>
  <si>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</si>
  <si>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</si>
  <si>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</si>
  <si>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</si>
  <si>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</si>
  <si>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</si>
  <si>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</si>
  <si>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</si>
  <si>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</si>
  <si>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</si>
  <si>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</si>
  <si>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</si>
  <si>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</si>
  <si>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</si>
  <si>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</si>
  <si>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</si>
  <si>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</si>
  <si>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</si>
  <si>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</si>
  <si>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</si>
  <si>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</si>
  <si>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</si>
  <si>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</si>
  <si>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</si>
  <si>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</si>
  <si>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</si>
  <si>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</si>
  <si>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</si>
  <si>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</si>
  <si>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</si>
  <si>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</si>
  <si>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</si>
  <si>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</si>
  <si>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</si>
  <si>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</si>
  <si>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</si>
  <si>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</si>
  <si>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</si>
  <si>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</si>
  <si>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</si>
  <si>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</si>
  <si>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</si>
  <si>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</si>
  <si>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</si>
  <si>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</si>
  <si>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</si>
  <si>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</si>
  <si>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</si>
  <si>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</si>
  <si>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</si>
  <si>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</si>
  <si>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</si>
  <si>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</si>
  <si>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</si>
  <si>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</si>
  <si>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</si>
  <si>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</si>
  <si>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</si>
  <si>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</si>
  <si>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</si>
  <si>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</si>
  <si>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</si>
  <si>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</si>
  <si>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</si>
  <si>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</si>
  <si>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</si>
  <si>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</si>
  <si>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</si>
  <si>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</si>
  <si>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</si>
  <si>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</si>
  <si>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</si>
  <si>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</si>
  <si>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</si>
  <si>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</si>
  <si>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</si>
  <si>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</si>
  <si>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</si>
  <si>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</si>
  <si>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</si>
  <si>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</si>
  <si>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MAR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</si>
  <si>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</si>
  <si>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</si>
  <si>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</si>
  <si>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</si>
  <si>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</si>
  <si>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</si>
  <si>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</si>
  <si>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</si>
  <si>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</si>
  <si>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</si>
  <si>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</si>
  <si>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</si>
  <si>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</si>
  <si>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</si>
  <si>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</si>
  <si>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</si>
  <si>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</si>
  <si>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</si>
  <si>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</si>
  <si>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</si>
  <si>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</si>
  <si>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</si>
  <si>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</si>
  <si>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</si>
  <si>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</si>
  <si>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</si>
  <si>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</si>
  <si>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</si>
  <si>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</si>
  <si>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</si>
  <si>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MAR owner-FCF component DCF: base case (millions, USD)</t>
  </si>
  <si>
    <t xml:space="preserve">MAR owner-FCF component DCF: bull case (millions, USD)</t>
  </si>
  <si>
    <t xml:space="preserve">MAR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</si>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</sst>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354.79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2651</v>
      </c>
      <c r="S2" s="0" t="n">
        <v>191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12990</v>
      </c>
      <c r="F3" s="0" t="n">
        <v>1183</v>
      </c>
      <c r="G3" s="0" t="n">
        <v>9.10700538876059</v>
      </c>
      <c r="H3" s="0" t="n">
        <v>1380</v>
      </c>
      <c r="I3" s="0" t="n">
        <v>696</v>
      </c>
      <c r="J3" s="0" t="n">
        <v>5.35796766743649</v>
      </c>
      <c r="K3" s="0" t="n">
        <v>1.83</v>
      </c>
      <c r="L3" s="0" t="n">
        <v>778</v>
      </c>
      <c r="M3" s="0" t="n">
        <v>671</v>
      </c>
      <c r="N3" s="0" t="n">
        <v>107</v>
      </c>
      <c r="O3" s="0" t="n">
        <v>1462</v>
      </c>
      <c r="S3" s="0" t="n">
        <v>332</v>
      </c>
      <c r="V3" s="0" t="n">
        <v>0.2844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12879</v>
      </c>
      <c r="F4" s="0" t="n">
        <v>765</v>
      </c>
      <c r="G4" s="0" t="n">
        <v>5.93990216631726</v>
      </c>
      <c r="H4" s="0" t="n">
        <v>955</v>
      </c>
      <c r="I4" s="0" t="n">
        <v>362</v>
      </c>
      <c r="J4" s="0" t="n">
        <v>2.81077723425732</v>
      </c>
      <c r="K4" s="0" t="n">
        <v>1.02</v>
      </c>
      <c r="L4" s="0" t="n">
        <v>641</v>
      </c>
      <c r="M4" s="0" t="n">
        <v>357</v>
      </c>
      <c r="N4" s="0" t="n">
        <v>284</v>
      </c>
      <c r="O4" s="0" t="n">
        <v>1391</v>
      </c>
      <c r="P4" s="0" t="n">
        <v>8903</v>
      </c>
      <c r="R4" s="0" t="n">
        <v>3095</v>
      </c>
      <c r="S4" s="0" t="n">
        <v>134</v>
      </c>
      <c r="T4" s="0" t="n">
        <v>353.4</v>
      </c>
      <c r="U4" s="0" t="n">
        <v>112</v>
      </c>
      <c r="V4" s="0" t="n">
        <v>0.3339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10908</v>
      </c>
      <c r="F5" s="0" t="n">
        <v>-152</v>
      </c>
      <c r="G5" s="0" t="n">
        <v>-1.39347268060139</v>
      </c>
      <c r="H5" s="0" t="n">
        <v>33</v>
      </c>
      <c r="I5" s="0" t="n">
        <v>-353</v>
      </c>
      <c r="J5" s="0" t="n">
        <v>-3.23615694902824</v>
      </c>
      <c r="K5" s="0" t="n">
        <v>-0.97</v>
      </c>
      <c r="L5" s="0" t="n">
        <v>868</v>
      </c>
      <c r="M5" s="0" t="n">
        <v>147</v>
      </c>
      <c r="N5" s="0" t="n">
        <v>721</v>
      </c>
      <c r="O5" s="0" t="n">
        <v>996</v>
      </c>
      <c r="P5" s="0" t="n">
        <v>7933</v>
      </c>
      <c r="R5" s="0" t="n">
        <v>2298</v>
      </c>
      <c r="S5" s="0" t="n">
        <v>115</v>
      </c>
      <c r="T5" s="0" t="n">
        <v>358.2</v>
      </c>
      <c r="U5" s="0" t="n">
        <v>85</v>
      </c>
      <c r="V5" s="0" t="n">
        <v>0.0866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11691</v>
      </c>
      <c r="F6" s="0" t="n">
        <v>695</v>
      </c>
      <c r="G6" s="0" t="n">
        <v>5.9447438200325</v>
      </c>
      <c r="H6" s="0" t="n">
        <v>873</v>
      </c>
      <c r="I6" s="0" t="n">
        <v>458</v>
      </c>
      <c r="J6" s="0" t="n">
        <v>3.91754340946027</v>
      </c>
      <c r="K6" s="0" t="n">
        <v>1.26</v>
      </c>
      <c r="L6" s="0" t="n">
        <v>1151</v>
      </c>
      <c r="M6" s="0" t="n">
        <v>307</v>
      </c>
      <c r="N6" s="0" t="n">
        <v>844</v>
      </c>
      <c r="O6" s="0" t="n">
        <v>1585</v>
      </c>
      <c r="P6" s="0" t="n">
        <v>8983</v>
      </c>
      <c r="R6" s="0" t="n">
        <v>2829</v>
      </c>
      <c r="S6" s="0" t="n">
        <v>505</v>
      </c>
      <c r="T6" s="0" t="n">
        <v>366.9</v>
      </c>
      <c r="U6" s="0" t="n">
        <v>90</v>
      </c>
      <c r="V6" s="0" t="n">
        <v>0.2075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12317</v>
      </c>
      <c r="F7" s="0" t="n">
        <v>526</v>
      </c>
      <c r="G7" s="0" t="n">
        <v>4.27052041893318</v>
      </c>
      <c r="H7" s="0" t="n">
        <v>670</v>
      </c>
      <c r="I7" s="0" t="n">
        <v>198</v>
      </c>
      <c r="J7" s="0" t="n">
        <v>1.60753430218397</v>
      </c>
      <c r="K7" s="0" t="n">
        <v>0.56</v>
      </c>
      <c r="L7" s="0" t="n">
        <v>1089</v>
      </c>
      <c r="M7" s="0" t="n">
        <v>183</v>
      </c>
      <c r="N7" s="0" t="n">
        <v>906</v>
      </c>
      <c r="O7" s="0" t="n">
        <v>-781</v>
      </c>
      <c r="P7" s="0" t="n">
        <v>5910</v>
      </c>
      <c r="R7" s="0" t="n">
        <v>2171</v>
      </c>
      <c r="S7" s="0" t="n">
        <v>102</v>
      </c>
      <c r="T7" s="0" t="n">
        <v>362.3</v>
      </c>
      <c r="U7" s="0" t="n">
        <v>103</v>
      </c>
      <c r="V7" s="0" t="n">
        <v>0.3875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11814</v>
      </c>
      <c r="F8" s="0" t="n">
        <v>940</v>
      </c>
      <c r="G8" s="0" t="n">
        <v>7.9566615879465</v>
      </c>
      <c r="H8" s="0" t="n">
        <v>1042</v>
      </c>
      <c r="I8" s="0" t="n">
        <v>571</v>
      </c>
      <c r="J8" s="0" t="n">
        <v>4.83324868799729</v>
      </c>
      <c r="K8" s="0" t="n">
        <v>1.77</v>
      </c>
      <c r="L8" s="0" t="n">
        <v>989</v>
      </c>
      <c r="M8" s="0" t="n">
        <v>437</v>
      </c>
      <c r="N8" s="0" t="n">
        <v>552</v>
      </c>
      <c r="O8" s="0" t="n">
        <v>-1285</v>
      </c>
      <c r="P8" s="0" t="n">
        <v>6342</v>
      </c>
      <c r="R8" s="0" t="n">
        <v>2935</v>
      </c>
      <c r="S8" s="0" t="n">
        <v>88</v>
      </c>
      <c r="T8" s="0" t="n">
        <v>332.9</v>
      </c>
      <c r="U8" s="0" t="n">
        <v>94</v>
      </c>
      <c r="V8" s="0" t="n">
        <v>0.49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12784</v>
      </c>
      <c r="F9" s="0" t="n">
        <v>988</v>
      </c>
      <c r="G9" s="0" t="n">
        <v>7.72841051314143</v>
      </c>
      <c r="H9" s="0" t="n">
        <v>1115</v>
      </c>
      <c r="I9" s="0" t="n">
        <v>626</v>
      </c>
      <c r="J9" s="0" t="n">
        <v>4.89674593241552</v>
      </c>
      <c r="K9" s="0" t="n">
        <v>2.05</v>
      </c>
      <c r="L9" s="0" t="n">
        <v>1140</v>
      </c>
      <c r="M9" s="0" t="n">
        <v>296</v>
      </c>
      <c r="N9" s="0" t="n">
        <v>844</v>
      </c>
      <c r="O9" s="0" t="n">
        <v>-1415</v>
      </c>
      <c r="P9" s="0" t="n">
        <v>6794</v>
      </c>
      <c r="R9" s="0" t="n">
        <v>3153</v>
      </c>
      <c r="S9" s="0" t="n">
        <v>126</v>
      </c>
      <c r="T9" s="0" t="n">
        <v>313</v>
      </c>
      <c r="U9" s="0" t="n">
        <v>116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13796</v>
      </c>
      <c r="F10" s="0" t="n">
        <v>1159</v>
      </c>
      <c r="G10" s="0" t="n">
        <v>8.40098579298347</v>
      </c>
      <c r="I10" s="0" t="n">
        <v>753</v>
      </c>
      <c r="J10" s="0" t="n">
        <v>5.45810379820238</v>
      </c>
      <c r="K10" s="0" t="n">
        <v>2.6</v>
      </c>
      <c r="L10" s="0" t="n">
        <v>1224</v>
      </c>
      <c r="M10" s="0" t="n">
        <v>411</v>
      </c>
      <c r="N10" s="0" t="n">
        <v>813</v>
      </c>
      <c r="O10" s="0" t="n">
        <v>-2200</v>
      </c>
      <c r="P10" s="0" t="n">
        <v>6833</v>
      </c>
      <c r="R10" s="0" t="n">
        <v>3771</v>
      </c>
      <c r="S10" s="0" t="n">
        <v>104</v>
      </c>
      <c r="T10" s="0" t="n">
        <v>296.8</v>
      </c>
      <c r="U10" s="0" t="n">
        <v>109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14486</v>
      </c>
      <c r="F11" s="0" t="n">
        <v>1350</v>
      </c>
      <c r="G11" s="0" t="n">
        <v>9.31934281375121</v>
      </c>
      <c r="I11" s="0" t="n">
        <v>859</v>
      </c>
      <c r="J11" s="0" t="n">
        <v>5.9298633163054</v>
      </c>
      <c r="K11" s="0" t="n">
        <v>3.22</v>
      </c>
      <c r="L11" s="0" t="n">
        <v>1515</v>
      </c>
      <c r="M11" s="0" t="n">
        <v>305</v>
      </c>
      <c r="N11" s="0" t="n">
        <v>1210</v>
      </c>
      <c r="O11" s="0" t="n">
        <v>-3590</v>
      </c>
      <c r="P11" s="0" t="n">
        <v>6082</v>
      </c>
      <c r="R11" s="0" t="n">
        <v>4107</v>
      </c>
      <c r="S11" s="0" t="n">
        <v>96</v>
      </c>
      <c r="T11" s="0" t="n">
        <v>272.8</v>
      </c>
      <c r="U11" s="0" t="n">
        <v>113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15407</v>
      </c>
      <c r="F12" s="0" t="n">
        <v>1424</v>
      </c>
      <c r="G12" s="0" t="n">
        <v>9.24255208671383</v>
      </c>
      <c r="I12" s="0" t="n">
        <v>808</v>
      </c>
      <c r="J12" s="0" t="n">
        <v>5.24436944246122</v>
      </c>
      <c r="K12" s="0" t="n">
        <v>2.78</v>
      </c>
      <c r="L12" s="0" t="n">
        <v>1619</v>
      </c>
      <c r="M12" s="0" t="n">
        <v>199</v>
      </c>
      <c r="N12" s="0" t="n">
        <v>1420</v>
      </c>
      <c r="O12" s="0" t="n">
        <v>5121</v>
      </c>
      <c r="P12" s="0" t="n">
        <v>24140</v>
      </c>
      <c r="R12" s="0" t="n">
        <v>8506</v>
      </c>
      <c r="S12" s="0" t="n">
        <v>858</v>
      </c>
      <c r="T12" s="0" t="n">
        <v>386.1</v>
      </c>
      <c r="U12" s="0" t="n">
        <v>212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20452</v>
      </c>
      <c r="F13" s="0" t="n">
        <v>2504</v>
      </c>
      <c r="G13" s="0" t="n">
        <v>12.2433013886173</v>
      </c>
      <c r="I13" s="0" t="n">
        <v>1459</v>
      </c>
      <c r="J13" s="0" t="n">
        <v>7.13377664776061</v>
      </c>
      <c r="K13" s="0" t="n">
        <v>3.89</v>
      </c>
      <c r="L13" s="0" t="n">
        <v>2227</v>
      </c>
      <c r="M13" s="0" t="n">
        <v>240</v>
      </c>
      <c r="N13" s="0" t="n">
        <v>1987</v>
      </c>
      <c r="O13" s="0" t="n">
        <v>3582</v>
      </c>
      <c r="P13" s="0" t="n">
        <v>23846</v>
      </c>
      <c r="R13" s="0" t="n">
        <v>8238</v>
      </c>
      <c r="S13" s="0" t="n">
        <v>383</v>
      </c>
      <c r="T13" s="0" t="n">
        <v>379.9</v>
      </c>
      <c r="U13" s="0" t="n">
        <v>181</v>
      </c>
      <c r="V13" s="0" t="n">
        <v>1.29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20758</v>
      </c>
      <c r="F14" s="0" t="n">
        <v>2366</v>
      </c>
      <c r="G14" s="0" t="n">
        <v>11.3980152230465</v>
      </c>
      <c r="I14" s="0" t="n">
        <v>1907</v>
      </c>
      <c r="J14" s="0" t="n">
        <v>9.18681953945467</v>
      </c>
      <c r="K14" s="0" t="n">
        <v>5.45</v>
      </c>
      <c r="L14" s="0" t="n">
        <v>2357</v>
      </c>
      <c r="M14" s="0" t="n">
        <v>556</v>
      </c>
      <c r="N14" s="0" t="n">
        <v>1801</v>
      </c>
      <c r="O14" s="0" t="n">
        <v>2225</v>
      </c>
      <c r="P14" s="0" t="n">
        <v>23696</v>
      </c>
      <c r="R14" s="0" t="n">
        <v>9347</v>
      </c>
      <c r="S14" s="0" t="n">
        <v>316</v>
      </c>
      <c r="T14" s="0" t="n">
        <v>354.2</v>
      </c>
      <c r="U14" s="0" t="n">
        <v>184</v>
      </c>
      <c r="V14" s="0" t="n">
        <v>1.56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20972</v>
      </c>
      <c r="F15" s="0" t="n">
        <v>1800</v>
      </c>
      <c r="G15" s="0" t="n">
        <v>8.58287240129697</v>
      </c>
      <c r="I15" s="0" t="n">
        <v>1273</v>
      </c>
      <c r="J15" s="0" t="n">
        <v>6.06999809269502</v>
      </c>
      <c r="K15" s="0" t="n">
        <v>3.83</v>
      </c>
      <c r="L15" s="0" t="n">
        <v>1685</v>
      </c>
      <c r="M15" s="0" t="n">
        <v>653</v>
      </c>
      <c r="N15" s="0" t="n">
        <v>1032</v>
      </c>
      <c r="O15" s="0" t="n">
        <v>703</v>
      </c>
      <c r="P15" s="0" t="n">
        <v>25051</v>
      </c>
      <c r="R15" s="0" t="n">
        <v>10940</v>
      </c>
      <c r="S15" s="0" t="n">
        <v>225</v>
      </c>
      <c r="T15" s="0" t="n">
        <v>335.5</v>
      </c>
      <c r="U15" s="0" t="n">
        <v>187</v>
      </c>
      <c r="V15" s="0" t="n">
        <v>1.85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10571</v>
      </c>
      <c r="F16" s="0" t="n">
        <v>84</v>
      </c>
      <c r="G16" s="0" t="n">
        <v>0.794626809194967</v>
      </c>
      <c r="I16" s="0" t="n">
        <v>-267</v>
      </c>
      <c r="J16" s="0" t="n">
        <v>-2.525778072084</v>
      </c>
      <c r="K16" s="0" t="n">
        <v>-0.82</v>
      </c>
      <c r="L16" s="0" t="n">
        <v>1639</v>
      </c>
      <c r="M16" s="0" t="n">
        <v>135</v>
      </c>
      <c r="N16" s="0" t="n">
        <v>1504</v>
      </c>
      <c r="O16" s="0" t="n">
        <v>430</v>
      </c>
      <c r="P16" s="0" t="n">
        <v>24701</v>
      </c>
      <c r="R16" s="0" t="n">
        <v>10376</v>
      </c>
      <c r="S16" s="0" t="n">
        <v>877</v>
      </c>
      <c r="T16" s="0" t="n">
        <v>325.8</v>
      </c>
      <c r="U16" s="0" t="n">
        <v>201</v>
      </c>
      <c r="V16" s="0" t="n">
        <v>0.48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13857</v>
      </c>
      <c r="F17" s="0" t="n">
        <v>1750</v>
      </c>
      <c r="G17" s="0" t="n">
        <v>12.6289961752183</v>
      </c>
      <c r="I17" s="0" t="n">
        <v>1099</v>
      </c>
      <c r="J17" s="0" t="n">
        <v>7.93100959803709</v>
      </c>
      <c r="K17" s="0" t="n">
        <v>3.36</v>
      </c>
      <c r="L17" s="0" t="n">
        <v>1177</v>
      </c>
      <c r="M17" s="0" t="n">
        <v>183</v>
      </c>
      <c r="N17" s="0" t="n">
        <v>994</v>
      </c>
      <c r="O17" s="0" t="n">
        <v>1414</v>
      </c>
      <c r="P17" s="0" t="n">
        <v>25553</v>
      </c>
      <c r="R17" s="0" t="n">
        <v>10138</v>
      </c>
      <c r="S17" s="0" t="n">
        <v>1393</v>
      </c>
      <c r="T17" s="0" t="n">
        <v>329.3</v>
      </c>
      <c r="U17" s="0" t="n">
        <v>182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20773</v>
      </c>
      <c r="F18" s="0" t="n">
        <v>3462</v>
      </c>
      <c r="G18" s="0" t="n">
        <v>16.6658643431377</v>
      </c>
      <c r="I18" s="0" t="n">
        <v>2358</v>
      </c>
      <c r="J18" s="0" t="n">
        <v>11.3512732874404</v>
      </c>
      <c r="K18" s="0" t="n">
        <v>7.27</v>
      </c>
      <c r="L18" s="0" t="n">
        <v>2363</v>
      </c>
      <c r="M18" s="0" t="n">
        <v>332</v>
      </c>
      <c r="N18" s="0" t="n">
        <v>2031</v>
      </c>
      <c r="O18" s="0" t="n">
        <v>568</v>
      </c>
      <c r="P18" s="0" t="n">
        <v>24815</v>
      </c>
      <c r="R18" s="0" t="n">
        <v>10064</v>
      </c>
      <c r="S18" s="0" t="n">
        <v>507</v>
      </c>
      <c r="T18" s="0" t="n">
        <v>325.8</v>
      </c>
      <c r="U18" s="0" t="n">
        <v>192</v>
      </c>
      <c r="V18" s="0" t="n">
        <v>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23713</v>
      </c>
      <c r="F19" s="0" t="n">
        <v>3864</v>
      </c>
      <c r="G19" s="0" t="n">
        <v>16.2948593598448</v>
      </c>
      <c r="I19" s="0" t="n">
        <v>3083</v>
      </c>
      <c r="J19" s="0" t="n">
        <v>13.0013072997934</v>
      </c>
      <c r="K19" s="0" t="n">
        <v>10.23</v>
      </c>
      <c r="L19" s="0" t="n">
        <v>3170</v>
      </c>
      <c r="M19" s="0" t="n">
        <v>452</v>
      </c>
      <c r="N19" s="0" t="n">
        <v>2718</v>
      </c>
      <c r="O19" s="0" t="n">
        <v>-682</v>
      </c>
      <c r="P19" s="0" t="n">
        <v>25674</v>
      </c>
      <c r="R19" s="0" t="n">
        <v>11873</v>
      </c>
      <c r="S19" s="0" t="n">
        <v>338</v>
      </c>
      <c r="T19" s="0" t="n">
        <v>302.9</v>
      </c>
      <c r="U19" s="0" t="n">
        <v>205</v>
      </c>
      <c r="V19" s="0" t="n">
        <v>1.96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25100</v>
      </c>
      <c r="F20" s="0" t="n">
        <v>3767</v>
      </c>
      <c r="G20" s="0" t="n">
        <v>15.00796812749</v>
      </c>
      <c r="I20" s="0" t="n">
        <v>2375</v>
      </c>
      <c r="J20" s="0" t="n">
        <v>9.46215139442231</v>
      </c>
      <c r="K20" s="0" t="n">
        <v>8.36</v>
      </c>
      <c r="L20" s="0" t="n">
        <v>2749</v>
      </c>
      <c r="M20" s="0" t="n">
        <v>750</v>
      </c>
      <c r="N20" s="0" t="n">
        <v>1999</v>
      </c>
      <c r="O20" s="0" t="n">
        <v>-2992</v>
      </c>
      <c r="P20" s="0" t="n">
        <v>26182</v>
      </c>
      <c r="R20" s="0" t="n">
        <v>14447</v>
      </c>
      <c r="S20" s="0" t="n">
        <v>396</v>
      </c>
      <c r="T20" s="0" t="n">
        <v>285.2</v>
      </c>
      <c r="U20" s="0" t="n">
        <v>237</v>
      </c>
      <c r="V20" s="0" t="n">
        <v>2.41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26186</v>
      </c>
      <c r="F21" s="0" t="n">
        <v>4141</v>
      </c>
      <c r="G21" s="0" t="n">
        <v>15.8137936301841</v>
      </c>
      <c r="I21" s="0" t="n">
        <v>2601</v>
      </c>
      <c r="J21" s="0" t="n">
        <v>9.93278851294585</v>
      </c>
      <c r="K21" s="0" t="n">
        <v>9.53</v>
      </c>
      <c r="L21" s="0" t="n">
        <v>3212</v>
      </c>
      <c r="M21" s="0" t="n">
        <v>604</v>
      </c>
      <c r="N21" s="0" t="n">
        <v>2608</v>
      </c>
      <c r="O21" s="0" t="n">
        <v>-3771</v>
      </c>
      <c r="P21" s="0" t="n">
        <v>27540</v>
      </c>
      <c r="R21" s="0" t="n">
        <v>16204</v>
      </c>
      <c r="S21" s="0" t="n">
        <v>358</v>
      </c>
      <c r="T21" s="0" t="n">
        <v>273.6</v>
      </c>
      <c r="U21" s="0" t="n">
        <v>236</v>
      </c>
      <c r="V21" s="0" t="n">
        <v>2.64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354.79</v>
      </c>
    </row>
    <row r="3" customFormat="false" ht="15" hidden="false" customHeight="false" outlineLevel="0" collapsed="false">
      <c r="A3" s="0" t="s">
        <v>86</v>
      </c>
      <c r="B3" s="3" t="n">
        <v>262.2</v>
      </c>
    </row>
    <row r="4" customFormat="false" ht="15" hidden="false" customHeight="false" outlineLevel="0" collapsed="false">
      <c r="A4" s="0" t="s">
        <v>87</v>
      </c>
      <c r="B4" s="3" t="n">
        <v>16453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26904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3</v>
      </c>
      <c r="D13" s="3" t="n">
        <v>-5</v>
      </c>
      <c r="E13" s="3" t="n">
        <v>1</v>
      </c>
      <c r="F13" s="3" t="n">
        <v>4</v>
      </c>
      <c r="G13" s="3" t="n">
        <v>4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19</v>
      </c>
      <c r="D14" s="3" t="n">
        <v>16.5</v>
      </c>
      <c r="E14" s="3" t="n">
        <v>17.5</v>
      </c>
      <c r="F14" s="3" t="n">
        <v>18</v>
      </c>
      <c r="G14" s="3" t="n">
        <v>18.3</v>
      </c>
      <c r="H14" s="3" t="n">
        <v>18.5</v>
      </c>
      <c r="I14" s="3" t="n">
        <v>18.5</v>
      </c>
      <c r="J14" s="3" t="n">
        <v>18.5</v>
      </c>
      <c r="K14" s="3" t="n">
        <v>18.5</v>
      </c>
      <c r="L14" s="3" t="n">
        <v>18.5</v>
      </c>
    </row>
    <row r="15" customFormat="false" ht="15" hidden="false" customHeight="false" outlineLevel="0" collapsed="false">
      <c r="A15" s="0" t="s">
        <v>109</v>
      </c>
      <c r="C15" s="3" t="n">
        <v>1.4</v>
      </c>
      <c r="D15" s="3" t="n">
        <v>1.5</v>
      </c>
      <c r="E15" s="3" t="n">
        <v>1.45</v>
      </c>
      <c r="F15" s="3" t="n">
        <v>1.4</v>
      </c>
      <c r="G15" s="3" t="n">
        <v>1.35</v>
      </c>
      <c r="H15" s="3" t="n">
        <v>1.3</v>
      </c>
      <c r="I15" s="3" t="n">
        <v>1.3</v>
      </c>
      <c r="J15" s="3" t="n">
        <v>1.3</v>
      </c>
      <c r="K15" s="3" t="n">
        <v>1.3</v>
      </c>
      <c r="L15" s="3" t="n">
        <v>1.3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1.75</v>
      </c>
      <c r="D17" s="3" t="n">
        <v>1.8</v>
      </c>
      <c r="E17" s="3" t="n">
        <v>1.8</v>
      </c>
      <c r="F17" s="3" t="n">
        <v>1.75</v>
      </c>
      <c r="G17" s="3" t="n">
        <v>1.75</v>
      </c>
      <c r="H17" s="3" t="n">
        <v>1.75</v>
      </c>
      <c r="I17" s="3" t="n">
        <v>1.75</v>
      </c>
      <c r="J17" s="3" t="n">
        <v>1.75</v>
      </c>
      <c r="K17" s="3" t="n">
        <v>1.75</v>
      </c>
      <c r="L17" s="3" t="n">
        <v>1.75</v>
      </c>
    </row>
    <row r="18" customFormat="false" ht="15" hidden="false" customHeight="false" outlineLevel="0" collapsed="false">
      <c r="A18" s="0" t="s">
        <v>112</v>
      </c>
      <c r="C18" s="3" t="n">
        <v>3.4</v>
      </c>
      <c r="D18" s="3" t="n">
        <v>3.4</v>
      </c>
      <c r="E18" s="3" t="n">
        <v>3.4</v>
      </c>
      <c r="F18" s="3" t="n">
        <v>3.4</v>
      </c>
      <c r="G18" s="3" t="n">
        <v>3.4</v>
      </c>
      <c r="H18" s="3" t="n">
        <v>3.4</v>
      </c>
      <c r="I18" s="3" t="n">
        <v>3.4</v>
      </c>
      <c r="J18" s="3" t="n">
        <v>3.4</v>
      </c>
      <c r="K18" s="3" t="n">
        <v>3.4</v>
      </c>
      <c r="L18" s="3" t="n">
        <v>3.4</v>
      </c>
    </row>
    <row r="19" customFormat="false" ht="15" hidden="false" customHeight="false" outlineLevel="0" collapsed="false">
      <c r="A19" s="0" t="s">
        <v>113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114</v>
      </c>
      <c r="B20" s="3" t="n">
        <v>9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20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5</v>
      </c>
      <c r="D27" s="3" t="n">
        <v>4.75</v>
      </c>
      <c r="E27" s="3" t="n">
        <v>4.5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19.5</v>
      </c>
      <c r="D28" s="3" t="n">
        <v>19.6</v>
      </c>
      <c r="E28" s="3" t="n">
        <v>19.8</v>
      </c>
      <c r="F28" s="3" t="n">
        <v>20</v>
      </c>
      <c r="G28" s="3" t="n">
        <v>20.2</v>
      </c>
      <c r="H28" s="3" t="n">
        <v>20.4</v>
      </c>
      <c r="I28" s="3" t="n">
        <v>20.5</v>
      </c>
      <c r="J28" s="3" t="n">
        <v>20.5</v>
      </c>
      <c r="K28" s="3" t="n">
        <v>20.5</v>
      </c>
      <c r="L28" s="3" t="n">
        <v>20.5</v>
      </c>
    </row>
    <row r="29" customFormat="false" ht="15" hidden="false" customHeight="false" outlineLevel="0" collapsed="false">
      <c r="A29" s="0" t="s">
        <v>109</v>
      </c>
      <c r="C29" s="3" t="n">
        <v>1.4</v>
      </c>
      <c r="D29" s="3" t="n">
        <v>1.4</v>
      </c>
      <c r="E29" s="3" t="n">
        <v>1.4</v>
      </c>
      <c r="F29" s="3" t="n">
        <v>1.35</v>
      </c>
      <c r="G29" s="3" t="n">
        <v>1.35</v>
      </c>
      <c r="H29" s="3" t="n">
        <v>1.3</v>
      </c>
      <c r="I29" s="3" t="n">
        <v>1.3</v>
      </c>
      <c r="J29" s="3" t="n">
        <v>1.3</v>
      </c>
      <c r="K29" s="3" t="n">
        <v>1.3</v>
      </c>
      <c r="L29" s="3" t="n">
        <v>1.3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1.75</v>
      </c>
      <c r="D31" s="3" t="n">
        <v>1.75</v>
      </c>
      <c r="E31" s="3" t="n">
        <v>1.75</v>
      </c>
      <c r="F31" s="3" t="n">
        <v>1.75</v>
      </c>
      <c r="G31" s="3" t="n">
        <v>1.75</v>
      </c>
      <c r="H31" s="3" t="n">
        <v>1.75</v>
      </c>
      <c r="I31" s="3" t="n">
        <v>1.75</v>
      </c>
      <c r="J31" s="3" t="n">
        <v>1.75</v>
      </c>
      <c r="K31" s="3" t="n">
        <v>1.75</v>
      </c>
      <c r="L31" s="3" t="n">
        <v>1.75</v>
      </c>
    </row>
    <row r="32" customFormat="false" ht="15" hidden="false" customHeight="false" outlineLevel="0" collapsed="false">
      <c r="A32" s="0" t="s">
        <v>112</v>
      </c>
      <c r="C32" s="3" t="n">
        <v>3.4</v>
      </c>
      <c r="D32" s="3" t="n">
        <v>3.3</v>
      </c>
      <c r="E32" s="3" t="n">
        <v>3.3</v>
      </c>
      <c r="F32" s="3" t="n">
        <v>3.2</v>
      </c>
      <c r="G32" s="3" t="n">
        <v>3.2</v>
      </c>
      <c r="H32" s="3" t="n">
        <v>3.2</v>
      </c>
      <c r="I32" s="3" t="n">
        <v>3.2</v>
      </c>
      <c r="J32" s="3" t="n">
        <v>3.2</v>
      </c>
      <c r="K32" s="3" t="n">
        <v>3.2</v>
      </c>
      <c r="L32" s="3" t="n">
        <v>3.2</v>
      </c>
    </row>
    <row r="33" customFormat="false" ht="15" hidden="false" customHeight="false" outlineLevel="0" collapsed="false">
      <c r="A33" s="0" t="s">
        <v>113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114</v>
      </c>
      <c r="B34" s="3" t="n">
        <v>9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20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6</v>
      </c>
      <c r="D41" s="3" t="n">
        <v>6.5</v>
      </c>
      <c r="E41" s="3" t="n">
        <v>6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108</v>
      </c>
      <c r="C42" s="3" t="n">
        <v>20</v>
      </c>
      <c r="D42" s="3" t="n">
        <v>20.4</v>
      </c>
      <c r="E42" s="3" t="n">
        <v>20.8</v>
      </c>
      <c r="F42" s="3" t="n">
        <v>21.2</v>
      </c>
      <c r="G42" s="3" t="n">
        <v>21.5</v>
      </c>
      <c r="H42" s="3" t="n">
        <v>21.8</v>
      </c>
      <c r="I42" s="3" t="n">
        <v>22</v>
      </c>
      <c r="J42" s="3" t="n">
        <v>22</v>
      </c>
      <c r="K42" s="3" t="n">
        <v>22</v>
      </c>
      <c r="L42" s="3" t="n">
        <v>22</v>
      </c>
    </row>
    <row r="43" customFormat="false" ht="15" hidden="false" customHeight="false" outlineLevel="0" collapsed="false">
      <c r="A43" s="0" t="s">
        <v>109</v>
      </c>
      <c r="C43" s="3" t="n">
        <v>1.4</v>
      </c>
      <c r="D43" s="3" t="n">
        <v>1.4</v>
      </c>
      <c r="E43" s="3" t="n">
        <v>1.4</v>
      </c>
      <c r="F43" s="3" t="n">
        <v>1.35</v>
      </c>
      <c r="G43" s="3" t="n">
        <v>1.35</v>
      </c>
      <c r="H43" s="3" t="n">
        <v>1.3</v>
      </c>
      <c r="I43" s="3" t="n">
        <v>1.3</v>
      </c>
      <c r="J43" s="3" t="n">
        <v>1.3</v>
      </c>
      <c r="K43" s="3" t="n">
        <v>1.3</v>
      </c>
      <c r="L43" s="3" t="n">
        <v>1.3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1.75</v>
      </c>
      <c r="D45" s="3" t="n">
        <v>1.75</v>
      </c>
      <c r="E45" s="3" t="n">
        <v>1.75</v>
      </c>
      <c r="F45" s="3" t="n">
        <v>1.75</v>
      </c>
      <c r="G45" s="3" t="n">
        <v>1.75</v>
      </c>
      <c r="H45" s="3" t="n">
        <v>1.75</v>
      </c>
      <c r="I45" s="3" t="n">
        <v>1.75</v>
      </c>
      <c r="J45" s="3" t="n">
        <v>1.75</v>
      </c>
      <c r="K45" s="3" t="n">
        <v>1.75</v>
      </c>
      <c r="L45" s="3" t="n">
        <v>1.75</v>
      </c>
    </row>
    <row r="46" customFormat="false" ht="15" hidden="false" customHeight="false" outlineLevel="0" collapsed="false">
      <c r="A46" s="0" t="s">
        <v>112</v>
      </c>
      <c r="C46" s="3" t="n">
        <v>3.3</v>
      </c>
      <c r="D46" s="3" t="n">
        <v>3.2</v>
      </c>
      <c r="E46" s="3" t="n">
        <v>3.1</v>
      </c>
      <c r="F46" s="3" t="n">
        <v>3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113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114</v>
      </c>
      <c r="B48" s="3" t="n">
        <v>9</v>
      </c>
    </row>
    <row r="49" customFormat="false" ht="15" hidden="false" customHeight="false" outlineLevel="0" collapsed="false">
      <c r="A49" s="0" t="s">
        <v>115</v>
      </c>
      <c r="B49" s="3" t="n">
        <v>3.5</v>
      </c>
    </row>
    <row r="50" customFormat="false" ht="15" hidden="false" customHeight="false" outlineLevel="0" collapsed="false">
      <c r="A50" s="0" t="s">
        <v>116</v>
      </c>
      <c r="B50" s="3" t="n">
        <v>20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3</v>
      </c>
      <c r="D5" s="4" t="n">
        <f aca="false">Assumptions!D13</f>
        <v>-5</v>
      </c>
      <c r="E5" s="4" t="n">
        <f aca="false">Assumptions!E13</f>
        <v>1</v>
      </c>
      <c r="F5" s="4" t="n">
        <f aca="false">Assumptions!F13</f>
        <v>4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26904</v>
      </c>
      <c r="C6" s="0" t="n">
        <f aca="false">B6*(1+C5/100)</f>
        <v>27711.12</v>
      </c>
      <c r="D6" s="0" t="n">
        <f aca="false">C6*(1+D5/100)</f>
        <v>26325.564</v>
      </c>
      <c r="E6" s="0" t="n">
        <f aca="false">D6*(1+E5/100)</f>
        <v>26588.81964</v>
      </c>
      <c r="F6" s="0" t="n">
        <f aca="false">E6*(1+F5/100)</f>
        <v>27652.3724256</v>
      </c>
      <c r="G6" s="0" t="n">
        <f aca="false">F6*(1+G5/100)</f>
        <v>28758.467322624</v>
      </c>
      <c r="H6" s="0" t="n">
        <f aca="false">G6*(1+H5/100)</f>
        <v>29765.0136789158</v>
      </c>
      <c r="I6" s="0" t="n">
        <f aca="false">H6*(1+I5/100)</f>
        <v>30657.9640892833</v>
      </c>
      <c r="J6" s="0" t="n">
        <f aca="false">I6*(1+J5/100)</f>
        <v>31577.7030119618</v>
      </c>
      <c r="K6" s="0" t="n">
        <f aca="false">J6*(1+K5/100)</f>
        <v>32367.1455872609</v>
      </c>
      <c r="L6" s="0" t="n">
        <f aca="false">K6*(1+L5/100)</f>
        <v>33176.3242269424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19</v>
      </c>
      <c r="D7" s="4" t="n">
        <f aca="false">Assumptions!D14</f>
        <v>16.5</v>
      </c>
      <c r="E7" s="4" t="n">
        <f aca="false">Assumptions!E14</f>
        <v>17.5</v>
      </c>
      <c r="F7" s="4" t="n">
        <f aca="false">Assumptions!F14</f>
        <v>18</v>
      </c>
      <c r="G7" s="4" t="n">
        <f aca="false">Assumptions!G14</f>
        <v>18.3</v>
      </c>
      <c r="H7" s="4" t="n">
        <f aca="false">Assumptions!H14</f>
        <v>18.5</v>
      </c>
      <c r="I7" s="4" t="n">
        <f aca="false">Assumptions!I14</f>
        <v>18.5</v>
      </c>
      <c r="J7" s="4" t="n">
        <f aca="false">Assumptions!J14</f>
        <v>18.5</v>
      </c>
      <c r="K7" s="4" t="n">
        <f aca="false">Assumptions!K14</f>
        <v>18.5</v>
      </c>
      <c r="L7" s="4" t="n">
        <f aca="false">Assumptions!L14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5265.1128</v>
      </c>
      <c r="D8" s="0" t="n">
        <f aca="false">D6*D7/100</f>
        <v>4343.71806</v>
      </c>
      <c r="E8" s="0" t="n">
        <f aca="false">E6*E7/100</f>
        <v>4653.043437</v>
      </c>
      <c r="F8" s="0" t="n">
        <f aca="false">F6*F7/100</f>
        <v>4977.427036608</v>
      </c>
      <c r="G8" s="0" t="n">
        <f aca="false">G6*G7/100</f>
        <v>5262.79952004019</v>
      </c>
      <c r="H8" s="0" t="n">
        <f aca="false">H6*H7/100</f>
        <v>5506.52753059943</v>
      </c>
      <c r="I8" s="0" t="n">
        <f aca="false">I6*I7/100</f>
        <v>5671.72335651741</v>
      </c>
      <c r="J8" s="0" t="n">
        <f aca="false">J6*J7/100</f>
        <v>5841.87505721294</v>
      </c>
      <c r="K8" s="0" t="n">
        <f aca="false">K6*K7/100</f>
        <v>5987.92193364326</v>
      </c>
      <c r="L8" s="0" t="n">
        <f aca="false">L6*L7/100</f>
        <v>6137.61998198434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1.4</v>
      </c>
      <c r="D9" s="4" t="n">
        <f aca="false">Assumptions!D15</f>
        <v>1.5</v>
      </c>
      <c r="E9" s="4" t="n">
        <f aca="false">Assumptions!E15</f>
        <v>1.45</v>
      </c>
      <c r="F9" s="4" t="n">
        <f aca="false">Assumptions!F15</f>
        <v>1.4</v>
      </c>
      <c r="G9" s="4" t="n">
        <f aca="false">Assumptions!G15</f>
        <v>1.35</v>
      </c>
      <c r="H9" s="4" t="n">
        <f aca="false">Assumptions!H15</f>
        <v>1.3</v>
      </c>
      <c r="I9" s="4" t="n">
        <f aca="false">Assumptions!I15</f>
        <v>1.3</v>
      </c>
      <c r="J9" s="4" t="n">
        <f aca="false">Assumptions!J15</f>
        <v>1.3</v>
      </c>
      <c r="K9" s="4" t="n">
        <f aca="false">Assumptions!K15</f>
        <v>1.3</v>
      </c>
      <c r="L9" s="4" t="n">
        <f aca="false">Assumptions!L15</f>
        <v>1.3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-387.95568</v>
      </c>
      <c r="D10" s="0" t="n">
        <f aca="false">-D6*D9/100</f>
        <v>-394.88346</v>
      </c>
      <c r="E10" s="0" t="n">
        <f aca="false">-E6*E9/100</f>
        <v>-385.53788478</v>
      </c>
      <c r="F10" s="0" t="n">
        <f aca="false">-F6*F9/100</f>
        <v>-387.1332139584</v>
      </c>
      <c r="G10" s="0" t="n">
        <f aca="false">-G6*G9/100</f>
        <v>-388.239308855424</v>
      </c>
      <c r="H10" s="0" t="n">
        <f aca="false">-H6*H9/100</f>
        <v>-386.945177825906</v>
      </c>
      <c r="I10" s="0" t="n">
        <f aca="false">-I6*I9/100</f>
        <v>-398.553533160683</v>
      </c>
      <c r="J10" s="0" t="n">
        <f aca="false">-J6*J9/100</f>
        <v>-410.510139155504</v>
      </c>
      <c r="K10" s="0" t="n">
        <f aca="false">-K6*K9/100</f>
        <v>-420.772892634391</v>
      </c>
      <c r="L10" s="0" t="n">
        <f aca="false">-L6*L9/100</f>
        <v>-431.292214950251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4877.15712</v>
      </c>
      <c r="D11" s="0" t="n">
        <f aca="false">D8+D10+D24</f>
        <v>3948.8346</v>
      </c>
      <c r="E11" s="0" t="n">
        <f aca="false">E8+E10+E24</f>
        <v>4267.50555222</v>
      </c>
      <c r="F11" s="0" t="n">
        <f aca="false">F8+F10+F24</f>
        <v>4590.2938226496</v>
      </c>
      <c r="G11" s="0" t="n">
        <f aca="false">G8+G10+G24</f>
        <v>4874.56021118477</v>
      </c>
      <c r="H11" s="0" t="n">
        <f aca="false">H8+H10+H24</f>
        <v>5119.58235277352</v>
      </c>
      <c r="I11" s="0" t="n">
        <f aca="false">I8+I10+I24</f>
        <v>5273.16982335673</v>
      </c>
      <c r="J11" s="0" t="n">
        <f aca="false">J8+J10+J24</f>
        <v>5431.36491805743</v>
      </c>
      <c r="K11" s="0" t="n">
        <f aca="false">K8+K10+K24</f>
        <v>5567.14904100887</v>
      </c>
      <c r="L11" s="0" t="n">
        <f aca="false">L8+L10+L24</f>
        <v>5706.32776703409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-484.9446</v>
      </c>
      <c r="D12" s="4" t="n">
        <f aca="false">-D6*Assumptions!D17/100</f>
        <v>-473.860152</v>
      </c>
      <c r="E12" s="4" t="n">
        <f aca="false">-E6*Assumptions!E17/100</f>
        <v>-478.59875352</v>
      </c>
      <c r="F12" s="4" t="n">
        <f aca="false">-F6*Assumptions!F17/100</f>
        <v>-483.916517448</v>
      </c>
      <c r="G12" s="4" t="n">
        <f aca="false">-G6*Assumptions!G17/100</f>
        <v>-503.27317814592</v>
      </c>
      <c r="H12" s="4" t="n">
        <f aca="false">-H6*Assumptions!H17/100</f>
        <v>-520.887739381027</v>
      </c>
      <c r="I12" s="4" t="n">
        <f aca="false">-I6*Assumptions!I17/100</f>
        <v>-536.514371562458</v>
      </c>
      <c r="J12" s="4" t="n">
        <f aca="false">-J6*Assumptions!J17/100</f>
        <v>-552.609802709332</v>
      </c>
      <c r="K12" s="4" t="n">
        <f aca="false">-K6*Assumptions!K17/100</f>
        <v>-566.425047777065</v>
      </c>
      <c r="L12" s="4" t="n">
        <f aca="false">-L6*Assumptions!L17/100</f>
        <v>-580.585673971492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4392.21252</v>
      </c>
      <c r="D13" s="0" t="n">
        <f aca="false">D11+D12</f>
        <v>3474.974448</v>
      </c>
      <c r="E13" s="0" t="n">
        <f aca="false">E11+E12</f>
        <v>3788.9067987</v>
      </c>
      <c r="F13" s="0" t="n">
        <f aca="false">F11+F12</f>
        <v>4106.3773052016</v>
      </c>
      <c r="G13" s="0" t="n">
        <f aca="false">G11+G12</f>
        <v>4371.28703303885</v>
      </c>
      <c r="H13" s="0" t="n">
        <f aca="false">H11+H12</f>
        <v>4598.6946133925</v>
      </c>
      <c r="I13" s="0" t="n">
        <f aca="false">I11+I12</f>
        <v>4736.65545179427</v>
      </c>
      <c r="J13" s="0" t="n">
        <f aca="false">J11+J12</f>
        <v>4878.7551153481</v>
      </c>
      <c r="K13" s="0" t="n">
        <f aca="false">K11+K12</f>
        <v>5000.7239932318</v>
      </c>
      <c r="L13" s="0" t="n">
        <f aca="false">L11+L12</f>
        <v>5125.7420930626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3294.15939</v>
      </c>
      <c r="D15" s="0" t="n">
        <f aca="false">D13-MAX(0,D13)*D14/100</f>
        <v>2606.230836</v>
      </c>
      <c r="E15" s="0" t="n">
        <f aca="false">E13-MAX(0,E13)*E14/100</f>
        <v>2841.680099025</v>
      </c>
      <c r="F15" s="0" t="n">
        <f aca="false">F13-MAX(0,F13)*F14/100</f>
        <v>3079.7829789012</v>
      </c>
      <c r="G15" s="0" t="n">
        <f aca="false">G13-MAX(0,G13)*G14/100</f>
        <v>3278.46527477914</v>
      </c>
      <c r="H15" s="0" t="n">
        <f aca="false">H13-MAX(0,H13)*H14/100</f>
        <v>3449.02096004437</v>
      </c>
      <c r="I15" s="0" t="n">
        <f aca="false">I13-MAX(0,I13)*I14/100</f>
        <v>3552.4915888457</v>
      </c>
      <c r="J15" s="0" t="n">
        <f aca="false">J13-MAX(0,J13)*J14/100</f>
        <v>3659.06633651108</v>
      </c>
      <c r="K15" s="0" t="n">
        <f aca="false">K13-MAX(0,K13)*K14/100</f>
        <v>3750.54299492385</v>
      </c>
      <c r="L15" s="0" t="n">
        <f aca="false">L13-MAX(0,L13)*L14/100</f>
        <v>3844.30656979695</v>
      </c>
    </row>
    <row r="16" customFormat="false" ht="15" hidden="false" customHeight="false" outlineLevel="0" collapsed="false">
      <c r="A16" s="0" t="s">
        <v>129</v>
      </c>
      <c r="C16" s="0" t="n">
        <f aca="false">-C12</f>
        <v>484.9446</v>
      </c>
      <c r="D16" s="0" t="n">
        <f aca="false">-D12</f>
        <v>473.860152</v>
      </c>
      <c r="E16" s="0" t="n">
        <f aca="false">-E12</f>
        <v>478.59875352</v>
      </c>
      <c r="F16" s="0" t="n">
        <f aca="false">-F12</f>
        <v>483.916517448</v>
      </c>
      <c r="G16" s="0" t="n">
        <f aca="false">-G12</f>
        <v>503.27317814592</v>
      </c>
      <c r="H16" s="0" t="n">
        <f aca="false">-H12</f>
        <v>520.887739381027</v>
      </c>
      <c r="I16" s="0" t="n">
        <f aca="false">-I12</f>
        <v>536.514371562458</v>
      </c>
      <c r="J16" s="0" t="n">
        <f aca="false">-J12</f>
        <v>552.609802709332</v>
      </c>
      <c r="K16" s="0" t="n">
        <f aca="false">-K12</f>
        <v>566.425047777065</v>
      </c>
      <c r="L16" s="0" t="n">
        <f aca="false">-L12</f>
        <v>580.585673971492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-942.17808</v>
      </c>
      <c r="D17" s="4" t="n">
        <f aca="false">-D6*Assumptions!D18/100</f>
        <v>-895.069176</v>
      </c>
      <c r="E17" s="4" t="n">
        <f aca="false">-E6*Assumptions!E18/100</f>
        <v>-904.01986776</v>
      </c>
      <c r="F17" s="4" t="n">
        <f aca="false">-F6*Assumptions!F18/100</f>
        <v>-940.1806624704</v>
      </c>
      <c r="G17" s="4" t="n">
        <f aca="false">-G6*Assumptions!G18/100</f>
        <v>-977.787888969216</v>
      </c>
      <c r="H17" s="4" t="n">
        <f aca="false">-H6*Assumptions!H18/100</f>
        <v>-1012.01046508314</v>
      </c>
      <c r="I17" s="4" t="n">
        <f aca="false">-I6*Assumptions!I18/100</f>
        <v>-1042.37077903563</v>
      </c>
      <c r="J17" s="4" t="n">
        <f aca="false">-J6*Assumptions!J18/100</f>
        <v>-1073.6419024067</v>
      </c>
      <c r="K17" s="4" t="n">
        <f aca="false">-K6*Assumptions!K18/100</f>
        <v>-1100.48294996687</v>
      </c>
      <c r="L17" s="4" t="n">
        <f aca="false">-L6*Assumptions!L18/100</f>
        <v>-1127.99502371604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2836.92591</v>
      </c>
      <c r="D19" s="0" t="n">
        <f aca="false">D15+D16+D17+D18</f>
        <v>2185.021812</v>
      </c>
      <c r="E19" s="0" t="n">
        <f aca="false">E15+E16+E17+E18</f>
        <v>2416.258984785</v>
      </c>
      <c r="F19" s="0" t="n">
        <f aca="false">F15+F16+F17+F18</f>
        <v>2623.5188338788</v>
      </c>
      <c r="G19" s="0" t="n">
        <f aca="false">G15+G16+G17+G18</f>
        <v>2803.95056395584</v>
      </c>
      <c r="H19" s="0" t="n">
        <f aca="false">H15+H16+H17+H18</f>
        <v>2957.89823434226</v>
      </c>
      <c r="I19" s="0" t="n">
        <f aca="false">I15+I16+I17+I18</f>
        <v>3046.63518137253</v>
      </c>
      <c r="J19" s="0" t="n">
        <f aca="false">J15+J16+J17+J18</f>
        <v>3138.03423681371</v>
      </c>
      <c r="K19" s="0" t="n">
        <f aca="false">K15+K16+K17+K18</f>
        <v>3216.48509273405</v>
      </c>
      <c r="L19" s="0" t="n">
        <f aca="false">L15+L16+L17+L18</f>
        <v>3296.8972200524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2602.68432110092</v>
      </c>
      <c r="D21" s="0" t="n">
        <f aca="false">D19*D20</f>
        <v>1839.08914401145</v>
      </c>
      <c r="E21" s="0" t="n">
        <f aca="false">E19*E20</f>
        <v>1865.79527160009</v>
      </c>
      <c r="F21" s="0" t="n">
        <f aca="false">F19*F20</f>
        <v>1858.56688362411</v>
      </c>
      <c r="G21" s="0" t="n">
        <f aca="false">G19*G20</f>
        <v>1822.37547714385</v>
      </c>
      <c r="H21" s="0" t="n">
        <f aca="false">H19*H20</f>
        <v>1763.69807337201</v>
      </c>
      <c r="I21" s="0" t="n">
        <f aca="false">I19*I20</f>
        <v>1666.6137757552</v>
      </c>
      <c r="J21" s="0" t="n">
        <f aca="false">J19*J20</f>
        <v>1574.87356791547</v>
      </c>
      <c r="K21" s="0" t="n">
        <f aca="false">K19*K20</f>
        <v>1480.95908909482</v>
      </c>
      <c r="L21" s="0" t="n">
        <f aca="false">L19*L20</f>
        <v>1392.64501497449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17867.3006185924</v>
      </c>
    </row>
    <row r="31" customFormat="false" ht="15" hidden="false" customHeight="false" outlineLevel="0" collapsed="false">
      <c r="A31" s="0" t="s">
        <v>138</v>
      </c>
      <c r="B31" s="0" t="n">
        <f aca="false">L19</f>
        <v>3296.8972200524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51989.5330854417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65937.944401048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51989.5330854417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21960.9406207515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39828.2412393439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23375.2412393439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89.1504242537907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-0.748723401860845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2543.26239208969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2872.87776673982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109.806946598678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27034.5572044297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15.2960597374623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5</v>
      </c>
      <c r="D5" s="4" t="n">
        <f aca="false">Assumptions!D27</f>
        <v>4.75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26904</v>
      </c>
      <c r="C6" s="0" t="n">
        <f aca="false">B6*(1+C5/100)</f>
        <v>28249.2</v>
      </c>
      <c r="D6" s="0" t="n">
        <f aca="false">C6*(1+D5/100)</f>
        <v>29591.037</v>
      </c>
      <c r="E6" s="0" t="n">
        <f aca="false">D6*(1+E5/100)</f>
        <v>30922.633665</v>
      </c>
      <c r="F6" s="0" t="n">
        <f aca="false">E6*(1+F5/100)</f>
        <v>32314.152179925</v>
      </c>
      <c r="G6" s="0" t="n">
        <f aca="false">F6*(1+G5/100)</f>
        <v>33606.718267122</v>
      </c>
      <c r="H6" s="0" t="n">
        <f aca="false">G6*(1+H5/100)</f>
        <v>34950.9869978069</v>
      </c>
      <c r="I6" s="0" t="n">
        <f aca="false">H6*(1+I5/100)</f>
        <v>36174.2715427301</v>
      </c>
      <c r="J6" s="0" t="n">
        <f aca="false">I6*(1+J5/100)</f>
        <v>37440.3710467257</v>
      </c>
      <c r="K6" s="0" t="n">
        <f aca="false">J6*(1+K5/100)</f>
        <v>38563.5821781275</v>
      </c>
      <c r="L6" s="0" t="n">
        <f aca="false">K6*(1+L5/100)</f>
        <v>39720.4896434713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19.5</v>
      </c>
      <c r="D7" s="4" t="n">
        <f aca="false">Assumptions!D28</f>
        <v>19.6</v>
      </c>
      <c r="E7" s="4" t="n">
        <f aca="false">Assumptions!E28</f>
        <v>19.8</v>
      </c>
      <c r="F7" s="4" t="n">
        <f aca="false">Assumptions!F28</f>
        <v>20</v>
      </c>
      <c r="G7" s="4" t="n">
        <f aca="false">Assumptions!G28</f>
        <v>20.2</v>
      </c>
      <c r="H7" s="4" t="n">
        <f aca="false">Assumptions!H28</f>
        <v>20.4</v>
      </c>
      <c r="I7" s="4" t="n">
        <f aca="false">Assumptions!I28</f>
        <v>20.5</v>
      </c>
      <c r="J7" s="4" t="n">
        <f aca="false">Assumptions!J28</f>
        <v>20.5</v>
      </c>
      <c r="K7" s="4" t="n">
        <f aca="false">Assumptions!K28</f>
        <v>20.5</v>
      </c>
      <c r="L7" s="4" t="n">
        <f aca="false">Assumptions!L28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5508.594</v>
      </c>
      <c r="D8" s="0" t="n">
        <f aca="false">D6*D7/100</f>
        <v>5799.843252</v>
      </c>
      <c r="E8" s="0" t="n">
        <f aca="false">E6*E7/100</f>
        <v>6122.68146567</v>
      </c>
      <c r="F8" s="0" t="n">
        <f aca="false">F6*F7/100</f>
        <v>6462.830435985</v>
      </c>
      <c r="G8" s="0" t="n">
        <f aca="false">G6*G7/100</f>
        <v>6788.55708995864</v>
      </c>
      <c r="H8" s="0" t="n">
        <f aca="false">H6*H7/100</f>
        <v>7130.0013475526</v>
      </c>
      <c r="I8" s="0" t="n">
        <f aca="false">I6*I7/100</f>
        <v>7415.72566625968</v>
      </c>
      <c r="J8" s="0" t="n">
        <f aca="false">J6*J7/100</f>
        <v>7675.27606457876</v>
      </c>
      <c r="K8" s="0" t="n">
        <f aca="false">K6*K7/100</f>
        <v>7905.53434651613</v>
      </c>
      <c r="L8" s="0" t="n">
        <f aca="false">L6*L7/100</f>
        <v>8142.70037691161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1.4</v>
      </c>
      <c r="D9" s="4" t="n">
        <f aca="false">Assumptions!D29</f>
        <v>1.4</v>
      </c>
      <c r="E9" s="4" t="n">
        <f aca="false">Assumptions!E29</f>
        <v>1.4</v>
      </c>
      <c r="F9" s="4" t="n">
        <f aca="false">Assumptions!F29</f>
        <v>1.35</v>
      </c>
      <c r="G9" s="4" t="n">
        <f aca="false">Assumptions!G29</f>
        <v>1.35</v>
      </c>
      <c r="H9" s="4" t="n">
        <f aca="false">Assumptions!H29</f>
        <v>1.3</v>
      </c>
      <c r="I9" s="4" t="n">
        <f aca="false">Assumptions!I29</f>
        <v>1.3</v>
      </c>
      <c r="J9" s="4" t="n">
        <f aca="false">Assumptions!J29</f>
        <v>1.3</v>
      </c>
      <c r="K9" s="4" t="n">
        <f aca="false">Assumptions!K29</f>
        <v>1.3</v>
      </c>
      <c r="L9" s="4" t="n">
        <f aca="false">Assumptions!L29</f>
        <v>1.3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-395.4888</v>
      </c>
      <c r="D10" s="0" t="n">
        <f aca="false">-D6*D9/100</f>
        <v>-414.274518</v>
      </c>
      <c r="E10" s="0" t="n">
        <f aca="false">-E6*E9/100</f>
        <v>-432.91687131</v>
      </c>
      <c r="F10" s="0" t="n">
        <f aca="false">-F6*F9/100</f>
        <v>-436.241054428988</v>
      </c>
      <c r="G10" s="0" t="n">
        <f aca="false">-G6*G9/100</f>
        <v>-453.690696606147</v>
      </c>
      <c r="H10" s="0" t="n">
        <f aca="false">-H6*H9/100</f>
        <v>-454.36283097149</v>
      </c>
      <c r="I10" s="0" t="n">
        <f aca="false">-I6*I9/100</f>
        <v>-470.265530055492</v>
      </c>
      <c r="J10" s="0" t="n">
        <f aca="false">-J6*J9/100</f>
        <v>-486.724823607434</v>
      </c>
      <c r="K10" s="0" t="n">
        <f aca="false">-K6*K9/100</f>
        <v>-501.326568315657</v>
      </c>
      <c r="L10" s="0" t="n">
        <f aca="false">-L6*L9/100</f>
        <v>-516.366365365127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5113.1052</v>
      </c>
      <c r="D11" s="0" t="n">
        <f aca="false">D8+D10+D24</f>
        <v>5385.568734</v>
      </c>
      <c r="E11" s="0" t="n">
        <f aca="false">E8+E10+E24</f>
        <v>5689.76459436</v>
      </c>
      <c r="F11" s="0" t="n">
        <f aca="false">F8+F10+F24</f>
        <v>6026.58938155601</v>
      </c>
      <c r="G11" s="0" t="n">
        <f aca="false">G8+G10+G24</f>
        <v>6334.8663933525</v>
      </c>
      <c r="H11" s="0" t="n">
        <f aca="false">H8+H10+H24</f>
        <v>6675.63851658111</v>
      </c>
      <c r="I11" s="0" t="n">
        <f aca="false">I8+I10+I24</f>
        <v>6945.46013620418</v>
      </c>
      <c r="J11" s="0" t="n">
        <f aca="false">J8+J10+J24</f>
        <v>7188.55124097133</v>
      </c>
      <c r="K11" s="0" t="n">
        <f aca="false">K8+K10+K24</f>
        <v>7404.20777820047</v>
      </c>
      <c r="L11" s="0" t="n">
        <f aca="false">L8+L10+L24</f>
        <v>7626.33401154648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-494.361</v>
      </c>
      <c r="D12" s="4" t="n">
        <f aca="false">-D6*Assumptions!D31/100</f>
        <v>-517.8431475</v>
      </c>
      <c r="E12" s="4" t="n">
        <f aca="false">-E6*Assumptions!E31/100</f>
        <v>-541.1460891375</v>
      </c>
      <c r="F12" s="4" t="n">
        <f aca="false">-F6*Assumptions!F31/100</f>
        <v>-565.497663148688</v>
      </c>
      <c r="G12" s="4" t="n">
        <f aca="false">-G6*Assumptions!G31/100</f>
        <v>-588.117569674635</v>
      </c>
      <c r="H12" s="4" t="n">
        <f aca="false">-H6*Assumptions!H31/100</f>
        <v>-611.642272461621</v>
      </c>
      <c r="I12" s="4" t="n">
        <f aca="false">-I6*Assumptions!I31/100</f>
        <v>-633.049751997777</v>
      </c>
      <c r="J12" s="4" t="n">
        <f aca="false">-J6*Assumptions!J31/100</f>
        <v>-655.206493317699</v>
      </c>
      <c r="K12" s="4" t="n">
        <f aca="false">-K6*Assumptions!K31/100</f>
        <v>-674.86268811723</v>
      </c>
      <c r="L12" s="4" t="n">
        <f aca="false">-L6*Assumptions!L31/100</f>
        <v>-695.108568760747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4618.7442</v>
      </c>
      <c r="D13" s="0" t="n">
        <f aca="false">D11+D12</f>
        <v>4867.7255865</v>
      </c>
      <c r="E13" s="0" t="n">
        <f aca="false">E11+E12</f>
        <v>5148.6185052225</v>
      </c>
      <c r="F13" s="0" t="n">
        <f aca="false">F11+F12</f>
        <v>5461.09171840732</v>
      </c>
      <c r="G13" s="0" t="n">
        <f aca="false">G11+G12</f>
        <v>5746.74882367786</v>
      </c>
      <c r="H13" s="0" t="n">
        <f aca="false">H11+H12</f>
        <v>6063.99624411949</v>
      </c>
      <c r="I13" s="0" t="n">
        <f aca="false">I11+I12</f>
        <v>6312.41038420641</v>
      </c>
      <c r="J13" s="0" t="n">
        <f aca="false">J11+J12</f>
        <v>6533.34474765363</v>
      </c>
      <c r="K13" s="0" t="n">
        <f aca="false">K11+K12</f>
        <v>6729.34509008324</v>
      </c>
      <c r="L13" s="0" t="n">
        <f aca="false">L11+L12</f>
        <v>6931.22544278574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3464.05815</v>
      </c>
      <c r="D15" s="0" t="n">
        <f aca="false">D13-MAX(0,D13)*D14/100</f>
        <v>3650.794189875</v>
      </c>
      <c r="E15" s="0" t="n">
        <f aca="false">E13-MAX(0,E13)*E14/100</f>
        <v>3861.46387891688</v>
      </c>
      <c r="F15" s="0" t="n">
        <f aca="false">F13-MAX(0,F13)*F14/100</f>
        <v>4095.81878880549</v>
      </c>
      <c r="G15" s="0" t="n">
        <f aca="false">G13-MAX(0,G13)*G14/100</f>
        <v>4310.0616177584</v>
      </c>
      <c r="H15" s="0" t="n">
        <f aca="false">H13-MAX(0,H13)*H14/100</f>
        <v>4547.99718308962</v>
      </c>
      <c r="I15" s="0" t="n">
        <f aca="false">I13-MAX(0,I13)*I14/100</f>
        <v>4734.3077881548</v>
      </c>
      <c r="J15" s="0" t="n">
        <f aca="false">J13-MAX(0,J13)*J14/100</f>
        <v>4900.00856074022</v>
      </c>
      <c r="K15" s="0" t="n">
        <f aca="false">K13-MAX(0,K13)*K14/100</f>
        <v>5047.00881756243</v>
      </c>
      <c r="L15" s="0" t="n">
        <f aca="false">L13-MAX(0,L13)*L14/100</f>
        <v>5198.4190820893</v>
      </c>
    </row>
    <row r="16" customFormat="false" ht="15" hidden="false" customHeight="false" outlineLevel="0" collapsed="false">
      <c r="A16" s="0" t="s">
        <v>129</v>
      </c>
      <c r="C16" s="0" t="n">
        <f aca="false">-C12</f>
        <v>494.361</v>
      </c>
      <c r="D16" s="0" t="n">
        <f aca="false">-D12</f>
        <v>517.8431475</v>
      </c>
      <c r="E16" s="0" t="n">
        <f aca="false">-E12</f>
        <v>541.1460891375</v>
      </c>
      <c r="F16" s="0" t="n">
        <f aca="false">-F12</f>
        <v>565.497663148688</v>
      </c>
      <c r="G16" s="0" t="n">
        <f aca="false">-G12</f>
        <v>588.117569674635</v>
      </c>
      <c r="H16" s="0" t="n">
        <f aca="false">-H12</f>
        <v>611.642272461621</v>
      </c>
      <c r="I16" s="0" t="n">
        <f aca="false">-I12</f>
        <v>633.049751997777</v>
      </c>
      <c r="J16" s="0" t="n">
        <f aca="false">-J12</f>
        <v>655.206493317699</v>
      </c>
      <c r="K16" s="0" t="n">
        <f aca="false">-K12</f>
        <v>674.86268811723</v>
      </c>
      <c r="L16" s="0" t="n">
        <f aca="false">-L12</f>
        <v>695.108568760747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-960.4728</v>
      </c>
      <c r="D17" s="4" t="n">
        <f aca="false">-D6*Assumptions!D32/100</f>
        <v>-976.504221</v>
      </c>
      <c r="E17" s="4" t="n">
        <f aca="false">-E6*Assumptions!E32/100</f>
        <v>-1020.446910945</v>
      </c>
      <c r="F17" s="4" t="n">
        <f aca="false">-F6*Assumptions!F32/100</f>
        <v>-1034.0528697576</v>
      </c>
      <c r="G17" s="4" t="n">
        <f aca="false">-G6*Assumptions!G32/100</f>
        <v>-1075.4149845479</v>
      </c>
      <c r="H17" s="4" t="n">
        <f aca="false">-H6*Assumptions!H32/100</f>
        <v>-1118.43158392982</v>
      </c>
      <c r="I17" s="4" t="n">
        <f aca="false">-I6*Assumptions!I32/100</f>
        <v>-1157.57668936736</v>
      </c>
      <c r="J17" s="4" t="n">
        <f aca="false">-J6*Assumptions!J32/100</f>
        <v>-1198.09187349522</v>
      </c>
      <c r="K17" s="4" t="n">
        <f aca="false">-K6*Assumptions!K32/100</f>
        <v>-1234.03462970008</v>
      </c>
      <c r="L17" s="4" t="n">
        <f aca="false">-L6*Assumptions!L32/100</f>
        <v>-1271.05566859108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2997.94635</v>
      </c>
      <c r="D19" s="0" t="n">
        <f aca="false">D15+D16+D17+D18</f>
        <v>3192.133116375</v>
      </c>
      <c r="E19" s="0" t="n">
        <f aca="false">E15+E16+E17+E18</f>
        <v>3382.16305710938</v>
      </c>
      <c r="F19" s="0" t="n">
        <f aca="false">F15+F16+F17+F18</f>
        <v>3627.26358219658</v>
      </c>
      <c r="G19" s="0" t="n">
        <f aca="false">G15+G16+G17+G18</f>
        <v>3822.76420288513</v>
      </c>
      <c r="H19" s="0" t="n">
        <f aca="false">H15+H16+H17+H18</f>
        <v>4041.20787162142</v>
      </c>
      <c r="I19" s="0" t="n">
        <f aca="false">I15+I16+I17+I18</f>
        <v>4209.78085078522</v>
      </c>
      <c r="J19" s="0" t="n">
        <f aca="false">J15+J16+J17+J18</f>
        <v>4357.1231805627</v>
      </c>
      <c r="K19" s="0" t="n">
        <f aca="false">K15+K16+K17+K18</f>
        <v>4487.83687597958</v>
      </c>
      <c r="L19" s="0" t="n">
        <f aca="false">L15+L16+L17+L18</f>
        <v>4622.47198225897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2750.40949541284</v>
      </c>
      <c r="D21" s="0" t="n">
        <f aca="false">D19*D20</f>
        <v>2686.75457989647</v>
      </c>
      <c r="E21" s="0" t="n">
        <f aca="false">E19*E20</f>
        <v>2611.65043957269</v>
      </c>
      <c r="F21" s="0" t="n">
        <f aca="false">F19*F20</f>
        <v>2569.64496880671</v>
      </c>
      <c r="G21" s="0" t="n">
        <f aca="false">G19*G20</f>
        <v>2484.53443787282</v>
      </c>
      <c r="H21" s="0" t="n">
        <f aca="false">H19*H20</f>
        <v>2409.64021497495</v>
      </c>
      <c r="I21" s="0" t="n">
        <f aca="false">I19*I20</f>
        <v>2302.89428866515</v>
      </c>
      <c r="J21" s="0" t="n">
        <f aca="false">J19*J20</f>
        <v>2186.69320070498</v>
      </c>
      <c r="K21" s="0" t="n">
        <f aca="false">K19*K20</f>
        <v>2066.32476763865</v>
      </c>
      <c r="L21" s="0" t="n">
        <f aca="false">L19*L20</f>
        <v>1952.58211987873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24021.128513424</v>
      </c>
    </row>
    <row r="31" customFormat="false" ht="15" hidden="false" customHeight="false" outlineLevel="0" collapsed="false">
      <c r="A31" s="0" t="s">
        <v>138</v>
      </c>
      <c r="B31" s="0" t="n">
        <f aca="false">L19</f>
        <v>4622.47198225897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79352.4356954456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92449.4396451794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79352.4356954456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33519.3263912515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57540.4549046754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41087.4549046754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156.702726562454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-0.5583225948802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2871.11082363342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3744.37158398513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181.933399360389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39676.2178477228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44.7967538821675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6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26904</v>
      </c>
      <c r="C6" s="0" t="n">
        <f aca="false">B6*(1+C5/100)</f>
        <v>28518.24</v>
      </c>
      <c r="D6" s="0" t="n">
        <f aca="false">C6*(1+D5/100)</f>
        <v>30371.9256</v>
      </c>
      <c r="E6" s="0" t="n">
        <f aca="false">D6*(1+E5/100)</f>
        <v>32194.241136</v>
      </c>
      <c r="F6" s="0" t="n">
        <f aca="false">E6*(1+F5/100)</f>
        <v>34125.89560416</v>
      </c>
      <c r="G6" s="0" t="n">
        <f aca="false">F6*(1+G5/100)</f>
        <v>36002.8198623888</v>
      </c>
      <c r="H6" s="0" t="n">
        <f aca="false">G6*(1+H5/100)</f>
        <v>37802.9608555082</v>
      </c>
      <c r="I6" s="0" t="n">
        <f aca="false">H6*(1+I5/100)</f>
        <v>39504.0940940061</v>
      </c>
      <c r="J6" s="0" t="n">
        <f aca="false">I6*(1+J5/100)</f>
        <v>41084.2578577664</v>
      </c>
      <c r="K6" s="0" t="n">
        <f aca="false">J6*(1+K5/100)</f>
        <v>42522.2068827882</v>
      </c>
      <c r="L6" s="0" t="n">
        <f aca="false">K6*(1+L5/100)</f>
        <v>44010.4841236858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20</v>
      </c>
      <c r="D7" s="4" t="n">
        <f aca="false">Assumptions!D42</f>
        <v>20.4</v>
      </c>
      <c r="E7" s="4" t="n">
        <f aca="false">Assumptions!E42</f>
        <v>20.8</v>
      </c>
      <c r="F7" s="4" t="n">
        <f aca="false">Assumptions!F42</f>
        <v>21.2</v>
      </c>
      <c r="G7" s="4" t="n">
        <f aca="false">Assumptions!G42</f>
        <v>21.5</v>
      </c>
      <c r="H7" s="4" t="n">
        <f aca="false">Assumptions!H42</f>
        <v>21.8</v>
      </c>
      <c r="I7" s="4" t="n">
        <f aca="false">Assumptions!I42</f>
        <v>22</v>
      </c>
      <c r="J7" s="4" t="n">
        <f aca="false">Assumptions!J42</f>
        <v>22</v>
      </c>
      <c r="K7" s="4" t="n">
        <f aca="false">Assumptions!K42</f>
        <v>22</v>
      </c>
      <c r="L7" s="4" t="n">
        <f aca="false">Assumptions!L42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5703.648</v>
      </c>
      <c r="D8" s="0" t="n">
        <f aca="false">D6*D7/100</f>
        <v>6195.8728224</v>
      </c>
      <c r="E8" s="0" t="n">
        <f aca="false">E6*E7/100</f>
        <v>6696.402156288</v>
      </c>
      <c r="F8" s="0" t="n">
        <f aca="false">F6*F7/100</f>
        <v>7234.68986808192</v>
      </c>
      <c r="G8" s="0" t="n">
        <f aca="false">G6*G7/100</f>
        <v>7740.60627041359</v>
      </c>
      <c r="H8" s="0" t="n">
        <f aca="false">H6*H7/100</f>
        <v>8241.0454665008</v>
      </c>
      <c r="I8" s="0" t="n">
        <f aca="false">I6*I7/100</f>
        <v>8690.90070068134</v>
      </c>
      <c r="J8" s="0" t="n">
        <f aca="false">J6*J7/100</f>
        <v>9038.5367287086</v>
      </c>
      <c r="K8" s="0" t="n">
        <f aca="false">K6*K7/100</f>
        <v>9354.8855142134</v>
      </c>
      <c r="L8" s="0" t="n">
        <f aca="false">L6*L7/100</f>
        <v>9682.30650721087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1.4</v>
      </c>
      <c r="D9" s="4" t="n">
        <f aca="false">Assumptions!D43</f>
        <v>1.4</v>
      </c>
      <c r="E9" s="4" t="n">
        <f aca="false">Assumptions!E43</f>
        <v>1.4</v>
      </c>
      <c r="F9" s="4" t="n">
        <f aca="false">Assumptions!F43</f>
        <v>1.35</v>
      </c>
      <c r="G9" s="4" t="n">
        <f aca="false">Assumptions!G43</f>
        <v>1.35</v>
      </c>
      <c r="H9" s="4" t="n">
        <f aca="false">Assumptions!H43</f>
        <v>1.3</v>
      </c>
      <c r="I9" s="4" t="n">
        <f aca="false">Assumptions!I43</f>
        <v>1.3</v>
      </c>
      <c r="J9" s="4" t="n">
        <f aca="false">Assumptions!J43</f>
        <v>1.3</v>
      </c>
      <c r="K9" s="4" t="n">
        <f aca="false">Assumptions!K43</f>
        <v>1.3</v>
      </c>
      <c r="L9" s="4" t="n">
        <f aca="false">Assumptions!L43</f>
        <v>1.3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-399.25536</v>
      </c>
      <c r="D10" s="0" t="n">
        <f aca="false">-D6*D9/100</f>
        <v>-425.2069584</v>
      </c>
      <c r="E10" s="0" t="n">
        <f aca="false">-E6*E9/100</f>
        <v>-450.719375904</v>
      </c>
      <c r="F10" s="0" t="n">
        <f aca="false">-F6*F9/100</f>
        <v>-460.69959065616</v>
      </c>
      <c r="G10" s="0" t="n">
        <f aca="false">-G6*G9/100</f>
        <v>-486.038068142249</v>
      </c>
      <c r="H10" s="0" t="n">
        <f aca="false">-H6*H9/100</f>
        <v>-491.438491121607</v>
      </c>
      <c r="I10" s="0" t="n">
        <f aca="false">-I6*I9/100</f>
        <v>-513.55322322208</v>
      </c>
      <c r="J10" s="0" t="n">
        <f aca="false">-J6*J9/100</f>
        <v>-534.095352150963</v>
      </c>
      <c r="K10" s="0" t="n">
        <f aca="false">-K6*K9/100</f>
        <v>-552.788689476246</v>
      </c>
      <c r="L10" s="0" t="n">
        <f aca="false">-L6*L9/100</f>
        <v>-572.136293607915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5304.39264</v>
      </c>
      <c r="D11" s="0" t="n">
        <f aca="false">D8+D10+D24</f>
        <v>5770.665864</v>
      </c>
      <c r="E11" s="0" t="n">
        <f aca="false">E8+E10+E24</f>
        <v>6245.682780384</v>
      </c>
      <c r="F11" s="0" t="n">
        <f aca="false">F8+F10+F24</f>
        <v>6773.99027742576</v>
      </c>
      <c r="G11" s="0" t="n">
        <f aca="false">G8+G10+G24</f>
        <v>7254.56820227134</v>
      </c>
      <c r="H11" s="0" t="n">
        <f aca="false">H8+H10+H24</f>
        <v>7749.60697537919</v>
      </c>
      <c r="I11" s="0" t="n">
        <f aca="false">I8+I10+I24</f>
        <v>8177.34747745927</v>
      </c>
      <c r="J11" s="0" t="n">
        <f aca="false">J8+J10+J24</f>
        <v>8504.44137655764</v>
      </c>
      <c r="K11" s="0" t="n">
        <f aca="false">K8+K10+K24</f>
        <v>8802.09682473715</v>
      </c>
      <c r="L11" s="0" t="n">
        <f aca="false">L8+L10+L24</f>
        <v>9110.17021360295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-499.0692</v>
      </c>
      <c r="D12" s="4" t="n">
        <f aca="false">-D6*Assumptions!D45/100</f>
        <v>-531.508698</v>
      </c>
      <c r="E12" s="4" t="n">
        <f aca="false">-E6*Assumptions!E45/100</f>
        <v>-563.39921988</v>
      </c>
      <c r="F12" s="4" t="n">
        <f aca="false">-F6*Assumptions!F45/100</f>
        <v>-597.2031730728</v>
      </c>
      <c r="G12" s="4" t="n">
        <f aca="false">-G6*Assumptions!G45/100</f>
        <v>-630.049347591804</v>
      </c>
      <c r="H12" s="4" t="n">
        <f aca="false">-H6*Assumptions!H45/100</f>
        <v>-661.551814971394</v>
      </c>
      <c r="I12" s="4" t="n">
        <f aca="false">-I6*Assumptions!I45/100</f>
        <v>-691.321646645107</v>
      </c>
      <c r="J12" s="4" t="n">
        <f aca="false">-J6*Assumptions!J45/100</f>
        <v>-718.974512510911</v>
      </c>
      <c r="K12" s="4" t="n">
        <f aca="false">-K6*Assumptions!K45/100</f>
        <v>-744.138620448793</v>
      </c>
      <c r="L12" s="4" t="n">
        <f aca="false">-L6*Assumptions!L45/100</f>
        <v>-770.183472164501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4805.32344</v>
      </c>
      <c r="D13" s="0" t="n">
        <f aca="false">D11+D12</f>
        <v>5239.157166</v>
      </c>
      <c r="E13" s="0" t="n">
        <f aca="false">E11+E12</f>
        <v>5682.283560504</v>
      </c>
      <c r="F13" s="0" t="n">
        <f aca="false">F11+F12</f>
        <v>6176.78710435296</v>
      </c>
      <c r="G13" s="0" t="n">
        <f aca="false">G11+G12</f>
        <v>6624.51885467954</v>
      </c>
      <c r="H13" s="0" t="n">
        <f aca="false">H11+H12</f>
        <v>7088.0551604078</v>
      </c>
      <c r="I13" s="0" t="n">
        <f aca="false">I11+I12</f>
        <v>7486.02583081416</v>
      </c>
      <c r="J13" s="0" t="n">
        <f aca="false">J11+J12</f>
        <v>7785.46686404672</v>
      </c>
      <c r="K13" s="0" t="n">
        <f aca="false">K11+K12</f>
        <v>8057.95820428836</v>
      </c>
      <c r="L13" s="0" t="n">
        <f aca="false">L11+L12</f>
        <v>8339.98674143845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3603.99258</v>
      </c>
      <c r="D15" s="0" t="n">
        <f aca="false">D13-MAX(0,D13)*D14/100</f>
        <v>3929.3678745</v>
      </c>
      <c r="E15" s="0" t="n">
        <f aca="false">E13-MAX(0,E13)*E14/100</f>
        <v>4261.712670378</v>
      </c>
      <c r="F15" s="0" t="n">
        <f aca="false">F13-MAX(0,F13)*F14/100</f>
        <v>4632.59032826472</v>
      </c>
      <c r="G15" s="0" t="n">
        <f aca="false">G13-MAX(0,G13)*G14/100</f>
        <v>4968.38914100965</v>
      </c>
      <c r="H15" s="0" t="n">
        <f aca="false">H13-MAX(0,H13)*H14/100</f>
        <v>5316.04137030585</v>
      </c>
      <c r="I15" s="0" t="n">
        <f aca="false">I13-MAX(0,I13)*I14/100</f>
        <v>5614.51937311062</v>
      </c>
      <c r="J15" s="0" t="n">
        <f aca="false">J13-MAX(0,J13)*J14/100</f>
        <v>5839.10014803504</v>
      </c>
      <c r="K15" s="0" t="n">
        <f aca="false">K13-MAX(0,K13)*K14/100</f>
        <v>6043.46865321627</v>
      </c>
      <c r="L15" s="0" t="n">
        <f aca="false">L13-MAX(0,L13)*L14/100</f>
        <v>6254.99005607884</v>
      </c>
    </row>
    <row r="16" customFormat="false" ht="15" hidden="false" customHeight="false" outlineLevel="0" collapsed="false">
      <c r="A16" s="0" t="s">
        <v>129</v>
      </c>
      <c r="C16" s="0" t="n">
        <f aca="false">-C12</f>
        <v>499.0692</v>
      </c>
      <c r="D16" s="0" t="n">
        <f aca="false">-D12</f>
        <v>531.508698</v>
      </c>
      <c r="E16" s="0" t="n">
        <f aca="false">-E12</f>
        <v>563.39921988</v>
      </c>
      <c r="F16" s="0" t="n">
        <f aca="false">-F12</f>
        <v>597.2031730728</v>
      </c>
      <c r="G16" s="0" t="n">
        <f aca="false">-G12</f>
        <v>630.049347591804</v>
      </c>
      <c r="H16" s="0" t="n">
        <f aca="false">-H12</f>
        <v>661.551814971394</v>
      </c>
      <c r="I16" s="0" t="n">
        <f aca="false">-I12</f>
        <v>691.321646645107</v>
      </c>
      <c r="J16" s="0" t="n">
        <f aca="false">-J12</f>
        <v>718.974512510911</v>
      </c>
      <c r="K16" s="0" t="n">
        <f aca="false">-K12</f>
        <v>744.138620448793</v>
      </c>
      <c r="L16" s="0" t="n">
        <f aca="false">-L12</f>
        <v>770.183472164501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-941.10192</v>
      </c>
      <c r="D17" s="4" t="n">
        <f aca="false">-D6*Assumptions!D46/100</f>
        <v>-971.9016192</v>
      </c>
      <c r="E17" s="4" t="n">
        <f aca="false">-E6*Assumptions!E46/100</f>
        <v>-998.021475216</v>
      </c>
      <c r="F17" s="4" t="n">
        <f aca="false">-F6*Assumptions!F46/100</f>
        <v>-1023.7768681248</v>
      </c>
      <c r="G17" s="4" t="n">
        <f aca="false">-G6*Assumptions!G46/100</f>
        <v>-1080.08459587166</v>
      </c>
      <c r="H17" s="4" t="n">
        <f aca="false">-H6*Assumptions!H46/100</f>
        <v>-1134.08882566525</v>
      </c>
      <c r="I17" s="4" t="n">
        <f aca="false">-I6*Assumptions!I46/100</f>
        <v>-1185.12282282018</v>
      </c>
      <c r="J17" s="4" t="n">
        <f aca="false">-J6*Assumptions!J46/100</f>
        <v>-1232.52773573299</v>
      </c>
      <c r="K17" s="4" t="n">
        <f aca="false">-K6*Assumptions!K46/100</f>
        <v>-1275.66620648365</v>
      </c>
      <c r="L17" s="4" t="n">
        <f aca="false">-L6*Assumptions!L46/100</f>
        <v>-1320.31452371057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3161.95986</v>
      </c>
      <c r="D19" s="0" t="n">
        <f aca="false">D15+D16+D17+D18</f>
        <v>3488.9749533</v>
      </c>
      <c r="E19" s="0" t="n">
        <f aca="false">E15+E16+E17+E18</f>
        <v>3827.090415042</v>
      </c>
      <c r="F19" s="0" t="n">
        <f aca="false">F15+F16+F17+F18</f>
        <v>4206.01663321272</v>
      </c>
      <c r="G19" s="0" t="n">
        <f aca="false">G15+G16+G17+G18</f>
        <v>4518.35389272979</v>
      </c>
      <c r="H19" s="0" t="n">
        <f aca="false">H15+H16+H17+H18</f>
        <v>4843.504359612</v>
      </c>
      <c r="I19" s="0" t="n">
        <f aca="false">I15+I16+I17+I18</f>
        <v>5120.71819693554</v>
      </c>
      <c r="J19" s="0" t="n">
        <f aca="false">J15+J16+J17+J18</f>
        <v>5325.54692481296</v>
      </c>
      <c r="K19" s="0" t="n">
        <f aca="false">K15+K16+K17+K18</f>
        <v>5511.94106718142</v>
      </c>
      <c r="L19" s="0" t="n">
        <f aca="false">L15+L16+L17+L18</f>
        <v>5704.85900453277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2900.88060550459</v>
      </c>
      <c r="D21" s="0" t="n">
        <f aca="false">D19*D20</f>
        <v>2936.60041520074</v>
      </c>
      <c r="E21" s="0" t="n">
        <f aca="false">E19*E20</f>
        <v>2955.21599519547</v>
      </c>
      <c r="F21" s="0" t="n">
        <f aca="false">F19*F20</f>
        <v>2979.64822112745</v>
      </c>
      <c r="G21" s="0" t="n">
        <f aca="false">G19*G20</f>
        <v>2936.6200092884</v>
      </c>
      <c r="H21" s="0" t="n">
        <f aca="false">H19*H20</f>
        <v>2888.02339723367</v>
      </c>
      <c r="I21" s="0" t="n">
        <f aca="false">I19*I20</f>
        <v>2801.20821191607</v>
      </c>
      <c r="J21" s="0" t="n">
        <f aca="false">J19*J20</f>
        <v>2672.71242237863</v>
      </c>
      <c r="K21" s="0" t="n">
        <f aca="false">K19*K20</f>
        <v>2537.85078638705</v>
      </c>
      <c r="L21" s="0" t="n">
        <f aca="false">L19*L20</f>
        <v>2409.79409533082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28018.5541595629</v>
      </c>
    </row>
    <row r="31" customFormat="false" ht="15" hidden="false" customHeight="false" outlineLevel="0" collapsed="false">
      <c r="A31" s="0" t="s">
        <v>138</v>
      </c>
      <c r="B31" s="0" t="n">
        <f aca="false">L19</f>
        <v>5704.85900453277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107355.073994389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114097.180090655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107355.073994389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45347.9434303164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73366.4975898793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56913.4975898793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217.061394316855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-0.38819754131499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3052.67835209793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4547.91332377329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246.049158145502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51343.7310407949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66.8598413410328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89.1504242537907</v>
      </c>
      <c r="C4" s="0" t="n">
        <f aca="false">B4/Assumptions!$B$2-1</f>
        <v>-0.748723401860845</v>
      </c>
      <c r="D4" s="4" t="n">
        <f aca="false">Assumptions!$B$24</f>
        <v>0.25</v>
      </c>
      <c r="E4" s="4" t="n">
        <f aca="false">DCF_Bear!$B$43</f>
        <v>109.806946598678</v>
      </c>
      <c r="F4" s="4" t="n">
        <f aca="false">DCF_Bear!$B$47</f>
        <v>15.2960597374623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156.702726562454</v>
      </c>
      <c r="C5" s="0" t="n">
        <f aca="false">B5/Assumptions!$B$2-1</f>
        <v>-0.5583225948802</v>
      </c>
      <c r="D5" s="4" t="n">
        <f aca="false">Assumptions!$B$38</f>
        <v>0.5</v>
      </c>
      <c r="E5" s="4" t="n">
        <f aca="false">DCF_Base!$B$43</f>
        <v>181.933399360389</v>
      </c>
      <c r="F5" s="4" t="n">
        <f aca="false">DCF_Base!$B$47</f>
        <v>44.7967538821675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217.061394316855</v>
      </c>
      <c r="C6" s="0" t="n">
        <f aca="false">B6/Assumptions!$B$2-1</f>
        <v>-0.38819754131499</v>
      </c>
      <c r="D6" s="4" t="n">
        <f aca="false">Assumptions!$B$52</f>
        <v>0.25</v>
      </c>
      <c r="E6" s="4" t="n">
        <f aca="false">DCF_Bull!$B$43</f>
        <v>246.049158145502</v>
      </c>
      <c r="F6" s="4" t="n">
        <f aca="false">DCF_Bull!$B$47</f>
        <v>66.8598413410328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154.904317923888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179.930725866239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-1.29038160301203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798.699048367441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42.9373522107075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156.702726562454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124.658570892403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100.652239543921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82.0031055830707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44.7967538821675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217.49992564476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217.49992564476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217.49992564476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217.49992564476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217.49992564476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172.212775129924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185.575156580119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196.710474455282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196.710474455282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196.710474455282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137.376199096436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146.296134849983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156.702726562454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169.001425859011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177.802329942786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111.307398405006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117.537945565791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124.658570892403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132.874677038494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142.460134208933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91.0802482567839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95.5847147448482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100.652239543921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106.395434316203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112.959085484525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2026-10-02T00:40:22Z</dcterms:created>
  <dc:creator>openpyxl</dc:creator>
  <dc:description/>
  <dc:language>en-NZ</dc:language>
  <cp:lastModifiedBy/>
  <dcterms:modified xsi:type="dcterms:W3CDTF">2026-10-02T00:40:22Z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