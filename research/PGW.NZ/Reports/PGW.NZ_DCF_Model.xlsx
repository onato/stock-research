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_Info" sheetId="1" state="visible" r:id="rId1"/>
    <sheet xmlns:r="http://schemas.openxmlformats.org/officeDocument/2006/relationships" name="Actuals" sheetId="2" state="visible" r:id="rId2"/>
    <sheet xmlns:r="http://schemas.openxmlformats.org/officeDocument/2006/relationships" name="Assumptions" sheetId="3" state="visible" r:id="rId3"/>
    <sheet xmlns:r="http://schemas.openxmlformats.org/officeDocument/2006/relationships" name="DCF_Bear" sheetId="4" state="visible" r:id="rId4"/>
    <sheet xmlns:r="http://schemas.openxmlformats.org/officeDocument/2006/relationships" name="DCF_Base" sheetId="5" state="visible" r:id="rId5"/>
    <sheet xmlns:r="http://schemas.openxmlformats.org/officeDocument/2006/relationships" name="DCF_Bull" sheetId="6" state="visible" r:id="rId6"/>
    <sheet xmlns:r="http://schemas.openxmlformats.org/officeDocument/2006/relationships" name="FCF_Quality" sheetId="7" state="visible" r:id="rId7"/>
    <sheet xmlns:r="http://schemas.openxmlformats.org/officeDocument/2006/relationships" name="Valu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color rgb="000000CC"/>
    </font>
    <font>
      <b val="1"/>
      <sz val="12"/>
    </font>
    <font>
      <color rgb="00006600"/>
    </font>
    <font>
      <b val="1"/>
      <color rgb="00006600"/>
    </font>
  </fonts>
  <fills count="3">
    <fill>
      <patternFill/>
    </fill>
    <fill>
      <patternFill patternType="gray125"/>
    </fill>
    <fill>
      <patternFill patternType="solid">
        <fgColor rgb="00FFF2A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2" fillId="2" borderId="0" pivotButton="0" quotePrefix="0" xfId="0"/>
    <xf numFmtId="0" fontId="4" fillId="0" borderId="0" pivotButton="0" quotePrefix="0" xfId="0"/>
    <xf numFmtId="0" fontId="5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t="inlineStr">
        <is>
          <t>PGG Wrightson Limited (PGW.NZ) - DCF Model v1.0 (fresh build, supersedes nothing)</t>
        </is>
      </c>
    </row>
    <row r="2">
      <c r="A2" t="inlineStr">
        <is>
          <t>Built by: dcf-analyst agent (Claude, claude-fable-5), 2026-08-25, at the user's request via the research workflow</t>
        </is>
      </c>
    </row>
    <row r="3">
      <c r="A3" t="inlineStr"/>
    </row>
    <row r="4">
      <c r="A4" t="inlineStr">
        <is>
          <t>DATA VINTAGE</t>
        </is>
      </c>
    </row>
    <row r="5">
      <c r="A5" t="inlineStr">
        <is>
          <t>Price: NZD 2.31, NZX regular close, verified 2026-08-25 (Yahoo Finance, live fetch by orchestrating session)</t>
        </is>
      </c>
    </row>
    <row r="6">
      <c r="A6" t="inlineStr">
        <is>
          <t>Balance sheet: 30 June 2026 (FY2026 annual report, announced 11 Aug 2026)</t>
        </is>
      </c>
    </row>
    <row r="7">
      <c r="A7" t="inlineStr">
        <is>
          <t>Share count: 75.484m ordinary shares (FY2026 annual report; flat since Aug-2019 1:10 consolidation; no options/SBC)</t>
        </is>
      </c>
    </row>
    <row r="8">
      <c r="A8" t="inlineStr">
        <is>
          <t>Guidance: none for FY2027 (management declined at the Aug-2026 result; update expected at the 30 Oct 2026 ASM)</t>
        </is>
      </c>
    </row>
    <row r="9">
      <c r="A9" t="inlineStr"/>
    </row>
    <row r="10">
      <c r="A10" t="inlineStr">
        <is>
          <t>METHODOLOGY CHOICES</t>
        </is>
      </c>
    </row>
    <row r="11">
      <c r="A11" t="inlineStr">
        <is>
          <t>Model: owner-FCF DCF, mid-cycle variant - reported FCF (range -$65.5m to +$50.9m FY2017-26) is seasonal WC noise, so the base is component-built from mid-cycle EBITDA margin (6.0%, FY2020-26 avg), normalized capex (1.5% rev), 28% cash tax, full lease payment charged.</t>
        </is>
      </c>
    </row>
    <row r="12">
      <c r="A12" t="inlineStr">
        <is>
          <t>Lease treatment (ONE treatment): leases as operating cost - full lease payment (principal + lease interest, 2.66% of revenue) deducted in flows; lease liabilities ($100.5m) EXCLUDED from net debt. Net debt $88.0m is bank debt $92.0m less cash $4.0m, matching PGW's own definition. No double count.</t>
        </is>
      </c>
    </row>
    <row r="13">
      <c r="A13" t="inlineStr">
        <is>
          <t>Bank interest is NOT in the flows - bank debt charged once via the net-debt bridge.</t>
        </is>
      </c>
    </row>
    <row r="14">
      <c r="A14" t="inlineStr">
        <is>
          <t>SBC: zero (NZX SBC-zero market). SBC rows kept explicit at 0%; house = street basis; band position n/a.</t>
        </is>
      </c>
    </row>
    <row r="15">
      <c r="A15" t="inlineStr">
        <is>
          <t>WACC 13.5% additive NZD build: 11.5% NZ small-cap base + 0.75% cyclicality + 0.75% governance (Agria/Elders &gt;56%, Oct-2025 board ouster) + 0.5% illiquidity. Applied to unlevered flows (conservative vs blended ~10.9%).</t>
        </is>
      </c>
    </row>
    <row r="16">
      <c r="A16" t="inlineStr">
        <is>
          <t>Terminal value: max(0, min(Gordon, exit-cap x terminal EBITDA)); caps bear 4.6x / base 5.1x / bull 6.2x EV/EBITDA from PGW's own FY2020-26 trading range. Gordon binds in all three scenarios.</t>
        </is>
      </c>
    </row>
    <row r="17">
      <c r="A17" t="inlineStr">
        <is>
          <t>FY2019 excluded from all averages (Seeds sale gain ~$134m after tax, $333m capital return, 1:10 consolidation).</t>
        </is>
      </c>
    </row>
    <row r="18">
      <c r="A18" t="inlineStr">
        <is>
          <t>Scenario drivers are the agent's judgment, set 2026-08-25 from the FY2026 result and the qualitative analysis.</t>
        </is>
      </c>
    </row>
    <row r="19">
      <c r="A19" t="inlineStr"/>
    </row>
    <row r="20">
      <c r="A20" t="inlineStr">
        <is>
          <t>REFRESH AFTER NEXT PRINT (H1 FY2027, ~Feb 2027): price, net debt (seasonal peak ~$170m at Dec), FY2027 trajectory vs the 2% base growth, milk-price outcome, lease principal run-rate.</t>
        </is>
      </c>
    </row>
    <row r="21">
      <c r="A21" t="inlineStr">
        <is>
          <t>Figures go stale; do not rely on this file after the next results print without a refresh.</t>
        </is>
      </c>
    </row>
    <row r="22">
      <c r="A22" t="inlineStr"/>
    </row>
    <row r="23">
      <c r="A23" t="inlineStr">
        <is>
          <t>CELL LEGEND: blue = hardcoded input, yellow fill = key driver, black = formula, green = cross-sheet link.</t>
        </is>
      </c>
    </row>
    <row r="24">
      <c r="A24" t="inlineStr">
        <is>
          <t>Scenario tabs: only rows 5, 7, 9, 14 are hardcoded drivers; everything else flows from Assumptions.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PGW.NZ reported history, NZD millions (source: PGW annual reports FY2020-FY2026 / Metrics.csv; all hardcoded)</t>
        </is>
      </c>
    </row>
    <row r="3">
      <c r="A3" s="1" t="inlineStr">
        <is>
          <t>Metric</t>
        </is>
      </c>
      <c r="B3" s="1" t="inlineStr">
        <is>
          <t>FY2020</t>
        </is>
      </c>
      <c r="C3" s="1" t="inlineStr">
        <is>
          <t>FY2021</t>
        </is>
      </c>
      <c r="D3" s="1" t="inlineStr">
        <is>
          <t>FY2022</t>
        </is>
      </c>
      <c r="E3" s="1" t="inlineStr">
        <is>
          <t>FY2023</t>
        </is>
      </c>
      <c r="F3" s="1" t="inlineStr">
        <is>
          <t>FY2024</t>
        </is>
      </c>
      <c r="G3" s="1" t="inlineStr">
        <is>
          <t>FY2025</t>
        </is>
      </c>
      <c r="H3" s="1" t="inlineStr">
        <is>
          <t>FY2026</t>
        </is>
      </c>
    </row>
    <row r="4">
      <c r="A4" t="inlineStr">
        <is>
          <t>Revenue</t>
        </is>
      </c>
      <c r="B4" s="2" t="n">
        <v>788.0359999999999</v>
      </c>
      <c r="C4" s="2" t="n">
        <v>847.8150000000001</v>
      </c>
      <c r="D4" s="2" t="n">
        <v>952.7</v>
      </c>
      <c r="E4" s="2" t="n">
        <v>975.692</v>
      </c>
      <c r="F4" s="2" t="n">
        <v>915.946</v>
      </c>
      <c r="G4" s="2" t="n">
        <v>975.3440000000001</v>
      </c>
      <c r="H4" s="2" t="n">
        <v>1074.384</v>
      </c>
    </row>
    <row r="5">
      <c r="A5" t="inlineStr">
        <is>
          <t>Operating EBITDA</t>
        </is>
      </c>
      <c r="B5" s="2" t="n">
        <v>45.19</v>
      </c>
      <c r="C5" s="2" t="n">
        <v>56.029</v>
      </c>
      <c r="D5" s="2" t="n">
        <v>67.15300000000001</v>
      </c>
      <c r="E5" s="2" t="n">
        <v>61.194</v>
      </c>
      <c r="F5" s="2" t="n">
        <v>44.17</v>
      </c>
      <c r="G5" s="2" t="n">
        <v>56.131</v>
      </c>
      <c r="H5" s="2" t="n">
        <v>64.31</v>
      </c>
    </row>
    <row r="6">
      <c r="A6" t="inlineStr">
        <is>
          <t>EBITDA margin %</t>
        </is>
      </c>
      <c r="B6" s="2" t="n">
        <v>5.73</v>
      </c>
      <c r="C6" s="2" t="n">
        <v>6.61</v>
      </c>
      <c r="D6" s="2" t="n">
        <v>7.05</v>
      </c>
      <c r="E6" s="2" t="n">
        <v>6.27</v>
      </c>
      <c r="F6" s="2" t="n">
        <v>4.82</v>
      </c>
      <c r="G6" s="2" t="n">
        <v>5.76</v>
      </c>
      <c r="H6" s="2" t="n">
        <v>5.99</v>
      </c>
    </row>
    <row r="7">
      <c r="A7" t="inlineStr">
        <is>
          <t>EBIT</t>
        </is>
      </c>
      <c r="B7" s="2" t="n">
        <v>15.051</v>
      </c>
      <c r="C7" s="2" t="n">
        <v>35.034</v>
      </c>
      <c r="D7" s="2" t="n">
        <v>37.646</v>
      </c>
      <c r="E7" s="2" t="n">
        <v>33.509</v>
      </c>
      <c r="F7" s="2" t="n">
        <v>15.355</v>
      </c>
      <c r="G7" s="2" t="n">
        <v>26.184</v>
      </c>
      <c r="H7" s="2" t="n">
        <v>29.74</v>
      </c>
    </row>
    <row r="8">
      <c r="A8" t="inlineStr">
        <is>
          <t>NPAT</t>
        </is>
      </c>
      <c r="B8" s="2" t="n">
        <v>7.84</v>
      </c>
      <c r="C8" s="2" t="n">
        <v>22.713</v>
      </c>
      <c r="D8" s="2" t="n">
        <v>24.286</v>
      </c>
      <c r="E8" s="2" t="n">
        <v>17.518</v>
      </c>
      <c r="F8" s="2" t="n">
        <v>3.064</v>
      </c>
      <c r="G8" s="2" t="n">
        <v>10.664</v>
      </c>
      <c r="H8" s="2" t="n">
        <v>15.571</v>
      </c>
    </row>
    <row r="9">
      <c r="A9" t="inlineStr">
        <is>
          <t>Operating cash flow</t>
        </is>
      </c>
      <c r="B9" s="2" t="n">
        <v>34.227</v>
      </c>
      <c r="C9" s="2" t="n">
        <v>57.671</v>
      </c>
      <c r="D9" s="2" t="n">
        <v>23.66</v>
      </c>
      <c r="E9" s="2" t="n">
        <v>25.509</v>
      </c>
      <c r="F9" s="2" t="n">
        <v>57.733</v>
      </c>
      <c r="G9" s="2" t="n">
        <v>12.397</v>
      </c>
      <c r="H9" s="2" t="n">
        <v>52.593</v>
      </c>
    </row>
    <row r="10">
      <c r="A10" t="inlineStr">
        <is>
          <t>Capex</t>
        </is>
      </c>
      <c r="B10" s="2" t="n">
        <v>-11.875</v>
      </c>
      <c r="C10" s="2" t="n">
        <v>-6.809</v>
      </c>
      <c r="D10" s="2" t="n">
        <v>-8.807</v>
      </c>
      <c r="E10" s="2" t="n">
        <v>-17.176</v>
      </c>
      <c r="F10" s="2" t="n">
        <v>-22.845</v>
      </c>
      <c r="G10" s="2" t="n">
        <v>-17.428</v>
      </c>
      <c r="H10" s="2" t="n">
        <v>-6.585</v>
      </c>
    </row>
    <row r="11">
      <c r="A11" t="inlineStr">
        <is>
          <t>Reported FCF (OCF-capex)</t>
        </is>
      </c>
      <c r="B11" s="2" t="n">
        <v>22.352</v>
      </c>
      <c r="C11" s="2" t="n">
        <v>50.862</v>
      </c>
      <c r="D11" s="2" t="n">
        <v>14.853</v>
      </c>
      <c r="E11" s="2" t="n">
        <v>8.333</v>
      </c>
      <c r="F11" s="2" t="n">
        <v>34.888</v>
      </c>
      <c r="G11" s="2" t="n">
        <v>-5.031</v>
      </c>
      <c r="H11" s="2" t="n">
        <v>46.008</v>
      </c>
    </row>
    <row r="12">
      <c r="A12" t="inlineStr">
        <is>
          <t>Lease principal repaid</t>
        </is>
      </c>
      <c r="B12" s="2" t="n">
        <v>-17.586</v>
      </c>
      <c r="C12" s="2" t="n">
        <v>-18.299</v>
      </c>
      <c r="D12" s="2" t="n">
        <v>-18.873</v>
      </c>
      <c r="E12" s="2" t="n">
        <v>-19.532</v>
      </c>
      <c r="F12" s="2" t="n">
        <v>-21.203</v>
      </c>
      <c r="G12" s="2" t="n">
        <v>-22.608</v>
      </c>
      <c r="H12" s="2" t="n">
        <v>-24.03</v>
      </c>
    </row>
    <row r="13">
      <c r="A13" t="inlineStr">
        <is>
          <t>Shareholders equity</t>
        </is>
      </c>
      <c r="B13" s="2" t="n">
        <v>156.702</v>
      </c>
      <c r="C13" s="2" t="n">
        <v>173.538</v>
      </c>
      <c r="D13" s="2" t="n">
        <v>172.684</v>
      </c>
      <c r="E13" s="2" t="n">
        <v>169.261</v>
      </c>
      <c r="F13" s="2" t="n">
        <v>164.733</v>
      </c>
      <c r="G13" s="2" t="n">
        <v>173.81</v>
      </c>
      <c r="H13" s="2" t="n">
        <v>182.567</v>
      </c>
    </row>
    <row r="14">
      <c r="A14" t="inlineStr">
        <is>
          <t>Bank debt (excl leases)</t>
        </is>
      </c>
      <c r="B14" s="2" t="n">
        <v>30</v>
      </c>
      <c r="C14" s="2" t="n">
        <v>9.9</v>
      </c>
      <c r="D14" s="2" t="n">
        <v>37.5</v>
      </c>
      <c r="E14" s="2" t="n">
        <v>69.95999999999999</v>
      </c>
      <c r="F14" s="2" t="n">
        <v>63</v>
      </c>
      <c r="G14" s="2" t="n">
        <v>88.182</v>
      </c>
      <c r="H14" s="2" t="n">
        <v>92</v>
      </c>
    </row>
    <row r="15">
      <c r="A15" t="inlineStr">
        <is>
          <t>Cash</t>
        </is>
      </c>
      <c r="B15" s="2" t="n">
        <v>16.868</v>
      </c>
      <c r="C15" s="2" t="n">
        <v>3.367</v>
      </c>
      <c r="D15" s="2" t="n">
        <v>4.676</v>
      </c>
      <c r="E15" s="2" t="n">
        <v>4.643</v>
      </c>
      <c r="F15" s="2" t="n">
        <v>3.785</v>
      </c>
      <c r="G15" s="2" t="n">
        <v>2.613</v>
      </c>
      <c r="H15" s="2" t="n">
        <v>3.995</v>
      </c>
    </row>
    <row r="16">
      <c r="A16" t="inlineStr">
        <is>
          <t>Dividends paid</t>
        </is>
      </c>
      <c r="B16" s="2" t="n">
        <v>-12.564</v>
      </c>
      <c r="C16" s="2" t="n">
        <v>-9.343</v>
      </c>
      <c r="D16" s="2" t="n">
        <v>-23.331</v>
      </c>
      <c r="E16" s="2" t="n">
        <v>-21.712</v>
      </c>
      <c r="F16" s="2" t="n">
        <v>-7.763</v>
      </c>
      <c r="G16" s="2" t="n">
        <v>-1.899</v>
      </c>
      <c r="H16" s="2" t="n">
        <v>-6.455</v>
      </c>
    </row>
    <row r="18">
      <c r="A18" t="inlineStr">
        <is>
          <t>Balance sheet snapshot 30-Jun-2026: lease liabilities 23.185 ST + 77.291 LT = 100.476 (excluded from net debt by design).</t>
        </is>
      </c>
    </row>
    <row r="19">
      <c r="A19" t="inlineStr">
        <is>
          <t>FY2026 net interest: bank/other -6.256, lease interest -4.524, total -10.780. GO-STOCK interest revenue +8.011 (operating, stays in EBITDA).</t>
        </is>
      </c>
    </row>
    <row r="20">
      <c r="A20" t="inlineStr">
        <is>
          <t>Buybacks: zero in every year FY2017-FY2026 (financing activities). Dividend FY2026: 10.0 cps fully imputed.</t>
        </is>
      </c>
    </row>
    <row r="21">
      <c r="A21" t="inlineStr">
        <is>
          <t>Note: FY2017-FY2019 deliberately omitted - they include the Seeds business sold in FY2019 and the pre-capital-return balance sheet; not comparable.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s="3" t="inlineStr">
        <is>
          <t>Global assumptions (blue = input)</t>
        </is>
      </c>
    </row>
    <row r="3">
      <c r="A3" t="inlineStr">
        <is>
          <t>WACC (additive NZD build, see Model_Info)</t>
        </is>
      </c>
      <c r="B3" s="4" t="n">
        <v>0.135</v>
      </c>
    </row>
    <row r="4">
      <c r="A4" t="inlineStr">
        <is>
          <t>Lease payment % of revenue (FY2026: (24.030+4.524)/1074.384)</t>
        </is>
      </c>
      <c r="B4" s="4" t="n">
        <v>0.0265772</v>
      </c>
    </row>
    <row r="5">
      <c r="A5" t="inlineStr">
        <is>
          <t>Owned-asset D&amp;A % of revenue (total D&amp;A less ROU depreciation)</t>
        </is>
      </c>
      <c r="B5" s="4" t="n">
        <v>0.011</v>
      </c>
    </row>
    <row r="6">
      <c r="A6" t="inlineStr">
        <is>
          <t>Normalized capex % of revenue (run-rate $17-23m recent years)</t>
        </is>
      </c>
      <c r="B6" s="4" t="n">
        <v>0.015</v>
      </c>
    </row>
    <row r="7">
      <c r="A7" t="inlineStr">
        <is>
          <t>Working-capital capture (drag) per $ of revenue change</t>
        </is>
      </c>
      <c r="B7" s="4" t="n">
        <v>0.15</v>
      </c>
    </row>
    <row r="8">
      <c r="A8" t="inlineStr">
        <is>
          <t>Cash tax rate (NZ corporate 28%; recent low cash tax is trough timing)</t>
        </is>
      </c>
      <c r="B8" s="4" t="n">
        <v>0.28</v>
      </c>
    </row>
    <row r="9">
      <c r="A9" t="inlineStr">
        <is>
          <t>Net debt 30-Jun-2026 (bank debt 92.0 less cash 3.995; leases excluded)</t>
        </is>
      </c>
      <c r="B9" s="4" t="n">
        <v>88.005</v>
      </c>
    </row>
    <row r="10">
      <c r="A10" t="inlineStr">
        <is>
          <t>Shares outstanding, millions (flat: no SBC, no buybacks)</t>
        </is>
      </c>
      <c r="B10" s="4" t="n">
        <v>75.48399999999999</v>
      </c>
    </row>
    <row r="11">
      <c r="A11" t="inlineStr">
        <is>
          <t>Current price NZD (NZX close 2026-08-25)</t>
        </is>
      </c>
      <c r="B11" s="4" t="n">
        <v>2.31</v>
      </c>
    </row>
    <row r="12">
      <c r="A12" t="inlineStr">
        <is>
          <t>Hurdle rate for entry price</t>
        </is>
      </c>
      <c r="B12" s="4" t="n">
        <v>0.15</v>
      </c>
    </row>
    <row r="14">
      <c r="A14" s="1" t="inlineStr">
        <is>
          <t>Scenario</t>
        </is>
      </c>
      <c r="B14" s="1" t="inlineStr">
        <is>
          <t>Terminal growth</t>
        </is>
      </c>
      <c r="C14" s="1" t="inlineStr">
        <is>
          <t>Exit cap (EV/EBITDA)</t>
        </is>
      </c>
      <c r="D14" s="1" t="inlineStr">
        <is>
          <t>Probability weight</t>
        </is>
      </c>
    </row>
    <row r="15">
      <c r="A15" t="inlineStr">
        <is>
          <t>Bear</t>
        </is>
      </c>
      <c r="B15" s="4" t="n">
        <v>0.01</v>
      </c>
      <c r="C15" s="4" t="n">
        <v>4.6</v>
      </c>
      <c r="D15" s="4" t="n">
        <v>0.25</v>
      </c>
    </row>
    <row r="16">
      <c r="A16" t="inlineStr">
        <is>
          <t>Base</t>
        </is>
      </c>
      <c r="B16" s="4" t="n">
        <v>0.02</v>
      </c>
      <c r="C16" s="4" t="n">
        <v>5.1</v>
      </c>
      <c r="D16" s="4" t="n">
        <v>0.5</v>
      </c>
    </row>
    <row r="17">
      <c r="A17" t="inlineStr">
        <is>
          <t>Bull</t>
        </is>
      </c>
      <c r="B17" s="4" t="n">
        <v>0.025</v>
      </c>
      <c r="C17" s="4" t="n">
        <v>6.2</v>
      </c>
      <c r="D17" s="4" t="n">
        <v>0.25</v>
      </c>
    </row>
    <row r="18">
      <c r="A18" t="inlineStr">
        <is>
          <t>Weight check (must equal 1.0)</t>
        </is>
      </c>
      <c r="D18">
        <f>SUM(D15:D17)</f>
        <v/>
      </c>
    </row>
    <row r="20">
      <c r="A20" t="inlineStr">
        <is>
          <t>Base narrative: NZ ag mid-cycle - farmgate returns normalize from FY2026 highs (Fonterra cut the 2026/27 milk forecast 50c to $9.25/kgMS Jul-2026); revenue +2-2.5%/yr, EBITDA margin holds the 6.0% FY2020-26 average; Nexan/Blue Ag gains offset Farmlands price competition; working capital absorbs ~15c per incremental revenue dollar.</t>
        </is>
      </c>
    </row>
    <row r="21">
      <c r="A21" t="inlineStr">
        <is>
          <t>Bull narrative: commodity strength persists (record $62bn primary exports); livestock agency and rural real estate - the high-operating-leverage segments - keep inflecting; vertical integration lifts margin to 6.8% (below the 7.05% FY2022 peak); growth 5% fading to 2.5%.</t>
        </is>
      </c>
    </row>
    <row r="22">
      <c r="A22" t="inlineStr">
        <is>
          <t>Bear narrative: FY2027-28 downturn - milk price to the low end of the $8.00-10.50 range plus El Nino; revenue -5% then -3%, margin troughs at 4.8% (FY2024 actual), recovering only to 5.5% as Farmlands below-cost pricing and wool structural decline bite; WC release cushions the down years.</t>
        </is>
      </c>
    </row>
    <row r="23">
      <c r="A23" t="inlineStr">
        <is>
          <t>Weights rationale: house default 15/50/35 moved to 25/50/25 - bear raised (milk forecast already cut, no FY2027 guidance, &gt;56% Agria/Elders bloc action risk), bull trimmed (needs commodity prices AND margin capture to land).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3:L43"/>
  <sheetViews>
    <sheetView workbookViewId="0">
      <selection activeCell="A1" sqref="A1"/>
    </sheetView>
  </sheetViews>
  <sheetFormatPr baseColWidth="8" defaultRowHeight="15"/>
  <cols>
    <col width="44" customWidth="1" min="1" max="1"/>
  </cols>
  <sheetData>
    <row r="3">
      <c r="A3" t="inlineStr">
        <is>
          <t>Year</t>
        </is>
      </c>
      <c r="B3" s="1" t="inlineStr">
        <is>
          <t>FY2026A</t>
        </is>
      </c>
      <c r="C3" s="1" t="inlineStr">
        <is>
          <t>FY2027E</t>
        </is>
      </c>
      <c r="D3" s="1" t="inlineStr">
        <is>
          <t>FY2028E</t>
        </is>
      </c>
      <c r="E3" s="1" t="inlineStr">
        <is>
          <t>FY2029E</t>
        </is>
      </c>
      <c r="F3" s="1" t="inlineStr">
        <is>
          <t>FY2030E</t>
        </is>
      </c>
      <c r="G3" s="1" t="inlineStr">
        <is>
          <t>FY2031E</t>
        </is>
      </c>
      <c r="H3" s="1" t="inlineStr">
        <is>
          <t>FY2032E</t>
        </is>
      </c>
      <c r="I3" s="1" t="inlineStr">
        <is>
          <t>FY2033E</t>
        </is>
      </c>
      <c r="J3" s="1" t="inlineStr">
        <is>
          <t>FY2034E</t>
        </is>
      </c>
      <c r="K3" s="1" t="inlineStr">
        <is>
          <t>FY2035E</t>
        </is>
      </c>
      <c r="L3" s="1" t="inlineStr">
        <is>
          <t>FY2036E</t>
        </is>
      </c>
    </row>
    <row r="4">
      <c r="A4" t="inlineStr">
        <is>
          <t>Index</t>
        </is>
      </c>
      <c r="B4" t="n">
        <v>0</v>
      </c>
      <c r="C4" t="n">
        <v>1</v>
      </c>
      <c r="D4" t="n">
        <v>2</v>
      </c>
      <c r="E4" t="n">
        <v>3</v>
      </c>
      <c r="F4" t="n">
        <v>4</v>
      </c>
      <c r="G4" t="n">
        <v>5</v>
      </c>
      <c r="H4" t="n">
        <v>6</v>
      </c>
      <c r="I4" t="n">
        <v>7</v>
      </c>
      <c r="J4" t="n">
        <v>8</v>
      </c>
      <c r="K4" t="n">
        <v>9</v>
      </c>
      <c r="L4" t="n">
        <v>10</v>
      </c>
    </row>
    <row r="5">
      <c r="A5" t="inlineStr">
        <is>
          <t>Revenue growth YoY</t>
        </is>
      </c>
      <c r="C5" s="4" t="n">
        <v>-0.05</v>
      </c>
      <c r="D5" s="4" t="n">
        <v>-0.03</v>
      </c>
      <c r="E5" s="4" t="n">
        <v>0.02</v>
      </c>
      <c r="F5" s="4" t="n">
        <v>0.02</v>
      </c>
      <c r="G5" s="4" t="n">
        <v>0.015</v>
      </c>
      <c r="H5" s="4" t="n">
        <v>0.015</v>
      </c>
      <c r="I5" s="4" t="n">
        <v>0.015</v>
      </c>
      <c r="J5" s="4" t="n">
        <v>0.015</v>
      </c>
      <c r="K5" s="4" t="n">
        <v>0.015</v>
      </c>
      <c r="L5" s="4" t="n">
        <v>0.015</v>
      </c>
    </row>
    <row r="6">
      <c r="A6" t="inlineStr">
        <is>
          <t>Revenue</t>
        </is>
      </c>
      <c r="B6" s="2" t="n">
        <v>1074.384</v>
      </c>
      <c r="C6">
        <f>B6*(1+C5)</f>
        <v/>
      </c>
      <c r="D6">
        <f>C6*(1+D5)</f>
        <v/>
      </c>
      <c r="E6">
        <f>D6*(1+E5)</f>
        <v/>
      </c>
      <c r="F6">
        <f>E6*(1+F5)</f>
        <v/>
      </c>
      <c r="G6">
        <f>F6*(1+G5)</f>
        <v/>
      </c>
      <c r="H6">
        <f>G6*(1+H5)</f>
        <v/>
      </c>
      <c r="I6">
        <f>H6*(1+I5)</f>
        <v/>
      </c>
      <c r="J6">
        <f>I6*(1+J5)</f>
        <v/>
      </c>
      <c r="K6">
        <f>J6*(1+K5)</f>
        <v/>
      </c>
      <c r="L6">
        <f>K6*(1+L5)</f>
        <v/>
      </c>
    </row>
    <row r="7">
      <c r="A7" t="inlineStr">
        <is>
          <t>Operating EBITDA margin</t>
        </is>
      </c>
      <c r="B7" s="2" t="n">
        <v>0.0599</v>
      </c>
      <c r="C7" s="4" t="n">
        <v>0.052</v>
      </c>
      <c r="D7" s="4" t="n">
        <v>0.048</v>
      </c>
      <c r="E7" s="4" t="n">
        <v>0.052</v>
      </c>
      <c r="F7" s="4" t="n">
        <v>0.055</v>
      </c>
      <c r="G7" s="4" t="n">
        <v>0.055</v>
      </c>
      <c r="H7" s="4" t="n">
        <v>0.055</v>
      </c>
      <c r="I7" s="4" t="n">
        <v>0.055</v>
      </c>
      <c r="J7" s="4" t="n">
        <v>0.055</v>
      </c>
      <c r="K7" s="4" t="n">
        <v>0.055</v>
      </c>
      <c r="L7" s="4" t="n">
        <v>0.055</v>
      </c>
    </row>
    <row r="8">
      <c r="A8" t="inlineStr">
        <is>
          <t>Operating EBITDA</t>
        </is>
      </c>
      <c r="B8" s="2" t="n">
        <v>64.31</v>
      </c>
      <c r="C8">
        <f>C6*C7</f>
        <v/>
      </c>
      <c r="D8">
        <f>D6*D7</f>
        <v/>
      </c>
      <c r="E8">
        <f>E6*E7</f>
        <v/>
      </c>
      <c r="F8">
        <f>F6*F7</f>
        <v/>
      </c>
      <c r="G8">
        <f>G6*G7</f>
        <v/>
      </c>
      <c r="H8">
        <f>H6*H7</f>
        <v/>
      </c>
      <c r="I8">
        <f>I6*I7</f>
        <v/>
      </c>
      <c r="J8">
        <f>J6*J7</f>
        <v/>
      </c>
      <c r="K8">
        <f>K6*K7</f>
        <v/>
      </c>
      <c r="L8">
        <f>L6*L7</f>
        <v/>
      </c>
    </row>
    <row r="9">
      <c r="A9" t="inlineStr">
        <is>
          <t>SBC % of revenue (SBC-zero market)</t>
        </is>
      </c>
      <c r="C9" s="4" t="n">
        <v>0</v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</row>
    <row r="10">
      <c r="A10" t="inlineStr">
        <is>
          <t>SBC</t>
        </is>
      </c>
      <c r="C10">
        <f>-C6*C9</f>
        <v/>
      </c>
      <c r="D10">
        <f>-D6*D9</f>
        <v/>
      </c>
      <c r="E10">
        <f>-E6*E9</f>
        <v/>
      </c>
      <c r="F10">
        <f>-F6*F9</f>
        <v/>
      </c>
      <c r="G10">
        <f>-G6*G9</f>
        <v/>
      </c>
      <c r="H10">
        <f>-H6*H9</f>
        <v/>
      </c>
      <c r="I10">
        <f>-I6*I9</f>
        <v/>
      </c>
      <c r="J10">
        <f>-J6*J9</f>
        <v/>
      </c>
      <c r="K10">
        <f>-K6*K9</f>
        <v/>
      </c>
      <c r="L10">
        <f>-L6*L9</f>
        <v/>
      </c>
    </row>
    <row r="11">
      <c r="A11" t="inlineStr">
        <is>
          <t>Lease payment (principal + lease interest)</t>
        </is>
      </c>
      <c r="C11" s="5">
        <f>-C6*Assumptions!$B$4</f>
        <v/>
      </c>
      <c r="D11" s="5">
        <f>-D6*Assumptions!$B$4</f>
        <v/>
      </c>
      <c r="E11" s="5">
        <f>-E6*Assumptions!$B$4</f>
        <v/>
      </c>
      <c r="F11" s="5">
        <f>-F6*Assumptions!$B$4</f>
        <v/>
      </c>
      <c r="G11" s="5">
        <f>-G6*Assumptions!$B$4</f>
        <v/>
      </c>
      <c r="H11" s="5">
        <f>-H6*Assumptions!$B$4</f>
        <v/>
      </c>
      <c r="I11" s="5">
        <f>-I6*Assumptions!$B$4</f>
        <v/>
      </c>
      <c r="J11" s="5">
        <f>-J6*Assumptions!$B$4</f>
        <v/>
      </c>
      <c r="K11" s="5">
        <f>-K6*Assumptions!$B$4</f>
        <v/>
      </c>
      <c r="L11" s="5">
        <f>-L6*Assumptions!$B$4</f>
        <v/>
      </c>
    </row>
    <row r="12">
      <c r="A12" t="inlineStr">
        <is>
          <t>Owned-asset D&amp;A</t>
        </is>
      </c>
      <c r="C12" s="5">
        <f>-C6*Assumptions!$B$5</f>
        <v/>
      </c>
      <c r="D12" s="5">
        <f>-D6*Assumptions!$B$5</f>
        <v/>
      </c>
      <c r="E12" s="5">
        <f>-E6*Assumptions!$B$5</f>
        <v/>
      </c>
      <c r="F12" s="5">
        <f>-F6*Assumptions!$B$5</f>
        <v/>
      </c>
      <c r="G12" s="5">
        <f>-G6*Assumptions!$B$5</f>
        <v/>
      </c>
      <c r="H12" s="5">
        <f>-H6*Assumptions!$B$5</f>
        <v/>
      </c>
      <c r="I12" s="5">
        <f>-I6*Assumptions!$B$5</f>
        <v/>
      </c>
      <c r="J12" s="5">
        <f>-J6*Assumptions!$B$5</f>
        <v/>
      </c>
      <c r="K12" s="5">
        <f>-K6*Assumptions!$B$5</f>
        <v/>
      </c>
      <c r="L12" s="5">
        <f>-L6*Assumptions!$B$5</f>
        <v/>
      </c>
    </row>
    <row r="13">
      <c r="A13" t="inlineStr">
        <is>
          <t>Owner EBIT (post lease, post SBC)</t>
        </is>
      </c>
      <c r="C13">
        <f>C8+C10+C11+C12</f>
        <v/>
      </c>
      <c r="D13">
        <f>D8+D10+D11+D12</f>
        <v/>
      </c>
      <c r="E13">
        <f>E8+E10+E11+E12</f>
        <v/>
      </c>
      <c r="F13">
        <f>F8+F10+F11+F12</f>
        <v/>
      </c>
      <c r="G13">
        <f>G8+G10+G11+G12</f>
        <v/>
      </c>
      <c r="H13">
        <f>H8+H10+H11+H12</f>
        <v/>
      </c>
      <c r="I13">
        <f>I8+I10+I11+I12</f>
        <v/>
      </c>
      <c r="J13">
        <f>J8+J10+J11+J12</f>
        <v/>
      </c>
      <c r="K13">
        <f>K8+K10+K11+K12</f>
        <v/>
      </c>
      <c r="L13">
        <f>L8+L10+L11+L12</f>
        <v/>
      </c>
    </row>
    <row r="14">
      <c r="A14" t="inlineStr">
        <is>
          <t>Cash tax rate</t>
        </is>
      </c>
      <c r="C14" s="4" t="n">
        <v>0.28</v>
      </c>
      <c r="D14" s="4" t="n">
        <v>0.28</v>
      </c>
      <c r="E14" s="4" t="n">
        <v>0.28</v>
      </c>
      <c r="F14" s="4" t="n">
        <v>0.28</v>
      </c>
      <c r="G14" s="4" t="n">
        <v>0.28</v>
      </c>
      <c r="H14" s="4" t="n">
        <v>0.28</v>
      </c>
      <c r="I14" s="4" t="n">
        <v>0.28</v>
      </c>
      <c r="J14" s="4" t="n">
        <v>0.28</v>
      </c>
      <c r="K14" s="4" t="n">
        <v>0.28</v>
      </c>
      <c r="L14" s="4" t="n">
        <v>0.28</v>
      </c>
    </row>
    <row r="15">
      <c r="A15" t="inlineStr">
        <is>
          <t>Cash tax</t>
        </is>
      </c>
      <c r="C15">
        <f>-MAX(0,C13)*C14</f>
        <v/>
      </c>
      <c r="D15">
        <f>-MAX(0,D13)*D14</f>
        <v/>
      </c>
      <c r="E15">
        <f>-MAX(0,E13)*E14</f>
        <v/>
      </c>
      <c r="F15">
        <f>-MAX(0,F13)*F14</f>
        <v/>
      </c>
      <c r="G15">
        <f>-MAX(0,G13)*G14</f>
        <v/>
      </c>
      <c r="H15">
        <f>-MAX(0,H13)*H14</f>
        <v/>
      </c>
      <c r="I15">
        <f>-MAX(0,I13)*I14</f>
        <v/>
      </c>
      <c r="J15">
        <f>-MAX(0,J13)*J14</f>
        <v/>
      </c>
      <c r="K15">
        <f>-MAX(0,K13)*K14</f>
        <v/>
      </c>
      <c r="L15">
        <f>-MAX(0,L13)*L14</f>
        <v/>
      </c>
    </row>
    <row r="16">
      <c r="A16" t="inlineStr">
        <is>
          <t>NOPAT</t>
        </is>
      </c>
      <c r="C16">
        <f>C13+C15</f>
        <v/>
      </c>
      <c r="D16">
        <f>D13+D15</f>
        <v/>
      </c>
      <c r="E16">
        <f>E13+E15</f>
        <v/>
      </c>
      <c r="F16">
        <f>F13+F15</f>
        <v/>
      </c>
      <c r="G16">
        <f>G13+G15</f>
        <v/>
      </c>
      <c r="H16">
        <f>H13+H15</f>
        <v/>
      </c>
      <c r="I16">
        <f>I13+I15</f>
        <v/>
      </c>
      <c r="J16">
        <f>J13+J15</f>
        <v/>
      </c>
      <c r="K16">
        <f>K13+K15</f>
        <v/>
      </c>
      <c r="L16">
        <f>L13+L15</f>
        <v/>
      </c>
    </row>
    <row r="17">
      <c r="A17" t="inlineStr">
        <is>
          <t>Add back owned D&amp;A</t>
        </is>
      </c>
      <c r="C17">
        <f>-C12</f>
        <v/>
      </c>
      <c r="D17">
        <f>-D12</f>
        <v/>
      </c>
      <c r="E17">
        <f>-E12</f>
        <v/>
      </c>
      <c r="F17">
        <f>-F12</f>
        <v/>
      </c>
      <c r="G17">
        <f>-G12</f>
        <v/>
      </c>
      <c r="H17">
        <f>-H12</f>
        <v/>
      </c>
      <c r="I17">
        <f>-I12</f>
        <v/>
      </c>
      <c r="J17">
        <f>-J12</f>
        <v/>
      </c>
      <c r="K17">
        <f>-K12</f>
        <v/>
      </c>
      <c r="L17">
        <f>-L12</f>
        <v/>
      </c>
    </row>
    <row r="18">
      <c r="A18" t="inlineStr">
        <is>
          <t>Capex</t>
        </is>
      </c>
      <c r="C18" s="5">
        <f>-C6*Assumptions!$B$6</f>
        <v/>
      </c>
      <c r="D18" s="5">
        <f>-D6*Assumptions!$B$6</f>
        <v/>
      </c>
      <c r="E18" s="5">
        <f>-E6*Assumptions!$B$6</f>
        <v/>
      </c>
      <c r="F18" s="5">
        <f>-F6*Assumptions!$B$6</f>
        <v/>
      </c>
      <c r="G18" s="5">
        <f>-G6*Assumptions!$B$6</f>
        <v/>
      </c>
      <c r="H18" s="5">
        <f>-H6*Assumptions!$B$6</f>
        <v/>
      </c>
      <c r="I18" s="5">
        <f>-I6*Assumptions!$B$6</f>
        <v/>
      </c>
      <c r="J18" s="5">
        <f>-J6*Assumptions!$B$6</f>
        <v/>
      </c>
      <c r="K18" s="5">
        <f>-K6*Assumptions!$B$6</f>
        <v/>
      </c>
      <c r="L18" s="5">
        <f>-L6*Assumptions!$B$6</f>
        <v/>
      </c>
    </row>
    <row r="19">
      <c r="A19" t="inlineStr">
        <is>
          <t>Working capital (on revenue change)</t>
        </is>
      </c>
      <c r="C19" s="5">
        <f>-Assumptions!$B$7*(C6-B6)</f>
        <v/>
      </c>
      <c r="D19" s="5">
        <f>-Assumptions!$B$7*(D6-C6)</f>
        <v/>
      </c>
      <c r="E19" s="5">
        <f>-Assumptions!$B$7*(E6-D6)</f>
        <v/>
      </c>
      <c r="F19" s="5">
        <f>-Assumptions!$B$7*(F6-E6)</f>
        <v/>
      </c>
      <c r="G19" s="5">
        <f>-Assumptions!$B$7*(G6-F6)</f>
        <v/>
      </c>
      <c r="H19" s="5">
        <f>-Assumptions!$B$7*(H6-G6)</f>
        <v/>
      </c>
      <c r="I19" s="5">
        <f>-Assumptions!$B$7*(I6-H6)</f>
        <v/>
      </c>
      <c r="J19" s="5">
        <f>-Assumptions!$B$7*(J6-I6)</f>
        <v/>
      </c>
      <c r="K19" s="5">
        <f>-Assumptions!$B$7*(K6-J6)</f>
        <v/>
      </c>
      <c r="L19" s="5">
        <f>-Assumptions!$B$7*(L6-K6)</f>
        <v/>
      </c>
    </row>
    <row r="20">
      <c r="A20" t="inlineStr">
        <is>
          <t>Unlevered owner FCF</t>
        </is>
      </c>
      <c r="C20">
        <f>C16+C17+C18+C19</f>
        <v/>
      </c>
      <c r="D20">
        <f>D16+D17+D18+D19</f>
        <v/>
      </c>
      <c r="E20">
        <f>E16+E17+E18+E19</f>
        <v/>
      </c>
      <c r="F20">
        <f>F16+F17+F18+F19</f>
        <v/>
      </c>
      <c r="G20">
        <f>G16+G17+G18+G19</f>
        <v/>
      </c>
      <c r="H20">
        <f>H16+H17+H18+H19</f>
        <v/>
      </c>
      <c r="I20">
        <f>I16+I17+I18+I19</f>
        <v/>
      </c>
      <c r="J20">
        <f>J16+J17+J18+J19</f>
        <v/>
      </c>
      <c r="K20">
        <f>K16+K17+K18+K19</f>
        <v/>
      </c>
      <c r="L20">
        <f>L16+L17+L18+L19</f>
        <v/>
      </c>
    </row>
    <row r="21">
      <c r="A21" t="inlineStr">
        <is>
          <t>Discount factor</t>
        </is>
      </c>
      <c r="C21" s="5">
        <f>1/(1+Assumptions!$B$3)^C4</f>
        <v/>
      </c>
      <c r="D21" s="5">
        <f>1/(1+Assumptions!$B$3)^D4</f>
        <v/>
      </c>
      <c r="E21" s="5">
        <f>1/(1+Assumptions!$B$3)^E4</f>
        <v/>
      </c>
      <c r="F21" s="5">
        <f>1/(1+Assumptions!$B$3)^F4</f>
        <v/>
      </c>
      <c r="G21" s="5">
        <f>1/(1+Assumptions!$B$3)^G4</f>
        <v/>
      </c>
      <c r="H21" s="5">
        <f>1/(1+Assumptions!$B$3)^H4</f>
        <v/>
      </c>
      <c r="I21" s="5">
        <f>1/(1+Assumptions!$B$3)^I4</f>
        <v/>
      </c>
      <c r="J21" s="5">
        <f>1/(1+Assumptions!$B$3)^J4</f>
        <v/>
      </c>
      <c r="K21" s="5">
        <f>1/(1+Assumptions!$B$3)^K4</f>
        <v/>
      </c>
      <c r="L21" s="5">
        <f>1/(1+Assumptions!$B$3)^L4</f>
        <v/>
      </c>
    </row>
    <row r="22">
      <c r="A22" t="inlineStr">
        <is>
          <t>PV of FCF</t>
        </is>
      </c>
      <c r="C22">
        <f>C20*C21</f>
        <v/>
      </c>
      <c r="D22">
        <f>D20*D21</f>
        <v/>
      </c>
      <c r="E22">
        <f>E20*E21</f>
        <v/>
      </c>
      <c r="F22">
        <f>F20*F21</f>
        <v/>
      </c>
      <c r="G22">
        <f>G20*G21</f>
        <v/>
      </c>
      <c r="H22">
        <f>H20*H21</f>
        <v/>
      </c>
      <c r="I22">
        <f>I20*I21</f>
        <v/>
      </c>
      <c r="J22">
        <f>J20*J21</f>
        <v/>
      </c>
      <c r="K22">
        <f>K20*K21</f>
        <v/>
      </c>
      <c r="L22">
        <f>L20*L21</f>
        <v/>
      </c>
    </row>
    <row r="24">
      <c r="A24" t="inlineStr">
        <is>
          <t>Memo: owner FCF margin</t>
        </is>
      </c>
      <c r="C24">
        <f>C20/C6</f>
        <v/>
      </c>
      <c r="D24">
        <f>D20/D6</f>
        <v/>
      </c>
      <c r="E24">
        <f>E20/E6</f>
        <v/>
      </c>
      <c r="F24">
        <f>F20/F6</f>
        <v/>
      </c>
      <c r="G24">
        <f>G20/G6</f>
        <v/>
      </c>
      <c r="H24">
        <f>H20/H6</f>
        <v/>
      </c>
      <c r="I24">
        <f>I20/I6</f>
        <v/>
      </c>
      <c r="J24">
        <f>J20/J6</f>
        <v/>
      </c>
      <c r="K24">
        <f>K20/K6</f>
        <v/>
      </c>
      <c r="L24">
        <f>L20/L6</f>
        <v/>
      </c>
    </row>
    <row r="26">
      <c r="A26" t="inlineStr">
        <is>
          <t>Sum PV of FCF</t>
        </is>
      </c>
      <c r="B26">
        <f>SUM(C22:L22)</f>
        <v/>
      </c>
    </row>
    <row r="27">
      <c r="A27" t="inlineStr">
        <is>
          <t>Terminal growth</t>
        </is>
      </c>
      <c r="B27" s="5">
        <f>Assumptions!$B$15</f>
        <v/>
      </c>
    </row>
    <row r="28">
      <c r="A28" t="inlineStr">
        <is>
          <t>Terminal FCF</t>
        </is>
      </c>
      <c r="B28">
        <f>L20*(1+B27)</f>
        <v/>
      </c>
    </row>
    <row r="29">
      <c r="A29" t="inlineStr">
        <is>
          <t>Gordon TV</t>
        </is>
      </c>
      <c r="B29">
        <f>IF(Assumptions!$B$3&gt;B27,B28/(Assumptions!$B$3-B27),"n/a")</f>
        <v/>
      </c>
    </row>
    <row r="30">
      <c r="A30" t="inlineStr">
        <is>
          <t>Exit-cap TV (cap x terminal EBITDA)</t>
        </is>
      </c>
      <c r="B30" s="5">
        <f>Assumptions!$C$15*L8</f>
        <v/>
      </c>
    </row>
    <row r="31">
      <c r="A31" t="inlineStr">
        <is>
          <t>TV used = MAX(0,MIN(Gordon,cap))</t>
        </is>
      </c>
      <c r="B31">
        <f>MAX(0,MIN(B29,B30))</f>
        <v/>
      </c>
    </row>
    <row r="32">
      <c r="A32" t="inlineStr">
        <is>
          <t>Implied exit multiple on FCF</t>
        </is>
      </c>
      <c r="B32">
        <f>IF(L20&gt;0,B31/L20,"n/a")</f>
        <v/>
      </c>
    </row>
    <row r="33">
      <c r="A33" t="inlineStr">
        <is>
          <t>PV of terminal value</t>
        </is>
      </c>
      <c r="B33">
        <f>B31*L21</f>
        <v/>
      </c>
    </row>
    <row r="34">
      <c r="A34" t="inlineStr">
        <is>
          <t>Enterprise value</t>
        </is>
      </c>
      <c r="B34">
        <f>B26+B33</f>
        <v/>
      </c>
    </row>
    <row r="35">
      <c r="A35" t="inlineStr">
        <is>
          <t>Less net debt</t>
        </is>
      </c>
      <c r="B35" s="5">
        <f>-Assumptions!$B$9</f>
        <v/>
      </c>
    </row>
    <row r="36">
      <c r="A36" t="inlineStr">
        <is>
          <t>Equity value</t>
        </is>
      </c>
      <c r="B36">
        <f>B34+B35</f>
        <v/>
      </c>
    </row>
    <row r="37">
      <c r="A37" t="inlineStr">
        <is>
          <t>Diluted shares (m)</t>
        </is>
      </c>
      <c r="B37" s="5">
        <f>Assumptions!$B$10</f>
        <v/>
      </c>
    </row>
    <row r="38">
      <c r="A38" t="inlineStr">
        <is>
          <t>VALUE PER SHARE</t>
        </is>
      </c>
      <c r="B38" s="6">
        <f>B36/B37</f>
        <v/>
      </c>
    </row>
    <row r="39">
      <c r="A39" t="inlineStr">
        <is>
          <t>Upside vs price</t>
        </is>
      </c>
      <c r="B39">
        <f>B38/Assumptions!$B$11-1</f>
        <v/>
      </c>
    </row>
    <row r="41">
      <c r="A41" t="inlineStr">
        <is>
          <t>Street value per share (= house; SBC-zero)</t>
        </is>
      </c>
      <c r="B41">
        <f>B38</f>
        <v/>
      </c>
    </row>
    <row r="43">
      <c r="A43" t="inlineStr">
        <is>
          <t>Memo: market-convention value (exit cap AS the TV)</t>
        </is>
      </c>
      <c r="B43">
        <f>(B26+B30*L21+B35)/B37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3:L43"/>
  <sheetViews>
    <sheetView workbookViewId="0">
      <selection activeCell="A1" sqref="A1"/>
    </sheetView>
  </sheetViews>
  <sheetFormatPr baseColWidth="8" defaultRowHeight="15"/>
  <cols>
    <col width="44" customWidth="1" min="1" max="1"/>
  </cols>
  <sheetData>
    <row r="3">
      <c r="A3" t="inlineStr">
        <is>
          <t>Year</t>
        </is>
      </c>
      <c r="B3" s="1" t="inlineStr">
        <is>
          <t>FY2026A</t>
        </is>
      </c>
      <c r="C3" s="1" t="inlineStr">
        <is>
          <t>FY2027E</t>
        </is>
      </c>
      <c r="D3" s="1" t="inlineStr">
        <is>
          <t>FY2028E</t>
        </is>
      </c>
      <c r="E3" s="1" t="inlineStr">
        <is>
          <t>FY2029E</t>
        </is>
      </c>
      <c r="F3" s="1" t="inlineStr">
        <is>
          <t>FY2030E</t>
        </is>
      </c>
      <c r="G3" s="1" t="inlineStr">
        <is>
          <t>FY2031E</t>
        </is>
      </c>
      <c r="H3" s="1" t="inlineStr">
        <is>
          <t>FY2032E</t>
        </is>
      </c>
      <c r="I3" s="1" t="inlineStr">
        <is>
          <t>FY2033E</t>
        </is>
      </c>
      <c r="J3" s="1" t="inlineStr">
        <is>
          <t>FY2034E</t>
        </is>
      </c>
      <c r="K3" s="1" t="inlineStr">
        <is>
          <t>FY2035E</t>
        </is>
      </c>
      <c r="L3" s="1" t="inlineStr">
        <is>
          <t>FY2036E</t>
        </is>
      </c>
    </row>
    <row r="4">
      <c r="A4" t="inlineStr">
        <is>
          <t>Index</t>
        </is>
      </c>
      <c r="B4" t="n">
        <v>0</v>
      </c>
      <c r="C4" t="n">
        <v>1</v>
      </c>
      <c r="D4" t="n">
        <v>2</v>
      </c>
      <c r="E4" t="n">
        <v>3</v>
      </c>
      <c r="F4" t="n">
        <v>4</v>
      </c>
      <c r="G4" t="n">
        <v>5</v>
      </c>
      <c r="H4" t="n">
        <v>6</v>
      </c>
      <c r="I4" t="n">
        <v>7</v>
      </c>
      <c r="J4" t="n">
        <v>8</v>
      </c>
      <c r="K4" t="n">
        <v>9</v>
      </c>
      <c r="L4" t="n">
        <v>10</v>
      </c>
    </row>
    <row r="5">
      <c r="A5" t="inlineStr">
        <is>
          <t>Revenue growth YoY</t>
        </is>
      </c>
      <c r="C5" s="4" t="n">
        <v>0.02</v>
      </c>
      <c r="D5" s="4" t="n">
        <v>0.025</v>
      </c>
      <c r="E5" s="4" t="n">
        <v>0.025</v>
      </c>
      <c r="F5" s="4" t="n">
        <v>0.025</v>
      </c>
      <c r="G5" s="4" t="n">
        <v>0.025</v>
      </c>
      <c r="H5" s="4" t="n">
        <v>0.02</v>
      </c>
      <c r="I5" s="4" t="n">
        <v>0.02</v>
      </c>
      <c r="J5" s="4" t="n">
        <v>0.02</v>
      </c>
      <c r="K5" s="4" t="n">
        <v>0.02</v>
      </c>
      <c r="L5" s="4" t="n">
        <v>0.02</v>
      </c>
    </row>
    <row r="6">
      <c r="A6" t="inlineStr">
        <is>
          <t>Revenue</t>
        </is>
      </c>
      <c r="B6" s="2" t="n">
        <v>1074.384</v>
      </c>
      <c r="C6">
        <f>B6*(1+C5)</f>
        <v/>
      </c>
      <c r="D6">
        <f>C6*(1+D5)</f>
        <v/>
      </c>
      <c r="E6">
        <f>D6*(1+E5)</f>
        <v/>
      </c>
      <c r="F6">
        <f>E6*(1+F5)</f>
        <v/>
      </c>
      <c r="G6">
        <f>F6*(1+G5)</f>
        <v/>
      </c>
      <c r="H6">
        <f>G6*(1+H5)</f>
        <v/>
      </c>
      <c r="I6">
        <f>H6*(1+I5)</f>
        <v/>
      </c>
      <c r="J6">
        <f>I6*(1+J5)</f>
        <v/>
      </c>
      <c r="K6">
        <f>J6*(1+K5)</f>
        <v/>
      </c>
      <c r="L6">
        <f>K6*(1+L5)</f>
        <v/>
      </c>
    </row>
    <row r="7">
      <c r="A7" t="inlineStr">
        <is>
          <t>Operating EBITDA margin</t>
        </is>
      </c>
      <c r="B7" s="2" t="n">
        <v>0.0599</v>
      </c>
      <c r="C7" s="4" t="n">
        <v>0.06</v>
      </c>
      <c r="D7" s="4" t="n">
        <v>0.06</v>
      </c>
      <c r="E7" s="4" t="n">
        <v>0.06</v>
      </c>
      <c r="F7" s="4" t="n">
        <v>0.06</v>
      </c>
      <c r="G7" s="4" t="n">
        <v>0.06</v>
      </c>
      <c r="H7" s="4" t="n">
        <v>0.06</v>
      </c>
      <c r="I7" s="4" t="n">
        <v>0.06</v>
      </c>
      <c r="J7" s="4" t="n">
        <v>0.06</v>
      </c>
      <c r="K7" s="4" t="n">
        <v>0.06</v>
      </c>
      <c r="L7" s="4" t="n">
        <v>0.06</v>
      </c>
    </row>
    <row r="8">
      <c r="A8" t="inlineStr">
        <is>
          <t>Operating EBITDA</t>
        </is>
      </c>
      <c r="B8" s="2" t="n">
        <v>64.31</v>
      </c>
      <c r="C8">
        <f>C6*C7</f>
        <v/>
      </c>
      <c r="D8">
        <f>D6*D7</f>
        <v/>
      </c>
      <c r="E8">
        <f>E6*E7</f>
        <v/>
      </c>
      <c r="F8">
        <f>F6*F7</f>
        <v/>
      </c>
      <c r="G8">
        <f>G6*G7</f>
        <v/>
      </c>
      <c r="H8">
        <f>H6*H7</f>
        <v/>
      </c>
      <c r="I8">
        <f>I6*I7</f>
        <v/>
      </c>
      <c r="J8">
        <f>J6*J7</f>
        <v/>
      </c>
      <c r="K8">
        <f>K6*K7</f>
        <v/>
      </c>
      <c r="L8">
        <f>L6*L7</f>
        <v/>
      </c>
    </row>
    <row r="9">
      <c r="A9" t="inlineStr">
        <is>
          <t>SBC % of revenue (SBC-zero market)</t>
        </is>
      </c>
      <c r="C9" s="4" t="n">
        <v>0</v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</row>
    <row r="10">
      <c r="A10" t="inlineStr">
        <is>
          <t>SBC</t>
        </is>
      </c>
      <c r="C10">
        <f>-C6*C9</f>
        <v/>
      </c>
      <c r="D10">
        <f>-D6*D9</f>
        <v/>
      </c>
      <c r="E10">
        <f>-E6*E9</f>
        <v/>
      </c>
      <c r="F10">
        <f>-F6*F9</f>
        <v/>
      </c>
      <c r="G10">
        <f>-G6*G9</f>
        <v/>
      </c>
      <c r="H10">
        <f>-H6*H9</f>
        <v/>
      </c>
      <c r="I10">
        <f>-I6*I9</f>
        <v/>
      </c>
      <c r="J10">
        <f>-J6*J9</f>
        <v/>
      </c>
      <c r="K10">
        <f>-K6*K9</f>
        <v/>
      </c>
      <c r="L10">
        <f>-L6*L9</f>
        <v/>
      </c>
    </row>
    <row r="11">
      <c r="A11" t="inlineStr">
        <is>
          <t>Lease payment (principal + lease interest)</t>
        </is>
      </c>
      <c r="C11" s="5">
        <f>-C6*Assumptions!$B$4</f>
        <v/>
      </c>
      <c r="D11" s="5">
        <f>-D6*Assumptions!$B$4</f>
        <v/>
      </c>
      <c r="E11" s="5">
        <f>-E6*Assumptions!$B$4</f>
        <v/>
      </c>
      <c r="F11" s="5">
        <f>-F6*Assumptions!$B$4</f>
        <v/>
      </c>
      <c r="G11" s="5">
        <f>-G6*Assumptions!$B$4</f>
        <v/>
      </c>
      <c r="H11" s="5">
        <f>-H6*Assumptions!$B$4</f>
        <v/>
      </c>
      <c r="I11" s="5">
        <f>-I6*Assumptions!$B$4</f>
        <v/>
      </c>
      <c r="J11" s="5">
        <f>-J6*Assumptions!$B$4</f>
        <v/>
      </c>
      <c r="K11" s="5">
        <f>-K6*Assumptions!$B$4</f>
        <v/>
      </c>
      <c r="L11" s="5">
        <f>-L6*Assumptions!$B$4</f>
        <v/>
      </c>
    </row>
    <row r="12">
      <c r="A12" t="inlineStr">
        <is>
          <t>Owned-asset D&amp;A</t>
        </is>
      </c>
      <c r="C12" s="5">
        <f>-C6*Assumptions!$B$5</f>
        <v/>
      </c>
      <c r="D12" s="5">
        <f>-D6*Assumptions!$B$5</f>
        <v/>
      </c>
      <c r="E12" s="5">
        <f>-E6*Assumptions!$B$5</f>
        <v/>
      </c>
      <c r="F12" s="5">
        <f>-F6*Assumptions!$B$5</f>
        <v/>
      </c>
      <c r="G12" s="5">
        <f>-G6*Assumptions!$B$5</f>
        <v/>
      </c>
      <c r="H12" s="5">
        <f>-H6*Assumptions!$B$5</f>
        <v/>
      </c>
      <c r="I12" s="5">
        <f>-I6*Assumptions!$B$5</f>
        <v/>
      </c>
      <c r="J12" s="5">
        <f>-J6*Assumptions!$B$5</f>
        <v/>
      </c>
      <c r="K12" s="5">
        <f>-K6*Assumptions!$B$5</f>
        <v/>
      </c>
      <c r="L12" s="5">
        <f>-L6*Assumptions!$B$5</f>
        <v/>
      </c>
    </row>
    <row r="13">
      <c r="A13" t="inlineStr">
        <is>
          <t>Owner EBIT (post lease, post SBC)</t>
        </is>
      </c>
      <c r="C13">
        <f>C8+C10+C11+C12</f>
        <v/>
      </c>
      <c r="D13">
        <f>D8+D10+D11+D12</f>
        <v/>
      </c>
      <c r="E13">
        <f>E8+E10+E11+E12</f>
        <v/>
      </c>
      <c r="F13">
        <f>F8+F10+F11+F12</f>
        <v/>
      </c>
      <c r="G13">
        <f>G8+G10+G11+G12</f>
        <v/>
      </c>
      <c r="H13">
        <f>H8+H10+H11+H12</f>
        <v/>
      </c>
      <c r="I13">
        <f>I8+I10+I11+I12</f>
        <v/>
      </c>
      <c r="J13">
        <f>J8+J10+J11+J12</f>
        <v/>
      </c>
      <c r="K13">
        <f>K8+K10+K11+K12</f>
        <v/>
      </c>
      <c r="L13">
        <f>L8+L10+L11+L12</f>
        <v/>
      </c>
    </row>
    <row r="14">
      <c r="A14" t="inlineStr">
        <is>
          <t>Cash tax rate</t>
        </is>
      </c>
      <c r="C14" s="4" t="n">
        <v>0.28</v>
      </c>
      <c r="D14" s="4" t="n">
        <v>0.28</v>
      </c>
      <c r="E14" s="4" t="n">
        <v>0.28</v>
      </c>
      <c r="F14" s="4" t="n">
        <v>0.28</v>
      </c>
      <c r="G14" s="4" t="n">
        <v>0.28</v>
      </c>
      <c r="H14" s="4" t="n">
        <v>0.28</v>
      </c>
      <c r="I14" s="4" t="n">
        <v>0.28</v>
      </c>
      <c r="J14" s="4" t="n">
        <v>0.28</v>
      </c>
      <c r="K14" s="4" t="n">
        <v>0.28</v>
      </c>
      <c r="L14" s="4" t="n">
        <v>0.28</v>
      </c>
    </row>
    <row r="15">
      <c r="A15" t="inlineStr">
        <is>
          <t>Cash tax</t>
        </is>
      </c>
      <c r="C15">
        <f>-MAX(0,C13)*C14</f>
        <v/>
      </c>
      <c r="D15">
        <f>-MAX(0,D13)*D14</f>
        <v/>
      </c>
      <c r="E15">
        <f>-MAX(0,E13)*E14</f>
        <v/>
      </c>
      <c r="F15">
        <f>-MAX(0,F13)*F14</f>
        <v/>
      </c>
      <c r="G15">
        <f>-MAX(0,G13)*G14</f>
        <v/>
      </c>
      <c r="H15">
        <f>-MAX(0,H13)*H14</f>
        <v/>
      </c>
      <c r="I15">
        <f>-MAX(0,I13)*I14</f>
        <v/>
      </c>
      <c r="J15">
        <f>-MAX(0,J13)*J14</f>
        <v/>
      </c>
      <c r="K15">
        <f>-MAX(0,K13)*K14</f>
        <v/>
      </c>
      <c r="L15">
        <f>-MAX(0,L13)*L14</f>
        <v/>
      </c>
    </row>
    <row r="16">
      <c r="A16" t="inlineStr">
        <is>
          <t>NOPAT</t>
        </is>
      </c>
      <c r="C16">
        <f>C13+C15</f>
        <v/>
      </c>
      <c r="D16">
        <f>D13+D15</f>
        <v/>
      </c>
      <c r="E16">
        <f>E13+E15</f>
        <v/>
      </c>
      <c r="F16">
        <f>F13+F15</f>
        <v/>
      </c>
      <c r="G16">
        <f>G13+G15</f>
        <v/>
      </c>
      <c r="H16">
        <f>H13+H15</f>
        <v/>
      </c>
      <c r="I16">
        <f>I13+I15</f>
        <v/>
      </c>
      <c r="J16">
        <f>J13+J15</f>
        <v/>
      </c>
      <c r="K16">
        <f>K13+K15</f>
        <v/>
      </c>
      <c r="L16">
        <f>L13+L15</f>
        <v/>
      </c>
    </row>
    <row r="17">
      <c r="A17" t="inlineStr">
        <is>
          <t>Add back owned D&amp;A</t>
        </is>
      </c>
      <c r="C17">
        <f>-C12</f>
        <v/>
      </c>
      <c r="D17">
        <f>-D12</f>
        <v/>
      </c>
      <c r="E17">
        <f>-E12</f>
        <v/>
      </c>
      <c r="F17">
        <f>-F12</f>
        <v/>
      </c>
      <c r="G17">
        <f>-G12</f>
        <v/>
      </c>
      <c r="H17">
        <f>-H12</f>
        <v/>
      </c>
      <c r="I17">
        <f>-I12</f>
        <v/>
      </c>
      <c r="J17">
        <f>-J12</f>
        <v/>
      </c>
      <c r="K17">
        <f>-K12</f>
        <v/>
      </c>
      <c r="L17">
        <f>-L12</f>
        <v/>
      </c>
    </row>
    <row r="18">
      <c r="A18" t="inlineStr">
        <is>
          <t>Capex</t>
        </is>
      </c>
      <c r="C18" s="5">
        <f>-C6*Assumptions!$B$6</f>
        <v/>
      </c>
      <c r="D18" s="5">
        <f>-D6*Assumptions!$B$6</f>
        <v/>
      </c>
      <c r="E18" s="5">
        <f>-E6*Assumptions!$B$6</f>
        <v/>
      </c>
      <c r="F18" s="5">
        <f>-F6*Assumptions!$B$6</f>
        <v/>
      </c>
      <c r="G18" s="5">
        <f>-G6*Assumptions!$B$6</f>
        <v/>
      </c>
      <c r="H18" s="5">
        <f>-H6*Assumptions!$B$6</f>
        <v/>
      </c>
      <c r="I18" s="5">
        <f>-I6*Assumptions!$B$6</f>
        <v/>
      </c>
      <c r="J18" s="5">
        <f>-J6*Assumptions!$B$6</f>
        <v/>
      </c>
      <c r="K18" s="5">
        <f>-K6*Assumptions!$B$6</f>
        <v/>
      </c>
      <c r="L18" s="5">
        <f>-L6*Assumptions!$B$6</f>
        <v/>
      </c>
    </row>
    <row r="19">
      <c r="A19" t="inlineStr">
        <is>
          <t>Working capital (on revenue change)</t>
        </is>
      </c>
      <c r="C19" s="5">
        <f>-Assumptions!$B$7*(C6-B6)</f>
        <v/>
      </c>
      <c r="D19" s="5">
        <f>-Assumptions!$B$7*(D6-C6)</f>
        <v/>
      </c>
      <c r="E19" s="5">
        <f>-Assumptions!$B$7*(E6-D6)</f>
        <v/>
      </c>
      <c r="F19" s="5">
        <f>-Assumptions!$B$7*(F6-E6)</f>
        <v/>
      </c>
      <c r="G19" s="5">
        <f>-Assumptions!$B$7*(G6-F6)</f>
        <v/>
      </c>
      <c r="H19" s="5">
        <f>-Assumptions!$B$7*(H6-G6)</f>
        <v/>
      </c>
      <c r="I19" s="5">
        <f>-Assumptions!$B$7*(I6-H6)</f>
        <v/>
      </c>
      <c r="J19" s="5">
        <f>-Assumptions!$B$7*(J6-I6)</f>
        <v/>
      </c>
      <c r="K19" s="5">
        <f>-Assumptions!$B$7*(K6-J6)</f>
        <v/>
      </c>
      <c r="L19" s="5">
        <f>-Assumptions!$B$7*(L6-K6)</f>
        <v/>
      </c>
    </row>
    <row r="20">
      <c r="A20" t="inlineStr">
        <is>
          <t>Unlevered owner FCF</t>
        </is>
      </c>
      <c r="C20">
        <f>C16+C17+C18+C19</f>
        <v/>
      </c>
      <c r="D20">
        <f>D16+D17+D18+D19</f>
        <v/>
      </c>
      <c r="E20">
        <f>E16+E17+E18+E19</f>
        <v/>
      </c>
      <c r="F20">
        <f>F16+F17+F18+F19</f>
        <v/>
      </c>
      <c r="G20">
        <f>G16+G17+G18+G19</f>
        <v/>
      </c>
      <c r="H20">
        <f>H16+H17+H18+H19</f>
        <v/>
      </c>
      <c r="I20">
        <f>I16+I17+I18+I19</f>
        <v/>
      </c>
      <c r="J20">
        <f>J16+J17+J18+J19</f>
        <v/>
      </c>
      <c r="K20">
        <f>K16+K17+K18+K19</f>
        <v/>
      </c>
      <c r="L20">
        <f>L16+L17+L18+L19</f>
        <v/>
      </c>
    </row>
    <row r="21">
      <c r="A21" t="inlineStr">
        <is>
          <t>Discount factor</t>
        </is>
      </c>
      <c r="C21" s="5">
        <f>1/(1+Assumptions!$B$3)^C4</f>
        <v/>
      </c>
      <c r="D21" s="5">
        <f>1/(1+Assumptions!$B$3)^D4</f>
        <v/>
      </c>
      <c r="E21" s="5">
        <f>1/(1+Assumptions!$B$3)^E4</f>
        <v/>
      </c>
      <c r="F21" s="5">
        <f>1/(1+Assumptions!$B$3)^F4</f>
        <v/>
      </c>
      <c r="G21" s="5">
        <f>1/(1+Assumptions!$B$3)^G4</f>
        <v/>
      </c>
      <c r="H21" s="5">
        <f>1/(1+Assumptions!$B$3)^H4</f>
        <v/>
      </c>
      <c r="I21" s="5">
        <f>1/(1+Assumptions!$B$3)^I4</f>
        <v/>
      </c>
      <c r="J21" s="5">
        <f>1/(1+Assumptions!$B$3)^J4</f>
        <v/>
      </c>
      <c r="K21" s="5">
        <f>1/(1+Assumptions!$B$3)^K4</f>
        <v/>
      </c>
      <c r="L21" s="5">
        <f>1/(1+Assumptions!$B$3)^L4</f>
        <v/>
      </c>
    </row>
    <row r="22">
      <c r="A22" t="inlineStr">
        <is>
          <t>PV of FCF</t>
        </is>
      </c>
      <c r="C22">
        <f>C20*C21</f>
        <v/>
      </c>
      <c r="D22">
        <f>D20*D21</f>
        <v/>
      </c>
      <c r="E22">
        <f>E20*E21</f>
        <v/>
      </c>
      <c r="F22">
        <f>F20*F21</f>
        <v/>
      </c>
      <c r="G22">
        <f>G20*G21</f>
        <v/>
      </c>
      <c r="H22">
        <f>H20*H21</f>
        <v/>
      </c>
      <c r="I22">
        <f>I20*I21</f>
        <v/>
      </c>
      <c r="J22">
        <f>J20*J21</f>
        <v/>
      </c>
      <c r="K22">
        <f>K20*K21</f>
        <v/>
      </c>
      <c r="L22">
        <f>L20*L21</f>
        <v/>
      </c>
    </row>
    <row r="24">
      <c r="A24" t="inlineStr">
        <is>
          <t>Memo: owner FCF margin</t>
        </is>
      </c>
      <c r="C24">
        <f>C20/C6</f>
        <v/>
      </c>
      <c r="D24">
        <f>D20/D6</f>
        <v/>
      </c>
      <c r="E24">
        <f>E20/E6</f>
        <v/>
      </c>
      <c r="F24">
        <f>F20/F6</f>
        <v/>
      </c>
      <c r="G24">
        <f>G20/G6</f>
        <v/>
      </c>
      <c r="H24">
        <f>H20/H6</f>
        <v/>
      </c>
      <c r="I24">
        <f>I20/I6</f>
        <v/>
      </c>
      <c r="J24">
        <f>J20/J6</f>
        <v/>
      </c>
      <c r="K24">
        <f>K20/K6</f>
        <v/>
      </c>
      <c r="L24">
        <f>L20/L6</f>
        <v/>
      </c>
    </row>
    <row r="26">
      <c r="A26" t="inlineStr">
        <is>
          <t>Sum PV of FCF</t>
        </is>
      </c>
      <c r="B26">
        <f>SUM(C22:L22)</f>
        <v/>
      </c>
    </row>
    <row r="27">
      <c r="A27" t="inlineStr">
        <is>
          <t>Terminal growth</t>
        </is>
      </c>
      <c r="B27" s="5">
        <f>Assumptions!$B$16</f>
        <v/>
      </c>
    </row>
    <row r="28">
      <c r="A28" t="inlineStr">
        <is>
          <t>Terminal FCF</t>
        </is>
      </c>
      <c r="B28">
        <f>L20*(1+B27)</f>
        <v/>
      </c>
    </row>
    <row r="29">
      <c r="A29" t="inlineStr">
        <is>
          <t>Gordon TV</t>
        </is>
      </c>
      <c r="B29">
        <f>IF(Assumptions!$B$3&gt;B27,B28/(Assumptions!$B$3-B27),"n/a")</f>
        <v/>
      </c>
    </row>
    <row r="30">
      <c r="A30" t="inlineStr">
        <is>
          <t>Exit-cap TV (cap x terminal EBITDA)</t>
        </is>
      </c>
      <c r="B30" s="5">
        <f>Assumptions!$C$16*L8</f>
        <v/>
      </c>
    </row>
    <row r="31">
      <c r="A31" t="inlineStr">
        <is>
          <t>TV used = MAX(0,MIN(Gordon,cap))</t>
        </is>
      </c>
      <c r="B31">
        <f>MAX(0,MIN(B29,B30))</f>
        <v/>
      </c>
    </row>
    <row r="32">
      <c r="A32" t="inlineStr">
        <is>
          <t>Implied exit multiple on FCF</t>
        </is>
      </c>
      <c r="B32">
        <f>IF(L20&gt;0,B31/L20,"n/a")</f>
        <v/>
      </c>
    </row>
    <row r="33">
      <c r="A33" t="inlineStr">
        <is>
          <t>PV of terminal value</t>
        </is>
      </c>
      <c r="B33">
        <f>B31*L21</f>
        <v/>
      </c>
    </row>
    <row r="34">
      <c r="A34" t="inlineStr">
        <is>
          <t>Enterprise value</t>
        </is>
      </c>
      <c r="B34">
        <f>B26+B33</f>
        <v/>
      </c>
    </row>
    <row r="35">
      <c r="A35" t="inlineStr">
        <is>
          <t>Less net debt</t>
        </is>
      </c>
      <c r="B35" s="5">
        <f>-Assumptions!$B$9</f>
        <v/>
      </c>
    </row>
    <row r="36">
      <c r="A36" t="inlineStr">
        <is>
          <t>Equity value</t>
        </is>
      </c>
      <c r="B36">
        <f>B34+B35</f>
        <v/>
      </c>
    </row>
    <row r="37">
      <c r="A37" t="inlineStr">
        <is>
          <t>Diluted shares (m)</t>
        </is>
      </c>
      <c r="B37" s="5">
        <f>Assumptions!$B$10</f>
        <v/>
      </c>
    </row>
    <row r="38">
      <c r="A38" t="inlineStr">
        <is>
          <t>VALUE PER SHARE</t>
        </is>
      </c>
      <c r="B38" s="6">
        <f>B36/B37</f>
        <v/>
      </c>
    </row>
    <row r="39">
      <c r="A39" t="inlineStr">
        <is>
          <t>Upside vs price</t>
        </is>
      </c>
      <c r="B39">
        <f>B38/Assumptions!$B$11-1</f>
        <v/>
      </c>
    </row>
    <row r="41">
      <c r="A41" t="inlineStr">
        <is>
          <t>Street value per share (= house; SBC-zero)</t>
        </is>
      </c>
      <c r="B41">
        <f>B38</f>
        <v/>
      </c>
    </row>
    <row r="43">
      <c r="A43" t="inlineStr">
        <is>
          <t>Memo: market-convention value (exit cap AS the TV)</t>
        </is>
      </c>
      <c r="B43">
        <f>(B26+B30*L21+B35)/B37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3:L43"/>
  <sheetViews>
    <sheetView workbookViewId="0">
      <selection activeCell="A1" sqref="A1"/>
    </sheetView>
  </sheetViews>
  <sheetFormatPr baseColWidth="8" defaultRowHeight="15"/>
  <cols>
    <col width="44" customWidth="1" min="1" max="1"/>
  </cols>
  <sheetData>
    <row r="3">
      <c r="A3" t="inlineStr">
        <is>
          <t>Year</t>
        </is>
      </c>
      <c r="B3" s="1" t="inlineStr">
        <is>
          <t>FY2026A</t>
        </is>
      </c>
      <c r="C3" s="1" t="inlineStr">
        <is>
          <t>FY2027E</t>
        </is>
      </c>
      <c r="D3" s="1" t="inlineStr">
        <is>
          <t>FY2028E</t>
        </is>
      </c>
      <c r="E3" s="1" t="inlineStr">
        <is>
          <t>FY2029E</t>
        </is>
      </c>
      <c r="F3" s="1" t="inlineStr">
        <is>
          <t>FY2030E</t>
        </is>
      </c>
      <c r="G3" s="1" t="inlineStr">
        <is>
          <t>FY2031E</t>
        </is>
      </c>
      <c r="H3" s="1" t="inlineStr">
        <is>
          <t>FY2032E</t>
        </is>
      </c>
      <c r="I3" s="1" t="inlineStr">
        <is>
          <t>FY2033E</t>
        </is>
      </c>
      <c r="J3" s="1" t="inlineStr">
        <is>
          <t>FY2034E</t>
        </is>
      </c>
      <c r="K3" s="1" t="inlineStr">
        <is>
          <t>FY2035E</t>
        </is>
      </c>
      <c r="L3" s="1" t="inlineStr">
        <is>
          <t>FY2036E</t>
        </is>
      </c>
    </row>
    <row r="4">
      <c r="A4" t="inlineStr">
        <is>
          <t>Index</t>
        </is>
      </c>
      <c r="B4" t="n">
        <v>0</v>
      </c>
      <c r="C4" t="n">
        <v>1</v>
      </c>
      <c r="D4" t="n">
        <v>2</v>
      </c>
      <c r="E4" t="n">
        <v>3</v>
      </c>
      <c r="F4" t="n">
        <v>4</v>
      </c>
      <c r="G4" t="n">
        <v>5</v>
      </c>
      <c r="H4" t="n">
        <v>6</v>
      </c>
      <c r="I4" t="n">
        <v>7</v>
      </c>
      <c r="J4" t="n">
        <v>8</v>
      </c>
      <c r="K4" t="n">
        <v>9</v>
      </c>
      <c r="L4" t="n">
        <v>10</v>
      </c>
    </row>
    <row r="5">
      <c r="A5" t="inlineStr">
        <is>
          <t>Revenue growth YoY</t>
        </is>
      </c>
      <c r="C5" s="4" t="n">
        <v>0.05</v>
      </c>
      <c r="D5" s="4" t="n">
        <v>0.04</v>
      </c>
      <c r="E5" s="4" t="n">
        <v>0.035</v>
      </c>
      <c r="F5" s="4" t="n">
        <v>0.03</v>
      </c>
      <c r="G5" s="4" t="n">
        <v>0.03</v>
      </c>
      <c r="H5" s="4" t="n">
        <v>0.025</v>
      </c>
      <c r="I5" s="4" t="n">
        <v>0.025</v>
      </c>
      <c r="J5" s="4" t="n">
        <v>0.025</v>
      </c>
      <c r="K5" s="4" t="n">
        <v>0.025</v>
      </c>
      <c r="L5" s="4" t="n">
        <v>0.025</v>
      </c>
    </row>
    <row r="6">
      <c r="A6" t="inlineStr">
        <is>
          <t>Revenue</t>
        </is>
      </c>
      <c r="B6" s="2" t="n">
        <v>1074.384</v>
      </c>
      <c r="C6">
        <f>B6*(1+C5)</f>
        <v/>
      </c>
      <c r="D6">
        <f>C6*(1+D5)</f>
        <v/>
      </c>
      <c r="E6">
        <f>D6*(1+E5)</f>
        <v/>
      </c>
      <c r="F6">
        <f>E6*(1+F5)</f>
        <v/>
      </c>
      <c r="G6">
        <f>F6*(1+G5)</f>
        <v/>
      </c>
      <c r="H6">
        <f>G6*(1+H5)</f>
        <v/>
      </c>
      <c r="I6">
        <f>H6*(1+I5)</f>
        <v/>
      </c>
      <c r="J6">
        <f>I6*(1+J5)</f>
        <v/>
      </c>
      <c r="K6">
        <f>J6*(1+K5)</f>
        <v/>
      </c>
      <c r="L6">
        <f>K6*(1+L5)</f>
        <v/>
      </c>
    </row>
    <row r="7">
      <c r="A7" t="inlineStr">
        <is>
          <t>Operating EBITDA margin</t>
        </is>
      </c>
      <c r="B7" s="2" t="n">
        <v>0.0599</v>
      </c>
      <c r="C7" s="4" t="n">
        <v>0.062</v>
      </c>
      <c r="D7" s="4" t="n">
        <v>0.064</v>
      </c>
      <c r="E7" s="4" t="n">
        <v>0.066</v>
      </c>
      <c r="F7" s="4" t="n">
        <v>0.068</v>
      </c>
      <c r="G7" s="4" t="n">
        <v>0.068</v>
      </c>
      <c r="H7" s="4" t="n">
        <v>0.068</v>
      </c>
      <c r="I7" s="4" t="n">
        <v>0.068</v>
      </c>
      <c r="J7" s="4" t="n">
        <v>0.068</v>
      </c>
      <c r="K7" s="4" t="n">
        <v>0.068</v>
      </c>
      <c r="L7" s="4" t="n">
        <v>0.068</v>
      </c>
    </row>
    <row r="8">
      <c r="A8" t="inlineStr">
        <is>
          <t>Operating EBITDA</t>
        </is>
      </c>
      <c r="B8" s="2" t="n">
        <v>64.31</v>
      </c>
      <c r="C8">
        <f>C6*C7</f>
        <v/>
      </c>
      <c r="D8">
        <f>D6*D7</f>
        <v/>
      </c>
      <c r="E8">
        <f>E6*E7</f>
        <v/>
      </c>
      <c r="F8">
        <f>F6*F7</f>
        <v/>
      </c>
      <c r="G8">
        <f>G6*G7</f>
        <v/>
      </c>
      <c r="H8">
        <f>H6*H7</f>
        <v/>
      </c>
      <c r="I8">
        <f>I6*I7</f>
        <v/>
      </c>
      <c r="J8">
        <f>J6*J7</f>
        <v/>
      </c>
      <c r="K8">
        <f>K6*K7</f>
        <v/>
      </c>
      <c r="L8">
        <f>L6*L7</f>
        <v/>
      </c>
    </row>
    <row r="9">
      <c r="A9" t="inlineStr">
        <is>
          <t>SBC % of revenue (SBC-zero market)</t>
        </is>
      </c>
      <c r="C9" s="4" t="n">
        <v>0</v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</row>
    <row r="10">
      <c r="A10" t="inlineStr">
        <is>
          <t>SBC</t>
        </is>
      </c>
      <c r="C10">
        <f>-C6*C9</f>
        <v/>
      </c>
      <c r="D10">
        <f>-D6*D9</f>
        <v/>
      </c>
      <c r="E10">
        <f>-E6*E9</f>
        <v/>
      </c>
      <c r="F10">
        <f>-F6*F9</f>
        <v/>
      </c>
      <c r="G10">
        <f>-G6*G9</f>
        <v/>
      </c>
      <c r="H10">
        <f>-H6*H9</f>
        <v/>
      </c>
      <c r="I10">
        <f>-I6*I9</f>
        <v/>
      </c>
      <c r="J10">
        <f>-J6*J9</f>
        <v/>
      </c>
      <c r="K10">
        <f>-K6*K9</f>
        <v/>
      </c>
      <c r="L10">
        <f>-L6*L9</f>
        <v/>
      </c>
    </row>
    <row r="11">
      <c r="A11" t="inlineStr">
        <is>
          <t>Lease payment (principal + lease interest)</t>
        </is>
      </c>
      <c r="C11" s="5">
        <f>-C6*Assumptions!$B$4</f>
        <v/>
      </c>
      <c r="D11" s="5">
        <f>-D6*Assumptions!$B$4</f>
        <v/>
      </c>
      <c r="E11" s="5">
        <f>-E6*Assumptions!$B$4</f>
        <v/>
      </c>
      <c r="F11" s="5">
        <f>-F6*Assumptions!$B$4</f>
        <v/>
      </c>
      <c r="G11" s="5">
        <f>-G6*Assumptions!$B$4</f>
        <v/>
      </c>
      <c r="H11" s="5">
        <f>-H6*Assumptions!$B$4</f>
        <v/>
      </c>
      <c r="I11" s="5">
        <f>-I6*Assumptions!$B$4</f>
        <v/>
      </c>
      <c r="J11" s="5">
        <f>-J6*Assumptions!$B$4</f>
        <v/>
      </c>
      <c r="K11" s="5">
        <f>-K6*Assumptions!$B$4</f>
        <v/>
      </c>
      <c r="L11" s="5">
        <f>-L6*Assumptions!$B$4</f>
        <v/>
      </c>
    </row>
    <row r="12">
      <c r="A12" t="inlineStr">
        <is>
          <t>Owned-asset D&amp;A</t>
        </is>
      </c>
      <c r="C12" s="5">
        <f>-C6*Assumptions!$B$5</f>
        <v/>
      </c>
      <c r="D12" s="5">
        <f>-D6*Assumptions!$B$5</f>
        <v/>
      </c>
      <c r="E12" s="5">
        <f>-E6*Assumptions!$B$5</f>
        <v/>
      </c>
      <c r="F12" s="5">
        <f>-F6*Assumptions!$B$5</f>
        <v/>
      </c>
      <c r="G12" s="5">
        <f>-G6*Assumptions!$B$5</f>
        <v/>
      </c>
      <c r="H12" s="5">
        <f>-H6*Assumptions!$B$5</f>
        <v/>
      </c>
      <c r="I12" s="5">
        <f>-I6*Assumptions!$B$5</f>
        <v/>
      </c>
      <c r="J12" s="5">
        <f>-J6*Assumptions!$B$5</f>
        <v/>
      </c>
      <c r="K12" s="5">
        <f>-K6*Assumptions!$B$5</f>
        <v/>
      </c>
      <c r="L12" s="5">
        <f>-L6*Assumptions!$B$5</f>
        <v/>
      </c>
    </row>
    <row r="13">
      <c r="A13" t="inlineStr">
        <is>
          <t>Owner EBIT (post lease, post SBC)</t>
        </is>
      </c>
      <c r="C13">
        <f>C8+C10+C11+C12</f>
        <v/>
      </c>
      <c r="D13">
        <f>D8+D10+D11+D12</f>
        <v/>
      </c>
      <c r="E13">
        <f>E8+E10+E11+E12</f>
        <v/>
      </c>
      <c r="F13">
        <f>F8+F10+F11+F12</f>
        <v/>
      </c>
      <c r="G13">
        <f>G8+G10+G11+G12</f>
        <v/>
      </c>
      <c r="H13">
        <f>H8+H10+H11+H12</f>
        <v/>
      </c>
      <c r="I13">
        <f>I8+I10+I11+I12</f>
        <v/>
      </c>
      <c r="J13">
        <f>J8+J10+J11+J12</f>
        <v/>
      </c>
      <c r="K13">
        <f>K8+K10+K11+K12</f>
        <v/>
      </c>
      <c r="L13">
        <f>L8+L10+L11+L12</f>
        <v/>
      </c>
    </row>
    <row r="14">
      <c r="A14" t="inlineStr">
        <is>
          <t>Cash tax rate</t>
        </is>
      </c>
      <c r="C14" s="4" t="n">
        <v>0.28</v>
      </c>
      <c r="D14" s="4" t="n">
        <v>0.28</v>
      </c>
      <c r="E14" s="4" t="n">
        <v>0.28</v>
      </c>
      <c r="F14" s="4" t="n">
        <v>0.28</v>
      </c>
      <c r="G14" s="4" t="n">
        <v>0.28</v>
      </c>
      <c r="H14" s="4" t="n">
        <v>0.28</v>
      </c>
      <c r="I14" s="4" t="n">
        <v>0.28</v>
      </c>
      <c r="J14" s="4" t="n">
        <v>0.28</v>
      </c>
      <c r="K14" s="4" t="n">
        <v>0.28</v>
      </c>
      <c r="L14" s="4" t="n">
        <v>0.28</v>
      </c>
    </row>
    <row r="15">
      <c r="A15" t="inlineStr">
        <is>
          <t>Cash tax</t>
        </is>
      </c>
      <c r="C15">
        <f>-MAX(0,C13)*C14</f>
        <v/>
      </c>
      <c r="D15">
        <f>-MAX(0,D13)*D14</f>
        <v/>
      </c>
      <c r="E15">
        <f>-MAX(0,E13)*E14</f>
        <v/>
      </c>
      <c r="F15">
        <f>-MAX(0,F13)*F14</f>
        <v/>
      </c>
      <c r="G15">
        <f>-MAX(0,G13)*G14</f>
        <v/>
      </c>
      <c r="H15">
        <f>-MAX(0,H13)*H14</f>
        <v/>
      </c>
      <c r="I15">
        <f>-MAX(0,I13)*I14</f>
        <v/>
      </c>
      <c r="J15">
        <f>-MAX(0,J13)*J14</f>
        <v/>
      </c>
      <c r="K15">
        <f>-MAX(0,K13)*K14</f>
        <v/>
      </c>
      <c r="L15">
        <f>-MAX(0,L13)*L14</f>
        <v/>
      </c>
    </row>
    <row r="16">
      <c r="A16" t="inlineStr">
        <is>
          <t>NOPAT</t>
        </is>
      </c>
      <c r="C16">
        <f>C13+C15</f>
        <v/>
      </c>
      <c r="D16">
        <f>D13+D15</f>
        <v/>
      </c>
      <c r="E16">
        <f>E13+E15</f>
        <v/>
      </c>
      <c r="F16">
        <f>F13+F15</f>
        <v/>
      </c>
      <c r="G16">
        <f>G13+G15</f>
        <v/>
      </c>
      <c r="H16">
        <f>H13+H15</f>
        <v/>
      </c>
      <c r="I16">
        <f>I13+I15</f>
        <v/>
      </c>
      <c r="J16">
        <f>J13+J15</f>
        <v/>
      </c>
      <c r="K16">
        <f>K13+K15</f>
        <v/>
      </c>
      <c r="L16">
        <f>L13+L15</f>
        <v/>
      </c>
    </row>
    <row r="17">
      <c r="A17" t="inlineStr">
        <is>
          <t>Add back owned D&amp;A</t>
        </is>
      </c>
      <c r="C17">
        <f>-C12</f>
        <v/>
      </c>
      <c r="D17">
        <f>-D12</f>
        <v/>
      </c>
      <c r="E17">
        <f>-E12</f>
        <v/>
      </c>
      <c r="F17">
        <f>-F12</f>
        <v/>
      </c>
      <c r="G17">
        <f>-G12</f>
        <v/>
      </c>
      <c r="H17">
        <f>-H12</f>
        <v/>
      </c>
      <c r="I17">
        <f>-I12</f>
        <v/>
      </c>
      <c r="J17">
        <f>-J12</f>
        <v/>
      </c>
      <c r="K17">
        <f>-K12</f>
        <v/>
      </c>
      <c r="L17">
        <f>-L12</f>
        <v/>
      </c>
    </row>
    <row r="18">
      <c r="A18" t="inlineStr">
        <is>
          <t>Capex</t>
        </is>
      </c>
      <c r="C18" s="5">
        <f>-C6*Assumptions!$B$6</f>
        <v/>
      </c>
      <c r="D18" s="5">
        <f>-D6*Assumptions!$B$6</f>
        <v/>
      </c>
      <c r="E18" s="5">
        <f>-E6*Assumptions!$B$6</f>
        <v/>
      </c>
      <c r="F18" s="5">
        <f>-F6*Assumptions!$B$6</f>
        <v/>
      </c>
      <c r="G18" s="5">
        <f>-G6*Assumptions!$B$6</f>
        <v/>
      </c>
      <c r="H18" s="5">
        <f>-H6*Assumptions!$B$6</f>
        <v/>
      </c>
      <c r="I18" s="5">
        <f>-I6*Assumptions!$B$6</f>
        <v/>
      </c>
      <c r="J18" s="5">
        <f>-J6*Assumptions!$B$6</f>
        <v/>
      </c>
      <c r="K18" s="5">
        <f>-K6*Assumptions!$B$6</f>
        <v/>
      </c>
      <c r="L18" s="5">
        <f>-L6*Assumptions!$B$6</f>
        <v/>
      </c>
    </row>
    <row r="19">
      <c r="A19" t="inlineStr">
        <is>
          <t>Working capital (on revenue change)</t>
        </is>
      </c>
      <c r="C19" s="5">
        <f>-Assumptions!$B$7*(C6-B6)</f>
        <v/>
      </c>
      <c r="D19" s="5">
        <f>-Assumptions!$B$7*(D6-C6)</f>
        <v/>
      </c>
      <c r="E19" s="5">
        <f>-Assumptions!$B$7*(E6-D6)</f>
        <v/>
      </c>
      <c r="F19" s="5">
        <f>-Assumptions!$B$7*(F6-E6)</f>
        <v/>
      </c>
      <c r="G19" s="5">
        <f>-Assumptions!$B$7*(G6-F6)</f>
        <v/>
      </c>
      <c r="H19" s="5">
        <f>-Assumptions!$B$7*(H6-G6)</f>
        <v/>
      </c>
      <c r="I19" s="5">
        <f>-Assumptions!$B$7*(I6-H6)</f>
        <v/>
      </c>
      <c r="J19" s="5">
        <f>-Assumptions!$B$7*(J6-I6)</f>
        <v/>
      </c>
      <c r="K19" s="5">
        <f>-Assumptions!$B$7*(K6-J6)</f>
        <v/>
      </c>
      <c r="L19" s="5">
        <f>-Assumptions!$B$7*(L6-K6)</f>
        <v/>
      </c>
    </row>
    <row r="20">
      <c r="A20" t="inlineStr">
        <is>
          <t>Unlevered owner FCF</t>
        </is>
      </c>
      <c r="C20">
        <f>C16+C17+C18+C19</f>
        <v/>
      </c>
      <c r="D20">
        <f>D16+D17+D18+D19</f>
        <v/>
      </c>
      <c r="E20">
        <f>E16+E17+E18+E19</f>
        <v/>
      </c>
      <c r="F20">
        <f>F16+F17+F18+F19</f>
        <v/>
      </c>
      <c r="G20">
        <f>G16+G17+G18+G19</f>
        <v/>
      </c>
      <c r="H20">
        <f>H16+H17+H18+H19</f>
        <v/>
      </c>
      <c r="I20">
        <f>I16+I17+I18+I19</f>
        <v/>
      </c>
      <c r="J20">
        <f>J16+J17+J18+J19</f>
        <v/>
      </c>
      <c r="K20">
        <f>K16+K17+K18+K19</f>
        <v/>
      </c>
      <c r="L20">
        <f>L16+L17+L18+L19</f>
        <v/>
      </c>
    </row>
    <row r="21">
      <c r="A21" t="inlineStr">
        <is>
          <t>Discount factor</t>
        </is>
      </c>
      <c r="C21" s="5">
        <f>1/(1+Assumptions!$B$3)^C4</f>
        <v/>
      </c>
      <c r="D21" s="5">
        <f>1/(1+Assumptions!$B$3)^D4</f>
        <v/>
      </c>
      <c r="E21" s="5">
        <f>1/(1+Assumptions!$B$3)^E4</f>
        <v/>
      </c>
      <c r="F21" s="5">
        <f>1/(1+Assumptions!$B$3)^F4</f>
        <v/>
      </c>
      <c r="G21" s="5">
        <f>1/(1+Assumptions!$B$3)^G4</f>
        <v/>
      </c>
      <c r="H21" s="5">
        <f>1/(1+Assumptions!$B$3)^H4</f>
        <v/>
      </c>
      <c r="I21" s="5">
        <f>1/(1+Assumptions!$B$3)^I4</f>
        <v/>
      </c>
      <c r="J21" s="5">
        <f>1/(1+Assumptions!$B$3)^J4</f>
        <v/>
      </c>
      <c r="K21" s="5">
        <f>1/(1+Assumptions!$B$3)^K4</f>
        <v/>
      </c>
      <c r="L21" s="5">
        <f>1/(1+Assumptions!$B$3)^L4</f>
        <v/>
      </c>
    </row>
    <row r="22">
      <c r="A22" t="inlineStr">
        <is>
          <t>PV of FCF</t>
        </is>
      </c>
      <c r="C22">
        <f>C20*C21</f>
        <v/>
      </c>
      <c r="D22">
        <f>D20*D21</f>
        <v/>
      </c>
      <c r="E22">
        <f>E20*E21</f>
        <v/>
      </c>
      <c r="F22">
        <f>F20*F21</f>
        <v/>
      </c>
      <c r="G22">
        <f>G20*G21</f>
        <v/>
      </c>
      <c r="H22">
        <f>H20*H21</f>
        <v/>
      </c>
      <c r="I22">
        <f>I20*I21</f>
        <v/>
      </c>
      <c r="J22">
        <f>J20*J21</f>
        <v/>
      </c>
      <c r="K22">
        <f>K20*K21</f>
        <v/>
      </c>
      <c r="L22">
        <f>L20*L21</f>
        <v/>
      </c>
    </row>
    <row r="24">
      <c r="A24" t="inlineStr">
        <is>
          <t>Memo: owner FCF margin</t>
        </is>
      </c>
      <c r="C24">
        <f>C20/C6</f>
        <v/>
      </c>
      <c r="D24">
        <f>D20/D6</f>
        <v/>
      </c>
      <c r="E24">
        <f>E20/E6</f>
        <v/>
      </c>
      <c r="F24">
        <f>F20/F6</f>
        <v/>
      </c>
      <c r="G24">
        <f>G20/G6</f>
        <v/>
      </c>
      <c r="H24">
        <f>H20/H6</f>
        <v/>
      </c>
      <c r="I24">
        <f>I20/I6</f>
        <v/>
      </c>
      <c r="J24">
        <f>J20/J6</f>
        <v/>
      </c>
      <c r="K24">
        <f>K20/K6</f>
        <v/>
      </c>
      <c r="L24">
        <f>L20/L6</f>
        <v/>
      </c>
    </row>
    <row r="26">
      <c r="A26" t="inlineStr">
        <is>
          <t>Sum PV of FCF</t>
        </is>
      </c>
      <c r="B26">
        <f>SUM(C22:L22)</f>
        <v/>
      </c>
    </row>
    <row r="27">
      <c r="A27" t="inlineStr">
        <is>
          <t>Terminal growth</t>
        </is>
      </c>
      <c r="B27" s="5">
        <f>Assumptions!$B$17</f>
        <v/>
      </c>
    </row>
    <row r="28">
      <c r="A28" t="inlineStr">
        <is>
          <t>Terminal FCF</t>
        </is>
      </c>
      <c r="B28">
        <f>L20*(1+B27)</f>
        <v/>
      </c>
    </row>
    <row r="29">
      <c r="A29" t="inlineStr">
        <is>
          <t>Gordon TV</t>
        </is>
      </c>
      <c r="B29">
        <f>IF(Assumptions!$B$3&gt;B27,B28/(Assumptions!$B$3-B27),"n/a")</f>
        <v/>
      </c>
    </row>
    <row r="30">
      <c r="A30" t="inlineStr">
        <is>
          <t>Exit-cap TV (cap x terminal EBITDA)</t>
        </is>
      </c>
      <c r="B30" s="5">
        <f>Assumptions!$C$17*L8</f>
        <v/>
      </c>
    </row>
    <row r="31">
      <c r="A31" t="inlineStr">
        <is>
          <t>TV used = MAX(0,MIN(Gordon,cap))</t>
        </is>
      </c>
      <c r="B31">
        <f>MAX(0,MIN(B29,B30))</f>
        <v/>
      </c>
    </row>
    <row r="32">
      <c r="A32" t="inlineStr">
        <is>
          <t>Implied exit multiple on FCF</t>
        </is>
      </c>
      <c r="B32">
        <f>IF(L20&gt;0,B31/L20,"n/a")</f>
        <v/>
      </c>
    </row>
    <row r="33">
      <c r="A33" t="inlineStr">
        <is>
          <t>PV of terminal value</t>
        </is>
      </c>
      <c r="B33">
        <f>B31*L21</f>
        <v/>
      </c>
    </row>
    <row r="34">
      <c r="A34" t="inlineStr">
        <is>
          <t>Enterprise value</t>
        </is>
      </c>
      <c r="B34">
        <f>B26+B33</f>
        <v/>
      </c>
    </row>
    <row r="35">
      <c r="A35" t="inlineStr">
        <is>
          <t>Less net debt</t>
        </is>
      </c>
      <c r="B35" s="5">
        <f>-Assumptions!$B$9</f>
        <v/>
      </c>
    </row>
    <row r="36">
      <c r="A36" t="inlineStr">
        <is>
          <t>Equity value</t>
        </is>
      </c>
      <c r="B36">
        <f>B34+B35</f>
        <v/>
      </c>
    </row>
    <row r="37">
      <c r="A37" t="inlineStr">
        <is>
          <t>Diluted shares (m)</t>
        </is>
      </c>
      <c r="B37" s="5">
        <f>Assumptions!$B$10</f>
        <v/>
      </c>
    </row>
    <row r="38">
      <c r="A38" t="inlineStr">
        <is>
          <t>VALUE PER SHARE</t>
        </is>
      </c>
      <c r="B38" s="6">
        <f>B36/B37</f>
        <v/>
      </c>
    </row>
    <row r="39">
      <c r="A39" t="inlineStr">
        <is>
          <t>Upside vs price</t>
        </is>
      </c>
      <c r="B39">
        <f>B38/Assumptions!$B$11-1</f>
        <v/>
      </c>
    </row>
    <row r="41">
      <c r="A41" t="inlineStr">
        <is>
          <t>Street value per share (= house; SBC-zero)</t>
        </is>
      </c>
      <c r="B41">
        <f>B38</f>
        <v/>
      </c>
    </row>
    <row r="43">
      <c r="A43" t="inlineStr">
        <is>
          <t>Memo: market-convention value (exit cap AS the TV)</t>
        </is>
      </c>
      <c r="B43">
        <f>(B26+B30*L21+B35)/B37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68" customWidth="1" min="1" max="1"/>
  </cols>
  <sheetData>
    <row r="1">
      <c r="A1" s="1" t="inlineStr">
        <is>
          <t>Reported FCF reconciled to owner FCF, NZD millions (SBC-zero: the only owner adjustment is the IFRS-16 lease principal)</t>
        </is>
      </c>
    </row>
    <row r="3">
      <c r="A3" s="1" t="inlineStr">
        <is>
          <t>Line</t>
        </is>
      </c>
      <c r="B3" s="1" t="inlineStr">
        <is>
          <t>FY2020</t>
        </is>
      </c>
      <c r="C3" s="1" t="inlineStr">
        <is>
          <t>FY2021</t>
        </is>
      </c>
      <c r="D3" s="1" t="inlineStr">
        <is>
          <t>FY2022</t>
        </is>
      </c>
      <c r="E3" s="1" t="inlineStr">
        <is>
          <t>FY2023</t>
        </is>
      </c>
      <c r="F3" s="1" t="inlineStr">
        <is>
          <t>FY2024</t>
        </is>
      </c>
      <c r="G3" s="1" t="inlineStr">
        <is>
          <t>FY2025</t>
        </is>
      </c>
      <c r="H3" s="1" t="inlineStr">
        <is>
          <t>FY2026</t>
        </is>
      </c>
    </row>
    <row r="4">
      <c r="A4" t="inlineStr">
        <is>
          <t>Free cash flow (company definition, OCF less capex)</t>
        </is>
      </c>
      <c r="B4" s="2" t="n">
        <v>22.352</v>
      </c>
      <c r="C4" s="2" t="n">
        <v>50.862</v>
      </c>
      <c r="D4" s="2" t="n">
        <v>14.853</v>
      </c>
      <c r="E4" s="2" t="n">
        <v>8.333</v>
      </c>
      <c r="F4" s="2" t="n">
        <v>34.888</v>
      </c>
      <c r="G4" s="2" t="n">
        <v>-5.031</v>
      </c>
      <c r="H4" s="2" t="n">
        <v>46.008</v>
      </c>
    </row>
    <row r="5">
      <c r="A5" t="inlineStr">
        <is>
          <t>less: lease principal repaid (financing activities)</t>
        </is>
      </c>
      <c r="B5" s="2" t="n">
        <v>-17.586</v>
      </c>
      <c r="C5" s="2" t="n">
        <v>-18.299</v>
      </c>
      <c r="D5" s="2" t="n">
        <v>-18.873</v>
      </c>
      <c r="E5" s="2" t="n">
        <v>-19.532</v>
      </c>
      <c r="F5" s="2" t="n">
        <v>-21.203</v>
      </c>
      <c r="G5" s="2" t="n">
        <v>-22.608</v>
      </c>
      <c r="H5" s="2" t="n">
        <v>-24.03</v>
      </c>
    </row>
    <row r="6">
      <c r="A6" t="inlineStr">
        <is>
          <t>less: SBC incl equity-award taxes (none - SBC-zero)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inlineStr">
        <is>
          <t>less: interest income strip (n/a - net debt position)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inlineStr">
        <is>
          <t>Owner FCF (after leases)</t>
        </is>
      </c>
      <c r="B8">
        <f>B4+B5+B6+B7</f>
        <v/>
      </c>
      <c r="C8">
        <f>C4+C5+C6+C7</f>
        <v/>
      </c>
      <c r="D8">
        <f>D4+D5+D6+D7</f>
        <v/>
      </c>
      <c r="E8">
        <f>E4+E5+E6+E7</f>
        <v/>
      </c>
      <c r="F8">
        <f>F4+F5+F6+F7</f>
        <v/>
      </c>
      <c r="G8">
        <f>G4+G5+G6+G7</f>
        <v/>
      </c>
      <c r="H8">
        <f>H4+H5+H6+H7</f>
        <v/>
      </c>
    </row>
    <row r="9">
      <c r="A9" t="inlineStr">
        <is>
          <t>Reported FCF margin</t>
        </is>
      </c>
      <c r="B9">
        <f>B4/B11</f>
        <v/>
      </c>
      <c r="C9">
        <f>C4/C11</f>
        <v/>
      </c>
      <c r="D9">
        <f>D4/D11</f>
        <v/>
      </c>
      <c r="E9">
        <f>E4/E11</f>
        <v/>
      </c>
      <c r="F9">
        <f>F4/F11</f>
        <v/>
      </c>
      <c r="G9">
        <f>G4/G11</f>
        <v/>
      </c>
      <c r="H9">
        <f>H4/H11</f>
        <v/>
      </c>
    </row>
    <row r="10">
      <c r="A10" t="inlineStr">
        <is>
          <t>Owner FCF margin</t>
        </is>
      </c>
      <c r="B10">
        <f>B8/B11</f>
        <v/>
      </c>
      <c r="C10">
        <f>C8/C11</f>
        <v/>
      </c>
      <c r="D10">
        <f>D8/D11</f>
        <v/>
      </c>
      <c r="E10">
        <f>E8/E11</f>
        <v/>
      </c>
      <c r="F10">
        <f>F8/F11</f>
        <v/>
      </c>
      <c r="G10">
        <f>G8/G11</f>
        <v/>
      </c>
      <c r="H10">
        <f>H8/H11</f>
        <v/>
      </c>
    </row>
    <row r="11">
      <c r="A11" t="inlineStr">
        <is>
          <t>Memo: revenue</t>
        </is>
      </c>
      <c r="B11" s="2" t="n">
        <v>788.0359999999999</v>
      </c>
      <c r="C11" s="2" t="n">
        <v>847.8150000000001</v>
      </c>
      <c r="D11" s="2" t="n">
        <v>952.7</v>
      </c>
      <c r="E11" s="2" t="n">
        <v>975.692</v>
      </c>
      <c r="F11" s="2" t="n">
        <v>915.946</v>
      </c>
      <c r="G11" s="2" t="n">
        <v>975.3440000000001</v>
      </c>
      <c r="H11" s="2" t="n">
        <v>1074.384</v>
      </c>
    </row>
    <row r="12">
      <c r="A12" t="inlineStr">
        <is>
          <t>Memo: cash taxes paid (abnormally low FY2024-26 - trough timing; model uses 28%)</t>
        </is>
      </c>
      <c r="B12" s="2" t="n">
        <v>-4.968</v>
      </c>
      <c r="D12" s="2" t="n">
        <v>-5.623</v>
      </c>
      <c r="E12" s="2" t="n">
        <v>-13.846</v>
      </c>
      <c r="F12" s="2" t="n">
        <v>-2.102</v>
      </c>
      <c r="G12" s="2" t="n">
        <v>0</v>
      </c>
      <c r="H12" s="2" t="n">
        <v>-2.157</v>
      </c>
    </row>
    <row r="14">
      <c r="A14" t="inlineStr">
        <is>
          <t>Seven-year owner FCF total</t>
        </is>
      </c>
      <c r="B14">
        <f>SUM(B8:H8)</f>
        <v/>
      </c>
    </row>
    <row r="15">
      <c r="A15" t="inlineStr">
        <is>
          <t>Empirical cross-check: FY2020-26 dividends $70.5m + Nexan $19.7m were funded by net debt rising $74.9m -&gt; cumulative underlying FCFE ~$15m over six years (~$2.5m/yr). The headline FY2026 FCF of $46.0m is working-capital timing plus a capex holiday, not earnings power.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58" customWidth="1" min="1" max="1"/>
  </cols>
  <sheetData>
    <row r="1">
      <c r="A1" s="3" t="inlineStr">
        <is>
          <t>PGW.NZ valuation summary (NZD)</t>
        </is>
      </c>
    </row>
    <row r="3">
      <c r="A3" s="1" t="inlineStr">
        <is>
          <t>Scenario</t>
        </is>
      </c>
      <c r="B3" s="1" t="inlineStr">
        <is>
          <t>Value/share</t>
        </is>
      </c>
      <c r="C3" s="1" t="inlineStr">
        <is>
          <t>Upside vs price</t>
        </is>
      </c>
      <c r="D3" s="1" t="inlineStr">
        <is>
          <t>Weight</t>
        </is>
      </c>
      <c r="E3" s="1" t="inlineStr">
        <is>
          <t>Street value/share</t>
        </is>
      </c>
      <c r="F3" s="1" t="inlineStr">
        <is>
          <t>Market-convention memo</t>
        </is>
      </c>
    </row>
    <row r="4">
      <c r="A4" t="inlineStr">
        <is>
          <t>Bear</t>
        </is>
      </c>
      <c r="B4" s="5">
        <f>DCF_Bear!$B$38</f>
        <v/>
      </c>
      <c r="C4">
        <f>B4/Assumptions!$B$11-1</f>
        <v/>
      </c>
      <c r="D4" s="5">
        <f>Assumptions!$D$15</f>
        <v/>
      </c>
      <c r="E4" s="5">
        <f>DCF_Bear!$B$41</f>
        <v/>
      </c>
      <c r="F4" s="5">
        <f>DCF_Bear!$B$43</f>
        <v/>
      </c>
    </row>
    <row r="5">
      <c r="A5" t="inlineStr">
        <is>
          <t>Base</t>
        </is>
      </c>
      <c r="B5" s="5">
        <f>DCF_Base!$B$38</f>
        <v/>
      </c>
      <c r="C5">
        <f>B5/Assumptions!$B$11-1</f>
        <v/>
      </c>
      <c r="D5" s="5">
        <f>Assumptions!$D$16</f>
        <v/>
      </c>
      <c r="E5" s="5">
        <f>DCF_Base!$B$41</f>
        <v/>
      </c>
      <c r="F5" s="5">
        <f>DCF_Base!$B$43</f>
        <v/>
      </c>
    </row>
    <row r="6">
      <c r="A6" t="inlineStr">
        <is>
          <t>Bull</t>
        </is>
      </c>
      <c r="B6" s="5">
        <f>DCF_Bull!$B$38</f>
        <v/>
      </c>
      <c r="C6">
        <f>B6/Assumptions!$B$11-1</f>
        <v/>
      </c>
      <c r="D6" s="5">
        <f>Assumptions!$D$17</f>
        <v/>
      </c>
      <c r="E6" s="5">
        <f>DCF_Bull!$B$41</f>
        <v/>
      </c>
      <c r="F6" s="5">
        <f>DCF_Bull!$B$43</f>
        <v/>
      </c>
    </row>
    <row r="8">
      <c r="A8" s="1" t="inlineStr">
        <is>
          <t>Probability-weighted intrinsic value</t>
        </is>
      </c>
      <c r="B8" s="6">
        <f>SUMPRODUCT(B4:B6,D4:D6)</f>
        <v/>
      </c>
    </row>
    <row r="9">
      <c r="A9" t="inlineStr">
        <is>
          <t>Weighted market-convention memo</t>
        </is>
      </c>
      <c r="B9">
        <f>SUMPRODUCT(F4:F6,D4:D6)</f>
        <v/>
      </c>
    </row>
    <row r="10">
      <c r="A10" t="inlineStr">
        <is>
          <t>Margin of safety vs weighted IV</t>
        </is>
      </c>
      <c r="B10">
        <f>1-Assumptions!$B$11/B8</f>
        <v/>
      </c>
    </row>
    <row r="11">
      <c r="A11" t="inlineStr">
        <is>
          <t>Band position (house vs street)</t>
        </is>
      </c>
      <c r="B11" t="inlineStr">
        <is>
          <t>n/a - SBC-zero market, house and street coincide</t>
        </is>
      </c>
    </row>
    <row r="13">
      <c r="A13" s="1" t="inlineStr">
        <is>
          <t>Entry prices at 15% IRR hurdle (interim FCF + capped TV at WACC, discounted at hurdle, less net debt)</t>
        </is>
      </c>
    </row>
    <row r="14">
      <c r="A14" t="inlineStr">
        <is>
          <t>Bear</t>
        </is>
      </c>
      <c r="B14">
        <f>(SUMPRODUCT(DCF_Bear!C20:L20/(1+Assumptions!$B$12)^DCF_Bear!C4:L4)+DCF_Bear!B31/(1+Assumptions!$B$12)^10-Assumptions!$B$9)/Assumptions!$B$10</f>
        <v/>
      </c>
    </row>
    <row r="15">
      <c r="A15" t="inlineStr">
        <is>
          <t>Base</t>
        </is>
      </c>
      <c r="B15">
        <f>(SUMPRODUCT(DCF_Base!C20:L20/(1+Assumptions!$B$12)^DCF_Base!C4:L4)+DCF_Base!B31/(1+Assumptions!$B$12)^10-Assumptions!$B$9)/Assumptions!$B$10</f>
        <v/>
      </c>
    </row>
    <row r="16">
      <c r="A16" t="inlineStr">
        <is>
          <t>Bull</t>
        </is>
      </c>
      <c r="B16">
        <f>(SUMPRODUCT(DCF_Bull!C20:L20/(1+Assumptions!$B$12)^DCF_Bull!C4:L4)+DCF_Bull!B31/(1+Assumptions!$B$12)^10-Assumptions!$B$9)/Assumptions!$B$10</f>
        <v/>
      </c>
    </row>
    <row r="17">
      <c r="A17" t="inlineStr">
        <is>
          <t>Weighted entry price</t>
        </is>
      </c>
      <c r="B17">
        <f>SUMPRODUCT(B14:B16,D4:D6)</f>
        <v/>
      </c>
    </row>
    <row r="19">
      <c r="A19" s="1" t="inlineStr">
        <is>
          <t>Required-return table (base case): value per share at required return r</t>
        </is>
      </c>
    </row>
    <row r="20">
      <c r="A20" t="inlineStr">
        <is>
          <t>r</t>
        </is>
      </c>
      <c r="B20" t="inlineStr">
        <is>
          <t>Value/share</t>
        </is>
      </c>
    </row>
    <row r="21">
      <c r="A21" s="2" t="n">
        <v>0.09</v>
      </c>
      <c r="B21">
        <f>IF($A21&gt;Assumptions!$B$16,(SUMPRODUCT(DCF_Base!$C$20:$L$20/(1+$A21)^DCF_Base!$C$4:$L$4)+MAX(0,MIN(DCF_Base!$L$20*(1+Assumptions!$B$16)/($A21-Assumptions!$B$16),Assumptions!$C$16*DCF_Base!$L$8))/(1+$A21)^10-Assumptions!$B$9)/Assumptions!$B$10,"n/a")</f>
        <v/>
      </c>
    </row>
    <row r="22">
      <c r="A22" s="2" t="n">
        <v>0.1</v>
      </c>
      <c r="B22">
        <f>IF($A22&gt;Assumptions!$B$16,(SUMPRODUCT(DCF_Base!$C$20:$L$20/(1+$A22)^DCF_Base!$C$4:$L$4)+MAX(0,MIN(DCF_Base!$L$20*(1+Assumptions!$B$16)/($A22-Assumptions!$B$16),Assumptions!$C$16*DCF_Base!$L$8))/(1+$A22)^10-Assumptions!$B$9)/Assumptions!$B$10,"n/a")</f>
        <v/>
      </c>
    </row>
    <row r="23">
      <c r="A23" s="2" t="n">
        <v>0.11</v>
      </c>
      <c r="B23">
        <f>IF($A23&gt;Assumptions!$B$16,(SUMPRODUCT(DCF_Base!$C$20:$L$20/(1+$A23)^DCF_Base!$C$4:$L$4)+MAX(0,MIN(DCF_Base!$L$20*(1+Assumptions!$B$16)/($A23-Assumptions!$B$16),Assumptions!$C$16*DCF_Base!$L$8))/(1+$A23)^10-Assumptions!$B$9)/Assumptions!$B$10,"n/a")</f>
        <v/>
      </c>
    </row>
    <row r="24">
      <c r="A24" s="2" t="n">
        <v>0.12</v>
      </c>
      <c r="B24">
        <f>IF($A24&gt;Assumptions!$B$16,(SUMPRODUCT(DCF_Base!$C$20:$L$20/(1+$A24)^DCF_Base!$C$4:$L$4)+MAX(0,MIN(DCF_Base!$L$20*(1+Assumptions!$B$16)/($A24-Assumptions!$B$16),Assumptions!$C$16*DCF_Base!$L$8))/(1+$A24)^10-Assumptions!$B$9)/Assumptions!$B$10,"n/a")</f>
        <v/>
      </c>
    </row>
    <row r="25">
      <c r="A25" s="2" t="n">
        <v>0.135</v>
      </c>
      <c r="B25">
        <f>IF($A25&gt;Assumptions!$B$16,(SUMPRODUCT(DCF_Base!$C$20:$L$20/(1+$A25)^DCF_Base!$C$4:$L$4)+MAX(0,MIN(DCF_Base!$L$20*(1+Assumptions!$B$16)/($A25-Assumptions!$B$16),Assumptions!$C$16*DCF_Base!$L$8))/(1+$A25)^10-Assumptions!$B$9)/Assumptions!$B$10,"n/a")</f>
        <v/>
      </c>
    </row>
    <row r="26">
      <c r="A26" s="2" t="n">
        <v>0.15</v>
      </c>
      <c r="B26">
        <f>IF($A26&gt;Assumptions!$B$16,(SUMPRODUCT(DCF_Base!$C$20:$L$20/(1+$A26)^DCF_Base!$C$4:$L$4)+MAX(0,MIN(DCF_Base!$L$20*(1+Assumptions!$B$16)/($A26-Assumptions!$B$16),Assumptions!$C$16*DCF_Base!$L$8))/(1+$A26)^10-Assumptions!$B$9)/Assumptions!$B$10,"n/a")</f>
        <v/>
      </c>
    </row>
    <row r="29">
      <c r="A29" s="1" t="inlineStr">
        <is>
          <t>Sensitivity: value per share, WACC (rows) x terminal growth (cols), base case</t>
        </is>
      </c>
    </row>
    <row r="30">
      <c r="B30" s="2" t="n">
        <v>0.01</v>
      </c>
      <c r="C30" s="2" t="n">
        <v>0.015</v>
      </c>
      <c r="D30" s="2" t="n">
        <v>0.02</v>
      </c>
      <c r="E30" s="2" t="n">
        <v>0.025</v>
      </c>
      <c r="F30" s="2" t="n">
        <v>0.03</v>
      </c>
    </row>
    <row r="31">
      <c r="A31" s="2" t="n">
        <v>0.115</v>
      </c>
      <c r="B31">
        <f>IF($A31&gt;B$30,(SUMPRODUCT(DCF_Base!$C$20:$L$20/(1+$A31)^DCF_Base!$C$4:$L$4)+MAX(0,MIN(DCF_Base!$L$20*(1+B$30)/($A31-B$30),Assumptions!$C$16*DCF_Base!$L$8))/(1+$A31)^10-Assumptions!$B$9)/Assumptions!$B$10,"n/a")</f>
        <v/>
      </c>
      <c r="C31">
        <f>IF($A31&gt;C$30,(SUMPRODUCT(DCF_Base!$C$20:$L$20/(1+$A31)^DCF_Base!$C$4:$L$4)+MAX(0,MIN(DCF_Base!$L$20*(1+C$30)/($A31-C$30),Assumptions!$C$16*DCF_Base!$L$8))/(1+$A31)^10-Assumptions!$B$9)/Assumptions!$B$10,"n/a")</f>
        <v/>
      </c>
      <c r="D31">
        <f>IF($A31&gt;D$30,(SUMPRODUCT(DCF_Base!$C$20:$L$20/(1+$A31)^DCF_Base!$C$4:$L$4)+MAX(0,MIN(DCF_Base!$L$20*(1+D$30)/($A31-D$30),Assumptions!$C$16*DCF_Base!$L$8))/(1+$A31)^10-Assumptions!$B$9)/Assumptions!$B$10,"n/a")</f>
        <v/>
      </c>
      <c r="E31">
        <f>IF($A31&gt;E$30,(SUMPRODUCT(DCF_Base!$C$20:$L$20/(1+$A31)^DCF_Base!$C$4:$L$4)+MAX(0,MIN(DCF_Base!$L$20*(1+E$30)/($A31-E$30),Assumptions!$C$16*DCF_Base!$L$8))/(1+$A31)^10-Assumptions!$B$9)/Assumptions!$B$10,"n/a")</f>
        <v/>
      </c>
      <c r="F31">
        <f>IF($A31&gt;F$30,(SUMPRODUCT(DCF_Base!$C$20:$L$20/(1+$A31)^DCF_Base!$C$4:$L$4)+MAX(0,MIN(DCF_Base!$L$20*(1+F$30)/($A31-F$30),Assumptions!$C$16*DCF_Base!$L$8))/(1+$A31)^10-Assumptions!$B$9)/Assumptions!$B$10,"n/a")</f>
        <v/>
      </c>
    </row>
    <row r="32">
      <c r="A32" s="2" t="n">
        <v>0.125</v>
      </c>
      <c r="B32">
        <f>IF($A32&gt;B$30,(SUMPRODUCT(DCF_Base!$C$20:$L$20/(1+$A32)^DCF_Base!$C$4:$L$4)+MAX(0,MIN(DCF_Base!$L$20*(1+B$30)/($A32-B$30),Assumptions!$C$16*DCF_Base!$L$8))/(1+$A32)^10-Assumptions!$B$9)/Assumptions!$B$10,"n/a")</f>
        <v/>
      </c>
      <c r="C32">
        <f>IF($A32&gt;C$30,(SUMPRODUCT(DCF_Base!$C$20:$L$20/(1+$A32)^DCF_Base!$C$4:$L$4)+MAX(0,MIN(DCF_Base!$L$20*(1+C$30)/($A32-C$30),Assumptions!$C$16*DCF_Base!$L$8))/(1+$A32)^10-Assumptions!$B$9)/Assumptions!$B$10,"n/a")</f>
        <v/>
      </c>
      <c r="D32">
        <f>IF($A32&gt;D$30,(SUMPRODUCT(DCF_Base!$C$20:$L$20/(1+$A32)^DCF_Base!$C$4:$L$4)+MAX(0,MIN(DCF_Base!$L$20*(1+D$30)/($A32-D$30),Assumptions!$C$16*DCF_Base!$L$8))/(1+$A32)^10-Assumptions!$B$9)/Assumptions!$B$10,"n/a")</f>
        <v/>
      </c>
      <c r="E32">
        <f>IF($A32&gt;E$30,(SUMPRODUCT(DCF_Base!$C$20:$L$20/(1+$A32)^DCF_Base!$C$4:$L$4)+MAX(0,MIN(DCF_Base!$L$20*(1+E$30)/($A32-E$30),Assumptions!$C$16*DCF_Base!$L$8))/(1+$A32)^10-Assumptions!$B$9)/Assumptions!$B$10,"n/a")</f>
        <v/>
      </c>
      <c r="F32">
        <f>IF($A32&gt;F$30,(SUMPRODUCT(DCF_Base!$C$20:$L$20/(1+$A32)^DCF_Base!$C$4:$L$4)+MAX(0,MIN(DCF_Base!$L$20*(1+F$30)/($A32-F$30),Assumptions!$C$16*DCF_Base!$L$8))/(1+$A32)^10-Assumptions!$B$9)/Assumptions!$B$10,"n/a")</f>
        <v/>
      </c>
    </row>
    <row r="33">
      <c r="A33" s="2" t="n">
        <v>0.135</v>
      </c>
      <c r="B33">
        <f>IF($A33&gt;B$30,(SUMPRODUCT(DCF_Base!$C$20:$L$20/(1+$A33)^DCF_Base!$C$4:$L$4)+MAX(0,MIN(DCF_Base!$L$20*(1+B$30)/($A33-B$30),Assumptions!$C$16*DCF_Base!$L$8))/(1+$A33)^10-Assumptions!$B$9)/Assumptions!$B$10,"n/a")</f>
        <v/>
      </c>
      <c r="C33">
        <f>IF($A33&gt;C$30,(SUMPRODUCT(DCF_Base!$C$20:$L$20/(1+$A33)^DCF_Base!$C$4:$L$4)+MAX(0,MIN(DCF_Base!$L$20*(1+C$30)/($A33-C$30),Assumptions!$C$16*DCF_Base!$L$8))/(1+$A33)^10-Assumptions!$B$9)/Assumptions!$B$10,"n/a")</f>
        <v/>
      </c>
      <c r="D33">
        <f>IF($A33&gt;D$30,(SUMPRODUCT(DCF_Base!$C$20:$L$20/(1+$A33)^DCF_Base!$C$4:$L$4)+MAX(0,MIN(DCF_Base!$L$20*(1+D$30)/($A33-D$30),Assumptions!$C$16*DCF_Base!$L$8))/(1+$A33)^10-Assumptions!$B$9)/Assumptions!$B$10,"n/a")</f>
        <v/>
      </c>
      <c r="E33">
        <f>IF($A33&gt;E$30,(SUMPRODUCT(DCF_Base!$C$20:$L$20/(1+$A33)^DCF_Base!$C$4:$L$4)+MAX(0,MIN(DCF_Base!$L$20*(1+E$30)/($A33-E$30),Assumptions!$C$16*DCF_Base!$L$8))/(1+$A33)^10-Assumptions!$B$9)/Assumptions!$B$10,"n/a")</f>
        <v/>
      </c>
      <c r="F33">
        <f>IF($A33&gt;F$30,(SUMPRODUCT(DCF_Base!$C$20:$L$20/(1+$A33)^DCF_Base!$C$4:$L$4)+MAX(0,MIN(DCF_Base!$L$20*(1+F$30)/($A33-F$30),Assumptions!$C$16*DCF_Base!$L$8))/(1+$A33)^10-Assumptions!$B$9)/Assumptions!$B$10,"n/a")</f>
        <v/>
      </c>
    </row>
    <row r="34">
      <c r="A34" s="2" t="n">
        <v>0.145</v>
      </c>
      <c r="B34">
        <f>IF($A34&gt;B$30,(SUMPRODUCT(DCF_Base!$C$20:$L$20/(1+$A34)^DCF_Base!$C$4:$L$4)+MAX(0,MIN(DCF_Base!$L$20*(1+B$30)/($A34-B$30),Assumptions!$C$16*DCF_Base!$L$8))/(1+$A34)^10-Assumptions!$B$9)/Assumptions!$B$10,"n/a")</f>
        <v/>
      </c>
      <c r="C34">
        <f>IF($A34&gt;C$30,(SUMPRODUCT(DCF_Base!$C$20:$L$20/(1+$A34)^DCF_Base!$C$4:$L$4)+MAX(0,MIN(DCF_Base!$L$20*(1+C$30)/($A34-C$30),Assumptions!$C$16*DCF_Base!$L$8))/(1+$A34)^10-Assumptions!$B$9)/Assumptions!$B$10,"n/a")</f>
        <v/>
      </c>
      <c r="D34">
        <f>IF($A34&gt;D$30,(SUMPRODUCT(DCF_Base!$C$20:$L$20/(1+$A34)^DCF_Base!$C$4:$L$4)+MAX(0,MIN(DCF_Base!$L$20*(1+D$30)/($A34-D$30),Assumptions!$C$16*DCF_Base!$L$8))/(1+$A34)^10-Assumptions!$B$9)/Assumptions!$B$10,"n/a")</f>
        <v/>
      </c>
      <c r="E34">
        <f>IF($A34&gt;E$30,(SUMPRODUCT(DCF_Base!$C$20:$L$20/(1+$A34)^DCF_Base!$C$4:$L$4)+MAX(0,MIN(DCF_Base!$L$20*(1+E$30)/($A34-E$30),Assumptions!$C$16*DCF_Base!$L$8))/(1+$A34)^10-Assumptions!$B$9)/Assumptions!$B$10,"n/a")</f>
        <v/>
      </c>
      <c r="F34">
        <f>IF($A34&gt;F$30,(SUMPRODUCT(DCF_Base!$C$20:$L$20/(1+$A34)^DCF_Base!$C$4:$L$4)+MAX(0,MIN(DCF_Base!$L$20*(1+F$30)/($A34-F$30),Assumptions!$C$16*DCF_Base!$L$8))/(1+$A34)^10-Assumptions!$B$9)/Assumptions!$B$10,"n/a")</f>
        <v/>
      </c>
    </row>
    <row r="35">
      <c r="A35" s="2" t="n">
        <v>0.155</v>
      </c>
      <c r="B35">
        <f>IF($A35&gt;B$30,(SUMPRODUCT(DCF_Base!$C$20:$L$20/(1+$A35)^DCF_Base!$C$4:$L$4)+MAX(0,MIN(DCF_Base!$L$20*(1+B$30)/($A35-B$30),Assumptions!$C$16*DCF_Base!$L$8))/(1+$A35)^10-Assumptions!$B$9)/Assumptions!$B$10,"n/a")</f>
        <v/>
      </c>
      <c r="C35">
        <f>IF($A35&gt;C$30,(SUMPRODUCT(DCF_Base!$C$20:$L$20/(1+$A35)^DCF_Base!$C$4:$L$4)+MAX(0,MIN(DCF_Base!$L$20*(1+C$30)/($A35-C$30),Assumptions!$C$16*DCF_Base!$L$8))/(1+$A35)^10-Assumptions!$B$9)/Assumptions!$B$10,"n/a")</f>
        <v/>
      </c>
      <c r="D35">
        <f>IF($A35&gt;D$30,(SUMPRODUCT(DCF_Base!$C$20:$L$20/(1+$A35)^DCF_Base!$C$4:$L$4)+MAX(0,MIN(DCF_Base!$L$20*(1+D$30)/($A35-D$30),Assumptions!$C$16*DCF_Base!$L$8))/(1+$A35)^10-Assumptions!$B$9)/Assumptions!$B$10,"n/a")</f>
        <v/>
      </c>
      <c r="E35">
        <f>IF($A35&gt;E$30,(SUMPRODUCT(DCF_Base!$C$20:$L$20/(1+$A35)^DCF_Base!$C$4:$L$4)+MAX(0,MIN(DCF_Base!$L$20*(1+E$30)/($A35-E$30),Assumptions!$C$16*DCF_Base!$L$8))/(1+$A35)^10-Assumptions!$B$9)/Assumptions!$B$10,"n/a")</f>
        <v/>
      </c>
      <c r="F35">
        <f>IF($A35&gt;F$30,(SUMPRODUCT(DCF_Base!$C$20:$L$20/(1+$A35)^DCF_Base!$C$4:$L$4)+MAX(0,MIN(DCF_Base!$L$20*(1+F$30)/($A35-F$30),Assumptions!$C$16*DCF_Base!$L$8))/(1+$A35)^10-Assumptions!$B$9)/Assumptions!$B$10,"n/a")</f>
        <v/>
      </c>
    </row>
    <row r="37">
      <c r="A37" t="inlineStr">
        <is>
          <t>House cell: WACC 13.5% x g 2.0%. Values can be negative - equity value below zero under those parameters.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2026-08-25T08:17:06Z</dcterms:created>
  <dcterms:modified xsi:type="dcterms:W3CDTF">2026-08-25T08:17:06Z</dcterms:modified>
</cp:coreProperties>
</file>