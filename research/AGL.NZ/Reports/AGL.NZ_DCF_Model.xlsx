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FCF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<sst xmlns="http://schemas.openxmlformats.org/spreadsheetml/2006/main" count="205" uniqueCount="183">
  <si>
    <t>AGL.NZ DCF Valuation Model (Accordant Group) - BASE CASE</t>
  </si>
  <si>
    <t>Gray cells are INPUTS - adjust to see valuation change. Distressed cyclical: net debt often exceeds enterprise value under base/bear.</t>
  </si>
  <si>
    <t>KEY INPUTS</t>
  </si>
  <si>
    <t>Current Stock Price (NZD)</t>
  </si>
  <si>
    <t>Shares Outstanding (M, post-raise)</t>
  </si>
  <si>
    <t>Pro-forma Net Bank Debt (M)</t>
  </si>
  <si>
    <t>WACC (Base)</t>
  </si>
  <si>
    <t>Terminal Growth Rate</t>
  </si>
  <si>
    <t>Terminal EV/EBITDA Cap Multiple</t>
  </si>
  <si>
    <t>Cash Tax Rate</t>
  </si>
  <si>
    <t>Capex % of Revenue</t>
  </si>
  <si>
    <t>Lease Principal % of Revenue</t>
  </si>
  <si>
    <t>Working Capital Capture % (of revenue CHANGE)</t>
  </si>
  <si>
    <t>SBC % of Revenue (immaterial)</t>
  </si>
  <si>
    <t>FY26 Base Revenue (M)</t>
  </si>
  <si>
    <t>GROWTH &amp; MARGIN ASSUMPTIONS (10yr, gray = inputs)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</si>
  <si>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</si>
  <si>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</si>
  <si>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</si>
  <si>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</si>
  <si>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</si>
  <si>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</si>
  <si>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</si>
  <si>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</si>
  <si>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</si>
  <si>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</si>
  <si>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Revenue Growth %</t>
  </si>
  <si>
    <t>EBITDA Margin %</t>
  </si>
  <si>
    <t>D&amp;A % of Revenue</t>
  </si>
  <si>
    <t>PROJECTIONS (base case, formula-driven)</t>
  </si>
  <si>
    <t>Revenue</t>
  </si>
  <si>
    <t>EBITDA</t>
  </si>
  <si>
    <t>Less: SBC</t>
  </si>
  <si>
    <t>Owner EBITDA</t>
  </si>
  <si>
    <t>Less: D&amp;A</t>
  </si>
  <si>
    <t>EBIT</t>
  </si>
  <si>
    <t>NOPAT (tax only if EBIT&gt;0)</t>
  </si>
  <si>
    <t>Add back: D&amp;A</t>
  </si>
  <si>
    <t>Less: Capex</t>
  </si>
  <si>
    <t>Less: Lease Principal Paid</t>
  </si>
  <si>
    <t>Less: Working Capital (on rev change)</t>
  </si>
  <si>
    <t>Owner FCF</t>
  </si>
  <si>
    <t>Owner FCF Margin %</t>
  </si>
  <si>
    <t>Discount Factor</t>
  </si>
  <si>
    <t>PV of FCF</t>
  </si>
  <si>
    <t>VALUATION</t>
  </si>
  <si>
    <t>Sum of PV of FCF (Yrs 1-10)</t>
  </si>
  <si>
    <t>Terminal FCF x (1+g)</t>
  </si>
  <si>
    <t>Terminal Value - Gordon Growth</t>
  </si>
  <si>
    <t>Terminal Value - EV/EBITDA Cap</t>
  </si>
  <si>
    <t>Terminal Value Used (LOWER of the two)</t>
  </si>
  <si>
    <t>PV of Terminal Value</t>
  </si>
  <si>
    <t>Enterprise Value</t>
  </si>
  <si>
    <t>Less: Net Debt</t>
  </si>
  <si>
    <t>Equity Value</t>
  </si>
  <si>
    <t>INTRINSIC VALUE/SHARE</t>
  </si>
  <si>
    <t>ENTRY PRICE (15% IRR Target)</t>
  </si>
  <si>
    <t>PV of Yrs 1-10 FCF @15%</t>
  </si>
  <si>
    <t>PV of Terminal Value (Gordon) @15%</t>
  </si>
  <si>
    <t>Entry Price (15% IRR)</t>
  </si>
  <si>
    <t>Upside to Intrinsic Value</t>
  </si>
  <si>
    <t>Discount of Entry Price vs Current</t>
  </si>
  <si>
    <t>NOTE: Base case Gordon TV binds (much lower than EV/EBITDA cap) because owner-FCF conversion</t>
  </si>
  <si>
    <t>(~2% mature margin) is structurally far thinner than the EBITDA margin (~4.5%) once realistic</t>
  </si>
  <si>
    <t>capex, IFRS-16 lease principal, 28% cash tax and growth-linked working capital drag are deducted.</t>
  </si>
  <si>
    <t>Base/Bear scenarios show NEGATIVE intrinsic equity value - net debt exceeds enterprise value.</t>
  </si>
  <si>
    <t>Scenario Comparison</t>
  </si>
  <si>
    <t>Metric</t>
  </si>
  <si>
    <t>Bear</t>
  </si>
  <si>
    <t>Base</t>
  </si>
  <si>
    <t>Bull</t>
  </si>
  <si>
    <t>WACC</t>
  </si>
  <si>
    <t>Terminal Growth</t>
  </si>
  <si>
    <t>Terminal Cap Multiple (x)</t>
  </si>
  <si>
    <t>TV Bound</t>
  </si>
  <si>
    <t>gordon</t>
  </si>
  <si>
    <t>Sum PV FCF (M)</t>
  </si>
  <si>
    <t>PV Terminal Value (M)</t>
  </si>
  <si>
    <t>Enterprise Value (M)</t>
  </si>
  <si>
    <t>Equity Value (M)</t>
  </si>
  <si>
    <t>Intrinsic Value/Share</t>
  </si>
  <si>
    <t>Upside/Downside %</t>
  </si>
  <si>
    <t>Terminal % of EV</t>
  </si>
  <si>
    <t>Implied Exit Multiple (x)</t>
  </si>
  <si>
    <t>Probability Weights</t>
  </si>
  <si>
    <t>Bear weight</t>
  </si>
  <si>
    <t>Base weight</t>
  </si>
  <si>
    <t>Bull weight</t>
  </si>
  <si>
    <t>Weighted Intrinsic Value/Share</t>
  </si>
  <si>
    <t>Weighted Upside %</t>
  </si>
  <si>
    <t>Sensitivity Analysis - Base Case</t>
  </si>
  <si>
    <t>Intrinsic Value/Share by WACC &amp; Terminal Growth (TV = MIN(Gordon, EV/EBITDA cap))</t>
  </si>
  <si>
    <t>WACC \ Term G</t>
  </si>
  <si>
    <t>Note: matrix recalculates from DCF Model sheet base-case FCF/EBITDA path; changing base-case</t>
  </si>
  <si>
    <t>growth/margin inputs on the DCF Model sheet will flow through to this table automatically.</t>
  </si>
  <si>
    <t>FCF Quality - Reported vs Owner FCF Reconciliation (FY2018-FY2026)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</si>
  <si>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</si>
  <si>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</si>
  <si>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</si>
  <si>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</si>
  <si>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</si>
  <si>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</si>
  <si>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</si>
  <si>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</si>
  <si>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</si>
  <si>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Operating Cash Flow</t>
  </si>
  <si>
    <t>Reported FCF (company definition)</t>
  </si>
  <si>
    <t>Memo: Reported FCF margin %</t>
  </si>
  <si>
    <t>Memo: cash tax rate flag</t>
  </si>
  <si>
    <t>FY26 effective tax rate 22.7%, FY25 33.0% - no valuation allowance release identified; 28% NZ statutory used flat in projections</t>
  </si>
  <si>
    <t>Historical Growth Rates &amp; Multiples</t>
  </si>
  <si>
    <t>3-Year CAGR</t>
  </si>
  <si>
    <t>5-Year CAGR</t>
  </si>
  <si>
    <t>Shareholders Equity</t>
  </si>
  <si>
    <t>Note: EPS and FCF CAGRs not computable (negative in multiple years).</t>
  </si>
  <si>
    <t>Revenue and equity CAGRs are both deeply negative (three-year revenue -10.1%/yr, equity -19.7%/yr) reflecting the FY23-26 downturn and FY24 goodwill impairment. EPS and owner-FCF CAGRs are not computable (negative/near-zero values in multiple years). Historical CAGRs are NOT used as the growth driver; projections are built bottom-up from a cyclical mid-cycle revenue recovery path anchored to FY19-23 pre-downturn levels (component build per Step 1c), not extrapolated from trailing CAGRs, because this is a post-trough cyclical recovery situation not a compounding growth trend.</t>
  </si>
  <si>
    <t>Historical Multiples (pre-raise share count)</t>
  </si>
  <si>
    <t>Year</t>
  </si>
  <si>
    <t>Price</t>
  </si>
  <si>
    <t>P/E</t>
  </si>
  <si>
    <t>P/B</t>
  </si>
  <si>
    <t>EV/EBITDA</t>
  </si>
  <si>
    <t>P/S</t>
  </si>
  <si>
    <t>n/a</t>
  </si>
  <si>
    <t>BUILT BY: dcf-analyst agent (Claude), within the Stocks/Research project.</t>
  </si>
  <si>
    <t>VALUATION DATE: 2026-07-31</t>
  </si>
  <si>
    <t>SHARE PRICE VINTAGE: NZ$0.166, live Yahoo Finance quote fetched 2026-07-31.</t>
  </si>
  <si>
    <t>DATA VINTAGE:</t>
  </si>
  <si>
    <t>- FY2026 Annual Report (year ended 31-Mar-2026), authorised 28-May-2026: revenue $165.1m, net loss $2.1m,</t>
  </si>
  <si>
    <t xml:space="preserve">  net bank debt $28.5m at balance date, shareholders' equity $17.9m, goodwill $31.6m.</t>
  </si>
  <si>
    <t>- Post-balance-date event: renounceable rights offer completed 13-May-2026, 33,333,334 new shares at $0.15,</t>
  </si>
  <si>
    <t xml:space="preserve">  $5.0m gross proceeds applied to bank debt repayment, taking shares on issue to 67,658,876 and pro-forma</t>
  </si>
  <si>
    <t xml:space="preserve">  net bank debt to approximately $24.0m. Bank facilities extended to 30-Apr-2028.</t>
  </si>
  <si>
    <t>- Historical FY2018-FY2026 metrics from AGL.NZ_Metrics.csv, cross-checked against Extracted/ 10-K/Annual</t>
  </si>
  <si>
    <t xml:space="preserve">  Report text (share-based payments note F1, depreciation note, effective tax rate note).</t>
  </si>
  <si>
    <t>METHODOLOGY CHOICES:</t>
  </si>
  <si>
    <t>1. This is a DISTRESSED-CYCLICAL, POST-RESCUE-RAISE valuation, not a quality-compounder DCF. See the</t>
  </si>
  <si>
    <t xml:space="preserve">   'valuation_philosophy' block in the JSON for the full rationale.</t>
  </si>
  <si>
    <t>2. Owner FCF = Operating Cash Flow - Capex - IFRS-16 Lease Principal Paid - SBC. Interest expense is NOT</t>
  </si>
  <si>
    <t xml:space="preserve">   added back (it is a real cash cost of genuine leverage, already embedded in OCF).</t>
  </si>
  <si>
    <t>3. Revenue projected via a mid-cycle recovery path (10-year explicit horizon, chosen because owner-FCF</t>
  </si>
  <si>
    <t xml:space="preserve">   margins are still maturing well past year 5), NOT extrapolated from historical CAGRs (which are</t>
  </si>
  <si>
    <t xml:space="preserve">   deeply negative/undefined due to the FY23-26 downturn) and NOT re-based to the unrepeatable FY23</t>
  </si>
  <si>
    <t xml:space="preserve">   revenue peak ($227.4m) or FY21 COVID-era margin spike (8.7% owner-FCF margin).</t>
  </si>
  <si>
    <t>4. EBITDA margin ramps toward a mature level anchored to the FY18/20/22/23 average (~4.2-4.8%), explicitly</t>
  </si>
  <si>
    <t xml:space="preserve">   excluding the COVID-distorted FY21 print and the weak FY19 print.</t>
  </si>
  <si>
    <t>5. Working capital is modelled on the CHANGE in revenue (wc_capture % x YoY revenue increase), not as a</t>
  </si>
  <si>
    <t xml:space="preserve">   flat share of revenue - staffing is receivables-heavy and WC drag is a function of growth, not scale.</t>
  </si>
  <si>
    <t>6. Cash tax rate held flat at the 28% NZ statutory rate (no valuation-allowance release or one-off credit</t>
  </si>
  <si>
    <t xml:space="preserve">   identified in FY25/FY26 effective tax rates of 33.0%/22.7% - both are within normal statutory range).</t>
  </si>
  <si>
    <t>7. SBC is genuinely immaterial (FY2026: $78,000, 0.047% of revenue) - confirmed against Note F1 of the</t>
  </si>
  <si>
    <t xml:space="preserve">   FY2026 Annual Report. No material dilution or non-cash-compensation adjustment is needed.</t>
  </si>
  <si>
    <t>8. WACC built from an 11-12% NZ small-cap base PLUS four documented structural premiums: micro-cap</t>
  </si>
  <si>
    <t xml:space="preserve">   illiquidity (+2.0-2.5%), extreme cyclicality (+1.5-2.0%), balance-sheet/leverage risk (+1.5-2.0%),</t>
  </si>
  <si>
    <t xml:space="preserve">   and free-float/governance concentration (+0.5-1.0%). Base case uses 17.0%; bull 15.5%; bear 19.0%.</t>
  </si>
  <si>
    <t xml:space="preserve">   See 'wacc_rationale' block in the JSON for the itemised build-up.</t>
  </si>
  <si>
    <t>9. Terminal value = LOWER of Gordon-growth and an EV/EBITDA exit-multiple cap (10yr historical</t>
  </si>
  <si>
    <t xml:space="preserve">   min/avg/max post-IFRS16 EV/EBITDA, i.e. FY2021-FY2026 excl. the negative-EBITDA FY2024 year, used for</t>
  </si>
  <si>
    <t xml:space="preserve">   bear/base/bull respectively). In ALL THREE scenarios, Gordon growth binds well below the cap, because</t>
  </si>
  <si>
    <t xml:space="preserve">   owner-FCF conversion (~2% mature margin) is structurally much thinner than the EBITDA margin (~4.5%)</t>
  </si>
  <si>
    <t xml:space="preserve">   once realistic capex, lease-principal cash outflows, cash tax and working-capital drag are deducted.</t>
  </si>
  <si>
    <t>10. Base and Bear scenarios show NEGATIVE intrinsic equity value (net debt exceeds enterprise value under</t>
  </si>
  <si>
    <t xml:space="preserve">    the FCF DCF). This is corroborated independently by AGL's pro-forma TANGIBLE book value already being</t>
  </si>
  <si>
    <t xml:space="preserve">    negative (~-$21.8m) once $31.6m goodwill and ~$13.1m other intangibles are stripped from the $22.9m</t>
  </si>
  <si>
    <t xml:space="preserve">    pro-forma reported equity. See the 'sanity_check' block for full trip-condition testing (all passed -</t>
  </si>
  <si>
    <t xml:space="preserve">    no assumption tightening was required; if anything the model already sits at a conservative anchor).</t>
  </si>
  <si>
    <t>WHAT TO REFRESH AFTER THE NEXT EARNINGS PRINT (FY27 half-year, expected ~Nov-2026):</t>
  </si>
  <si>
    <t>- Re-fetch live share price.</t>
  </si>
  <si>
    <t>- Update FY26 actuals references (revenue base, net debt, share count) if any restatement occurs.</t>
  </si>
  <si>
    <t>- Check whether H1 FY27 revenue/EBITDA trend confirms or undermines the assumed recovery slope -</t>
  </si>
  <si>
    <t xml:space="preserve">  management has already pushed the 'return to normal trading' guidance from FY27 (first flagged in the</t>
  </si>
  <si>
    <t xml:space="preserve">  FY25 report) to FY27/FY28; a further slip should pull the base case toward the bear case.</t>
  </si>
  <si>
    <t>- Re-test bank covenant compliance disclosures (leverage ratio, interest cover) for signs of renewed stress.</t>
  </si>
  <si>
    <t>- Re-check SBC materiality (should remain immaterial, but confirm from the next Note F1 disclosure).</t>
  </si>
  <si>
    <t>CELL COLOUR CONVENTIONS (DCF Model sheet):</t>
  </si>
  <si>
    <t>- Grey cells = INPUTS, safe to overtype to run what-if scenarios.</t>
  </si>
  <si>
    <t>- White cells = FORMULAS, do not overtype (will break the model chain).</t>
  </si>
  <si>
    <t>- Green 'INTRINSIC VALUE/SHARE' and 'Entry Price' cells are the headline outputs (shown red here as they</t>
  </si>
  <si>
    <t xml:space="preserve">  are currently negative in the base case).</t>
  </si>
  <si>
    <t>IMPORTANT: All figures in this model go stale. This is a fast-moving distressed-cyclical situation</t>
  </si>
  <si>
    <t>(rescue rights issue only 3 months old at valuation date, third straight loss-making year, twice-delayed</t>
  </si>
  <si>
    <t>management recovery guidance). Re-verify all inputs before relying on this model for a live investment</t>
  </si>
  <si>
    <t>decision, and do not extrapolate the 'valuation_date' price or FY2026 actuals beyond one reporting cycle.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</si>
</sst>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0%"/>
    <numFmt numFmtId="166" formatCode="0.0%"/>
    <numFmt numFmtId="167" formatCode="&quot;$&quot;#,##0.00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D6303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D630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4" fillId="3" borderId="2" xfId="0" applyFont="1" applyFill="1" applyBorder="1"/>
    <xf numFmtId="164" fontId="0" fillId="0" borderId="2" xfId="0" applyNumberFormat="1" applyBorder="1"/>
    <xf numFmtId="0" fontId="5" fillId="0" borderId="0" xfId="0" applyFont="1"/>
    <xf numFmtId="166" fontId="0" fillId="0" borderId="2" xfId="0" applyNumberFormat="1" applyBorder="1"/>
    <xf numFmtId="167" fontId="4" fillId="4" borderId="2" xfId="0" applyNumberFormat="1" applyFont="1" applyFill="1" applyBorder="1"/>
    <xf numFmtId="0" fontId="6" fillId="0" borderId="0" xfId="0" applyFont="1" applyAlignment="1">
      <alignment wrapText="1"/>
    </xf>
    <xf numFmtId="167" fontId="0" fillId="0" borderId="2" xfId="0" applyNumberFormat="1" applyBorder="1"/>
    <xf numFmtId="166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cols>
    <col min="1" max="1" width="32.7109375" customWidth="1"/>
    <col min="2" max="12" width="11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0.166</v>
      </c>
    </row>
    <row r="6" spans="1:2">
      <c r="A6" t="s">
        <v>4</v>
      </c>
      <c r="B6" s="4">
        <v>67.6589</v>
      </c>
    </row>
    <row r="7" spans="1:2">
      <c r="A7" t="s">
        <v>5</v>
      </c>
      <c r="B7" s="4">
        <v>24</v>
      </c>
    </row>
    <row r="8" spans="1:2">
      <c r="A8" t="s">
        <v>6</v>
      </c>
      <c r="B8" s="5">
        <v>0.17</v>
      </c>
    </row>
    <row r="9" spans="1:2">
      <c r="A9" t="s">
        <v>7</v>
      </c>
      <c r="B9" s="5">
        <v>0.018</v>
      </c>
    </row>
    <row r="10" spans="1:2">
      <c r="A10" t="s">
        <v>8</v>
      </c>
      <c r="B10" s="4">
        <v>8.289999999999999</v>
      </c>
    </row>
    <row r="11" spans="1:2">
      <c r="A11" t="s">
        <v>9</v>
      </c>
      <c r="B11" s="5">
        <v>0.28</v>
      </c>
    </row>
    <row r="12" spans="1:2">
      <c r="A12" t="s">
        <v>10</v>
      </c>
      <c r="B12" s="5">
        <v>0.0035</v>
      </c>
    </row>
    <row r="13" spans="1:2">
      <c r="A13" t="s">
        <v>11</v>
      </c>
      <c r="B13" s="5">
        <v>0.011</v>
      </c>
    </row>
    <row r="14" spans="1:2">
      <c r="A14" t="s">
        <v>12</v>
      </c>
      <c r="B14" s="5">
        <v>0.12</v>
      </c>
    </row>
    <row r="15" spans="1:2">
      <c r="A15" t="s">
        <v>13</v>
      </c>
      <c r="B15" s="5">
        <v>0.00047</v>
      </c>
    </row>
    <row r="16" spans="1:2">
      <c r="A16" t="s">
        <v>14</v>
      </c>
      <c r="B16" s="4">
        <v>165.1</v>
      </c>
    </row>
    <row r="18" spans="1:11">
      <c r="A18" s="3" t="s">
        <v>15</v>
      </c>
    </row>
    <row r="19" spans="1:11">
      <c r="A19" s="6"/>
      <c r="B19" s="6" t="s">
        <v>16</v>
      </c>
      <c r="C19" s="6" t="s">
        <v>17</v>
      </c>
      <c r="D19" s="6" t="s">
        <v>18</v>
      </c>
      <c r="E19" s="6" t="s">
        <v>19</v>
      </c>
      <c r="F19" s="6" t="s">
        <v>20</v>
      </c>
      <c r="G19" s="6" t="s">
        <v>21</v>
      </c>
      <c r="H19" s="6" t="s">
        <v>22</v>
      </c>
      <c r="I19" s="6" t="s">
        <v>23</v>
      </c>
      <c r="J19" s="6" t="s">
        <v>24</v>
      </c>
      <c r="K19" s="6" t="s">
        <v>25</v>
      </c>
    </row>
    <row r="20" spans="1:11">
      <c r="A20" t="s">
        <v>26</v>
      </c>
      <c r="B20" s="5">
        <v>0.03</v>
      </c>
      <c r="C20" s="5">
        <v>0.045</v>
      </c>
      <c r="D20" s="5">
        <v>0.05</v>
      </c>
      <c r="E20" s="5">
        <v>0.045</v>
      </c>
      <c r="F20" s="5">
        <v>0.04</v>
      </c>
      <c r="G20" s="5">
        <v>0.035</v>
      </c>
      <c r="H20" s="5">
        <v>0.03</v>
      </c>
      <c r="I20" s="5">
        <v>0.028</v>
      </c>
      <c r="J20" s="5">
        <v>0.025</v>
      </c>
      <c r="K20" s="5">
        <v>0.025</v>
      </c>
    </row>
    <row r="21" spans="1:11">
      <c r="A21" t="s">
        <v>27</v>
      </c>
      <c r="B21" s="5">
        <v>0.0273</v>
      </c>
      <c r="C21" s="5">
        <v>0.0298</v>
      </c>
      <c r="D21" s="5">
        <v>0.03240000000000001</v>
      </c>
      <c r="E21" s="5">
        <v>0.0349</v>
      </c>
      <c r="F21" s="5">
        <v>0.0374</v>
      </c>
      <c r="G21" s="5">
        <v>0.04</v>
      </c>
      <c r="H21" s="5">
        <v>0.0425</v>
      </c>
      <c r="I21" s="5">
        <v>0.045</v>
      </c>
      <c r="J21" s="5">
        <v>0.045</v>
      </c>
      <c r="K21" s="5">
        <v>0.045</v>
      </c>
    </row>
    <row r="22" spans="1:11">
      <c r="A22" t="s">
        <v>28</v>
      </c>
      <c r="B22" s="5">
        <v>0.023</v>
      </c>
      <c r="C22" s="5">
        <v>0.0238</v>
      </c>
      <c r="D22" s="5">
        <v>0.0247</v>
      </c>
      <c r="E22" s="5">
        <v>0.0255</v>
      </c>
      <c r="F22" s="5">
        <v>0.0263</v>
      </c>
      <c r="G22" s="5">
        <v>0.0272</v>
      </c>
      <c r="H22" s="5">
        <v>0.028</v>
      </c>
      <c r="I22" s="5">
        <v>0.023</v>
      </c>
      <c r="J22" s="5">
        <v>0.023</v>
      </c>
      <c r="K22" s="5">
        <v>0.018</v>
      </c>
    </row>
    <row r="24" spans="1:11">
      <c r="A24" s="3" t="s">
        <v>29</v>
      </c>
    </row>
    <row r="25" spans="1:11">
      <c r="A25" t="s">
        <v>30</v>
      </c>
      <c r="B25" s="7">
        <f>$B$16*(1+B20)</f>
        <v>0</v>
      </c>
      <c r="C25" s="7">
        <f>B25*(1+C20)</f>
        <v>0</v>
      </c>
      <c r="D25" s="7">
        <f>C25*(1+D20)</f>
        <v>0</v>
      </c>
      <c r="E25" s="7">
        <f>D25*(1+E20)</f>
        <v>0</v>
      </c>
      <c r="F25" s="7">
        <f>E25*(1+F20)</f>
        <v>0</v>
      </c>
      <c r="G25" s="7">
        <f>F25*(1+G20)</f>
        <v>0</v>
      </c>
      <c r="H25" s="7">
        <f>G25*(1+H20)</f>
        <v>0</v>
      </c>
      <c r="I25" s="7">
        <f>H25*(1+I20)</f>
        <v>0</v>
      </c>
      <c r="J25" s="7">
        <f>I25*(1+J20)</f>
        <v>0</v>
      </c>
      <c r="K25" s="7">
        <f>J25*(1+K20)</f>
        <v>0</v>
      </c>
    </row>
    <row r="26" spans="1:11">
      <c r="A26" t="s">
        <v>31</v>
      </c>
      <c r="B26" s="7">
        <f>B25*B21</f>
        <v>0</v>
      </c>
      <c r="C26" s="7">
        <f>C25*C21</f>
        <v>0</v>
      </c>
      <c r="D26" s="7">
        <f>D25*D21</f>
        <v>0</v>
      </c>
      <c r="E26" s="7">
        <f>E25*E21</f>
        <v>0</v>
      </c>
      <c r="F26" s="7">
        <f>F25*F21</f>
        <v>0</v>
      </c>
      <c r="G26" s="7">
        <f>G25*G21</f>
        <v>0</v>
      </c>
      <c r="H26" s="7">
        <f>H25*H21</f>
        <v>0</v>
      </c>
      <c r="I26" s="7">
        <f>I25*I21</f>
        <v>0</v>
      </c>
      <c r="J26" s="7">
        <f>J25*J21</f>
        <v>0</v>
      </c>
      <c r="K26" s="7">
        <f>K25*K21</f>
        <v>0</v>
      </c>
    </row>
    <row r="27" spans="1:11">
      <c r="A27" t="s">
        <v>32</v>
      </c>
      <c r="B27" s="7">
        <f>B25*$B$15</f>
        <v>0</v>
      </c>
      <c r="C27" s="7">
        <f>C25*$B$15</f>
        <v>0</v>
      </c>
      <c r="D27" s="7">
        <f>D25*$B$15</f>
        <v>0</v>
      </c>
      <c r="E27" s="7">
        <f>E25*$B$15</f>
        <v>0</v>
      </c>
      <c r="F27" s="7">
        <f>F25*$B$15</f>
        <v>0</v>
      </c>
      <c r="G27" s="7">
        <f>G25*$B$15</f>
        <v>0</v>
      </c>
      <c r="H27" s="7">
        <f>H25*$B$15</f>
        <v>0</v>
      </c>
      <c r="I27" s="7">
        <f>I25*$B$15</f>
        <v>0</v>
      </c>
      <c r="J27" s="7">
        <f>J25*$B$15</f>
        <v>0</v>
      </c>
      <c r="K27" s="7">
        <f>K25*$B$15</f>
        <v>0</v>
      </c>
    </row>
    <row r="28" spans="1:11">
      <c r="A28" t="s">
        <v>33</v>
      </c>
      <c r="B28" s="7">
        <f>B26-B27</f>
        <v>0</v>
      </c>
      <c r="C28" s="7">
        <f>C26-C27</f>
        <v>0</v>
      </c>
      <c r="D28" s="7">
        <f>D26-D27</f>
        <v>0</v>
      </c>
      <c r="E28" s="7">
        <f>E26-E27</f>
        <v>0</v>
      </c>
      <c r="F28" s="7">
        <f>F26-F27</f>
        <v>0</v>
      </c>
      <c r="G28" s="7">
        <f>G26-G27</f>
        <v>0</v>
      </c>
      <c r="H28" s="7">
        <f>H26-H27</f>
        <v>0</v>
      </c>
      <c r="I28" s="7">
        <f>I26-I27</f>
        <v>0</v>
      </c>
      <c r="J28" s="7">
        <f>J26-J27</f>
        <v>0</v>
      </c>
      <c r="K28" s="7">
        <f>K26-K27</f>
        <v>0</v>
      </c>
    </row>
    <row r="29" spans="1:11">
      <c r="A29" t="s">
        <v>34</v>
      </c>
      <c r="B29" s="7">
        <f>B25*B22</f>
        <v>0</v>
      </c>
      <c r="C29" s="7">
        <f>C25*C22</f>
        <v>0</v>
      </c>
      <c r="D29" s="7">
        <f>D25*D22</f>
        <v>0</v>
      </c>
      <c r="E29" s="7">
        <f>E25*E22</f>
        <v>0</v>
      </c>
      <c r="F29" s="7">
        <f>F25*F22</f>
        <v>0</v>
      </c>
      <c r="G29" s="7">
        <f>G25*G22</f>
        <v>0</v>
      </c>
      <c r="H29" s="7">
        <f>H25*H22</f>
        <v>0</v>
      </c>
      <c r="I29" s="7">
        <f>I25*I22</f>
        <v>0</v>
      </c>
      <c r="J29" s="7">
        <f>J25*J22</f>
        <v>0</v>
      </c>
      <c r="K29" s="7">
        <f>K25*K22</f>
        <v>0</v>
      </c>
    </row>
    <row r="30" spans="1:11">
      <c r="A30" t="s">
        <v>35</v>
      </c>
      <c r="B30" s="7">
        <f>B28-B29</f>
        <v>0</v>
      </c>
      <c r="C30" s="7">
        <f>C28-C29</f>
        <v>0</v>
      </c>
      <c r="D30" s="7">
        <f>D28-D29</f>
        <v>0</v>
      </c>
      <c r="E30" s="7">
        <f>E28-E29</f>
        <v>0</v>
      </c>
      <c r="F30" s="7">
        <f>F28-F29</f>
        <v>0</v>
      </c>
      <c r="G30" s="7">
        <f>G28-G29</f>
        <v>0</v>
      </c>
      <c r="H30" s="7">
        <f>H28-H29</f>
        <v>0</v>
      </c>
      <c r="I30" s="7">
        <f>I28-I29</f>
        <v>0</v>
      </c>
      <c r="J30" s="7">
        <f>J28-J29</f>
        <v>0</v>
      </c>
      <c r="K30" s="7">
        <f>K28-K29</f>
        <v>0</v>
      </c>
    </row>
    <row r="31" spans="1:11">
      <c r="A31" t="s">
        <v>36</v>
      </c>
      <c r="B31" s="7">
        <f>IF(B30&gt;0,B30*(1-$B$11),B30)</f>
        <v>0</v>
      </c>
      <c r="C31" s="7">
        <f>IF(C30&gt;0,C30*(1-$B$11),C30)</f>
        <v>0</v>
      </c>
      <c r="D31" s="7">
        <f>IF(D30&gt;0,D30*(1-$B$11),D30)</f>
        <v>0</v>
      </c>
      <c r="E31" s="7">
        <f>IF(E30&gt;0,E30*(1-$B$11),E30)</f>
        <v>0</v>
      </c>
      <c r="F31" s="7">
        <f>IF(F30&gt;0,F30*(1-$B$11),F30)</f>
        <v>0</v>
      </c>
      <c r="G31" s="7">
        <f>IF(G30&gt;0,G30*(1-$B$11),G30)</f>
        <v>0</v>
      </c>
      <c r="H31" s="7">
        <f>IF(H30&gt;0,H30*(1-$B$11),H30)</f>
        <v>0</v>
      </c>
      <c r="I31" s="7">
        <f>IF(I30&gt;0,I30*(1-$B$11),I30)</f>
        <v>0</v>
      </c>
      <c r="J31" s="7">
        <f>IF(J30&gt;0,J30*(1-$B$11),J30)</f>
        <v>0</v>
      </c>
      <c r="K31" s="7">
        <f>IF(K30&gt;0,K30*(1-$B$11),K30)</f>
        <v>0</v>
      </c>
    </row>
    <row r="32" spans="1:11">
      <c r="A32" t="s">
        <v>37</v>
      </c>
      <c r="B32" s="7">
        <f>B29</f>
        <v>0</v>
      </c>
      <c r="C32" s="7">
        <f>C29</f>
        <v>0</v>
      </c>
      <c r="D32" s="7">
        <f>D29</f>
        <v>0</v>
      </c>
      <c r="E32" s="7">
        <f>E29</f>
        <v>0</v>
      </c>
      <c r="F32" s="7">
        <f>F29</f>
        <v>0</v>
      </c>
      <c r="G32" s="7">
        <f>G29</f>
        <v>0</v>
      </c>
      <c r="H32" s="7">
        <f>H29</f>
        <v>0</v>
      </c>
      <c r="I32" s="7">
        <f>I29</f>
        <v>0</v>
      </c>
      <c r="J32" s="7">
        <f>J29</f>
        <v>0</v>
      </c>
      <c r="K32" s="7">
        <f>K29</f>
        <v>0</v>
      </c>
    </row>
    <row r="33" spans="1:11">
      <c r="A33" t="s">
        <v>38</v>
      </c>
      <c r="B33" s="7">
        <f>B25*$B$12</f>
        <v>0</v>
      </c>
      <c r="C33" s="7">
        <f>C25*$B$12</f>
        <v>0</v>
      </c>
      <c r="D33" s="7">
        <f>D25*$B$12</f>
        <v>0</v>
      </c>
      <c r="E33" s="7">
        <f>E25*$B$12</f>
        <v>0</v>
      </c>
      <c r="F33" s="7">
        <f>F25*$B$12</f>
        <v>0</v>
      </c>
      <c r="G33" s="7">
        <f>G25*$B$12</f>
        <v>0</v>
      </c>
      <c r="H33" s="7">
        <f>H25*$B$12</f>
        <v>0</v>
      </c>
      <c r="I33" s="7">
        <f>I25*$B$12</f>
        <v>0</v>
      </c>
      <c r="J33" s="7">
        <f>J25*$B$12</f>
        <v>0</v>
      </c>
      <c r="K33" s="7">
        <f>K25*$B$12</f>
        <v>0</v>
      </c>
    </row>
    <row r="34" spans="1:11">
      <c r="A34" t="s">
        <v>39</v>
      </c>
      <c r="B34" s="7">
        <f>B25*$B$13</f>
        <v>0</v>
      </c>
      <c r="C34" s="7">
        <f>C25*$B$13</f>
        <v>0</v>
      </c>
      <c r="D34" s="7">
        <f>D25*$B$13</f>
        <v>0</v>
      </c>
      <c r="E34" s="7">
        <f>E25*$B$13</f>
        <v>0</v>
      </c>
      <c r="F34" s="7">
        <f>F25*$B$13</f>
        <v>0</v>
      </c>
      <c r="G34" s="7">
        <f>G25*$B$13</f>
        <v>0</v>
      </c>
      <c r="H34" s="7">
        <f>H25*$B$13</f>
        <v>0</v>
      </c>
      <c r="I34" s="7">
        <f>I25*$B$13</f>
        <v>0</v>
      </c>
      <c r="J34" s="7">
        <f>J25*$B$13</f>
        <v>0</v>
      </c>
      <c r="K34" s="7">
        <f>K25*$B$13</f>
        <v>0</v>
      </c>
    </row>
    <row r="35" spans="1:11">
      <c r="A35" t="s">
        <v>40</v>
      </c>
      <c r="B35" s="7">
        <f>$B$14*(B25-$B$16)</f>
        <v>0</v>
      </c>
      <c r="C35" s="7">
        <f>$B$14*(C25-B25)</f>
        <v>0</v>
      </c>
      <c r="D35" s="7">
        <f>$B$14*(D25-C25)</f>
        <v>0</v>
      </c>
      <c r="E35" s="7">
        <f>$B$14*(E25-D25)</f>
        <v>0</v>
      </c>
      <c r="F35" s="7">
        <f>$B$14*(F25-E25)</f>
        <v>0</v>
      </c>
      <c r="G35" s="7">
        <f>$B$14*(G25-F25)</f>
        <v>0</v>
      </c>
      <c r="H35" s="7">
        <f>$B$14*(H25-G25)</f>
        <v>0</v>
      </c>
      <c r="I35" s="7">
        <f>$B$14*(I25-H25)</f>
        <v>0</v>
      </c>
      <c r="J35" s="7">
        <f>$B$14*(J25-I25)</f>
        <v>0</v>
      </c>
      <c r="K35" s="7">
        <f>$B$14*(K25-J25)</f>
        <v>0</v>
      </c>
    </row>
    <row r="36" spans="1:11">
      <c r="A36" s="8" t="s">
        <v>41</v>
      </c>
      <c r="B36" s="7">
        <f>B31+B32-B33-B34-B35</f>
        <v>0</v>
      </c>
      <c r="C36" s="7">
        <f>C31+C32-C33-C34-C35</f>
        <v>0</v>
      </c>
      <c r="D36" s="7">
        <f>D31+D32-D33-D34-D35</f>
        <v>0</v>
      </c>
      <c r="E36" s="7">
        <f>E31+E32-E33-E34-E35</f>
        <v>0</v>
      </c>
      <c r="F36" s="7">
        <f>F31+F32-F33-F34-F35</f>
        <v>0</v>
      </c>
      <c r="G36" s="7">
        <f>G31+G32-G33-G34-G35</f>
        <v>0</v>
      </c>
      <c r="H36" s="7">
        <f>H31+H32-H33-H34-H35</f>
        <v>0</v>
      </c>
      <c r="I36" s="7">
        <f>I31+I32-I33-I34-I35</f>
        <v>0</v>
      </c>
      <c r="J36" s="7">
        <f>J31+J32-J33-J34-J35</f>
        <v>0</v>
      </c>
      <c r="K36" s="7">
        <f>K31+K32-K33-K34-K35</f>
        <v>0</v>
      </c>
    </row>
    <row r="37" spans="1:11">
      <c r="A37" t="s">
        <v>42</v>
      </c>
      <c r="B37" s="9">
        <f>B36/B25</f>
        <v>0</v>
      </c>
      <c r="C37" s="9">
        <f>C36/C25</f>
        <v>0</v>
      </c>
      <c r="D37" s="9">
        <f>D36/D25</f>
        <v>0</v>
      </c>
      <c r="E37" s="9">
        <f>E36/E25</f>
        <v>0</v>
      </c>
      <c r="F37" s="9">
        <f>F36/F25</f>
        <v>0</v>
      </c>
      <c r="G37" s="9">
        <f>G36/G25</f>
        <v>0</v>
      </c>
      <c r="H37" s="9">
        <f>H36/H25</f>
        <v>0</v>
      </c>
      <c r="I37" s="9">
        <f>I36/I25</f>
        <v>0</v>
      </c>
      <c r="J37" s="9">
        <f>J36/J25</f>
        <v>0</v>
      </c>
      <c r="K37" s="9">
        <f>K36/K25</f>
        <v>0</v>
      </c>
    </row>
    <row r="38" spans="1:11">
      <c r="A38" t="s">
        <v>43</v>
      </c>
      <c r="B38" s="7">
        <f>1/(1+$B$8)^1</f>
        <v>0</v>
      </c>
      <c r="C38" s="7">
        <f>1/(1+$B$8)^2</f>
        <v>0</v>
      </c>
      <c r="D38" s="7">
        <f>1/(1+$B$8)^3</f>
        <v>0</v>
      </c>
      <c r="E38" s="7">
        <f>1/(1+$B$8)^4</f>
        <v>0</v>
      </c>
      <c r="F38" s="7">
        <f>1/(1+$B$8)^5</f>
        <v>0</v>
      </c>
      <c r="G38" s="7">
        <f>1/(1+$B$8)^6</f>
        <v>0</v>
      </c>
      <c r="H38" s="7">
        <f>1/(1+$B$8)^7</f>
        <v>0</v>
      </c>
      <c r="I38" s="7">
        <f>1/(1+$B$8)^8</f>
        <v>0</v>
      </c>
      <c r="J38" s="7">
        <f>1/(1+$B$8)^9</f>
        <v>0</v>
      </c>
      <c r="K38" s="7">
        <f>1/(1+$B$8)^10</f>
        <v>0</v>
      </c>
    </row>
    <row r="39" spans="1:11">
      <c r="A39" t="s">
        <v>44</v>
      </c>
      <c r="B39" s="7">
        <f>B36*B38</f>
        <v>0</v>
      </c>
      <c r="C39" s="7">
        <f>C36*C38</f>
        <v>0</v>
      </c>
      <c r="D39" s="7">
        <f>D36*D38</f>
        <v>0</v>
      </c>
      <c r="E39" s="7">
        <f>E36*E38</f>
        <v>0</v>
      </c>
      <c r="F39" s="7">
        <f>F36*F38</f>
        <v>0</v>
      </c>
      <c r="G39" s="7">
        <f>G36*G38</f>
        <v>0</v>
      </c>
      <c r="H39" s="7">
        <f>H36*H38</f>
        <v>0</v>
      </c>
      <c r="I39" s="7">
        <f>I36*I38</f>
        <v>0</v>
      </c>
      <c r="J39" s="7">
        <f>J36*J38</f>
        <v>0</v>
      </c>
      <c r="K39" s="7">
        <f>K36*K38</f>
        <v>0</v>
      </c>
    </row>
    <row r="41" spans="1:11">
      <c r="A41" s="3" t="s">
        <v>45</v>
      </c>
    </row>
    <row r="42" spans="1:11">
      <c r="A42" t="s">
        <v>46</v>
      </c>
      <c r="B42" s="7">
        <f>SUM(B39:K39)</f>
        <v>0</v>
      </c>
    </row>
    <row r="43" spans="1:11">
      <c r="A43" t="s">
        <v>47</v>
      </c>
      <c r="B43" s="7">
        <f>K36*(1+$B$9)</f>
        <v>0</v>
      </c>
    </row>
    <row r="44" spans="1:11">
      <c r="A44" t="s">
        <v>48</v>
      </c>
      <c r="B44" s="7">
        <f>B43/($B$8-$B$9)</f>
        <v>0</v>
      </c>
    </row>
    <row r="45" spans="1:11">
      <c r="A45" t="s">
        <v>49</v>
      </c>
      <c r="B45" s="7">
        <f>$B$10*K26</f>
        <v>0</v>
      </c>
    </row>
    <row r="46" spans="1:11">
      <c r="A46" t="s">
        <v>50</v>
      </c>
      <c r="B46" s="7">
        <f>MIN(B44,B45)</f>
        <v>0</v>
      </c>
    </row>
    <row r="47" spans="1:11">
      <c r="A47" t="s">
        <v>51</v>
      </c>
      <c r="B47" s="7">
        <f>B46*K38</f>
        <v>0</v>
      </c>
    </row>
    <row r="48" spans="1:11">
      <c r="A48" t="s">
        <v>52</v>
      </c>
      <c r="B48" s="7">
        <f>B42+B47</f>
        <v>0</v>
      </c>
    </row>
    <row r="49" spans="1:2">
      <c r="A49" t="s">
        <v>53</v>
      </c>
      <c r="B49" s="7">
        <f>$B$7</f>
        <v>0</v>
      </c>
    </row>
    <row r="50" spans="1:2">
      <c r="A50" t="s">
        <v>54</v>
      </c>
      <c r="B50" s="7">
        <f>B48-B49</f>
        <v>0</v>
      </c>
    </row>
    <row r="51" spans="1:2">
      <c r="A51" s="8" t="s">
        <v>55</v>
      </c>
      <c r="B51" s="10">
        <f>B50/$B$6</f>
        <v>0</v>
      </c>
    </row>
    <row r="53" spans="1:2">
      <c r="A53" s="3" t="s">
        <v>56</v>
      </c>
    </row>
    <row r="54" spans="1:2">
      <c r="A54" t="s">
        <v>57</v>
      </c>
      <c r="B54" s="7">
        <f>NPV(0.15,B36:K36)</f>
        <v>0</v>
      </c>
    </row>
    <row r="55" spans="1:2">
      <c r="A55" t="s">
        <v>58</v>
      </c>
      <c r="B55" s="7">
        <f>B44/(1.15^10)</f>
        <v>0</v>
      </c>
    </row>
    <row r="56" spans="1:2">
      <c r="A56" t="s">
        <v>53</v>
      </c>
      <c r="B56" s="7">
        <f>$B$7</f>
        <v>0</v>
      </c>
    </row>
    <row r="57" spans="1:2">
      <c r="A57" s="8" t="s">
        <v>59</v>
      </c>
      <c r="B57" s="10">
        <f>(B54+B55-B56)/$B$6</f>
        <v>0</v>
      </c>
    </row>
    <row r="59" spans="1:2">
      <c r="A59" t="s">
        <v>60</v>
      </c>
      <c r="B59" s="9">
        <f>(B51-B5)/B5</f>
        <v>0</v>
      </c>
    </row>
    <row r="60" spans="1:2">
      <c r="A60" t="s">
        <v>61</v>
      </c>
      <c r="B60" s="9">
        <f>(B5-B57)/B5</f>
        <v>0</v>
      </c>
    </row>
    <row r="62" spans="1:2">
      <c r="A62" s="11" t="s">
        <v>62</v>
      </c>
    </row>
    <row r="63" spans="1:2">
      <c r="A63" s="11" t="s">
        <v>63</v>
      </c>
    </row>
    <row r="64" spans="1:2">
      <c r="A64" s="11" t="s">
        <v>64</v>
      </c>
    </row>
    <row r="65" spans="1:1">
      <c r="A65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66</v>
      </c>
    </row>
    <row r="3" spans="1:4">
      <c r="A3" s="6" t="s">
        <v>67</v>
      </c>
      <c r="B3" s="6" t="s">
        <v>68</v>
      </c>
      <c r="C3" s="6" t="s">
        <v>69</v>
      </c>
      <c r="D3" s="6" t="s">
        <v>70</v>
      </c>
    </row>
    <row r="4" spans="1:4">
      <c r="A4" t="s">
        <v>71</v>
      </c>
      <c r="B4" s="9">
        <v>0.19</v>
      </c>
      <c r="C4" s="9">
        <v>0.17</v>
      </c>
      <c r="D4" s="9">
        <v>0.155</v>
      </c>
    </row>
    <row r="5" spans="1:4">
      <c r="A5" t="s">
        <v>72</v>
      </c>
      <c r="B5" s="9">
        <v>0.015</v>
      </c>
      <c r="C5" s="9">
        <v>0.018</v>
      </c>
      <c r="D5" s="9">
        <v>0.02</v>
      </c>
    </row>
    <row r="6" spans="1:4">
      <c r="A6" t="s">
        <v>73</v>
      </c>
      <c r="B6" s="7">
        <v>3.61</v>
      </c>
      <c r="C6" s="7">
        <v>8.289999999999999</v>
      </c>
      <c r="D6" s="7">
        <v>9.58</v>
      </c>
    </row>
    <row r="7" spans="1:4">
      <c r="A7" t="s">
        <v>74</v>
      </c>
      <c r="B7" t="s">
        <v>75</v>
      </c>
      <c r="C7" t="s">
        <v>75</v>
      </c>
      <c r="D7" t="s">
        <v>75</v>
      </c>
    </row>
    <row r="8" spans="1:4">
      <c r="A8" t="s">
        <v>76</v>
      </c>
      <c r="B8" s="7">
        <v>7.38</v>
      </c>
      <c r="C8" s="7">
        <v>11.057</v>
      </c>
      <c r="D8" s="7">
        <v>16.654</v>
      </c>
    </row>
    <row r="9" spans="1:4">
      <c r="A9" t="s">
        <v>77</v>
      </c>
      <c r="B9" s="7">
        <v>2.215</v>
      </c>
      <c r="C9" s="7">
        <v>6.393</v>
      </c>
      <c r="D9" s="7">
        <v>13.057</v>
      </c>
    </row>
    <row r="10" spans="1:4">
      <c r="A10" t="s">
        <v>78</v>
      </c>
      <c r="B10" s="7">
        <v>9.593999999999999</v>
      </c>
      <c r="C10" s="7">
        <v>17.451</v>
      </c>
      <c r="D10" s="7">
        <v>29.711</v>
      </c>
    </row>
    <row r="11" spans="1:4">
      <c r="A11" t="s">
        <v>79</v>
      </c>
      <c r="B11" s="7">
        <v>-14.406</v>
      </c>
      <c r="C11" s="7">
        <v>-6.549</v>
      </c>
      <c r="D11" s="7">
        <v>5.711</v>
      </c>
    </row>
    <row r="12" spans="1:4">
      <c r="A12" t="s">
        <v>80</v>
      </c>
      <c r="B12" s="12">
        <v>-0.2129</v>
      </c>
      <c r="C12" s="12">
        <v>-0.0968</v>
      </c>
      <c r="D12" s="12">
        <v>0.0844</v>
      </c>
    </row>
    <row r="13" spans="1:4">
      <c r="A13" t="s">
        <v>81</v>
      </c>
      <c r="B13" s="9">
        <v>-2.283</v>
      </c>
      <c r="C13" s="9">
        <v>-1.583</v>
      </c>
      <c r="D13" s="9">
        <v>-0.491</v>
      </c>
    </row>
    <row r="14" spans="1:4">
      <c r="A14" t="s">
        <v>82</v>
      </c>
      <c r="B14" s="9">
        <v>0.231</v>
      </c>
      <c r="C14" s="9">
        <v>0.366</v>
      </c>
      <c r="D14" s="9">
        <v>0.439</v>
      </c>
    </row>
    <row r="15" spans="1:4">
      <c r="A15" t="s">
        <v>83</v>
      </c>
      <c r="B15" s="7">
        <v>5.8</v>
      </c>
      <c r="C15" s="7">
        <v>6.7</v>
      </c>
      <c r="D15" s="7">
        <v>7.56</v>
      </c>
    </row>
    <row r="17" spans="1:2">
      <c r="A17" s="8" t="s">
        <v>84</v>
      </c>
    </row>
    <row r="18" spans="1:2">
      <c r="A18" t="s">
        <v>85</v>
      </c>
      <c r="B18" s="9">
        <v>0.35</v>
      </c>
    </row>
    <row r="19" spans="1:2">
      <c r="A19" t="s">
        <v>86</v>
      </c>
      <c r="B19" s="9">
        <v>0.45</v>
      </c>
    </row>
    <row r="20" spans="1:2">
      <c r="A20" t="s">
        <v>87</v>
      </c>
      <c r="B20" s="9">
        <v>0.2</v>
      </c>
    </row>
    <row r="21" spans="1:2">
      <c r="A21" s="8" t="s">
        <v>88</v>
      </c>
      <c r="B21" s="12">
        <v>-0.1012</v>
      </c>
    </row>
    <row r="22" spans="1:2">
      <c r="A22" t="s">
        <v>89</v>
      </c>
      <c r="B22" s="9">
        <v>-1.61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90</v>
      </c>
    </row>
    <row r="2" spans="1:6">
      <c r="A2" t="s">
        <v>91</v>
      </c>
    </row>
    <row r="4" spans="1:6">
      <c r="A4" s="6" t="s">
        <v>92</v>
      </c>
      <c r="B4" s="13">
        <v>0.008</v>
      </c>
      <c r="C4" s="13">
        <v>0.013</v>
      </c>
      <c r="D4" s="13">
        <v>0.018</v>
      </c>
      <c r="E4" s="13">
        <v>0.023</v>
      </c>
      <c r="F4" s="13">
        <v>0.028</v>
      </c>
    </row>
    <row r="5" spans="1:6">
      <c r="A5" s="13">
        <v>0.15</v>
      </c>
      <c r="B5" s="12">
        <f>('DCF Model'!$B$36/(1+0.15)^1+'DCF Model'!$C$36/(1+0.15)^2+'DCF Model'!$D$36/(1+0.15)^3+'DCF Model'!$E$36/(1+0.15)^4+'DCF Model'!$F$36/(1+0.15)^5+'DCF Model'!$G$36/(1+0.15)^6+'DCF Model'!$H$36/(1+0.15)^7+'DCF Model'!$I$36/(1+0.15)^8+'DCF Model'!$J$36/(1+0.15)^9+'DCF Model'!$K$36/(1+0.15)^10+MIN('DCF Model'!$K$36*(1+0.008)/(0.15-0.008),'DCF Model'!$B$10*'DCF Model'!$K$26)/(1+0.15)^10-'DCF Model'!$B$7)/'DCF Model'!$B$6</f>
        <v>0</v>
      </c>
      <c r="C5" s="12">
        <f>('DCF Model'!$B$36/(1+0.15)^1+'DCF Model'!$C$36/(1+0.15)^2+'DCF Model'!$D$36/(1+0.15)^3+'DCF Model'!$E$36/(1+0.15)^4+'DCF Model'!$F$36/(1+0.15)^5+'DCF Model'!$G$36/(1+0.15)^6+'DCF Model'!$H$36/(1+0.15)^7+'DCF Model'!$I$36/(1+0.15)^8+'DCF Model'!$J$36/(1+0.15)^9+'DCF Model'!$K$36/(1+0.15)^10+MIN('DCF Model'!$K$36*(1+0.013000000000000001)/(0.15-0.013000000000000001),'DCF Model'!$B$10*'DCF Model'!$K$26)/(1+0.15)^10-'DCF Model'!$B$7)/'DCF Model'!$B$6</f>
        <v>0</v>
      </c>
      <c r="D5" s="12">
        <f>('DCF Model'!$B$36/(1+0.15)^1+'DCF Model'!$C$36/(1+0.15)^2+'DCF Model'!$D$36/(1+0.15)^3+'DCF Model'!$E$36/(1+0.15)^4+'DCF Model'!$F$36/(1+0.15)^5+'DCF Model'!$G$36/(1+0.15)^6+'DCF Model'!$H$36/(1+0.15)^7+'DCF Model'!$I$36/(1+0.15)^8+'DCF Model'!$J$36/(1+0.15)^9+'DCF Model'!$K$36/(1+0.15)^10+MIN('DCF Model'!$K$36*(1+0.018000000000000002)/(0.15-0.018000000000000002),'DCF Model'!$B$10*'DCF Model'!$K$26)/(1+0.15)^10-'DCF Model'!$B$7)/'DCF Model'!$B$6</f>
        <v>0</v>
      </c>
      <c r="E5" s="12">
        <f>('DCF Model'!$B$36/(1+0.15)^1+'DCF Model'!$C$36/(1+0.15)^2+'DCF Model'!$D$36/(1+0.15)^3+'DCF Model'!$E$36/(1+0.15)^4+'DCF Model'!$F$36/(1+0.15)^5+'DCF Model'!$G$36/(1+0.15)^6+'DCF Model'!$H$36/(1+0.15)^7+'DCF Model'!$I$36/(1+0.15)^8+'DCF Model'!$J$36/(1+0.15)^9+'DCF Model'!$K$36/(1+0.15)^10+MIN('DCF Model'!$K$36*(1+0.023)/(0.15-0.023),'DCF Model'!$B$10*'DCF Model'!$K$26)/(1+0.15)^10-'DCF Model'!$B$7)/'DCF Model'!$B$6</f>
        <v>0</v>
      </c>
      <c r="F5" s="12">
        <f>('DCF Model'!$B$36/(1+0.15)^1+'DCF Model'!$C$36/(1+0.15)^2+'DCF Model'!$D$36/(1+0.15)^3+'DCF Model'!$E$36/(1+0.15)^4+'DCF Model'!$F$36/(1+0.15)^5+'DCF Model'!$G$36/(1+0.15)^6+'DCF Model'!$H$36/(1+0.15)^7+'DCF Model'!$I$36/(1+0.15)^8+'DCF Model'!$J$36/(1+0.15)^9+'DCF Model'!$K$36/(1+0.15)^10+MIN('DCF Model'!$K$36*(1+0.027999999999999997)/(0.15-0.027999999999999997),'DCF Model'!$B$10*'DCF Model'!$K$26)/(1+0.15)^10-'DCF Model'!$B$7)/'DCF Model'!$B$6</f>
        <v>0</v>
      </c>
    </row>
    <row r="6" spans="1:6">
      <c r="A6" s="13">
        <v>0.16</v>
      </c>
      <c r="B6" s="12">
        <f>('DCF Model'!$B$36/(1+0.16)^1+'DCF Model'!$C$36/(1+0.16)^2+'DCF Model'!$D$36/(1+0.16)^3+'DCF Model'!$E$36/(1+0.16)^4+'DCF Model'!$F$36/(1+0.16)^5+'DCF Model'!$G$36/(1+0.16)^6+'DCF Model'!$H$36/(1+0.16)^7+'DCF Model'!$I$36/(1+0.16)^8+'DCF Model'!$J$36/(1+0.16)^9+'DCF Model'!$K$36/(1+0.16)^10+MIN('DCF Model'!$K$36*(1+0.008)/(0.16-0.008),'DCF Model'!$B$10*'DCF Model'!$K$26)/(1+0.16)^10-'DCF Model'!$B$7)/'DCF Model'!$B$6</f>
        <v>0</v>
      </c>
      <c r="C6" s="12">
        <f>('DCF Model'!$B$36/(1+0.16)^1+'DCF Model'!$C$36/(1+0.16)^2+'DCF Model'!$D$36/(1+0.16)^3+'DCF Model'!$E$36/(1+0.16)^4+'DCF Model'!$F$36/(1+0.16)^5+'DCF Model'!$G$36/(1+0.16)^6+'DCF Model'!$H$36/(1+0.16)^7+'DCF Model'!$I$36/(1+0.16)^8+'DCF Model'!$J$36/(1+0.16)^9+'DCF Model'!$K$36/(1+0.16)^10+MIN('DCF Model'!$K$36*(1+0.013000000000000001)/(0.16-0.013000000000000001),'DCF Model'!$B$10*'DCF Model'!$K$26)/(1+0.16)^10-'DCF Model'!$B$7)/'DCF Model'!$B$6</f>
        <v>0</v>
      </c>
      <c r="D6" s="12">
        <f>('DCF Model'!$B$36/(1+0.16)^1+'DCF Model'!$C$36/(1+0.16)^2+'DCF Model'!$D$36/(1+0.16)^3+'DCF Model'!$E$36/(1+0.16)^4+'DCF Model'!$F$36/(1+0.16)^5+'DCF Model'!$G$36/(1+0.16)^6+'DCF Model'!$H$36/(1+0.16)^7+'DCF Model'!$I$36/(1+0.16)^8+'DCF Model'!$J$36/(1+0.16)^9+'DCF Model'!$K$36/(1+0.16)^10+MIN('DCF Model'!$K$36*(1+0.018000000000000002)/(0.16-0.018000000000000002),'DCF Model'!$B$10*'DCF Model'!$K$26)/(1+0.16)^10-'DCF Model'!$B$7)/'DCF Model'!$B$6</f>
        <v>0</v>
      </c>
      <c r="E6" s="12">
        <f>('DCF Model'!$B$36/(1+0.16)^1+'DCF Model'!$C$36/(1+0.16)^2+'DCF Model'!$D$36/(1+0.16)^3+'DCF Model'!$E$36/(1+0.16)^4+'DCF Model'!$F$36/(1+0.16)^5+'DCF Model'!$G$36/(1+0.16)^6+'DCF Model'!$H$36/(1+0.16)^7+'DCF Model'!$I$36/(1+0.16)^8+'DCF Model'!$J$36/(1+0.16)^9+'DCF Model'!$K$36/(1+0.16)^10+MIN('DCF Model'!$K$36*(1+0.023)/(0.16-0.023),'DCF Model'!$B$10*'DCF Model'!$K$26)/(1+0.16)^10-'DCF Model'!$B$7)/'DCF Model'!$B$6</f>
        <v>0</v>
      </c>
      <c r="F6" s="12">
        <f>('DCF Model'!$B$36/(1+0.16)^1+'DCF Model'!$C$36/(1+0.16)^2+'DCF Model'!$D$36/(1+0.16)^3+'DCF Model'!$E$36/(1+0.16)^4+'DCF Model'!$F$36/(1+0.16)^5+'DCF Model'!$G$36/(1+0.16)^6+'DCF Model'!$H$36/(1+0.16)^7+'DCF Model'!$I$36/(1+0.16)^8+'DCF Model'!$J$36/(1+0.16)^9+'DCF Model'!$K$36/(1+0.16)^10+MIN('DCF Model'!$K$36*(1+0.027999999999999997)/(0.16-0.027999999999999997),'DCF Model'!$B$10*'DCF Model'!$K$26)/(1+0.16)^10-'DCF Model'!$B$7)/'DCF Model'!$B$6</f>
        <v>0</v>
      </c>
    </row>
    <row r="7" spans="1:6">
      <c r="A7" s="13">
        <v>0.17</v>
      </c>
      <c r="B7" s="12">
        <f>('DCF Model'!$B$36/(1+0.17)^1+'DCF Model'!$C$36/(1+0.17)^2+'DCF Model'!$D$36/(1+0.17)^3+'DCF Model'!$E$36/(1+0.17)^4+'DCF Model'!$F$36/(1+0.17)^5+'DCF Model'!$G$36/(1+0.17)^6+'DCF Model'!$H$36/(1+0.17)^7+'DCF Model'!$I$36/(1+0.17)^8+'DCF Model'!$J$36/(1+0.17)^9+'DCF Model'!$K$36/(1+0.17)^10+MIN('DCF Model'!$K$36*(1+0.008)/(0.17-0.008),'DCF Model'!$B$10*'DCF Model'!$K$26)/(1+0.17)^10-'DCF Model'!$B$7)/'DCF Model'!$B$6</f>
        <v>0</v>
      </c>
      <c r="C7" s="12">
        <f>('DCF Model'!$B$36/(1+0.17)^1+'DCF Model'!$C$36/(1+0.17)^2+'DCF Model'!$D$36/(1+0.17)^3+'DCF Model'!$E$36/(1+0.17)^4+'DCF Model'!$F$36/(1+0.17)^5+'DCF Model'!$G$36/(1+0.17)^6+'DCF Model'!$H$36/(1+0.17)^7+'DCF Model'!$I$36/(1+0.17)^8+'DCF Model'!$J$36/(1+0.17)^9+'DCF Model'!$K$36/(1+0.17)^10+MIN('DCF Model'!$K$36*(1+0.013000000000000001)/(0.17-0.013000000000000001),'DCF Model'!$B$10*'DCF Model'!$K$26)/(1+0.17)^10-'DCF Model'!$B$7)/'DCF Model'!$B$6</f>
        <v>0</v>
      </c>
      <c r="D7" s="12">
        <f>('DCF Model'!$B$36/(1+0.17)^1+'DCF Model'!$C$36/(1+0.17)^2+'DCF Model'!$D$36/(1+0.17)^3+'DCF Model'!$E$36/(1+0.17)^4+'DCF Model'!$F$36/(1+0.17)^5+'DCF Model'!$G$36/(1+0.17)^6+'DCF Model'!$H$36/(1+0.17)^7+'DCF Model'!$I$36/(1+0.17)^8+'DCF Model'!$J$36/(1+0.17)^9+'DCF Model'!$K$36/(1+0.17)^10+MIN('DCF Model'!$K$36*(1+0.018000000000000002)/(0.17-0.018000000000000002),'DCF Model'!$B$10*'DCF Model'!$K$26)/(1+0.17)^10-'DCF Model'!$B$7)/'DCF Model'!$B$6</f>
        <v>0</v>
      </c>
      <c r="E7" s="12">
        <f>('DCF Model'!$B$36/(1+0.17)^1+'DCF Model'!$C$36/(1+0.17)^2+'DCF Model'!$D$36/(1+0.17)^3+'DCF Model'!$E$36/(1+0.17)^4+'DCF Model'!$F$36/(1+0.17)^5+'DCF Model'!$G$36/(1+0.17)^6+'DCF Model'!$H$36/(1+0.17)^7+'DCF Model'!$I$36/(1+0.17)^8+'DCF Model'!$J$36/(1+0.17)^9+'DCF Model'!$K$36/(1+0.17)^10+MIN('DCF Model'!$K$36*(1+0.023)/(0.17-0.023),'DCF Model'!$B$10*'DCF Model'!$K$26)/(1+0.17)^10-'DCF Model'!$B$7)/'DCF Model'!$B$6</f>
        <v>0</v>
      </c>
      <c r="F7" s="12">
        <f>('DCF Model'!$B$36/(1+0.17)^1+'DCF Model'!$C$36/(1+0.17)^2+'DCF Model'!$D$36/(1+0.17)^3+'DCF Model'!$E$36/(1+0.17)^4+'DCF Model'!$F$36/(1+0.17)^5+'DCF Model'!$G$36/(1+0.17)^6+'DCF Model'!$H$36/(1+0.17)^7+'DCF Model'!$I$36/(1+0.17)^8+'DCF Model'!$J$36/(1+0.17)^9+'DCF Model'!$K$36/(1+0.17)^10+MIN('DCF Model'!$K$36*(1+0.027999999999999997)/(0.17-0.027999999999999997),'DCF Model'!$B$10*'DCF Model'!$K$26)/(1+0.17)^10-'DCF Model'!$B$7)/'DCF Model'!$B$6</f>
        <v>0</v>
      </c>
    </row>
    <row r="8" spans="1:6">
      <c r="A8" s="13">
        <v>0.18</v>
      </c>
      <c r="B8" s="12">
        <f>('DCF Model'!$B$36/(1+0.18)^1+'DCF Model'!$C$36/(1+0.18)^2+'DCF Model'!$D$36/(1+0.18)^3+'DCF Model'!$E$36/(1+0.18)^4+'DCF Model'!$F$36/(1+0.18)^5+'DCF Model'!$G$36/(1+0.18)^6+'DCF Model'!$H$36/(1+0.18)^7+'DCF Model'!$I$36/(1+0.18)^8+'DCF Model'!$J$36/(1+0.18)^9+'DCF Model'!$K$36/(1+0.18)^10+MIN('DCF Model'!$K$36*(1+0.008)/(0.18-0.008),'DCF Model'!$B$10*'DCF Model'!$K$26)/(1+0.18)^10-'DCF Model'!$B$7)/'DCF Model'!$B$6</f>
        <v>0</v>
      </c>
      <c r="C8" s="12">
        <f>('DCF Model'!$B$36/(1+0.18)^1+'DCF Model'!$C$36/(1+0.18)^2+'DCF Model'!$D$36/(1+0.18)^3+'DCF Model'!$E$36/(1+0.18)^4+'DCF Model'!$F$36/(1+0.18)^5+'DCF Model'!$G$36/(1+0.18)^6+'DCF Model'!$H$36/(1+0.18)^7+'DCF Model'!$I$36/(1+0.18)^8+'DCF Model'!$J$36/(1+0.18)^9+'DCF Model'!$K$36/(1+0.18)^10+MIN('DCF Model'!$K$36*(1+0.013000000000000001)/(0.18-0.013000000000000001),'DCF Model'!$B$10*'DCF Model'!$K$26)/(1+0.18)^10-'DCF Model'!$B$7)/'DCF Model'!$B$6</f>
        <v>0</v>
      </c>
      <c r="D8" s="12">
        <f>('DCF Model'!$B$36/(1+0.18)^1+'DCF Model'!$C$36/(1+0.18)^2+'DCF Model'!$D$36/(1+0.18)^3+'DCF Model'!$E$36/(1+0.18)^4+'DCF Model'!$F$36/(1+0.18)^5+'DCF Model'!$G$36/(1+0.18)^6+'DCF Model'!$H$36/(1+0.18)^7+'DCF Model'!$I$36/(1+0.18)^8+'DCF Model'!$J$36/(1+0.18)^9+'DCF Model'!$K$36/(1+0.18)^10+MIN('DCF Model'!$K$36*(1+0.018000000000000002)/(0.18-0.018000000000000002),'DCF Model'!$B$10*'DCF Model'!$K$26)/(1+0.18)^10-'DCF Model'!$B$7)/'DCF Model'!$B$6</f>
        <v>0</v>
      </c>
      <c r="E8" s="12">
        <f>('DCF Model'!$B$36/(1+0.18)^1+'DCF Model'!$C$36/(1+0.18)^2+'DCF Model'!$D$36/(1+0.18)^3+'DCF Model'!$E$36/(1+0.18)^4+'DCF Model'!$F$36/(1+0.18)^5+'DCF Model'!$G$36/(1+0.18)^6+'DCF Model'!$H$36/(1+0.18)^7+'DCF Model'!$I$36/(1+0.18)^8+'DCF Model'!$J$36/(1+0.18)^9+'DCF Model'!$K$36/(1+0.18)^10+MIN('DCF Model'!$K$36*(1+0.023)/(0.18-0.023),'DCF Model'!$B$10*'DCF Model'!$K$26)/(1+0.18)^10-'DCF Model'!$B$7)/'DCF Model'!$B$6</f>
        <v>0</v>
      </c>
      <c r="F8" s="12">
        <f>('DCF Model'!$B$36/(1+0.18)^1+'DCF Model'!$C$36/(1+0.18)^2+'DCF Model'!$D$36/(1+0.18)^3+'DCF Model'!$E$36/(1+0.18)^4+'DCF Model'!$F$36/(1+0.18)^5+'DCF Model'!$G$36/(1+0.18)^6+'DCF Model'!$H$36/(1+0.18)^7+'DCF Model'!$I$36/(1+0.18)^8+'DCF Model'!$J$36/(1+0.18)^9+'DCF Model'!$K$36/(1+0.18)^10+MIN('DCF Model'!$K$36*(1+0.027999999999999997)/(0.18-0.027999999999999997),'DCF Model'!$B$10*'DCF Model'!$K$26)/(1+0.18)^10-'DCF Model'!$B$7)/'DCF Model'!$B$6</f>
        <v>0</v>
      </c>
    </row>
    <row r="9" spans="1:6">
      <c r="A9" s="13">
        <v>0.19</v>
      </c>
      <c r="B9" s="12">
        <f>('DCF Model'!$B$36/(1+0.19)^1+'DCF Model'!$C$36/(1+0.19)^2+'DCF Model'!$D$36/(1+0.19)^3+'DCF Model'!$E$36/(1+0.19)^4+'DCF Model'!$F$36/(1+0.19)^5+'DCF Model'!$G$36/(1+0.19)^6+'DCF Model'!$H$36/(1+0.19)^7+'DCF Model'!$I$36/(1+0.19)^8+'DCF Model'!$J$36/(1+0.19)^9+'DCF Model'!$K$36/(1+0.19)^10+MIN('DCF Model'!$K$36*(1+0.008)/(0.19-0.008),'DCF Model'!$B$10*'DCF Model'!$K$26)/(1+0.19)^10-'DCF Model'!$B$7)/'DCF Model'!$B$6</f>
        <v>0</v>
      </c>
      <c r="C9" s="12">
        <f>('DCF Model'!$B$36/(1+0.19)^1+'DCF Model'!$C$36/(1+0.19)^2+'DCF Model'!$D$36/(1+0.19)^3+'DCF Model'!$E$36/(1+0.19)^4+'DCF Model'!$F$36/(1+0.19)^5+'DCF Model'!$G$36/(1+0.19)^6+'DCF Model'!$H$36/(1+0.19)^7+'DCF Model'!$I$36/(1+0.19)^8+'DCF Model'!$J$36/(1+0.19)^9+'DCF Model'!$K$36/(1+0.19)^10+MIN('DCF Model'!$K$36*(1+0.013000000000000001)/(0.19-0.013000000000000001),'DCF Model'!$B$10*'DCF Model'!$K$26)/(1+0.19)^10-'DCF Model'!$B$7)/'DCF Model'!$B$6</f>
        <v>0</v>
      </c>
      <c r="D9" s="12">
        <f>('DCF Model'!$B$36/(1+0.19)^1+'DCF Model'!$C$36/(1+0.19)^2+'DCF Model'!$D$36/(1+0.19)^3+'DCF Model'!$E$36/(1+0.19)^4+'DCF Model'!$F$36/(1+0.19)^5+'DCF Model'!$G$36/(1+0.19)^6+'DCF Model'!$H$36/(1+0.19)^7+'DCF Model'!$I$36/(1+0.19)^8+'DCF Model'!$J$36/(1+0.19)^9+'DCF Model'!$K$36/(1+0.19)^10+MIN('DCF Model'!$K$36*(1+0.018000000000000002)/(0.19-0.018000000000000002),'DCF Model'!$B$10*'DCF Model'!$K$26)/(1+0.19)^10-'DCF Model'!$B$7)/'DCF Model'!$B$6</f>
        <v>0</v>
      </c>
      <c r="E9" s="12">
        <f>('DCF Model'!$B$36/(1+0.19)^1+'DCF Model'!$C$36/(1+0.19)^2+'DCF Model'!$D$36/(1+0.19)^3+'DCF Model'!$E$36/(1+0.19)^4+'DCF Model'!$F$36/(1+0.19)^5+'DCF Model'!$G$36/(1+0.19)^6+'DCF Model'!$H$36/(1+0.19)^7+'DCF Model'!$I$36/(1+0.19)^8+'DCF Model'!$J$36/(1+0.19)^9+'DCF Model'!$K$36/(1+0.19)^10+MIN('DCF Model'!$K$36*(1+0.023)/(0.19-0.023),'DCF Model'!$B$10*'DCF Model'!$K$26)/(1+0.19)^10-'DCF Model'!$B$7)/'DCF Model'!$B$6</f>
        <v>0</v>
      </c>
      <c r="F9" s="12">
        <f>('DCF Model'!$B$36/(1+0.19)^1+'DCF Model'!$C$36/(1+0.19)^2+'DCF Model'!$D$36/(1+0.19)^3+'DCF Model'!$E$36/(1+0.19)^4+'DCF Model'!$F$36/(1+0.19)^5+'DCF Model'!$G$36/(1+0.19)^6+'DCF Model'!$H$36/(1+0.19)^7+'DCF Model'!$I$36/(1+0.19)^8+'DCF Model'!$J$36/(1+0.19)^9+'DCF Model'!$K$36/(1+0.19)^10+MIN('DCF Model'!$K$36*(1+0.027999999999999997)/(0.19-0.027999999999999997),'DCF Model'!$B$10*'DCF Model'!$K$26)/(1+0.19)^10-'DCF Model'!$B$7)/'DCF Model'!$B$6</f>
        <v>0</v>
      </c>
    </row>
    <row r="11" spans="1:6">
      <c r="A11" s="2" t="s">
        <v>93</v>
      </c>
    </row>
    <row r="12" spans="1:6">
      <c r="A12" s="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cols>
    <col min="1" max="1" width="32.7109375" customWidth="1"/>
    <col min="2" max="10" width="11.7109375" customWidth="1"/>
  </cols>
  <sheetData>
    <row r="1" spans="1:10">
      <c r="A1" s="1" t="s">
        <v>95</v>
      </c>
    </row>
    <row r="3" spans="1:10">
      <c r="A3" s="6"/>
      <c r="B3" s="6" t="s">
        <v>96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101</v>
      </c>
      <c r="H3" s="6" t="s">
        <v>102</v>
      </c>
      <c r="I3" s="6" t="s">
        <v>103</v>
      </c>
      <c r="J3" s="6" t="s">
        <v>104</v>
      </c>
    </row>
    <row r="4" spans="1:10">
      <c r="A4" t="s">
        <v>30</v>
      </c>
      <c r="B4" s="7">
        <v>279.3</v>
      </c>
      <c r="C4" s="7">
        <v>267.8</v>
      </c>
      <c r="D4" s="7">
        <v>263.5</v>
      </c>
      <c r="E4" s="7">
        <v>205.5</v>
      </c>
      <c r="F4" s="7">
        <v>221.5</v>
      </c>
      <c r="G4" s="7">
        <v>227.4</v>
      </c>
      <c r="H4" s="7">
        <v>212.4</v>
      </c>
      <c r="I4" s="7">
        <v>165.2</v>
      </c>
      <c r="J4" s="7">
        <v>165.1</v>
      </c>
    </row>
    <row r="5" spans="1:10">
      <c r="A5" t="s">
        <v>105</v>
      </c>
      <c r="B5" s="7">
        <v>11.5</v>
      </c>
      <c r="C5" s="7">
        <v>9.5</v>
      </c>
      <c r="D5" s="7">
        <v>9.9</v>
      </c>
      <c r="E5" s="7">
        <v>21.9</v>
      </c>
      <c r="F5" s="7">
        <v>10.5</v>
      </c>
      <c r="G5" s="7">
        <v>4.7</v>
      </c>
      <c r="H5" s="7">
        <v>2.3</v>
      </c>
      <c r="I5" s="7">
        <v>-0.6</v>
      </c>
      <c r="J5" s="7">
        <v>1.6</v>
      </c>
    </row>
    <row r="6" spans="1:10">
      <c r="A6" t="s">
        <v>38</v>
      </c>
      <c r="B6" s="7">
        <v>0.6</v>
      </c>
      <c r="C6" s="7">
        <v>2.6</v>
      </c>
      <c r="D6" s="7">
        <v>1</v>
      </c>
      <c r="E6" s="7">
        <v>1.4</v>
      </c>
      <c r="F6" s="7">
        <v>0.6</v>
      </c>
      <c r="G6" s="7">
        <v>0.7</v>
      </c>
      <c r="H6" s="7">
        <v>0.2</v>
      </c>
      <c r="I6" s="7">
        <v>0.2</v>
      </c>
      <c r="J6" s="7">
        <v>0.2</v>
      </c>
    </row>
    <row r="7" spans="1:10">
      <c r="A7" t="s">
        <v>39</v>
      </c>
      <c r="B7" s="7">
        <v>0</v>
      </c>
      <c r="C7" s="7">
        <v>0</v>
      </c>
      <c r="D7" s="7">
        <v>2.4</v>
      </c>
      <c r="E7" s="7">
        <v>2.5</v>
      </c>
      <c r="F7" s="7">
        <v>2.4</v>
      </c>
      <c r="G7" s="7">
        <v>2.5</v>
      </c>
      <c r="H7" s="7">
        <v>2.8</v>
      </c>
      <c r="I7" s="7">
        <v>2.9</v>
      </c>
      <c r="J7" s="7">
        <v>2.1</v>
      </c>
    </row>
    <row r="8" spans="1:10">
      <c r="A8" t="s">
        <v>32</v>
      </c>
      <c r="B8" s="7">
        <v>0</v>
      </c>
      <c r="C8" s="7">
        <v>0.16</v>
      </c>
      <c r="D8" s="7">
        <v>0.12</v>
      </c>
      <c r="E8" s="7">
        <v>0.08</v>
      </c>
      <c r="F8" s="7">
        <v>0.02</v>
      </c>
      <c r="G8" s="7">
        <v>0.22</v>
      </c>
      <c r="H8" s="7">
        <v>0.21</v>
      </c>
      <c r="I8" s="7">
        <v>0.19</v>
      </c>
      <c r="J8" s="7">
        <v>0.08</v>
      </c>
    </row>
    <row r="9" spans="1:10">
      <c r="A9" t="inlineStr">
        <is>
          <t>= Owner FCF</t>
        </is>
      </c>
      <c r="B9" s="7">
        <v>10.9</v>
      </c>
      <c r="C9" s="7">
        <v>6.74</v>
      </c>
      <c r="D9" s="7">
        <v>6.38</v>
      </c>
      <c r="E9" s="7">
        <v>17.92</v>
      </c>
      <c r="F9" s="7">
        <v>7.48</v>
      </c>
      <c r="G9" s="7">
        <v>1.28</v>
      </c>
      <c r="H9" s="7">
        <v>-0.91</v>
      </c>
      <c r="I9" s="7">
        <v>-3.89</v>
      </c>
      <c r="J9" s="7">
        <v>-0.78</v>
      </c>
    </row>
    <row r="10" spans="1:10">
      <c r="A10" t="s">
        <v>42</v>
      </c>
      <c r="B10" s="9">
        <v>0.039</v>
      </c>
      <c r="C10" s="9">
        <v>0.0252</v>
      </c>
      <c r="D10" s="9">
        <v>0.0242</v>
      </c>
      <c r="E10" s="9">
        <v>0.0872</v>
      </c>
      <c r="F10" s="9">
        <v>0.0338</v>
      </c>
      <c r="G10" s="9">
        <v>0.005600000000000001</v>
      </c>
      <c r="H10" s="9">
        <v>-0.0043</v>
      </c>
      <c r="I10" s="9">
        <v>-0.0235</v>
      </c>
      <c r="J10" s="9">
        <v>-0.004699999999999999</v>
      </c>
    </row>
    <row r="11" spans="1:10">
      <c r="A11" t="s">
        <v>106</v>
      </c>
      <c r="B11" s="7">
        <v>10.9</v>
      </c>
      <c r="C11" s="7">
        <v>6.8</v>
      </c>
      <c r="D11" s="7">
        <v>8.9</v>
      </c>
      <c r="E11" s="7">
        <v>20.5</v>
      </c>
      <c r="F11" s="7">
        <v>9.9</v>
      </c>
      <c r="G11" s="7">
        <v>4</v>
      </c>
      <c r="H11" s="7">
        <v>2.1</v>
      </c>
      <c r="I11" s="7">
        <v>-0.8</v>
      </c>
      <c r="J11" s="7">
        <v>1.4</v>
      </c>
    </row>
    <row r="13" spans="1:10">
      <c r="A13" s="8" t="s">
        <v>107</v>
      </c>
      <c r="B13" s="9">
        <v>0.03902613677049768</v>
      </c>
      <c r="C13" s="9">
        <v>0.02539208364451083</v>
      </c>
      <c r="D13" s="9">
        <v>0.03377609108159393</v>
      </c>
      <c r="E13" s="9">
        <v>0.09975669099756691</v>
      </c>
      <c r="F13" s="9">
        <v>0.04469525959367946</v>
      </c>
      <c r="G13" s="9">
        <v>0.01759014951627089</v>
      </c>
      <c r="H13" s="9">
        <v>0.009887005649717515</v>
      </c>
      <c r="I13" s="9">
        <v>-0.004842615012106538</v>
      </c>
      <c r="J13" s="9">
        <v>0.008479709267110842</v>
      </c>
    </row>
    <row r="14" spans="1:10">
      <c r="A14" s="8" t="s">
        <v>108</v>
      </c>
    </row>
    <row r="15" spans="1:10">
      <c r="A15" s="2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22.7109375" customWidth="1"/>
    <col min="2" max="3" width="15.7109375" customWidth="1"/>
  </cols>
  <sheetData>
    <row r="1" spans="1:6">
      <c r="A1" s="1" t="s">
        <v>110</v>
      </c>
    </row>
    <row r="3" spans="1:6">
      <c r="A3" s="6" t="s">
        <v>67</v>
      </c>
      <c r="B3" s="6" t="s">
        <v>111</v>
      </c>
      <c r="C3" s="6" t="s">
        <v>112</v>
      </c>
    </row>
    <row r="4" spans="1:6">
      <c r="A4" t="s">
        <v>30</v>
      </c>
      <c r="B4" s="9">
        <v>-0.1012</v>
      </c>
      <c r="C4" s="9">
        <v>-0.0428</v>
      </c>
    </row>
    <row r="5" spans="1:6">
      <c r="A5" t="s">
        <v>113</v>
      </c>
      <c r="B5" s="9">
        <v>-0.1972</v>
      </c>
      <c r="C5" s="9">
        <v>-0.1486</v>
      </c>
    </row>
    <row r="7" spans="1:6">
      <c r="A7" s="2" t="s">
        <v>114</v>
      </c>
    </row>
    <row r="8" spans="1:6">
      <c r="A8" s="2" t="s">
        <v>115</v>
      </c>
    </row>
    <row r="10" spans="1:6">
      <c r="A10" s="3" t="s">
        <v>116</v>
      </c>
    </row>
    <row r="11" spans="1:6">
      <c r="A11" s="6" t="s">
        <v>117</v>
      </c>
      <c r="B11" s="6" t="s">
        <v>118</v>
      </c>
      <c r="C11" s="6" t="s">
        <v>119</v>
      </c>
      <c r="D11" s="6" t="s">
        <v>120</v>
      </c>
      <c r="E11" s="6" t="s">
        <v>121</v>
      </c>
      <c r="F11" s="6" t="s">
        <v>122</v>
      </c>
    </row>
    <row r="12" spans="1:6">
      <c r="A12" t="s">
        <v>96</v>
      </c>
      <c r="B12" s="12">
        <v>1.9</v>
      </c>
      <c r="C12">
        <v>14.67</v>
      </c>
      <c r="D12" s="7">
        <v>1.99</v>
      </c>
      <c r="E12">
        <v>8.73</v>
      </c>
      <c r="F12" s="7">
        <v>0.26</v>
      </c>
    </row>
    <row r="13" spans="1:6">
      <c r="A13" t="s">
        <v>97</v>
      </c>
      <c r="B13" s="12">
        <v>1.65</v>
      </c>
      <c r="C13">
        <v>32.42</v>
      </c>
      <c r="D13" s="7">
        <v>1.86</v>
      </c>
      <c r="E13">
        <v>11.88</v>
      </c>
      <c r="F13" s="7">
        <v>0.24</v>
      </c>
    </row>
    <row r="14" spans="1:6">
      <c r="A14" t="s">
        <v>98</v>
      </c>
      <c r="B14" s="12">
        <v>1.29</v>
      </c>
      <c r="C14">
        <v>21.55</v>
      </c>
      <c r="D14" s="7">
        <v>1.73</v>
      </c>
      <c r="E14">
        <v>7.21</v>
      </c>
      <c r="F14" s="7">
        <v>0.22</v>
      </c>
    </row>
    <row r="15" spans="1:6">
      <c r="A15" t="s">
        <v>99</v>
      </c>
      <c r="B15" s="12">
        <v>1.3</v>
      </c>
      <c r="C15">
        <v>7.99</v>
      </c>
      <c r="D15" s="7">
        <v>1.24</v>
      </c>
      <c r="E15">
        <v>3.61</v>
      </c>
      <c r="F15" s="7">
        <v>0.24</v>
      </c>
    </row>
    <row r="16" spans="1:6">
      <c r="A16" t="s">
        <v>100</v>
      </c>
      <c r="B16" s="12">
        <v>2.02</v>
      </c>
      <c r="C16">
        <v>25.65</v>
      </c>
      <c r="D16" s="7">
        <v>2.1</v>
      </c>
      <c r="E16">
        <v>8.41</v>
      </c>
      <c r="F16" s="7">
        <v>0.35</v>
      </c>
    </row>
    <row r="17" spans="1:6">
      <c r="A17" t="s">
        <v>101</v>
      </c>
      <c r="B17" s="12">
        <v>1.61</v>
      </c>
      <c r="C17">
        <v>34.29</v>
      </c>
      <c r="D17" s="7">
        <v>1.98</v>
      </c>
      <c r="E17">
        <v>9.58</v>
      </c>
      <c r="F17" s="7">
        <v>0.3</v>
      </c>
    </row>
    <row r="18" spans="1:6">
      <c r="A18" t="s">
        <v>102</v>
      </c>
      <c r="B18" s="12">
        <v>0.5600000000000001</v>
      </c>
      <c r="C18" t="s">
        <v>123</v>
      </c>
      <c r="D18" s="7">
        <v>0.78</v>
      </c>
      <c r="E18" t="s">
        <v>123</v>
      </c>
      <c r="F18" s="7">
        <v>0.08</v>
      </c>
    </row>
    <row r="19" spans="1:6">
      <c r="A19" t="s">
        <v>103</v>
      </c>
      <c r="B19" s="12">
        <v>0.38</v>
      </c>
      <c r="C19" t="s">
        <v>123</v>
      </c>
      <c r="D19" s="7">
        <v>0.6</v>
      </c>
      <c r="E19">
        <v>11.77</v>
      </c>
      <c r="F19" s="7">
        <v>0.07000000000000001</v>
      </c>
    </row>
    <row r="20" spans="1:6">
      <c r="A20" t="s">
        <v>104</v>
      </c>
      <c r="B20" s="12">
        <v>0.145</v>
      </c>
      <c r="C20" t="s">
        <v>123</v>
      </c>
      <c r="D20" s="7">
        <v>0.26</v>
      </c>
      <c r="E20">
        <v>8.07</v>
      </c>
      <c r="F20" s="7">
        <v>0.03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A66"/>
  <sheetViews>
    <sheetView workbookViewId="0"/>
  </sheetViews>
  <sheetFormatPr defaultRowHeight="15"/>
  <cols>
    <col min="1" max="1" width="100.7109375" customWidth="1"/>
  </cols>
  <sheetData>
    <row r="3" spans="1:1">
      <c r="A3" t="s">
        <v>124</v>
      </c>
    </row>
    <row r="4" spans="1:1">
      <c r="A4" s="8" t="s">
        <v>125</v>
      </c>
    </row>
    <row r="5" spans="1:1">
      <c r="A5" t="s">
        <v>126</v>
      </c>
    </row>
    <row r="7" spans="1:1">
      <c r="A7" s="8" t="s">
        <v>127</v>
      </c>
    </row>
    <row r="8" spans="1:1">
      <c r="A8" s="2" t="s">
        <v>128</v>
      </c>
    </row>
    <row r="9" spans="1:1">
      <c r="A9" s="2" t="s">
        <v>129</v>
      </c>
    </row>
    <row r="10" spans="1:1">
      <c r="A10" s="2" t="s">
        <v>130</v>
      </c>
    </row>
    <row r="11" spans="1:1">
      <c r="A11" s="2" t="s">
        <v>131</v>
      </c>
    </row>
    <row r="12" spans="1:1">
      <c r="A12" s="2" t="s">
        <v>132</v>
      </c>
    </row>
    <row r="13" spans="1:1">
      <c r="A13" s="2" t="s">
        <v>133</v>
      </c>
    </row>
    <row r="14" spans="1:1">
      <c r="A14" s="2" t="s">
        <v>134</v>
      </c>
    </row>
    <row r="16" spans="1:1">
      <c r="A16" s="8" t="s">
        <v>135</v>
      </c>
    </row>
    <row r="17" spans="1:1">
      <c r="A17" t="s">
        <v>136</v>
      </c>
    </row>
    <row r="18" spans="1:1">
      <c r="A18" s="2" t="s">
        <v>137</v>
      </c>
    </row>
    <row r="19" spans="1:1">
      <c r="A19" t="s">
        <v>138</v>
      </c>
    </row>
    <row r="20" spans="1:1">
      <c r="A20" s="2" t="s">
        <v>139</v>
      </c>
    </row>
    <row r="21" spans="1:1">
      <c r="A21" t="s">
        <v>140</v>
      </c>
    </row>
    <row r="22" spans="1:1">
      <c r="A22" s="2" t="s">
        <v>141</v>
      </c>
    </row>
    <row r="23" spans="1:1">
      <c r="A23" s="2" t="s">
        <v>142</v>
      </c>
    </row>
    <row r="24" spans="1:1">
      <c r="A24" s="2" t="s">
        <v>143</v>
      </c>
    </row>
    <row r="25" spans="1:1">
      <c r="A25" t="s">
        <v>144</v>
      </c>
    </row>
    <row r="26" spans="1:1">
      <c r="A26" s="2" t="s">
        <v>145</v>
      </c>
    </row>
    <row r="27" spans="1:1">
      <c r="A27" t="s">
        <v>146</v>
      </c>
    </row>
    <row r="28" spans="1:1">
      <c r="A28" s="2" t="s">
        <v>147</v>
      </c>
    </row>
    <row r="29" spans="1:1">
      <c r="A29" t="s">
        <v>148</v>
      </c>
    </row>
    <row r="30" spans="1:1">
      <c r="A30" s="2" t="s">
        <v>149</v>
      </c>
    </row>
    <row r="31" spans="1:1">
      <c r="A31" t="s">
        <v>150</v>
      </c>
    </row>
    <row r="32" spans="1:1">
      <c r="A32" s="2" t="s">
        <v>151</v>
      </c>
    </row>
    <row r="33" spans="1:1">
      <c r="A33" t="s">
        <v>152</v>
      </c>
    </row>
    <row r="34" spans="1:1">
      <c r="A34" s="2" t="s">
        <v>153</v>
      </c>
    </row>
    <row r="35" spans="1:1">
      <c r="A35" s="2" t="s">
        <v>154</v>
      </c>
    </row>
    <row r="36" spans="1:1">
      <c r="A36" s="2" t="s">
        <v>155</v>
      </c>
    </row>
    <row r="37" spans="1:1">
      <c r="A37" t="s">
        <v>156</v>
      </c>
    </row>
    <row r="38" spans="1:1">
      <c r="A38" s="2" t="s">
        <v>157</v>
      </c>
    </row>
    <row r="39" spans="1:1">
      <c r="A39" s="2" t="s">
        <v>158</v>
      </c>
    </row>
    <row r="40" spans="1:1">
      <c r="A40" s="2" t="s">
        <v>159</v>
      </c>
    </row>
    <row r="41" spans="1:1">
      <c r="A41" s="2" t="s">
        <v>160</v>
      </c>
    </row>
    <row r="42" spans="1:1">
      <c r="A42" t="s">
        <v>161</v>
      </c>
    </row>
    <row r="43" spans="1:1">
      <c r="A43" s="2" t="s">
        <v>162</v>
      </c>
    </row>
    <row r="44" spans="1:1">
      <c r="A44" s="2" t="s">
        <v>163</v>
      </c>
    </row>
    <row r="45" spans="1:1">
      <c r="A45" s="2" t="s">
        <v>164</v>
      </c>
    </row>
    <row r="46" spans="1:1">
      <c r="A46" s="2" t="s">
        <v>165</v>
      </c>
    </row>
    <row r="48" spans="1:1">
      <c r="A48" s="8" t="s">
        <v>166</v>
      </c>
    </row>
    <row r="49" spans="1:1">
      <c r="A49" s="2" t="s">
        <v>167</v>
      </c>
    </row>
    <row r="50" spans="1:1">
      <c r="A50" s="2" t="s">
        <v>168</v>
      </c>
    </row>
    <row r="51" spans="1:1">
      <c r="A51" s="2" t="s">
        <v>169</v>
      </c>
    </row>
    <row r="52" spans="1:1">
      <c r="A52" s="2" t="s">
        <v>170</v>
      </c>
    </row>
    <row r="53" spans="1:1">
      <c r="A53" s="2" t="s">
        <v>171</v>
      </c>
    </row>
    <row r="54" spans="1:1">
      <c r="A54" s="2" t="s">
        <v>172</v>
      </c>
    </row>
    <row r="55" spans="1:1">
      <c r="A55" s="2" t="s">
        <v>173</v>
      </c>
    </row>
    <row r="57" spans="1:1">
      <c r="A57" s="8" t="s">
        <v>174</v>
      </c>
    </row>
    <row r="58" spans="1:1">
      <c r="A58" s="2" t="s">
        <v>175</v>
      </c>
    </row>
    <row r="59" spans="1:1">
      <c r="A59" s="2" t="s">
        <v>176</v>
      </c>
    </row>
    <row r="60" spans="1:1">
      <c r="A60" s="2" t="s">
        <v>177</v>
      </c>
    </row>
    <row r="61" spans="1:1">
      <c r="A61" s="2" t="s">
        <v>178</v>
      </c>
    </row>
    <row r="63" spans="1:1">
      <c r="A63" t="s">
        <v>179</v>
      </c>
    </row>
    <row r="64" spans="1:1">
      <c r="A64" t="s">
        <v>180</v>
      </c>
    </row>
    <row r="65" spans="1:1">
      <c r="A65" t="s">
        <v>181</v>
      </c>
    </row>
    <row r="66" spans="1:1">
      <c r="A66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Scenarios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2026-07-31T06:24:12Z</dcterms:created>
  <dcterms:modified xsi:type="dcterms:W3CDTF">2026-07-31T06:24:12Z</dcterms:modified>
</cp:coreProperties>
</file>