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<sst xmlns="http://schemas.openxmlformats.org/spreadsheetml/2006/main" count="349" uniqueCount="163">
  <si>
    <t xml:space="preserve">Ticker</t>
  </si>
  <si>
    <t xml:space="preserve">1516.HK</t>
  </si>
  <si>
    <t xml:space="preserve">Company</t>
  </si>
  <si>
    <t xml:space="preserve">Sunac Services Holdings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</si>
  <si>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</si>
  <si>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</si>
  <si>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</si>
  <si>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</si>
  <si>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(HKEX regular close, Friday 16 Oct 2026; not an after-hours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</si>
  <si>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</si>
  <si>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</si>
  <si>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</si>
  <si>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</si>
  <si>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</si>
  <si>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</si>
  <si>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</si>
  <si>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</si>
  <si>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</si>
  <si>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</si>
  <si>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</si>
  <si>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</si>
  <si>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</si>
  <si>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2026-10-16T13:30:55Z</t>
  </si>
  <si>
    <t xml:space="preserve">Drivers file</t>
  </si>
  <si>
    <t xml:space="preserve">1516.HK_Drivers.json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</si>
  <si>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</si>
  <si>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</si>
  <si>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</si>
  <si>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recurring property-management annuity on what it collects, not what it accrues, by treating receivables impairment as an operating cost and normalising it to a mid-cycle level that reflects a permanently Sunac-weighted portfolio; value the cash pile at a haircut that reflects its captivity inside a defaulted developer's group rather than at par; charge no risk premium in the discount rate so each risk is priced once. The market cap sits below the cash: the stock is an option on the board returning that cash, and the haircut is the model's price for that uncertainty.
key_risks_to_valuation: Captive-cash haircut (35%) is the single largest judgment: cash at par adds HK$0.45/share to every scenario; a perpetual non-distribution or a parent-related asset purchase would justify a deeper haircut than the bear scenario carries; Non-collection charge path: every 1pp of permanent non-collection is ~RMB65m/yr of owner FCF (~HK$0.25/share at the terminal multiple); Cash tax rate on post-impairment EBIT is modelled far above statutory because provisions are non-deductible; the RMB1.14bn deferred tax asset is uncredited upside if write-offs are eventually allowed; Revenue base erosion: 73% of managed GFA is Sunac-built with no new pipeline; project exits are deliberate but shrink the base, and government-guided fee cuts are a sector-wide headwind; Governance: CEO, CFO and several directors are current or former Sunac Group executives; connected-transaction caps govern a large share of the business; Balance-sheet seasonality: the 30 Jun 2026 cash (3,286m) is the seasonal low; Dec-2025 was 4,040m and H2 collection typically brings 700-800m back</t>
  </si>
  <si>
    <t xml:space="preserve">Data sources</t>
  </si>
  <si>
    <t xml:space="preserve">price: Yahoo Finance chart API at inputs.price_as_of; 52-week range 0.69-1.73 HKD
fx: Yahoo CNYHKD=X at 2026-10-16T13:26Z, parity-checked against USDCNY=X and USDHKD=X
financials: 1516.HK_Metrics.csv (FY2020-FY2025, H1 2024-H1 2026, RMB m); 1516.HK_Annual_FY2025.txt (income statement p.3329-3351, cash flow p.3555-3596, note 31(a) p.6896-6933, note 26 share-based payments); 1516.HK_HalfYear_H1-2026.txt (income statement p.1468-1505, balance sheet p.1527-1594, cash flow p.1711-1745, notes 13, 19, 21, 22, 23, MD&amp;A s.11 available funds, repurchases p.1208-1230)
qualitative: 1516.HK_Analysis.json (2026-10-17)</t>
  </si>
  <si>
    <t xml:space="preserve">Scenario narrative: bear</t>
  </si>
  <si>
    <t xml:space="preserve">The subsidiary keeps functioning as the parent's bank. Sunac China (RMB116bn overdue mid-2026, still loss-making) keeps leaning on the services arm: related-party receivables keep accruing and get provided, third-party owners of defect-ridden Sunac stock keep withholding fees, and government-guided fee cuts push the gross margin down. Revenue shrinks ~9% then ~6%, ~4%, ~3% and flattens near RMB5.1bn by 2035; pre-impairment EBITDA slips to 13.5% and the non-collection charge only improves to 7%, so cash EBITDA is 3.5-6.5% and owner FCF is roughly zero for two years before reaching ~RMB170m. Cash tax stays punitive. Terminal growth zero, cap 10x. Note the bear does not touch the 35% cash haircut; a deeper raid on the cash (a parent-related acquisition, a loan, a perpetual non-distribution) is the tail beyond the bear.</t>
  </si>
  <si>
    <t xml:space="preserve">Scenario narrative: base</t>
  </si>
  <si>
    <t xml:space="preserve">The annuity survives the parent but never fully escapes it. Revenue drifts down ~7% in FY2026 (Zhangtai deconsolidation plus project exits) and stabilises near RMB6.2-6.4bn with no Sunac pipeline; the non-residential and commercial lines offset residential attrition. The admin-cost programme and the 'Clearance Action' hold pre-impairment EBITDA around 15%. The decisive variable is collection: the non-collection charge (impairment) falls from ~9% of revenue to ~4% by 2031 as the 93%-provided related-party book stops growing and the worst third-party projects are exited, but stays well above the 1-2% of SOE-backed peers because 73% of managed GFA is Sunac-built. Cash tax normalises as provisions stop inflating taxable income. Owner FCF goes from ~zero to ~RMB425m by 2030 and ~RMB500m at maturity (7% margin). Terminal value capped at 12x. The RMB3.3bn of cash is taken at a 35% haircut in every scenario.</t>
  </si>
  <si>
    <t xml:space="preserve">Scenario narrative: bull</t>
  </si>
  <si>
    <t xml:space="preserve">Collections genuinely cure. Sunac China's two restructurings (Dec 2025) and the chairman's 'largely resolved' statement prove right: related-party impairments go to zero, the exited-project programme lifts third-party collection, and the 15th Five-Year Plan's property-service agenda allows modest fee indexation. Revenue returns to +2-3% growth from FY2028 on non-residential wins (AI/semiconductor facilities, data centres, asset-light malls); pre-impairment EBITDA reaches 16.5% and the non-collection charge 2.5% (the CG Services post-peak level), so cash EBITDA hits 14%. Cash tax normalises to 26%. Terminal cap 14x, 2.5% growth. The cash haircut still applies: even in the bull the board has not shown it will return the cash.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</si>
  <si>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</si>
  <si>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</si>
  <si>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</si>
  <si>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</si>
  <si>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</si>
  <si>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</si>
  <si>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</si>
  <si>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</si>
  <si>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</si>
  <si>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</si>
  <si>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</si>
  <si>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</si>
  <si>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</si>
  <si>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</si>
  <si>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</si>
  <si>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</si>
  <si>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</si>
  <si>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</si>
  <si>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</si>
  <si>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</si>
  <si>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</si>
  <si>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</si>
  <si>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</si>
  <si>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</si>
  <si>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</si>
  <si>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</si>
  <si>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</si>
  <si>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NetIncomeInclNCI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</si>
  <si>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</si>
  <si>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</si>
  <si>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</si>
  <si>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</si>
  <si>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</si>
  <si>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</si>
  <si>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</si>
  <si>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</si>
  <si>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</si>
  <si>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</si>
  <si>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</si>
  <si>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</si>
  <si>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</si>
  <si>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</si>
  <si>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</si>
  <si>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</si>
  <si>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</si>
  <si>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</si>
  <si>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</si>
  <si>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</si>
  <si>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</si>
  <si>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</si>
  <si>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</si>
  <si>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</si>
  <si>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</si>
  <si>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</si>
  <si>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</si>
  <si>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</si>
  <si>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</si>
  <si>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</si>
  <si>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</si>
  <si>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</si>
  <si>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</si>
  <si>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</si>
  <si>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</si>
  <si>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</si>
  <si>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</si>
  <si>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</si>
  <si>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</si>
  <si>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</si>
  <si>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</si>
  <si>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</si>
  <si>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</si>
  <si>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1516.HK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</si>
  <si>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</si>
  <si>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</si>
  <si>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</si>
  <si>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</si>
  <si>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</si>
  <si>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</si>
  <si>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</si>
  <si>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</si>
  <si>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</si>
  <si>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</si>
  <si>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</si>
  <si>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</si>
  <si>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</si>
  <si>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</si>
  <si>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</si>
  <si>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</si>
  <si>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</si>
  <si>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</si>
  <si>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</si>
  <si>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</si>
  <si>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</si>
  <si>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</si>
  <si>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</si>
  <si>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</si>
  <si>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</si>
  <si>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</si>
  <si>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</si>
  <si>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</si>
  <si>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</si>
  <si>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</si>
  <si>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1516.HK owner-FCF component DCF: base case (millions, CNY)</t>
  </si>
  <si>
    <t xml:space="preserve">1516.HK owner-FCF component DCF: bull case (millions, CNY)</t>
  </si>
  <si>
    <t xml:space="preserve">1516.HK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</si>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</sst>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0.71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4625.166</v>
      </c>
      <c r="C2" s="0" t="n">
        <v>3349.469</v>
      </c>
      <c r="D2" s="0" t="n">
        <v>1275.697</v>
      </c>
      <c r="E2" s="0" t="n">
        <v>27.6</v>
      </c>
      <c r="F2" s="0" t="n">
        <v>797.774</v>
      </c>
      <c r="G2" s="0" t="n">
        <v>17.2</v>
      </c>
      <c r="I2" s="0" t="n">
        <v>596.799</v>
      </c>
      <c r="J2" s="0" t="n">
        <v>12.9</v>
      </c>
      <c r="K2" s="0" t="n">
        <v>0.25</v>
      </c>
      <c r="L2" s="0" t="n">
        <v>1023.827</v>
      </c>
      <c r="M2" s="0" t="n">
        <v>40.457</v>
      </c>
      <c r="N2" s="0" t="n">
        <v>983.37</v>
      </c>
      <c r="O2" s="0" t="n">
        <v>9679.874</v>
      </c>
      <c r="P2" s="0" t="n">
        <v>12959.461</v>
      </c>
      <c r="Q2" s="0" t="n">
        <v>3228.306</v>
      </c>
      <c r="R2" s="0" t="n">
        <v>0</v>
      </c>
      <c r="S2" s="0" t="n">
        <v>9368.602</v>
      </c>
      <c r="T2" s="0" t="n">
        <v>2395.825</v>
      </c>
      <c r="U2" s="0" t="n">
        <v>0</v>
      </c>
      <c r="AA2" s="0" t="s">
        <v>18</v>
      </c>
      <c r="AB2" s="0" t="s">
        <v>14</v>
      </c>
      <c r="AC2" s="0" t="n">
        <v>621.631</v>
      </c>
    </row>
    <row r="3" customFormat="false" ht="15" hidden="false" customHeight="false" outlineLevel="0" collapsed="false">
      <c r="A3" s="0" t="s">
        <v>66</v>
      </c>
      <c r="B3" s="0" t="n">
        <v>7903.674</v>
      </c>
      <c r="C3" s="0" t="n">
        <v>5412.704</v>
      </c>
      <c r="D3" s="0" t="n">
        <v>2490.97</v>
      </c>
      <c r="E3" s="0" t="n">
        <v>31.5</v>
      </c>
      <c r="F3" s="0" t="n">
        <v>1636.778</v>
      </c>
      <c r="G3" s="0" t="n">
        <v>20.7</v>
      </c>
      <c r="I3" s="0" t="n">
        <v>1276.326</v>
      </c>
      <c r="J3" s="0" t="n">
        <v>16.1</v>
      </c>
      <c r="K3" s="0" t="n">
        <v>0.41</v>
      </c>
      <c r="L3" s="0" t="n">
        <v>-386.849</v>
      </c>
      <c r="M3" s="0" t="n">
        <v>146.222</v>
      </c>
      <c r="N3" s="0" t="n">
        <v>-533.071</v>
      </c>
      <c r="O3" s="0" t="n">
        <v>8501.525</v>
      </c>
      <c r="P3" s="0" t="n">
        <v>13468.266</v>
      </c>
      <c r="Q3" s="0" t="n">
        <v>4795.279</v>
      </c>
      <c r="R3" s="0" t="n">
        <v>0</v>
      </c>
      <c r="S3" s="0" t="n">
        <v>5304.239</v>
      </c>
      <c r="T3" s="0" t="n">
        <v>3098.356</v>
      </c>
      <c r="U3" s="0" t="n">
        <v>33.689</v>
      </c>
      <c r="AA3" s="0" t="s">
        <v>18</v>
      </c>
      <c r="AB3" s="0" t="s">
        <v>14</v>
      </c>
      <c r="AC3" s="0" t="n">
        <v>1358.494</v>
      </c>
    </row>
    <row r="4" customFormat="false" ht="15" hidden="false" customHeight="false" outlineLevel="0" collapsed="false">
      <c r="A4" s="0" t="s">
        <v>67</v>
      </c>
      <c r="B4" s="0" t="n">
        <v>7126.161</v>
      </c>
      <c r="C4" s="0" t="n">
        <v>5521.722</v>
      </c>
      <c r="D4" s="0" t="n">
        <v>1604.439</v>
      </c>
      <c r="E4" s="0" t="n">
        <v>22.5</v>
      </c>
      <c r="F4" s="0" t="n">
        <v>-730.151</v>
      </c>
      <c r="G4" s="0" t="n">
        <v>-10.2</v>
      </c>
      <c r="I4" s="0" t="n">
        <v>-481.902</v>
      </c>
      <c r="J4" s="0" t="n">
        <v>-6.8</v>
      </c>
      <c r="K4" s="0" t="n">
        <v>-0.16</v>
      </c>
      <c r="L4" s="0" t="n">
        <v>-394.808</v>
      </c>
      <c r="M4" s="0" t="n">
        <v>125.841</v>
      </c>
      <c r="N4" s="0" t="n">
        <v>-520.649</v>
      </c>
      <c r="O4" s="0" t="n">
        <v>7603.703</v>
      </c>
      <c r="P4" s="0" t="n">
        <v>12493.457</v>
      </c>
      <c r="Q4" s="0" t="n">
        <v>4724.428</v>
      </c>
      <c r="R4" s="0" t="n">
        <v>0</v>
      </c>
      <c r="S4" s="0" t="n">
        <v>3878.267</v>
      </c>
      <c r="T4" s="0" t="n">
        <v>3064.95</v>
      </c>
      <c r="U4" s="0" t="n">
        <v>40.581</v>
      </c>
      <c r="AA4" s="0" t="s">
        <v>18</v>
      </c>
      <c r="AB4" s="0" t="s">
        <v>14</v>
      </c>
      <c r="AC4" s="0" t="n">
        <v>-462.396</v>
      </c>
    </row>
    <row r="5" customFormat="false" ht="15" hidden="false" customHeight="false" outlineLevel="0" collapsed="false">
      <c r="A5" s="0" t="s">
        <v>68</v>
      </c>
      <c r="B5" s="0" t="n">
        <v>7009.517</v>
      </c>
      <c r="C5" s="0" t="n">
        <v>5341.657</v>
      </c>
      <c r="D5" s="0" t="n">
        <v>1667.86</v>
      </c>
      <c r="E5" s="0" t="n">
        <v>23.8</v>
      </c>
      <c r="F5" s="0" t="n">
        <v>-412.428</v>
      </c>
      <c r="G5" s="0" t="n">
        <v>-5.9</v>
      </c>
      <c r="I5" s="0" t="n">
        <v>-435.068</v>
      </c>
      <c r="J5" s="0" t="n">
        <v>-6.2</v>
      </c>
      <c r="K5" s="0" t="n">
        <v>-0.14</v>
      </c>
      <c r="L5" s="0" t="n">
        <v>862.243</v>
      </c>
      <c r="M5" s="0" t="n">
        <v>89.174</v>
      </c>
      <c r="N5" s="0" t="n">
        <v>773.069</v>
      </c>
      <c r="O5" s="0" t="n">
        <v>6035.024</v>
      </c>
      <c r="P5" s="0" t="n">
        <v>11644.829</v>
      </c>
      <c r="Q5" s="0" t="n">
        <v>5407.323</v>
      </c>
      <c r="R5" s="0" t="n">
        <v>0</v>
      </c>
      <c r="S5" s="0" t="n">
        <v>3979.504</v>
      </c>
      <c r="T5" s="0" t="n">
        <v>3056.844</v>
      </c>
      <c r="U5" s="0" t="n">
        <v>19.698</v>
      </c>
      <c r="AA5" s="0" t="s">
        <v>18</v>
      </c>
      <c r="AB5" s="0" t="s">
        <v>14</v>
      </c>
      <c r="AC5" s="0" t="n">
        <v>-393.183</v>
      </c>
    </row>
    <row r="6" customFormat="false" ht="15" hidden="false" customHeight="false" outlineLevel="0" collapsed="false">
      <c r="A6" s="0" t="s">
        <v>69</v>
      </c>
      <c r="B6" s="0" t="n">
        <v>6969.501</v>
      </c>
      <c r="C6" s="0" t="n">
        <v>5442.228</v>
      </c>
      <c r="D6" s="0" t="n">
        <v>1527.273</v>
      </c>
      <c r="E6" s="0" t="n">
        <v>21.9</v>
      </c>
      <c r="F6" s="0" t="n">
        <v>-603.604</v>
      </c>
      <c r="G6" s="0" t="n">
        <v>-8.7</v>
      </c>
      <c r="I6" s="0" t="n">
        <v>-451.197</v>
      </c>
      <c r="J6" s="0" t="n">
        <v>-6.5</v>
      </c>
      <c r="K6" s="0" t="n">
        <v>-0.15</v>
      </c>
      <c r="L6" s="0" t="n">
        <v>186.179</v>
      </c>
      <c r="M6" s="0" t="n">
        <v>61.438</v>
      </c>
      <c r="N6" s="0" t="n">
        <v>124.741</v>
      </c>
      <c r="O6" s="0" t="n">
        <v>5165.132</v>
      </c>
      <c r="P6" s="0" t="n">
        <v>10590.345</v>
      </c>
      <c r="Q6" s="0" t="n">
        <v>5270.969</v>
      </c>
      <c r="R6" s="0" t="n">
        <v>0</v>
      </c>
      <c r="S6" s="0" t="n">
        <v>4027.79</v>
      </c>
      <c r="T6" s="0" t="n">
        <v>3056.844</v>
      </c>
      <c r="U6" s="0" t="n">
        <v>10.605</v>
      </c>
      <c r="AA6" s="0" t="s">
        <v>18</v>
      </c>
      <c r="AB6" s="0" t="s">
        <v>14</v>
      </c>
      <c r="AC6" s="0" t="n">
        <v>-433.139</v>
      </c>
    </row>
    <row r="7" customFormat="false" ht="15" hidden="false" customHeight="false" outlineLevel="0" collapsed="false">
      <c r="A7" s="0" t="s">
        <v>70</v>
      </c>
      <c r="B7" s="0" t="n">
        <v>6816.162</v>
      </c>
      <c r="C7" s="0" t="n">
        <v>5564.565</v>
      </c>
      <c r="D7" s="0" t="n">
        <v>1251.597</v>
      </c>
      <c r="E7" s="0" t="n">
        <v>18.4</v>
      </c>
      <c r="F7" s="0" t="n">
        <v>291.154</v>
      </c>
      <c r="G7" s="0" t="n">
        <v>4.3</v>
      </c>
      <c r="I7" s="0" t="n">
        <v>202.725</v>
      </c>
      <c r="J7" s="0" t="n">
        <v>3</v>
      </c>
      <c r="K7" s="0" t="n">
        <v>0.07</v>
      </c>
      <c r="L7" s="0" t="n">
        <v>30.656</v>
      </c>
      <c r="M7" s="0" t="n">
        <v>79.034</v>
      </c>
      <c r="N7" s="0" t="n">
        <v>-48.378</v>
      </c>
      <c r="O7" s="0" t="n">
        <v>5156.386</v>
      </c>
      <c r="P7" s="0" t="n">
        <v>9833.365</v>
      </c>
      <c r="Q7" s="0" t="n">
        <v>4601.229</v>
      </c>
      <c r="R7" s="0" t="n">
        <v>0</v>
      </c>
      <c r="S7" s="0" t="n">
        <v>3787.525</v>
      </c>
      <c r="T7" s="0" t="n">
        <v>3056.844</v>
      </c>
      <c r="U7" s="0" t="n">
        <v>8.302</v>
      </c>
      <c r="AA7" s="0" t="s">
        <v>18</v>
      </c>
      <c r="AB7" s="0" t="s">
        <v>14</v>
      </c>
      <c r="AC7" s="0" t="n">
        <v>238.303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0.71</v>
      </c>
    </row>
    <row r="3" customFormat="false" ht="15" hidden="false" customHeight="false" outlineLevel="0" collapsed="false">
      <c r="A3" s="0" t="s">
        <v>74</v>
      </c>
      <c r="B3" s="3" t="n">
        <v>2999.5</v>
      </c>
    </row>
    <row r="4" customFormat="false" ht="15" hidden="false" customHeight="false" outlineLevel="0" collapsed="false">
      <c r="A4" s="0" t="s">
        <v>75</v>
      </c>
      <c r="B4" s="3" t="n">
        <v>-3285.9</v>
      </c>
    </row>
    <row r="5" customFormat="false" ht="15" hidden="false" customHeight="false" outlineLevel="0" collapsed="false">
      <c r="A5" s="0" t="s">
        <v>76</v>
      </c>
      <c r="B5" s="3" t="n">
        <v>-1250.3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6816.162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1.1726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-9</v>
      </c>
      <c r="D13" s="3" t="n">
        <v>-6</v>
      </c>
      <c r="E13" s="3" t="n">
        <v>-4</v>
      </c>
      <c r="F13" s="3" t="n">
        <v>-3</v>
      </c>
      <c r="G13" s="3" t="n">
        <v>-2</v>
      </c>
      <c r="H13" s="3" t="n">
        <v>-1.5</v>
      </c>
      <c r="I13" s="3" t="n">
        <v>-1</v>
      </c>
      <c r="J13" s="3" t="n">
        <v>-1</v>
      </c>
      <c r="K13" s="3" t="n">
        <v>-0.5</v>
      </c>
      <c r="L13" s="3" t="n">
        <v>0</v>
      </c>
    </row>
    <row r="14" customFormat="false" ht="15" hidden="false" customHeight="false" outlineLevel="0" collapsed="false">
      <c r="A14" s="0" t="s">
        <v>95</v>
      </c>
      <c r="C14" s="3" t="n">
        <v>3.5</v>
      </c>
      <c r="D14" s="3" t="n">
        <v>3.8</v>
      </c>
      <c r="E14" s="3" t="n">
        <v>4.5</v>
      </c>
      <c r="F14" s="3" t="n">
        <v>5.5</v>
      </c>
      <c r="G14" s="3" t="n">
        <v>6</v>
      </c>
      <c r="H14" s="3" t="n">
        <v>6.5</v>
      </c>
      <c r="I14" s="3" t="n">
        <v>6.5</v>
      </c>
      <c r="J14" s="3" t="n">
        <v>6.5</v>
      </c>
      <c r="K14" s="3" t="n">
        <v>6.5</v>
      </c>
      <c r="L14" s="3" t="n">
        <v>6.5</v>
      </c>
    </row>
    <row r="15" customFormat="false" ht="15" hidden="false" customHeight="false" outlineLevel="0" collapsed="false">
      <c r="A15" s="0" t="s">
        <v>96</v>
      </c>
      <c r="C15" s="3" t="n">
        <v>0.1</v>
      </c>
      <c r="D15" s="3" t="n">
        <v>0.05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97</v>
      </c>
      <c r="C16" s="3" t="n">
        <v>0.37</v>
      </c>
      <c r="D16" s="3" t="n">
        <v>0.37</v>
      </c>
      <c r="E16" s="3" t="n">
        <v>0.37</v>
      </c>
      <c r="F16" s="3" t="n">
        <v>0.37</v>
      </c>
      <c r="G16" s="3" t="n">
        <v>0.37</v>
      </c>
      <c r="H16" s="3" t="n">
        <v>0.37</v>
      </c>
      <c r="I16" s="3" t="n">
        <v>0.37</v>
      </c>
      <c r="J16" s="3" t="n">
        <v>0.37</v>
      </c>
      <c r="K16" s="3" t="n">
        <v>0.37</v>
      </c>
      <c r="L16" s="3" t="n">
        <v>0.37</v>
      </c>
    </row>
    <row r="17" customFormat="false" ht="15" hidden="false" customHeight="false" outlineLevel="0" collapsed="false">
      <c r="A17" s="0" t="s">
        <v>98</v>
      </c>
      <c r="C17" s="3" t="n">
        <v>1.6</v>
      </c>
      <c r="D17" s="3" t="n">
        <v>1.6</v>
      </c>
      <c r="E17" s="3" t="n">
        <v>1.55</v>
      </c>
      <c r="F17" s="3" t="n">
        <v>1.5</v>
      </c>
      <c r="G17" s="3" t="n">
        <v>1.5</v>
      </c>
      <c r="H17" s="3" t="n">
        <v>1.45</v>
      </c>
      <c r="I17" s="3" t="n">
        <v>1.45</v>
      </c>
      <c r="J17" s="3" t="n">
        <v>1.4</v>
      </c>
      <c r="K17" s="3" t="n">
        <v>1.4</v>
      </c>
      <c r="L17" s="3" t="n">
        <v>1.4</v>
      </c>
    </row>
    <row r="18" customFormat="false" ht="15" hidden="false" customHeight="false" outlineLevel="0" collapsed="false">
      <c r="A18" s="0" t="s">
        <v>99</v>
      </c>
      <c r="C18" s="3" t="n">
        <v>1.2</v>
      </c>
      <c r="D18" s="3" t="n">
        <v>1.2</v>
      </c>
      <c r="E18" s="3" t="n">
        <v>1.2</v>
      </c>
      <c r="F18" s="3" t="n">
        <v>1.2</v>
      </c>
      <c r="G18" s="3" t="n">
        <v>1.2</v>
      </c>
      <c r="H18" s="3" t="n">
        <v>1.2</v>
      </c>
      <c r="I18" s="3" t="n">
        <v>1.2</v>
      </c>
      <c r="J18" s="3" t="n">
        <v>1.2</v>
      </c>
      <c r="K18" s="3" t="n">
        <v>1.2</v>
      </c>
      <c r="L18" s="3" t="n">
        <v>1.2</v>
      </c>
    </row>
    <row r="19" customFormat="false" ht="15" hidden="false" customHeight="false" outlineLevel="0" collapsed="false">
      <c r="A19" s="0" t="s">
        <v>100</v>
      </c>
      <c r="C19" s="3" t="n">
        <v>75</v>
      </c>
      <c r="D19" s="3" t="n">
        <v>60</v>
      </c>
      <c r="E19" s="3" t="n">
        <v>50</v>
      </c>
      <c r="F19" s="3" t="n">
        <v>42</v>
      </c>
      <c r="G19" s="3" t="n">
        <v>38</v>
      </c>
      <c r="H19" s="3" t="n">
        <v>35</v>
      </c>
      <c r="I19" s="3" t="n">
        <v>35</v>
      </c>
      <c r="J19" s="3" t="n">
        <v>35</v>
      </c>
      <c r="K19" s="3" t="n">
        <v>35</v>
      </c>
      <c r="L19" s="3" t="n">
        <v>35</v>
      </c>
    </row>
    <row r="20" customFormat="false" ht="15" hidden="false" customHeight="false" outlineLevel="0" collapsed="false">
      <c r="A20" s="0" t="s">
        <v>101</v>
      </c>
      <c r="B20" s="3" t="n">
        <v>9.5</v>
      </c>
    </row>
    <row r="21" customFormat="false" ht="15" hidden="false" customHeight="false" outlineLevel="0" collapsed="false">
      <c r="A21" s="0" t="s">
        <v>102</v>
      </c>
      <c r="B21" s="3" t="n">
        <v>0</v>
      </c>
    </row>
    <row r="22" customFormat="false" ht="15" hidden="false" customHeight="false" outlineLevel="0" collapsed="false">
      <c r="A22" s="0" t="s">
        <v>103</v>
      </c>
      <c r="B22" s="3" t="n">
        <v>10</v>
      </c>
    </row>
    <row r="23" customFormat="false" ht="15" hidden="false" customHeight="false" outlineLevel="0" collapsed="false">
      <c r="A23" s="0" t="s">
        <v>104</v>
      </c>
      <c r="B23" s="3" t="n">
        <v>10</v>
      </c>
    </row>
    <row r="24" customFormat="false" ht="15" hidden="false" customHeight="false" outlineLevel="0" collapsed="false">
      <c r="A24" s="0" t="s">
        <v>105</v>
      </c>
      <c r="B24" s="3" t="n">
        <v>0.35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-7</v>
      </c>
      <c r="D27" s="3" t="n">
        <v>-2</v>
      </c>
      <c r="E27" s="3" t="n">
        <v>0</v>
      </c>
      <c r="F27" s="3" t="n">
        <v>1</v>
      </c>
      <c r="G27" s="3" t="n">
        <v>1.5</v>
      </c>
      <c r="H27" s="3" t="n">
        <v>1.5</v>
      </c>
      <c r="I27" s="3" t="n">
        <v>1.5</v>
      </c>
      <c r="J27" s="3" t="n">
        <v>1.5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95</v>
      </c>
      <c r="C28" s="3" t="n">
        <v>5.5</v>
      </c>
      <c r="D28" s="3" t="n">
        <v>7.3</v>
      </c>
      <c r="E28" s="3" t="n">
        <v>9</v>
      </c>
      <c r="F28" s="3" t="n">
        <v>10.2</v>
      </c>
      <c r="G28" s="3" t="n">
        <v>10.8</v>
      </c>
      <c r="H28" s="3" t="n">
        <v>11.3</v>
      </c>
      <c r="I28" s="3" t="n">
        <v>11.3</v>
      </c>
      <c r="J28" s="3" t="n">
        <v>11.3</v>
      </c>
      <c r="K28" s="3" t="n">
        <v>11.3</v>
      </c>
      <c r="L28" s="3" t="n">
        <v>11.3</v>
      </c>
    </row>
    <row r="29" customFormat="false" ht="15" hidden="false" customHeight="false" outlineLevel="0" collapsed="false">
      <c r="A29" s="0" t="s">
        <v>96</v>
      </c>
      <c r="C29" s="3" t="n">
        <v>0.1</v>
      </c>
      <c r="D29" s="3" t="n">
        <v>0.05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97</v>
      </c>
      <c r="C30" s="3" t="n">
        <v>0.37</v>
      </c>
      <c r="D30" s="3" t="n">
        <v>0.37</v>
      </c>
      <c r="E30" s="3" t="n">
        <v>0.37</v>
      </c>
      <c r="F30" s="3" t="n">
        <v>0.37</v>
      </c>
      <c r="G30" s="3" t="n">
        <v>0.37</v>
      </c>
      <c r="H30" s="3" t="n">
        <v>0.37</v>
      </c>
      <c r="I30" s="3" t="n">
        <v>0.37</v>
      </c>
      <c r="J30" s="3" t="n">
        <v>0.37</v>
      </c>
      <c r="K30" s="3" t="n">
        <v>0.37</v>
      </c>
      <c r="L30" s="3" t="n">
        <v>0.37</v>
      </c>
    </row>
    <row r="31" customFormat="false" ht="15" hidden="false" customHeight="false" outlineLevel="0" collapsed="false">
      <c r="A31" s="0" t="s">
        <v>98</v>
      </c>
      <c r="C31" s="3" t="n">
        <v>1.6</v>
      </c>
      <c r="D31" s="3" t="n">
        <v>1.6</v>
      </c>
      <c r="E31" s="3" t="n">
        <v>1.55</v>
      </c>
      <c r="F31" s="3" t="n">
        <v>1.5</v>
      </c>
      <c r="G31" s="3" t="n">
        <v>1.5</v>
      </c>
      <c r="H31" s="3" t="n">
        <v>1.45</v>
      </c>
      <c r="I31" s="3" t="n">
        <v>1.45</v>
      </c>
      <c r="J31" s="3" t="n">
        <v>1.4</v>
      </c>
      <c r="K31" s="3" t="n">
        <v>1.4</v>
      </c>
      <c r="L31" s="3" t="n">
        <v>1.4</v>
      </c>
    </row>
    <row r="32" customFormat="false" ht="15" hidden="false" customHeight="false" outlineLevel="0" collapsed="false">
      <c r="A32" s="0" t="s">
        <v>99</v>
      </c>
      <c r="C32" s="3" t="n">
        <v>1.2</v>
      </c>
      <c r="D32" s="3" t="n">
        <v>1.2</v>
      </c>
      <c r="E32" s="3" t="n">
        <v>1.2</v>
      </c>
      <c r="F32" s="3" t="n">
        <v>1.2</v>
      </c>
      <c r="G32" s="3" t="n">
        <v>1.2</v>
      </c>
      <c r="H32" s="3" t="n">
        <v>1.2</v>
      </c>
      <c r="I32" s="3" t="n">
        <v>1.2</v>
      </c>
      <c r="J32" s="3" t="n">
        <v>1.2</v>
      </c>
      <c r="K32" s="3" t="n">
        <v>1.2</v>
      </c>
      <c r="L32" s="3" t="n">
        <v>1.2</v>
      </c>
    </row>
    <row r="33" customFormat="false" ht="15" hidden="false" customHeight="false" outlineLevel="0" collapsed="false">
      <c r="A33" s="0" t="s">
        <v>100</v>
      </c>
      <c r="C33" s="3" t="n">
        <v>60</v>
      </c>
      <c r="D33" s="3" t="n">
        <v>45</v>
      </c>
      <c r="E33" s="3" t="n">
        <v>38</v>
      </c>
      <c r="F33" s="3" t="n">
        <v>33</v>
      </c>
      <c r="G33" s="3" t="n">
        <v>30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101</v>
      </c>
      <c r="B34" s="3" t="n">
        <v>9.5</v>
      </c>
    </row>
    <row r="35" customFormat="false" ht="15" hidden="false" customHeight="false" outlineLevel="0" collapsed="false">
      <c r="A35" s="0" t="s">
        <v>102</v>
      </c>
      <c r="B35" s="3" t="n">
        <v>2</v>
      </c>
    </row>
    <row r="36" customFormat="false" ht="15" hidden="false" customHeight="false" outlineLevel="0" collapsed="false">
      <c r="A36" s="0" t="s">
        <v>103</v>
      </c>
      <c r="B36" s="3" t="n">
        <v>12</v>
      </c>
    </row>
    <row r="37" customFormat="false" ht="15" hidden="false" customHeight="false" outlineLevel="0" collapsed="false">
      <c r="A37" s="0" t="s">
        <v>104</v>
      </c>
      <c r="B37" s="3" t="n">
        <v>10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-5</v>
      </c>
      <c r="D41" s="3" t="n">
        <v>0</v>
      </c>
      <c r="E41" s="3" t="n">
        <v>2</v>
      </c>
      <c r="F41" s="3" t="n">
        <v>3</v>
      </c>
      <c r="G41" s="3" t="n">
        <v>3</v>
      </c>
      <c r="H41" s="3" t="n">
        <v>3</v>
      </c>
      <c r="I41" s="3" t="n">
        <v>2.5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95</v>
      </c>
      <c r="C42" s="3" t="n">
        <v>7</v>
      </c>
      <c r="D42" s="3" t="n">
        <v>9.5</v>
      </c>
      <c r="E42" s="3" t="n">
        <v>11.5</v>
      </c>
      <c r="F42" s="3" t="n">
        <v>12.8</v>
      </c>
      <c r="G42" s="3" t="n">
        <v>13.5</v>
      </c>
      <c r="H42" s="3" t="n">
        <v>14</v>
      </c>
      <c r="I42" s="3" t="n">
        <v>14</v>
      </c>
      <c r="J42" s="3" t="n">
        <v>14</v>
      </c>
      <c r="K42" s="3" t="n">
        <v>14</v>
      </c>
      <c r="L42" s="3" t="n">
        <v>14</v>
      </c>
    </row>
    <row r="43" customFormat="false" ht="15" hidden="false" customHeight="false" outlineLevel="0" collapsed="false">
      <c r="A43" s="0" t="s">
        <v>96</v>
      </c>
      <c r="C43" s="3" t="n">
        <v>0.1</v>
      </c>
      <c r="D43" s="3" t="n">
        <v>0.05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97</v>
      </c>
      <c r="C44" s="3" t="n">
        <v>0.37</v>
      </c>
      <c r="D44" s="3" t="n">
        <v>0.37</v>
      </c>
      <c r="E44" s="3" t="n">
        <v>0.37</v>
      </c>
      <c r="F44" s="3" t="n">
        <v>0.37</v>
      </c>
      <c r="G44" s="3" t="n">
        <v>0.37</v>
      </c>
      <c r="H44" s="3" t="n">
        <v>0.37</v>
      </c>
      <c r="I44" s="3" t="n">
        <v>0.37</v>
      </c>
      <c r="J44" s="3" t="n">
        <v>0.37</v>
      </c>
      <c r="K44" s="3" t="n">
        <v>0.37</v>
      </c>
      <c r="L44" s="3" t="n">
        <v>0.37</v>
      </c>
    </row>
    <row r="45" customFormat="false" ht="15" hidden="false" customHeight="false" outlineLevel="0" collapsed="false">
      <c r="A45" s="0" t="s">
        <v>98</v>
      </c>
      <c r="C45" s="3" t="n">
        <v>1.6</v>
      </c>
      <c r="D45" s="3" t="n">
        <v>1.6</v>
      </c>
      <c r="E45" s="3" t="n">
        <v>1.55</v>
      </c>
      <c r="F45" s="3" t="n">
        <v>1.5</v>
      </c>
      <c r="G45" s="3" t="n">
        <v>1.5</v>
      </c>
      <c r="H45" s="3" t="n">
        <v>1.45</v>
      </c>
      <c r="I45" s="3" t="n">
        <v>1.45</v>
      </c>
      <c r="J45" s="3" t="n">
        <v>1.4</v>
      </c>
      <c r="K45" s="3" t="n">
        <v>1.4</v>
      </c>
      <c r="L45" s="3" t="n">
        <v>1.4</v>
      </c>
    </row>
    <row r="46" customFormat="false" ht="15" hidden="false" customHeight="false" outlineLevel="0" collapsed="false">
      <c r="A46" s="0" t="s">
        <v>99</v>
      </c>
      <c r="C46" s="3" t="n">
        <v>1.2</v>
      </c>
      <c r="D46" s="3" t="n">
        <v>1.2</v>
      </c>
      <c r="E46" s="3" t="n">
        <v>1.2</v>
      </c>
      <c r="F46" s="3" t="n">
        <v>1.2</v>
      </c>
      <c r="G46" s="3" t="n">
        <v>1.2</v>
      </c>
      <c r="H46" s="3" t="n">
        <v>1.2</v>
      </c>
      <c r="I46" s="3" t="n">
        <v>1.2</v>
      </c>
      <c r="J46" s="3" t="n">
        <v>1.2</v>
      </c>
      <c r="K46" s="3" t="n">
        <v>1.2</v>
      </c>
      <c r="L46" s="3" t="n">
        <v>1.2</v>
      </c>
    </row>
    <row r="47" customFormat="false" ht="15" hidden="false" customHeight="false" outlineLevel="0" collapsed="false">
      <c r="A47" s="0" t="s">
        <v>100</v>
      </c>
      <c r="C47" s="3" t="n">
        <v>55</v>
      </c>
      <c r="D47" s="3" t="n">
        <v>40</v>
      </c>
      <c r="E47" s="3" t="n">
        <v>33</v>
      </c>
      <c r="F47" s="3" t="n">
        <v>29</v>
      </c>
      <c r="G47" s="3" t="n">
        <v>27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101</v>
      </c>
      <c r="B48" s="3" t="n">
        <v>9.5</v>
      </c>
    </row>
    <row r="49" customFormat="false" ht="15" hidden="false" customHeight="false" outlineLevel="0" collapsed="false">
      <c r="A49" s="0" t="s">
        <v>102</v>
      </c>
      <c r="B49" s="3" t="n">
        <v>2.5</v>
      </c>
    </row>
    <row r="50" customFormat="false" ht="15" hidden="false" customHeight="false" outlineLevel="0" collapsed="false">
      <c r="A50" s="0" t="s">
        <v>103</v>
      </c>
      <c r="B50" s="3" t="n">
        <v>14</v>
      </c>
    </row>
    <row r="51" customFormat="false" ht="15" hidden="false" customHeight="false" outlineLevel="0" collapsed="false">
      <c r="A51" s="0" t="s">
        <v>104</v>
      </c>
      <c r="B51" s="3" t="n">
        <v>10</v>
      </c>
    </row>
    <row r="52" customFormat="false" ht="15" hidden="false" customHeight="false" outlineLevel="0" collapsed="false">
      <c r="A52" s="0" t="s">
        <v>105</v>
      </c>
      <c r="B52" s="3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-9</v>
      </c>
      <c r="D5" s="4" t="n">
        <f aca="false">Assumptions!D13</f>
        <v>-6</v>
      </c>
      <c r="E5" s="4" t="n">
        <f aca="false">Assumptions!E13</f>
        <v>-4</v>
      </c>
      <c r="F5" s="4" t="n">
        <f aca="false">Assumptions!F13</f>
        <v>-3</v>
      </c>
      <c r="G5" s="4" t="n">
        <f aca="false">Assumptions!G13</f>
        <v>-2</v>
      </c>
      <c r="H5" s="4" t="n">
        <f aca="false">Assumptions!H13</f>
        <v>-1.5</v>
      </c>
      <c r="I5" s="4" t="n">
        <f aca="false">Assumptions!I13</f>
        <v>-1</v>
      </c>
      <c r="J5" s="4" t="n">
        <f aca="false">Assumptions!J13</f>
        <v>-1</v>
      </c>
      <c r="K5" s="4" t="n">
        <f aca="false">Assumptions!K13</f>
        <v>-0.5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38</v>
      </c>
      <c r="B6" s="3" t="n">
        <v>6816.162</v>
      </c>
      <c r="C6" s="0" t="n">
        <f aca="false">B6*(1+C5/100)</f>
        <v>6202.70742</v>
      </c>
      <c r="D6" s="0" t="n">
        <f aca="false">C6*(1+D5/100)</f>
        <v>5830.5449748</v>
      </c>
      <c r="E6" s="0" t="n">
        <f aca="false">D6*(1+E5/100)</f>
        <v>5597.323175808</v>
      </c>
      <c r="F6" s="0" t="n">
        <f aca="false">E6*(1+F5/100)</f>
        <v>5429.40348053376</v>
      </c>
      <c r="G6" s="0" t="n">
        <f aca="false">F6*(1+G5/100)</f>
        <v>5320.81541092308</v>
      </c>
      <c r="H6" s="0" t="n">
        <f aca="false">G6*(1+H5/100)</f>
        <v>5241.00317975924</v>
      </c>
      <c r="I6" s="0" t="n">
        <f aca="false">H6*(1+I5/100)</f>
        <v>5188.59314796165</v>
      </c>
      <c r="J6" s="0" t="n">
        <f aca="false">I6*(1+J5/100)</f>
        <v>5136.70721648203</v>
      </c>
      <c r="K6" s="0" t="n">
        <f aca="false">J6*(1+K5/100)</f>
        <v>5111.02368039962</v>
      </c>
      <c r="L6" s="0" t="n">
        <f aca="false">K6*(1+L5/100)</f>
        <v>5111.02368039962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3.5</v>
      </c>
      <c r="D7" s="4" t="n">
        <f aca="false">Assumptions!D14</f>
        <v>3.8</v>
      </c>
      <c r="E7" s="4" t="n">
        <f aca="false">Assumptions!E14</f>
        <v>4.5</v>
      </c>
      <c r="F7" s="4" t="n">
        <f aca="false">Assumptions!F14</f>
        <v>5.5</v>
      </c>
      <c r="G7" s="4" t="n">
        <f aca="false">Assumptions!G14</f>
        <v>6</v>
      </c>
      <c r="H7" s="4" t="n">
        <f aca="false">Assumptions!H14</f>
        <v>6.5</v>
      </c>
      <c r="I7" s="4" t="n">
        <f aca="false">Assumptions!I14</f>
        <v>6.5</v>
      </c>
      <c r="J7" s="4" t="n">
        <f aca="false">Assumptions!J14</f>
        <v>6.5</v>
      </c>
      <c r="K7" s="4" t="n">
        <f aca="false">Assumptions!K14</f>
        <v>6.5</v>
      </c>
      <c r="L7" s="4" t="n">
        <f aca="false">Assumptions!L14</f>
        <v>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217.0947597</v>
      </c>
      <c r="D8" s="0" t="n">
        <f aca="false">D6*D7/100</f>
        <v>221.5607090424</v>
      </c>
      <c r="E8" s="0" t="n">
        <f aca="false">E6*E7/100</f>
        <v>251.87954291136</v>
      </c>
      <c r="F8" s="0" t="n">
        <f aca="false">F6*F7/100</f>
        <v>298.617191429357</v>
      </c>
      <c r="G8" s="0" t="n">
        <f aca="false">G6*G7/100</f>
        <v>319.248924655385</v>
      </c>
      <c r="H8" s="0" t="n">
        <f aca="false">H6*H7/100</f>
        <v>340.665206684351</v>
      </c>
      <c r="I8" s="0" t="n">
        <f aca="false">I6*I7/100</f>
        <v>337.258554617507</v>
      </c>
      <c r="J8" s="0" t="n">
        <f aca="false">J6*J7/100</f>
        <v>333.885969071332</v>
      </c>
      <c r="K8" s="0" t="n">
        <f aca="false">K6*K7/100</f>
        <v>332.216539225975</v>
      </c>
      <c r="L8" s="0" t="n">
        <f aca="false">L6*L7/100</f>
        <v>332.216539225975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0.1</v>
      </c>
      <c r="D9" s="4" t="n">
        <f aca="false">Assumptions!D15</f>
        <v>0.05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-6.20270742</v>
      </c>
      <c r="D10" s="0" t="n">
        <f aca="false">-D6*D9/100</f>
        <v>-2.9152724874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187.942034826</v>
      </c>
      <c r="D11" s="0" t="n">
        <f aca="false">D8+D10+D24</f>
        <v>197.07242014824</v>
      </c>
      <c r="E11" s="0" t="n">
        <f aca="false">E8+E10+E24</f>
        <v>231.16944716087</v>
      </c>
      <c r="F11" s="0" t="n">
        <f aca="false">F8+F10+F24</f>
        <v>278.528398551382</v>
      </c>
      <c r="G11" s="0" t="n">
        <f aca="false">G8+G10+G24</f>
        <v>299.56190763497</v>
      </c>
      <c r="H11" s="0" t="n">
        <f aca="false">H8+H10+H24</f>
        <v>321.273494919241</v>
      </c>
      <c r="I11" s="0" t="n">
        <f aca="false">I8+I10+I24</f>
        <v>318.060759970049</v>
      </c>
      <c r="J11" s="0" t="n">
        <f aca="false">J8+J10+J24</f>
        <v>314.880152370348</v>
      </c>
      <c r="K11" s="0" t="n">
        <f aca="false">K8+K10+K24</f>
        <v>313.305751608497</v>
      </c>
      <c r="L11" s="0" t="n">
        <f aca="false">L8+L10+L24</f>
        <v>313.305751608497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-99.24331872</v>
      </c>
      <c r="D12" s="4" t="n">
        <f aca="false">-D6*Assumptions!D17/100</f>
        <v>-93.2887195968</v>
      </c>
      <c r="E12" s="4" t="n">
        <f aca="false">-E6*Assumptions!E17/100</f>
        <v>-86.758509225024</v>
      </c>
      <c r="F12" s="4" t="n">
        <f aca="false">-F6*Assumptions!F17/100</f>
        <v>-81.4410522080064</v>
      </c>
      <c r="G12" s="4" t="n">
        <f aca="false">-G6*Assumptions!G17/100</f>
        <v>-79.8122311638463</v>
      </c>
      <c r="H12" s="4" t="n">
        <f aca="false">-H6*Assumptions!H17/100</f>
        <v>-75.994546106509</v>
      </c>
      <c r="I12" s="4" t="n">
        <f aca="false">-I6*Assumptions!I17/100</f>
        <v>-75.2346006454439</v>
      </c>
      <c r="J12" s="4" t="n">
        <f aca="false">-J6*Assumptions!J17/100</f>
        <v>-71.9139010307484</v>
      </c>
      <c r="K12" s="4" t="n">
        <f aca="false">-K6*Assumptions!K17/100</f>
        <v>-71.5543315255947</v>
      </c>
      <c r="L12" s="4" t="n">
        <f aca="false">-L6*Assumptions!L17/100</f>
        <v>-71.5543315255947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88.698716106</v>
      </c>
      <c r="D13" s="0" t="n">
        <f aca="false">D11+D12</f>
        <v>103.78370055144</v>
      </c>
      <c r="E13" s="0" t="n">
        <f aca="false">E11+E12</f>
        <v>144.410937935846</v>
      </c>
      <c r="F13" s="0" t="n">
        <f aca="false">F11+F12</f>
        <v>197.087346343376</v>
      </c>
      <c r="G13" s="0" t="n">
        <f aca="false">G11+G12</f>
        <v>219.749676471123</v>
      </c>
      <c r="H13" s="0" t="n">
        <f aca="false">H11+H12</f>
        <v>245.278948812732</v>
      </c>
      <c r="I13" s="0" t="n">
        <f aca="false">I11+I12</f>
        <v>242.826159324605</v>
      </c>
      <c r="J13" s="0" t="n">
        <f aca="false">J11+J12</f>
        <v>242.9662513396</v>
      </c>
      <c r="K13" s="0" t="n">
        <f aca="false">K11+K12</f>
        <v>241.751420082902</v>
      </c>
      <c r="L13" s="0" t="n">
        <f aca="false">L11+L12</f>
        <v>241.751420082902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75</v>
      </c>
      <c r="D14" s="4" t="n">
        <f aca="false">Assumptions!D19</f>
        <v>60</v>
      </c>
      <c r="E14" s="4" t="n">
        <f aca="false">Assumptions!E19</f>
        <v>50</v>
      </c>
      <c r="F14" s="4" t="n">
        <f aca="false">Assumptions!F19</f>
        <v>42</v>
      </c>
      <c r="G14" s="4" t="n">
        <f aca="false">Assumptions!G19</f>
        <v>38</v>
      </c>
      <c r="H14" s="4" t="n">
        <f aca="false">Assumptions!H19</f>
        <v>35</v>
      </c>
      <c r="I14" s="4" t="n">
        <f aca="false">Assumptions!I19</f>
        <v>35</v>
      </c>
      <c r="J14" s="4" t="n">
        <f aca="false">Assumptions!J19</f>
        <v>35</v>
      </c>
      <c r="K14" s="4" t="n">
        <f aca="false">Assumptions!K19</f>
        <v>35</v>
      </c>
      <c r="L14" s="4" t="n">
        <f aca="false">Assumptions!L19</f>
        <v>35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22.1746790265</v>
      </c>
      <c r="D15" s="0" t="n">
        <f aca="false">D13-MAX(0,D13)*D14/100</f>
        <v>41.513480220576</v>
      </c>
      <c r="E15" s="0" t="n">
        <f aca="false">E13-MAX(0,E13)*E14/100</f>
        <v>72.2054689679232</v>
      </c>
      <c r="F15" s="0" t="n">
        <f aca="false">F13-MAX(0,F13)*F14/100</f>
        <v>114.310660879158</v>
      </c>
      <c r="G15" s="0" t="n">
        <f aca="false">G13-MAX(0,G13)*G14/100</f>
        <v>136.244799412096</v>
      </c>
      <c r="H15" s="0" t="n">
        <f aca="false">H13-MAX(0,H13)*H14/100</f>
        <v>159.431316728276</v>
      </c>
      <c r="I15" s="0" t="n">
        <f aca="false">I13-MAX(0,I13)*I14/100</f>
        <v>157.837003560993</v>
      </c>
      <c r="J15" s="0" t="n">
        <f aca="false">J13-MAX(0,J13)*J14/100</f>
        <v>157.92806337074</v>
      </c>
      <c r="K15" s="0" t="n">
        <f aca="false">K13-MAX(0,K13)*K14/100</f>
        <v>157.138423053886</v>
      </c>
      <c r="L15" s="0" t="n">
        <f aca="false">L13-MAX(0,L13)*L14/100</f>
        <v>157.138423053886</v>
      </c>
    </row>
    <row r="16" customFormat="false" ht="15" hidden="false" customHeight="false" outlineLevel="0" collapsed="false">
      <c r="A16" s="0" t="s">
        <v>116</v>
      </c>
      <c r="C16" s="0" t="n">
        <f aca="false">-C12</f>
        <v>99.24331872</v>
      </c>
      <c r="D16" s="0" t="n">
        <f aca="false">-D12</f>
        <v>93.2887195968</v>
      </c>
      <c r="E16" s="0" t="n">
        <f aca="false">-E12</f>
        <v>86.758509225024</v>
      </c>
      <c r="F16" s="0" t="n">
        <f aca="false">-F12</f>
        <v>81.4410522080064</v>
      </c>
      <c r="G16" s="0" t="n">
        <f aca="false">-G12</f>
        <v>79.8122311638463</v>
      </c>
      <c r="H16" s="0" t="n">
        <f aca="false">-H12</f>
        <v>75.994546106509</v>
      </c>
      <c r="I16" s="0" t="n">
        <f aca="false">-I12</f>
        <v>75.2346006454439</v>
      </c>
      <c r="J16" s="0" t="n">
        <f aca="false">-J12</f>
        <v>71.9139010307484</v>
      </c>
      <c r="K16" s="0" t="n">
        <f aca="false">-K12</f>
        <v>71.5543315255947</v>
      </c>
      <c r="L16" s="0" t="n">
        <f aca="false">-L12</f>
        <v>71.5543315255947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-74.43248904</v>
      </c>
      <c r="D17" s="4" t="n">
        <f aca="false">-D6*Assumptions!D18/100</f>
        <v>-69.9665396976</v>
      </c>
      <c r="E17" s="4" t="n">
        <f aca="false">-E6*Assumptions!E18/100</f>
        <v>-67.167878109696</v>
      </c>
      <c r="F17" s="4" t="n">
        <f aca="false">-F6*Assumptions!F18/100</f>
        <v>-65.1528417664051</v>
      </c>
      <c r="G17" s="4" t="n">
        <f aca="false">-G6*Assumptions!G18/100</f>
        <v>-63.849784931077</v>
      </c>
      <c r="H17" s="4" t="n">
        <f aca="false">-H6*Assumptions!H18/100</f>
        <v>-62.8920381571109</v>
      </c>
      <c r="I17" s="4" t="n">
        <f aca="false">-I6*Assumptions!I18/100</f>
        <v>-62.2631177755398</v>
      </c>
      <c r="J17" s="4" t="n">
        <f aca="false">-J6*Assumptions!J18/100</f>
        <v>-61.6404865977843</v>
      </c>
      <c r="K17" s="4" t="n">
        <f aca="false">-K6*Assumptions!K18/100</f>
        <v>-61.3322841647954</v>
      </c>
      <c r="L17" s="4" t="n">
        <f aca="false">-L6*Assumptions!L18/100</f>
        <v>-61.3322841647954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-61.345458</v>
      </c>
      <c r="D18" s="4" t="n">
        <f aca="false">(D6-C6)*Assumptions!$B$23/100</f>
        <v>-37.2162445200001</v>
      </c>
      <c r="E18" s="4" t="n">
        <f aca="false">(E6-D6)*Assumptions!$B$23/100</f>
        <v>-23.3221798992</v>
      </c>
      <c r="F18" s="4" t="n">
        <f aca="false">(F6-E6)*Assumptions!$B$23/100</f>
        <v>-16.791969527424</v>
      </c>
      <c r="G18" s="4" t="n">
        <f aca="false">(G6-F6)*Assumptions!$B$23/100</f>
        <v>-10.8588069610675</v>
      </c>
      <c r="H18" s="4" t="n">
        <f aca="false">(H6-G6)*Assumptions!$B$23/100</f>
        <v>-7.98122311638463</v>
      </c>
      <c r="I18" s="4" t="n">
        <f aca="false">(I6-H6)*Assumptions!$B$23/100</f>
        <v>-5.24100317975926</v>
      </c>
      <c r="J18" s="4" t="n">
        <f aca="false">(J6-I6)*Assumptions!$B$23/100</f>
        <v>-5.18859314796164</v>
      </c>
      <c r="K18" s="4" t="n">
        <f aca="false">(K6-J6)*Assumptions!$B$23/100</f>
        <v>-2.56835360824098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-14.3599492935</v>
      </c>
      <c r="D19" s="0" t="n">
        <f aca="false">D15+D16+D17+D18</f>
        <v>27.6194155997759</v>
      </c>
      <c r="E19" s="0" t="n">
        <f aca="false">E15+E16+E17+E18</f>
        <v>68.4739201840512</v>
      </c>
      <c r="F19" s="0" t="n">
        <f aca="false">F15+F16+F17+F18</f>
        <v>113.806901793335</v>
      </c>
      <c r="G19" s="0" t="n">
        <f aca="false">G15+G16+G17+G18</f>
        <v>141.348438683798</v>
      </c>
      <c r="H19" s="0" t="n">
        <f aca="false">H15+H16+H17+H18</f>
        <v>164.55260156129</v>
      </c>
      <c r="I19" s="0" t="n">
        <f aca="false">I15+I16+I17+I18</f>
        <v>165.567483251138</v>
      </c>
      <c r="J19" s="0" t="n">
        <f aca="false">J15+J16+J17+J18</f>
        <v>163.012884655742</v>
      </c>
      <c r="K19" s="0" t="n">
        <f aca="false">K15+K16+K17+K18</f>
        <v>164.792116806445</v>
      </c>
      <c r="L19" s="0" t="n">
        <f aca="false">L15+L16+L17+L18</f>
        <v>167.360470414686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-13.1141089438356</v>
      </c>
      <c r="D21" s="0" t="n">
        <f aca="false">D19*D20</f>
        <v>23.0348955190892</v>
      </c>
      <c r="E21" s="0" t="n">
        <f aca="false">E19*E20</f>
        <v>52.1534250262137</v>
      </c>
      <c r="F21" s="0" t="n">
        <f aca="false">F19*F20</f>
        <v>79.1611553084608</v>
      </c>
      <c r="G21" s="0" t="n">
        <f aca="false">G19*G20</f>
        <v>89.7884386963455</v>
      </c>
      <c r="H21" s="0" t="n">
        <f aca="false">H19*H20</f>
        <v>95.4596939779309</v>
      </c>
      <c r="I21" s="0" t="n">
        <f aca="false">I19*I20</f>
        <v>87.7154736825455</v>
      </c>
      <c r="J21" s="0" t="n">
        <f aca="false">J19*J20</f>
        <v>78.8694803346049</v>
      </c>
      <c r="K21" s="0" t="n">
        <f aca="false">K19*K20</f>
        <v>72.8130729086753</v>
      </c>
      <c r="L21" s="0" t="n">
        <f aca="false">L19*L20</f>
        <v>67.5323241117127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0.37</v>
      </c>
      <c r="D23" s="4" t="n">
        <f aca="false">Assumptions!D16</f>
        <v>0.37</v>
      </c>
      <c r="E23" s="4" t="n">
        <f aca="false">Assumptions!E16</f>
        <v>0.37</v>
      </c>
      <c r="F23" s="4" t="n">
        <f aca="false">Assumptions!F16</f>
        <v>0.37</v>
      </c>
      <c r="G23" s="4" t="n">
        <f aca="false">Assumptions!G16</f>
        <v>0.37</v>
      </c>
      <c r="H23" s="4" t="n">
        <f aca="false">Assumptions!H16</f>
        <v>0.37</v>
      </c>
      <c r="I23" s="4" t="n">
        <f aca="false">Assumptions!I16</f>
        <v>0.37</v>
      </c>
      <c r="J23" s="4" t="n">
        <f aca="false">Assumptions!J16</f>
        <v>0.37</v>
      </c>
      <c r="K23" s="4" t="n">
        <f aca="false">Assumptions!K16</f>
        <v>0.37</v>
      </c>
      <c r="L23" s="4" t="n">
        <f aca="false">Assumptions!L16</f>
        <v>0.37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-22.950017454</v>
      </c>
      <c r="D24" s="0" t="n">
        <f aca="false">-D6*D23/100</f>
        <v>-21.57301640676</v>
      </c>
      <c r="E24" s="0" t="n">
        <f aca="false">-E6*E23/100</f>
        <v>-20.7100957504896</v>
      </c>
      <c r="F24" s="0" t="n">
        <f aca="false">-F6*F23/100</f>
        <v>-20.0887928779749</v>
      </c>
      <c r="G24" s="0" t="n">
        <f aca="false">-G6*G23/100</f>
        <v>-19.6870170204154</v>
      </c>
      <c r="H24" s="0" t="n">
        <f aca="false">-H6*H23/100</f>
        <v>-19.3917117651092</v>
      </c>
      <c r="I24" s="0" t="n">
        <f aca="false">-I6*I23/100</f>
        <v>-19.1977946474581</v>
      </c>
      <c r="J24" s="0" t="n">
        <f aca="false">-J6*J23/100</f>
        <v>-19.0058167009835</v>
      </c>
      <c r="K24" s="0" t="n">
        <f aca="false">-K6*K23/100</f>
        <v>-18.9107876174786</v>
      </c>
      <c r="L24" s="0" t="n">
        <f aca="false">-L6*L23/100</f>
        <v>-18.9107876174786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633.413850621743</v>
      </c>
    </row>
    <row r="31" customFormat="false" ht="15" hidden="false" customHeight="false" outlineLevel="0" collapsed="false">
      <c r="A31" s="0" t="s">
        <v>125</v>
      </c>
      <c r="B31" s="0" t="n">
        <f aca="false">L19</f>
        <v>167.360470414686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1761.68916225985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1673.60470414686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1673.60470414686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675.323241117127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1308.73709173887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3344.33709173887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1.30740779255643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0.841419426135811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8.09594221329831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1.31057275399644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1115.73646943124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1.08485284844687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-7</v>
      </c>
      <c r="D5" s="4" t="n">
        <f aca="false">Assumptions!D27</f>
        <v>-2</v>
      </c>
      <c r="E5" s="4" t="n">
        <f aca="false">Assumptions!E27</f>
        <v>0</v>
      </c>
      <c r="F5" s="4" t="n">
        <f aca="false">Assumptions!F27</f>
        <v>1</v>
      </c>
      <c r="G5" s="4" t="n">
        <f aca="false">Assumptions!G27</f>
        <v>1.5</v>
      </c>
      <c r="H5" s="4" t="n">
        <f aca="false">Assumptions!H27</f>
        <v>1.5</v>
      </c>
      <c r="I5" s="4" t="n">
        <f aca="false">Assumptions!I27</f>
        <v>1.5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38</v>
      </c>
      <c r="B6" s="3" t="n">
        <v>6816.162</v>
      </c>
      <c r="C6" s="0" t="n">
        <f aca="false">B6*(1+C5/100)</f>
        <v>6339.03066</v>
      </c>
      <c r="D6" s="0" t="n">
        <f aca="false">C6*(1+D5/100)</f>
        <v>6212.2500468</v>
      </c>
      <c r="E6" s="0" t="n">
        <f aca="false">D6*(1+E5/100)</f>
        <v>6212.2500468</v>
      </c>
      <c r="F6" s="0" t="n">
        <f aca="false">E6*(1+F5/100)</f>
        <v>6274.372547268</v>
      </c>
      <c r="G6" s="0" t="n">
        <f aca="false">F6*(1+G5/100)</f>
        <v>6368.48813547702</v>
      </c>
      <c r="H6" s="0" t="n">
        <f aca="false">G6*(1+H5/100)</f>
        <v>6464.01545750917</v>
      </c>
      <c r="I6" s="0" t="n">
        <f aca="false">H6*(1+I5/100)</f>
        <v>6560.97568937181</v>
      </c>
      <c r="J6" s="0" t="n">
        <f aca="false">I6*(1+J5/100)</f>
        <v>6659.39032471239</v>
      </c>
      <c r="K6" s="0" t="n">
        <f aca="false">J6*(1+K5/100)</f>
        <v>6759.28117958307</v>
      </c>
      <c r="L6" s="0" t="n">
        <f aca="false">K6*(1+L5/100)</f>
        <v>6860.67039727682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5.5</v>
      </c>
      <c r="D7" s="4" t="n">
        <f aca="false">Assumptions!D28</f>
        <v>7.3</v>
      </c>
      <c r="E7" s="4" t="n">
        <f aca="false">Assumptions!E28</f>
        <v>9</v>
      </c>
      <c r="F7" s="4" t="n">
        <f aca="false">Assumptions!F28</f>
        <v>10.2</v>
      </c>
      <c r="G7" s="4" t="n">
        <f aca="false">Assumptions!G28</f>
        <v>10.8</v>
      </c>
      <c r="H7" s="4" t="n">
        <f aca="false">Assumptions!H28</f>
        <v>11.3</v>
      </c>
      <c r="I7" s="4" t="n">
        <f aca="false">Assumptions!I28</f>
        <v>11.3</v>
      </c>
      <c r="J7" s="4" t="n">
        <f aca="false">Assumptions!J28</f>
        <v>11.3</v>
      </c>
      <c r="K7" s="4" t="n">
        <f aca="false">Assumptions!K28</f>
        <v>11.3</v>
      </c>
      <c r="L7" s="4" t="n">
        <f aca="false">Assumptions!L28</f>
        <v>11.3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348.6466863</v>
      </c>
      <c r="D8" s="0" t="n">
        <f aca="false">D6*D7/100</f>
        <v>453.4942534164</v>
      </c>
      <c r="E8" s="0" t="n">
        <f aca="false">E6*E7/100</f>
        <v>559.102504212</v>
      </c>
      <c r="F8" s="0" t="n">
        <f aca="false">F6*F7/100</f>
        <v>639.985999821336</v>
      </c>
      <c r="G8" s="0" t="n">
        <f aca="false">G6*G7/100</f>
        <v>687.796718631518</v>
      </c>
      <c r="H8" s="0" t="n">
        <f aca="false">H6*H7/100</f>
        <v>730.433746698537</v>
      </c>
      <c r="I8" s="0" t="n">
        <f aca="false">I6*I7/100</f>
        <v>741.390252899015</v>
      </c>
      <c r="J8" s="0" t="n">
        <f aca="false">J6*J7/100</f>
        <v>752.5111066925</v>
      </c>
      <c r="K8" s="0" t="n">
        <f aca="false">K6*K7/100</f>
        <v>763.798773292887</v>
      </c>
      <c r="L8" s="0" t="n">
        <f aca="false">L6*L7/100</f>
        <v>775.25575489228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0.1</v>
      </c>
      <c r="D9" s="4" t="n">
        <f aca="false">Assumptions!D29</f>
        <v>0.05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-6.33903066</v>
      </c>
      <c r="D10" s="0" t="n">
        <f aca="false">-D6*D9/100</f>
        <v>-3.1061250234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318.853242198</v>
      </c>
      <c r="D11" s="0" t="n">
        <f aca="false">D8+D10+D24</f>
        <v>427.40280321984</v>
      </c>
      <c r="E11" s="0" t="n">
        <f aca="false">E8+E10+E24</f>
        <v>536.11717903884</v>
      </c>
      <c r="F11" s="0" t="n">
        <f aca="false">F8+F10+F24</f>
        <v>616.770821396444</v>
      </c>
      <c r="G11" s="0" t="n">
        <f aca="false">G8+G10+G24</f>
        <v>664.233312530253</v>
      </c>
      <c r="H11" s="0" t="n">
        <f aca="false">H8+H10+H24</f>
        <v>706.516889505753</v>
      </c>
      <c r="I11" s="0" t="n">
        <f aca="false">I8+I10+I24</f>
        <v>717.114642848339</v>
      </c>
      <c r="J11" s="0" t="n">
        <f aca="false">J8+J10+J24</f>
        <v>727.871362491064</v>
      </c>
      <c r="K11" s="0" t="n">
        <f aca="false">K8+K10+K24</f>
        <v>738.78943292843</v>
      </c>
      <c r="L11" s="0" t="n">
        <f aca="false">L8+L10+L24</f>
        <v>749.871274422356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-101.42449056</v>
      </c>
      <c r="D12" s="4" t="n">
        <f aca="false">-D6*Assumptions!D31/100</f>
        <v>-99.3960007488</v>
      </c>
      <c r="E12" s="4" t="n">
        <f aca="false">-E6*Assumptions!E31/100</f>
        <v>-96.2898757254</v>
      </c>
      <c r="F12" s="4" t="n">
        <f aca="false">-F6*Assumptions!F31/100</f>
        <v>-94.11558820902</v>
      </c>
      <c r="G12" s="4" t="n">
        <f aca="false">-G6*Assumptions!G31/100</f>
        <v>-95.5273220321553</v>
      </c>
      <c r="H12" s="4" t="n">
        <f aca="false">-H6*Assumptions!H31/100</f>
        <v>-93.728224133883</v>
      </c>
      <c r="I12" s="4" t="n">
        <f aca="false">-I6*Assumptions!I31/100</f>
        <v>-95.1341474958912</v>
      </c>
      <c r="J12" s="4" t="n">
        <f aca="false">-J6*Assumptions!J31/100</f>
        <v>-93.2314645459734</v>
      </c>
      <c r="K12" s="4" t="n">
        <f aca="false">-K6*Assumptions!K31/100</f>
        <v>-94.629936514163</v>
      </c>
      <c r="L12" s="4" t="n">
        <f aca="false">-L6*Assumptions!L31/100</f>
        <v>-96.0493855618754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217.428751638</v>
      </c>
      <c r="D13" s="0" t="n">
        <f aca="false">D11+D12</f>
        <v>328.00680247104</v>
      </c>
      <c r="E13" s="0" t="n">
        <f aca="false">E11+E12</f>
        <v>439.82730331344</v>
      </c>
      <c r="F13" s="0" t="n">
        <f aca="false">F11+F12</f>
        <v>522.655233187424</v>
      </c>
      <c r="G13" s="0" t="n">
        <f aca="false">G11+G12</f>
        <v>568.705990498098</v>
      </c>
      <c r="H13" s="0" t="n">
        <f aca="false">H11+H12</f>
        <v>612.78866537187</v>
      </c>
      <c r="I13" s="0" t="n">
        <f aca="false">I11+I12</f>
        <v>621.980495352448</v>
      </c>
      <c r="J13" s="0" t="n">
        <f aca="false">J11+J12</f>
        <v>634.639897945091</v>
      </c>
      <c r="K13" s="0" t="n">
        <f aca="false">K11+K12</f>
        <v>644.159496414267</v>
      </c>
      <c r="L13" s="0" t="n">
        <f aca="false">L11+L12</f>
        <v>653.821888860481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60</v>
      </c>
      <c r="D14" s="4" t="n">
        <f aca="false">Assumptions!D33</f>
        <v>45</v>
      </c>
      <c r="E14" s="4" t="n">
        <f aca="false">Assumptions!E33</f>
        <v>38</v>
      </c>
      <c r="F14" s="4" t="n">
        <f aca="false">Assumptions!F33</f>
        <v>33</v>
      </c>
      <c r="G14" s="4" t="n">
        <f aca="false">Assumptions!G33</f>
        <v>30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86.9715006552</v>
      </c>
      <c r="D15" s="0" t="n">
        <f aca="false">D13-MAX(0,D13)*D14/100</f>
        <v>180.403741359072</v>
      </c>
      <c r="E15" s="0" t="n">
        <f aca="false">E13-MAX(0,E13)*E14/100</f>
        <v>272.692928054333</v>
      </c>
      <c r="F15" s="0" t="n">
        <f aca="false">F13-MAX(0,F13)*F14/100</f>
        <v>350.179006235574</v>
      </c>
      <c r="G15" s="0" t="n">
        <f aca="false">G13-MAX(0,G13)*G14/100</f>
        <v>398.094193348668</v>
      </c>
      <c r="H15" s="0" t="n">
        <f aca="false">H13-MAX(0,H13)*H14/100</f>
        <v>441.207839067746</v>
      </c>
      <c r="I15" s="0" t="n">
        <f aca="false">I13-MAX(0,I13)*I14/100</f>
        <v>447.825956653762</v>
      </c>
      <c r="J15" s="0" t="n">
        <f aca="false">J13-MAX(0,J13)*J14/100</f>
        <v>456.940726520465</v>
      </c>
      <c r="K15" s="0" t="n">
        <f aca="false">K13-MAX(0,K13)*K14/100</f>
        <v>463.794837418272</v>
      </c>
      <c r="L15" s="0" t="n">
        <f aca="false">L13-MAX(0,L13)*L14/100</f>
        <v>470.751759979546</v>
      </c>
    </row>
    <row r="16" customFormat="false" ht="15" hidden="false" customHeight="false" outlineLevel="0" collapsed="false">
      <c r="A16" s="0" t="s">
        <v>116</v>
      </c>
      <c r="C16" s="0" t="n">
        <f aca="false">-C12</f>
        <v>101.42449056</v>
      </c>
      <c r="D16" s="0" t="n">
        <f aca="false">-D12</f>
        <v>99.3960007488</v>
      </c>
      <c r="E16" s="0" t="n">
        <f aca="false">-E12</f>
        <v>96.2898757254</v>
      </c>
      <c r="F16" s="0" t="n">
        <f aca="false">-F12</f>
        <v>94.11558820902</v>
      </c>
      <c r="G16" s="0" t="n">
        <f aca="false">-G12</f>
        <v>95.5273220321553</v>
      </c>
      <c r="H16" s="0" t="n">
        <f aca="false">-H12</f>
        <v>93.728224133883</v>
      </c>
      <c r="I16" s="0" t="n">
        <f aca="false">-I12</f>
        <v>95.1341474958912</v>
      </c>
      <c r="J16" s="0" t="n">
        <f aca="false">-J12</f>
        <v>93.2314645459734</v>
      </c>
      <c r="K16" s="0" t="n">
        <f aca="false">-K12</f>
        <v>94.629936514163</v>
      </c>
      <c r="L16" s="0" t="n">
        <f aca="false">-L12</f>
        <v>96.0493855618754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-76.06836792</v>
      </c>
      <c r="D17" s="4" t="n">
        <f aca="false">-D6*Assumptions!D32/100</f>
        <v>-74.5470005616</v>
      </c>
      <c r="E17" s="4" t="n">
        <f aca="false">-E6*Assumptions!E32/100</f>
        <v>-74.5470005616</v>
      </c>
      <c r="F17" s="4" t="n">
        <f aca="false">-F6*Assumptions!F32/100</f>
        <v>-75.292470567216</v>
      </c>
      <c r="G17" s="4" t="n">
        <f aca="false">-G6*Assumptions!G32/100</f>
        <v>-76.4218576257242</v>
      </c>
      <c r="H17" s="4" t="n">
        <f aca="false">-H6*Assumptions!H32/100</f>
        <v>-77.5681854901101</v>
      </c>
      <c r="I17" s="4" t="n">
        <f aca="false">-I6*Assumptions!I32/100</f>
        <v>-78.7317082724617</v>
      </c>
      <c r="J17" s="4" t="n">
        <f aca="false">-J6*Assumptions!J32/100</f>
        <v>-79.9126838965486</v>
      </c>
      <c r="K17" s="4" t="n">
        <f aca="false">-K6*Assumptions!K32/100</f>
        <v>-81.1113741549969</v>
      </c>
      <c r="L17" s="4" t="n">
        <f aca="false">-L6*Assumptions!L32/100</f>
        <v>-82.3280447673218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-47.7131340000001</v>
      </c>
      <c r="D18" s="4" t="n">
        <f aca="false">(D6-C6)*Assumptions!$B$37/100</f>
        <v>-12.6780613200001</v>
      </c>
      <c r="E18" s="4" t="n">
        <f aca="false">(E6-D6)*Assumptions!$B$37/100</f>
        <v>0</v>
      </c>
      <c r="F18" s="4" t="n">
        <f aca="false">(F6-E6)*Assumptions!$B$37/100</f>
        <v>6.2122500468</v>
      </c>
      <c r="G18" s="4" t="n">
        <f aca="false">(G6-F6)*Assumptions!$B$37/100</f>
        <v>9.41155882090197</v>
      </c>
      <c r="H18" s="4" t="n">
        <f aca="false">(H6-G6)*Assumptions!$B$37/100</f>
        <v>9.55273220321551</v>
      </c>
      <c r="I18" s="4" t="n">
        <f aca="false">(I6-H6)*Assumptions!$B$37/100</f>
        <v>9.69602318626366</v>
      </c>
      <c r="J18" s="4" t="n">
        <f aca="false">(J6-I6)*Assumptions!$B$37/100</f>
        <v>9.84146353405768</v>
      </c>
      <c r="K18" s="4" t="n">
        <f aca="false">(K6-J6)*Assumptions!$B$37/100</f>
        <v>9.9890854870685</v>
      </c>
      <c r="L18" s="4" t="n">
        <f aca="false">(L6-K6)*Assumptions!$B$37/100</f>
        <v>10.1389217693745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64.6144892952</v>
      </c>
      <c r="D19" s="0" t="n">
        <f aca="false">D15+D16+D17+D18</f>
        <v>192.574680226272</v>
      </c>
      <c r="E19" s="0" t="n">
        <f aca="false">E15+E16+E17+E18</f>
        <v>294.435803218133</v>
      </c>
      <c r="F19" s="0" t="n">
        <f aca="false">F15+F16+F17+F18</f>
        <v>375.214373924178</v>
      </c>
      <c r="G19" s="0" t="n">
        <f aca="false">G15+G16+G17+G18</f>
        <v>426.611216576002</v>
      </c>
      <c r="H19" s="0" t="n">
        <f aca="false">H15+H16+H17+H18</f>
        <v>466.920609914735</v>
      </c>
      <c r="I19" s="0" t="n">
        <f aca="false">I15+I16+I17+I18</f>
        <v>473.924419063456</v>
      </c>
      <c r="J19" s="0" t="n">
        <f aca="false">J15+J16+J17+J18</f>
        <v>480.100970703948</v>
      </c>
      <c r="K19" s="0" t="n">
        <f aca="false">K15+K16+K17+K18</f>
        <v>487.302485264507</v>
      </c>
      <c r="L19" s="0" t="n">
        <f aca="false">L15+L16+L17+L18</f>
        <v>494.612022543474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59.0086660230137</v>
      </c>
      <c r="D21" s="0" t="n">
        <f aca="false">D19*D20</f>
        <v>160.609395322259</v>
      </c>
      <c r="E21" s="0" t="n">
        <f aca="false">E19*E20</f>
        <v>224.258163500715</v>
      </c>
      <c r="F21" s="0" t="n">
        <f aca="false">F19*F20</f>
        <v>260.989473047216</v>
      </c>
      <c r="G21" s="0" t="n">
        <f aca="false">G19*G20</f>
        <v>270.995247088628</v>
      </c>
      <c r="H21" s="0" t="n">
        <f aca="false">H19*H20</f>
        <v>270.868391696913</v>
      </c>
      <c r="I21" s="0" t="n">
        <f aca="false">I19*I20</f>
        <v>251.078920157412</v>
      </c>
      <c r="J21" s="0" t="n">
        <f aca="false">J19*J20</f>
        <v>232.284178931778</v>
      </c>
      <c r="K21" s="0" t="n">
        <f aca="false">K19*K20</f>
        <v>215.313645311191</v>
      </c>
      <c r="L21" s="0" t="n">
        <f aca="false">L19*L20</f>
        <v>199.582968028182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0.37</v>
      </c>
      <c r="D23" s="4" t="n">
        <f aca="false">Assumptions!D30</f>
        <v>0.37</v>
      </c>
      <c r="E23" s="4" t="n">
        <f aca="false">Assumptions!E30</f>
        <v>0.37</v>
      </c>
      <c r="F23" s="4" t="n">
        <f aca="false">Assumptions!F30</f>
        <v>0.37</v>
      </c>
      <c r="G23" s="4" t="n">
        <f aca="false">Assumptions!G30</f>
        <v>0.37</v>
      </c>
      <c r="H23" s="4" t="n">
        <f aca="false">Assumptions!H30</f>
        <v>0.37</v>
      </c>
      <c r="I23" s="4" t="n">
        <f aca="false">Assumptions!I30</f>
        <v>0.37</v>
      </c>
      <c r="J23" s="4" t="n">
        <f aca="false">Assumptions!J30</f>
        <v>0.37</v>
      </c>
      <c r="K23" s="4" t="n">
        <f aca="false">Assumptions!K30</f>
        <v>0.37</v>
      </c>
      <c r="L23" s="4" t="n">
        <f aca="false">Assumptions!L30</f>
        <v>0.37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-23.454413442</v>
      </c>
      <c r="D24" s="0" t="n">
        <f aca="false">-D6*D23/100</f>
        <v>-22.98532517316</v>
      </c>
      <c r="E24" s="0" t="n">
        <f aca="false">-E6*E23/100</f>
        <v>-22.98532517316</v>
      </c>
      <c r="F24" s="0" t="n">
        <f aca="false">-F6*F23/100</f>
        <v>-23.2151784248916</v>
      </c>
      <c r="G24" s="0" t="n">
        <f aca="false">-G6*G23/100</f>
        <v>-23.563406101265</v>
      </c>
      <c r="H24" s="0" t="n">
        <f aca="false">-H6*H23/100</f>
        <v>-23.9168571927839</v>
      </c>
      <c r="I24" s="0" t="n">
        <f aca="false">-I6*I23/100</f>
        <v>-24.2756100506757</v>
      </c>
      <c r="J24" s="0" t="n">
        <f aca="false">-J6*J23/100</f>
        <v>-24.6397442014358</v>
      </c>
      <c r="K24" s="0" t="n">
        <f aca="false">-K6*K23/100</f>
        <v>-25.0093403644574</v>
      </c>
      <c r="L24" s="0" t="n">
        <f aca="false">-L6*L23/100</f>
        <v>-25.3844804699242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2144.98904910731</v>
      </c>
    </row>
    <row r="31" customFormat="false" ht="15" hidden="false" customHeight="false" outlineLevel="0" collapsed="false">
      <c r="A31" s="0" t="s">
        <v>125</v>
      </c>
      <c r="B31" s="0" t="n">
        <f aca="false">L19</f>
        <v>494.612022543474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6726.72350659125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5935.34427052169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5935.34427052169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2394.99561633818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4539.98466544549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6575.58466544549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2.57060529378276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2.62057083631374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8.37961143103772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2.5738811505469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3880.80202303341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1.80401730365672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-5</v>
      </c>
      <c r="D5" s="4" t="n">
        <f aca="false">Assumptions!D41</f>
        <v>0</v>
      </c>
      <c r="E5" s="4" t="n">
        <f aca="false">Assumptions!E41</f>
        <v>2</v>
      </c>
      <c r="F5" s="4" t="n">
        <f aca="false">Assumptions!F41</f>
        <v>3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6816.162</v>
      </c>
      <c r="C6" s="0" t="n">
        <f aca="false">B6*(1+C5/100)</f>
        <v>6475.3539</v>
      </c>
      <c r="D6" s="0" t="n">
        <f aca="false">C6*(1+D5/100)</f>
        <v>6475.3539</v>
      </c>
      <c r="E6" s="0" t="n">
        <f aca="false">D6*(1+E5/100)</f>
        <v>6604.860978</v>
      </c>
      <c r="F6" s="0" t="n">
        <f aca="false">E6*(1+F5/100)</f>
        <v>6803.00680734</v>
      </c>
      <c r="G6" s="0" t="n">
        <f aca="false">F6*(1+G5/100)</f>
        <v>7007.0970115602</v>
      </c>
      <c r="H6" s="0" t="n">
        <f aca="false">G6*(1+H5/100)</f>
        <v>7217.30992190701</v>
      </c>
      <c r="I6" s="0" t="n">
        <f aca="false">H6*(1+I5/100)</f>
        <v>7397.74266995468</v>
      </c>
      <c r="J6" s="0" t="n">
        <f aca="false">I6*(1+J5/100)</f>
        <v>7582.68623670355</v>
      </c>
      <c r="K6" s="0" t="n">
        <f aca="false">J6*(1+K5/100)</f>
        <v>7772.25339262114</v>
      </c>
      <c r="L6" s="0" t="n">
        <f aca="false">K6*(1+L5/100)</f>
        <v>7966.55972743666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7</v>
      </c>
      <c r="D7" s="4" t="n">
        <f aca="false">Assumptions!D42</f>
        <v>9.5</v>
      </c>
      <c r="E7" s="4" t="n">
        <f aca="false">Assumptions!E42</f>
        <v>11.5</v>
      </c>
      <c r="F7" s="4" t="n">
        <f aca="false">Assumptions!F42</f>
        <v>12.8</v>
      </c>
      <c r="G7" s="4" t="n">
        <f aca="false">Assumptions!G42</f>
        <v>13.5</v>
      </c>
      <c r="H7" s="4" t="n">
        <f aca="false">Assumptions!H42</f>
        <v>14</v>
      </c>
      <c r="I7" s="4" t="n">
        <f aca="false">Assumptions!I42</f>
        <v>14</v>
      </c>
      <c r="J7" s="4" t="n">
        <f aca="false">Assumptions!J42</f>
        <v>14</v>
      </c>
      <c r="K7" s="4" t="n">
        <f aca="false">Assumptions!K42</f>
        <v>14</v>
      </c>
      <c r="L7" s="4" t="n">
        <f aca="false">Assumptions!L42</f>
        <v>14</v>
      </c>
    </row>
    <row r="8" customFormat="false" ht="15" hidden="false" customHeight="false" outlineLevel="0" collapsed="false">
      <c r="A8" s="0" t="s">
        <v>44</v>
      </c>
      <c r="C8" s="0" t="n">
        <f aca="false">C6*C7/100</f>
        <v>453.274773</v>
      </c>
      <c r="D8" s="0" t="n">
        <f aca="false">D6*D7/100</f>
        <v>615.1586205</v>
      </c>
      <c r="E8" s="0" t="n">
        <f aca="false">E6*E7/100</f>
        <v>759.55901247</v>
      </c>
      <c r="F8" s="0" t="n">
        <f aca="false">F6*F7/100</f>
        <v>870.78487133952</v>
      </c>
      <c r="G8" s="0" t="n">
        <f aca="false">G6*G7/100</f>
        <v>945.958096560627</v>
      </c>
      <c r="H8" s="0" t="n">
        <f aca="false">H6*H7/100</f>
        <v>1010.42338906698</v>
      </c>
      <c r="I8" s="0" t="n">
        <f aca="false">I6*I7/100</f>
        <v>1035.68397379366</v>
      </c>
      <c r="J8" s="0" t="n">
        <f aca="false">J6*J7/100</f>
        <v>1061.5760731385</v>
      </c>
      <c r="K8" s="0" t="n">
        <f aca="false">K6*K7/100</f>
        <v>1088.11547496696</v>
      </c>
      <c r="L8" s="0" t="n">
        <f aca="false">L6*L7/100</f>
        <v>1115.31836184113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0.1</v>
      </c>
      <c r="D9" s="4" t="n">
        <f aca="false">Assumptions!D43</f>
        <v>0.05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-6.4753539</v>
      </c>
      <c r="D10" s="0" t="n">
        <f aca="false">-D6*D9/100</f>
        <v>-3.23767695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422.84060967</v>
      </c>
      <c r="D11" s="0" t="n">
        <f aca="false">D8+D10+D24</f>
        <v>587.96213412</v>
      </c>
      <c r="E11" s="0" t="n">
        <f aca="false">E8+E10+E24</f>
        <v>735.1210268514</v>
      </c>
      <c r="F11" s="0" t="n">
        <f aca="false">F8+F10+F24</f>
        <v>845.613746152362</v>
      </c>
      <c r="G11" s="0" t="n">
        <f aca="false">G8+G10+G24</f>
        <v>920.031837617854</v>
      </c>
      <c r="H11" s="0" t="n">
        <f aca="false">H8+H10+H24</f>
        <v>983.719342355925</v>
      </c>
      <c r="I11" s="0" t="n">
        <f aca="false">I8+I10+I24</f>
        <v>1008.31232591482</v>
      </c>
      <c r="J11" s="0" t="n">
        <f aca="false">J8+J10+J24</f>
        <v>1033.52013406269</v>
      </c>
      <c r="K11" s="0" t="n">
        <f aca="false">K8+K10+K24</f>
        <v>1059.35813741426</v>
      </c>
      <c r="L11" s="0" t="n">
        <f aca="false">L8+L10+L24</f>
        <v>1085.84209084962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-103.6056624</v>
      </c>
      <c r="D12" s="4" t="n">
        <f aca="false">-D6*Assumptions!D45/100</f>
        <v>-103.6056624</v>
      </c>
      <c r="E12" s="4" t="n">
        <f aca="false">-E6*Assumptions!E45/100</f>
        <v>-102.375345159</v>
      </c>
      <c r="F12" s="4" t="n">
        <f aca="false">-F6*Assumptions!F45/100</f>
        <v>-102.0451021101</v>
      </c>
      <c r="G12" s="4" t="n">
        <f aca="false">-G6*Assumptions!G45/100</f>
        <v>-105.106455173403</v>
      </c>
      <c r="H12" s="4" t="n">
        <f aca="false">-H6*Assumptions!H45/100</f>
        <v>-104.650993867652</v>
      </c>
      <c r="I12" s="4" t="n">
        <f aca="false">-I6*Assumptions!I45/100</f>
        <v>-107.267268714343</v>
      </c>
      <c r="J12" s="4" t="n">
        <f aca="false">-J6*Assumptions!J45/100</f>
        <v>-106.15760731385</v>
      </c>
      <c r="K12" s="4" t="n">
        <f aca="false">-K6*Assumptions!K45/100</f>
        <v>-108.811547496696</v>
      </c>
      <c r="L12" s="4" t="n">
        <f aca="false">-L6*Assumptions!L45/100</f>
        <v>-111.531836184113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319.23494727</v>
      </c>
      <c r="D13" s="0" t="n">
        <f aca="false">D11+D12</f>
        <v>484.35647172</v>
      </c>
      <c r="E13" s="0" t="n">
        <f aca="false">E11+E12</f>
        <v>632.7456816924</v>
      </c>
      <c r="F13" s="0" t="n">
        <f aca="false">F11+F12</f>
        <v>743.568644042262</v>
      </c>
      <c r="G13" s="0" t="n">
        <f aca="false">G11+G12</f>
        <v>814.925382444451</v>
      </c>
      <c r="H13" s="0" t="n">
        <f aca="false">H11+H12</f>
        <v>879.068348488274</v>
      </c>
      <c r="I13" s="0" t="n">
        <f aca="false">I11+I12</f>
        <v>901.04505720048</v>
      </c>
      <c r="J13" s="0" t="n">
        <f aca="false">J11+J12</f>
        <v>927.362526748844</v>
      </c>
      <c r="K13" s="0" t="n">
        <f aca="false">K11+K12</f>
        <v>950.546589917565</v>
      </c>
      <c r="L13" s="0" t="n">
        <f aca="false">L11+L12</f>
        <v>974.310254665504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55</v>
      </c>
      <c r="D14" s="4" t="n">
        <f aca="false">Assumptions!D47</f>
        <v>40</v>
      </c>
      <c r="E14" s="4" t="n">
        <f aca="false">Assumptions!E47</f>
        <v>33</v>
      </c>
      <c r="F14" s="4" t="n">
        <f aca="false">Assumptions!F47</f>
        <v>29</v>
      </c>
      <c r="G14" s="4" t="n">
        <f aca="false">Assumptions!G47</f>
        <v>27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143.6557262715</v>
      </c>
      <c r="D15" s="0" t="n">
        <f aca="false">D13-MAX(0,D13)*D14/100</f>
        <v>290.613883032</v>
      </c>
      <c r="E15" s="0" t="n">
        <f aca="false">E13-MAX(0,E13)*E14/100</f>
        <v>423.939606733908</v>
      </c>
      <c r="F15" s="0" t="n">
        <f aca="false">F13-MAX(0,F13)*F14/100</f>
        <v>527.933737270006</v>
      </c>
      <c r="G15" s="0" t="n">
        <f aca="false">G13-MAX(0,G13)*G14/100</f>
        <v>594.89552918445</v>
      </c>
      <c r="H15" s="0" t="n">
        <f aca="false">H13-MAX(0,H13)*H14/100</f>
        <v>650.510577881322</v>
      </c>
      <c r="I15" s="0" t="n">
        <f aca="false">I13-MAX(0,I13)*I14/100</f>
        <v>666.773342328355</v>
      </c>
      <c r="J15" s="0" t="n">
        <f aca="false">J13-MAX(0,J13)*J14/100</f>
        <v>686.248269794145</v>
      </c>
      <c r="K15" s="0" t="n">
        <f aca="false">K13-MAX(0,K13)*K14/100</f>
        <v>703.404476538998</v>
      </c>
      <c r="L15" s="0" t="n">
        <f aca="false">L13-MAX(0,L13)*L14/100</f>
        <v>720.989588452473</v>
      </c>
    </row>
    <row r="16" customFormat="false" ht="15" hidden="false" customHeight="false" outlineLevel="0" collapsed="false">
      <c r="A16" s="0" t="s">
        <v>116</v>
      </c>
      <c r="C16" s="0" t="n">
        <f aca="false">-C12</f>
        <v>103.6056624</v>
      </c>
      <c r="D16" s="0" t="n">
        <f aca="false">-D12</f>
        <v>103.6056624</v>
      </c>
      <c r="E16" s="0" t="n">
        <f aca="false">-E12</f>
        <v>102.375345159</v>
      </c>
      <c r="F16" s="0" t="n">
        <f aca="false">-F12</f>
        <v>102.0451021101</v>
      </c>
      <c r="G16" s="0" t="n">
        <f aca="false">-G12</f>
        <v>105.106455173403</v>
      </c>
      <c r="H16" s="0" t="n">
        <f aca="false">-H12</f>
        <v>104.650993867652</v>
      </c>
      <c r="I16" s="0" t="n">
        <f aca="false">-I12</f>
        <v>107.267268714343</v>
      </c>
      <c r="J16" s="0" t="n">
        <f aca="false">-J12</f>
        <v>106.15760731385</v>
      </c>
      <c r="K16" s="0" t="n">
        <f aca="false">-K12</f>
        <v>108.811547496696</v>
      </c>
      <c r="L16" s="0" t="n">
        <f aca="false">-L12</f>
        <v>111.531836184113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-77.7042468</v>
      </c>
      <c r="D17" s="4" t="n">
        <f aca="false">-D6*Assumptions!D46/100</f>
        <v>-77.7042468</v>
      </c>
      <c r="E17" s="4" t="n">
        <f aca="false">-E6*Assumptions!E46/100</f>
        <v>-79.258331736</v>
      </c>
      <c r="F17" s="4" t="n">
        <f aca="false">-F6*Assumptions!F46/100</f>
        <v>-81.63608168808</v>
      </c>
      <c r="G17" s="4" t="n">
        <f aca="false">-G6*Assumptions!G46/100</f>
        <v>-84.0851641387224</v>
      </c>
      <c r="H17" s="4" t="n">
        <f aca="false">-H6*Assumptions!H46/100</f>
        <v>-86.6077190628841</v>
      </c>
      <c r="I17" s="4" t="n">
        <f aca="false">-I6*Assumptions!I46/100</f>
        <v>-88.7729120394562</v>
      </c>
      <c r="J17" s="4" t="n">
        <f aca="false">-J6*Assumptions!J46/100</f>
        <v>-90.9922348404426</v>
      </c>
      <c r="K17" s="4" t="n">
        <f aca="false">-K6*Assumptions!K46/100</f>
        <v>-93.2670407114536</v>
      </c>
      <c r="L17" s="4" t="n">
        <f aca="false">-L6*Assumptions!L46/100</f>
        <v>-95.59871672924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-34.08081</v>
      </c>
      <c r="D18" s="4" t="n">
        <f aca="false">(D6-C6)*Assumptions!$B$51/100</f>
        <v>0</v>
      </c>
      <c r="E18" s="4" t="n">
        <f aca="false">(E6-D6)*Assumptions!$B$51/100</f>
        <v>12.9507078000001</v>
      </c>
      <c r="F18" s="4" t="n">
        <f aca="false">(F6-E6)*Assumptions!$B$51/100</f>
        <v>19.814582934</v>
      </c>
      <c r="G18" s="4" t="n">
        <f aca="false">(G6-F6)*Assumptions!$B$51/100</f>
        <v>20.4090204220201</v>
      </c>
      <c r="H18" s="4" t="n">
        <f aca="false">(H6-G6)*Assumptions!$B$51/100</f>
        <v>21.0212910346806</v>
      </c>
      <c r="I18" s="4" t="n">
        <f aca="false">(I6-H6)*Assumptions!$B$51/100</f>
        <v>18.0432748047675</v>
      </c>
      <c r="J18" s="4" t="n">
        <f aca="false">(J6-I6)*Assumptions!$B$51/100</f>
        <v>18.4943566748866</v>
      </c>
      <c r="K18" s="4" t="n">
        <f aca="false">(K6-J6)*Assumptions!$B$51/100</f>
        <v>18.9567155917588</v>
      </c>
      <c r="L18" s="4" t="n">
        <f aca="false">(L6-K6)*Assumptions!$B$51/100</f>
        <v>19.4306334815527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135.4763318715</v>
      </c>
      <c r="D19" s="0" t="n">
        <f aca="false">D15+D16+D17+D18</f>
        <v>316.515298632</v>
      </c>
      <c r="E19" s="0" t="n">
        <f aca="false">E15+E16+E17+E18</f>
        <v>460.007327956908</v>
      </c>
      <c r="F19" s="0" t="n">
        <f aca="false">F15+F16+F17+F18</f>
        <v>568.157340626026</v>
      </c>
      <c r="G19" s="0" t="n">
        <f aca="false">G15+G16+G17+G18</f>
        <v>636.32584064115</v>
      </c>
      <c r="H19" s="0" t="n">
        <f aca="false">H15+H16+H17+H18</f>
        <v>689.575143720771</v>
      </c>
      <c r="I19" s="0" t="n">
        <f aca="false">I15+I16+I17+I18</f>
        <v>703.31097380801</v>
      </c>
      <c r="J19" s="0" t="n">
        <f aca="false">J15+J16+J17+J18</f>
        <v>719.907998942438</v>
      </c>
      <c r="K19" s="0" t="n">
        <f aca="false">K15+K16+K17+K18</f>
        <v>737.905698915999</v>
      </c>
      <c r="L19" s="0" t="n">
        <f aca="false">L15+L16+L17+L18</f>
        <v>756.353341388899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123.722677508219</v>
      </c>
      <c r="D21" s="0" t="n">
        <f aca="false">D19*D20</f>
        <v>263.977230359667</v>
      </c>
      <c r="E21" s="0" t="n">
        <f aca="false">E19*E20</f>
        <v>350.36635299431</v>
      </c>
      <c r="F21" s="0" t="n">
        <f aca="false">F19*F20</f>
        <v>395.195640793491</v>
      </c>
      <c r="G21" s="0" t="n">
        <f aca="false">G19*G20</f>
        <v>404.211778108996</v>
      </c>
      <c r="H21" s="0" t="n">
        <f aca="false">H19*H20</f>
        <v>400.033980440319</v>
      </c>
      <c r="I21" s="0" t="n">
        <f aca="false">I19*I20</f>
        <v>372.604898028961</v>
      </c>
      <c r="J21" s="0" t="n">
        <f aca="false">J19*J20</f>
        <v>348.308478101122</v>
      </c>
      <c r="K21" s="0" t="n">
        <f aca="false">K19*K20</f>
        <v>326.042182697398</v>
      </c>
      <c r="L21" s="0" t="n">
        <f aca="false">L19*L20</f>
        <v>305.199303438203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0.37</v>
      </c>
      <c r="D23" s="4" t="n">
        <f aca="false">Assumptions!D44</f>
        <v>0.37</v>
      </c>
      <c r="E23" s="4" t="n">
        <f aca="false">Assumptions!E44</f>
        <v>0.37</v>
      </c>
      <c r="F23" s="4" t="n">
        <f aca="false">Assumptions!F44</f>
        <v>0.37</v>
      </c>
      <c r="G23" s="4" t="n">
        <f aca="false">Assumptions!G44</f>
        <v>0.37</v>
      </c>
      <c r="H23" s="4" t="n">
        <f aca="false">Assumptions!H44</f>
        <v>0.37</v>
      </c>
      <c r="I23" s="4" t="n">
        <f aca="false">Assumptions!I44</f>
        <v>0.37</v>
      </c>
      <c r="J23" s="4" t="n">
        <f aca="false">Assumptions!J44</f>
        <v>0.37</v>
      </c>
      <c r="K23" s="4" t="n">
        <f aca="false">Assumptions!K44</f>
        <v>0.37</v>
      </c>
      <c r="L23" s="4" t="n">
        <f aca="false">Assumptions!L44</f>
        <v>0.37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-23.95880943</v>
      </c>
      <c r="D24" s="0" t="n">
        <f aca="false">-D6*D23/100</f>
        <v>-23.95880943</v>
      </c>
      <c r="E24" s="0" t="n">
        <f aca="false">-E6*E23/100</f>
        <v>-24.4379856186</v>
      </c>
      <c r="F24" s="0" t="n">
        <f aca="false">-F6*F23/100</f>
        <v>-25.171125187158</v>
      </c>
      <c r="G24" s="0" t="n">
        <f aca="false">-G6*G23/100</f>
        <v>-25.9262589427727</v>
      </c>
      <c r="H24" s="0" t="n">
        <f aca="false">-H6*H23/100</f>
        <v>-26.7040467110559</v>
      </c>
      <c r="I24" s="0" t="n">
        <f aca="false">-I6*I23/100</f>
        <v>-27.3716478788323</v>
      </c>
      <c r="J24" s="0" t="n">
        <f aca="false">-J6*J23/100</f>
        <v>-28.0559390758031</v>
      </c>
      <c r="K24" s="0" t="n">
        <f aca="false">-K6*K23/100</f>
        <v>-28.7573375526982</v>
      </c>
      <c r="L24" s="0" t="n">
        <f aca="false">-L6*L23/100</f>
        <v>-29.4762709915157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3289.66252247069</v>
      </c>
    </row>
    <row r="31" customFormat="false" ht="15" hidden="false" customHeight="false" outlineLevel="0" collapsed="false">
      <c r="A31" s="0" t="s">
        <v>125</v>
      </c>
      <c r="B31" s="0" t="n">
        <f aca="false">L19</f>
        <v>756.353341388899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11075.1739274803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10588.9467794446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10588.9467794446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4272.79024813484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7562.45277060553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9598.05277060553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3.75218425698018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4.28476655912701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8.61382329017327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3.75555167461314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6202.09739938897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2.37063195403792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1.30740779255643</v>
      </c>
      <c r="C4" s="0" t="n">
        <f aca="false">B4/Assumptions!$B$2-1</f>
        <v>0.841419426135811</v>
      </c>
      <c r="D4" s="4" t="n">
        <f aca="false">Assumptions!$B$24</f>
        <v>0.35</v>
      </c>
      <c r="E4" s="4" t="n">
        <f aca="false">DCF_Bear!$B$43</f>
        <v>1.31057275399644</v>
      </c>
      <c r="F4" s="4" t="n">
        <f aca="false">DCF_Bear!$B$47</f>
        <v>1.08485284844687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2.57060529378276</v>
      </c>
      <c r="C5" s="0" t="n">
        <f aca="false">B5/Assumptions!$B$2-1</f>
        <v>2.62057083631374</v>
      </c>
      <c r="D5" s="4" t="n">
        <f aca="false">Assumptions!$B$38</f>
        <v>0.5</v>
      </c>
      <c r="E5" s="4" t="n">
        <f aca="false">DCF_Base!$B$43</f>
        <v>2.5738811505469</v>
      </c>
      <c r="F5" s="4" t="n">
        <f aca="false">DCF_Base!$B$47</f>
        <v>1.80401730365672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3.75218425698018</v>
      </c>
      <c r="C6" s="0" t="n">
        <f aca="false">B6/Assumptions!$B$2-1</f>
        <v>4.28476655912701</v>
      </c>
      <c r="D6" s="4" t="n">
        <f aca="false">Assumptions!$B$52</f>
        <v>0.15</v>
      </c>
      <c r="E6" s="4" t="n">
        <f aca="false">DCF_Bull!$B$43</f>
        <v>3.75555167461314</v>
      </c>
      <c r="F6" s="4" t="n">
        <f aca="false">DCF_Bull!$B$47</f>
        <v>2.37063195403792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2.30572301283316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2.30897379036417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0.692070558324528</v>
      </c>
    </row>
    <row r="11" customFormat="false" ht="15" hidden="false" customHeight="false" outlineLevel="0" collapsed="false">
      <c r="A11" s="0" t="s">
        <v>152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1.63730194189045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2.63740703887518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2.57060529378276</v>
      </c>
      <c r="C16" s="3" t="n">
        <v>9.5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2.50677179419789</v>
      </c>
      <c r="C17" s="3" t="n">
        <v>10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2.34202137253742</v>
      </c>
      <c r="C18" s="3" t="n">
        <v>11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2.16619150280905</v>
      </c>
      <c r="C19" s="3" t="n">
        <v>12</v>
      </c>
    </row>
    <row r="20" customFormat="false" ht="15" hidden="false" customHeight="false" outlineLevel="0" collapsed="false">
      <c r="A20" s="0" t="s">
        <v>161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1.80401730365672</v>
      </c>
      <c r="C20" s="3" t="n">
        <v>15</v>
      </c>
    </row>
    <row r="22" customFormat="false" ht="15" hidden="false" customHeight="false" outlineLevel="0" collapsed="false">
      <c r="A22" s="2" t="s">
        <v>162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2.8572513071657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2.8572513071657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2.8572513071657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2.8572513071657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2.8572513071657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2.70733523732803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2.70733523732803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2.70733523732803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2.70733523732803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2.70733523732803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2.5614260780974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2.57060529378276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2.57060529378276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2.57060529378276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2.57060529378276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2.34826655760747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2.39430377644925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2.44575713868418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2.44575713868418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2.44575713868418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2.17661477333297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2.21118264101626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2.24938923161358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2.29184099894394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2.3316276328993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2026-10-16T13:30:55Z</dcterms:created>
  <dc:creator>openpyxl</dc:creator>
  <dc:description/>
  <dc:language>en-NZ</dc:language>
  <cp:lastModifiedBy/>
  <dcterms:modified xsi:type="dcterms:W3CDTF">2026-10-16T13:30:55Z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