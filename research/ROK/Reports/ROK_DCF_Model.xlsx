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<sst xmlns="http://schemas.openxmlformats.org/spreadsheetml/2006/main" count="389" uniqueCount="175">
  <si>
    <t xml:space="preserve">Ticker</t>
  </si>
  <si>
    <t xml:space="preserve">ROK</t>
  </si>
  <si>
    <t xml:space="preserve">Company</t>
  </si>
  <si>
    <t xml:space="preserve">Rockwell Automation,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</si>
  <si>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</si>
  <si>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</si>
  <si>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</si>
  <si>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</si>
  <si>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2026-10-01T20:01:40Z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</si>
  <si>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</si>
  <si>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</si>
  <si>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</si>
  <si>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</si>
  <si>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</si>
  <si>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</si>
  <si>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</si>
  <si>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</si>
  <si>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</si>
  <si>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</si>
  <si>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</si>
  <si>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</si>
  <si>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2026-10-02T08:00:35Z</t>
  </si>
  <si>
    <t xml:space="preserve">Drivers file</t>
  </si>
  <si>
    <t xml:space="preserve">ROK_Drivers.json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</si>
  <si>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</si>
  <si>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</si>
  <si>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</si>
  <si>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Rockwell is valued as a quality cyclical on an owner-FCF basis: SBC (~1% of revenue) fully expensed, share count flat and funded by buybacks, mid-cycle rather than peak margins capitalised at a 13-19x exit. The market price capitalises roughly 33x trailing owner FCF, which the model can only reach if the bull case's decade without a downturn and structural margin step-up both happen; the gap between price and weighted value is the price of that thesis.
key_risks_to_valuation: Cycle timing: a FY2027-28 destock (bear) versus continued recovery swings near-term FCF by 25-30%; Software &amp; Control margin durability: each 1pp of terminal EBITDA margin is worth roughly 4% of value; Terminal multiple: the cap binds in the base case, so a market willing to pay 20x+ for automation exposure sits outside the house basis; The $2B five-year US investment programme lifts capex above the 2.2-2.8% history; if it fails to earn a return, base FCF is overstated; Tariff/IEEPA refunds and export controls on industrial control technology to China</t>
  </si>
  <si>
    <t xml:space="preserve">Data sources</t>
  </si>
  <si>
    <t xml:space="preserve">price: Yahoo Finance chart API at inputs.price_as_of; 52-week range 332.71-497.36
financials: SEC XBRL companyfacts (CIK 1024478) and ROK_Metrics.csv: FY2025 10-K and Q1-Q3 FY2026 10-Qs; balance sheet at 2026-06-30
qualitative: ROK_Analysis.json (2026-10-02): Q3 FY2026 results and raised FY2026 guidance (sales +7.5-9.5%, adjusted EPS $13.00-13.30, segment margin ~21.5%)</t>
  </si>
  <si>
    <t xml:space="preserve">Scenario narrative: bear</t>
  </si>
  <si>
    <t xml:space="preserve">The current upswing proves to be restocking: as in FY2023-24, distributors destock and manufacturing PMI rolls over, revenue falls ~9% over FY2028-29 and margins give back the software-mix gains under negative operating leverage. Tariff and export-control volatility, China overcapacity and the larger diversified rivals' pricing keep recovery growth to 3-5% and the terminal margin at ~25.5%, below today's level, valued at a 13x cyclical exit.</t>
  </si>
  <si>
    <t xml:space="preserve">Scenario narrative: base</t>
  </si>
  <si>
    <t xml:space="preserve">The FY2025-26 recovery (organic +10% in Q3 FY2026, two guidance raises) is real but cyclical: restocking and data-centre/semiconductor capex carry FY2027-28, then discrete-manufacturing capex pauses as it has every 4-5 years, before reshoring and the software mix restore ~4-5% growth fading to 3%. Software &amp; Control's margin gains (segment ~30%) are kept but not extended; Lifecycle Services stays flat-ish and Intelligent Devices remains a hardware cyclical. Capex runs above history through FY2029 on the $2B five-year US manufacturing and digital-infrastructure programme.</t>
  </si>
  <si>
    <t xml:space="preserve">Scenario narrative: bull</t>
  </si>
  <si>
    <t xml:space="preserve">Reshoring and tariff-driven factory investment turn into a multi-year North American automation cycle with no meaningful downturn inside the horizon; AI-enabled FactoryTalk/digital-twin software and recurring ARR lift Software &amp; Control to ~30% of sales at low-30s margins, taking enterprise pre-SBC EBITDA to ~31%. Rockwell takes share from Siemens/Schneider in North American discrete and its installed-base switching costs convert the growth into durable aftermarket revenue.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</si>
  <si>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</si>
  <si>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</si>
  <si>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</si>
  <si>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</si>
  <si>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</si>
  <si>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</si>
  <si>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</si>
  <si>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</si>
  <si>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</si>
  <si>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</si>
  <si>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</si>
  <si>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</si>
  <si>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</si>
  <si>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</si>
  <si>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</si>
  <si>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</si>
  <si>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</si>
  <si>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</si>
  <si>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</si>
  <si>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</si>
  <si>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</si>
  <si>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</si>
  <si>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</si>
  <si>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</si>
  <si>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</si>
  <si>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</si>
  <si>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</si>
  <si>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</si>
  <si>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</si>
  <si>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</si>
  <si>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</si>
  <si>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</si>
  <si>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</si>
  <si>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</si>
  <si>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</si>
  <si>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</si>
  <si>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</si>
  <si>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</si>
  <si>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</si>
  <si>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</si>
  <si>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</si>
  <si>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</si>
  <si>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</si>
  <si>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</si>
  <si>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</si>
  <si>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</si>
  <si>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</si>
  <si>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</si>
  <si>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</si>
  <si>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</si>
  <si>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</si>
  <si>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</si>
  <si>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</si>
  <si>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</si>
  <si>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</si>
  <si>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</si>
  <si>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</si>
  <si>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</si>
  <si>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</si>
  <si>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</si>
  <si>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</si>
  <si>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</si>
  <si>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</si>
  <si>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</si>
  <si>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</si>
  <si>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</si>
  <si>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</si>
  <si>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</si>
  <si>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</si>
  <si>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</si>
  <si>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</si>
  <si>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</si>
  <si>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</si>
  <si>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</si>
  <si>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</si>
  <si>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</si>
  <si>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</si>
  <si>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</si>
  <si>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</si>
  <si>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</si>
  <si>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</si>
  <si>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</si>
  <si>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</si>
  <si>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</si>
  <si>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</si>
  <si>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ROK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</si>
  <si>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</si>
  <si>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</si>
  <si>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</si>
  <si>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</si>
  <si>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</si>
  <si>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</si>
  <si>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</si>
  <si>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</si>
  <si>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</si>
  <si>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</si>
  <si>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</si>
  <si>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</si>
  <si>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</si>
  <si>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</si>
  <si>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</si>
  <si>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</si>
  <si>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</si>
  <si>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</si>
  <si>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</si>
  <si>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</si>
  <si>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</si>
  <si>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</si>
  <si>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</si>
  <si>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</si>
  <si>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</si>
  <si>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</si>
  <si>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</si>
  <si>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</si>
  <si>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</si>
  <si>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</si>
  <si>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ROK owner-FCF component DCF: base case (millions, USD)</t>
  </si>
  <si>
    <t xml:space="preserve">ROK owner-FCF component DCF: bull case (millions, USD)</t>
  </si>
  <si>
    <t xml:space="preserve">ROK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</si>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</sst>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442.45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1918.2</v>
      </c>
      <c r="S2" s="0" t="n">
        <v>408.1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5003.9</v>
      </c>
      <c r="C3" s="0" t="n">
        <v>2906.6</v>
      </c>
      <c r="D3" s="0" t="n">
        <v>2097.3</v>
      </c>
      <c r="E3" s="0" t="n">
        <v>41.9133076200564</v>
      </c>
      <c r="I3" s="0" t="n">
        <v>1487.8</v>
      </c>
      <c r="J3" s="0" t="n">
        <v>29.7328084094406</v>
      </c>
      <c r="K3" s="0" t="n">
        <v>9.37</v>
      </c>
      <c r="M3" s="0" t="n">
        <v>131</v>
      </c>
      <c r="O3" s="0" t="n">
        <v>1742.8</v>
      </c>
      <c r="S3" s="0" t="n">
        <v>624.2</v>
      </c>
      <c r="T3" s="0" t="n">
        <v>149.4</v>
      </c>
      <c r="U3" s="0" t="n">
        <v>29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5697.8</v>
      </c>
      <c r="C4" s="0" t="n">
        <v>3357.1</v>
      </c>
      <c r="D4" s="0" t="n">
        <v>2340.7</v>
      </c>
      <c r="E4" s="0" t="n">
        <v>41.0807680157254</v>
      </c>
      <c r="I4" s="0" t="n">
        <v>577.6</v>
      </c>
      <c r="J4" s="0" t="n">
        <v>10.137245954579</v>
      </c>
      <c r="K4" s="0" t="n">
        <v>3.94</v>
      </c>
      <c r="M4" s="0" t="n">
        <v>151</v>
      </c>
      <c r="O4" s="0" t="n">
        <v>1688.8</v>
      </c>
      <c r="P4" s="0" t="n">
        <v>4593.6</v>
      </c>
      <c r="R4" s="0" t="n">
        <v>904.4</v>
      </c>
      <c r="S4" s="0" t="n">
        <v>582.2</v>
      </c>
      <c r="T4" s="0" t="n">
        <v>143.2</v>
      </c>
      <c r="U4" s="0" t="n">
        <v>32.5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4332.5</v>
      </c>
      <c r="C5" s="0" t="n">
        <v>2763</v>
      </c>
      <c r="D5" s="0" t="n">
        <v>1569.5</v>
      </c>
      <c r="E5" s="0" t="n">
        <v>36.2261973456434</v>
      </c>
      <c r="I5" s="0" t="n">
        <v>220.7</v>
      </c>
      <c r="J5" s="0" t="n">
        <v>5.09405654933641</v>
      </c>
      <c r="K5" s="0" t="n">
        <v>1.56</v>
      </c>
      <c r="M5" s="0" t="n">
        <v>98</v>
      </c>
      <c r="O5" s="0" t="n">
        <v>1316.4</v>
      </c>
      <c r="P5" s="0" t="n">
        <v>4305.7</v>
      </c>
      <c r="R5" s="0" t="n">
        <v>904.7</v>
      </c>
      <c r="S5" s="0" t="n">
        <v>643.8</v>
      </c>
      <c r="T5" s="0" t="n">
        <v>142.1</v>
      </c>
      <c r="U5" s="0" t="n">
        <v>27.8</v>
      </c>
      <c r="V5" s="0" t="n">
        <v>1.16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4857</v>
      </c>
      <c r="C6" s="0" t="n">
        <v>2920.6</v>
      </c>
      <c r="D6" s="0" t="n">
        <v>1936.4</v>
      </c>
      <c r="E6" s="0" t="n">
        <v>39.8682314185711</v>
      </c>
      <c r="I6" s="0" t="n">
        <v>464.3</v>
      </c>
      <c r="J6" s="0" t="n">
        <v>9.55939880584723</v>
      </c>
      <c r="K6" s="0" t="n">
        <v>3.26</v>
      </c>
      <c r="M6" s="0" t="n">
        <v>99.4</v>
      </c>
      <c r="O6" s="0" t="n">
        <v>1460.4</v>
      </c>
      <c r="P6" s="0" t="n">
        <v>4748.3</v>
      </c>
      <c r="R6" s="0" t="n">
        <v>904.9</v>
      </c>
      <c r="S6" s="0" t="n">
        <v>813.4</v>
      </c>
      <c r="T6" s="0" t="n">
        <v>141.7</v>
      </c>
      <c r="U6" s="0" t="n">
        <v>36.3</v>
      </c>
      <c r="V6" s="0" t="n">
        <v>1.22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6000.4</v>
      </c>
      <c r="C7" s="0" t="n">
        <v>3610</v>
      </c>
      <c r="D7" s="0" t="n">
        <v>2390.4</v>
      </c>
      <c r="E7" s="0" t="n">
        <v>39.8373441770549</v>
      </c>
      <c r="I7" s="0" t="n">
        <v>697.8</v>
      </c>
      <c r="J7" s="0" t="n">
        <v>11.6292247183521</v>
      </c>
      <c r="K7" s="0" t="n">
        <v>4.88</v>
      </c>
      <c r="M7" s="0" t="n">
        <v>120.1</v>
      </c>
      <c r="O7" s="0" t="n">
        <v>1748</v>
      </c>
      <c r="P7" s="0" t="n">
        <v>5284.9</v>
      </c>
      <c r="R7" s="0" t="n">
        <v>905</v>
      </c>
      <c r="S7" s="0" t="n">
        <v>988.9</v>
      </c>
      <c r="T7" s="0" t="n">
        <v>141.9</v>
      </c>
      <c r="U7" s="0" t="n">
        <v>39.5</v>
      </c>
      <c r="V7" s="0" t="n">
        <v>1.475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6259.4</v>
      </c>
      <c r="C8" s="0" t="n">
        <v>3736.7</v>
      </c>
      <c r="D8" s="0" t="n">
        <v>2522.7</v>
      </c>
      <c r="E8" s="0" t="n">
        <v>40.3025849122919</v>
      </c>
      <c r="I8" s="0" t="n">
        <v>737</v>
      </c>
      <c r="J8" s="0" t="n">
        <v>11.7742914656357</v>
      </c>
      <c r="K8" s="0" t="n">
        <v>5.2</v>
      </c>
      <c r="M8" s="0" t="n">
        <v>139.6</v>
      </c>
      <c r="O8" s="0" t="n">
        <v>1851.7</v>
      </c>
      <c r="P8" s="0" t="n">
        <v>5636.5</v>
      </c>
      <c r="R8" s="0" t="n">
        <v>905</v>
      </c>
      <c r="S8" s="0" t="n">
        <v>903.9</v>
      </c>
      <c r="T8" s="0" t="n">
        <v>139.8</v>
      </c>
      <c r="U8" s="0" t="n">
        <v>43.5</v>
      </c>
      <c r="V8" s="0" t="n">
        <v>1.745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6351.9</v>
      </c>
      <c r="C9" s="0" t="n">
        <v>3778.1</v>
      </c>
      <c r="D9" s="0" t="n">
        <v>2573.8</v>
      </c>
      <c r="E9" s="0" t="n">
        <v>40.5201593224075</v>
      </c>
      <c r="I9" s="0" t="n">
        <v>756.3</v>
      </c>
      <c r="J9" s="0" t="n">
        <v>11.9066735937279</v>
      </c>
      <c r="K9" s="0" t="n">
        <v>5.43</v>
      </c>
      <c r="M9" s="0" t="n">
        <v>146.2</v>
      </c>
      <c r="O9" s="0" t="n">
        <v>2585.5</v>
      </c>
      <c r="P9" s="0" t="n">
        <v>5844.6</v>
      </c>
      <c r="R9" s="0" t="n">
        <v>905.1</v>
      </c>
      <c r="S9" s="0" t="n">
        <v>1200.9</v>
      </c>
      <c r="T9" s="0" t="n">
        <v>138.8</v>
      </c>
      <c r="U9" s="0" t="n">
        <v>41.1</v>
      </c>
      <c r="V9" s="0" t="n">
        <v>1.98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6623.5</v>
      </c>
      <c r="C10" s="0" t="n">
        <v>3869.6</v>
      </c>
      <c r="D10" s="0" t="n">
        <v>2753.9</v>
      </c>
      <c r="E10" s="0" t="n">
        <v>41.5777157092172</v>
      </c>
      <c r="I10" s="0" t="n">
        <v>826.8</v>
      </c>
      <c r="J10" s="0" t="n">
        <v>12.4828263002944</v>
      </c>
      <c r="K10" s="0" t="n">
        <v>5.98</v>
      </c>
      <c r="M10" s="0" t="n">
        <v>141</v>
      </c>
      <c r="O10" s="0" t="n">
        <v>2658.1</v>
      </c>
      <c r="P10" s="0" t="n">
        <v>6224.3</v>
      </c>
      <c r="R10" s="0" t="n">
        <v>900.4</v>
      </c>
      <c r="S10" s="0" t="n">
        <v>1191.3</v>
      </c>
      <c r="T10" s="0" t="n">
        <v>136.7</v>
      </c>
      <c r="U10" s="0" t="n">
        <v>42.5</v>
      </c>
      <c r="V10" s="0" t="n">
        <v>2.32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6307.9</v>
      </c>
      <c r="C11" s="0" t="n">
        <v>3604.8</v>
      </c>
      <c r="D11" s="0" t="n">
        <v>2703.1</v>
      </c>
      <c r="E11" s="0" t="n">
        <v>42.8526133895591</v>
      </c>
      <c r="I11" s="0" t="n">
        <v>827.6</v>
      </c>
      <c r="J11" s="0" t="n">
        <v>13.1200558030406</v>
      </c>
      <c r="K11" s="0" t="n">
        <v>6.15</v>
      </c>
      <c r="M11" s="0" t="n">
        <v>122.9</v>
      </c>
      <c r="O11" s="0" t="n">
        <v>2256.8</v>
      </c>
      <c r="P11" s="0" t="n">
        <v>6404.7</v>
      </c>
      <c r="R11" s="0" t="n">
        <v>1500.9</v>
      </c>
      <c r="S11" s="0" t="n">
        <v>1427.3</v>
      </c>
      <c r="T11" s="0" t="n">
        <v>132.4</v>
      </c>
      <c r="U11" s="0" t="n">
        <v>41.5</v>
      </c>
      <c r="V11" s="0" t="n">
        <v>2.6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5879.5</v>
      </c>
      <c r="C12" s="0" t="n">
        <v>3404</v>
      </c>
      <c r="D12" s="0" t="n">
        <v>2475.5</v>
      </c>
      <c r="E12" s="0" t="n">
        <v>42.1039204013947</v>
      </c>
      <c r="I12" s="0" t="n">
        <v>729.7</v>
      </c>
      <c r="J12" s="0" t="n">
        <v>12.4109192958585</v>
      </c>
      <c r="K12" s="0" t="n">
        <v>5.6</v>
      </c>
      <c r="M12" s="0" t="n">
        <v>116.9</v>
      </c>
      <c r="O12" s="0" t="n">
        <v>1990.1</v>
      </c>
      <c r="P12" s="0" t="n">
        <v>7101.2</v>
      </c>
      <c r="R12" s="0" t="n">
        <v>1516.3</v>
      </c>
      <c r="S12" s="0" t="n">
        <v>1526.4</v>
      </c>
      <c r="T12" s="0" t="n">
        <v>128.5</v>
      </c>
      <c r="U12" s="0" t="n">
        <v>40.5</v>
      </c>
      <c r="V12" s="0" t="n">
        <v>2.9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6311.3</v>
      </c>
      <c r="C13" s="0" t="n">
        <v>3643.4</v>
      </c>
      <c r="D13" s="0" t="n">
        <v>2667.9</v>
      </c>
      <c r="E13" s="0" t="n">
        <v>42.2717982032228</v>
      </c>
      <c r="I13" s="0" t="n">
        <v>825.7</v>
      </c>
      <c r="J13" s="0" t="n">
        <v>13.0828830827246</v>
      </c>
      <c r="K13" s="0" t="n">
        <v>6.42</v>
      </c>
      <c r="L13" s="0" t="n">
        <v>1034</v>
      </c>
      <c r="M13" s="0" t="n">
        <v>141.7</v>
      </c>
      <c r="N13" s="0" t="n">
        <v>892.3</v>
      </c>
      <c r="O13" s="0" t="n">
        <v>2663.6</v>
      </c>
      <c r="P13" s="0" t="n">
        <v>7161.7</v>
      </c>
      <c r="R13" s="0" t="n">
        <v>1743.4</v>
      </c>
      <c r="S13" s="0" t="n">
        <v>1410.9</v>
      </c>
      <c r="T13" s="0" t="n">
        <v>128.4</v>
      </c>
      <c r="U13" s="0" t="n">
        <v>38.5</v>
      </c>
      <c r="V13" s="0" t="n">
        <v>3.04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6666</v>
      </c>
      <c r="C14" s="0" t="n">
        <v>3781.1</v>
      </c>
      <c r="D14" s="0" t="n">
        <v>2884.9</v>
      </c>
      <c r="E14" s="0" t="n">
        <v>43.2778277827783</v>
      </c>
      <c r="I14" s="0" t="n">
        <v>535.5</v>
      </c>
      <c r="J14" s="0" t="n">
        <v>8.03330333033303</v>
      </c>
      <c r="K14" s="0" t="n">
        <v>4.27</v>
      </c>
      <c r="L14" s="0" t="n">
        <v>1300</v>
      </c>
      <c r="M14" s="0" t="n">
        <v>125.5</v>
      </c>
      <c r="N14" s="0" t="n">
        <v>1174.5</v>
      </c>
      <c r="O14" s="0" t="n">
        <v>1617.5</v>
      </c>
      <c r="P14" s="0" t="n">
        <v>6262</v>
      </c>
      <c r="R14" s="0" t="n">
        <v>1225.2</v>
      </c>
      <c r="S14" s="0" t="n">
        <v>618.8</v>
      </c>
      <c r="T14" s="0" t="n">
        <v>121</v>
      </c>
      <c r="U14" s="0" t="n">
        <v>38.5</v>
      </c>
      <c r="V14" s="0" t="n">
        <v>3.51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6694.8</v>
      </c>
      <c r="C15" s="0" t="n">
        <v>3794.7</v>
      </c>
      <c r="D15" s="0" t="n">
        <v>2900.1</v>
      </c>
      <c r="E15" s="0" t="n">
        <v>43.3186951066499</v>
      </c>
      <c r="I15" s="0" t="n">
        <v>695.8</v>
      </c>
      <c r="J15" s="0" t="n">
        <v>10.3931409452112</v>
      </c>
      <c r="K15" s="0" t="n">
        <v>5.88</v>
      </c>
      <c r="L15" s="0" t="n">
        <v>1182</v>
      </c>
      <c r="M15" s="0" t="n">
        <v>132.8</v>
      </c>
      <c r="N15" s="0" t="n">
        <v>1049.2</v>
      </c>
      <c r="O15" s="0" t="n">
        <v>404.2</v>
      </c>
      <c r="P15" s="0" t="n">
        <v>6113</v>
      </c>
      <c r="R15" s="0" t="n">
        <v>2557.4</v>
      </c>
      <c r="S15" s="0" t="n">
        <v>1018.4</v>
      </c>
      <c r="T15" s="0" t="n">
        <v>115.7</v>
      </c>
      <c r="U15" s="0" t="n">
        <v>43.1</v>
      </c>
      <c r="V15" s="0" t="n">
        <v>3.88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6329.8</v>
      </c>
      <c r="C16" s="0" t="n">
        <v>3734.6</v>
      </c>
      <c r="D16" s="0" t="n">
        <v>2595.2</v>
      </c>
      <c r="E16" s="0" t="n">
        <v>40.9997156308256</v>
      </c>
      <c r="I16" s="0" t="n">
        <v>1023.4</v>
      </c>
      <c r="J16" s="0" t="n">
        <v>16.1679673923347</v>
      </c>
      <c r="K16" s="0" t="n">
        <v>8.83</v>
      </c>
      <c r="L16" s="0" t="n">
        <v>1120.5</v>
      </c>
      <c r="M16" s="0" t="n">
        <v>113.9</v>
      </c>
      <c r="N16" s="0" t="n">
        <v>1006.6</v>
      </c>
      <c r="O16" s="0" t="n">
        <v>1346.8</v>
      </c>
      <c r="P16" s="0" t="n">
        <v>7264.7</v>
      </c>
      <c r="R16" s="0" t="n">
        <v>1974.7</v>
      </c>
      <c r="S16" s="0" t="n">
        <v>704.6</v>
      </c>
      <c r="T16" s="0" t="n">
        <v>116.2</v>
      </c>
      <c r="U16" s="0" t="n">
        <v>46.1</v>
      </c>
      <c r="V16" s="0" t="n">
        <v>4.08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6997.4</v>
      </c>
      <c r="C17" s="0" t="n">
        <v>4099.7</v>
      </c>
      <c r="D17" s="0" t="n">
        <v>2897.7</v>
      </c>
      <c r="E17" s="0" t="n">
        <v>41.4110955497756</v>
      </c>
      <c r="I17" s="0" t="n">
        <v>1358.1</v>
      </c>
      <c r="J17" s="0" t="n">
        <v>19.4086374939263</v>
      </c>
      <c r="K17" s="0" t="n">
        <v>11.69</v>
      </c>
      <c r="L17" s="0" t="n">
        <v>1261</v>
      </c>
      <c r="M17" s="0" t="n">
        <v>120.3</v>
      </c>
      <c r="N17" s="0" t="n">
        <v>1140.7</v>
      </c>
      <c r="O17" s="0" t="n">
        <v>2694.1</v>
      </c>
      <c r="P17" s="0" t="n">
        <v>10701.6</v>
      </c>
      <c r="R17" s="0" t="n">
        <v>3471.4</v>
      </c>
      <c r="S17" s="0" t="n">
        <v>662.2</v>
      </c>
      <c r="T17" s="0" t="n">
        <v>116</v>
      </c>
      <c r="U17" s="0" t="n">
        <v>51.7</v>
      </c>
      <c r="V17" s="0" t="n">
        <v>4.28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7760.4</v>
      </c>
      <c r="C18" s="0" t="n">
        <v>4658.4</v>
      </c>
      <c r="D18" s="0" t="n">
        <v>3102</v>
      </c>
      <c r="E18" s="0" t="n">
        <v>39.9721663831761</v>
      </c>
      <c r="I18" s="0" t="n">
        <v>932.2</v>
      </c>
      <c r="J18" s="0" t="n">
        <v>12.0122674088965</v>
      </c>
      <c r="K18" s="0" t="n">
        <v>8.02</v>
      </c>
      <c r="L18" s="0" t="n">
        <v>823.1</v>
      </c>
      <c r="M18" s="0" t="n">
        <v>141.1</v>
      </c>
      <c r="N18" s="0" t="n">
        <v>682</v>
      </c>
      <c r="O18" s="0" t="n">
        <v>3016</v>
      </c>
      <c r="P18" s="0" t="n">
        <v>10758.7</v>
      </c>
      <c r="R18" s="0" t="n">
        <v>3476.9</v>
      </c>
      <c r="S18" s="0" t="n">
        <v>490.7</v>
      </c>
      <c r="T18" s="0" t="n">
        <v>115.2</v>
      </c>
      <c r="U18" s="0" t="n">
        <v>68.1</v>
      </c>
      <c r="V18" s="0" t="n">
        <v>4.48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9058</v>
      </c>
      <c r="C19" s="0" t="n">
        <v>4635</v>
      </c>
      <c r="D19" s="0" t="n">
        <v>4423</v>
      </c>
      <c r="E19" s="0" t="n">
        <v>48.829763744756</v>
      </c>
      <c r="F19" s="0" t="n">
        <v>1929</v>
      </c>
      <c r="G19" s="0" t="n">
        <v>21.2960918525061</v>
      </c>
      <c r="H19" s="0" t="n">
        <v>2179</v>
      </c>
      <c r="I19" s="0" t="n">
        <v>1387</v>
      </c>
      <c r="J19" s="0" t="n">
        <v>15.3124310002208</v>
      </c>
      <c r="K19" s="0" t="n">
        <v>12.03</v>
      </c>
      <c r="L19" s="0" t="n">
        <v>1374</v>
      </c>
      <c r="M19" s="0" t="n">
        <v>161</v>
      </c>
      <c r="N19" s="0" t="n">
        <v>1213</v>
      </c>
      <c r="O19" s="0" t="n">
        <v>3743</v>
      </c>
      <c r="P19" s="0" t="n">
        <v>11304</v>
      </c>
      <c r="R19" s="0" t="n">
        <v>2871.5</v>
      </c>
      <c r="S19" s="0" t="n">
        <v>1072</v>
      </c>
      <c r="T19" s="0" t="n">
        <v>115.6</v>
      </c>
      <c r="U19" s="0" t="n">
        <v>88</v>
      </c>
      <c r="V19" s="0" t="n">
        <v>4.72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8264</v>
      </c>
      <c r="C20" s="0" t="n">
        <v>4413</v>
      </c>
      <c r="D20" s="0" t="n">
        <v>3851</v>
      </c>
      <c r="E20" s="0" t="n">
        <v>46.5997095837367</v>
      </c>
      <c r="F20" s="0" t="n">
        <v>1595</v>
      </c>
      <c r="G20" s="0" t="n">
        <v>19.3005808325266</v>
      </c>
      <c r="H20" s="0" t="n">
        <v>1912</v>
      </c>
      <c r="I20" s="0" t="n">
        <v>953</v>
      </c>
      <c r="J20" s="0" t="n">
        <v>11.5319457889642</v>
      </c>
      <c r="K20" s="0" t="n">
        <v>8.32</v>
      </c>
      <c r="L20" s="0" t="n">
        <v>864</v>
      </c>
      <c r="M20" s="0" t="n">
        <v>225</v>
      </c>
      <c r="N20" s="0" t="n">
        <v>639</v>
      </c>
      <c r="O20" s="0" t="n">
        <v>3675</v>
      </c>
      <c r="P20" s="0" t="n">
        <v>11232</v>
      </c>
      <c r="R20" s="0" t="n">
        <v>2868</v>
      </c>
      <c r="S20" s="0" t="n">
        <v>471</v>
      </c>
      <c r="T20" s="0" t="n">
        <v>114.5</v>
      </c>
      <c r="U20" s="0" t="n">
        <v>100</v>
      </c>
      <c r="V20" s="0" t="n">
        <v>5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8342</v>
      </c>
      <c r="C21" s="0" t="n">
        <v>4326</v>
      </c>
      <c r="D21" s="0" t="n">
        <v>4016</v>
      </c>
      <c r="E21" s="0" t="n">
        <v>48.1419323903141</v>
      </c>
      <c r="F21" s="0" t="n">
        <v>1703</v>
      </c>
      <c r="G21" s="0" t="n">
        <v>20.4147686406138</v>
      </c>
      <c r="H21" s="0" t="n">
        <v>2028</v>
      </c>
      <c r="I21" s="0" t="n">
        <v>869</v>
      </c>
      <c r="J21" s="0" t="n">
        <v>10.4171661472069</v>
      </c>
      <c r="K21" s="0" t="n">
        <v>7.69</v>
      </c>
      <c r="L21" s="0" t="n">
        <v>1544</v>
      </c>
      <c r="M21" s="0" t="n">
        <v>186</v>
      </c>
      <c r="N21" s="0" t="n">
        <v>1358</v>
      </c>
      <c r="O21" s="0" t="n">
        <v>3711</v>
      </c>
      <c r="P21" s="0" t="n">
        <v>11219</v>
      </c>
      <c r="R21" s="0" t="n">
        <v>2616</v>
      </c>
      <c r="S21" s="0" t="n">
        <v>468</v>
      </c>
      <c r="T21" s="0" t="n">
        <v>113.1</v>
      </c>
      <c r="U21" s="0" t="n">
        <v>85</v>
      </c>
      <c r="V21" s="0" t="n">
        <v>5.24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442.45</v>
      </c>
    </row>
    <row r="3" customFormat="false" ht="15" hidden="false" customHeight="false" outlineLevel="0" collapsed="false">
      <c r="A3" s="0" t="s">
        <v>86</v>
      </c>
      <c r="B3" s="3" t="n">
        <v>111.6</v>
      </c>
    </row>
    <row r="4" customFormat="false" ht="15" hidden="false" customHeight="false" outlineLevel="0" collapsed="false">
      <c r="A4" s="0" t="s">
        <v>87</v>
      </c>
      <c r="B4" s="3" t="n">
        <v>2779</v>
      </c>
    </row>
    <row r="5" customFormat="false" ht="15" hidden="false" customHeight="false" outlineLevel="0" collapsed="false">
      <c r="A5" s="0" t="s">
        <v>88</v>
      </c>
      <c r="B5" s="3" t="n">
        <v>-321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9050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2</v>
      </c>
      <c r="D13" s="3" t="n">
        <v>-7</v>
      </c>
      <c r="E13" s="3" t="n">
        <v>-2</v>
      </c>
      <c r="F13" s="3" t="n">
        <v>4</v>
      </c>
      <c r="G13" s="3" t="n">
        <v>5</v>
      </c>
      <c r="H13" s="3" t="n">
        <v>4</v>
      </c>
      <c r="I13" s="3" t="n">
        <v>3.5</v>
      </c>
      <c r="J13" s="3" t="n">
        <v>3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108</v>
      </c>
      <c r="C14" s="3" t="n">
        <v>27</v>
      </c>
      <c r="D14" s="3" t="n">
        <v>24</v>
      </c>
      <c r="E14" s="3" t="n">
        <v>23.5</v>
      </c>
      <c r="F14" s="3" t="n">
        <v>24.5</v>
      </c>
      <c r="G14" s="3" t="n">
        <v>25</v>
      </c>
      <c r="H14" s="3" t="n">
        <v>25.5</v>
      </c>
      <c r="I14" s="3" t="n">
        <v>25.5</v>
      </c>
      <c r="J14" s="3" t="n">
        <v>25.5</v>
      </c>
      <c r="K14" s="3" t="n">
        <v>25.5</v>
      </c>
      <c r="L14" s="3" t="n">
        <v>25.5</v>
      </c>
    </row>
    <row r="15" customFormat="false" ht="15" hidden="false" customHeight="false" outlineLevel="0" collapsed="false">
      <c r="A15" s="0" t="s">
        <v>109</v>
      </c>
      <c r="C15" s="3" t="n">
        <v>1</v>
      </c>
      <c r="D15" s="3" t="n">
        <v>1.1</v>
      </c>
      <c r="E15" s="3" t="n">
        <v>1.1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3.4</v>
      </c>
      <c r="D17" s="3" t="n">
        <v>3.6</v>
      </c>
      <c r="E17" s="3" t="n">
        <v>3.6</v>
      </c>
      <c r="F17" s="3" t="n">
        <v>3.4</v>
      </c>
      <c r="G17" s="3" t="n">
        <v>3.3</v>
      </c>
      <c r="H17" s="3" t="n">
        <v>3.2</v>
      </c>
      <c r="I17" s="3" t="n">
        <v>3.1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112</v>
      </c>
      <c r="C18" s="3" t="n">
        <v>3.2</v>
      </c>
      <c r="D18" s="3" t="n">
        <v>3</v>
      </c>
      <c r="E18" s="3" t="n">
        <v>2.7</v>
      </c>
      <c r="F18" s="3" t="n">
        <v>2.8</v>
      </c>
      <c r="G18" s="3" t="n">
        <v>2.9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113</v>
      </c>
      <c r="C19" s="3" t="n">
        <v>19</v>
      </c>
      <c r="D19" s="3" t="n">
        <v>19.5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114</v>
      </c>
      <c r="B20" s="3" t="n">
        <v>9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13</v>
      </c>
    </row>
    <row r="23" customFormat="false" ht="15" hidden="false" customHeight="false" outlineLevel="0" collapsed="false">
      <c r="A23" s="0" t="s">
        <v>117</v>
      </c>
      <c r="B23" s="3" t="n">
        <v>-15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7</v>
      </c>
      <c r="D27" s="3" t="n">
        <v>5.5</v>
      </c>
      <c r="E27" s="3" t="n">
        <v>3</v>
      </c>
      <c r="F27" s="3" t="n">
        <v>2</v>
      </c>
      <c r="G27" s="3" t="n">
        <v>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27.6</v>
      </c>
      <c r="D28" s="3" t="n">
        <v>27.8</v>
      </c>
      <c r="E28" s="3" t="n">
        <v>27</v>
      </c>
      <c r="F28" s="3" t="n">
        <v>26.6</v>
      </c>
      <c r="G28" s="3" t="n">
        <v>27.2</v>
      </c>
      <c r="H28" s="3" t="n">
        <v>27.5</v>
      </c>
      <c r="I28" s="3" t="n">
        <v>27.5</v>
      </c>
      <c r="J28" s="3" t="n">
        <v>27.5</v>
      </c>
      <c r="K28" s="3" t="n">
        <v>27.5</v>
      </c>
      <c r="L28" s="3" t="n">
        <v>27.5</v>
      </c>
    </row>
    <row r="29" customFormat="false" ht="15" hidden="false" customHeight="false" outlineLevel="0" collapsed="false">
      <c r="A29" s="0" t="s">
        <v>109</v>
      </c>
      <c r="C29" s="3" t="n">
        <v>1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3.4</v>
      </c>
      <c r="D31" s="3" t="n">
        <v>3.3</v>
      </c>
      <c r="E31" s="3" t="n">
        <v>3.3</v>
      </c>
      <c r="F31" s="3" t="n">
        <v>3.3</v>
      </c>
      <c r="G31" s="3" t="n">
        <v>3.2</v>
      </c>
      <c r="H31" s="3" t="n">
        <v>3.1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112</v>
      </c>
      <c r="C32" s="3" t="n">
        <v>3.2</v>
      </c>
      <c r="D32" s="3" t="n">
        <v>3.3</v>
      </c>
      <c r="E32" s="3" t="n">
        <v>3.2</v>
      </c>
      <c r="F32" s="3" t="n">
        <v>3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113</v>
      </c>
      <c r="C33" s="3" t="n">
        <v>19</v>
      </c>
      <c r="D33" s="3" t="n">
        <v>19.5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114</v>
      </c>
      <c r="B34" s="3" t="n">
        <v>9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16</v>
      </c>
    </row>
    <row r="37" customFormat="false" ht="15" hidden="false" customHeight="false" outlineLevel="0" collapsed="false">
      <c r="A37" s="0" t="s">
        <v>117</v>
      </c>
      <c r="B37" s="3" t="n">
        <v>-15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9</v>
      </c>
      <c r="D41" s="3" t="n">
        <v>8</v>
      </c>
      <c r="E41" s="3" t="n">
        <v>7</v>
      </c>
      <c r="F41" s="3" t="n">
        <v>6.5</v>
      </c>
      <c r="G41" s="3" t="n">
        <v>6</v>
      </c>
      <c r="H41" s="3" t="n">
        <v>6</v>
      </c>
      <c r="I41" s="3" t="n">
        <v>5.5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108</v>
      </c>
      <c r="C42" s="3" t="n">
        <v>28.5</v>
      </c>
      <c r="D42" s="3" t="n">
        <v>29.2</v>
      </c>
      <c r="E42" s="3" t="n">
        <v>29.8</v>
      </c>
      <c r="F42" s="3" t="n">
        <v>30.3</v>
      </c>
      <c r="G42" s="3" t="n">
        <v>30.7</v>
      </c>
      <c r="H42" s="3" t="n">
        <v>31</v>
      </c>
      <c r="I42" s="3" t="n">
        <v>31</v>
      </c>
      <c r="J42" s="3" t="n">
        <v>31</v>
      </c>
      <c r="K42" s="3" t="n">
        <v>31</v>
      </c>
      <c r="L42" s="3" t="n">
        <v>31</v>
      </c>
    </row>
    <row r="43" customFormat="false" ht="15" hidden="false" customHeight="false" outlineLevel="0" collapsed="false">
      <c r="A43" s="0" t="s">
        <v>109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3.4</v>
      </c>
      <c r="D45" s="3" t="n">
        <v>3.3</v>
      </c>
      <c r="E45" s="3" t="n">
        <v>3.2</v>
      </c>
      <c r="F45" s="3" t="n">
        <v>3.1</v>
      </c>
      <c r="G45" s="3" t="n">
        <v>3</v>
      </c>
      <c r="H45" s="3" t="n">
        <v>3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112</v>
      </c>
      <c r="C46" s="3" t="n">
        <v>3.3</v>
      </c>
      <c r="D46" s="3" t="n">
        <v>3.4</v>
      </c>
      <c r="E46" s="3" t="n">
        <v>3.3</v>
      </c>
      <c r="F46" s="3" t="n">
        <v>3.2</v>
      </c>
      <c r="G46" s="3" t="n">
        <v>3.1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113</v>
      </c>
      <c r="C47" s="3" t="n">
        <v>19</v>
      </c>
      <c r="D47" s="3" t="n">
        <v>19.5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114</v>
      </c>
      <c r="B48" s="3" t="n">
        <v>9</v>
      </c>
    </row>
    <row r="49" customFormat="false" ht="15" hidden="false" customHeight="false" outlineLevel="0" collapsed="false">
      <c r="A49" s="0" t="s">
        <v>115</v>
      </c>
      <c r="B49" s="3" t="n">
        <v>3.5</v>
      </c>
    </row>
    <row r="50" customFormat="false" ht="15" hidden="false" customHeight="false" outlineLevel="0" collapsed="false">
      <c r="A50" s="0" t="s">
        <v>116</v>
      </c>
      <c r="B50" s="3" t="n">
        <v>19</v>
      </c>
    </row>
    <row r="51" customFormat="false" ht="15" hidden="false" customHeight="false" outlineLevel="0" collapsed="false">
      <c r="A51" s="0" t="s">
        <v>117</v>
      </c>
      <c r="B51" s="3" t="n">
        <v>-15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2</v>
      </c>
      <c r="D5" s="4" t="n">
        <f aca="false">Assumptions!D13</f>
        <v>-7</v>
      </c>
      <c r="E5" s="4" t="n">
        <f aca="false">Assumptions!E13</f>
        <v>-2</v>
      </c>
      <c r="F5" s="4" t="n">
        <f aca="false">Assumptions!F13</f>
        <v>4</v>
      </c>
      <c r="G5" s="4" t="n">
        <f aca="false">Assumptions!G13</f>
        <v>5</v>
      </c>
      <c r="H5" s="4" t="n">
        <f aca="false">Assumptions!H13</f>
        <v>4</v>
      </c>
      <c r="I5" s="4" t="n">
        <f aca="false">Assumptions!I13</f>
        <v>3.5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9050</v>
      </c>
      <c r="C6" s="0" t="n">
        <f aca="false">B6*(1+C5/100)</f>
        <v>9231</v>
      </c>
      <c r="D6" s="0" t="n">
        <f aca="false">C6*(1+D5/100)</f>
        <v>8584.83</v>
      </c>
      <c r="E6" s="0" t="n">
        <f aca="false">D6*(1+E5/100)</f>
        <v>8413.1334</v>
      </c>
      <c r="F6" s="0" t="n">
        <f aca="false">E6*(1+F5/100)</f>
        <v>8749.658736</v>
      </c>
      <c r="G6" s="0" t="n">
        <f aca="false">F6*(1+G5/100)</f>
        <v>9187.1416728</v>
      </c>
      <c r="H6" s="0" t="n">
        <f aca="false">G6*(1+H5/100)</f>
        <v>9554.627339712</v>
      </c>
      <c r="I6" s="0" t="n">
        <f aca="false">H6*(1+I5/100)</f>
        <v>9889.03929660192</v>
      </c>
      <c r="J6" s="0" t="n">
        <f aca="false">I6*(1+J5/100)</f>
        <v>10185.7104755</v>
      </c>
      <c r="K6" s="0" t="n">
        <f aca="false">J6*(1+K5/100)</f>
        <v>10491.281789765</v>
      </c>
      <c r="L6" s="0" t="n">
        <f aca="false">K6*(1+L5/100)</f>
        <v>10753.5638345091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27</v>
      </c>
      <c r="D7" s="4" t="n">
        <f aca="false">Assumptions!D14</f>
        <v>24</v>
      </c>
      <c r="E7" s="4" t="n">
        <f aca="false">Assumptions!E14</f>
        <v>23.5</v>
      </c>
      <c r="F7" s="4" t="n">
        <f aca="false">Assumptions!F14</f>
        <v>24.5</v>
      </c>
      <c r="G7" s="4" t="n">
        <f aca="false">Assumptions!G14</f>
        <v>25</v>
      </c>
      <c r="H7" s="4" t="n">
        <f aca="false">Assumptions!H14</f>
        <v>25.5</v>
      </c>
      <c r="I7" s="4" t="n">
        <f aca="false">Assumptions!I14</f>
        <v>25.5</v>
      </c>
      <c r="J7" s="4" t="n">
        <f aca="false">Assumptions!J14</f>
        <v>25.5</v>
      </c>
      <c r="K7" s="4" t="n">
        <f aca="false">Assumptions!K14</f>
        <v>25.5</v>
      </c>
      <c r="L7" s="4" t="n">
        <f aca="false">Assumptions!L14</f>
        <v>25.5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2492.37</v>
      </c>
      <c r="D8" s="0" t="n">
        <f aca="false">D6*D7/100</f>
        <v>2060.3592</v>
      </c>
      <c r="E8" s="0" t="n">
        <f aca="false">E6*E7/100</f>
        <v>1977.086349</v>
      </c>
      <c r="F8" s="0" t="n">
        <f aca="false">F6*F7/100</f>
        <v>2143.66639032</v>
      </c>
      <c r="G8" s="0" t="n">
        <f aca="false">G6*G7/100</f>
        <v>2296.7854182</v>
      </c>
      <c r="H8" s="0" t="n">
        <f aca="false">H6*H7/100</f>
        <v>2436.42997162656</v>
      </c>
      <c r="I8" s="0" t="n">
        <f aca="false">I6*I7/100</f>
        <v>2521.70502063349</v>
      </c>
      <c r="J8" s="0" t="n">
        <f aca="false">J6*J7/100</f>
        <v>2597.35617125249</v>
      </c>
      <c r="K8" s="0" t="n">
        <f aca="false">K6*K7/100</f>
        <v>2675.27685639007</v>
      </c>
      <c r="L8" s="0" t="n">
        <f aca="false">L6*L7/100</f>
        <v>2742.15877779982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</v>
      </c>
      <c r="D9" s="4" t="n">
        <f aca="false">Assumptions!D15</f>
        <v>1.1</v>
      </c>
      <c r="E9" s="4" t="n">
        <f aca="false">Assumptions!E15</f>
        <v>1.1</v>
      </c>
      <c r="F9" s="4" t="n">
        <f aca="false">Assumptions!F15</f>
        <v>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-92.31</v>
      </c>
      <c r="D10" s="0" t="n">
        <f aca="false">-D6*D9/100</f>
        <v>-94.43313</v>
      </c>
      <c r="E10" s="0" t="n">
        <f aca="false">-E6*E9/100</f>
        <v>-92.5444674</v>
      </c>
      <c r="F10" s="0" t="n">
        <f aca="false">-F6*F9/100</f>
        <v>-87.49658736</v>
      </c>
      <c r="G10" s="0" t="n">
        <f aca="false">-G6*G9/100</f>
        <v>-91.871416728</v>
      </c>
      <c r="H10" s="0" t="n">
        <f aca="false">-H6*H9/100</f>
        <v>-95.54627339712</v>
      </c>
      <c r="I10" s="0" t="n">
        <f aca="false">-I6*I9/100</f>
        <v>-98.8903929660192</v>
      </c>
      <c r="J10" s="0" t="n">
        <f aca="false">-J6*J9/100</f>
        <v>-101.857104755</v>
      </c>
      <c r="K10" s="0" t="n">
        <f aca="false">-K6*K9/100</f>
        <v>-104.91281789765</v>
      </c>
      <c r="L10" s="0" t="n">
        <f aca="false">-L6*L9/100</f>
        <v>-107.535638345091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2400.06</v>
      </c>
      <c r="D11" s="0" t="n">
        <f aca="false">D8+D10+D24</f>
        <v>1965.92607</v>
      </c>
      <c r="E11" s="0" t="n">
        <f aca="false">E8+E10+E24</f>
        <v>1884.5418816</v>
      </c>
      <c r="F11" s="0" t="n">
        <f aca="false">F8+F10+F24</f>
        <v>2056.16980296</v>
      </c>
      <c r="G11" s="0" t="n">
        <f aca="false">G8+G10+G24</f>
        <v>2204.914001472</v>
      </c>
      <c r="H11" s="0" t="n">
        <f aca="false">H8+H10+H24</f>
        <v>2340.88369822944</v>
      </c>
      <c r="I11" s="0" t="n">
        <f aca="false">I8+I10+I24</f>
        <v>2422.81462766747</v>
      </c>
      <c r="J11" s="0" t="n">
        <f aca="false">J8+J10+J24</f>
        <v>2495.49906649749</v>
      </c>
      <c r="K11" s="0" t="n">
        <f aca="false">K8+K10+K24</f>
        <v>2570.36403849242</v>
      </c>
      <c r="L11" s="0" t="n">
        <f aca="false">L8+L10+L24</f>
        <v>2634.62313945473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-313.854</v>
      </c>
      <c r="D12" s="4" t="n">
        <f aca="false">-D6*Assumptions!D17/100</f>
        <v>-309.05388</v>
      </c>
      <c r="E12" s="4" t="n">
        <f aca="false">-E6*Assumptions!E17/100</f>
        <v>-302.8728024</v>
      </c>
      <c r="F12" s="4" t="n">
        <f aca="false">-F6*Assumptions!F17/100</f>
        <v>-297.488397024</v>
      </c>
      <c r="G12" s="4" t="n">
        <f aca="false">-G6*Assumptions!G17/100</f>
        <v>-303.1756752024</v>
      </c>
      <c r="H12" s="4" t="n">
        <f aca="false">-H6*Assumptions!H17/100</f>
        <v>-305.748074870784</v>
      </c>
      <c r="I12" s="4" t="n">
        <f aca="false">-I6*Assumptions!I17/100</f>
        <v>-306.56021819466</v>
      </c>
      <c r="J12" s="4" t="n">
        <f aca="false">-J6*Assumptions!J17/100</f>
        <v>-305.571314264999</v>
      </c>
      <c r="K12" s="4" t="n">
        <f aca="false">-K6*Assumptions!K17/100</f>
        <v>-314.738453692949</v>
      </c>
      <c r="L12" s="4" t="n">
        <f aca="false">-L6*Assumptions!L17/100</f>
        <v>-322.606915035273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2086.206</v>
      </c>
      <c r="D13" s="0" t="n">
        <f aca="false">D11+D12</f>
        <v>1656.87219</v>
      </c>
      <c r="E13" s="0" t="n">
        <f aca="false">E11+E12</f>
        <v>1581.6690792</v>
      </c>
      <c r="F13" s="0" t="n">
        <f aca="false">F11+F12</f>
        <v>1758.681405936</v>
      </c>
      <c r="G13" s="0" t="n">
        <f aca="false">G11+G12</f>
        <v>1901.7383262696</v>
      </c>
      <c r="H13" s="0" t="n">
        <f aca="false">H11+H12</f>
        <v>2035.13562335866</v>
      </c>
      <c r="I13" s="0" t="n">
        <f aca="false">I11+I12</f>
        <v>2116.25440947281</v>
      </c>
      <c r="J13" s="0" t="n">
        <f aca="false">J11+J12</f>
        <v>2189.9277522325</v>
      </c>
      <c r="K13" s="0" t="n">
        <f aca="false">K11+K12</f>
        <v>2255.62558479947</v>
      </c>
      <c r="L13" s="0" t="n">
        <f aca="false">L11+L12</f>
        <v>2312.01622441946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19</v>
      </c>
      <c r="D14" s="4" t="n">
        <f aca="false">Assumptions!D19</f>
        <v>19.5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1689.82686</v>
      </c>
      <c r="D15" s="0" t="n">
        <f aca="false">D13-MAX(0,D13)*D14/100</f>
        <v>1333.78211295</v>
      </c>
      <c r="E15" s="0" t="n">
        <f aca="false">E13-MAX(0,E13)*E14/100</f>
        <v>1265.33526336</v>
      </c>
      <c r="F15" s="0" t="n">
        <f aca="false">F13-MAX(0,F13)*F14/100</f>
        <v>1406.9451247488</v>
      </c>
      <c r="G15" s="0" t="n">
        <f aca="false">G13-MAX(0,G13)*G14/100</f>
        <v>1521.39066101568</v>
      </c>
      <c r="H15" s="0" t="n">
        <f aca="false">H13-MAX(0,H13)*H14/100</f>
        <v>1628.10849868693</v>
      </c>
      <c r="I15" s="0" t="n">
        <f aca="false">I13-MAX(0,I13)*I14/100</f>
        <v>1693.00352757825</v>
      </c>
      <c r="J15" s="0" t="n">
        <f aca="false">J13-MAX(0,J13)*J14/100</f>
        <v>1751.942201786</v>
      </c>
      <c r="K15" s="0" t="n">
        <f aca="false">K13-MAX(0,K13)*K14/100</f>
        <v>1804.50046783958</v>
      </c>
      <c r="L15" s="0" t="n">
        <f aca="false">L13-MAX(0,L13)*L14/100</f>
        <v>1849.61297953557</v>
      </c>
    </row>
    <row r="16" customFormat="false" ht="15" hidden="false" customHeight="false" outlineLevel="0" collapsed="false">
      <c r="A16" s="0" t="s">
        <v>129</v>
      </c>
      <c r="C16" s="0" t="n">
        <f aca="false">-C12</f>
        <v>313.854</v>
      </c>
      <c r="D16" s="0" t="n">
        <f aca="false">-D12</f>
        <v>309.05388</v>
      </c>
      <c r="E16" s="0" t="n">
        <f aca="false">-E12</f>
        <v>302.8728024</v>
      </c>
      <c r="F16" s="0" t="n">
        <f aca="false">-F12</f>
        <v>297.488397024</v>
      </c>
      <c r="G16" s="0" t="n">
        <f aca="false">-G12</f>
        <v>303.1756752024</v>
      </c>
      <c r="H16" s="0" t="n">
        <f aca="false">-H12</f>
        <v>305.748074870784</v>
      </c>
      <c r="I16" s="0" t="n">
        <f aca="false">-I12</f>
        <v>306.56021819466</v>
      </c>
      <c r="J16" s="0" t="n">
        <f aca="false">-J12</f>
        <v>305.571314264999</v>
      </c>
      <c r="K16" s="0" t="n">
        <f aca="false">-K12</f>
        <v>314.738453692949</v>
      </c>
      <c r="L16" s="0" t="n">
        <f aca="false">-L12</f>
        <v>322.606915035273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-295.392</v>
      </c>
      <c r="D17" s="4" t="n">
        <f aca="false">-D6*Assumptions!D18/100</f>
        <v>-257.5449</v>
      </c>
      <c r="E17" s="4" t="n">
        <f aca="false">-E6*Assumptions!E18/100</f>
        <v>-227.1546018</v>
      </c>
      <c r="F17" s="4" t="n">
        <f aca="false">-F6*Assumptions!F18/100</f>
        <v>-244.990444608</v>
      </c>
      <c r="G17" s="4" t="n">
        <f aca="false">-G6*Assumptions!G18/100</f>
        <v>-266.4271085112</v>
      </c>
      <c r="H17" s="4" t="n">
        <f aca="false">-H6*Assumptions!H18/100</f>
        <v>-286.63882019136</v>
      </c>
      <c r="I17" s="4" t="n">
        <f aca="false">-I6*Assumptions!I18/100</f>
        <v>-296.671178898058</v>
      </c>
      <c r="J17" s="4" t="n">
        <f aca="false">-J6*Assumptions!J18/100</f>
        <v>-305.571314264999</v>
      </c>
      <c r="K17" s="4" t="n">
        <f aca="false">-K6*Assumptions!K18/100</f>
        <v>-314.738453692949</v>
      </c>
      <c r="L17" s="4" t="n">
        <f aca="false">-L6*Assumptions!L18/100</f>
        <v>-322.606915035273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-27.15</v>
      </c>
      <c r="D18" s="4" t="n">
        <f aca="false">(D6-C6)*Assumptions!$B$23/100</f>
        <v>96.9255</v>
      </c>
      <c r="E18" s="4" t="n">
        <f aca="false">(E6-D6)*Assumptions!$B$23/100</f>
        <v>25.7544899999999</v>
      </c>
      <c r="F18" s="4" t="n">
        <f aca="false">(F6-E6)*Assumptions!$B$23/100</f>
        <v>-50.4788004000001</v>
      </c>
      <c r="G18" s="4" t="n">
        <f aca="false">(G6-F6)*Assumptions!$B$23/100</f>
        <v>-65.6224405200001</v>
      </c>
      <c r="H18" s="4" t="n">
        <f aca="false">(H6-G6)*Assumptions!$B$23/100</f>
        <v>-55.1228500368</v>
      </c>
      <c r="I18" s="4" t="n">
        <f aca="false">(I6-H6)*Assumptions!$B$23/100</f>
        <v>-50.1617935334878</v>
      </c>
      <c r="J18" s="4" t="n">
        <f aca="false">(J6-I6)*Assumptions!$B$23/100</f>
        <v>-44.5006768347086</v>
      </c>
      <c r="K18" s="4" t="n">
        <f aca="false">(K6-J6)*Assumptions!$B$23/100</f>
        <v>-45.83569713975</v>
      </c>
      <c r="L18" s="4" t="n">
        <f aca="false">(L6-K6)*Assumptions!$B$23/100</f>
        <v>-39.3423067116184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1681.13886</v>
      </c>
      <c r="D19" s="0" t="n">
        <f aca="false">D15+D16+D17+D18</f>
        <v>1482.21659295</v>
      </c>
      <c r="E19" s="0" t="n">
        <f aca="false">E15+E16+E17+E18</f>
        <v>1366.80795396</v>
      </c>
      <c r="F19" s="0" t="n">
        <f aca="false">F15+F16+F17+F18</f>
        <v>1408.9642767648</v>
      </c>
      <c r="G19" s="0" t="n">
        <f aca="false">G15+G16+G17+G18</f>
        <v>1492.51678718688</v>
      </c>
      <c r="H19" s="0" t="n">
        <f aca="false">H15+H16+H17+H18</f>
        <v>1592.09490332955</v>
      </c>
      <c r="I19" s="0" t="n">
        <f aca="false">I15+I16+I17+I18</f>
        <v>1652.73077334136</v>
      </c>
      <c r="J19" s="0" t="n">
        <f aca="false">J15+J16+J17+J18</f>
        <v>1707.44152495129</v>
      </c>
      <c r="K19" s="0" t="n">
        <f aca="false">K15+K16+K17+K18</f>
        <v>1758.66477069983</v>
      </c>
      <c r="L19" s="0" t="n">
        <f aca="false">L15+L16+L17+L18</f>
        <v>1810.27067282395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1542.3292293578</v>
      </c>
      <c r="D21" s="0" t="n">
        <f aca="false">D19*D20</f>
        <v>1247.55205197374</v>
      </c>
      <c r="E21" s="0" t="n">
        <f aca="false">E19*E20</f>
        <v>1055.42652246398</v>
      </c>
      <c r="F21" s="0" t="n">
        <f aca="false">F19*F20</f>
        <v>998.145815150425</v>
      </c>
      <c r="G21" s="0" t="n">
        <f aca="false">G19*G20</f>
        <v>970.033504569922</v>
      </c>
      <c r="H21" s="0" t="n">
        <f aca="false">H19*H20</f>
        <v>949.314172146334</v>
      </c>
      <c r="I21" s="0" t="n">
        <f aca="false">I19*I20</f>
        <v>904.100330524104</v>
      </c>
      <c r="J21" s="0" t="n">
        <f aca="false">J19*J20</f>
        <v>856.9073258861</v>
      </c>
      <c r="K21" s="0" t="n">
        <f aca="false">K19*K20</f>
        <v>809.738115286865</v>
      </c>
      <c r="L21" s="0" t="n">
        <f aca="false">L19*L20</f>
        <v>764.677895607165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10098.2249629664</v>
      </c>
    </row>
    <row r="31" customFormat="false" ht="15" hidden="false" customHeight="false" outlineLevel="0" collapsed="false">
      <c r="A31" s="0" t="s">
        <v>138</v>
      </c>
      <c r="B31" s="0" t="n">
        <f aca="false">L19</f>
        <v>1810.27067282395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28546.5759945315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23533.5187467113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23533.5187467113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9940.81264289315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20039.0376058596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16939.0376058596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151.783491091932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-0.656947697837198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613.241954360213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716.304940884272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163.696993737492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14844.2195171564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75.3889247277585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7</v>
      </c>
      <c r="D5" s="4" t="n">
        <f aca="false">Assumptions!D27</f>
        <v>5.5</v>
      </c>
      <c r="E5" s="4" t="n">
        <f aca="false">Assumptions!E27</f>
        <v>3</v>
      </c>
      <c r="F5" s="4" t="n">
        <f aca="false">Assumptions!F27</f>
        <v>2</v>
      </c>
      <c r="G5" s="4" t="n">
        <f aca="false">Assumptions!G27</f>
        <v>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9050</v>
      </c>
      <c r="C6" s="0" t="n">
        <f aca="false">B6*(1+C5/100)</f>
        <v>9683.5</v>
      </c>
      <c r="D6" s="0" t="n">
        <f aca="false">C6*(1+D5/100)</f>
        <v>10216.0925</v>
      </c>
      <c r="E6" s="0" t="n">
        <f aca="false">D6*(1+E5/100)</f>
        <v>10522.575275</v>
      </c>
      <c r="F6" s="0" t="n">
        <f aca="false">E6*(1+F5/100)</f>
        <v>10733.0267805</v>
      </c>
      <c r="G6" s="0" t="n">
        <f aca="false">F6*(1+G5/100)</f>
        <v>11269.678119525</v>
      </c>
      <c r="H6" s="0" t="n">
        <f aca="false">G6*(1+H5/100)</f>
        <v>11833.1620255013</v>
      </c>
      <c r="I6" s="0" t="n">
        <f aca="false">H6*(1+I5/100)</f>
        <v>12365.6543166488</v>
      </c>
      <c r="J6" s="0" t="n">
        <f aca="false">I6*(1+J5/100)</f>
        <v>12860.2804893148</v>
      </c>
      <c r="K6" s="0" t="n">
        <f aca="false">J6*(1+K5/100)</f>
        <v>13310.3903064408</v>
      </c>
      <c r="L6" s="0" t="n">
        <f aca="false">K6*(1+L5/100)</f>
        <v>13709.702015634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27.6</v>
      </c>
      <c r="D7" s="4" t="n">
        <f aca="false">Assumptions!D28</f>
        <v>27.8</v>
      </c>
      <c r="E7" s="4" t="n">
        <f aca="false">Assumptions!E28</f>
        <v>27</v>
      </c>
      <c r="F7" s="4" t="n">
        <f aca="false">Assumptions!F28</f>
        <v>26.6</v>
      </c>
      <c r="G7" s="4" t="n">
        <f aca="false">Assumptions!G28</f>
        <v>27.2</v>
      </c>
      <c r="H7" s="4" t="n">
        <f aca="false">Assumptions!H28</f>
        <v>27.5</v>
      </c>
      <c r="I7" s="4" t="n">
        <f aca="false">Assumptions!I28</f>
        <v>27.5</v>
      </c>
      <c r="J7" s="4" t="n">
        <f aca="false">Assumptions!J28</f>
        <v>27.5</v>
      </c>
      <c r="K7" s="4" t="n">
        <f aca="false">Assumptions!K28</f>
        <v>27.5</v>
      </c>
      <c r="L7" s="4" t="n">
        <f aca="false">Assumptions!L28</f>
        <v>27.5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2672.646</v>
      </c>
      <c r="D8" s="0" t="n">
        <f aca="false">D6*D7/100</f>
        <v>2840.073715</v>
      </c>
      <c r="E8" s="0" t="n">
        <f aca="false">E6*E7/100</f>
        <v>2841.09532425</v>
      </c>
      <c r="F8" s="0" t="n">
        <f aca="false">F6*F7/100</f>
        <v>2854.985123613</v>
      </c>
      <c r="G8" s="0" t="n">
        <f aca="false">G6*G7/100</f>
        <v>3065.3524485108</v>
      </c>
      <c r="H8" s="0" t="n">
        <f aca="false">H6*H7/100</f>
        <v>3254.11955701284</v>
      </c>
      <c r="I8" s="0" t="n">
        <f aca="false">I6*I7/100</f>
        <v>3400.55493707842</v>
      </c>
      <c r="J8" s="0" t="n">
        <f aca="false">J6*J7/100</f>
        <v>3536.57713456156</v>
      </c>
      <c r="K8" s="0" t="n">
        <f aca="false">K6*K7/100</f>
        <v>3660.35733427121</v>
      </c>
      <c r="L8" s="0" t="n">
        <f aca="false">L6*L7/100</f>
        <v>3770.16805429935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</v>
      </c>
      <c r="D9" s="4" t="n">
        <f aca="false">Assumptions!D29</f>
        <v>1</v>
      </c>
      <c r="E9" s="4" t="n">
        <f aca="false">Assumptions!E29</f>
        <v>1</v>
      </c>
      <c r="F9" s="4" t="n">
        <f aca="false">Assumptions!F29</f>
        <v>1</v>
      </c>
      <c r="G9" s="4" t="n">
        <f aca="false">Assumptions!G29</f>
        <v>1</v>
      </c>
      <c r="H9" s="4" t="n">
        <f aca="false">Assumptions!H29</f>
        <v>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-96.835</v>
      </c>
      <c r="D10" s="0" t="n">
        <f aca="false">-D6*D9/100</f>
        <v>-102.160925</v>
      </c>
      <c r="E10" s="0" t="n">
        <f aca="false">-E6*E9/100</f>
        <v>-105.22575275</v>
      </c>
      <c r="F10" s="0" t="n">
        <f aca="false">-F6*F9/100</f>
        <v>-107.330267805</v>
      </c>
      <c r="G10" s="0" t="n">
        <f aca="false">-G6*G9/100</f>
        <v>-112.69678119525</v>
      </c>
      <c r="H10" s="0" t="n">
        <f aca="false">-H6*H9/100</f>
        <v>-118.331620255013</v>
      </c>
      <c r="I10" s="0" t="n">
        <f aca="false">-I6*I9/100</f>
        <v>-123.656543166488</v>
      </c>
      <c r="J10" s="0" t="n">
        <f aca="false">-J6*J9/100</f>
        <v>-128.602804893148</v>
      </c>
      <c r="K10" s="0" t="n">
        <f aca="false">-K6*K9/100</f>
        <v>-133.103903064408</v>
      </c>
      <c r="L10" s="0" t="n">
        <f aca="false">-L6*L9/100</f>
        <v>-137.09702015634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2575.811</v>
      </c>
      <c r="D11" s="0" t="n">
        <f aca="false">D8+D10+D24</f>
        <v>2737.91279</v>
      </c>
      <c r="E11" s="0" t="n">
        <f aca="false">E8+E10+E24</f>
        <v>2735.8695715</v>
      </c>
      <c r="F11" s="0" t="n">
        <f aca="false">F8+F10+F24</f>
        <v>2747.654855808</v>
      </c>
      <c r="G11" s="0" t="n">
        <f aca="false">G8+G10+G24</f>
        <v>2952.65566731555</v>
      </c>
      <c r="H11" s="0" t="n">
        <f aca="false">H8+H10+H24</f>
        <v>3135.78793675783</v>
      </c>
      <c r="I11" s="0" t="n">
        <f aca="false">I8+I10+I24</f>
        <v>3276.89839391193</v>
      </c>
      <c r="J11" s="0" t="n">
        <f aca="false">J8+J10+J24</f>
        <v>3407.97432966841</v>
      </c>
      <c r="K11" s="0" t="n">
        <f aca="false">K8+K10+K24</f>
        <v>3527.25343120681</v>
      </c>
      <c r="L11" s="0" t="n">
        <f aca="false">L8+L10+L24</f>
        <v>3633.07103414301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-329.239</v>
      </c>
      <c r="D12" s="4" t="n">
        <f aca="false">-D6*Assumptions!D31/100</f>
        <v>-337.1310525</v>
      </c>
      <c r="E12" s="4" t="n">
        <f aca="false">-E6*Assumptions!E31/100</f>
        <v>-347.244984075</v>
      </c>
      <c r="F12" s="4" t="n">
        <f aca="false">-F6*Assumptions!F31/100</f>
        <v>-354.1898837565</v>
      </c>
      <c r="G12" s="4" t="n">
        <f aca="false">-G6*Assumptions!G31/100</f>
        <v>-360.6296998248</v>
      </c>
      <c r="H12" s="4" t="n">
        <f aca="false">-H6*Assumptions!H31/100</f>
        <v>-366.828022790539</v>
      </c>
      <c r="I12" s="4" t="n">
        <f aca="false">-I6*Assumptions!I31/100</f>
        <v>-370.969629499464</v>
      </c>
      <c r="J12" s="4" t="n">
        <f aca="false">-J6*Assumptions!J31/100</f>
        <v>-385.808414679443</v>
      </c>
      <c r="K12" s="4" t="n">
        <f aca="false">-K6*Assumptions!K31/100</f>
        <v>-399.311709193223</v>
      </c>
      <c r="L12" s="4" t="n">
        <f aca="false">-L6*Assumptions!L31/100</f>
        <v>-411.29106046902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2246.572</v>
      </c>
      <c r="D13" s="0" t="n">
        <f aca="false">D11+D12</f>
        <v>2400.7817375</v>
      </c>
      <c r="E13" s="0" t="n">
        <f aca="false">E11+E12</f>
        <v>2388.624587425</v>
      </c>
      <c r="F13" s="0" t="n">
        <f aca="false">F11+F12</f>
        <v>2393.4649720515</v>
      </c>
      <c r="G13" s="0" t="n">
        <f aca="false">G11+G12</f>
        <v>2592.02596749075</v>
      </c>
      <c r="H13" s="0" t="n">
        <f aca="false">H11+H12</f>
        <v>2768.95991396729</v>
      </c>
      <c r="I13" s="0" t="n">
        <f aca="false">I11+I12</f>
        <v>2905.92876441247</v>
      </c>
      <c r="J13" s="0" t="n">
        <f aca="false">J11+J12</f>
        <v>3022.16591498897</v>
      </c>
      <c r="K13" s="0" t="n">
        <f aca="false">K11+K12</f>
        <v>3127.94172201358</v>
      </c>
      <c r="L13" s="0" t="n">
        <f aca="false">L11+L12</f>
        <v>3221.77997367399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19</v>
      </c>
      <c r="D14" s="4" t="n">
        <f aca="false">Assumptions!D33</f>
        <v>19.5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1819.72332</v>
      </c>
      <c r="D15" s="0" t="n">
        <f aca="false">D13-MAX(0,D13)*D14/100</f>
        <v>1932.6292986875</v>
      </c>
      <c r="E15" s="0" t="n">
        <f aca="false">E13-MAX(0,E13)*E14/100</f>
        <v>1910.89966994</v>
      </c>
      <c r="F15" s="0" t="n">
        <f aca="false">F13-MAX(0,F13)*F14/100</f>
        <v>1914.7719776412</v>
      </c>
      <c r="G15" s="0" t="n">
        <f aca="false">G13-MAX(0,G13)*G14/100</f>
        <v>2073.6207739926</v>
      </c>
      <c r="H15" s="0" t="n">
        <f aca="false">H13-MAX(0,H13)*H14/100</f>
        <v>2215.16793117383</v>
      </c>
      <c r="I15" s="0" t="n">
        <f aca="false">I13-MAX(0,I13)*I14/100</f>
        <v>2324.74301152998</v>
      </c>
      <c r="J15" s="0" t="n">
        <f aca="false">J13-MAX(0,J13)*J14/100</f>
        <v>2417.73273199117</v>
      </c>
      <c r="K15" s="0" t="n">
        <f aca="false">K13-MAX(0,K13)*K14/100</f>
        <v>2502.35337761087</v>
      </c>
      <c r="L15" s="0" t="n">
        <f aca="false">L13-MAX(0,L13)*L14/100</f>
        <v>2577.42397893919</v>
      </c>
    </row>
    <row r="16" customFormat="false" ht="15" hidden="false" customHeight="false" outlineLevel="0" collapsed="false">
      <c r="A16" s="0" t="s">
        <v>129</v>
      </c>
      <c r="C16" s="0" t="n">
        <f aca="false">-C12</f>
        <v>329.239</v>
      </c>
      <c r="D16" s="0" t="n">
        <f aca="false">-D12</f>
        <v>337.1310525</v>
      </c>
      <c r="E16" s="0" t="n">
        <f aca="false">-E12</f>
        <v>347.244984075</v>
      </c>
      <c r="F16" s="0" t="n">
        <f aca="false">-F12</f>
        <v>354.1898837565</v>
      </c>
      <c r="G16" s="0" t="n">
        <f aca="false">-G12</f>
        <v>360.6296998248</v>
      </c>
      <c r="H16" s="0" t="n">
        <f aca="false">-H12</f>
        <v>366.828022790539</v>
      </c>
      <c r="I16" s="0" t="n">
        <f aca="false">-I12</f>
        <v>370.969629499464</v>
      </c>
      <c r="J16" s="0" t="n">
        <f aca="false">-J12</f>
        <v>385.808414679443</v>
      </c>
      <c r="K16" s="0" t="n">
        <f aca="false">-K12</f>
        <v>399.311709193223</v>
      </c>
      <c r="L16" s="0" t="n">
        <f aca="false">-L12</f>
        <v>411.29106046902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-309.872</v>
      </c>
      <c r="D17" s="4" t="n">
        <f aca="false">-D6*Assumptions!D32/100</f>
        <v>-337.1310525</v>
      </c>
      <c r="E17" s="4" t="n">
        <f aca="false">-E6*Assumptions!E32/100</f>
        <v>-336.7224088</v>
      </c>
      <c r="F17" s="4" t="n">
        <f aca="false">-F6*Assumptions!F32/100</f>
        <v>-321.990803415</v>
      </c>
      <c r="G17" s="4" t="n">
        <f aca="false">-G6*Assumptions!G32/100</f>
        <v>-338.09034358575</v>
      </c>
      <c r="H17" s="4" t="n">
        <f aca="false">-H6*Assumptions!H32/100</f>
        <v>-354.994860765038</v>
      </c>
      <c r="I17" s="4" t="n">
        <f aca="false">-I6*Assumptions!I32/100</f>
        <v>-370.969629499464</v>
      </c>
      <c r="J17" s="4" t="n">
        <f aca="false">-J6*Assumptions!J32/100</f>
        <v>-385.808414679443</v>
      </c>
      <c r="K17" s="4" t="n">
        <f aca="false">-K6*Assumptions!K32/100</f>
        <v>-399.311709193223</v>
      </c>
      <c r="L17" s="4" t="n">
        <f aca="false">-L6*Assumptions!L32/100</f>
        <v>-411.29106046902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-95.025</v>
      </c>
      <c r="D18" s="4" t="n">
        <f aca="false">(D6-C6)*Assumptions!$B$37/100</f>
        <v>-79.8888749999998</v>
      </c>
      <c r="E18" s="4" t="n">
        <f aca="false">(E6-D6)*Assumptions!$B$37/100</f>
        <v>-45.9724162500001</v>
      </c>
      <c r="F18" s="4" t="n">
        <f aca="false">(F6-E6)*Assumptions!$B$37/100</f>
        <v>-31.5677258250002</v>
      </c>
      <c r="G18" s="4" t="n">
        <f aca="false">(G6-F6)*Assumptions!$B$37/100</f>
        <v>-80.49770085375</v>
      </c>
      <c r="H18" s="4" t="n">
        <f aca="false">(H6-G6)*Assumptions!$B$37/100</f>
        <v>-84.5225858964376</v>
      </c>
      <c r="I18" s="4" t="n">
        <f aca="false">(I6-H6)*Assumptions!$B$37/100</f>
        <v>-79.8738436721333</v>
      </c>
      <c r="J18" s="4" t="n">
        <f aca="false">(J6-I6)*Assumptions!$B$37/100</f>
        <v>-74.1939258998928</v>
      </c>
      <c r="K18" s="4" t="n">
        <f aca="false">(K6-J6)*Assumptions!$B$37/100</f>
        <v>-67.5164725689025</v>
      </c>
      <c r="L18" s="4" t="n">
        <f aca="false">(L6-K6)*Assumptions!$B$37/100</f>
        <v>-59.8967563789835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1744.06532</v>
      </c>
      <c r="D19" s="0" t="n">
        <f aca="false">D15+D16+D17+D18</f>
        <v>1852.7404236875</v>
      </c>
      <c r="E19" s="0" t="n">
        <f aca="false">E15+E16+E17+E18</f>
        <v>1875.449828965</v>
      </c>
      <c r="F19" s="0" t="n">
        <f aca="false">F15+F16+F17+F18</f>
        <v>1915.4033321577</v>
      </c>
      <c r="G19" s="0" t="n">
        <f aca="false">G15+G16+G17+G18</f>
        <v>2015.6624293779</v>
      </c>
      <c r="H19" s="0" t="n">
        <f aca="false">H15+H16+H17+H18</f>
        <v>2142.4785073029</v>
      </c>
      <c r="I19" s="0" t="n">
        <f aca="false">I15+I16+I17+I18</f>
        <v>2244.86916785784</v>
      </c>
      <c r="J19" s="0" t="n">
        <f aca="false">J15+J16+J17+J18</f>
        <v>2343.53880609128</v>
      </c>
      <c r="K19" s="0" t="n">
        <f aca="false">K15+K16+K17+K18</f>
        <v>2434.83690504196</v>
      </c>
      <c r="L19" s="0" t="n">
        <f aca="false">L15+L16+L17+L18</f>
        <v>2517.52722256021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1600.0599266055</v>
      </c>
      <c r="D21" s="0" t="n">
        <f aca="false">D19*D20</f>
        <v>1559.41454733398</v>
      </c>
      <c r="E21" s="0" t="n">
        <f aca="false">E19*E20</f>
        <v>1448.19137561012</v>
      </c>
      <c r="F21" s="0" t="n">
        <f aca="false">F19*F20</f>
        <v>1356.9200098588</v>
      </c>
      <c r="G21" s="0" t="n">
        <f aca="false">G19*G20</f>
        <v>1310.04227703507</v>
      </c>
      <c r="H21" s="0" t="n">
        <f aca="false">H19*H20</f>
        <v>1277.48993244567</v>
      </c>
      <c r="I21" s="0" t="n">
        <f aca="false">I19*I20</f>
        <v>1228.02031001116</v>
      </c>
      <c r="J21" s="0" t="n">
        <f aca="false">J19*J20</f>
        <v>1176.14310188179</v>
      </c>
      <c r="K21" s="0" t="n">
        <f aca="false">K19*K20</f>
        <v>1121.06654967281</v>
      </c>
      <c r="L21" s="0" t="n">
        <f aca="false">L19*L20</f>
        <v>1063.43070546352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13140.7787359184</v>
      </c>
    </row>
    <row r="31" customFormat="false" ht="15" hidden="false" customHeight="false" outlineLevel="0" collapsed="false">
      <c r="A31" s="0" t="s">
        <v>138</v>
      </c>
      <c r="B31" s="0" t="n">
        <f aca="false">L19</f>
        <v>2517.52722256021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43217.5506539502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40280.4355609633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40280.4355609633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17014.8912874163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30155.6700233348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27055.6700233348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242.434319205509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-0.452063918622424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727.299538308058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994.143346574185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257.859434661443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21608.7753269751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110.573551822339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9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6</v>
      </c>
      <c r="I5" s="4" t="n">
        <f aca="false">Assumptions!I41</f>
        <v>5.5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9050</v>
      </c>
      <c r="C6" s="0" t="n">
        <f aca="false">B6*(1+C5/100)</f>
        <v>9864.5</v>
      </c>
      <c r="D6" s="0" t="n">
        <f aca="false">C6*(1+D5/100)</f>
        <v>10653.66</v>
      </c>
      <c r="E6" s="0" t="n">
        <f aca="false">D6*(1+E5/100)</f>
        <v>11399.4162</v>
      </c>
      <c r="F6" s="0" t="n">
        <f aca="false">E6*(1+F5/100)</f>
        <v>12140.378253</v>
      </c>
      <c r="G6" s="0" t="n">
        <f aca="false">F6*(1+G5/100)</f>
        <v>12868.80094818</v>
      </c>
      <c r="H6" s="0" t="n">
        <f aca="false">G6*(1+H5/100)</f>
        <v>13640.9290050708</v>
      </c>
      <c r="I6" s="0" t="n">
        <f aca="false">H6*(1+I5/100)</f>
        <v>14391.1801003497</v>
      </c>
      <c r="J6" s="0" t="n">
        <f aca="false">I6*(1+J5/100)</f>
        <v>15110.7391053672</v>
      </c>
      <c r="K6" s="0" t="n">
        <f aca="false">J6*(1+K5/100)</f>
        <v>15790.7223651087</v>
      </c>
      <c r="L6" s="0" t="n">
        <f aca="false">K6*(1+L5/100)</f>
        <v>16422.3512597131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28.5</v>
      </c>
      <c r="D7" s="4" t="n">
        <f aca="false">Assumptions!D42</f>
        <v>29.2</v>
      </c>
      <c r="E7" s="4" t="n">
        <f aca="false">Assumptions!E42</f>
        <v>29.8</v>
      </c>
      <c r="F7" s="4" t="n">
        <f aca="false">Assumptions!F42</f>
        <v>30.3</v>
      </c>
      <c r="G7" s="4" t="n">
        <f aca="false">Assumptions!G42</f>
        <v>30.7</v>
      </c>
      <c r="H7" s="4" t="n">
        <f aca="false">Assumptions!H42</f>
        <v>31</v>
      </c>
      <c r="I7" s="4" t="n">
        <f aca="false">Assumptions!I42</f>
        <v>31</v>
      </c>
      <c r="J7" s="4" t="n">
        <f aca="false">Assumptions!J42</f>
        <v>31</v>
      </c>
      <c r="K7" s="4" t="n">
        <f aca="false">Assumptions!K42</f>
        <v>31</v>
      </c>
      <c r="L7" s="4" t="n">
        <f aca="false">Assumptions!L42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2811.3825</v>
      </c>
      <c r="D8" s="0" t="n">
        <f aca="false">D6*D7/100</f>
        <v>3110.86872</v>
      </c>
      <c r="E8" s="0" t="n">
        <f aca="false">E6*E7/100</f>
        <v>3397.0260276</v>
      </c>
      <c r="F8" s="0" t="n">
        <f aca="false">F6*F7/100</f>
        <v>3678.534610659</v>
      </c>
      <c r="G8" s="0" t="n">
        <f aca="false">G6*G7/100</f>
        <v>3950.72189109126</v>
      </c>
      <c r="H8" s="0" t="n">
        <f aca="false">H6*H7/100</f>
        <v>4228.68799157195</v>
      </c>
      <c r="I8" s="0" t="n">
        <f aca="false">I6*I7/100</f>
        <v>4461.26583110841</v>
      </c>
      <c r="J8" s="0" t="n">
        <f aca="false">J6*J7/100</f>
        <v>4684.32912266383</v>
      </c>
      <c r="K8" s="0" t="n">
        <f aca="false">K6*K7/100</f>
        <v>4895.1239331837</v>
      </c>
      <c r="L8" s="0" t="n">
        <f aca="false">L6*L7/100</f>
        <v>5090.92889051105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</v>
      </c>
      <c r="D9" s="4" t="n">
        <f aca="false">Assumptions!D43</f>
        <v>1</v>
      </c>
      <c r="E9" s="4" t="n">
        <f aca="false">Assumptions!E43</f>
        <v>1</v>
      </c>
      <c r="F9" s="4" t="n">
        <f aca="false">Assumptions!F43</f>
        <v>1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-98.645</v>
      </c>
      <c r="D10" s="0" t="n">
        <f aca="false">-D6*D9/100</f>
        <v>-106.5366</v>
      </c>
      <c r="E10" s="0" t="n">
        <f aca="false">-E6*E9/100</f>
        <v>-113.994162</v>
      </c>
      <c r="F10" s="0" t="n">
        <f aca="false">-F6*F9/100</f>
        <v>-121.40378253</v>
      </c>
      <c r="G10" s="0" t="n">
        <f aca="false">-G6*G9/100</f>
        <v>-128.6880094818</v>
      </c>
      <c r="H10" s="0" t="n">
        <f aca="false">-H6*H9/100</f>
        <v>-136.409290050708</v>
      </c>
      <c r="I10" s="0" t="n">
        <f aca="false">-I6*I9/100</f>
        <v>-143.911801003497</v>
      </c>
      <c r="J10" s="0" t="n">
        <f aca="false">-J6*J9/100</f>
        <v>-151.107391053672</v>
      </c>
      <c r="K10" s="0" t="n">
        <f aca="false">-K6*K9/100</f>
        <v>-157.907223651087</v>
      </c>
      <c r="L10" s="0" t="n">
        <f aca="false">-L6*L9/100</f>
        <v>-164.223512597131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2712.7375</v>
      </c>
      <c r="D11" s="0" t="n">
        <f aca="false">D8+D10+D24</f>
        <v>3004.33212</v>
      </c>
      <c r="E11" s="0" t="n">
        <f aca="false">E8+E10+E24</f>
        <v>3283.0318656</v>
      </c>
      <c r="F11" s="0" t="n">
        <f aca="false">F8+F10+F24</f>
        <v>3557.130828129</v>
      </c>
      <c r="G11" s="0" t="n">
        <f aca="false">G8+G10+G24</f>
        <v>3822.03388160946</v>
      </c>
      <c r="H11" s="0" t="n">
        <f aca="false">H8+H10+H24</f>
        <v>4092.27870152124</v>
      </c>
      <c r="I11" s="0" t="n">
        <f aca="false">I8+I10+I24</f>
        <v>4317.35403010491</v>
      </c>
      <c r="J11" s="0" t="n">
        <f aca="false">J8+J10+J24</f>
        <v>4533.22173161015</v>
      </c>
      <c r="K11" s="0" t="n">
        <f aca="false">K8+K10+K24</f>
        <v>4737.21670953261</v>
      </c>
      <c r="L11" s="0" t="n">
        <f aca="false">L8+L10+L24</f>
        <v>4926.70537791392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-335.393</v>
      </c>
      <c r="D12" s="4" t="n">
        <f aca="false">-D6*Assumptions!D45/100</f>
        <v>-351.57078</v>
      </c>
      <c r="E12" s="4" t="n">
        <f aca="false">-E6*Assumptions!E45/100</f>
        <v>-364.7813184</v>
      </c>
      <c r="F12" s="4" t="n">
        <f aca="false">-F6*Assumptions!F45/100</f>
        <v>-376.351725843</v>
      </c>
      <c r="G12" s="4" t="n">
        <f aca="false">-G6*Assumptions!G45/100</f>
        <v>-386.0640284454</v>
      </c>
      <c r="H12" s="4" t="n">
        <f aca="false">-H6*Assumptions!H45/100</f>
        <v>-409.227870152124</v>
      </c>
      <c r="I12" s="4" t="n">
        <f aca="false">-I6*Assumptions!I45/100</f>
        <v>-431.735403010491</v>
      </c>
      <c r="J12" s="4" t="n">
        <f aca="false">-J6*Assumptions!J45/100</f>
        <v>-453.322173161015</v>
      </c>
      <c r="K12" s="4" t="n">
        <f aca="false">-K6*Assumptions!K45/100</f>
        <v>-473.721670953261</v>
      </c>
      <c r="L12" s="4" t="n">
        <f aca="false">-L6*Assumptions!L45/100</f>
        <v>-492.670537791392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2377.3445</v>
      </c>
      <c r="D13" s="0" t="n">
        <f aca="false">D11+D12</f>
        <v>2652.76134</v>
      </c>
      <c r="E13" s="0" t="n">
        <f aca="false">E11+E12</f>
        <v>2918.2505472</v>
      </c>
      <c r="F13" s="0" t="n">
        <f aca="false">F11+F12</f>
        <v>3180.779102286</v>
      </c>
      <c r="G13" s="0" t="n">
        <f aca="false">G11+G12</f>
        <v>3435.96985316406</v>
      </c>
      <c r="H13" s="0" t="n">
        <f aca="false">H11+H12</f>
        <v>3683.05083136912</v>
      </c>
      <c r="I13" s="0" t="n">
        <f aca="false">I11+I12</f>
        <v>3885.61862709442</v>
      </c>
      <c r="J13" s="0" t="n">
        <f aca="false">J11+J12</f>
        <v>4079.89955844914</v>
      </c>
      <c r="K13" s="0" t="n">
        <f aca="false">K11+K12</f>
        <v>4263.49503857935</v>
      </c>
      <c r="L13" s="0" t="n">
        <f aca="false">L11+L12</f>
        <v>4434.03484012252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19</v>
      </c>
      <c r="D14" s="4" t="n">
        <f aca="false">Assumptions!D47</f>
        <v>19.5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1925.649045</v>
      </c>
      <c r="D15" s="0" t="n">
        <f aca="false">D13-MAX(0,D13)*D14/100</f>
        <v>2135.4728787</v>
      </c>
      <c r="E15" s="0" t="n">
        <f aca="false">E13-MAX(0,E13)*E14/100</f>
        <v>2334.60043776</v>
      </c>
      <c r="F15" s="0" t="n">
        <f aca="false">F13-MAX(0,F13)*F14/100</f>
        <v>2544.6232818288</v>
      </c>
      <c r="G15" s="0" t="n">
        <f aca="false">G13-MAX(0,G13)*G14/100</f>
        <v>2748.77588253125</v>
      </c>
      <c r="H15" s="0" t="n">
        <f aca="false">H13-MAX(0,H13)*H14/100</f>
        <v>2946.44066509529</v>
      </c>
      <c r="I15" s="0" t="n">
        <f aca="false">I13-MAX(0,I13)*I14/100</f>
        <v>3108.49490167553</v>
      </c>
      <c r="J15" s="0" t="n">
        <f aca="false">J13-MAX(0,J13)*J14/100</f>
        <v>3263.91964675931</v>
      </c>
      <c r="K15" s="0" t="n">
        <f aca="false">K13-MAX(0,K13)*K14/100</f>
        <v>3410.79603086348</v>
      </c>
      <c r="L15" s="0" t="n">
        <f aca="false">L13-MAX(0,L13)*L14/100</f>
        <v>3547.22787209802</v>
      </c>
    </row>
    <row r="16" customFormat="false" ht="15" hidden="false" customHeight="false" outlineLevel="0" collapsed="false">
      <c r="A16" s="0" t="s">
        <v>129</v>
      </c>
      <c r="C16" s="0" t="n">
        <f aca="false">-C12</f>
        <v>335.393</v>
      </c>
      <c r="D16" s="0" t="n">
        <f aca="false">-D12</f>
        <v>351.57078</v>
      </c>
      <c r="E16" s="0" t="n">
        <f aca="false">-E12</f>
        <v>364.7813184</v>
      </c>
      <c r="F16" s="0" t="n">
        <f aca="false">-F12</f>
        <v>376.351725843</v>
      </c>
      <c r="G16" s="0" t="n">
        <f aca="false">-G12</f>
        <v>386.0640284454</v>
      </c>
      <c r="H16" s="0" t="n">
        <f aca="false">-H12</f>
        <v>409.227870152124</v>
      </c>
      <c r="I16" s="0" t="n">
        <f aca="false">-I12</f>
        <v>431.735403010491</v>
      </c>
      <c r="J16" s="0" t="n">
        <f aca="false">-J12</f>
        <v>453.322173161015</v>
      </c>
      <c r="K16" s="0" t="n">
        <f aca="false">-K12</f>
        <v>473.721670953261</v>
      </c>
      <c r="L16" s="0" t="n">
        <f aca="false">-L12</f>
        <v>492.670537791392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-325.5285</v>
      </c>
      <c r="D17" s="4" t="n">
        <f aca="false">-D6*Assumptions!D46/100</f>
        <v>-362.22444</v>
      </c>
      <c r="E17" s="4" t="n">
        <f aca="false">-E6*Assumptions!E46/100</f>
        <v>-376.1807346</v>
      </c>
      <c r="F17" s="4" t="n">
        <f aca="false">-F6*Assumptions!F46/100</f>
        <v>-388.492104096</v>
      </c>
      <c r="G17" s="4" t="n">
        <f aca="false">-G6*Assumptions!G46/100</f>
        <v>-398.93282939358</v>
      </c>
      <c r="H17" s="4" t="n">
        <f aca="false">-H6*Assumptions!H46/100</f>
        <v>-409.227870152124</v>
      </c>
      <c r="I17" s="4" t="n">
        <f aca="false">-I6*Assumptions!I46/100</f>
        <v>-431.735403010491</v>
      </c>
      <c r="J17" s="4" t="n">
        <f aca="false">-J6*Assumptions!J46/100</f>
        <v>-453.322173161015</v>
      </c>
      <c r="K17" s="4" t="n">
        <f aca="false">-K6*Assumptions!K46/100</f>
        <v>-473.721670953261</v>
      </c>
      <c r="L17" s="4" t="n">
        <f aca="false">-L6*Assumptions!L46/100</f>
        <v>-492.670537791392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-122.175</v>
      </c>
      <c r="D18" s="4" t="n">
        <f aca="false">(D6-C6)*Assumptions!$B$51/100</f>
        <v>-118.374</v>
      </c>
      <c r="E18" s="4" t="n">
        <f aca="false">(E6-D6)*Assumptions!$B$51/100</f>
        <v>-111.86343</v>
      </c>
      <c r="F18" s="4" t="n">
        <f aca="false">(F6-E6)*Assumptions!$B$51/100</f>
        <v>-111.14430795</v>
      </c>
      <c r="G18" s="4" t="n">
        <f aca="false">(G6-F6)*Assumptions!$B$51/100</f>
        <v>-109.263404277</v>
      </c>
      <c r="H18" s="4" t="n">
        <f aca="false">(H6-G6)*Assumptions!$B$51/100</f>
        <v>-115.81920853362</v>
      </c>
      <c r="I18" s="4" t="n">
        <f aca="false">(I6-H6)*Assumptions!$B$51/100</f>
        <v>-112.537664291834</v>
      </c>
      <c r="J18" s="4" t="n">
        <f aca="false">(J6-I6)*Assumptions!$B$51/100</f>
        <v>-107.933850752623</v>
      </c>
      <c r="K18" s="4" t="n">
        <f aca="false">(K6-J6)*Assumptions!$B$51/100</f>
        <v>-101.997488961228</v>
      </c>
      <c r="L18" s="4" t="n">
        <f aca="false">(L6-K6)*Assumptions!$B$51/100</f>
        <v>-94.7443341906524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1813.338545</v>
      </c>
      <c r="D19" s="0" t="n">
        <f aca="false">D15+D16+D17+D18</f>
        <v>2006.4452187</v>
      </c>
      <c r="E19" s="0" t="n">
        <f aca="false">E15+E16+E17+E18</f>
        <v>2211.33759156</v>
      </c>
      <c r="F19" s="0" t="n">
        <f aca="false">F15+F16+F17+F18</f>
        <v>2421.3385956258</v>
      </c>
      <c r="G19" s="0" t="n">
        <f aca="false">G15+G16+G17+G18</f>
        <v>2626.64367730607</v>
      </c>
      <c r="H19" s="0" t="n">
        <f aca="false">H15+H16+H17+H18</f>
        <v>2830.62145656167</v>
      </c>
      <c r="I19" s="0" t="n">
        <f aca="false">I15+I16+I17+I18</f>
        <v>2995.9572373837</v>
      </c>
      <c r="J19" s="0" t="n">
        <f aca="false">J15+J16+J17+J18</f>
        <v>3155.98579600669</v>
      </c>
      <c r="K19" s="0" t="n">
        <f aca="false">K15+K16+K17+K18</f>
        <v>3308.79854190225</v>
      </c>
      <c r="L19" s="0" t="n">
        <f aca="false">L15+L16+L17+L18</f>
        <v>3452.48353790737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1663.6133440367</v>
      </c>
      <c r="D21" s="0" t="n">
        <f aca="false">D19*D20</f>
        <v>1688.78479816514</v>
      </c>
      <c r="E21" s="0" t="n">
        <f aca="false">E19*E20</f>
        <v>1707.55835704065</v>
      </c>
      <c r="F21" s="0" t="n">
        <f aca="false">F19*F20</f>
        <v>1715.33730566651</v>
      </c>
      <c r="G21" s="0" t="n">
        <f aca="false">G19*G20</f>
        <v>1707.13816650332</v>
      </c>
      <c r="H21" s="0" t="n">
        <f aca="false">H19*H20</f>
        <v>1687.80708931098</v>
      </c>
      <c r="I21" s="0" t="n">
        <f aca="false">I19*I20</f>
        <v>1638.89120493506</v>
      </c>
      <c r="J21" s="0" t="n">
        <f aca="false">J19*J20</f>
        <v>1583.88285014198</v>
      </c>
      <c r="K21" s="0" t="n">
        <f aca="false">K19*K20</f>
        <v>1523.46276551483</v>
      </c>
      <c r="L21" s="0" t="n">
        <f aca="false">L19*L20</f>
        <v>1458.36635704153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19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16374.8422383567</v>
      </c>
    </row>
    <row r="31" customFormat="false" ht="15" hidden="false" customHeight="false" outlineLevel="0" collapsed="false">
      <c r="A31" s="0" t="s">
        <v>138</v>
      </c>
      <c r="B31" s="0" t="n">
        <f aca="false">L19</f>
        <v>3452.48353790737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64969.4629406204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65597.18722024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64969.4629406204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27443.803264327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43818.6455026837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40718.6455026837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364.8624148986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-0.175358989945531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815.80945928369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1305.41325443195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383.869786885299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31072.3518411663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152.281401650014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151.783491091932</v>
      </c>
      <c r="C4" s="0" t="n">
        <f aca="false">B4/Assumptions!$B$2-1</f>
        <v>-0.656947697837198</v>
      </c>
      <c r="D4" s="4" t="n">
        <f aca="false">Assumptions!$B$24</f>
        <v>0.25</v>
      </c>
      <c r="E4" s="4" t="n">
        <f aca="false">DCF_Bear!$B$43</f>
        <v>163.696993737492</v>
      </c>
      <c r="F4" s="4" t="n">
        <f aca="false">DCF_Bear!$B$47</f>
        <v>75.3889247277585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242.434319205509</v>
      </c>
      <c r="C5" s="0" t="n">
        <f aca="false">B5/Assumptions!$B$2-1</f>
        <v>-0.452063918622424</v>
      </c>
      <c r="D5" s="4" t="n">
        <f aca="false">Assumptions!$B$38</f>
        <v>0.5</v>
      </c>
      <c r="E5" s="4" t="n">
        <f aca="false">DCF_Base!$B$43</f>
        <v>257.859434661443</v>
      </c>
      <c r="F5" s="4" t="n">
        <f aca="false">DCF_Base!$B$47</f>
        <v>110.573551822339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364.8624148986</v>
      </c>
      <c r="C6" s="0" t="n">
        <f aca="false">B6/Assumptions!$B$2-1</f>
        <v>-0.175358989945531</v>
      </c>
      <c r="D6" s="4" t="n">
        <f aca="false">Assumptions!$B$52</f>
        <v>0.25</v>
      </c>
      <c r="E6" s="4" t="n">
        <f aca="false">DCF_Bull!$B$43</f>
        <v>383.869786885299</v>
      </c>
      <c r="F6" s="4" t="n">
        <f aca="false">DCF_Bull!$B$47</f>
        <v>152.281401650014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250.378636100387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265.821412486419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-0.767123612825351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1243.76186702634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112.204357505612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242.434319205509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212.592627552424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181.915113749373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158.089100569771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110.573551822339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285.374736324804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285.374736324804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285.374736324804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285.374736324804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285.374736324804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262.900417772344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262.900417772344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262.900417772344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262.900417772344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262.900417772344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228.821534957384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240.235330980811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242.434319205509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242.434319205509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242.434319205509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195.508697392483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203.481198133789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212.592627552424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223.105815343157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223.774836384386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169.666958705659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175.430796373289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181.915113749373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189.264006775601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197.662741662719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2026-10-02T08:00:35Z</dcterms:created>
  <dc:creator>openpyxl</dc:creator>
  <dc:description/>
  <dc:language>en-NZ</dc:language>
  <cp:lastModifiedBy/>
  <dcterms:modified xsi:type="dcterms:W3CDTF">2026-10-02T08:00:35Z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