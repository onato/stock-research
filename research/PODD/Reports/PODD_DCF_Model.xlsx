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<sst xmlns="http://schemas.openxmlformats.org/spreadsheetml/2006/main" count="383" uniqueCount="173">
  <si>
    <t xml:space="preserve">Ticker</t>
  </si>
  <si>
    <t xml:space="preserve">PODD</t>
  </si>
  <si>
    <t xml:space="preserve">Company</t>
  </si>
  <si>
    <t xml:space="preserve">Insulet Corporation</t>
  </si>
  <si>
    <t xml:space="preserve">Valuation date</t>
  </si>
  <si>
    <t xml:space="preserve">2026-10-02</t>
  </si>
  <si>
    <t xml:space="preserve">Current price</t>
  </si>
  <si>
    <t xml:space="preserve">Price as of</t>
  </si>
  <si>
    <t xml:space="preserve">2026-10-01T20:00:00Z regular close (Yahoo chart API regularMarketTime)</t>
  </si>
  <si>
    <t xml:space="preserve">Balance sheet date</t>
  </si>
  <si>
    <t xml:space="preserve">2026-06-30</t>
  </si>
  <si>
    <t xml:space="preserve">Model</t>
  </si>
  <si>
    <t xml:space="preserve">owner_fcf_dcf_component</t>
  </si>
  <si>
    <t xml:space="preserve">Currency (model)</t>
  </si>
  <si>
    <t xml:space="preserve">USD</t>
  </si>
  <si>
    <t xml:space="preserve">Currency (quote)</t>
  </si>
  <si>
    <t xml:space="preserve">Units</t>
  </si>
  <si>
    <t xml:space="preserve">millions</t>
  </si>
  <si>
    <t xml:space="preserve">Engine</t>
  </si>
  <si>
    <t xml:space="preserve">dcf_engine v1</t>
  </si>
  <si>
    <t xml:space="preserve">Built at</t>
  </si>
  <si>
    <t xml:space="preserve">2026-10-02T07:34:25Z</t>
  </si>
  <si>
    <t xml:space="preserve">Drivers file</t>
  </si>
  <si>
    <t xml:space="preserve">PODD_Drivers.json</t>
  </si>
  <si>
    <t xml:space="preserve">Convention</t>
  </si>
  <si>
    <t xml:space="preserve">Percents stored as percents; formulas divide by 100. Blue = input, green = link, black = formula.</t>
  </si>
  <si>
    <t xml:space="preserve">Methodology</t>
  </si>
  <si>
    <t xml:space="preserve">summary: Unlevered owner-FCF DCF on a 10-year component build from TTM June 2026. SBC and the cash taxes withheld on equity awards are both charged as costs, and the share count is held flat at the fully diluted 69.4M. Net debt of $413.5M at 30 June 2026 is deducted once. The 2027 driver year follows the post-cut guidance ('mid-teens exit', no credit for retention fixes), not the November 2025 Investor Day ~20% framework. Margin expansion is assumed slightly below the company's ~100bps/yr target.
key_risks_to_valuation: Type 2 retention: whether first-90-day attrition is fixable decides between base and bear growth from 2028; Competition from Tandem Mobi, Medtronic and Beta Bionics, and payer pricing pressure on pods; Pipeline timing: Omnipod 6 (2027) and the Type 2 closed-loop system (2028) both need regulatory clearance; Terminal value carries most of the value at a 9% WACC; each 1pp of WACC moves base value materially (see sensitivity); GLP-1 adoption shrinking the insulin-dependent Type 2 population</t>
  </si>
  <si>
    <t xml:space="preserve">Data sources</t>
  </si>
  <si>
    <t xml:space="preserve">price: Yahoo Finance chart API regular close at inputs.price_as_of; 52-week range 126.40-354.88
financials: PODD_Metrics.csv / PODD.duckdb core_metrics (SEC XBRL); cash, debt, diluted shares, SBC, equity-award withholding, capex, interest and cash taxes from SEC XBRL companyfacts CIK 1145197 (10-K FY2025 filed 2026-02-18; 10-Q Q2-2026 filed 2026-08-05)
qualitative: PODD_Analysis.json (2026-10-02): Q2-2026 guidance cut, International raise, preliminary 2027 outlook, Investor Day 2025 framework</t>
  </si>
  <si>
    <t xml:space="preserve">Scenario narrative: bear</t>
  </si>
  <si>
    <t xml:space="preserve">Type 2 attrition is structural: many pump-naive Type 2 patients do not stay on wearable AID, and GLP-1 adoption shrinks the insulin-dependent Type 2 pool. That leaves Insulet competing for a maturing Type 1 base against Tandem, Medtronic and Beta Bionics, with payers using volume contracts to press on pod pricing. Growth falls to high single digits by 2028. Customer-acquisition spend and price concessions absorb the manufacturing gains, so margin expansion stalls near 25%. CGM-partner dependency (Dexcom/Abbott) caps differentiation, and guidance credibility stays impaired, so a lower 14x exit multiple applies.</t>
  </si>
  <si>
    <t xml:space="preserve">Scenario narrative: base</t>
  </si>
  <si>
    <t xml:space="preserve">Management's reset is roughly right. The Type 2 first-90-day attrition is real but contained: US Omnipod grows mid-teens in 2027 and slows toward high single digits as Type 1 AID penetration matures, while International (Middle East, Spain and deeper European share) keeps growing faster and lifts the mix. Omnipod 6 (2027) holds share against Tandem Mobi, Medtronic 780G and Beta Bionics but does not re-accelerate the business. The pharmacy-channel model keeps pricing stable. Adjusted operating margin expands a bit under the ~100bps/yr framework, reaching a mature ~29% pre-SBC EBITDA margin. Revenue compounds ~10.6% a year over ten years.</t>
  </si>
  <si>
    <t xml:space="preserve">Scenario narrative: bull</t>
  </si>
  <si>
    <t xml:space="preserve">The new onboarding and patient-selection programmes fix Type 2 retention during 2027. Omnipod 6 and the purpose-built Type 2 fully closed-loop system (2028) open the much larger, mostly pump-naive insulin-dependent Type 2 population. Growth comes back to the high teens, near the Investor Day ~20% framework, and International stays above 25% for several years. The pharmacy-channel cost advantage means tubed-pump competitors cannot match the ~$1/day access, and scale in pod manufacturing takes pre-SBC EBITDA margin to 32%, close to Dexcom-type device economics.</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</si>
  <si>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</si>
  <si>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</si>
  <si>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</si>
  <si>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</si>
  <si>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</si>
  <si>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</si>
  <si>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</si>
  <si>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</si>
  <si>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</si>
  <si>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</si>
  <si>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</si>
  <si>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</si>
  <si>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</si>
  <si>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</si>
  <si>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</si>
  <si>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</si>
  <si>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</si>
  <si>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</si>
  <si>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</si>
  <si>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</si>
  <si>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</si>
  <si>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</si>
  <si>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</si>
  <si>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</si>
  <si>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</si>
  <si>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</si>
  <si>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</si>
  <si>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FY2008</t>
  </si>
  <si>
    <t xml:space="preserve">FY2009</t>
  </si>
  <si>
    <t xml:space="preserve">FY2010</t>
  </si>
  <si>
    <t xml:space="preserve">FY2011</t>
  </si>
  <si>
    <t xml:space="preserve">FY2012</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</si>
  <si>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</si>
  <si>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</si>
  <si>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</si>
  <si>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</si>
  <si>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</si>
  <si>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</si>
  <si>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</si>
  <si>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</si>
  <si>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</si>
  <si>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</si>
  <si>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</si>
  <si>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</si>
  <si>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</si>
  <si>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</si>
  <si>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</si>
  <si>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</si>
  <si>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</si>
  <si>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</si>
  <si>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</si>
  <si>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</si>
  <si>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</si>
  <si>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</si>
  <si>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TTM Jun-2026</t>
  </si>
  <si>
    <t xml:space="preserve">Currency / units</t>
  </si>
  <si>
    <t xml:space="preserve">USD millions</t>
  </si>
  <si>
    <t xml:space="preserve">FX rate (model -&gt; quote)</t>
  </si>
  <si>
    <t xml:space="preserve">BEAR</t>
  </si>
  <si>
    <t xml:space="preserve">TTM Jun-2027</t>
  </si>
  <si>
    <t xml:space="preserve">TTM Jun-2028</t>
  </si>
  <si>
    <t xml:space="preserve">TTM Jun-2029</t>
  </si>
  <si>
    <t xml:space="preserve">TTM Jun-2030</t>
  </si>
  <si>
    <t xml:space="preserve">TTM Jun-2031</t>
  </si>
  <si>
    <t xml:space="preserve">TTM Jun-2032</t>
  </si>
  <si>
    <t xml:space="preserve">TTM Jun-2033</t>
  </si>
  <si>
    <t xml:space="preserve">TTM Jun-2034</t>
  </si>
  <si>
    <t xml:space="preserve">TTM Jun-2035</t>
  </si>
  <si>
    <t xml:space="preserve">TTM Jun-2036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</si>
  <si>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</si>
  <si>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</si>
  <si>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</si>
  <si>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</si>
  <si>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</si>
  <si>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</si>
  <si>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</si>
  <si>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</si>
  <si>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</si>
  <si>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</si>
  <si>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</si>
  <si>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</si>
  <si>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</si>
  <si>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</si>
  <si>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PODD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</si>
  <si>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</si>
  <si>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</si>
  <si>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</si>
  <si>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</si>
  <si>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</si>
  <si>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</si>
  <si>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</si>
  <si>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</si>
  <si>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</si>
  <si>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</si>
  <si>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</si>
  <si>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</si>
  <si>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</si>
  <si>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</si>
  <si>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</si>
  <si>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</si>
  <si>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</si>
  <si>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</si>
  <si>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</si>
  <si>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</si>
  <si>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</si>
  <si>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</si>
  <si>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</si>
  <si>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</si>
  <si>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</si>
  <si>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</si>
  <si>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</si>
  <si>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</si>
  <si>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</si>
  <si>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</si>
  <si>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PODD owner-FCF component DCF: base case (millions, USD)</t>
  </si>
  <si>
    <t xml:space="preserve">PODD owner-FCF component DCF: bull case (millions, USD)</t>
  </si>
  <si>
    <t xml:space="preserve">PODD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</si>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</sst>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130.79</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O2" s="0" t="n">
        <v>28.106</v>
      </c>
      <c r="S2" s="0" t="n">
        <v>56.663</v>
      </c>
      <c r="AA2" s="0" t="s">
        <v>17</v>
      </c>
      <c r="AB2" s="0" t="s">
        <v>14</v>
      </c>
    </row>
    <row r="3" customFormat="false" ht="15" hidden="false" customHeight="false" outlineLevel="0" collapsed="false">
      <c r="A3" s="0" t="s">
        <v>64</v>
      </c>
      <c r="B3" s="0" t="n">
        <v>66.032</v>
      </c>
      <c r="C3" s="0" t="n">
        <v>47.735</v>
      </c>
      <c r="D3" s="0" t="n">
        <v>18.297</v>
      </c>
      <c r="E3" s="0" t="n">
        <v>27.7092924642598</v>
      </c>
      <c r="F3" s="0" t="n">
        <v>-59.359</v>
      </c>
      <c r="G3" s="0" t="n">
        <v>-89.8942936757936</v>
      </c>
      <c r="H3" s="0" t="n">
        <v>-54.137</v>
      </c>
      <c r="I3" s="0" t="n">
        <v>-72.344</v>
      </c>
      <c r="J3" s="0" t="n">
        <v>-109.559001696147</v>
      </c>
      <c r="L3" s="0" t="n">
        <v>-49.323</v>
      </c>
      <c r="M3" s="0" t="n">
        <v>3.14</v>
      </c>
      <c r="N3" s="0" t="n">
        <v>-52.463</v>
      </c>
      <c r="O3" s="0" t="n">
        <v>61.91</v>
      </c>
      <c r="S3" s="0" t="n">
        <v>127.996</v>
      </c>
      <c r="U3" s="0" t="n">
        <v>4.202</v>
      </c>
      <c r="AA3" s="0" t="s">
        <v>17</v>
      </c>
      <c r="AB3" s="0" t="s">
        <v>14</v>
      </c>
    </row>
    <row r="4" customFormat="false" ht="15" hidden="false" customHeight="false" outlineLevel="0" collapsed="false">
      <c r="A4" s="0" t="s">
        <v>65</v>
      </c>
      <c r="B4" s="0" t="n">
        <v>96.966</v>
      </c>
      <c r="C4" s="0" t="n">
        <v>53.24</v>
      </c>
      <c r="D4" s="0" t="n">
        <v>43.726</v>
      </c>
      <c r="E4" s="0" t="n">
        <v>45.0941567147248</v>
      </c>
      <c r="F4" s="0" t="n">
        <v>-38.633</v>
      </c>
      <c r="G4" s="0" t="n">
        <v>-39.8418002186333</v>
      </c>
      <c r="H4" s="0" t="n">
        <v>-33.556</v>
      </c>
      <c r="I4" s="0" t="n">
        <v>-61.159</v>
      </c>
      <c r="J4" s="0" t="n">
        <v>-63.0726233937669</v>
      </c>
      <c r="L4" s="0" t="n">
        <v>-35.625</v>
      </c>
      <c r="M4" s="0" t="n">
        <v>6.549</v>
      </c>
      <c r="N4" s="0" t="n">
        <v>-42.174</v>
      </c>
      <c r="O4" s="0" t="n">
        <v>66.231</v>
      </c>
      <c r="P4" s="0" t="n">
        <v>156.233</v>
      </c>
      <c r="Q4" s="0" t="n">
        <v>90.002</v>
      </c>
      <c r="R4" s="0" t="n">
        <v>69.433</v>
      </c>
      <c r="S4" s="0" t="n">
        <v>113.274</v>
      </c>
      <c r="T4" s="0" t="n">
        <v>45.440839</v>
      </c>
      <c r="U4" s="0" t="n">
        <v>5.064</v>
      </c>
      <c r="AA4" s="0" t="s">
        <v>17</v>
      </c>
      <c r="AB4" s="0" t="s">
        <v>14</v>
      </c>
    </row>
    <row r="5" customFormat="false" ht="15" hidden="false" customHeight="false" outlineLevel="0" collapsed="false">
      <c r="A5" s="0" t="s">
        <v>66</v>
      </c>
      <c r="B5" s="0" t="n">
        <v>152.255</v>
      </c>
      <c r="C5" s="0" t="n">
        <v>85.543</v>
      </c>
      <c r="D5" s="0" t="n">
        <v>66.712</v>
      </c>
      <c r="E5" s="0" t="n">
        <v>43.8159666349217</v>
      </c>
      <c r="F5" s="0" t="n">
        <v>-42.467</v>
      </c>
      <c r="G5" s="0" t="n">
        <v>-27.892023250468</v>
      </c>
      <c r="H5" s="0" t="n">
        <v>-33.964</v>
      </c>
      <c r="I5" s="0" t="n">
        <v>-45.831</v>
      </c>
      <c r="J5" s="0" t="n">
        <v>-30.1014745000164</v>
      </c>
      <c r="L5" s="0" t="n">
        <v>-25.452</v>
      </c>
      <c r="M5" s="0" t="n">
        <v>11.114</v>
      </c>
      <c r="N5" s="0" t="n">
        <v>-36.566</v>
      </c>
      <c r="O5" s="0" t="n">
        <v>82.735</v>
      </c>
      <c r="P5" s="0" t="n">
        <v>221.322</v>
      </c>
      <c r="Q5" s="0" t="n">
        <v>138.587</v>
      </c>
      <c r="R5" s="0" t="n">
        <v>108.54</v>
      </c>
      <c r="S5" s="0" t="n">
        <v>93.955</v>
      </c>
      <c r="T5" s="0" t="n">
        <v>47.504131</v>
      </c>
      <c r="U5" s="0" t="n">
        <v>7.734</v>
      </c>
      <c r="AA5" s="0" t="s">
        <v>17</v>
      </c>
      <c r="AB5" s="0" t="s">
        <v>14</v>
      </c>
    </row>
    <row r="6" customFormat="false" ht="15" hidden="false" customHeight="false" outlineLevel="0" collapsed="false">
      <c r="A6" s="0" t="s">
        <v>67</v>
      </c>
      <c r="B6" s="0" t="n">
        <v>211.369</v>
      </c>
      <c r="C6" s="0" t="n">
        <v>119.033</v>
      </c>
      <c r="D6" s="0" t="n">
        <v>92.336</v>
      </c>
      <c r="E6" s="0" t="n">
        <v>43.6847409033491</v>
      </c>
      <c r="F6" s="0" t="n">
        <v>-35.971</v>
      </c>
      <c r="G6" s="0" t="n">
        <v>-17.0181057771007</v>
      </c>
      <c r="H6" s="0" t="n">
        <v>-24.941</v>
      </c>
      <c r="I6" s="0" t="n">
        <v>-51.867</v>
      </c>
      <c r="J6" s="0" t="n">
        <v>-24.5386031064158</v>
      </c>
      <c r="L6" s="0" t="n">
        <v>-29.059</v>
      </c>
      <c r="M6" s="0" t="n">
        <v>10.991</v>
      </c>
      <c r="N6" s="0" t="n">
        <v>-40.05</v>
      </c>
      <c r="O6" s="0" t="n">
        <v>44.176</v>
      </c>
      <c r="P6" s="0" t="n">
        <v>198.059</v>
      </c>
      <c r="Q6" s="0" t="n">
        <v>153.883</v>
      </c>
      <c r="R6" s="0" t="n">
        <v>132.588</v>
      </c>
      <c r="S6" s="0" t="n">
        <v>57.293</v>
      </c>
      <c r="T6" s="0" t="n">
        <v>48.359063</v>
      </c>
      <c r="U6" s="0" t="n">
        <v>9.92</v>
      </c>
      <c r="AA6" s="0" t="s">
        <v>17</v>
      </c>
      <c r="AB6" s="0" t="s">
        <v>14</v>
      </c>
    </row>
    <row r="7" customFormat="false" ht="15" hidden="false" customHeight="false" outlineLevel="0" collapsed="false">
      <c r="A7" s="0" t="s">
        <v>68</v>
      </c>
      <c r="B7" s="0" t="n">
        <v>247.084</v>
      </c>
      <c r="C7" s="0" t="n">
        <v>134.683</v>
      </c>
      <c r="D7" s="0" t="n">
        <v>112.401</v>
      </c>
      <c r="E7" s="0" t="n">
        <v>45.4910071068948</v>
      </c>
      <c r="F7" s="0" t="n">
        <v>-29.135</v>
      </c>
      <c r="G7" s="0" t="n">
        <v>-11.7915364815205</v>
      </c>
      <c r="H7" s="0" t="n">
        <v>-17.329</v>
      </c>
      <c r="I7" s="0" t="n">
        <v>-44.974</v>
      </c>
      <c r="J7" s="0" t="n">
        <v>-18.2019070437584</v>
      </c>
      <c r="L7" s="0" t="n">
        <v>3.348</v>
      </c>
      <c r="M7" s="0" t="n">
        <v>7.307</v>
      </c>
      <c r="N7" s="0" t="n">
        <v>-3.959</v>
      </c>
      <c r="O7" s="0" t="n">
        <v>124.597</v>
      </c>
      <c r="P7" s="0" t="n">
        <v>287.955</v>
      </c>
      <c r="Q7" s="0" t="n">
        <v>163.358</v>
      </c>
      <c r="R7" s="0" t="n">
        <v>113.651</v>
      </c>
      <c r="S7" s="0" t="n">
        <v>149.727</v>
      </c>
      <c r="T7" s="0" t="n">
        <v>54.870424</v>
      </c>
      <c r="U7" s="0" t="n">
        <v>12.7</v>
      </c>
      <c r="AA7" s="0" t="s">
        <v>17</v>
      </c>
      <c r="AB7" s="0" t="s">
        <v>14</v>
      </c>
    </row>
    <row r="8" customFormat="false" ht="15" hidden="false" customHeight="false" outlineLevel="0" collapsed="false">
      <c r="A8" s="0" t="s">
        <v>69</v>
      </c>
      <c r="B8" s="0" t="n">
        <v>231.321</v>
      </c>
      <c r="C8" s="0" t="n">
        <v>104.195</v>
      </c>
      <c r="D8" s="0" t="n">
        <v>127.126</v>
      </c>
      <c r="E8" s="0" t="n">
        <v>54.9565322646885</v>
      </c>
      <c r="F8" s="0" t="n">
        <v>-8.874</v>
      </c>
      <c r="G8" s="0" t="n">
        <v>-3.83622757985656</v>
      </c>
      <c r="H8" s="0" t="n">
        <v>3.349</v>
      </c>
      <c r="I8" s="0" t="n">
        <v>-51.5</v>
      </c>
      <c r="J8" s="0" t="n">
        <v>-22.263434794074</v>
      </c>
      <c r="L8" s="0" t="n">
        <v>8.92</v>
      </c>
      <c r="M8" s="0" t="n">
        <v>11.486</v>
      </c>
      <c r="N8" s="0" t="n">
        <v>-2.566</v>
      </c>
      <c r="O8" s="0" t="n">
        <v>83.829</v>
      </c>
      <c r="P8" s="0" t="n">
        <v>297.182</v>
      </c>
      <c r="Q8" s="0" t="n">
        <v>213.353</v>
      </c>
      <c r="R8" s="0" t="n">
        <v>164.02</v>
      </c>
      <c r="S8" s="0" t="n">
        <v>151.193</v>
      </c>
      <c r="T8" s="0" t="n">
        <v>56.299022</v>
      </c>
      <c r="U8" s="0" t="n">
        <v>22.519</v>
      </c>
      <c r="AA8" s="0" t="s">
        <v>17</v>
      </c>
      <c r="AB8" s="0" t="s">
        <v>14</v>
      </c>
    </row>
    <row r="9" customFormat="false" ht="15" hidden="false" customHeight="false" outlineLevel="0" collapsed="false">
      <c r="A9" s="0" t="s">
        <v>70</v>
      </c>
      <c r="B9" s="0" t="n">
        <v>263.893</v>
      </c>
      <c r="C9" s="0" t="n">
        <v>130.622</v>
      </c>
      <c r="D9" s="0" t="n">
        <v>133.271</v>
      </c>
      <c r="E9" s="0" t="n">
        <v>50.5019079702758</v>
      </c>
      <c r="F9" s="0" t="n">
        <v>-48.736</v>
      </c>
      <c r="G9" s="0" t="n">
        <v>-18.4680912339471</v>
      </c>
      <c r="H9" s="0" t="n">
        <v>-32.898</v>
      </c>
      <c r="I9" s="0" t="n">
        <v>-73.52</v>
      </c>
      <c r="J9" s="0" t="n">
        <v>-27.859776500324</v>
      </c>
      <c r="L9" s="0" t="n">
        <v>-12.552</v>
      </c>
      <c r="M9" s="0" t="n">
        <v>10.608</v>
      </c>
      <c r="N9" s="0" t="n">
        <v>-23.16</v>
      </c>
      <c r="O9" s="0" t="n">
        <v>34.051</v>
      </c>
      <c r="P9" s="0" t="n">
        <v>275.126</v>
      </c>
      <c r="Q9" s="0" t="n">
        <v>241.075</v>
      </c>
      <c r="R9" s="0" t="n">
        <v>171.698</v>
      </c>
      <c r="S9" s="0" t="n">
        <v>122.672</v>
      </c>
      <c r="T9" s="0" t="n">
        <v>56.95483</v>
      </c>
      <c r="U9" s="0" t="n">
        <v>19.2</v>
      </c>
      <c r="AA9" s="0" t="s">
        <v>17</v>
      </c>
      <c r="AB9" s="0" t="s">
        <v>14</v>
      </c>
    </row>
    <row r="10" customFormat="false" ht="15" hidden="false" customHeight="false" outlineLevel="0" collapsed="false">
      <c r="A10" s="0" t="s">
        <v>71</v>
      </c>
      <c r="B10" s="0" t="n">
        <v>366.989</v>
      </c>
      <c r="C10" s="0" t="n">
        <v>155.903</v>
      </c>
      <c r="D10" s="0" t="n">
        <v>211.086</v>
      </c>
      <c r="E10" s="0" t="n">
        <v>57.5183452365057</v>
      </c>
      <c r="F10" s="0" t="n">
        <v>-10.704</v>
      </c>
      <c r="G10" s="0" t="n">
        <v>-2.9167086751919</v>
      </c>
      <c r="H10" s="0" t="n">
        <v>3.129</v>
      </c>
      <c r="I10" s="0" t="n">
        <v>-28.879</v>
      </c>
      <c r="J10" s="0" t="n">
        <v>-7.8691731904771</v>
      </c>
      <c r="K10" s="0" t="n">
        <v>-0.48</v>
      </c>
      <c r="L10" s="0" t="n">
        <v>15.911</v>
      </c>
      <c r="M10" s="0" t="n">
        <v>22.115</v>
      </c>
      <c r="N10" s="0" t="n">
        <v>-6.204</v>
      </c>
      <c r="O10" s="0" t="n">
        <v>63.1</v>
      </c>
      <c r="P10" s="0" t="n">
        <v>456.647</v>
      </c>
      <c r="Q10" s="0" t="n">
        <v>393.497</v>
      </c>
      <c r="R10" s="0" t="n">
        <v>332.768</v>
      </c>
      <c r="S10" s="0" t="n">
        <v>137.174</v>
      </c>
      <c r="T10" s="0" t="n">
        <v>57.251377</v>
      </c>
      <c r="U10" s="0" t="n">
        <v>23.777</v>
      </c>
      <c r="AA10" s="0" t="s">
        <v>17</v>
      </c>
      <c r="AB10" s="0" t="s">
        <v>14</v>
      </c>
    </row>
    <row r="11" customFormat="false" ht="15" hidden="false" customHeight="false" outlineLevel="0" collapsed="false">
      <c r="A11" s="0" t="s">
        <v>72</v>
      </c>
      <c r="B11" s="0" t="n">
        <v>463.8</v>
      </c>
      <c r="C11" s="0" t="n">
        <v>186.6</v>
      </c>
      <c r="D11" s="0" t="n">
        <v>277.2</v>
      </c>
      <c r="E11" s="0" t="n">
        <v>59.7671410090556</v>
      </c>
      <c r="F11" s="0" t="n">
        <v>-7.4</v>
      </c>
      <c r="G11" s="0" t="n">
        <v>-1.59551530832255</v>
      </c>
      <c r="H11" s="0" t="n">
        <v>6.5</v>
      </c>
      <c r="I11" s="0" t="n">
        <v>-26.8</v>
      </c>
      <c r="J11" s="0" t="n">
        <v>-5.77835273824925</v>
      </c>
      <c r="K11" s="0" t="n">
        <v>-0.46</v>
      </c>
      <c r="L11" s="0" t="n">
        <v>41.3</v>
      </c>
      <c r="M11" s="0" t="n">
        <v>73.8</v>
      </c>
      <c r="N11" s="0" t="n">
        <v>-32.5</v>
      </c>
      <c r="O11" s="0" t="n">
        <v>158.5</v>
      </c>
      <c r="P11" s="0" t="n">
        <v>816.744</v>
      </c>
      <c r="Q11" s="0" t="n">
        <v>658.228</v>
      </c>
      <c r="R11" s="0" t="n">
        <v>566.173</v>
      </c>
      <c r="S11" s="0" t="n">
        <v>272.577</v>
      </c>
      <c r="T11" s="0" t="n">
        <v>58.319348</v>
      </c>
      <c r="U11" s="0" t="n">
        <v>31.9</v>
      </c>
      <c r="AA11" s="0" t="s">
        <v>17</v>
      </c>
      <c r="AB11" s="0" t="s">
        <v>14</v>
      </c>
    </row>
    <row r="12" customFormat="false" ht="15" hidden="false" customHeight="false" outlineLevel="0" collapsed="false">
      <c r="A12" s="0" t="s">
        <v>73</v>
      </c>
      <c r="B12" s="0" t="n">
        <v>563.8</v>
      </c>
      <c r="C12" s="0" t="n">
        <v>193.6</v>
      </c>
      <c r="D12" s="0" t="n">
        <v>370.2</v>
      </c>
      <c r="E12" s="0" t="n">
        <v>65.6615821213196</v>
      </c>
      <c r="F12" s="0" t="n">
        <v>27.4</v>
      </c>
      <c r="G12" s="0" t="n">
        <v>4.85987938985456</v>
      </c>
      <c r="H12" s="0" t="n">
        <v>43</v>
      </c>
      <c r="I12" s="0" t="n">
        <v>3.3</v>
      </c>
      <c r="J12" s="0" t="n">
        <v>0.58531394111387</v>
      </c>
      <c r="K12" s="0" t="n">
        <v>0.06</v>
      </c>
      <c r="L12" s="0" t="n">
        <v>35.9</v>
      </c>
      <c r="M12" s="0" t="n">
        <v>157.4</v>
      </c>
      <c r="N12" s="0" t="n">
        <v>-121.5</v>
      </c>
      <c r="O12" s="0" t="n">
        <v>212.1</v>
      </c>
      <c r="P12" s="0" t="n">
        <v>928.7</v>
      </c>
      <c r="Q12" s="0" t="n">
        <v>716.6</v>
      </c>
      <c r="R12" s="0" t="n">
        <v>592</v>
      </c>
      <c r="S12" s="0" t="n">
        <v>113.9</v>
      </c>
      <c r="T12" s="0" t="n">
        <v>61.008</v>
      </c>
      <c r="U12" s="0" t="n">
        <v>37.5</v>
      </c>
      <c r="AA12" s="0" t="s">
        <v>17</v>
      </c>
      <c r="AB12" s="0" t="s">
        <v>14</v>
      </c>
    </row>
    <row r="13" customFormat="false" ht="15" hidden="false" customHeight="false" outlineLevel="0" collapsed="false">
      <c r="A13" s="0" t="s">
        <v>74</v>
      </c>
      <c r="B13" s="0" t="n">
        <v>738.2</v>
      </c>
      <c r="C13" s="0" t="n">
        <v>257.9</v>
      </c>
      <c r="D13" s="0" t="n">
        <v>480.3</v>
      </c>
      <c r="E13" s="0" t="n">
        <v>65.0636683825522</v>
      </c>
      <c r="F13" s="0" t="n">
        <v>50</v>
      </c>
      <c r="G13" s="0" t="n">
        <v>6.77323218639935</v>
      </c>
      <c r="H13" s="0" t="n">
        <v>77.9</v>
      </c>
      <c r="I13" s="0" t="n">
        <v>11.6</v>
      </c>
      <c r="J13" s="0" t="n">
        <v>1.57138986724465</v>
      </c>
      <c r="K13" s="0" t="n">
        <v>0.19</v>
      </c>
      <c r="L13" s="0" t="n">
        <v>98.4</v>
      </c>
      <c r="M13" s="0" t="n">
        <v>163.7</v>
      </c>
      <c r="N13" s="0" t="n">
        <v>-65.3</v>
      </c>
      <c r="O13" s="0" t="n">
        <v>75.9</v>
      </c>
      <c r="P13" s="0" t="n">
        <v>1142.9</v>
      </c>
      <c r="Q13" s="0" t="n">
        <v>1067</v>
      </c>
      <c r="R13" s="0" t="n">
        <v>887.9</v>
      </c>
      <c r="S13" s="0" t="n">
        <v>213.7</v>
      </c>
      <c r="T13" s="0" t="n">
        <v>62.685</v>
      </c>
      <c r="U13" s="0" t="n">
        <v>28.7</v>
      </c>
      <c r="AA13" s="0" t="s">
        <v>17</v>
      </c>
      <c r="AB13" s="0" t="s">
        <v>14</v>
      </c>
    </row>
    <row r="14" customFormat="false" ht="15" hidden="false" customHeight="false" outlineLevel="0" collapsed="false">
      <c r="A14" s="0" t="s">
        <v>75</v>
      </c>
      <c r="B14" s="0" t="n">
        <v>904.4</v>
      </c>
      <c r="C14" s="0" t="n">
        <v>322.1</v>
      </c>
      <c r="D14" s="0" t="n">
        <v>582.3</v>
      </c>
      <c r="E14" s="0" t="n">
        <v>64.3852277753207</v>
      </c>
      <c r="F14" s="0" t="n">
        <v>51.5</v>
      </c>
      <c r="G14" s="0" t="n">
        <v>5.69438301636444</v>
      </c>
      <c r="H14" s="0" t="n">
        <v>106.9</v>
      </c>
      <c r="I14" s="0" t="n">
        <v>6.8</v>
      </c>
      <c r="J14" s="0" t="n">
        <v>0.75187969924812</v>
      </c>
      <c r="K14" s="0" t="n">
        <v>0.11</v>
      </c>
      <c r="L14" s="0" t="n">
        <v>84</v>
      </c>
      <c r="M14" s="0" t="n">
        <v>129</v>
      </c>
      <c r="N14" s="0" t="n">
        <v>-45</v>
      </c>
      <c r="O14" s="0" t="n">
        <v>603.6</v>
      </c>
      <c r="P14" s="0" t="n">
        <v>1872.9</v>
      </c>
      <c r="Q14" s="0" t="n">
        <v>1269.3</v>
      </c>
      <c r="R14" s="0" t="n">
        <v>1074.9</v>
      </c>
      <c r="S14" s="0" t="n">
        <v>907.2</v>
      </c>
      <c r="T14" s="0" t="n">
        <v>66.017444</v>
      </c>
      <c r="U14" s="0" t="n">
        <v>35.9</v>
      </c>
      <c r="AA14" s="0" t="s">
        <v>17</v>
      </c>
      <c r="AB14" s="0" t="s">
        <v>14</v>
      </c>
    </row>
    <row r="15" customFormat="false" ht="15" hidden="false" customHeight="false" outlineLevel="0" collapsed="false">
      <c r="A15" s="0" t="s">
        <v>76</v>
      </c>
      <c r="B15" s="0" t="n">
        <v>1098.8</v>
      </c>
      <c r="C15" s="0" t="n">
        <v>346.7</v>
      </c>
      <c r="D15" s="0" t="n">
        <v>752.1</v>
      </c>
      <c r="E15" s="0" t="n">
        <v>68.4473971605388</v>
      </c>
      <c r="F15" s="0" t="n">
        <v>126</v>
      </c>
      <c r="G15" s="0" t="n">
        <v>11.4670549690572</v>
      </c>
      <c r="H15" s="0" t="n">
        <v>183.4</v>
      </c>
      <c r="I15" s="0" t="n">
        <v>16.8</v>
      </c>
      <c r="J15" s="0" t="n">
        <v>1.52894066254095</v>
      </c>
      <c r="K15" s="0" t="n">
        <v>0.25</v>
      </c>
      <c r="L15" s="0" t="n">
        <v>-68.1</v>
      </c>
      <c r="M15" s="0" t="n">
        <v>111.9</v>
      </c>
      <c r="N15" s="0" t="n">
        <v>-180</v>
      </c>
      <c r="O15" s="0" t="n">
        <v>556.3</v>
      </c>
      <c r="P15" s="0" t="n">
        <v>2048.8</v>
      </c>
      <c r="Q15" s="0" t="n">
        <v>1492.5</v>
      </c>
      <c r="R15" s="0" t="n">
        <v>1299</v>
      </c>
      <c r="T15" s="0" t="n">
        <v>69.178691</v>
      </c>
      <c r="U15" s="0" t="n">
        <v>34.4</v>
      </c>
      <c r="AA15" s="0" t="s">
        <v>17</v>
      </c>
      <c r="AB15" s="0" t="s">
        <v>14</v>
      </c>
    </row>
    <row r="16" customFormat="false" ht="15" hidden="false" customHeight="false" outlineLevel="0" collapsed="false">
      <c r="A16" s="0" t="s">
        <v>77</v>
      </c>
      <c r="B16" s="0" t="n">
        <v>1305.3</v>
      </c>
      <c r="C16" s="0" t="n">
        <v>499.7</v>
      </c>
      <c r="D16" s="0" t="n">
        <v>805.6</v>
      </c>
      <c r="E16" s="0" t="n">
        <v>61.7176128093159</v>
      </c>
      <c r="F16" s="0" t="n">
        <v>37.6</v>
      </c>
      <c r="G16" s="0" t="n">
        <v>2.88056385505248</v>
      </c>
      <c r="H16" s="0" t="n">
        <v>100.8</v>
      </c>
      <c r="I16" s="0" t="n">
        <v>4.6</v>
      </c>
      <c r="J16" s="0" t="n">
        <v>0.352409407798973</v>
      </c>
      <c r="K16" s="0" t="n">
        <v>0.07</v>
      </c>
      <c r="L16" s="0" t="n">
        <v>119</v>
      </c>
      <c r="M16" s="0" t="n">
        <v>122.9</v>
      </c>
      <c r="N16" s="0" t="n">
        <v>-3.90000000000001</v>
      </c>
      <c r="O16" s="0" t="n">
        <v>476.4</v>
      </c>
      <c r="P16" s="0" t="n">
        <v>2251.1</v>
      </c>
      <c r="Q16" s="0" t="n">
        <v>1774.7</v>
      </c>
      <c r="R16" s="0" t="n">
        <v>1401.8</v>
      </c>
      <c r="T16" s="0" t="n">
        <v>69.91</v>
      </c>
      <c r="U16" s="0" t="n">
        <v>40.9</v>
      </c>
      <c r="AA16" s="0" t="s">
        <v>17</v>
      </c>
      <c r="AB16" s="0" t="s">
        <v>14</v>
      </c>
    </row>
    <row r="17" customFormat="false" ht="15" hidden="false" customHeight="false" outlineLevel="0" collapsed="false">
      <c r="A17" s="0" t="s">
        <v>78</v>
      </c>
      <c r="B17" s="0" t="n">
        <v>1697.1</v>
      </c>
      <c r="C17" s="0" t="n">
        <v>537.2</v>
      </c>
      <c r="D17" s="0" t="n">
        <v>1159.9</v>
      </c>
      <c r="E17" s="0" t="n">
        <v>68.3460020034176</v>
      </c>
      <c r="F17" s="0" t="n">
        <v>220.1</v>
      </c>
      <c r="G17" s="0" t="n">
        <v>12.9691827234695</v>
      </c>
      <c r="H17" s="0" t="n">
        <v>292.9</v>
      </c>
      <c r="I17" s="0" t="n">
        <v>206.3</v>
      </c>
      <c r="J17" s="0" t="n">
        <v>12.1560308762006</v>
      </c>
      <c r="K17" s="0" t="n">
        <v>2.96</v>
      </c>
      <c r="L17" s="0" t="n">
        <v>145.7</v>
      </c>
      <c r="M17" s="0" t="n">
        <v>75.6</v>
      </c>
      <c r="N17" s="0" t="n">
        <v>70.1</v>
      </c>
      <c r="O17" s="0" t="n">
        <v>732.7</v>
      </c>
      <c r="P17" s="0" t="n">
        <v>2588.2</v>
      </c>
      <c r="Q17" s="0" t="n">
        <v>1855.5</v>
      </c>
      <c r="R17" s="0" t="n">
        <v>1415.8</v>
      </c>
      <c r="T17" s="0" t="n">
        <v>73.633</v>
      </c>
      <c r="U17" s="0" t="n">
        <v>48.4</v>
      </c>
      <c r="AA17" s="0" t="s">
        <v>17</v>
      </c>
      <c r="AB17" s="0" t="s">
        <v>14</v>
      </c>
    </row>
    <row r="18" customFormat="false" ht="15" hidden="false" customHeight="false" outlineLevel="0" collapsed="false">
      <c r="A18" s="0" t="s">
        <v>79</v>
      </c>
      <c r="B18" s="0" t="n">
        <v>2071.6</v>
      </c>
      <c r="C18" s="0" t="n">
        <v>625.9</v>
      </c>
      <c r="D18" s="0" t="n">
        <v>1445.7</v>
      </c>
      <c r="E18" s="0" t="n">
        <v>69.7866383471713</v>
      </c>
      <c r="F18" s="0" t="n">
        <v>308.9</v>
      </c>
      <c r="G18" s="0" t="n">
        <v>14.9111797644333</v>
      </c>
      <c r="H18" s="0" t="n">
        <v>389.7</v>
      </c>
      <c r="I18" s="0" t="n">
        <v>418.3</v>
      </c>
      <c r="J18" s="0" t="n">
        <v>20.1921220312802</v>
      </c>
      <c r="K18" s="0" t="n">
        <v>5.97</v>
      </c>
      <c r="L18" s="0" t="n">
        <v>430.2</v>
      </c>
      <c r="M18" s="0" t="n">
        <v>124.9</v>
      </c>
      <c r="N18" s="0" t="n">
        <v>305.3</v>
      </c>
      <c r="O18" s="0" t="n">
        <v>1211.6</v>
      </c>
      <c r="P18" s="0" t="n">
        <v>3087.7</v>
      </c>
      <c r="Q18" s="0" t="n">
        <v>1876.1</v>
      </c>
      <c r="R18" s="0" t="n">
        <v>1379.9</v>
      </c>
      <c r="T18" s="0" t="n">
        <v>73.891</v>
      </c>
      <c r="U18" s="0" t="n">
        <v>69.3</v>
      </c>
      <c r="AA18" s="0" t="s">
        <v>17</v>
      </c>
      <c r="AB18" s="0" t="s">
        <v>14</v>
      </c>
    </row>
    <row r="19" customFormat="false" ht="15" hidden="false" customHeight="false" outlineLevel="0" collapsed="false">
      <c r="A19" s="0" t="s">
        <v>80</v>
      </c>
      <c r="B19" s="0" t="n">
        <v>2708.1</v>
      </c>
      <c r="C19" s="0" t="n">
        <v>768.2</v>
      </c>
      <c r="D19" s="0" t="n">
        <v>1939.9</v>
      </c>
      <c r="E19" s="0" t="n">
        <v>71.6332484029393</v>
      </c>
      <c r="F19" s="0" t="n">
        <v>473.8</v>
      </c>
      <c r="G19" s="0" t="n">
        <v>17.4956611646542</v>
      </c>
      <c r="H19" s="0" t="n">
        <v>564.2</v>
      </c>
      <c r="I19" s="0" t="n">
        <v>247.1</v>
      </c>
      <c r="J19" s="0" t="n">
        <v>9.12447841660205</v>
      </c>
      <c r="K19" s="0" t="n">
        <v>3.51</v>
      </c>
      <c r="L19" s="0" t="n">
        <v>569.3</v>
      </c>
      <c r="M19" s="0" t="n">
        <v>191.6</v>
      </c>
      <c r="N19" s="0" t="n">
        <v>377.7</v>
      </c>
      <c r="O19" s="0" t="n">
        <v>1515.2</v>
      </c>
      <c r="P19" s="0" t="n">
        <v>3190.4</v>
      </c>
      <c r="Q19" s="0" t="n">
        <v>1675.2</v>
      </c>
      <c r="R19" s="0" t="n">
        <v>949.2</v>
      </c>
      <c r="T19" s="0" t="n">
        <v>71.886</v>
      </c>
      <c r="U19" s="0" t="n">
        <v>62.7</v>
      </c>
      <c r="AA19" s="0" t="s">
        <v>17</v>
      </c>
      <c r="AB19"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81</v>
      </c>
      <c r="B1" s="2" t="s">
        <v>82</v>
      </c>
    </row>
    <row r="2" customFormat="false" ht="15" hidden="false" customHeight="false" outlineLevel="0" collapsed="false">
      <c r="A2" s="0" t="s">
        <v>83</v>
      </c>
      <c r="B2" s="3" t="n">
        <v>130.79</v>
      </c>
    </row>
    <row r="3" customFormat="false" ht="15" hidden="false" customHeight="false" outlineLevel="0" collapsed="false">
      <c r="A3" s="0" t="s">
        <v>84</v>
      </c>
      <c r="B3" s="3" t="n">
        <v>69.4</v>
      </c>
    </row>
    <row r="4" customFormat="false" ht="15" hidden="false" customHeight="false" outlineLevel="0" collapsed="false">
      <c r="A4" s="0" t="s">
        <v>85</v>
      </c>
      <c r="B4" s="3" t="n">
        <v>413.5</v>
      </c>
    </row>
    <row r="5" customFormat="false" ht="15" hidden="false" customHeight="false" outlineLevel="0" collapsed="false">
      <c r="A5" s="0" t="s">
        <v>86</v>
      </c>
      <c r="B5" s="3" t="n">
        <v>0</v>
      </c>
    </row>
    <row r="6" customFormat="false" ht="15" hidden="false" customHeight="false" outlineLevel="0" collapsed="false">
      <c r="A6" s="0" t="s">
        <v>87</v>
      </c>
      <c r="B6" s="3" t="n">
        <v>15</v>
      </c>
    </row>
    <row r="7" customFormat="false" ht="15" hidden="false" customHeight="false" outlineLevel="0" collapsed="false">
      <c r="A7" s="0" t="s">
        <v>88</v>
      </c>
      <c r="B7" s="3" t="n">
        <v>3053.4</v>
      </c>
    </row>
    <row r="8" customFormat="false" ht="15" hidden="false" customHeight="false" outlineLevel="0" collapsed="false">
      <c r="A8" s="0" t="s">
        <v>89</v>
      </c>
      <c r="B8" s="3" t="s">
        <v>90</v>
      </c>
    </row>
    <row r="9" customFormat="false" ht="15" hidden="false" customHeight="false" outlineLevel="0" collapsed="false">
      <c r="A9" s="0" t="s">
        <v>91</v>
      </c>
      <c r="B9" s="3" t="s">
        <v>92</v>
      </c>
    </row>
    <row r="10" customFormat="false" ht="15" hidden="false" customHeight="false" outlineLevel="0" collapsed="false">
      <c r="A10" s="0" t="s">
        <v>93</v>
      </c>
      <c r="B10" s="3" t="n">
        <v>1</v>
      </c>
    </row>
    <row r="12" customFormat="false" ht="15" hidden="false" customHeight="false" outlineLevel="0" collapsed="false">
      <c r="A12" s="2" t="s">
        <v>94</v>
      </c>
      <c r="C12" s="2" t="s">
        <v>95</v>
      </c>
      <c r="D12" s="2" t="s">
        <v>96</v>
      </c>
      <c r="E12" s="2" t="s">
        <v>97</v>
      </c>
      <c r="F12" s="2" t="s">
        <v>98</v>
      </c>
      <c r="G12" s="2" t="s">
        <v>99</v>
      </c>
      <c r="H12" s="2" t="s">
        <v>100</v>
      </c>
      <c r="I12" s="2" t="s">
        <v>101</v>
      </c>
      <c r="J12" s="2" t="s">
        <v>102</v>
      </c>
      <c r="K12" s="2" t="s">
        <v>103</v>
      </c>
      <c r="L12" s="2" t="s">
        <v>104</v>
      </c>
    </row>
    <row r="13" customFormat="false" ht="15" hidden="false" customHeight="false" outlineLevel="0" collapsed="false">
      <c r="A13" s="0" t="s">
        <v>105</v>
      </c>
      <c r="C13" s="3" t="n">
        <v>14</v>
      </c>
      <c r="D13" s="3" t="n">
        <v>10</v>
      </c>
      <c r="E13" s="3" t="n">
        <v>9</v>
      </c>
      <c r="F13" s="3" t="n">
        <v>8</v>
      </c>
      <c r="G13" s="3" t="n">
        <v>7</v>
      </c>
      <c r="H13" s="3" t="n">
        <v>6</v>
      </c>
      <c r="I13" s="3" t="n">
        <v>5</v>
      </c>
      <c r="J13" s="3" t="n">
        <v>4.5</v>
      </c>
      <c r="K13" s="3" t="n">
        <v>4</v>
      </c>
      <c r="L13" s="3" t="n">
        <v>4</v>
      </c>
    </row>
    <row r="14" customFormat="false" ht="15" hidden="false" customHeight="false" outlineLevel="0" collapsed="false">
      <c r="A14" s="0" t="s">
        <v>106</v>
      </c>
      <c r="C14" s="3" t="n">
        <v>22.8</v>
      </c>
      <c r="D14" s="3" t="n">
        <v>23.2</v>
      </c>
      <c r="E14" s="3" t="n">
        <v>23.6</v>
      </c>
      <c r="F14" s="3" t="n">
        <v>24</v>
      </c>
      <c r="G14" s="3" t="n">
        <v>24.3</v>
      </c>
      <c r="H14" s="3" t="n">
        <v>24.6</v>
      </c>
      <c r="I14" s="3" t="n">
        <v>24.8</v>
      </c>
      <c r="J14" s="3" t="n">
        <v>25</v>
      </c>
      <c r="K14" s="3" t="n">
        <v>25</v>
      </c>
      <c r="L14" s="3" t="n">
        <v>25</v>
      </c>
    </row>
    <row r="15" customFormat="false" ht="15" hidden="false" customHeight="false" outlineLevel="0" collapsed="false">
      <c r="A15" s="0" t="s">
        <v>107</v>
      </c>
      <c r="C15" s="3" t="n">
        <v>3.2</v>
      </c>
      <c r="D15" s="3" t="n">
        <v>3.2</v>
      </c>
      <c r="E15" s="3" t="n">
        <v>3.15</v>
      </c>
      <c r="F15" s="3" t="n">
        <v>3.1</v>
      </c>
      <c r="G15" s="3" t="n">
        <v>3.05</v>
      </c>
      <c r="H15" s="3" t="n">
        <v>3</v>
      </c>
      <c r="I15" s="3" t="n">
        <v>3</v>
      </c>
      <c r="J15" s="3" t="n">
        <v>3</v>
      </c>
      <c r="K15" s="3" t="n">
        <v>3</v>
      </c>
      <c r="L15" s="3" t="n">
        <v>3</v>
      </c>
    </row>
    <row r="16" customFormat="false" ht="15" hidden="false" customHeight="false" outlineLevel="0" collapsed="false">
      <c r="A16" s="0" t="s">
        <v>108</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109</v>
      </c>
      <c r="C17" s="3" t="n">
        <v>3.3</v>
      </c>
      <c r="D17" s="3" t="n">
        <v>3.4</v>
      </c>
      <c r="E17" s="3" t="n">
        <v>3.5</v>
      </c>
      <c r="F17" s="3" t="n">
        <v>3.6</v>
      </c>
      <c r="G17" s="3" t="n">
        <v>3.7</v>
      </c>
      <c r="H17" s="3" t="n">
        <v>3.8</v>
      </c>
      <c r="I17" s="3" t="n">
        <v>3.9</v>
      </c>
      <c r="J17" s="3" t="n">
        <v>4</v>
      </c>
      <c r="K17" s="3" t="n">
        <v>4</v>
      </c>
      <c r="L17" s="3" t="n">
        <v>4</v>
      </c>
    </row>
    <row r="18" customFormat="false" ht="15" hidden="false" customHeight="false" outlineLevel="0" collapsed="false">
      <c r="A18" s="0" t="s">
        <v>110</v>
      </c>
      <c r="C18" s="3" t="n">
        <v>7</v>
      </c>
      <c r="D18" s="3" t="n">
        <v>6.5</v>
      </c>
      <c r="E18" s="3" t="n">
        <v>6</v>
      </c>
      <c r="F18" s="3" t="n">
        <v>5.5</v>
      </c>
      <c r="G18" s="3" t="n">
        <v>5.2</v>
      </c>
      <c r="H18" s="3" t="n">
        <v>5</v>
      </c>
      <c r="I18" s="3" t="n">
        <v>4.8</v>
      </c>
      <c r="J18" s="3" t="n">
        <v>4.6</v>
      </c>
      <c r="K18" s="3" t="n">
        <v>4.5</v>
      </c>
      <c r="L18" s="3" t="n">
        <v>4.5</v>
      </c>
    </row>
    <row r="19" customFormat="false" ht="15" hidden="false" customHeight="false" outlineLevel="0" collapsed="false">
      <c r="A19" s="0" t="s">
        <v>111</v>
      </c>
      <c r="C19" s="3" t="n">
        <v>14</v>
      </c>
      <c r="D19" s="3" t="n">
        <v>16</v>
      </c>
      <c r="E19" s="3" t="n">
        <v>18</v>
      </c>
      <c r="F19" s="3" t="n">
        <v>20</v>
      </c>
      <c r="G19" s="3" t="n">
        <v>21</v>
      </c>
      <c r="H19" s="3" t="n">
        <v>22</v>
      </c>
      <c r="I19" s="3" t="n">
        <v>22</v>
      </c>
      <c r="J19" s="3" t="n">
        <v>22</v>
      </c>
      <c r="K19" s="3" t="n">
        <v>22</v>
      </c>
      <c r="L19" s="3" t="n">
        <v>22</v>
      </c>
    </row>
    <row r="20" customFormat="false" ht="15" hidden="false" customHeight="false" outlineLevel="0" collapsed="false">
      <c r="A20" s="0" t="s">
        <v>112</v>
      </c>
      <c r="B20" s="3" t="n">
        <v>9</v>
      </c>
    </row>
    <row r="21" customFormat="false" ht="15" hidden="false" customHeight="false" outlineLevel="0" collapsed="false">
      <c r="A21" s="0" t="s">
        <v>113</v>
      </c>
      <c r="B21" s="3" t="n">
        <v>2.5</v>
      </c>
    </row>
    <row r="22" customFormat="false" ht="15" hidden="false" customHeight="false" outlineLevel="0" collapsed="false">
      <c r="A22" s="0" t="s">
        <v>114</v>
      </c>
      <c r="B22" s="3" t="n">
        <v>14</v>
      </c>
    </row>
    <row r="23" customFormat="false" ht="15" hidden="false" customHeight="false" outlineLevel="0" collapsed="false">
      <c r="A23" s="0" t="s">
        <v>115</v>
      </c>
      <c r="B23" s="3" t="n">
        <v>-8</v>
      </c>
    </row>
    <row r="24" customFormat="false" ht="15" hidden="false" customHeight="false" outlineLevel="0" collapsed="false">
      <c r="A24" s="0" t="s">
        <v>116</v>
      </c>
      <c r="B24" s="3" t="n">
        <v>0.25</v>
      </c>
    </row>
    <row r="26" customFormat="false" ht="15" hidden="false" customHeight="false" outlineLevel="0" collapsed="false">
      <c r="A26" s="2" t="s">
        <v>117</v>
      </c>
      <c r="C26" s="2" t="s">
        <v>95</v>
      </c>
      <c r="D26" s="2" t="s">
        <v>96</v>
      </c>
      <c r="E26" s="2" t="s">
        <v>97</v>
      </c>
      <c r="F26" s="2" t="s">
        <v>98</v>
      </c>
      <c r="G26" s="2" t="s">
        <v>99</v>
      </c>
      <c r="H26" s="2" t="s">
        <v>100</v>
      </c>
      <c r="I26" s="2" t="s">
        <v>101</v>
      </c>
      <c r="J26" s="2" t="s">
        <v>102</v>
      </c>
      <c r="K26" s="2" t="s">
        <v>103</v>
      </c>
      <c r="L26" s="2" t="s">
        <v>104</v>
      </c>
    </row>
    <row r="27" customFormat="false" ht="15" hidden="false" customHeight="false" outlineLevel="0" collapsed="false">
      <c r="A27" s="0" t="s">
        <v>105</v>
      </c>
      <c r="C27" s="3" t="n">
        <v>16</v>
      </c>
      <c r="D27" s="3" t="n">
        <v>14.5</v>
      </c>
      <c r="E27" s="3" t="n">
        <v>13</v>
      </c>
      <c r="F27" s="3" t="n">
        <v>12</v>
      </c>
      <c r="G27" s="3" t="n">
        <v>11</v>
      </c>
      <c r="H27" s="3" t="n">
        <v>10</v>
      </c>
      <c r="I27" s="3" t="n">
        <v>9</v>
      </c>
      <c r="J27" s="3" t="n">
        <v>8</v>
      </c>
      <c r="K27" s="3" t="n">
        <v>7</v>
      </c>
      <c r="L27" s="3" t="n">
        <v>6</v>
      </c>
    </row>
    <row r="28" customFormat="false" ht="15" hidden="false" customHeight="false" outlineLevel="0" collapsed="false">
      <c r="A28" s="0" t="s">
        <v>106</v>
      </c>
      <c r="C28" s="3" t="n">
        <v>23.3</v>
      </c>
      <c r="D28" s="3" t="n">
        <v>24.3</v>
      </c>
      <c r="E28" s="3" t="n">
        <v>25.2</v>
      </c>
      <c r="F28" s="3" t="n">
        <v>26</v>
      </c>
      <c r="G28" s="3" t="n">
        <v>26.8</v>
      </c>
      <c r="H28" s="3" t="n">
        <v>27.5</v>
      </c>
      <c r="I28" s="3" t="n">
        <v>28</v>
      </c>
      <c r="J28" s="3" t="n">
        <v>28.5</v>
      </c>
      <c r="K28" s="3" t="n">
        <v>29</v>
      </c>
      <c r="L28" s="3" t="n">
        <v>29</v>
      </c>
    </row>
    <row r="29" customFormat="false" ht="15" hidden="false" customHeight="false" outlineLevel="0" collapsed="false">
      <c r="A29" s="0" t="s">
        <v>107</v>
      </c>
      <c r="C29" s="3" t="n">
        <v>3.2</v>
      </c>
      <c r="D29" s="3" t="n">
        <v>3.15</v>
      </c>
      <c r="E29" s="3" t="n">
        <v>3.1</v>
      </c>
      <c r="F29" s="3" t="n">
        <v>3</v>
      </c>
      <c r="G29" s="3" t="n">
        <v>2.95</v>
      </c>
      <c r="H29" s="3" t="n">
        <v>2.9</v>
      </c>
      <c r="I29" s="3" t="n">
        <v>2.85</v>
      </c>
      <c r="J29" s="3" t="n">
        <v>2.8</v>
      </c>
      <c r="K29" s="3" t="n">
        <v>2.75</v>
      </c>
      <c r="L29" s="3" t="n">
        <v>2.7</v>
      </c>
    </row>
    <row r="30" customFormat="false" ht="15" hidden="false" customHeight="false" outlineLevel="0" collapsed="false">
      <c r="A30" s="0" t="s">
        <v>108</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109</v>
      </c>
      <c r="C31" s="3" t="n">
        <v>3.3</v>
      </c>
      <c r="D31" s="3" t="n">
        <v>3.4</v>
      </c>
      <c r="E31" s="3" t="n">
        <v>3.5</v>
      </c>
      <c r="F31" s="3" t="n">
        <v>3.6</v>
      </c>
      <c r="G31" s="3" t="n">
        <v>3.7</v>
      </c>
      <c r="H31" s="3" t="n">
        <v>3.8</v>
      </c>
      <c r="I31" s="3" t="n">
        <v>3.9</v>
      </c>
      <c r="J31" s="3" t="n">
        <v>4</v>
      </c>
      <c r="K31" s="3" t="n">
        <v>4</v>
      </c>
      <c r="L31" s="3" t="n">
        <v>4</v>
      </c>
    </row>
    <row r="32" customFormat="false" ht="15" hidden="false" customHeight="false" outlineLevel="0" collapsed="false">
      <c r="A32" s="0" t="s">
        <v>110</v>
      </c>
      <c r="C32" s="3" t="n">
        <v>7</v>
      </c>
      <c r="D32" s="3" t="n">
        <v>6.5</v>
      </c>
      <c r="E32" s="3" t="n">
        <v>6</v>
      </c>
      <c r="F32" s="3" t="n">
        <v>5.5</v>
      </c>
      <c r="G32" s="3" t="n">
        <v>5.2</v>
      </c>
      <c r="H32" s="3" t="n">
        <v>5</v>
      </c>
      <c r="I32" s="3" t="n">
        <v>4.8</v>
      </c>
      <c r="J32" s="3" t="n">
        <v>4.6</v>
      </c>
      <c r="K32" s="3" t="n">
        <v>4.5</v>
      </c>
      <c r="L32" s="3" t="n">
        <v>4.5</v>
      </c>
    </row>
    <row r="33" customFormat="false" ht="15" hidden="false" customHeight="false" outlineLevel="0" collapsed="false">
      <c r="A33" s="0" t="s">
        <v>111</v>
      </c>
      <c r="C33" s="3" t="n">
        <v>14</v>
      </c>
      <c r="D33" s="3" t="n">
        <v>16</v>
      </c>
      <c r="E33" s="3" t="n">
        <v>18</v>
      </c>
      <c r="F33" s="3" t="n">
        <v>20</v>
      </c>
      <c r="G33" s="3" t="n">
        <v>21</v>
      </c>
      <c r="H33" s="3" t="n">
        <v>22</v>
      </c>
      <c r="I33" s="3" t="n">
        <v>22</v>
      </c>
      <c r="J33" s="3" t="n">
        <v>22</v>
      </c>
      <c r="K33" s="3" t="n">
        <v>22</v>
      </c>
      <c r="L33" s="3" t="n">
        <v>22</v>
      </c>
    </row>
    <row r="34" customFormat="false" ht="15" hidden="false" customHeight="false" outlineLevel="0" collapsed="false">
      <c r="A34" s="0" t="s">
        <v>112</v>
      </c>
      <c r="B34" s="3" t="n">
        <v>9</v>
      </c>
    </row>
    <row r="35" customFormat="false" ht="15" hidden="false" customHeight="false" outlineLevel="0" collapsed="false">
      <c r="A35" s="0" t="s">
        <v>113</v>
      </c>
      <c r="B35" s="3" t="n">
        <v>3</v>
      </c>
    </row>
    <row r="36" customFormat="false" ht="15" hidden="false" customHeight="false" outlineLevel="0" collapsed="false">
      <c r="A36" s="0" t="s">
        <v>114</v>
      </c>
      <c r="B36" s="3" t="n">
        <v>18</v>
      </c>
    </row>
    <row r="37" customFormat="false" ht="15" hidden="false" customHeight="false" outlineLevel="0" collapsed="false">
      <c r="A37" s="0" t="s">
        <v>115</v>
      </c>
      <c r="B37" s="3" t="n">
        <v>-8</v>
      </c>
    </row>
    <row r="38" customFormat="false" ht="15" hidden="false" customHeight="false" outlineLevel="0" collapsed="false">
      <c r="A38" s="0" t="s">
        <v>116</v>
      </c>
      <c r="B38" s="3" t="n">
        <v>0.5</v>
      </c>
    </row>
    <row r="40" customFormat="false" ht="15" hidden="false" customHeight="false" outlineLevel="0" collapsed="false">
      <c r="A40" s="2" t="s">
        <v>118</v>
      </c>
      <c r="C40" s="2" t="s">
        <v>95</v>
      </c>
      <c r="D40" s="2" t="s">
        <v>96</v>
      </c>
      <c r="E40" s="2" t="s">
        <v>97</v>
      </c>
      <c r="F40" s="2" t="s">
        <v>98</v>
      </c>
      <c r="G40" s="2" t="s">
        <v>99</v>
      </c>
      <c r="H40" s="2" t="s">
        <v>100</v>
      </c>
      <c r="I40" s="2" t="s">
        <v>101</v>
      </c>
      <c r="J40" s="2" t="s">
        <v>102</v>
      </c>
      <c r="K40" s="2" t="s">
        <v>103</v>
      </c>
      <c r="L40" s="2" t="s">
        <v>104</v>
      </c>
    </row>
    <row r="41" customFormat="false" ht="15" hidden="false" customHeight="false" outlineLevel="0" collapsed="false">
      <c r="A41" s="0" t="s">
        <v>105</v>
      </c>
      <c r="C41" s="3" t="n">
        <v>18</v>
      </c>
      <c r="D41" s="3" t="n">
        <v>17</v>
      </c>
      <c r="E41" s="3" t="n">
        <v>16</v>
      </c>
      <c r="F41" s="3" t="n">
        <v>15</v>
      </c>
      <c r="G41" s="3" t="n">
        <v>13.5</v>
      </c>
      <c r="H41" s="3" t="n">
        <v>12</v>
      </c>
      <c r="I41" s="3" t="n">
        <v>11</v>
      </c>
      <c r="J41" s="3" t="n">
        <v>9.5</v>
      </c>
      <c r="K41" s="3" t="n">
        <v>8</v>
      </c>
      <c r="L41" s="3" t="n">
        <v>7</v>
      </c>
    </row>
    <row r="42" customFormat="false" ht="15" hidden="false" customHeight="false" outlineLevel="0" collapsed="false">
      <c r="A42" s="0" t="s">
        <v>106</v>
      </c>
      <c r="C42" s="3" t="n">
        <v>23.5</v>
      </c>
      <c r="D42" s="3" t="n">
        <v>24.8</v>
      </c>
      <c r="E42" s="3" t="n">
        <v>26</v>
      </c>
      <c r="F42" s="3" t="n">
        <v>27.2</v>
      </c>
      <c r="G42" s="3" t="n">
        <v>28.4</v>
      </c>
      <c r="H42" s="3" t="n">
        <v>29.5</v>
      </c>
      <c r="I42" s="3" t="n">
        <v>30.5</v>
      </c>
      <c r="J42" s="3" t="n">
        <v>31.3</v>
      </c>
      <c r="K42" s="3" t="n">
        <v>32</v>
      </c>
      <c r="L42" s="3" t="n">
        <v>32</v>
      </c>
    </row>
    <row r="43" customFormat="false" ht="15" hidden="false" customHeight="false" outlineLevel="0" collapsed="false">
      <c r="A43" s="0" t="s">
        <v>107</v>
      </c>
      <c r="C43" s="3" t="n">
        <v>3.2</v>
      </c>
      <c r="D43" s="3" t="n">
        <v>3.15</v>
      </c>
      <c r="E43" s="3" t="n">
        <v>3.1</v>
      </c>
      <c r="F43" s="3" t="n">
        <v>3</v>
      </c>
      <c r="G43" s="3" t="n">
        <v>2.95</v>
      </c>
      <c r="H43" s="3" t="n">
        <v>2.9</v>
      </c>
      <c r="I43" s="3" t="n">
        <v>2.85</v>
      </c>
      <c r="J43" s="3" t="n">
        <v>2.8</v>
      </c>
      <c r="K43" s="3" t="n">
        <v>2.75</v>
      </c>
      <c r="L43" s="3" t="n">
        <v>2.7</v>
      </c>
    </row>
    <row r="44" customFormat="false" ht="15" hidden="false" customHeight="false" outlineLevel="0" collapsed="false">
      <c r="A44" s="0" t="s">
        <v>108</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109</v>
      </c>
      <c r="C45" s="3" t="n">
        <v>3.3</v>
      </c>
      <c r="D45" s="3" t="n">
        <v>3.4</v>
      </c>
      <c r="E45" s="3" t="n">
        <v>3.5</v>
      </c>
      <c r="F45" s="3" t="n">
        <v>3.6</v>
      </c>
      <c r="G45" s="3" t="n">
        <v>3.7</v>
      </c>
      <c r="H45" s="3" t="n">
        <v>3.8</v>
      </c>
      <c r="I45" s="3" t="n">
        <v>3.9</v>
      </c>
      <c r="J45" s="3" t="n">
        <v>4</v>
      </c>
      <c r="K45" s="3" t="n">
        <v>4</v>
      </c>
      <c r="L45" s="3" t="n">
        <v>4</v>
      </c>
    </row>
    <row r="46" customFormat="false" ht="15" hidden="false" customHeight="false" outlineLevel="0" collapsed="false">
      <c r="A46" s="0" t="s">
        <v>110</v>
      </c>
      <c r="C46" s="3" t="n">
        <v>7</v>
      </c>
      <c r="D46" s="3" t="n">
        <v>6.5</v>
      </c>
      <c r="E46" s="3" t="n">
        <v>6</v>
      </c>
      <c r="F46" s="3" t="n">
        <v>5.5</v>
      </c>
      <c r="G46" s="3" t="n">
        <v>5.2</v>
      </c>
      <c r="H46" s="3" t="n">
        <v>5</v>
      </c>
      <c r="I46" s="3" t="n">
        <v>4.8</v>
      </c>
      <c r="J46" s="3" t="n">
        <v>4.6</v>
      </c>
      <c r="K46" s="3" t="n">
        <v>4.5</v>
      </c>
      <c r="L46" s="3" t="n">
        <v>4.5</v>
      </c>
    </row>
    <row r="47" customFormat="false" ht="15" hidden="false" customHeight="false" outlineLevel="0" collapsed="false">
      <c r="A47" s="0" t="s">
        <v>111</v>
      </c>
      <c r="C47" s="3" t="n">
        <v>14</v>
      </c>
      <c r="D47" s="3" t="n">
        <v>16</v>
      </c>
      <c r="E47" s="3" t="n">
        <v>18</v>
      </c>
      <c r="F47" s="3" t="n">
        <v>20</v>
      </c>
      <c r="G47" s="3" t="n">
        <v>21</v>
      </c>
      <c r="H47" s="3" t="n">
        <v>22</v>
      </c>
      <c r="I47" s="3" t="n">
        <v>22</v>
      </c>
      <c r="J47" s="3" t="n">
        <v>22</v>
      </c>
      <c r="K47" s="3" t="n">
        <v>22</v>
      </c>
      <c r="L47" s="3" t="n">
        <v>22</v>
      </c>
    </row>
    <row r="48" customFormat="false" ht="15" hidden="false" customHeight="false" outlineLevel="0" collapsed="false">
      <c r="A48" s="0" t="s">
        <v>112</v>
      </c>
      <c r="B48" s="3" t="n">
        <v>9</v>
      </c>
    </row>
    <row r="49" customFormat="false" ht="15" hidden="false" customHeight="false" outlineLevel="0" collapsed="false">
      <c r="A49" s="0" t="s">
        <v>113</v>
      </c>
      <c r="B49" s="3" t="n">
        <v>3</v>
      </c>
    </row>
    <row r="50" customFormat="false" ht="15" hidden="false" customHeight="false" outlineLevel="0" collapsed="false">
      <c r="A50" s="0" t="s">
        <v>114</v>
      </c>
      <c r="B50" s="3" t="n">
        <v>20</v>
      </c>
    </row>
    <row r="51" customFormat="false" ht="15" hidden="false" customHeight="false" outlineLevel="0" collapsed="false">
      <c r="A51" s="0" t="s">
        <v>115</v>
      </c>
      <c r="B51" s="3" t="n">
        <v>-8</v>
      </c>
    </row>
    <row r="52" customFormat="false" ht="15" hidden="false" customHeight="false" outlineLevel="0" collapsed="false">
      <c r="A52" s="0" t="s">
        <v>116</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119</v>
      </c>
    </row>
    <row r="3" customFormat="false" ht="15" hidden="false" customHeight="false" outlineLevel="0" collapsed="false">
      <c r="A3" s="0" t="s">
        <v>120</v>
      </c>
      <c r="B3" s="0" t="s">
        <v>90</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Assumptions!C13</f>
        <v>14</v>
      </c>
      <c r="D5" s="4" t="n">
        <f aca="false">Assumptions!D13</f>
        <v>10</v>
      </c>
      <c r="E5" s="4" t="n">
        <f aca="false">Assumptions!E13</f>
        <v>9</v>
      </c>
      <c r="F5" s="4" t="n">
        <f aca="false">Assumptions!F13</f>
        <v>8</v>
      </c>
      <c r="G5" s="4" t="n">
        <f aca="false">Assumptions!G13</f>
        <v>7</v>
      </c>
      <c r="H5" s="4" t="n">
        <f aca="false">Assumptions!H13</f>
        <v>6</v>
      </c>
      <c r="I5" s="4" t="n">
        <f aca="false">Assumptions!I13</f>
        <v>5</v>
      </c>
      <c r="J5" s="4" t="n">
        <f aca="false">Assumptions!J13</f>
        <v>4.5</v>
      </c>
      <c r="K5" s="4" t="n">
        <f aca="false">Assumptions!K13</f>
        <v>4</v>
      </c>
      <c r="L5" s="4" t="n">
        <f aca="false">Assumptions!L13</f>
        <v>4</v>
      </c>
    </row>
    <row r="6" customFormat="false" ht="15" hidden="false" customHeight="false" outlineLevel="0" collapsed="false">
      <c r="A6" s="0" t="s">
        <v>37</v>
      </c>
      <c r="B6" s="3" t="n">
        <v>3053.4</v>
      </c>
      <c r="C6" s="0" t="n">
        <f aca="false">B6*(1+C5/100)</f>
        <v>3480.876</v>
      </c>
      <c r="D6" s="0" t="n">
        <f aca="false">C6*(1+D5/100)</f>
        <v>3828.9636</v>
      </c>
      <c r="E6" s="0" t="n">
        <f aca="false">D6*(1+E5/100)</f>
        <v>4173.570324</v>
      </c>
      <c r="F6" s="0" t="n">
        <f aca="false">E6*(1+F5/100)</f>
        <v>4507.45594992</v>
      </c>
      <c r="G6" s="0" t="n">
        <f aca="false">F6*(1+G5/100)</f>
        <v>4822.9778664144</v>
      </c>
      <c r="H6" s="0" t="n">
        <f aca="false">G6*(1+H5/100)</f>
        <v>5112.35653839927</v>
      </c>
      <c r="I6" s="0" t="n">
        <f aca="false">H6*(1+I5/100)</f>
        <v>5367.97436531923</v>
      </c>
      <c r="J6" s="0" t="n">
        <f aca="false">I6*(1+J5/100)</f>
        <v>5609.53321175859</v>
      </c>
      <c r="K6" s="0" t="n">
        <f aca="false">J6*(1+K5/100)</f>
        <v>5833.91454022894</v>
      </c>
      <c r="L6" s="0" t="n">
        <f aca="false">K6*(1+L5/100)</f>
        <v>6067.2711218381</v>
      </c>
    </row>
    <row r="7" customFormat="false" ht="15" hidden="false" customHeight="false" outlineLevel="0" collapsed="false">
      <c r="A7" s="0" t="s">
        <v>106</v>
      </c>
      <c r="C7" s="4" t="n">
        <f aca="false">Assumptions!C14</f>
        <v>22.8</v>
      </c>
      <c r="D7" s="4" t="n">
        <f aca="false">Assumptions!D14</f>
        <v>23.2</v>
      </c>
      <c r="E7" s="4" t="n">
        <f aca="false">Assumptions!E14</f>
        <v>23.6</v>
      </c>
      <c r="F7" s="4" t="n">
        <f aca="false">Assumptions!F14</f>
        <v>24</v>
      </c>
      <c r="G7" s="4" t="n">
        <f aca="false">Assumptions!G14</f>
        <v>24.3</v>
      </c>
      <c r="H7" s="4" t="n">
        <f aca="false">Assumptions!H14</f>
        <v>24.6</v>
      </c>
      <c r="I7" s="4" t="n">
        <f aca="false">Assumptions!I14</f>
        <v>24.8</v>
      </c>
      <c r="J7" s="4" t="n">
        <f aca="false">Assumptions!J14</f>
        <v>25</v>
      </c>
      <c r="K7" s="4" t="n">
        <f aca="false">Assumptions!K14</f>
        <v>25</v>
      </c>
      <c r="L7" s="4" t="n">
        <f aca="false">Assumptions!L14</f>
        <v>25</v>
      </c>
    </row>
    <row r="8" customFormat="false" ht="15" hidden="false" customHeight="false" outlineLevel="0" collapsed="false">
      <c r="A8" s="0" t="s">
        <v>43</v>
      </c>
      <c r="C8" s="0" t="n">
        <f aca="false">C6*C7/100</f>
        <v>793.639728</v>
      </c>
      <c r="D8" s="0" t="n">
        <f aca="false">D6*D7/100</f>
        <v>888.3195552</v>
      </c>
      <c r="E8" s="0" t="n">
        <f aca="false">E6*E7/100</f>
        <v>984.962596464</v>
      </c>
      <c r="F8" s="0" t="n">
        <f aca="false">F6*F7/100</f>
        <v>1081.7894279808</v>
      </c>
      <c r="G8" s="0" t="n">
        <f aca="false">G6*G7/100</f>
        <v>1171.9836215387</v>
      </c>
      <c r="H8" s="0" t="n">
        <f aca="false">H6*H7/100</f>
        <v>1257.63970844622</v>
      </c>
      <c r="I8" s="0" t="n">
        <f aca="false">I6*I7/100</f>
        <v>1331.25764259917</v>
      </c>
      <c r="J8" s="0" t="n">
        <f aca="false">J6*J7/100</f>
        <v>1402.38330293965</v>
      </c>
      <c r="K8" s="0" t="n">
        <f aca="false">K6*K7/100</f>
        <v>1458.47863505723</v>
      </c>
      <c r="L8" s="0" t="n">
        <f aca="false">L6*L7/100</f>
        <v>1516.81778045952</v>
      </c>
    </row>
    <row r="9" customFormat="false" ht="15" hidden="false" customHeight="false" outlineLevel="0" collapsed="false">
      <c r="A9" s="0" t="s">
        <v>107</v>
      </c>
      <c r="C9" s="4" t="n">
        <f aca="false">Assumptions!C15</f>
        <v>3.2</v>
      </c>
      <c r="D9" s="4" t="n">
        <f aca="false">Assumptions!D15</f>
        <v>3.2</v>
      </c>
      <c r="E9" s="4" t="n">
        <f aca="false">Assumptions!E15</f>
        <v>3.15</v>
      </c>
      <c r="F9" s="4" t="n">
        <f aca="false">Assumptions!F15</f>
        <v>3.1</v>
      </c>
      <c r="G9" s="4" t="n">
        <f aca="false">Assumptions!G15</f>
        <v>3.05</v>
      </c>
      <c r="H9" s="4" t="n">
        <f aca="false">Assumptions!H15</f>
        <v>3</v>
      </c>
      <c r="I9" s="4" t="n">
        <f aca="false">Assumptions!I15</f>
        <v>3</v>
      </c>
      <c r="J9" s="4" t="n">
        <f aca="false">Assumptions!J15</f>
        <v>3</v>
      </c>
      <c r="K9" s="4" t="n">
        <f aca="false">Assumptions!K15</f>
        <v>3</v>
      </c>
      <c r="L9" s="4" t="n">
        <f aca="false">Assumptions!L15</f>
        <v>3</v>
      </c>
    </row>
    <row r="10" customFormat="false" ht="15" hidden="false" customHeight="false" outlineLevel="0" collapsed="false">
      <c r="A10" s="0" t="s">
        <v>122</v>
      </c>
      <c r="C10" s="0" t="n">
        <f aca="false">-C6*C9/100</f>
        <v>-111.388032</v>
      </c>
      <c r="D10" s="0" t="n">
        <f aca="false">-D6*D9/100</f>
        <v>-122.5268352</v>
      </c>
      <c r="E10" s="0" t="n">
        <f aca="false">-E6*E9/100</f>
        <v>-131.467465206</v>
      </c>
      <c r="F10" s="0" t="n">
        <f aca="false">-F6*F9/100</f>
        <v>-139.73113444752</v>
      </c>
      <c r="G10" s="0" t="n">
        <f aca="false">-G6*G9/100</f>
        <v>-147.100824925639</v>
      </c>
      <c r="H10" s="0" t="n">
        <f aca="false">-H6*H9/100</f>
        <v>-153.370696151978</v>
      </c>
      <c r="I10" s="0" t="n">
        <f aca="false">-I6*I9/100</f>
        <v>-161.039230959577</v>
      </c>
      <c r="J10" s="0" t="n">
        <f aca="false">-J6*J9/100</f>
        <v>-168.285996352758</v>
      </c>
      <c r="K10" s="0" t="n">
        <f aca="false">-K6*K9/100</f>
        <v>-175.017436206868</v>
      </c>
      <c r="L10" s="0" t="n">
        <f aca="false">-L6*L9/100</f>
        <v>-182.018133655143</v>
      </c>
    </row>
    <row r="11" customFormat="false" ht="15" hidden="false" customHeight="false" outlineLevel="0" collapsed="false">
      <c r="A11" s="0" t="s">
        <v>123</v>
      </c>
      <c r="C11" s="0" t="n">
        <f aca="false">C8+C10+C24</f>
        <v>682.251696</v>
      </c>
      <c r="D11" s="0" t="n">
        <f aca="false">D8+D10+D24</f>
        <v>765.79272</v>
      </c>
      <c r="E11" s="0" t="n">
        <f aca="false">E8+E10+E24</f>
        <v>853.495131258</v>
      </c>
      <c r="F11" s="0" t="n">
        <f aca="false">F8+F10+F24</f>
        <v>942.05829353328</v>
      </c>
      <c r="G11" s="0" t="n">
        <f aca="false">G8+G10+G24</f>
        <v>1024.88279661306</v>
      </c>
      <c r="H11" s="0" t="n">
        <f aca="false">H8+H10+H24</f>
        <v>1104.26901229424</v>
      </c>
      <c r="I11" s="0" t="n">
        <f aca="false">I8+I10+I24</f>
        <v>1170.21841163959</v>
      </c>
      <c r="J11" s="0" t="n">
        <f aca="false">J8+J10+J24</f>
        <v>1234.09730658689</v>
      </c>
      <c r="K11" s="0" t="n">
        <f aca="false">K8+K10+K24</f>
        <v>1283.46119885037</v>
      </c>
      <c r="L11" s="0" t="n">
        <f aca="false">L8+L10+L24</f>
        <v>1334.79964680438</v>
      </c>
    </row>
    <row r="12" customFormat="false" ht="15" hidden="false" customHeight="false" outlineLevel="0" collapsed="false">
      <c r="A12" s="0" t="s">
        <v>124</v>
      </c>
      <c r="C12" s="4" t="n">
        <f aca="false">-C6*Assumptions!C17/100</f>
        <v>-114.868908</v>
      </c>
      <c r="D12" s="4" t="n">
        <f aca="false">-D6*Assumptions!D17/100</f>
        <v>-130.1847624</v>
      </c>
      <c r="E12" s="4" t="n">
        <f aca="false">-E6*Assumptions!E17/100</f>
        <v>-146.07496134</v>
      </c>
      <c r="F12" s="4" t="n">
        <f aca="false">-F6*Assumptions!F17/100</f>
        <v>-162.26841419712</v>
      </c>
      <c r="G12" s="4" t="n">
        <f aca="false">-G6*Assumptions!G17/100</f>
        <v>-178.450181057333</v>
      </c>
      <c r="H12" s="4" t="n">
        <f aca="false">-H6*Assumptions!H17/100</f>
        <v>-194.269548459172</v>
      </c>
      <c r="I12" s="4" t="n">
        <f aca="false">-I6*Assumptions!I17/100</f>
        <v>-209.35100024745</v>
      </c>
      <c r="J12" s="4" t="n">
        <f aca="false">-J6*Assumptions!J17/100</f>
        <v>-224.381328470344</v>
      </c>
      <c r="K12" s="4" t="n">
        <f aca="false">-K6*Assumptions!K17/100</f>
        <v>-233.356581609158</v>
      </c>
      <c r="L12" s="4" t="n">
        <f aca="false">-L6*Assumptions!L17/100</f>
        <v>-242.690844873524</v>
      </c>
    </row>
    <row r="13" customFormat="false" ht="15" hidden="false" customHeight="false" outlineLevel="0" collapsed="false">
      <c r="A13" s="0" t="s">
        <v>125</v>
      </c>
      <c r="C13" s="0" t="n">
        <f aca="false">C11+C12</f>
        <v>567.382788</v>
      </c>
      <c r="D13" s="0" t="n">
        <f aca="false">D11+D12</f>
        <v>635.6079576</v>
      </c>
      <c r="E13" s="0" t="n">
        <f aca="false">E11+E12</f>
        <v>707.420169918</v>
      </c>
      <c r="F13" s="0" t="n">
        <f aca="false">F11+F12</f>
        <v>779.78987933616</v>
      </c>
      <c r="G13" s="0" t="n">
        <f aca="false">G11+G12</f>
        <v>846.432615555727</v>
      </c>
      <c r="H13" s="0" t="n">
        <f aca="false">H11+H12</f>
        <v>909.99946383507</v>
      </c>
      <c r="I13" s="0" t="n">
        <f aca="false">I11+I12</f>
        <v>960.867411392142</v>
      </c>
      <c r="J13" s="0" t="n">
        <f aca="false">J11+J12</f>
        <v>1009.71597811655</v>
      </c>
      <c r="K13" s="0" t="n">
        <f aca="false">K11+K12</f>
        <v>1050.10461724121</v>
      </c>
      <c r="L13" s="0" t="n">
        <f aca="false">L11+L12</f>
        <v>1092.10880193086</v>
      </c>
    </row>
    <row r="14" customFormat="false" ht="15" hidden="false" customHeight="false" outlineLevel="0" collapsed="false">
      <c r="A14" s="0" t="s">
        <v>111</v>
      </c>
      <c r="C14" s="4" t="n">
        <f aca="false">Assumptions!C19</f>
        <v>14</v>
      </c>
      <c r="D14" s="4" t="n">
        <f aca="false">Assumptions!D19</f>
        <v>16</v>
      </c>
      <c r="E14" s="4" t="n">
        <f aca="false">Assumptions!E19</f>
        <v>18</v>
      </c>
      <c r="F14" s="4" t="n">
        <f aca="false">Assumptions!F19</f>
        <v>20</v>
      </c>
      <c r="G14" s="4" t="n">
        <f aca="false">Assumptions!G19</f>
        <v>21</v>
      </c>
      <c r="H14" s="4" t="n">
        <f aca="false">Assumptions!H19</f>
        <v>22</v>
      </c>
      <c r="I14" s="4" t="n">
        <f aca="false">Assumptions!I19</f>
        <v>22</v>
      </c>
      <c r="J14" s="4" t="n">
        <f aca="false">Assumptions!J19</f>
        <v>22</v>
      </c>
      <c r="K14" s="4" t="n">
        <f aca="false">Assumptions!K19</f>
        <v>22</v>
      </c>
      <c r="L14" s="4" t="n">
        <f aca="false">Assumptions!L19</f>
        <v>22</v>
      </c>
    </row>
    <row r="15" customFormat="false" ht="15" hidden="false" customHeight="false" outlineLevel="0" collapsed="false">
      <c r="A15" s="0" t="s">
        <v>126</v>
      </c>
      <c r="C15" s="0" t="n">
        <f aca="false">C13-MAX(0,C13)*C14/100</f>
        <v>487.94919768</v>
      </c>
      <c r="D15" s="0" t="n">
        <f aca="false">D13-MAX(0,D13)*D14/100</f>
        <v>533.910684384</v>
      </c>
      <c r="E15" s="0" t="n">
        <f aca="false">E13-MAX(0,E13)*E14/100</f>
        <v>580.08453933276</v>
      </c>
      <c r="F15" s="0" t="n">
        <f aca="false">F13-MAX(0,F13)*F14/100</f>
        <v>623.831903468928</v>
      </c>
      <c r="G15" s="0" t="n">
        <f aca="false">G13-MAX(0,G13)*G14/100</f>
        <v>668.681766289025</v>
      </c>
      <c r="H15" s="0" t="n">
        <f aca="false">H13-MAX(0,H13)*H14/100</f>
        <v>709.799581791354</v>
      </c>
      <c r="I15" s="0" t="n">
        <f aca="false">I13-MAX(0,I13)*I14/100</f>
        <v>749.476580885871</v>
      </c>
      <c r="J15" s="0" t="n">
        <f aca="false">J13-MAX(0,J13)*J14/100</f>
        <v>787.578462930907</v>
      </c>
      <c r="K15" s="0" t="n">
        <f aca="false">K13-MAX(0,K13)*K14/100</f>
        <v>819.081601448143</v>
      </c>
      <c r="L15" s="0" t="n">
        <f aca="false">L13-MAX(0,L13)*L14/100</f>
        <v>851.844865506069</v>
      </c>
    </row>
    <row r="16" customFormat="false" ht="15" hidden="false" customHeight="false" outlineLevel="0" collapsed="false">
      <c r="A16" s="0" t="s">
        <v>127</v>
      </c>
      <c r="C16" s="0" t="n">
        <f aca="false">-C12</f>
        <v>114.868908</v>
      </c>
      <c r="D16" s="0" t="n">
        <f aca="false">-D12</f>
        <v>130.1847624</v>
      </c>
      <c r="E16" s="0" t="n">
        <f aca="false">-E12</f>
        <v>146.07496134</v>
      </c>
      <c r="F16" s="0" t="n">
        <f aca="false">-F12</f>
        <v>162.26841419712</v>
      </c>
      <c r="G16" s="0" t="n">
        <f aca="false">-G12</f>
        <v>178.450181057333</v>
      </c>
      <c r="H16" s="0" t="n">
        <f aca="false">-H12</f>
        <v>194.269548459172</v>
      </c>
      <c r="I16" s="0" t="n">
        <f aca="false">-I12</f>
        <v>209.35100024745</v>
      </c>
      <c r="J16" s="0" t="n">
        <f aca="false">-J12</f>
        <v>224.381328470344</v>
      </c>
      <c r="K16" s="0" t="n">
        <f aca="false">-K12</f>
        <v>233.356581609158</v>
      </c>
      <c r="L16" s="0" t="n">
        <f aca="false">-L12</f>
        <v>242.690844873524</v>
      </c>
    </row>
    <row r="17" customFormat="false" ht="15" hidden="false" customHeight="false" outlineLevel="0" collapsed="false">
      <c r="A17" s="0" t="s">
        <v>128</v>
      </c>
      <c r="C17" s="4" t="n">
        <f aca="false">-C6*Assumptions!C18/100</f>
        <v>-243.66132</v>
      </c>
      <c r="D17" s="4" t="n">
        <f aca="false">-D6*Assumptions!D18/100</f>
        <v>-248.882634</v>
      </c>
      <c r="E17" s="4" t="n">
        <f aca="false">-E6*Assumptions!E18/100</f>
        <v>-250.41421944</v>
      </c>
      <c r="F17" s="4" t="n">
        <f aca="false">-F6*Assumptions!F18/100</f>
        <v>-247.9100772456</v>
      </c>
      <c r="G17" s="4" t="n">
        <f aca="false">-G6*Assumptions!G18/100</f>
        <v>-250.794849053549</v>
      </c>
      <c r="H17" s="4" t="n">
        <f aca="false">-H6*Assumptions!H18/100</f>
        <v>-255.617826919963</v>
      </c>
      <c r="I17" s="4" t="n">
        <f aca="false">-I6*Assumptions!I18/100</f>
        <v>-257.662769535323</v>
      </c>
      <c r="J17" s="4" t="n">
        <f aca="false">-J6*Assumptions!J18/100</f>
        <v>-258.038527740895</v>
      </c>
      <c r="K17" s="4" t="n">
        <f aca="false">-K6*Assumptions!K18/100</f>
        <v>-262.526154310302</v>
      </c>
      <c r="L17" s="4" t="n">
        <f aca="false">-L6*Assumptions!L18/100</f>
        <v>-273.027200482714</v>
      </c>
    </row>
    <row r="18" customFormat="false" ht="15" hidden="false" customHeight="false" outlineLevel="0" collapsed="false">
      <c r="A18" s="0" t="s">
        <v>129</v>
      </c>
      <c r="C18" s="4" t="n">
        <f aca="false">(C6-B6)*Assumptions!$B$23/100</f>
        <v>-34.1980800000001</v>
      </c>
      <c r="D18" s="4" t="n">
        <f aca="false">(D6-C6)*Assumptions!$B$23/100</f>
        <v>-27.847008</v>
      </c>
      <c r="E18" s="4" t="n">
        <f aca="false">(E6-D6)*Assumptions!$B$23/100</f>
        <v>-27.56853792</v>
      </c>
      <c r="F18" s="4" t="n">
        <f aca="false">(F6-E6)*Assumptions!$B$23/100</f>
        <v>-26.7108500736</v>
      </c>
      <c r="G18" s="4" t="n">
        <f aca="false">(G6-F6)*Assumptions!$B$23/100</f>
        <v>-25.241753319552</v>
      </c>
      <c r="H18" s="4" t="n">
        <f aca="false">(H6-G6)*Assumptions!$B$23/100</f>
        <v>-23.1502937587891</v>
      </c>
      <c r="I18" s="4" t="n">
        <f aca="false">(I6-H6)*Assumptions!$B$23/100</f>
        <v>-20.4494261535971</v>
      </c>
      <c r="J18" s="4" t="n">
        <f aca="false">(J6-I6)*Assumptions!$B$23/100</f>
        <v>-19.3247077151492</v>
      </c>
      <c r="K18" s="4" t="n">
        <f aca="false">(K6-J6)*Assumptions!$B$23/100</f>
        <v>-17.9505062776275</v>
      </c>
      <c r="L18" s="4" t="n">
        <f aca="false">(L6-K6)*Assumptions!$B$23/100</f>
        <v>-18.6685265287326</v>
      </c>
    </row>
    <row r="19" customFormat="false" ht="15" hidden="false" customHeight="false" outlineLevel="0" collapsed="false">
      <c r="A19" s="0" t="s">
        <v>130</v>
      </c>
      <c r="C19" s="0" t="n">
        <f aca="false">C15+C16+C17+C18</f>
        <v>324.95870568</v>
      </c>
      <c r="D19" s="0" t="n">
        <f aca="false">D15+D16+D17+D18</f>
        <v>387.365804784</v>
      </c>
      <c r="E19" s="0" t="n">
        <f aca="false">E15+E16+E17+E18</f>
        <v>448.17674331276</v>
      </c>
      <c r="F19" s="0" t="n">
        <f aca="false">F15+F16+F17+F18</f>
        <v>511.479390346848</v>
      </c>
      <c r="G19" s="0" t="n">
        <f aca="false">G15+G16+G17+G18</f>
        <v>571.095344973257</v>
      </c>
      <c r="H19" s="0" t="n">
        <f aca="false">H15+H16+H17+H18</f>
        <v>625.301009571774</v>
      </c>
      <c r="I19" s="0" t="n">
        <f aca="false">I15+I16+I17+I18</f>
        <v>680.715385444401</v>
      </c>
      <c r="J19" s="0" t="n">
        <f aca="false">J15+J16+J17+J18</f>
        <v>734.596555945206</v>
      </c>
      <c r="K19" s="0" t="n">
        <f aca="false">K15+K16+K17+K18</f>
        <v>771.961522469371</v>
      </c>
      <c r="L19" s="0" t="n">
        <f aca="false">L15+L16+L17+L18</f>
        <v>802.839983368145</v>
      </c>
    </row>
    <row r="20" customFormat="false" ht="15" hidden="false" customHeight="false" outlineLevel="0" collapsed="false">
      <c r="A20" s="0" t="s">
        <v>131</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132</v>
      </c>
      <c r="C21" s="0" t="n">
        <f aca="false">C19*C20</f>
        <v>298.127252917431</v>
      </c>
      <c r="D21" s="0" t="n">
        <f aca="false">D19*D20</f>
        <v>326.038047962293</v>
      </c>
      <c r="E21" s="0" t="n">
        <f aca="false">E19*E20</f>
        <v>346.074677333681</v>
      </c>
      <c r="F21" s="0" t="n">
        <f aca="false">F19*F20</f>
        <v>362.344895061964</v>
      </c>
      <c r="G21" s="0" t="n">
        <f aca="false">G19*G20</f>
        <v>371.172789267</v>
      </c>
      <c r="H21" s="0" t="n">
        <f aca="false">H19*H20</f>
        <v>372.846561472237</v>
      </c>
      <c r="I21" s="0" t="n">
        <f aca="false">I19*I20</f>
        <v>372.374626829805</v>
      </c>
      <c r="J21" s="0" t="n">
        <f aca="false">J19*J20</f>
        <v>368.669240592649</v>
      </c>
      <c r="K21" s="0" t="n">
        <f aca="false">K19*K20</f>
        <v>355.432529662595</v>
      </c>
      <c r="L21" s="0" t="n">
        <f aca="false">L19*L20</f>
        <v>339.12828518266</v>
      </c>
    </row>
    <row r="23" customFormat="false" ht="15" hidden="false" customHeight="false" outlineLevel="0" collapsed="false">
      <c r="A23" s="0" t="s">
        <v>108</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134</v>
      </c>
    </row>
    <row r="27" customFormat="false" ht="15" hidden="false" customHeight="false" outlineLevel="0" collapsed="false">
      <c r="A27" s="0" t="s">
        <v>112</v>
      </c>
      <c r="B27" s="4" t="n">
        <f aca="false">Assumptions!$B$20</f>
        <v>9</v>
      </c>
    </row>
    <row r="28" customFormat="false" ht="15" hidden="false" customHeight="false" outlineLevel="0" collapsed="false">
      <c r="A28" s="0" t="s">
        <v>113</v>
      </c>
      <c r="B28" s="4" t="n">
        <f aca="false">Assumptions!$B$21</f>
        <v>2.5</v>
      </c>
    </row>
    <row r="29" customFormat="false" ht="15" hidden="false" customHeight="false" outlineLevel="0" collapsed="false">
      <c r="A29" s="0" t="s">
        <v>114</v>
      </c>
      <c r="B29" s="4" t="n">
        <f aca="false">Assumptions!$B$22</f>
        <v>14</v>
      </c>
    </row>
    <row r="30" customFormat="false" ht="15" hidden="false" customHeight="false" outlineLevel="0" collapsed="false">
      <c r="A30" s="0" t="s">
        <v>135</v>
      </c>
      <c r="B30" s="0" t="n">
        <f aca="false">SUM(C21:L21)</f>
        <v>3512.20890628232</v>
      </c>
    </row>
    <row r="31" customFormat="false" ht="15" hidden="false" customHeight="false" outlineLevel="0" collapsed="false">
      <c r="A31" s="0" t="s">
        <v>136</v>
      </c>
      <c r="B31" s="0" t="n">
        <f aca="false">L19</f>
        <v>802.839983368145</v>
      </c>
    </row>
    <row r="32" customFormat="false" ht="15" hidden="false" customHeight="false" outlineLevel="0" collapsed="false">
      <c r="A32" s="0" t="s">
        <v>137</v>
      </c>
      <c r="B32" s="0" t="n">
        <f aca="false">IF(B27&gt;B28,B31*(1+B28/100)/((B27-B28)/100),B31*B29)</f>
        <v>12660.1689684977</v>
      </c>
    </row>
    <row r="33" customFormat="false" ht="15" hidden="false" customHeight="false" outlineLevel="0" collapsed="false">
      <c r="A33" s="0" t="s">
        <v>138</v>
      </c>
      <c r="B33" s="0" t="n">
        <f aca="false">B31*B29</f>
        <v>11239.759767154</v>
      </c>
    </row>
    <row r="34" customFormat="false" ht="15" hidden="false" customHeight="false" outlineLevel="0" collapsed="false">
      <c r="A34" s="0" t="s">
        <v>139</v>
      </c>
      <c r="B34" s="0" t="n">
        <f aca="false">MAX(0,MIN(B32,B33))</f>
        <v>11239.759767154</v>
      </c>
    </row>
    <row r="35" customFormat="false" ht="15" hidden="false" customHeight="false" outlineLevel="0" collapsed="false">
      <c r="A35" s="0" t="s">
        <v>140</v>
      </c>
      <c r="B35" s="0" t="n">
        <f aca="false">B34/(1+B27/100)^L4</f>
        <v>4747.79599255724</v>
      </c>
    </row>
    <row r="36" customFormat="false" ht="15" hidden="false" customHeight="false" outlineLevel="0" collapsed="false">
      <c r="A36" s="0" t="s">
        <v>141</v>
      </c>
      <c r="B36" s="0" t="n">
        <f aca="false">B30+B35</f>
        <v>8260.00489883955</v>
      </c>
    </row>
    <row r="37" customFormat="false" ht="15" hidden="false" customHeight="false" outlineLevel="0" collapsed="false">
      <c r="A37" s="0" t="s">
        <v>142</v>
      </c>
      <c r="B37" s="0" t="n">
        <f aca="false">B36+Assumptions!$B$5-Assumptions!$B$4</f>
        <v>7846.50489883955</v>
      </c>
    </row>
    <row r="38" customFormat="false" ht="15" hidden="false" customHeight="false" outlineLevel="0" collapsed="false">
      <c r="A38" s="0" t="s">
        <v>143</v>
      </c>
      <c r="B38" s="0" t="n">
        <f aca="false">B37/Assumptions!$B$3*Assumptions!$B$10</f>
        <v>113.062030242645</v>
      </c>
    </row>
    <row r="39" customFormat="false" ht="15" hidden="false" customHeight="false" outlineLevel="0" collapsed="false">
      <c r="A39" s="0" t="s">
        <v>144</v>
      </c>
      <c r="B39" s="4" t="n">
        <f aca="false">B38/Assumptions!$B$2-1</f>
        <v>-0.13554529977334</v>
      </c>
    </row>
    <row r="41" customFormat="false" ht="15" hidden="false" customHeight="false" outlineLevel="0" collapsed="false">
      <c r="A41" s="0" t="s">
        <v>145</v>
      </c>
      <c r="B41" s="0" t="n">
        <f aca="false">SUMPRODUCT(-C10:L10/(1+$B$27/100)^C4:L4)</f>
        <v>922.9010394136</v>
      </c>
    </row>
    <row r="42" customFormat="false" ht="15" hidden="false" customHeight="false" outlineLevel="0" collapsed="false">
      <c r="A42" s="0" t="s">
        <v>146</v>
      </c>
      <c r="B42" s="0" t="n">
        <f aca="false">IF(B27&gt;B28,-L10*(1+B28/100)/((B27-B28)/100),-L10*20)/(1+B27/100)^L4</f>
        <v>1212.43980576291</v>
      </c>
    </row>
    <row r="43" customFormat="false" ht="15" hidden="false" customHeight="false" outlineLevel="0" collapsed="false">
      <c r="A43" s="0" t="s">
        <v>147</v>
      </c>
      <c r="B43" s="0" t="n">
        <f aca="false">(B37+B41+B42)/Assumptions!$B$3*Assumptions!$B$10</f>
        <v>143.830630317234</v>
      </c>
    </row>
    <row r="45" customFormat="false" ht="15" hidden="false" customHeight="false" outlineLevel="0" collapsed="false">
      <c r="A45" s="0" t="s">
        <v>87</v>
      </c>
      <c r="B45" s="4" t="n">
        <f aca="false">Assumptions!$B$6</f>
        <v>15</v>
      </c>
    </row>
    <row r="46" customFormat="false" ht="15" hidden="false" customHeight="false" outlineLevel="0" collapsed="false">
      <c r="A46" s="0" t="s">
        <v>148</v>
      </c>
      <c r="B46" s="0" t="n">
        <f aca="false">MAX(0,MIN(IF(B45&gt;B28,B31*(1+B28/100)/((B45-B28)/100),B31*B29),B31*B29))</f>
        <v>6583.28786361879</v>
      </c>
    </row>
    <row r="47" customFormat="false" ht="15" hidden="false" customHeight="false" outlineLevel="0" collapsed="false">
      <c r="A47" s="0" t="s">
        <v>149</v>
      </c>
      <c r="B47" s="0" t="n">
        <f aca="false">(SUMPRODUCT(C19:L19/(1+B45/100)^C4:L4)+B46/(1+B45/100)^L4+Assumptions!$B$5-Assumptions!$B$4)/Assumptions!$B$3*Assumptions!$B$10</f>
        <v>55.3976254203203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150</v>
      </c>
    </row>
    <row r="3" customFormat="false" ht="15" hidden="false" customHeight="false" outlineLevel="0" collapsed="false">
      <c r="A3" s="0" t="s">
        <v>120</v>
      </c>
      <c r="B3" s="0" t="s">
        <v>90</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Assumptions!C27</f>
        <v>16</v>
      </c>
      <c r="D5" s="4" t="n">
        <f aca="false">Assumptions!D27</f>
        <v>14.5</v>
      </c>
      <c r="E5" s="4" t="n">
        <f aca="false">Assumptions!E27</f>
        <v>13</v>
      </c>
      <c r="F5" s="4" t="n">
        <f aca="false">Assumptions!F27</f>
        <v>12</v>
      </c>
      <c r="G5" s="4" t="n">
        <f aca="false">Assumptions!G27</f>
        <v>11</v>
      </c>
      <c r="H5" s="4" t="n">
        <f aca="false">Assumptions!H27</f>
        <v>10</v>
      </c>
      <c r="I5" s="4" t="n">
        <f aca="false">Assumptions!I27</f>
        <v>9</v>
      </c>
      <c r="J5" s="4" t="n">
        <f aca="false">Assumptions!J27</f>
        <v>8</v>
      </c>
      <c r="K5" s="4" t="n">
        <f aca="false">Assumptions!K27</f>
        <v>7</v>
      </c>
      <c r="L5" s="4" t="n">
        <f aca="false">Assumptions!L27</f>
        <v>6</v>
      </c>
    </row>
    <row r="6" customFormat="false" ht="15" hidden="false" customHeight="false" outlineLevel="0" collapsed="false">
      <c r="A6" s="0" t="s">
        <v>37</v>
      </c>
      <c r="B6" s="3" t="n">
        <v>3053.4</v>
      </c>
      <c r="C6" s="0" t="n">
        <f aca="false">B6*(1+C5/100)</f>
        <v>3541.944</v>
      </c>
      <c r="D6" s="0" t="n">
        <f aca="false">C6*(1+D5/100)</f>
        <v>4055.52588</v>
      </c>
      <c r="E6" s="0" t="n">
        <f aca="false">D6*(1+E5/100)</f>
        <v>4582.7442444</v>
      </c>
      <c r="F6" s="0" t="n">
        <f aca="false">E6*(1+F5/100)</f>
        <v>5132.673553728</v>
      </c>
      <c r="G6" s="0" t="n">
        <f aca="false">F6*(1+G5/100)</f>
        <v>5697.26764463808</v>
      </c>
      <c r="H6" s="0" t="n">
        <f aca="false">G6*(1+H5/100)</f>
        <v>6266.99440910189</v>
      </c>
      <c r="I6" s="0" t="n">
        <f aca="false">H6*(1+I5/100)</f>
        <v>6831.02390592106</v>
      </c>
      <c r="J6" s="0" t="n">
        <f aca="false">I6*(1+J5/100)</f>
        <v>7377.50581839475</v>
      </c>
      <c r="K6" s="0" t="n">
        <f aca="false">J6*(1+K5/100)</f>
        <v>7893.93122568238</v>
      </c>
      <c r="L6" s="0" t="n">
        <f aca="false">K6*(1+L5/100)</f>
        <v>8367.56709922332</v>
      </c>
    </row>
    <row r="7" customFormat="false" ht="15" hidden="false" customHeight="false" outlineLevel="0" collapsed="false">
      <c r="A7" s="0" t="s">
        <v>106</v>
      </c>
      <c r="C7" s="4" t="n">
        <f aca="false">Assumptions!C28</f>
        <v>23.3</v>
      </c>
      <c r="D7" s="4" t="n">
        <f aca="false">Assumptions!D28</f>
        <v>24.3</v>
      </c>
      <c r="E7" s="4" t="n">
        <f aca="false">Assumptions!E28</f>
        <v>25.2</v>
      </c>
      <c r="F7" s="4" t="n">
        <f aca="false">Assumptions!F28</f>
        <v>26</v>
      </c>
      <c r="G7" s="4" t="n">
        <f aca="false">Assumptions!G28</f>
        <v>26.8</v>
      </c>
      <c r="H7" s="4" t="n">
        <f aca="false">Assumptions!H28</f>
        <v>27.5</v>
      </c>
      <c r="I7" s="4" t="n">
        <f aca="false">Assumptions!I28</f>
        <v>28</v>
      </c>
      <c r="J7" s="4" t="n">
        <f aca="false">Assumptions!J28</f>
        <v>28.5</v>
      </c>
      <c r="K7" s="4" t="n">
        <f aca="false">Assumptions!K28</f>
        <v>29</v>
      </c>
      <c r="L7" s="4" t="n">
        <f aca="false">Assumptions!L28</f>
        <v>29</v>
      </c>
    </row>
    <row r="8" customFormat="false" ht="15" hidden="false" customHeight="false" outlineLevel="0" collapsed="false">
      <c r="A8" s="0" t="s">
        <v>43</v>
      </c>
      <c r="C8" s="0" t="n">
        <f aca="false">C6*C7/100</f>
        <v>825.272952</v>
      </c>
      <c r="D8" s="0" t="n">
        <f aca="false">D6*D7/100</f>
        <v>985.49278884</v>
      </c>
      <c r="E8" s="0" t="n">
        <f aca="false">E6*E7/100</f>
        <v>1154.8515495888</v>
      </c>
      <c r="F8" s="0" t="n">
        <f aca="false">F6*F7/100</f>
        <v>1334.49512396928</v>
      </c>
      <c r="G8" s="0" t="n">
        <f aca="false">G6*G7/100</f>
        <v>1526.86772876301</v>
      </c>
      <c r="H8" s="0" t="n">
        <f aca="false">H6*H7/100</f>
        <v>1723.42346250302</v>
      </c>
      <c r="I8" s="0" t="n">
        <f aca="false">I6*I7/100</f>
        <v>1912.6866936579</v>
      </c>
      <c r="J8" s="0" t="n">
        <f aca="false">J6*J7/100</f>
        <v>2102.5891582425</v>
      </c>
      <c r="K8" s="0" t="n">
        <f aca="false">K6*K7/100</f>
        <v>2289.24005544789</v>
      </c>
      <c r="L8" s="0" t="n">
        <f aca="false">L6*L7/100</f>
        <v>2426.59445877476</v>
      </c>
    </row>
    <row r="9" customFormat="false" ht="15" hidden="false" customHeight="false" outlineLevel="0" collapsed="false">
      <c r="A9" s="0" t="s">
        <v>107</v>
      </c>
      <c r="C9" s="4" t="n">
        <f aca="false">Assumptions!C29</f>
        <v>3.2</v>
      </c>
      <c r="D9" s="4" t="n">
        <f aca="false">Assumptions!D29</f>
        <v>3.15</v>
      </c>
      <c r="E9" s="4" t="n">
        <f aca="false">Assumptions!E29</f>
        <v>3.1</v>
      </c>
      <c r="F9" s="4" t="n">
        <f aca="false">Assumptions!F29</f>
        <v>3</v>
      </c>
      <c r="G9" s="4" t="n">
        <f aca="false">Assumptions!G29</f>
        <v>2.95</v>
      </c>
      <c r="H9" s="4" t="n">
        <f aca="false">Assumptions!H29</f>
        <v>2.9</v>
      </c>
      <c r="I9" s="4" t="n">
        <f aca="false">Assumptions!I29</f>
        <v>2.85</v>
      </c>
      <c r="J9" s="4" t="n">
        <f aca="false">Assumptions!J29</f>
        <v>2.8</v>
      </c>
      <c r="K9" s="4" t="n">
        <f aca="false">Assumptions!K29</f>
        <v>2.75</v>
      </c>
      <c r="L9" s="4" t="n">
        <f aca="false">Assumptions!L29</f>
        <v>2.7</v>
      </c>
    </row>
    <row r="10" customFormat="false" ht="15" hidden="false" customHeight="false" outlineLevel="0" collapsed="false">
      <c r="A10" s="0" t="s">
        <v>122</v>
      </c>
      <c r="C10" s="0" t="n">
        <f aca="false">-C6*C9/100</f>
        <v>-113.342208</v>
      </c>
      <c r="D10" s="0" t="n">
        <f aca="false">-D6*D9/100</f>
        <v>-127.74906522</v>
      </c>
      <c r="E10" s="0" t="n">
        <f aca="false">-E6*E9/100</f>
        <v>-142.0650715764</v>
      </c>
      <c r="F10" s="0" t="n">
        <f aca="false">-F6*F9/100</f>
        <v>-153.98020661184</v>
      </c>
      <c r="G10" s="0" t="n">
        <f aca="false">-G6*G9/100</f>
        <v>-168.069395516823</v>
      </c>
      <c r="H10" s="0" t="n">
        <f aca="false">-H6*H9/100</f>
        <v>-181.742837863955</v>
      </c>
      <c r="I10" s="0" t="n">
        <f aca="false">-I6*I9/100</f>
        <v>-194.68418131875</v>
      </c>
      <c r="J10" s="0" t="n">
        <f aca="false">-J6*J9/100</f>
        <v>-206.570162915053</v>
      </c>
      <c r="K10" s="0" t="n">
        <f aca="false">-K6*K9/100</f>
        <v>-217.083108706265</v>
      </c>
      <c r="L10" s="0" t="n">
        <f aca="false">-L6*L9/100</f>
        <v>-225.92431167903</v>
      </c>
    </row>
    <row r="11" customFormat="false" ht="15" hidden="false" customHeight="false" outlineLevel="0" collapsed="false">
      <c r="A11" s="0" t="s">
        <v>123</v>
      </c>
      <c r="C11" s="0" t="n">
        <f aca="false">C8+C10+C24</f>
        <v>711.930744</v>
      </c>
      <c r="D11" s="0" t="n">
        <f aca="false">D8+D10+D24</f>
        <v>857.74372362</v>
      </c>
      <c r="E11" s="0" t="n">
        <f aca="false">E8+E10+E24</f>
        <v>1012.7864780124</v>
      </c>
      <c r="F11" s="0" t="n">
        <f aca="false">F8+F10+F24</f>
        <v>1180.51491735744</v>
      </c>
      <c r="G11" s="0" t="n">
        <f aca="false">G8+G10+G24</f>
        <v>1358.79833324618</v>
      </c>
      <c r="H11" s="0" t="n">
        <f aca="false">H8+H10+H24</f>
        <v>1541.68062463906</v>
      </c>
      <c r="I11" s="0" t="n">
        <f aca="false">I8+I10+I24</f>
        <v>1718.00251233915</v>
      </c>
      <c r="J11" s="0" t="n">
        <f aca="false">J8+J10+J24</f>
        <v>1896.01899532745</v>
      </c>
      <c r="K11" s="0" t="n">
        <f aca="false">K8+K10+K24</f>
        <v>2072.15694674162</v>
      </c>
      <c r="L11" s="0" t="n">
        <f aca="false">L8+L10+L24</f>
        <v>2200.67014709573</v>
      </c>
    </row>
    <row r="12" customFormat="false" ht="15" hidden="false" customHeight="false" outlineLevel="0" collapsed="false">
      <c r="A12" s="0" t="s">
        <v>124</v>
      </c>
      <c r="C12" s="4" t="n">
        <f aca="false">-C6*Assumptions!C31/100</f>
        <v>-116.884152</v>
      </c>
      <c r="D12" s="4" t="n">
        <f aca="false">-D6*Assumptions!D31/100</f>
        <v>-137.88787992</v>
      </c>
      <c r="E12" s="4" t="n">
        <f aca="false">-E6*Assumptions!E31/100</f>
        <v>-160.396048554</v>
      </c>
      <c r="F12" s="4" t="n">
        <f aca="false">-F6*Assumptions!F31/100</f>
        <v>-184.776247934208</v>
      </c>
      <c r="G12" s="4" t="n">
        <f aca="false">-G6*Assumptions!G31/100</f>
        <v>-210.798902851609</v>
      </c>
      <c r="H12" s="4" t="n">
        <f aca="false">-H6*Assumptions!H31/100</f>
        <v>-238.145787545872</v>
      </c>
      <c r="I12" s="4" t="n">
        <f aca="false">-I6*Assumptions!I31/100</f>
        <v>-266.409932330921</v>
      </c>
      <c r="J12" s="4" t="n">
        <f aca="false">-J6*Assumptions!J31/100</f>
        <v>-295.10023273579</v>
      </c>
      <c r="K12" s="4" t="n">
        <f aca="false">-K6*Assumptions!K31/100</f>
        <v>-315.757249027295</v>
      </c>
      <c r="L12" s="4" t="n">
        <f aca="false">-L6*Assumptions!L31/100</f>
        <v>-334.702683968933</v>
      </c>
    </row>
    <row r="13" customFormat="false" ht="15" hidden="false" customHeight="false" outlineLevel="0" collapsed="false">
      <c r="A13" s="0" t="s">
        <v>125</v>
      </c>
      <c r="C13" s="0" t="n">
        <f aca="false">C11+C12</f>
        <v>595.046592</v>
      </c>
      <c r="D13" s="0" t="n">
        <f aca="false">D11+D12</f>
        <v>719.8558437</v>
      </c>
      <c r="E13" s="0" t="n">
        <f aca="false">E11+E12</f>
        <v>852.3904294584</v>
      </c>
      <c r="F13" s="0" t="n">
        <f aca="false">F11+F12</f>
        <v>995.738669423232</v>
      </c>
      <c r="G13" s="0" t="n">
        <f aca="false">G11+G12</f>
        <v>1147.99943039457</v>
      </c>
      <c r="H13" s="0" t="n">
        <f aca="false">H11+H12</f>
        <v>1303.53483709319</v>
      </c>
      <c r="I13" s="0" t="n">
        <f aca="false">I11+I12</f>
        <v>1451.59258000823</v>
      </c>
      <c r="J13" s="0" t="n">
        <f aca="false">J11+J12</f>
        <v>1600.91876259166</v>
      </c>
      <c r="K13" s="0" t="n">
        <f aca="false">K11+K12</f>
        <v>1756.39969771433</v>
      </c>
      <c r="L13" s="0" t="n">
        <f aca="false">L11+L12</f>
        <v>1865.9674631268</v>
      </c>
    </row>
    <row r="14" customFormat="false" ht="15" hidden="false" customHeight="false" outlineLevel="0" collapsed="false">
      <c r="A14" s="0" t="s">
        <v>111</v>
      </c>
      <c r="C14" s="4" t="n">
        <f aca="false">Assumptions!C33</f>
        <v>14</v>
      </c>
      <c r="D14" s="4" t="n">
        <f aca="false">Assumptions!D33</f>
        <v>16</v>
      </c>
      <c r="E14" s="4" t="n">
        <f aca="false">Assumptions!E33</f>
        <v>18</v>
      </c>
      <c r="F14" s="4" t="n">
        <f aca="false">Assumptions!F33</f>
        <v>20</v>
      </c>
      <c r="G14" s="4" t="n">
        <f aca="false">Assumptions!G33</f>
        <v>21</v>
      </c>
      <c r="H14" s="4" t="n">
        <f aca="false">Assumptions!H33</f>
        <v>22</v>
      </c>
      <c r="I14" s="4" t="n">
        <f aca="false">Assumptions!I33</f>
        <v>22</v>
      </c>
      <c r="J14" s="4" t="n">
        <f aca="false">Assumptions!J33</f>
        <v>22</v>
      </c>
      <c r="K14" s="4" t="n">
        <f aca="false">Assumptions!K33</f>
        <v>22</v>
      </c>
      <c r="L14" s="4" t="n">
        <f aca="false">Assumptions!L33</f>
        <v>22</v>
      </c>
    </row>
    <row r="15" customFormat="false" ht="15" hidden="false" customHeight="false" outlineLevel="0" collapsed="false">
      <c r="A15" s="0" t="s">
        <v>126</v>
      </c>
      <c r="C15" s="0" t="n">
        <f aca="false">C13-MAX(0,C13)*C14/100</f>
        <v>511.74006912</v>
      </c>
      <c r="D15" s="0" t="n">
        <f aca="false">D13-MAX(0,D13)*D14/100</f>
        <v>604.678908708</v>
      </c>
      <c r="E15" s="0" t="n">
        <f aca="false">E13-MAX(0,E13)*E14/100</f>
        <v>698.960152155888</v>
      </c>
      <c r="F15" s="0" t="n">
        <f aca="false">F13-MAX(0,F13)*F14/100</f>
        <v>796.590935538586</v>
      </c>
      <c r="G15" s="0" t="n">
        <f aca="false">G13-MAX(0,G13)*G14/100</f>
        <v>906.919550011713</v>
      </c>
      <c r="H15" s="0" t="n">
        <f aca="false">H13-MAX(0,H13)*H14/100</f>
        <v>1016.75717293269</v>
      </c>
      <c r="I15" s="0" t="n">
        <f aca="false">I13-MAX(0,I13)*I14/100</f>
        <v>1132.24221240642</v>
      </c>
      <c r="J15" s="0" t="n">
        <f aca="false">J13-MAX(0,J13)*J14/100</f>
        <v>1248.71663482149</v>
      </c>
      <c r="K15" s="0" t="n">
        <f aca="false">K13-MAX(0,K13)*K14/100</f>
        <v>1369.99176421718</v>
      </c>
      <c r="L15" s="0" t="n">
        <f aca="false">L13-MAX(0,L13)*L14/100</f>
        <v>1455.4546212389</v>
      </c>
    </row>
    <row r="16" customFormat="false" ht="15" hidden="false" customHeight="false" outlineLevel="0" collapsed="false">
      <c r="A16" s="0" t="s">
        <v>127</v>
      </c>
      <c r="C16" s="0" t="n">
        <f aca="false">-C12</f>
        <v>116.884152</v>
      </c>
      <c r="D16" s="0" t="n">
        <f aca="false">-D12</f>
        <v>137.88787992</v>
      </c>
      <c r="E16" s="0" t="n">
        <f aca="false">-E12</f>
        <v>160.396048554</v>
      </c>
      <c r="F16" s="0" t="n">
        <f aca="false">-F12</f>
        <v>184.776247934208</v>
      </c>
      <c r="G16" s="0" t="n">
        <f aca="false">-G12</f>
        <v>210.798902851609</v>
      </c>
      <c r="H16" s="0" t="n">
        <f aca="false">-H12</f>
        <v>238.145787545872</v>
      </c>
      <c r="I16" s="0" t="n">
        <f aca="false">-I12</f>
        <v>266.409932330921</v>
      </c>
      <c r="J16" s="0" t="n">
        <f aca="false">-J12</f>
        <v>295.10023273579</v>
      </c>
      <c r="K16" s="0" t="n">
        <f aca="false">-K12</f>
        <v>315.757249027295</v>
      </c>
      <c r="L16" s="0" t="n">
        <f aca="false">-L12</f>
        <v>334.702683968933</v>
      </c>
    </row>
    <row r="17" customFormat="false" ht="15" hidden="false" customHeight="false" outlineLevel="0" collapsed="false">
      <c r="A17" s="0" t="s">
        <v>128</v>
      </c>
      <c r="C17" s="4" t="n">
        <f aca="false">-C6*Assumptions!C32/100</f>
        <v>-247.93608</v>
      </c>
      <c r="D17" s="4" t="n">
        <f aca="false">-D6*Assumptions!D32/100</f>
        <v>-263.6091822</v>
      </c>
      <c r="E17" s="4" t="n">
        <f aca="false">-E6*Assumptions!E32/100</f>
        <v>-274.964654664</v>
      </c>
      <c r="F17" s="4" t="n">
        <f aca="false">-F6*Assumptions!F32/100</f>
        <v>-282.29704545504</v>
      </c>
      <c r="G17" s="4" t="n">
        <f aca="false">-G6*Assumptions!G32/100</f>
        <v>-296.25791752118</v>
      </c>
      <c r="H17" s="4" t="n">
        <f aca="false">-H6*Assumptions!H32/100</f>
        <v>-313.349720455095</v>
      </c>
      <c r="I17" s="4" t="n">
        <f aca="false">-I6*Assumptions!I32/100</f>
        <v>-327.889147484211</v>
      </c>
      <c r="J17" s="4" t="n">
        <f aca="false">-J6*Assumptions!J32/100</f>
        <v>-339.365267646158</v>
      </c>
      <c r="K17" s="4" t="n">
        <f aca="false">-K6*Assumptions!K32/100</f>
        <v>-355.226905155707</v>
      </c>
      <c r="L17" s="4" t="n">
        <f aca="false">-L6*Assumptions!L32/100</f>
        <v>-376.540519465049</v>
      </c>
    </row>
    <row r="18" customFormat="false" ht="15" hidden="false" customHeight="false" outlineLevel="0" collapsed="false">
      <c r="A18" s="0" t="s">
        <v>129</v>
      </c>
      <c r="C18" s="4" t="n">
        <f aca="false">(C6-B6)*Assumptions!$B$37/100</f>
        <v>-39.08352</v>
      </c>
      <c r="D18" s="4" t="n">
        <f aca="false">(D6-C6)*Assumptions!$B$37/100</f>
        <v>-41.0865504</v>
      </c>
      <c r="E18" s="4" t="n">
        <f aca="false">(E6-D6)*Assumptions!$B$37/100</f>
        <v>-42.177469152</v>
      </c>
      <c r="F18" s="4" t="n">
        <f aca="false">(F6-E6)*Assumptions!$B$37/100</f>
        <v>-43.99434474624</v>
      </c>
      <c r="G18" s="4" t="n">
        <f aca="false">(G6-F6)*Assumptions!$B$37/100</f>
        <v>-45.1675272728065</v>
      </c>
      <c r="H18" s="4" t="n">
        <f aca="false">(H6-G6)*Assumptions!$B$37/100</f>
        <v>-45.5781411571047</v>
      </c>
      <c r="I18" s="4" t="n">
        <f aca="false">(I6-H6)*Assumptions!$B$37/100</f>
        <v>-45.1223597455336</v>
      </c>
      <c r="J18" s="4" t="n">
        <f aca="false">(J6-I6)*Assumptions!$B$37/100</f>
        <v>-43.7185529978948</v>
      </c>
      <c r="K18" s="4" t="n">
        <f aca="false">(K6-J6)*Assumptions!$B$37/100</f>
        <v>-41.3140325830106</v>
      </c>
      <c r="L18" s="4" t="n">
        <f aca="false">(L6-K6)*Assumptions!$B$37/100</f>
        <v>-37.8908698832754</v>
      </c>
    </row>
    <row r="19" customFormat="false" ht="15" hidden="false" customHeight="false" outlineLevel="0" collapsed="false">
      <c r="A19" s="0" t="s">
        <v>130</v>
      </c>
      <c r="C19" s="0" t="n">
        <f aca="false">C15+C16+C17+C18</f>
        <v>341.60462112</v>
      </c>
      <c r="D19" s="0" t="n">
        <f aca="false">D15+D16+D17+D18</f>
        <v>437.871056028</v>
      </c>
      <c r="E19" s="0" t="n">
        <f aca="false">E15+E16+E17+E18</f>
        <v>542.214076893888</v>
      </c>
      <c r="F19" s="0" t="n">
        <f aca="false">F15+F16+F17+F18</f>
        <v>655.075793271514</v>
      </c>
      <c r="G19" s="0" t="n">
        <f aca="false">G15+G16+G17+G18</f>
        <v>776.293008069336</v>
      </c>
      <c r="H19" s="0" t="n">
        <f aca="false">H15+H16+H17+H18</f>
        <v>895.975098866363</v>
      </c>
      <c r="I19" s="0" t="n">
        <f aca="false">I15+I16+I17+I18</f>
        <v>1025.64063750759</v>
      </c>
      <c r="J19" s="0" t="n">
        <f aca="false">J15+J16+J17+J18</f>
        <v>1160.73304691323</v>
      </c>
      <c r="K19" s="0" t="n">
        <f aca="false">K15+K16+K17+K18</f>
        <v>1289.20807550575</v>
      </c>
      <c r="L19" s="0" t="n">
        <f aca="false">L15+L16+L17+L18</f>
        <v>1375.72591585951</v>
      </c>
    </row>
    <row r="20" customFormat="false" ht="15" hidden="false" customHeight="false" outlineLevel="0" collapsed="false">
      <c r="A20" s="0" t="s">
        <v>131</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132</v>
      </c>
      <c r="C21" s="0" t="n">
        <f aca="false">C19*C20</f>
        <v>313.398734972477</v>
      </c>
      <c r="D21" s="0" t="n">
        <f aca="false">D19*D20</f>
        <v>368.547307489268</v>
      </c>
      <c r="E21" s="0" t="n">
        <f aca="false">E19*E20</f>
        <v>418.68875283402</v>
      </c>
      <c r="F21" s="0" t="n">
        <f aca="false">F19*F20</f>
        <v>464.072207112073</v>
      </c>
      <c r="G21" s="0" t="n">
        <f aca="false">G19*G20</f>
        <v>504.537190908216</v>
      </c>
      <c r="H21" s="0" t="n">
        <f aca="false">H19*H20</f>
        <v>534.240677151387</v>
      </c>
      <c r="I21" s="0" t="n">
        <f aca="false">I19*I20</f>
        <v>561.060551619584</v>
      </c>
      <c r="J21" s="0" t="n">
        <f aca="false">J19*J20</f>
        <v>582.53277594758</v>
      </c>
      <c r="K21" s="0" t="n">
        <f aca="false">K19*K20</f>
        <v>593.587211539598</v>
      </c>
      <c r="L21" s="0" t="n">
        <f aca="false">L19*L20</f>
        <v>581.121494185527</v>
      </c>
    </row>
    <row r="23" customFormat="false" ht="15" hidden="false" customHeight="false" outlineLevel="0" collapsed="false">
      <c r="A23" s="0" t="s">
        <v>108</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134</v>
      </c>
    </row>
    <row r="27" customFormat="false" ht="15" hidden="false" customHeight="false" outlineLevel="0" collapsed="false">
      <c r="A27" s="0" t="s">
        <v>112</v>
      </c>
      <c r="B27" s="4" t="n">
        <f aca="false">Assumptions!$B$34</f>
        <v>9</v>
      </c>
    </row>
    <row r="28" customFormat="false" ht="15" hidden="false" customHeight="false" outlineLevel="0" collapsed="false">
      <c r="A28" s="0" t="s">
        <v>113</v>
      </c>
      <c r="B28" s="4" t="n">
        <f aca="false">Assumptions!$B$35</f>
        <v>3</v>
      </c>
    </row>
    <row r="29" customFormat="false" ht="15" hidden="false" customHeight="false" outlineLevel="0" collapsed="false">
      <c r="A29" s="0" t="s">
        <v>114</v>
      </c>
      <c r="B29" s="4" t="n">
        <f aca="false">Assumptions!$B$36</f>
        <v>18</v>
      </c>
    </row>
    <row r="30" customFormat="false" ht="15" hidden="false" customHeight="false" outlineLevel="0" collapsed="false">
      <c r="A30" s="0" t="s">
        <v>135</v>
      </c>
      <c r="B30" s="0" t="n">
        <f aca="false">SUM(C21:L21)</f>
        <v>4921.78690375973</v>
      </c>
    </row>
    <row r="31" customFormat="false" ht="15" hidden="false" customHeight="false" outlineLevel="0" collapsed="false">
      <c r="A31" s="0" t="s">
        <v>136</v>
      </c>
      <c r="B31" s="0" t="n">
        <f aca="false">L19</f>
        <v>1375.72591585951</v>
      </c>
    </row>
    <row r="32" customFormat="false" ht="15" hidden="false" customHeight="false" outlineLevel="0" collapsed="false">
      <c r="A32" s="0" t="s">
        <v>137</v>
      </c>
      <c r="B32" s="0" t="n">
        <f aca="false">IF(B27&gt;B28,B31*(1+B28/100)/((B27-B28)/100),B31*B29)</f>
        <v>23616.628222255</v>
      </c>
    </row>
    <row r="33" customFormat="false" ht="15" hidden="false" customHeight="false" outlineLevel="0" collapsed="false">
      <c r="A33" s="0" t="s">
        <v>138</v>
      </c>
      <c r="B33" s="0" t="n">
        <f aca="false">B31*B29</f>
        <v>24763.0664854712</v>
      </c>
    </row>
    <row r="34" customFormat="false" ht="15" hidden="false" customHeight="false" outlineLevel="0" collapsed="false">
      <c r="A34" s="0" t="s">
        <v>139</v>
      </c>
      <c r="B34" s="0" t="n">
        <f aca="false">MAX(0,MIN(B32,B33))</f>
        <v>23616.628222255</v>
      </c>
    </row>
    <row r="35" customFormat="false" ht="15" hidden="false" customHeight="false" outlineLevel="0" collapsed="false">
      <c r="A35" s="0" t="s">
        <v>140</v>
      </c>
      <c r="B35" s="0" t="n">
        <f aca="false">B34/(1+B27/100)^L4</f>
        <v>9975.91898351822</v>
      </c>
    </row>
    <row r="36" customFormat="false" ht="15" hidden="false" customHeight="false" outlineLevel="0" collapsed="false">
      <c r="A36" s="0" t="s">
        <v>141</v>
      </c>
      <c r="B36" s="0" t="n">
        <f aca="false">B30+B35</f>
        <v>14897.7058872779</v>
      </c>
    </row>
    <row r="37" customFormat="false" ht="15" hidden="false" customHeight="false" outlineLevel="0" collapsed="false">
      <c r="A37" s="0" t="s">
        <v>142</v>
      </c>
      <c r="B37" s="0" t="n">
        <f aca="false">B36+Assumptions!$B$5-Assumptions!$B$4</f>
        <v>14484.2058872779</v>
      </c>
    </row>
    <row r="38" customFormat="false" ht="15" hidden="false" customHeight="false" outlineLevel="0" collapsed="false">
      <c r="A38" s="0" t="s">
        <v>143</v>
      </c>
      <c r="B38" s="0" t="n">
        <f aca="false">B37/Assumptions!$B$3*Assumptions!$B$10</f>
        <v>208.706136704293</v>
      </c>
    </row>
    <row r="39" customFormat="false" ht="15" hidden="false" customHeight="false" outlineLevel="0" collapsed="false">
      <c r="A39" s="0" t="s">
        <v>144</v>
      </c>
      <c r="B39" s="4" t="n">
        <f aca="false">B38/Assumptions!$B$2-1</f>
        <v>0.59573466399796</v>
      </c>
    </row>
    <row r="41" customFormat="false" ht="15" hidden="false" customHeight="false" outlineLevel="0" collapsed="false">
      <c r="A41" s="0" t="s">
        <v>145</v>
      </c>
      <c r="B41" s="0" t="n">
        <f aca="false">SUMPRODUCT(-C10:L10/(1+$B$27/100)^C4:L4)</f>
        <v>1053.44564025743</v>
      </c>
    </row>
    <row r="42" customFormat="false" ht="15" hidden="false" customHeight="false" outlineLevel="0" collapsed="false">
      <c r="A42" s="0" t="s">
        <v>146</v>
      </c>
      <c r="B42" s="0" t="n">
        <f aca="false">IF(B27&gt;B28,-L10*(1+B28/100)/((B27-B28)/100),-L10*20)/(1+B27/100)^L4</f>
        <v>1638.26428195838</v>
      </c>
    </row>
    <row r="43" customFormat="false" ht="15" hidden="false" customHeight="false" outlineLevel="0" collapsed="false">
      <c r="A43" s="0" t="s">
        <v>147</v>
      </c>
      <c r="B43" s="0" t="n">
        <f aca="false">(B37+B41+B42)/Assumptions!$B$3*Assumptions!$B$10</f>
        <v>247.491582269363</v>
      </c>
    </row>
    <row r="45" customFormat="false" ht="15" hidden="false" customHeight="false" outlineLevel="0" collapsed="false">
      <c r="A45" s="0" t="s">
        <v>87</v>
      </c>
      <c r="B45" s="4" t="n">
        <f aca="false">Assumptions!$B$6</f>
        <v>15</v>
      </c>
    </row>
    <row r="46" customFormat="false" ht="15" hidden="false" customHeight="false" outlineLevel="0" collapsed="false">
      <c r="A46" s="0" t="s">
        <v>148</v>
      </c>
      <c r="B46" s="0" t="n">
        <f aca="false">MAX(0,MIN(IF(B45&gt;B28,B31*(1+B28/100)/((B45-B28)/100),B31*B29),B31*B29))</f>
        <v>11808.3141111275</v>
      </c>
    </row>
    <row r="47" customFormat="false" ht="15" hidden="false" customHeight="false" outlineLevel="0" collapsed="false">
      <c r="A47" s="0" t="s">
        <v>149</v>
      </c>
      <c r="B47" s="0" t="n">
        <f aca="false">(SUMPRODUCT(C19:L19/(1+B45/100)^C4:L4)+B46/(1+B45/100)^L4+Assumptions!$B$5-Assumptions!$B$4)/Assumptions!$B$3*Assumptions!$B$10</f>
        <v>88.0316315353839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151</v>
      </c>
    </row>
    <row r="3" customFormat="false" ht="15" hidden="false" customHeight="false" outlineLevel="0" collapsed="false">
      <c r="A3" s="0" t="s">
        <v>120</v>
      </c>
      <c r="B3" s="0" t="s">
        <v>90</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Assumptions!C41</f>
        <v>18</v>
      </c>
      <c r="D5" s="4" t="n">
        <f aca="false">Assumptions!D41</f>
        <v>17</v>
      </c>
      <c r="E5" s="4" t="n">
        <f aca="false">Assumptions!E41</f>
        <v>16</v>
      </c>
      <c r="F5" s="4" t="n">
        <f aca="false">Assumptions!F41</f>
        <v>15</v>
      </c>
      <c r="G5" s="4" t="n">
        <f aca="false">Assumptions!G41</f>
        <v>13.5</v>
      </c>
      <c r="H5" s="4" t="n">
        <f aca="false">Assumptions!H41</f>
        <v>12</v>
      </c>
      <c r="I5" s="4" t="n">
        <f aca="false">Assumptions!I41</f>
        <v>11</v>
      </c>
      <c r="J5" s="4" t="n">
        <f aca="false">Assumptions!J41</f>
        <v>9.5</v>
      </c>
      <c r="K5" s="4" t="n">
        <f aca="false">Assumptions!K41</f>
        <v>8</v>
      </c>
      <c r="L5" s="4" t="n">
        <f aca="false">Assumptions!L41</f>
        <v>7</v>
      </c>
    </row>
    <row r="6" customFormat="false" ht="15" hidden="false" customHeight="false" outlineLevel="0" collapsed="false">
      <c r="A6" s="0" t="s">
        <v>37</v>
      </c>
      <c r="B6" s="3" t="n">
        <v>3053.4</v>
      </c>
      <c r="C6" s="0" t="n">
        <f aca="false">B6*(1+C5/100)</f>
        <v>3603.012</v>
      </c>
      <c r="D6" s="0" t="n">
        <f aca="false">C6*(1+D5/100)</f>
        <v>4215.52404</v>
      </c>
      <c r="E6" s="0" t="n">
        <f aca="false">D6*(1+E5/100)</f>
        <v>4890.0078864</v>
      </c>
      <c r="F6" s="0" t="n">
        <f aca="false">E6*(1+F5/100)</f>
        <v>5623.50906936</v>
      </c>
      <c r="G6" s="0" t="n">
        <f aca="false">F6*(1+G5/100)</f>
        <v>6382.6827937236</v>
      </c>
      <c r="H6" s="0" t="n">
        <f aca="false">G6*(1+H5/100)</f>
        <v>7148.60472897043</v>
      </c>
      <c r="I6" s="0" t="n">
        <f aca="false">H6*(1+I5/100)</f>
        <v>7934.95124915718</v>
      </c>
      <c r="J6" s="0" t="n">
        <f aca="false">I6*(1+J5/100)</f>
        <v>8688.77161782711</v>
      </c>
      <c r="K6" s="0" t="n">
        <f aca="false">J6*(1+K5/100)</f>
        <v>9383.87334725328</v>
      </c>
      <c r="L6" s="0" t="n">
        <f aca="false">K6*(1+L5/100)</f>
        <v>10040.744481561</v>
      </c>
    </row>
    <row r="7" customFormat="false" ht="15" hidden="false" customHeight="false" outlineLevel="0" collapsed="false">
      <c r="A7" s="0" t="s">
        <v>106</v>
      </c>
      <c r="C7" s="4" t="n">
        <f aca="false">Assumptions!C42</f>
        <v>23.5</v>
      </c>
      <c r="D7" s="4" t="n">
        <f aca="false">Assumptions!D42</f>
        <v>24.8</v>
      </c>
      <c r="E7" s="4" t="n">
        <f aca="false">Assumptions!E42</f>
        <v>26</v>
      </c>
      <c r="F7" s="4" t="n">
        <f aca="false">Assumptions!F42</f>
        <v>27.2</v>
      </c>
      <c r="G7" s="4" t="n">
        <f aca="false">Assumptions!G42</f>
        <v>28.4</v>
      </c>
      <c r="H7" s="4" t="n">
        <f aca="false">Assumptions!H42</f>
        <v>29.5</v>
      </c>
      <c r="I7" s="4" t="n">
        <f aca="false">Assumptions!I42</f>
        <v>30.5</v>
      </c>
      <c r="J7" s="4" t="n">
        <f aca="false">Assumptions!J42</f>
        <v>31.3</v>
      </c>
      <c r="K7" s="4" t="n">
        <f aca="false">Assumptions!K42</f>
        <v>32</v>
      </c>
      <c r="L7" s="4" t="n">
        <f aca="false">Assumptions!L42</f>
        <v>32</v>
      </c>
    </row>
    <row r="8" customFormat="false" ht="15" hidden="false" customHeight="false" outlineLevel="0" collapsed="false">
      <c r="A8" s="0" t="s">
        <v>43</v>
      </c>
      <c r="C8" s="0" t="n">
        <f aca="false">C6*C7/100</f>
        <v>846.70782</v>
      </c>
      <c r="D8" s="0" t="n">
        <f aca="false">D6*D7/100</f>
        <v>1045.44996192</v>
      </c>
      <c r="E8" s="0" t="n">
        <f aca="false">E6*E7/100</f>
        <v>1271.402050464</v>
      </c>
      <c r="F8" s="0" t="n">
        <f aca="false">F6*F7/100</f>
        <v>1529.59446686592</v>
      </c>
      <c r="G8" s="0" t="n">
        <f aca="false">G6*G7/100</f>
        <v>1812.6819134175</v>
      </c>
      <c r="H8" s="0" t="n">
        <f aca="false">H6*H7/100</f>
        <v>2108.83839504628</v>
      </c>
      <c r="I8" s="0" t="n">
        <f aca="false">I6*I7/100</f>
        <v>2420.16013099294</v>
      </c>
      <c r="J8" s="0" t="n">
        <f aca="false">J6*J7/100</f>
        <v>2719.58551637989</v>
      </c>
      <c r="K8" s="0" t="n">
        <f aca="false">K6*K7/100</f>
        <v>3002.83947112105</v>
      </c>
      <c r="L8" s="0" t="n">
        <f aca="false">L6*L7/100</f>
        <v>3213.03823409952</v>
      </c>
    </row>
    <row r="9" customFormat="false" ht="15" hidden="false" customHeight="false" outlineLevel="0" collapsed="false">
      <c r="A9" s="0" t="s">
        <v>107</v>
      </c>
      <c r="C9" s="4" t="n">
        <f aca="false">Assumptions!C43</f>
        <v>3.2</v>
      </c>
      <c r="D9" s="4" t="n">
        <f aca="false">Assumptions!D43</f>
        <v>3.15</v>
      </c>
      <c r="E9" s="4" t="n">
        <f aca="false">Assumptions!E43</f>
        <v>3.1</v>
      </c>
      <c r="F9" s="4" t="n">
        <f aca="false">Assumptions!F43</f>
        <v>3</v>
      </c>
      <c r="G9" s="4" t="n">
        <f aca="false">Assumptions!G43</f>
        <v>2.95</v>
      </c>
      <c r="H9" s="4" t="n">
        <f aca="false">Assumptions!H43</f>
        <v>2.9</v>
      </c>
      <c r="I9" s="4" t="n">
        <f aca="false">Assumptions!I43</f>
        <v>2.85</v>
      </c>
      <c r="J9" s="4" t="n">
        <f aca="false">Assumptions!J43</f>
        <v>2.8</v>
      </c>
      <c r="K9" s="4" t="n">
        <f aca="false">Assumptions!K43</f>
        <v>2.75</v>
      </c>
      <c r="L9" s="4" t="n">
        <f aca="false">Assumptions!L43</f>
        <v>2.7</v>
      </c>
    </row>
    <row r="10" customFormat="false" ht="15" hidden="false" customHeight="false" outlineLevel="0" collapsed="false">
      <c r="A10" s="0" t="s">
        <v>122</v>
      </c>
      <c r="C10" s="0" t="n">
        <f aca="false">-C6*C9/100</f>
        <v>-115.296384</v>
      </c>
      <c r="D10" s="0" t="n">
        <f aca="false">-D6*D9/100</f>
        <v>-132.78900726</v>
      </c>
      <c r="E10" s="0" t="n">
        <f aca="false">-E6*E9/100</f>
        <v>-151.5902444784</v>
      </c>
      <c r="F10" s="0" t="n">
        <f aca="false">-F6*F9/100</f>
        <v>-168.7052720808</v>
      </c>
      <c r="G10" s="0" t="n">
        <f aca="false">-G6*G9/100</f>
        <v>-188.289142414846</v>
      </c>
      <c r="H10" s="0" t="n">
        <f aca="false">-H6*H9/100</f>
        <v>-207.309537140142</v>
      </c>
      <c r="I10" s="0" t="n">
        <f aca="false">-I6*I9/100</f>
        <v>-226.14611060098</v>
      </c>
      <c r="J10" s="0" t="n">
        <f aca="false">-J6*J9/100</f>
        <v>-243.285605299159</v>
      </c>
      <c r="K10" s="0" t="n">
        <f aca="false">-K6*K9/100</f>
        <v>-258.056517049465</v>
      </c>
      <c r="L10" s="0" t="n">
        <f aca="false">-L6*L9/100</f>
        <v>-271.100101002147</v>
      </c>
    </row>
    <row r="11" customFormat="false" ht="15" hidden="false" customHeight="false" outlineLevel="0" collapsed="false">
      <c r="A11" s="0" t="s">
        <v>123</v>
      </c>
      <c r="C11" s="0" t="n">
        <f aca="false">C8+C10+C24</f>
        <v>731.411436</v>
      </c>
      <c r="D11" s="0" t="n">
        <f aca="false">D8+D10+D24</f>
        <v>912.66095466</v>
      </c>
      <c r="E11" s="0" t="n">
        <f aca="false">E8+E10+E24</f>
        <v>1119.8118059856</v>
      </c>
      <c r="F11" s="0" t="n">
        <f aca="false">F8+F10+F24</f>
        <v>1360.88919478512</v>
      </c>
      <c r="G11" s="0" t="n">
        <f aca="false">G8+G10+G24</f>
        <v>1624.39277100266</v>
      </c>
      <c r="H11" s="0" t="n">
        <f aca="false">H8+H10+H24</f>
        <v>1901.52885790613</v>
      </c>
      <c r="I11" s="0" t="n">
        <f aca="false">I8+I10+I24</f>
        <v>2194.01402039196</v>
      </c>
      <c r="J11" s="0" t="n">
        <f aca="false">J8+J10+J24</f>
        <v>2476.29991108073</v>
      </c>
      <c r="K11" s="0" t="n">
        <f aca="false">K8+K10+K24</f>
        <v>2744.78295407158</v>
      </c>
      <c r="L11" s="0" t="n">
        <f aca="false">L8+L10+L24</f>
        <v>2941.93813309738</v>
      </c>
    </row>
    <row r="12" customFormat="false" ht="15" hidden="false" customHeight="false" outlineLevel="0" collapsed="false">
      <c r="A12" s="0" t="s">
        <v>124</v>
      </c>
      <c r="C12" s="4" t="n">
        <f aca="false">-C6*Assumptions!C45/100</f>
        <v>-118.899396</v>
      </c>
      <c r="D12" s="4" t="n">
        <f aca="false">-D6*Assumptions!D45/100</f>
        <v>-143.32781736</v>
      </c>
      <c r="E12" s="4" t="n">
        <f aca="false">-E6*Assumptions!E45/100</f>
        <v>-171.150276024</v>
      </c>
      <c r="F12" s="4" t="n">
        <f aca="false">-F6*Assumptions!F45/100</f>
        <v>-202.44632649696</v>
      </c>
      <c r="G12" s="4" t="n">
        <f aca="false">-G6*Assumptions!G45/100</f>
        <v>-236.159263367773</v>
      </c>
      <c r="H12" s="4" t="n">
        <f aca="false">-H6*Assumptions!H45/100</f>
        <v>-271.646979700876</v>
      </c>
      <c r="I12" s="4" t="n">
        <f aca="false">-I6*Assumptions!I45/100</f>
        <v>-309.46309871713</v>
      </c>
      <c r="J12" s="4" t="n">
        <f aca="false">-J6*Assumptions!J45/100</f>
        <v>-347.550864713084</v>
      </c>
      <c r="K12" s="4" t="n">
        <f aca="false">-K6*Assumptions!K45/100</f>
        <v>-375.354933890131</v>
      </c>
      <c r="L12" s="4" t="n">
        <f aca="false">-L6*Assumptions!L45/100</f>
        <v>-401.62977926244</v>
      </c>
    </row>
    <row r="13" customFormat="false" ht="15" hidden="false" customHeight="false" outlineLevel="0" collapsed="false">
      <c r="A13" s="0" t="s">
        <v>125</v>
      </c>
      <c r="C13" s="0" t="n">
        <f aca="false">C11+C12</f>
        <v>612.51204</v>
      </c>
      <c r="D13" s="0" t="n">
        <f aca="false">D11+D12</f>
        <v>769.3331373</v>
      </c>
      <c r="E13" s="0" t="n">
        <f aca="false">E11+E12</f>
        <v>948.6615299616</v>
      </c>
      <c r="F13" s="0" t="n">
        <f aca="false">F11+F12</f>
        <v>1158.44286828816</v>
      </c>
      <c r="G13" s="0" t="n">
        <f aca="false">G11+G12</f>
        <v>1388.23350763488</v>
      </c>
      <c r="H13" s="0" t="n">
        <f aca="false">H11+H12</f>
        <v>1629.88187820526</v>
      </c>
      <c r="I13" s="0" t="n">
        <f aca="false">I11+I12</f>
        <v>1884.55092167483</v>
      </c>
      <c r="J13" s="0" t="n">
        <f aca="false">J11+J12</f>
        <v>2128.74904636764</v>
      </c>
      <c r="K13" s="0" t="n">
        <f aca="false">K11+K12</f>
        <v>2369.42802018145</v>
      </c>
      <c r="L13" s="0" t="n">
        <f aca="false">L11+L12</f>
        <v>2540.30835383494</v>
      </c>
    </row>
    <row r="14" customFormat="false" ht="15" hidden="false" customHeight="false" outlineLevel="0" collapsed="false">
      <c r="A14" s="0" t="s">
        <v>111</v>
      </c>
      <c r="C14" s="4" t="n">
        <f aca="false">Assumptions!C47</f>
        <v>14</v>
      </c>
      <c r="D14" s="4" t="n">
        <f aca="false">Assumptions!D47</f>
        <v>16</v>
      </c>
      <c r="E14" s="4" t="n">
        <f aca="false">Assumptions!E47</f>
        <v>18</v>
      </c>
      <c r="F14" s="4" t="n">
        <f aca="false">Assumptions!F47</f>
        <v>20</v>
      </c>
      <c r="G14" s="4" t="n">
        <f aca="false">Assumptions!G47</f>
        <v>21</v>
      </c>
      <c r="H14" s="4" t="n">
        <f aca="false">Assumptions!H47</f>
        <v>22</v>
      </c>
      <c r="I14" s="4" t="n">
        <f aca="false">Assumptions!I47</f>
        <v>22</v>
      </c>
      <c r="J14" s="4" t="n">
        <f aca="false">Assumptions!J47</f>
        <v>22</v>
      </c>
      <c r="K14" s="4" t="n">
        <f aca="false">Assumptions!K47</f>
        <v>22</v>
      </c>
      <c r="L14" s="4" t="n">
        <f aca="false">Assumptions!L47</f>
        <v>22</v>
      </c>
    </row>
    <row r="15" customFormat="false" ht="15" hidden="false" customHeight="false" outlineLevel="0" collapsed="false">
      <c r="A15" s="0" t="s">
        <v>126</v>
      </c>
      <c r="C15" s="0" t="n">
        <f aca="false">C13-MAX(0,C13)*C14/100</f>
        <v>526.7603544</v>
      </c>
      <c r="D15" s="0" t="n">
        <f aca="false">D13-MAX(0,D13)*D14/100</f>
        <v>646.239835332</v>
      </c>
      <c r="E15" s="0" t="n">
        <f aca="false">E13-MAX(0,E13)*E14/100</f>
        <v>777.902454568512</v>
      </c>
      <c r="F15" s="0" t="n">
        <f aca="false">F13-MAX(0,F13)*F14/100</f>
        <v>926.754294630528</v>
      </c>
      <c r="G15" s="0" t="n">
        <f aca="false">G13-MAX(0,G13)*G14/100</f>
        <v>1096.70447103156</v>
      </c>
      <c r="H15" s="0" t="n">
        <f aca="false">H13-MAX(0,H13)*H14/100</f>
        <v>1271.3078650001</v>
      </c>
      <c r="I15" s="0" t="n">
        <f aca="false">I13-MAX(0,I13)*I14/100</f>
        <v>1469.94971890637</v>
      </c>
      <c r="J15" s="0" t="n">
        <f aca="false">J13-MAX(0,J13)*J14/100</f>
        <v>1660.42425616676</v>
      </c>
      <c r="K15" s="0" t="n">
        <f aca="false">K13-MAX(0,K13)*K14/100</f>
        <v>1848.15385574153</v>
      </c>
      <c r="L15" s="0" t="n">
        <f aca="false">L13-MAX(0,L13)*L14/100</f>
        <v>1981.44051599125</v>
      </c>
    </row>
    <row r="16" customFormat="false" ht="15" hidden="false" customHeight="false" outlineLevel="0" collapsed="false">
      <c r="A16" s="0" t="s">
        <v>127</v>
      </c>
      <c r="C16" s="0" t="n">
        <f aca="false">-C12</f>
        <v>118.899396</v>
      </c>
      <c r="D16" s="0" t="n">
        <f aca="false">-D12</f>
        <v>143.32781736</v>
      </c>
      <c r="E16" s="0" t="n">
        <f aca="false">-E12</f>
        <v>171.150276024</v>
      </c>
      <c r="F16" s="0" t="n">
        <f aca="false">-F12</f>
        <v>202.44632649696</v>
      </c>
      <c r="G16" s="0" t="n">
        <f aca="false">-G12</f>
        <v>236.159263367773</v>
      </c>
      <c r="H16" s="0" t="n">
        <f aca="false">-H12</f>
        <v>271.646979700876</v>
      </c>
      <c r="I16" s="0" t="n">
        <f aca="false">-I12</f>
        <v>309.46309871713</v>
      </c>
      <c r="J16" s="0" t="n">
        <f aca="false">-J12</f>
        <v>347.550864713084</v>
      </c>
      <c r="K16" s="0" t="n">
        <f aca="false">-K12</f>
        <v>375.354933890131</v>
      </c>
      <c r="L16" s="0" t="n">
        <f aca="false">-L12</f>
        <v>401.62977926244</v>
      </c>
    </row>
    <row r="17" customFormat="false" ht="15" hidden="false" customHeight="false" outlineLevel="0" collapsed="false">
      <c r="A17" s="0" t="s">
        <v>128</v>
      </c>
      <c r="C17" s="4" t="n">
        <f aca="false">-C6*Assumptions!C46/100</f>
        <v>-252.21084</v>
      </c>
      <c r="D17" s="4" t="n">
        <f aca="false">-D6*Assumptions!D46/100</f>
        <v>-274.0090626</v>
      </c>
      <c r="E17" s="4" t="n">
        <f aca="false">-E6*Assumptions!E46/100</f>
        <v>-293.400473184</v>
      </c>
      <c r="F17" s="4" t="n">
        <f aca="false">-F6*Assumptions!F46/100</f>
        <v>-309.2929988148</v>
      </c>
      <c r="G17" s="4" t="n">
        <f aca="false">-G6*Assumptions!G46/100</f>
        <v>-331.899505273627</v>
      </c>
      <c r="H17" s="4" t="n">
        <f aca="false">-H6*Assumptions!H46/100</f>
        <v>-357.430236448522</v>
      </c>
      <c r="I17" s="4" t="n">
        <f aca="false">-I6*Assumptions!I46/100</f>
        <v>-380.877659959545</v>
      </c>
      <c r="J17" s="4" t="n">
        <f aca="false">-J6*Assumptions!J46/100</f>
        <v>-399.683494420047</v>
      </c>
      <c r="K17" s="4" t="n">
        <f aca="false">-K6*Assumptions!K46/100</f>
        <v>-422.274300626398</v>
      </c>
      <c r="L17" s="4" t="n">
        <f aca="false">-L6*Assumptions!L46/100</f>
        <v>-451.833501670246</v>
      </c>
    </row>
    <row r="18" customFormat="false" ht="15" hidden="false" customHeight="false" outlineLevel="0" collapsed="false">
      <c r="A18" s="0" t="s">
        <v>129</v>
      </c>
      <c r="C18" s="4" t="n">
        <f aca="false">(C6-B6)*Assumptions!$B$51/100</f>
        <v>-43.96896</v>
      </c>
      <c r="D18" s="4" t="n">
        <f aca="false">(D6-C6)*Assumptions!$B$51/100</f>
        <v>-49.0009632</v>
      </c>
      <c r="E18" s="4" t="n">
        <f aca="false">(E6-D6)*Assumptions!$B$51/100</f>
        <v>-53.958707712</v>
      </c>
      <c r="F18" s="4" t="n">
        <f aca="false">(F6-E6)*Assumptions!$B$51/100</f>
        <v>-58.6800946368</v>
      </c>
      <c r="G18" s="4" t="n">
        <f aca="false">(G6-F6)*Assumptions!$B$51/100</f>
        <v>-60.733897949088</v>
      </c>
      <c r="H18" s="4" t="n">
        <f aca="false">(H6-G6)*Assumptions!$B$51/100</f>
        <v>-61.2737548197466</v>
      </c>
      <c r="I18" s="4" t="n">
        <f aca="false">(I6-H6)*Assumptions!$B$51/100</f>
        <v>-62.9077216149399</v>
      </c>
      <c r="J18" s="4" t="n">
        <f aca="false">(J6-I6)*Assumptions!$B$51/100</f>
        <v>-60.3056294935945</v>
      </c>
      <c r="K18" s="4" t="n">
        <f aca="false">(K6-J6)*Assumptions!$B$51/100</f>
        <v>-55.6081383540935</v>
      </c>
      <c r="L18" s="4" t="n">
        <f aca="false">(L6-K6)*Assumptions!$B$51/100</f>
        <v>-52.5496907446184</v>
      </c>
    </row>
    <row r="19" customFormat="false" ht="15" hidden="false" customHeight="false" outlineLevel="0" collapsed="false">
      <c r="A19" s="0" t="s">
        <v>130</v>
      </c>
      <c r="C19" s="0" t="n">
        <f aca="false">C15+C16+C17+C18</f>
        <v>349.4799504</v>
      </c>
      <c r="D19" s="0" t="n">
        <f aca="false">D15+D16+D17+D18</f>
        <v>466.557626892</v>
      </c>
      <c r="E19" s="0" t="n">
        <f aca="false">E15+E16+E17+E18</f>
        <v>601.693549696512</v>
      </c>
      <c r="F19" s="0" t="n">
        <f aca="false">F15+F16+F17+F18</f>
        <v>761.227527675888</v>
      </c>
      <c r="G19" s="0" t="n">
        <f aca="false">G15+G16+G17+G18</f>
        <v>940.230331176615</v>
      </c>
      <c r="H19" s="0" t="n">
        <f aca="false">H15+H16+H17+H18</f>
        <v>1124.25085343271</v>
      </c>
      <c r="I19" s="0" t="n">
        <f aca="false">I15+I16+I17+I18</f>
        <v>1335.62743604901</v>
      </c>
      <c r="J19" s="0" t="n">
        <f aca="false">J15+J16+J17+J18</f>
        <v>1547.9859969662</v>
      </c>
      <c r="K19" s="0" t="n">
        <f aca="false">K15+K16+K17+K18</f>
        <v>1745.62635065117</v>
      </c>
      <c r="L19" s="0" t="n">
        <f aca="false">L15+L16+L17+L18</f>
        <v>1878.68710283883</v>
      </c>
    </row>
    <row r="20" customFormat="false" ht="15" hidden="false" customHeight="false" outlineLevel="0" collapsed="false">
      <c r="A20" s="0" t="s">
        <v>131</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132</v>
      </c>
      <c r="C21" s="0" t="n">
        <f aca="false">C19*C20</f>
        <v>320.623807706422</v>
      </c>
      <c r="D21" s="0" t="n">
        <f aca="false">D19*D20</f>
        <v>392.692220260921</v>
      </c>
      <c r="E21" s="0" t="n">
        <f aca="false">E19*E20</f>
        <v>464.617819134947</v>
      </c>
      <c r="F21" s="0" t="n">
        <f aca="false">F19*F20</f>
        <v>539.272771962428</v>
      </c>
      <c r="G21" s="0" t="n">
        <f aca="false">G19*G20</f>
        <v>611.08520258137</v>
      </c>
      <c r="H21" s="0" t="n">
        <f aca="false">H19*H20</f>
        <v>670.354051117999</v>
      </c>
      <c r="I21" s="0" t="n">
        <f aca="false">I19*I20</f>
        <v>730.633945871088</v>
      </c>
      <c r="J21" s="0" t="n">
        <f aca="false">J19*J20</f>
        <v>776.881973282969</v>
      </c>
      <c r="K21" s="0" t="n">
        <f aca="false">K19*K20</f>
        <v>803.734864495464</v>
      </c>
      <c r="L21" s="0" t="n">
        <f aca="false">L19*L20</f>
        <v>793.577735014673</v>
      </c>
    </row>
    <row r="23" customFormat="false" ht="15" hidden="false" customHeight="false" outlineLevel="0" collapsed="false">
      <c r="A23" s="0" t="s">
        <v>108</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134</v>
      </c>
    </row>
    <row r="27" customFormat="false" ht="15" hidden="false" customHeight="false" outlineLevel="0" collapsed="false">
      <c r="A27" s="0" t="s">
        <v>112</v>
      </c>
      <c r="B27" s="4" t="n">
        <f aca="false">Assumptions!$B$48</f>
        <v>9</v>
      </c>
    </row>
    <row r="28" customFormat="false" ht="15" hidden="false" customHeight="false" outlineLevel="0" collapsed="false">
      <c r="A28" s="0" t="s">
        <v>113</v>
      </c>
      <c r="B28" s="4" t="n">
        <f aca="false">Assumptions!$B$49</f>
        <v>3</v>
      </c>
    </row>
    <row r="29" customFormat="false" ht="15" hidden="false" customHeight="false" outlineLevel="0" collapsed="false">
      <c r="A29" s="0" t="s">
        <v>114</v>
      </c>
      <c r="B29" s="4" t="n">
        <f aca="false">Assumptions!$B$50</f>
        <v>20</v>
      </c>
    </row>
    <row r="30" customFormat="false" ht="15" hidden="false" customHeight="false" outlineLevel="0" collapsed="false">
      <c r="A30" s="0" t="s">
        <v>135</v>
      </c>
      <c r="B30" s="0" t="n">
        <f aca="false">SUM(C21:L21)</f>
        <v>6103.47439142828</v>
      </c>
    </row>
    <row r="31" customFormat="false" ht="15" hidden="false" customHeight="false" outlineLevel="0" collapsed="false">
      <c r="A31" s="0" t="s">
        <v>136</v>
      </c>
      <c r="B31" s="0" t="n">
        <f aca="false">L19</f>
        <v>1878.68710283883</v>
      </c>
    </row>
    <row r="32" customFormat="false" ht="15" hidden="false" customHeight="false" outlineLevel="0" collapsed="false">
      <c r="A32" s="0" t="s">
        <v>137</v>
      </c>
      <c r="B32" s="0" t="n">
        <f aca="false">IF(B27&gt;B28,B31*(1+B28/100)/((B27-B28)/100),B31*B29)</f>
        <v>32250.7952653999</v>
      </c>
    </row>
    <row r="33" customFormat="false" ht="15" hidden="false" customHeight="false" outlineLevel="0" collapsed="false">
      <c r="A33" s="0" t="s">
        <v>138</v>
      </c>
      <c r="B33" s="0" t="n">
        <f aca="false">B31*B29</f>
        <v>37573.7420567765</v>
      </c>
    </row>
    <row r="34" customFormat="false" ht="15" hidden="false" customHeight="false" outlineLevel="0" collapsed="false">
      <c r="A34" s="0" t="s">
        <v>139</v>
      </c>
      <c r="B34" s="0" t="n">
        <f aca="false">MAX(0,MIN(B32,B33))</f>
        <v>32250.7952653999</v>
      </c>
    </row>
    <row r="35" customFormat="false" ht="15" hidden="false" customHeight="false" outlineLevel="0" collapsed="false">
      <c r="A35" s="0" t="s">
        <v>140</v>
      </c>
      <c r="B35" s="0" t="n">
        <f aca="false">B34/(1+B27/100)^L4</f>
        <v>13623.0844510852</v>
      </c>
    </row>
    <row r="36" customFormat="false" ht="15" hidden="false" customHeight="false" outlineLevel="0" collapsed="false">
      <c r="A36" s="0" t="s">
        <v>141</v>
      </c>
      <c r="B36" s="0" t="n">
        <f aca="false">B30+B35</f>
        <v>19726.5588425135</v>
      </c>
    </row>
    <row r="37" customFormat="false" ht="15" hidden="false" customHeight="false" outlineLevel="0" collapsed="false">
      <c r="A37" s="0" t="s">
        <v>142</v>
      </c>
      <c r="B37" s="0" t="n">
        <f aca="false">B36+Assumptions!$B$5-Assumptions!$B$4</f>
        <v>19313.0588425135</v>
      </c>
    </row>
    <row r="38" customFormat="false" ht="15" hidden="false" customHeight="false" outlineLevel="0" collapsed="false">
      <c r="A38" s="0" t="s">
        <v>143</v>
      </c>
      <c r="B38" s="0" t="n">
        <f aca="false">B37/Assumptions!$B$3*Assumptions!$B$10</f>
        <v>278.286150468494</v>
      </c>
    </row>
    <row r="39" customFormat="false" ht="15" hidden="false" customHeight="false" outlineLevel="0" collapsed="false">
      <c r="A39" s="0" t="s">
        <v>144</v>
      </c>
      <c r="B39" s="4" t="n">
        <f aca="false">B38/Assumptions!$B$2-1</f>
        <v>1.12773262840045</v>
      </c>
    </row>
    <row r="41" customFormat="false" ht="15" hidden="false" customHeight="false" outlineLevel="0" collapsed="false">
      <c r="A41" s="0" t="s">
        <v>145</v>
      </c>
      <c r="B41" s="0" t="n">
        <f aca="false">SUMPRODUCT(-C10:L10/(1+$B$27/100)^C4:L4)</f>
        <v>1179.23833724196</v>
      </c>
    </row>
    <row r="42" customFormat="false" ht="15" hidden="false" customHeight="false" outlineLevel="0" collapsed="false">
      <c r="A42" s="0" t="s">
        <v>146</v>
      </c>
      <c r="B42" s="0" t="n">
        <f aca="false">IF(B27&gt;B28,-L10*(1+B28/100)/((B27-B28)/100),-L10*20)/(1+B27/100)^L4</f>
        <v>1965.85134643724</v>
      </c>
    </row>
    <row r="43" customFormat="false" ht="15" hidden="false" customHeight="false" outlineLevel="0" collapsed="false">
      <c r="A43" s="0" t="s">
        <v>147</v>
      </c>
      <c r="B43" s="0" t="n">
        <f aca="false">(B37+B41+B42)/Assumptions!$B$3*Assumptions!$B$10</f>
        <v>323.604445622373</v>
      </c>
    </row>
    <row r="45" customFormat="false" ht="15" hidden="false" customHeight="false" outlineLevel="0" collapsed="false">
      <c r="A45" s="0" t="s">
        <v>87</v>
      </c>
      <c r="B45" s="4" t="n">
        <f aca="false">Assumptions!$B$6</f>
        <v>15</v>
      </c>
    </row>
    <row r="46" customFormat="false" ht="15" hidden="false" customHeight="false" outlineLevel="0" collapsed="false">
      <c r="A46" s="0" t="s">
        <v>148</v>
      </c>
      <c r="B46" s="0" t="n">
        <f aca="false">MAX(0,MIN(IF(B45&gt;B28,B31*(1+B28/100)/((B45-B28)/100),B31*B29),B31*B29))</f>
        <v>16125.3976326999</v>
      </c>
    </row>
    <row r="47" customFormat="false" ht="15" hidden="false" customHeight="false" outlineLevel="0" collapsed="false">
      <c r="A47" s="0" t="s">
        <v>149</v>
      </c>
      <c r="B47" s="0" t="n">
        <f aca="false">(SUMPRODUCT(C19:L19/(1+B45/100)^C4:L4)+B46/(1+B45/100)^L4+Assumptions!$B$5-Assumptions!$B$4)/Assumptions!$B$3*Assumptions!$B$10</f>
        <v>115.017934423691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152</v>
      </c>
    </row>
    <row r="3" customFormat="false" ht="15" hidden="false" customHeight="false" outlineLevel="0" collapsed="false">
      <c r="A3" s="2" t="s">
        <v>153</v>
      </c>
      <c r="B3" s="2" t="s">
        <v>154</v>
      </c>
      <c r="C3" s="2" t="s">
        <v>144</v>
      </c>
      <c r="D3" s="2" t="s">
        <v>155</v>
      </c>
      <c r="E3" s="2" t="s">
        <v>147</v>
      </c>
      <c r="F3" s="2" t="s">
        <v>156</v>
      </c>
    </row>
    <row r="4" customFormat="false" ht="15" hidden="false" customHeight="false" outlineLevel="0" collapsed="false">
      <c r="A4" s="0" t="s">
        <v>157</v>
      </c>
      <c r="B4" s="4" t="n">
        <f aca="false">DCF_Bear!$B$38</f>
        <v>113.062030242645</v>
      </c>
      <c r="C4" s="0" t="n">
        <f aca="false">B4/Assumptions!$B$2-1</f>
        <v>-0.13554529977334</v>
      </c>
      <c r="D4" s="4" t="n">
        <f aca="false">Assumptions!$B$24</f>
        <v>0.25</v>
      </c>
      <c r="E4" s="4" t="n">
        <f aca="false">DCF_Bear!$B$43</f>
        <v>143.830630317234</v>
      </c>
      <c r="F4" s="4" t="n">
        <f aca="false">DCF_Bear!$B$47</f>
        <v>55.3976254203203</v>
      </c>
    </row>
    <row r="5" customFormat="false" ht="15" hidden="false" customHeight="false" outlineLevel="0" collapsed="false">
      <c r="A5" s="0" t="s">
        <v>158</v>
      </c>
      <c r="B5" s="4" t="n">
        <f aca="false">DCF_Base!$B$38</f>
        <v>208.706136704293</v>
      </c>
      <c r="C5" s="0" t="n">
        <f aca="false">B5/Assumptions!$B$2-1</f>
        <v>0.59573466399796</v>
      </c>
      <c r="D5" s="4" t="n">
        <f aca="false">Assumptions!$B$38</f>
        <v>0.5</v>
      </c>
      <c r="E5" s="4" t="n">
        <f aca="false">DCF_Base!$B$43</f>
        <v>247.491582269363</v>
      </c>
      <c r="F5" s="4" t="n">
        <f aca="false">DCF_Base!$B$47</f>
        <v>88.0316315353839</v>
      </c>
    </row>
    <row r="6" customFormat="false" ht="15" hidden="false" customHeight="false" outlineLevel="0" collapsed="false">
      <c r="A6" s="0" t="s">
        <v>159</v>
      </c>
      <c r="B6" s="4" t="n">
        <f aca="false">DCF_Bull!$B$38</f>
        <v>278.286150468494</v>
      </c>
      <c r="C6" s="0" t="n">
        <f aca="false">B6/Assumptions!$B$2-1</f>
        <v>1.12773262840045</v>
      </c>
      <c r="D6" s="4" t="n">
        <f aca="false">Assumptions!$B$52</f>
        <v>0.25</v>
      </c>
      <c r="E6" s="4" t="n">
        <f aca="false">DCF_Bull!$B$43</f>
        <v>323.604445622373</v>
      </c>
      <c r="F6" s="4" t="n">
        <f aca="false">DCF_Bull!$B$47</f>
        <v>115.017934423691</v>
      </c>
    </row>
    <row r="8" customFormat="false" ht="15" hidden="false" customHeight="false" outlineLevel="0" collapsed="false">
      <c r="A8" s="0" t="s">
        <v>160</v>
      </c>
      <c r="B8" s="0" t="n">
        <f aca="false">SUMPRODUCT(B4:B6,D4:D6)</f>
        <v>202.190113529931</v>
      </c>
    </row>
    <row r="9" customFormat="false" ht="15" hidden="false" customHeight="false" outlineLevel="0" collapsed="false">
      <c r="A9" s="0" t="s">
        <v>161</v>
      </c>
      <c r="B9" s="0" t="n">
        <f aca="false">SUMPRODUCT(E4:E6,D4:D6)</f>
        <v>240.604560119583</v>
      </c>
    </row>
    <row r="10" customFormat="false" ht="15" hidden="false" customHeight="false" outlineLevel="0" collapsed="false">
      <c r="A10" s="0" t="s">
        <v>162</v>
      </c>
      <c r="B10" s="0" t="n">
        <f aca="false">1-Assumptions!$B$2/B8</f>
        <v>0.353133554768797</v>
      </c>
    </row>
    <row r="11" customFormat="false" ht="15" hidden="false" customHeight="false" outlineLevel="0" collapsed="false">
      <c r="A11" s="0" t="s">
        <v>163</v>
      </c>
      <c r="B11" s="0" t="n">
        <f aca="false">IF(ABS(B9-B8)&gt;0.01*ABS(B8),(Assumptions!$B$2-B8)/(B9-B8)*100,"n/a")</f>
        <v>-185.867869691413</v>
      </c>
    </row>
    <row r="12" customFormat="false" ht="15" hidden="false" customHeight="false" outlineLevel="0" collapsed="false">
      <c r="A12" s="0" t="s">
        <v>164</v>
      </c>
      <c r="B12" s="0" t="n">
        <f aca="false">SUMPRODUCT(F4:F6,D4:D6)</f>
        <v>86.6197057286949</v>
      </c>
    </row>
    <row r="14" customFormat="false" ht="15" hidden="false" customHeight="false" outlineLevel="0" collapsed="false">
      <c r="A14" s="2" t="s">
        <v>165</v>
      </c>
      <c r="C14" s="0" t="s">
        <v>166</v>
      </c>
    </row>
    <row r="15" customFormat="false" ht="15" hidden="false" customHeight="false" outlineLevel="0" collapsed="false">
      <c r="A15" s="0" t="s">
        <v>167</v>
      </c>
      <c r="B15" s="0" t="n">
        <f aca="false">(SUMPRODUCT(DCF_Base!$C$19:$L$19/(1+$C$15/100)^DCF_Base!$C$4:$L$4)+MAX(0,MIN(IF($C$15&gt;DCF_Base!$B$28,DCF_Base!$L$19*(1+DCF_Base!$B$28/100)/(($C$15-DCF_Base!$B$28)/100),DCF_Base!$L$19*DCF_Base!$B$29),DCF_Base!$L$19*DCF_Base!$B$29))/(1+$C$15/100)^DCF_Base!$L$4+Assumptions!$B$5-Assumptions!$B$4)/Assumptions!$B$3*Assumptions!$B$10</f>
        <v>208.706136704293</v>
      </c>
      <c r="C15" s="3" t="n">
        <v>9</v>
      </c>
    </row>
    <row r="16" customFormat="false" ht="15" hidden="false" customHeight="false" outlineLevel="0" collapsed="false">
      <c r="A16" s="0" t="s">
        <v>168</v>
      </c>
      <c r="B16" s="0" t="n">
        <f aca="false">(SUMPRODUCT(DCF_Base!$C$19:$L$19/(1+$C$16/100)^DCF_Base!$C$4:$L$4)+MAX(0,MIN(IF($C$16&gt;DCF_Base!$B$28,DCF_Base!$L$19*(1+DCF_Base!$B$28/100)/(($C$16-DCF_Base!$B$28)/100),DCF_Base!$L$19*DCF_Base!$B$29),DCF_Base!$L$19*DCF_Base!$B$29))/(1+$C$16/100)^DCF_Base!$L$4+Assumptions!$B$5-Assumptions!$B$4)/Assumptions!$B$3*Assumptions!$B$10</f>
        <v>173.644674612437</v>
      </c>
      <c r="C16" s="3" t="n">
        <v>10</v>
      </c>
    </row>
    <row r="17" customFormat="false" ht="15" hidden="false" customHeight="false" outlineLevel="0" collapsed="false">
      <c r="A17" s="0" t="s">
        <v>169</v>
      </c>
      <c r="B17" s="0" t="n">
        <f aca="false">(SUMPRODUCT(DCF_Base!$C$19:$L$19/(1+$C$17/100)^DCF_Base!$C$4:$L$4)+MAX(0,MIN(IF($C$17&gt;DCF_Base!$B$28,DCF_Base!$L$19*(1+DCF_Base!$B$28/100)/(($C$17-DCF_Base!$B$28)/100),DCF_Base!$L$19*DCF_Base!$B$29),DCF_Base!$L$19*DCF_Base!$B$29))/(1+$C$17/100)^DCF_Base!$L$4+Assumptions!$B$5-Assumptions!$B$4)/Assumptions!$B$3*Assumptions!$B$10</f>
        <v>147.573014798673</v>
      </c>
      <c r="C17" s="3" t="n">
        <v>11</v>
      </c>
    </row>
    <row r="18" customFormat="false" ht="15" hidden="false" customHeight="false" outlineLevel="0" collapsed="false">
      <c r="A18" s="0" t="s">
        <v>170</v>
      </c>
      <c r="B18" s="0" t="n">
        <f aca="false">(SUMPRODUCT(DCF_Base!$C$19:$L$19/(1+$C$18/100)^DCF_Base!$C$4:$L$4)+MAX(0,MIN(IF($C$18&gt;DCF_Base!$B$28,DCF_Base!$L$19*(1+DCF_Base!$B$28/100)/(($C$18-DCF_Base!$B$28)/100),DCF_Base!$L$19*DCF_Base!$B$29),DCF_Base!$L$19*DCF_Base!$B$29))/(1+$C$18/100)^DCF_Base!$L$4+Assumptions!$B$5-Assumptions!$B$4)/Assumptions!$B$3*Assumptions!$B$10</f>
        <v>127.480093854809</v>
      </c>
      <c r="C18" s="3" t="n">
        <v>12</v>
      </c>
    </row>
    <row r="19" customFormat="false" ht="15" hidden="false" customHeight="false" outlineLevel="0" collapsed="false">
      <c r="A19" s="0" t="s">
        <v>171</v>
      </c>
      <c r="B19" s="0" t="n">
        <f aca="false">(SUMPRODUCT(DCF_Base!$C$19:$L$19/(1+$C$19/100)^DCF_Base!$C$4:$L$4)+MAX(0,MIN(IF($C$19&gt;DCF_Base!$B$28,DCF_Base!$L$19*(1+DCF_Base!$B$28/100)/(($C$19-DCF_Base!$B$28)/100),DCF_Base!$L$19*DCF_Base!$B$29),DCF_Base!$L$19*DCF_Base!$B$29))/(1+$C$19/100)^DCF_Base!$L$4+Assumptions!$B$5-Assumptions!$B$4)/Assumptions!$B$3*Assumptions!$B$10</f>
        <v>88.0316315353839</v>
      </c>
      <c r="C19" s="3" t="n">
        <v>15</v>
      </c>
    </row>
    <row r="21" customFormat="false" ht="15" hidden="false" customHeight="false" outlineLevel="0" collapsed="false">
      <c r="A21" s="2" t="s">
        <v>172</v>
      </c>
    </row>
    <row r="22" customFormat="false" ht="15" hidden="false" customHeight="false" outlineLevel="0" collapsed="false">
      <c r="B22" s="3" t="n">
        <v>2</v>
      </c>
      <c r="C22" s="3" t="n">
        <v>2.5</v>
      </c>
      <c r="D22" s="3" t="n">
        <v>3</v>
      </c>
      <c r="E22" s="3" t="n">
        <v>3.5</v>
      </c>
      <c r="F22" s="3" t="n">
        <v>4</v>
      </c>
    </row>
    <row r="23" customFormat="false" ht="15" hidden="false" customHeight="false" outlineLevel="0" collapsed="false">
      <c r="A23" s="3" t="n">
        <v>7</v>
      </c>
      <c r="B23" s="0" t="n">
        <f aca="false">(SUMPRODUCT(DCF_Base!$C$19:$L$19/(1+$A$23/100)^DCF_Base!$C$4:$L$4)+MAX(0,MIN(IF($A$23&gt;$B$22,DCF_Base!$L$19*(1+$B$22/100)/(($A$23-$B$22)/100),DCF_Base!$L$19*DCF_Base!$B$29),DCF_Base!$L$19*DCF_Base!$B$29))/(1+$A$23/100)^DCF_Base!$L$4+Assumptions!$B$5-Assumptions!$B$4)/Assumptions!$B$3*Assumptions!$B$10</f>
        <v>254.81613597877</v>
      </c>
      <c r="C23" s="0" t="n">
        <f aca="false">(SUMPRODUCT(DCF_Base!$C$19:$L$19/(1+$A$23/100)^DCF_Base!$C$4:$L$4)+MAX(0,MIN(IF($A$23&gt;$C$22,DCF_Base!$L$19*(1+$C$22/100)/(($A$23-$C$22)/100),DCF_Base!$L$19*DCF_Base!$B$29),DCF_Base!$L$19*DCF_Base!$B$29))/(1+$A$23/100)^DCF_Base!$L$4+Assumptions!$B$5-Assumptions!$B$4)/Assumptions!$B$3*Assumptions!$B$10</f>
        <v>254.81613597877</v>
      </c>
      <c r="D23" s="0" t="n">
        <f aca="false">(SUMPRODUCT(DCF_Base!$C$19:$L$19/(1+$A$23/100)^DCF_Base!$C$4:$L$4)+MAX(0,MIN(IF($A$23&gt;$D$22,DCF_Base!$L$19*(1+$D$22/100)/(($A$23-$D$22)/100),DCF_Base!$L$19*DCF_Base!$B$29),DCF_Base!$L$19*DCF_Base!$B$29))/(1+$A$23/100)^DCF_Base!$L$4+Assumptions!$B$5-Assumptions!$B$4)/Assumptions!$B$3*Assumptions!$B$10</f>
        <v>254.81613597877</v>
      </c>
      <c r="E23" s="0" t="n">
        <f aca="false">(SUMPRODUCT(DCF_Base!$C$19:$L$19/(1+$A$23/100)^DCF_Base!$C$4:$L$4)+MAX(0,MIN(IF($A$23&gt;$E$22,DCF_Base!$L$19*(1+$E$22/100)/(($A$23-$E$22)/100),DCF_Base!$L$19*DCF_Base!$B$29),DCF_Base!$L$19*DCF_Base!$B$29))/(1+$A$23/100)^DCF_Base!$L$4+Assumptions!$B$5-Assumptions!$B$4)/Assumptions!$B$3*Assumptions!$B$10</f>
        <v>254.81613597877</v>
      </c>
      <c r="F23" s="0" t="n">
        <f aca="false">(SUMPRODUCT(DCF_Base!$C$19:$L$19/(1+$A$23/100)^DCF_Base!$C$4:$L$4)+MAX(0,MIN(IF($A$23&gt;$F$22,DCF_Base!$L$19*(1+$F$22/100)/(($A$23-$F$22)/100),DCF_Base!$L$19*DCF_Base!$B$29),DCF_Base!$L$19*DCF_Base!$B$29))/(1+$A$23/100)^DCF_Base!$L$4+Assumptions!$B$5-Assumptions!$B$4)/Assumptions!$B$3*Assumptions!$B$10</f>
        <v>254.81613597877</v>
      </c>
    </row>
    <row r="24" customFormat="false" ht="15" hidden="false" customHeight="false" outlineLevel="0" collapsed="false">
      <c r="A24" s="3" t="n">
        <v>8</v>
      </c>
      <c r="B24" s="0" t="n">
        <f aca="false">(SUMPRODUCT(DCF_Base!$C$19:$L$19/(1+$A$24/100)^DCF_Base!$C$4:$L$4)+MAX(0,MIN(IF($A$24&gt;$B$22,DCF_Base!$L$19*(1+$B$22/100)/(($A$24-$B$22)/100),DCF_Base!$L$19*DCF_Base!$B$29),DCF_Base!$L$19*DCF_Base!$B$29))/(1+$A$24/100)^DCF_Base!$L$4+Assumptions!$B$5-Assumptions!$B$4)/Assumptions!$B$3*Assumptions!$B$10</f>
        <v>225.124719583903</v>
      </c>
      <c r="C24" s="0" t="n">
        <f aca="false">(SUMPRODUCT(DCF_Base!$C$19:$L$19/(1+$A$24/100)^DCF_Base!$C$4:$L$4)+MAX(0,MIN(IF($A$24&gt;$C$22,DCF_Base!$L$19*(1+$C$22/100)/(($A$24-$C$22)/100),DCF_Base!$L$19*DCF_Base!$B$29),DCF_Base!$L$19*DCF_Base!$B$29))/(1+$A$24/100)^DCF_Base!$L$4+Assumptions!$B$5-Assumptions!$B$4)/Assumptions!$B$3*Assumptions!$B$10</f>
        <v>234.306668944357</v>
      </c>
      <c r="D24" s="0" t="n">
        <f aca="false">(SUMPRODUCT(DCF_Base!$C$19:$L$19/(1+$A$24/100)^DCF_Base!$C$4:$L$4)+MAX(0,MIN(IF($A$24&gt;$D$22,DCF_Base!$L$19*(1+$D$22/100)/(($A$24-$D$22)/100),DCF_Base!$L$19*DCF_Base!$B$29),DCF_Base!$L$19*DCF_Base!$B$29))/(1+$A$24/100)^DCF_Base!$L$4+Assumptions!$B$5-Assumptions!$B$4)/Assumptions!$B$3*Assumptions!$B$10</f>
        <v>234.306668944357</v>
      </c>
      <c r="E24" s="0" t="n">
        <f aca="false">(SUMPRODUCT(DCF_Base!$C$19:$L$19/(1+$A$24/100)^DCF_Base!$C$4:$L$4)+MAX(0,MIN(IF($A$24&gt;$E$22,DCF_Base!$L$19*(1+$E$22/100)/(($A$24-$E$22)/100),DCF_Base!$L$19*DCF_Base!$B$29),DCF_Base!$L$19*DCF_Base!$B$29))/(1+$A$24/100)^DCF_Base!$L$4+Assumptions!$B$5-Assumptions!$B$4)/Assumptions!$B$3*Assumptions!$B$10</f>
        <v>234.306668944357</v>
      </c>
      <c r="F24" s="0" t="n">
        <f aca="false">(SUMPRODUCT(DCF_Base!$C$19:$L$19/(1+$A$24/100)^DCF_Base!$C$4:$L$4)+MAX(0,MIN(IF($A$24&gt;$F$22,DCF_Base!$L$19*(1+$F$22/100)/(($A$24-$F$22)/100),DCF_Base!$L$19*DCF_Base!$B$29),DCF_Base!$L$19*DCF_Base!$B$29))/(1+$A$24/100)^DCF_Base!$L$4+Assumptions!$B$5-Assumptions!$B$4)/Assumptions!$B$3*Assumptions!$B$10</f>
        <v>234.306668944357</v>
      </c>
    </row>
    <row r="25" customFormat="false" ht="15" hidden="false" customHeight="false" outlineLevel="0" collapsed="false">
      <c r="A25" s="3" t="n">
        <v>9</v>
      </c>
      <c r="B25" s="0" t="n">
        <f aca="false">(SUMPRODUCT(DCF_Base!$C$19:$L$19/(1+$A$25/100)^DCF_Base!$C$4:$L$4)+MAX(0,MIN(IF($A$25&gt;$B$22,DCF_Base!$L$19*(1+$B$22/100)/(($A$25-$B$22)/100),DCF_Base!$L$19*DCF_Base!$B$29),DCF_Base!$L$19*DCF_Base!$B$29))/(1+$A$25/100)^DCF_Base!$L$4+Assumptions!$B$5-Assumptions!$B$4)/Assumptions!$B$3*Assumptions!$B$10</f>
        <v>186.974888294034</v>
      </c>
      <c r="C25" s="0" t="n">
        <f aca="false">(SUMPRODUCT(DCF_Base!$C$19:$L$19/(1+$A$25/100)^DCF_Base!$C$4:$L$4)+MAX(0,MIN(IF($A$25&gt;$C$22,DCF_Base!$L$19*(1+$C$22/100)/(($A$25-$C$22)/100),DCF_Base!$L$19*DCF_Base!$B$29),DCF_Base!$L$19*DCF_Base!$B$29))/(1+$A$25/100)^DCF_Base!$L$4+Assumptions!$B$5-Assumptions!$B$4)/Assumptions!$B$3*Assumptions!$B$10</f>
        <v>197.004695252615</v>
      </c>
      <c r="D25" s="0" t="n">
        <f aca="false">(SUMPRODUCT(DCF_Base!$C$19:$L$19/(1+$A$25/100)^DCF_Base!$C$4:$L$4)+MAX(0,MIN(IF($A$25&gt;$D$22,DCF_Base!$L$19*(1+$D$22/100)/(($A$25-$D$22)/100),DCF_Base!$L$19*DCF_Base!$B$29),DCF_Base!$L$19*DCF_Base!$B$29))/(1+$A$25/100)^DCF_Base!$L$4+Assumptions!$B$5-Assumptions!$B$4)/Assumptions!$B$3*Assumptions!$B$10</f>
        <v>208.706136704293</v>
      </c>
      <c r="E25" s="0" t="n">
        <f aca="false">(SUMPRODUCT(DCF_Base!$C$19:$L$19/(1+$A$25/100)^DCF_Base!$C$4:$L$4)+MAX(0,MIN(IF($A$25&gt;$E$22,DCF_Base!$L$19*(1+$E$22/100)/(($A$25-$E$22)/100),DCF_Base!$L$19*DCF_Base!$B$29),DCF_Base!$L$19*DCF_Base!$B$29))/(1+$A$25/100)^DCF_Base!$L$4+Assumptions!$B$5-Assumptions!$B$4)/Assumptions!$B$3*Assumptions!$B$10</f>
        <v>215.684060505752</v>
      </c>
      <c r="F25" s="0" t="n">
        <f aca="false">(SUMPRODUCT(DCF_Base!$C$19:$L$19/(1+$A$25/100)^DCF_Base!$C$4:$L$4)+MAX(0,MIN(IF($A$25&gt;$F$22,DCF_Base!$L$19*(1+$F$22/100)/(($A$25-$F$22)/100),DCF_Base!$L$19*DCF_Base!$B$29),DCF_Base!$L$19*DCF_Base!$B$29))/(1+$A$25/100)^DCF_Base!$L$4+Assumptions!$B$5-Assumptions!$B$4)/Assumptions!$B$3*Assumptions!$B$10</f>
        <v>215.684060505752</v>
      </c>
    </row>
    <row r="26" customFormat="false" ht="15" hidden="false" customHeight="false" outlineLevel="0" collapsed="false">
      <c r="A26" s="3" t="n">
        <v>10</v>
      </c>
      <c r="B26" s="0" t="n">
        <f aca="false">(SUMPRODUCT(DCF_Base!$C$19:$L$19/(1+$A$26/100)^DCF_Base!$C$4:$L$4)+MAX(0,MIN(IF($A$26&gt;$B$22,DCF_Base!$L$19*(1+$B$22/100)/(($A$26-$B$22)/100),DCF_Base!$L$19*DCF_Base!$B$29),DCF_Base!$L$19*DCF_Base!$B$29))/(1+$A$26/100)^DCF_Base!$L$4+Assumptions!$B$5-Assumptions!$B$4)/Assumptions!$B$3*Assumptions!$B$10</f>
        <v>158.632270216355</v>
      </c>
      <c r="C26" s="0" t="n">
        <f aca="false">(SUMPRODUCT(DCF_Base!$C$19:$L$19/(1+$A$26/100)^DCF_Base!$C$4:$L$4)+MAX(0,MIN(IF($A$26&gt;$C$22,DCF_Base!$L$19*(1+$C$22/100)/(($A$26-$C$22)/100),DCF_Base!$L$19*DCF_Base!$B$29),DCF_Base!$L$19*DCF_Base!$B$29))/(1+$A$26/100)^DCF_Base!$L$4+Assumptions!$B$5-Assumptions!$B$4)/Assumptions!$B$3*Assumptions!$B$10</f>
        <v>165.638058934527</v>
      </c>
      <c r="D26" s="0" t="n">
        <f aca="false">(SUMPRODUCT(DCF_Base!$C$19:$L$19/(1+$A$26/100)^DCF_Base!$C$4:$L$4)+MAX(0,MIN(IF($A$26&gt;$D$22,DCF_Base!$L$19*(1+$D$22/100)/(($A$26-$D$22)/100),DCF_Base!$L$19*DCF_Base!$B$29),DCF_Base!$L$19*DCF_Base!$B$29))/(1+$A$26/100)^DCF_Base!$L$4+Assumptions!$B$5-Assumptions!$B$4)/Assumptions!$B$3*Assumptions!$B$10</f>
        <v>173.644674612437</v>
      </c>
      <c r="E26" s="0" t="n">
        <f aca="false">(SUMPRODUCT(DCF_Base!$C$19:$L$19/(1+$A$26/100)^DCF_Base!$C$4:$L$4)+MAX(0,MIN(IF($A$26&gt;$E$22,DCF_Base!$L$19*(1+$E$22/100)/(($A$26-$E$22)/100),DCF_Base!$L$19*DCF_Base!$B$29),DCF_Base!$L$19*DCF_Base!$B$29))/(1+$A$26/100)^DCF_Base!$L$4+Assumptions!$B$5-Assumptions!$B$4)/Assumptions!$B$3*Assumptions!$B$10</f>
        <v>182.883077317718</v>
      </c>
      <c r="F26" s="0" t="n">
        <f aca="false">(SUMPRODUCT(DCF_Base!$C$19:$L$19/(1+$A$26/100)^DCF_Base!$C$4:$L$4)+MAX(0,MIN(IF($A$26&gt;$F$22,DCF_Base!$L$19*(1+$F$22/100)/(($A$26-$F$22)/100),DCF_Base!$L$19*DCF_Base!$B$29),DCF_Base!$L$19*DCF_Base!$B$29))/(1+$A$26/100)^DCF_Base!$L$4+Assumptions!$B$5-Assumptions!$B$4)/Assumptions!$B$3*Assumptions!$B$10</f>
        <v>193.661213807213</v>
      </c>
    </row>
    <row r="27" customFormat="false" ht="15" hidden="false" customHeight="false" outlineLevel="0" collapsed="false">
      <c r="A27" s="3" t="n">
        <v>11</v>
      </c>
      <c r="B27" s="0" t="n">
        <f aca="false">(SUMPRODUCT(DCF_Base!$C$19:$L$19/(1+$A$27/100)^DCF_Base!$C$4:$L$4)+MAX(0,MIN(IF($A$27&gt;$B$22,DCF_Base!$L$19*(1+$B$22/100)/(($A$27-$B$22)/100),DCF_Base!$L$19*DCF_Base!$B$29),DCF_Base!$L$19*DCF_Base!$B$29))/(1+$A$27/100)^DCF_Base!$L$4+Assumptions!$B$5-Assumptions!$B$4)/Assumptions!$B$3*Assumptions!$B$10</f>
        <v>136.810019697388</v>
      </c>
      <c r="C27" s="0" t="n">
        <f aca="false">(SUMPRODUCT(DCF_Base!$C$19:$L$19/(1+$A$27/100)^DCF_Base!$C$4:$L$4)+MAX(0,MIN(IF($A$27&gt;$C$22,DCF_Base!$L$19*(1+$C$22/100)/(($A$27-$C$22)/100),DCF_Base!$L$19*DCF_Base!$B$29),DCF_Base!$L$19*DCF_Base!$B$29))/(1+$A$27/100)^DCF_Base!$L$4+Assumptions!$B$5-Assumptions!$B$4)/Assumptions!$B$3*Assumptions!$B$10</f>
        <v>141.874958568581</v>
      </c>
      <c r="D27" s="0" t="n">
        <f aca="false">(SUMPRODUCT(DCF_Base!$C$19:$L$19/(1+$A$27/100)^DCF_Base!$C$4:$L$4)+MAX(0,MIN(IF($A$27&gt;$D$22,DCF_Base!$L$19*(1+$D$22/100)/(($A$27-$D$22)/100),DCF_Base!$L$19*DCF_Base!$B$29),DCF_Base!$L$19*DCF_Base!$B$29))/(1+$A$27/100)^DCF_Base!$L$4+Assumptions!$B$5-Assumptions!$B$4)/Assumptions!$B$3*Assumptions!$B$10</f>
        <v>147.573014798673</v>
      </c>
      <c r="E27" s="0" t="n">
        <f aca="false">(SUMPRODUCT(DCF_Base!$C$19:$L$19/(1+$A$27/100)^DCF_Base!$C$4:$L$4)+MAX(0,MIN(IF($A$27&gt;$E$22,DCF_Base!$L$19*(1+$E$22/100)/(($A$27-$E$22)/100),DCF_Base!$L$19*DCF_Base!$B$29),DCF_Base!$L$19*DCF_Base!$B$29))/(1+$A$27/100)^DCF_Base!$L$4+Assumptions!$B$5-Assumptions!$B$4)/Assumptions!$B$3*Assumptions!$B$10</f>
        <v>154.030811859444</v>
      </c>
      <c r="F27" s="0" t="n">
        <f aca="false">(SUMPRODUCT(DCF_Base!$C$19:$L$19/(1+$A$27/100)^DCF_Base!$C$4:$L$4)+MAX(0,MIN(IF($A$27&gt;$F$22,DCF_Base!$L$19*(1+$F$22/100)/(($A$27-$F$22)/100),DCF_Base!$L$19*DCF_Base!$B$29),DCF_Base!$L$19*DCF_Base!$B$29))/(1+$A$27/100)^DCF_Base!$L$4+Assumptions!$B$5-Assumptions!$B$4)/Assumptions!$B$3*Assumptions!$B$10</f>
        <v>161.411151357467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2026-10-02T07:34:25Z</dcterms:created>
  <dc:creator>openpyxl</dc:creator>
  <dc:description/>
  <dc:language>en-NZ</dc:language>
  <cp:lastModifiedBy/>
  <dcterms:modified xsi:type="dcterms:W3CDTF">2026-10-02T07:34:25Z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