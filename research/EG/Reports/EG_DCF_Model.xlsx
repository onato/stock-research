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<sst xmlns="http://schemas.openxmlformats.org/spreadsheetml/2006/main" count="386" uniqueCount="173">
  <si>
    <t xml:space="preserve">Ticker</t>
  </si>
  <si>
    <t xml:space="preserve">EG</t>
  </si>
  <si>
    <t xml:space="preserve">Company</t>
  </si>
  <si>
    <t xml:space="preserve">Everest Group, Ltd.</t>
  </si>
  <si>
    <t xml:space="preserve">Valuation date</t>
  </si>
  <si>
    <t xml:space="preserve">2026-09-28</t>
  </si>
  <si>
    <t xml:space="preserve">Current price</t>
  </si>
  <si>
    <t xml:space="preserve">Price as of</t>
  </si>
  <si>
    <t xml:space="preserve">2026-09-25T20:00:02Z regular close (latest close; fetched pre-market 2026-09-28, not an after-hours print)</t>
  </si>
  <si>
    <t xml:space="preserve">Balance sheet date</t>
  </si>
  <si>
    <t xml:space="preserve">2026-06-30</t>
  </si>
  <si>
    <t xml:space="preserve">Model</t>
  </si>
  <si>
    <t xml:space="preserve">Insurer FCFE at cost of equity, BVPS-compounding calibrated (engine route)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</si>
  <si>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</si>
  <si>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</si>
  <si>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</si>
  <si>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</si>
  <si>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</si>
  <si>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</si>
  <si>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</si>
  <si>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</si>
  <si>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2026-09-28T07:33:48Z</t>
  </si>
  <si>
    <t xml:space="preserve">Drivers file</t>
  </si>
  <si>
    <t xml:space="preserve">EG_Drivers.json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</si>
  <si>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</si>
  <si>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</si>
  <si>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</si>
  <si>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Everest is a compounder of book value, so it is valued as one: the distributable-earnings stream (pre-tax income after interest, less tax and less the capital retained to support premium volume) is discounted at a 10% cost of equity with net debt held at zero, and the terminal value is capped so each scenario exits at a price-to-book consistent with Everest's own history (0.8x / 1.1x / 1.35x). The question the model answers is whether a reinsurer earning ~11% on equity through the cycle, returning ~9% of its market cap a year, deserves to trade at 0.93x book. Reported OCF, EBITDA and P/E are not used: for a reinsurer OCF is float movement, EBITDA is undefined, and a trailing P/E of ~8x on a year with $1.7B of reserve charges says little.
key_risks_to_valuation: Reserve adequacy: every $500M of further US casualty adverse development is ~$11/share of book and, more importantly, evidence that the 13% normalised margin is too high -- the bear path, not a one-off.; Exit multiple: roughly half of base-case value is the year-10 exit at 1.09x book; at the FY2025 low of 0.89x the base IV falls by ~$35/share.; Catastrophe and geopolitical losses: a 1-in-100 cat year has historically taken Everest's ROE to ~1-5% (2017, 2018, 2020) and would remove a year of the compounding the model assumes.; Pricing cycle: property-cat rates down 15-20% at 2026 renewals; if casualty and specialty follow, the 13% margin is unattainable and the model converges on the bear case.; Rate sensitivity: ~$2.3B of net investment income on a $40B+ fixed-income book; a 100bp fall in reinvestment yields is ~$300-400M of pre-tax income over time (~2pp of margin).; Share count: the model holds 38.5M shares flat and treats buybacks as the distribution of the FCFE it values; it does not add value for buying back stock below book, which is a modest source of conservatism at 0.93x.</t>
  </si>
  <si>
    <t xml:space="preserve">Data sources</t>
  </si>
  <si>
    <t xml:space="preserve">price: Yahoo Finance chart API at inputs.price_as_of; 52-week range 302.44-401.07.
financials: SEC XBRL companyfacts (CIK 1095073) via scripts/build_facts_xbrl.py into core_metrics/EG_Metrics.csv (FY2008-Q2 2026); Q2-2026 10-Q (filed 2026-08-03) for equity $15,430M, senior notes $2,352M, cover-page shares 38,342,734 (2026-07-27), diluted weighted 38.8M, H1-2026 pre-tax income $1,420M and tax $207M; FY2025 10-K (filed 2026-02-26) for revenue $17,496M, pre-tax $1,887M, tax $296M, SBC $61M, buybacks $797M, dividends $335M.
qualitative: EG_Analysis.json (2026-09-28): 2025 segment recast, AIG renewal-rights sale, $1.2B ADC, FY2024/FY2025 adverse development, Oct-2025 negative outlooks, Q2-2026 results and management commentary on pricing discipline.</t>
  </si>
  <si>
    <t xml:space="preserve">Scenario narrative: bear</t>
  </si>
  <si>
    <t xml:space="preserve">Social inflation keeps running ahead of Everest's picks and a third consecutive Q4 reserve charge (~$400-500M) lands in FY2026; AM Best or S&amp;P downgrade to A, and cedents trim Everest's share on large treaties. Property-cat pricing stays soft through 2028 while alternative capital keeps flooding in, so revenue shrinks to ~$15B and stays there. A 10% pre-tax margin is an ~8% ROE, below the 10% cost of equity, and the stock stays priced as a value-destroying compounder at ~0.8x book -- roughly where it closed FY2025.</t>
  </si>
  <si>
    <t xml:space="preserve">Scenario narrative: base</t>
  </si>
  <si>
    <t xml:space="preserve">Everest completes its 2025-26 reset: the AIG retail book runs off, property-cat capacity is cut into 15-20% rate declines, and revenue troughs around $15.7B in FY2027 before growing 2-3% a year. Core Reinsurance Treaty and Global Wholesale &amp; Specialty run a ~90% combined ratio; adding a normal cat load and the Legacy segment's drag gives a group CR of ~94% and, with $2.2-2.5B of net investment income, a 13% pre-tax margin and ~11% ROE from FY2028. FY2026 earns ~$2.0B (H1 actual $1.2B plus a cat- and reserve-review-laden H2), a little below the street's ~$54 EPS. Equity/revenue is held at ~0.95x, so about a quarter of earnings is retained and the rest returned through the $8/share dividend and buybacks. Exit at ~1.1x book, Everest's 10-year median.</t>
  </si>
  <si>
    <t xml:space="preserve">Scenario narrative: bull</t>
  </si>
  <si>
    <t xml:space="preserve">The $1.2B adverse development cover and the exit from retail casualty genuinely draw a line under US casualty reserves; no further charges emerge and rating outlooks return to stable. Core underwriting stays at a 90% combined ratio, NII keeps compounding as the portfolio reinvests above 4.5%, and from FY2028 capital freed from the retail book is redeployed into specialty and casualty reinsurance at 4-5% growth. Margins of 15% deliver 13-14% ROE, three points above the cost of equity, and the market re-rates the stock to ~1.35x book as it did in 2019 and 2023.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</si>
  <si>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</si>
  <si>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</si>
  <si>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</si>
  <si>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</si>
  <si>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</si>
  <si>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</si>
  <si>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</si>
  <si>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</si>
  <si>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</si>
  <si>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</si>
  <si>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</si>
  <si>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</si>
  <si>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</si>
  <si>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</si>
  <si>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</si>
  <si>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</si>
  <si>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</si>
  <si>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</si>
  <si>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</si>
  <si>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</si>
  <si>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</si>
  <si>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</si>
  <si>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</si>
  <si>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</si>
  <si>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</si>
  <si>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</si>
  <si>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</si>
  <si>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</si>
  <si>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</si>
  <si>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</si>
  <si>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</si>
  <si>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</si>
  <si>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</si>
  <si>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</si>
  <si>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</si>
  <si>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</si>
  <si>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</si>
  <si>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</si>
  <si>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</si>
  <si>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</si>
  <si>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</si>
  <si>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</si>
  <si>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</si>
  <si>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</si>
  <si>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</si>
  <si>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</si>
  <si>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</si>
  <si>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</si>
  <si>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</si>
  <si>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</si>
  <si>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</si>
  <si>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</si>
  <si>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</si>
  <si>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</si>
  <si>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</si>
  <si>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</si>
  <si>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</si>
  <si>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</si>
  <si>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</si>
  <si>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</si>
  <si>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</si>
  <si>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</si>
  <si>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</si>
  <si>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</si>
  <si>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</si>
  <si>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</si>
  <si>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</si>
  <si>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</si>
  <si>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</si>
  <si>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</si>
  <si>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</si>
  <si>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</si>
  <si>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</si>
  <si>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</si>
  <si>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</si>
  <si>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</si>
  <si>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</si>
  <si>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</si>
  <si>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</si>
  <si>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</si>
  <si>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</si>
  <si>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</si>
  <si>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</si>
  <si>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EG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</si>
  <si>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</si>
  <si>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</si>
  <si>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</si>
  <si>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</si>
  <si>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</si>
  <si>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</si>
  <si>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</si>
  <si>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</si>
  <si>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</si>
  <si>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</si>
  <si>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</si>
  <si>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</si>
  <si>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</si>
  <si>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</si>
  <si>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</si>
  <si>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</si>
  <si>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</si>
  <si>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</si>
  <si>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</si>
  <si>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</si>
  <si>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</si>
  <si>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</si>
  <si>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</si>
  <si>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</si>
  <si>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</si>
  <si>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</si>
  <si>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</si>
  <si>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</si>
  <si>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</si>
  <si>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</si>
  <si>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EG owner-FCF component DCF: base case (millions, USD)</t>
  </si>
  <si>
    <t xml:space="preserve">EG owner-FCF component DCF: bull case (millions, USD)</t>
  </si>
  <si>
    <t xml:space="preserve">EG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</si>
  <si>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</si>
  <si>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</si>
  <si>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</si>
  <si>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</si>
  <si>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</si>
  <si>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</si>
  <si>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</si>
  <si>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</si>
  <si>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</si>
  <si>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</si>
  <si>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</si>
  <si>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</si>
  <si>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</si>
  <si>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</si>
  <si>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</si>
  <si>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10% (WACC)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</si>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</sst>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370.43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S2" s="0" t="n">
        <v>250.567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3527.579</v>
      </c>
      <c r="I3" s="0" t="n">
        <v>-18.758</v>
      </c>
      <c r="J3" s="0" t="n">
        <v>-0.531752797031619</v>
      </c>
      <c r="K3" s="0" t="n">
        <v>-0.3</v>
      </c>
      <c r="L3" s="0" t="n">
        <v>662.995</v>
      </c>
      <c r="O3" s="0" t="n">
        <v>4960.355</v>
      </c>
      <c r="S3" s="0" t="n">
        <v>205.694</v>
      </c>
      <c r="U3" s="0" t="n">
        <v>16.305</v>
      </c>
      <c r="V3" s="0" t="n">
        <v>1.92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4498.578</v>
      </c>
      <c r="I4" s="0" t="n">
        <v>806.989</v>
      </c>
      <c r="J4" s="0" t="n">
        <v>17.9387575362704</v>
      </c>
      <c r="K4" s="0" t="n">
        <v>13.26</v>
      </c>
      <c r="L4" s="0" t="n">
        <v>784.738</v>
      </c>
      <c r="O4" s="0" t="n">
        <v>6101.722</v>
      </c>
      <c r="P4" s="0" t="n">
        <v>18001.312</v>
      </c>
      <c r="Q4" s="0" t="n">
        <v>11899.59</v>
      </c>
      <c r="S4" s="0" t="n">
        <v>247.598</v>
      </c>
      <c r="T4" s="0" t="n">
        <v>60.847</v>
      </c>
      <c r="U4" s="0" t="n">
        <v>13.347</v>
      </c>
      <c r="V4" s="0" t="n">
        <v>1.92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4705.807</v>
      </c>
      <c r="I5" s="0" t="n">
        <v>610.754</v>
      </c>
      <c r="J5" s="0" t="n">
        <v>12.9787303219193</v>
      </c>
      <c r="K5" s="0" t="n">
        <v>10.73</v>
      </c>
      <c r="L5" s="0" t="n">
        <v>918.475</v>
      </c>
      <c r="O5" s="0" t="n">
        <v>6283.517</v>
      </c>
      <c r="P5" s="0" t="n">
        <v>18384.198</v>
      </c>
      <c r="Q5" s="0" t="n">
        <v>12100.681</v>
      </c>
      <c r="S5" s="0" t="n">
        <v>258.408</v>
      </c>
      <c r="T5" s="0" t="n">
        <v>66.017</v>
      </c>
      <c r="U5" s="0" t="n">
        <v>14.786</v>
      </c>
      <c r="V5" s="0" t="n">
        <v>1.92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4693.961</v>
      </c>
      <c r="I6" s="0" t="n">
        <v>-80.486</v>
      </c>
      <c r="J6" s="0" t="n">
        <v>-1.71467125525755</v>
      </c>
      <c r="K6" s="0" t="n">
        <v>-1.49</v>
      </c>
      <c r="L6" s="0" t="n">
        <v>659.52</v>
      </c>
      <c r="O6" s="0" t="n">
        <v>6071.375</v>
      </c>
      <c r="P6" s="0" t="n">
        <v>18893.555</v>
      </c>
      <c r="Q6" s="0" t="n">
        <v>12822.18</v>
      </c>
      <c r="S6" s="0" t="n">
        <v>448.651</v>
      </c>
      <c r="T6" s="0" t="n">
        <v>66.455</v>
      </c>
      <c r="U6" s="0" t="n">
        <v>17.693</v>
      </c>
      <c r="V6" s="0" t="n">
        <v>1.92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4922.81</v>
      </c>
      <c r="I7" s="0" t="n">
        <v>828.954</v>
      </c>
      <c r="J7" s="0" t="n">
        <v>16.8390411167606</v>
      </c>
      <c r="K7" s="0" t="n">
        <v>15.85</v>
      </c>
      <c r="L7" s="0" t="n">
        <v>663.914</v>
      </c>
      <c r="O7" s="0" t="n">
        <v>6733.467</v>
      </c>
      <c r="P7" s="0" t="n">
        <v>19777.907</v>
      </c>
      <c r="Q7" s="0" t="n">
        <v>13044.44</v>
      </c>
      <c r="S7" s="0" t="n">
        <v>537.05</v>
      </c>
      <c r="T7" s="0" t="n">
        <v>67.105</v>
      </c>
      <c r="U7" s="0" t="n">
        <v>31.984</v>
      </c>
      <c r="V7" s="0" t="n">
        <v>1.92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5640.836</v>
      </c>
      <c r="I8" s="0" t="n">
        <v>1265.26</v>
      </c>
      <c r="J8" s="0" t="n">
        <v>22.430363158936</v>
      </c>
      <c r="K8" s="0" t="n">
        <v>25.67</v>
      </c>
      <c r="O8" s="0" t="n">
        <v>6968.276</v>
      </c>
      <c r="P8" s="0" t="n">
        <v>19808.036</v>
      </c>
      <c r="Q8" s="0" t="n">
        <v>12746.382</v>
      </c>
      <c r="S8" s="0" t="n">
        <v>611.382</v>
      </c>
      <c r="T8" s="0" t="n">
        <v>67.965</v>
      </c>
      <c r="U8" s="0" t="n">
        <v>31.844</v>
      </c>
      <c r="V8" s="0" t="n">
        <v>2.19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5678.947</v>
      </c>
      <c r="I9" s="0" t="n">
        <v>1199.156</v>
      </c>
      <c r="J9" s="0" t="n">
        <v>21.1158160130743</v>
      </c>
      <c r="K9" s="0" t="n">
        <v>26.16</v>
      </c>
      <c r="O9" s="0" t="n">
        <v>7451.12</v>
      </c>
      <c r="P9" s="0" t="n">
        <v>20817.824</v>
      </c>
      <c r="Q9" s="0" t="n">
        <v>12945.152</v>
      </c>
      <c r="S9" s="0" t="n">
        <v>437.474</v>
      </c>
      <c r="T9" s="0" t="n">
        <v>68.336</v>
      </c>
      <c r="U9" s="0" t="n">
        <v>21.197</v>
      </c>
      <c r="V9" s="0" t="n">
        <v>3.2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5676.765</v>
      </c>
      <c r="I10" s="0" t="n">
        <v>977.869</v>
      </c>
      <c r="J10" s="0" t="n">
        <v>17.2258143502505</v>
      </c>
      <c r="K10" s="0" t="n">
        <v>22.29</v>
      </c>
      <c r="L10" s="0" t="n">
        <v>1108.235</v>
      </c>
      <c r="O10" s="0" t="n">
        <v>7608.585</v>
      </c>
      <c r="P10" s="0" t="n">
        <v>20550.828</v>
      </c>
      <c r="Q10" s="0" t="n">
        <v>12942.243</v>
      </c>
      <c r="S10" s="0" t="n">
        <v>283.658</v>
      </c>
      <c r="T10" s="0" t="n">
        <v>68.606</v>
      </c>
      <c r="U10" s="0" t="n">
        <v>21.237</v>
      </c>
      <c r="V10" s="0" t="n">
        <v>4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5794.346</v>
      </c>
      <c r="I11" s="0" t="n">
        <v>996.344</v>
      </c>
      <c r="J11" s="0" t="n">
        <v>17.1951070923276</v>
      </c>
      <c r="K11" s="0" t="n">
        <v>23.85</v>
      </c>
      <c r="L11" s="0" t="n">
        <v>1383.6</v>
      </c>
      <c r="O11" s="0" t="n">
        <v>8075.396</v>
      </c>
      <c r="P11" s="0" t="n">
        <v>21321.504</v>
      </c>
      <c r="Q11" s="0" t="n">
        <v>13246.108</v>
      </c>
      <c r="S11" s="0" t="n">
        <v>481.922</v>
      </c>
      <c r="T11" s="0" t="n">
        <v>68.871</v>
      </c>
      <c r="U11" s="0" t="n">
        <v>26.398</v>
      </c>
      <c r="V11" s="0" t="n">
        <v>4.7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6622.298</v>
      </c>
      <c r="I12" s="0" t="n">
        <v>482.751</v>
      </c>
      <c r="J12" s="0" t="n">
        <v>7.28978067734191</v>
      </c>
      <c r="K12" s="0" t="n">
        <v>11.77</v>
      </c>
      <c r="L12" s="0" t="n">
        <v>1162.693</v>
      </c>
      <c r="O12" s="0" t="n">
        <v>8340.736</v>
      </c>
      <c r="P12" s="0" t="n">
        <v>23563.296</v>
      </c>
      <c r="Q12" s="0" t="n">
        <v>15222.56</v>
      </c>
      <c r="S12" s="0" t="n">
        <v>635.067</v>
      </c>
      <c r="T12" s="0" t="n">
        <v>69.044</v>
      </c>
      <c r="U12" s="0" t="n">
        <v>30.297</v>
      </c>
      <c r="V12" s="0" t="n">
        <v>5.05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7361.495</v>
      </c>
      <c r="I13" s="0" t="n">
        <v>89.041</v>
      </c>
      <c r="J13" s="0" t="n">
        <v>1.2095505057057</v>
      </c>
      <c r="K13" s="0" t="n">
        <v>2.18</v>
      </c>
      <c r="L13" s="0" t="n">
        <v>610.069</v>
      </c>
      <c r="O13" s="0" t="n">
        <v>7860.797</v>
      </c>
      <c r="P13" s="0" t="n">
        <v>24750.992</v>
      </c>
      <c r="Q13" s="0" t="n">
        <v>16890.195</v>
      </c>
      <c r="S13" s="0" t="n">
        <v>656.095</v>
      </c>
      <c r="T13" s="0" t="n">
        <v>69.202</v>
      </c>
      <c r="U13" s="0" t="n">
        <v>32.369</v>
      </c>
      <c r="V13" s="0" t="n">
        <v>5.3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8231.169</v>
      </c>
      <c r="I14" s="0" t="n">
        <v>1009.461</v>
      </c>
      <c r="J14" s="0" t="n">
        <v>12.2638837812709</v>
      </c>
      <c r="K14" s="0" t="n">
        <v>24.77</v>
      </c>
      <c r="L14" s="0" t="n">
        <v>1852.002</v>
      </c>
      <c r="O14" s="0" t="n">
        <v>9132.925</v>
      </c>
      <c r="P14" s="0" t="n">
        <v>27324.051</v>
      </c>
      <c r="Q14" s="0" t="n">
        <v>18191.126</v>
      </c>
      <c r="T14" s="0" t="n">
        <v>69.464</v>
      </c>
      <c r="U14" s="0" t="n">
        <v>34.018</v>
      </c>
      <c r="V14" s="0" t="n">
        <v>5.75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9598</v>
      </c>
      <c r="I15" s="0" t="n">
        <v>514</v>
      </c>
      <c r="J15" s="0" t="n">
        <v>5.35528235048969</v>
      </c>
      <c r="K15" s="0" t="n">
        <v>12.81</v>
      </c>
      <c r="L15" s="0" t="n">
        <v>2874</v>
      </c>
      <c r="O15" s="0" t="n">
        <v>9726</v>
      </c>
      <c r="P15" s="0" t="n">
        <v>32711.503</v>
      </c>
      <c r="Q15" s="0" t="n">
        <v>22985.327</v>
      </c>
      <c r="T15" s="0" t="n">
        <v>40</v>
      </c>
      <c r="U15" s="0" t="n">
        <v>39</v>
      </c>
      <c r="V15" s="0" t="n">
        <v>6.2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11866</v>
      </c>
      <c r="I16" s="0" t="n">
        <v>1379</v>
      </c>
      <c r="J16" s="0" t="n">
        <v>11.6214394067082</v>
      </c>
      <c r="K16" s="0" t="n">
        <v>34.66</v>
      </c>
      <c r="L16" s="0" t="n">
        <v>3833</v>
      </c>
      <c r="O16" s="0" t="n">
        <v>10139</v>
      </c>
      <c r="P16" s="0" t="n">
        <v>38185</v>
      </c>
      <c r="Q16" s="0" t="n">
        <v>28046</v>
      </c>
      <c r="T16" s="0" t="n">
        <v>69.8</v>
      </c>
      <c r="U16" s="0" t="n">
        <v>43</v>
      </c>
      <c r="V16" s="0" t="n">
        <v>6.2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12060</v>
      </c>
      <c r="I17" s="0" t="n">
        <v>597</v>
      </c>
      <c r="J17" s="0" t="n">
        <v>4.95024875621891</v>
      </c>
      <c r="K17" s="0" t="n">
        <v>15.19</v>
      </c>
      <c r="L17" s="0" t="n">
        <v>3695</v>
      </c>
      <c r="O17" s="0" t="n">
        <v>8441</v>
      </c>
      <c r="P17" s="0" t="n">
        <v>39966</v>
      </c>
      <c r="Q17" s="0" t="n">
        <v>31525</v>
      </c>
      <c r="T17" s="0" t="n">
        <v>69.9</v>
      </c>
      <c r="U17" s="0" t="n">
        <v>45</v>
      </c>
      <c r="V17" s="0" t="n">
        <v>6.5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14587</v>
      </c>
      <c r="I18" s="0" t="n">
        <v>2517</v>
      </c>
      <c r="J18" s="0" t="n">
        <v>17.2550901487626</v>
      </c>
      <c r="K18" s="0" t="n">
        <v>60.19</v>
      </c>
      <c r="L18" s="0" t="n">
        <v>4553</v>
      </c>
      <c r="O18" s="0" t="n">
        <v>13202</v>
      </c>
      <c r="P18" s="0" t="n">
        <v>49399</v>
      </c>
      <c r="Q18" s="0" t="n">
        <v>36197</v>
      </c>
      <c r="T18" s="0" t="n">
        <v>74.2</v>
      </c>
      <c r="U18" s="0" t="n">
        <v>49</v>
      </c>
      <c r="V18" s="0" t="n">
        <v>6.8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17281</v>
      </c>
      <c r="I19" s="0" t="n">
        <v>1373</v>
      </c>
      <c r="J19" s="0" t="n">
        <v>7.94514206353799</v>
      </c>
      <c r="K19" s="0" t="n">
        <v>31.78</v>
      </c>
      <c r="L19" s="0" t="n">
        <v>4957</v>
      </c>
      <c r="O19" s="0" t="n">
        <v>13875</v>
      </c>
      <c r="P19" s="0" t="n">
        <v>56341</v>
      </c>
      <c r="Q19" s="0" t="n">
        <v>42466</v>
      </c>
      <c r="T19" s="0" t="n">
        <v>74.3</v>
      </c>
      <c r="U19" s="0" t="n">
        <v>63</v>
      </c>
      <c r="V19" s="0" t="n">
        <v>7.75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81</v>
      </c>
      <c r="B20" s="0" t="n">
        <v>17496</v>
      </c>
      <c r="I20" s="0" t="n">
        <v>1591</v>
      </c>
      <c r="J20" s="0" t="n">
        <v>9.09350708733425</v>
      </c>
      <c r="K20" s="0" t="n">
        <v>37.8</v>
      </c>
      <c r="L20" s="0" t="n">
        <v>3068</v>
      </c>
      <c r="O20" s="0" t="n">
        <v>15461</v>
      </c>
      <c r="P20" s="0" t="n">
        <v>62514</v>
      </c>
      <c r="Q20" s="0" t="n">
        <v>47054</v>
      </c>
      <c r="T20" s="0" t="n">
        <v>74.4</v>
      </c>
      <c r="U20" s="0" t="n">
        <v>61</v>
      </c>
      <c r="V20" s="0" t="n">
        <v>8</v>
      </c>
      <c r="AA20" s="0" t="s">
        <v>17</v>
      </c>
      <c r="AB20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82</v>
      </c>
      <c r="B1" s="2" t="s">
        <v>83</v>
      </c>
    </row>
    <row r="2" customFormat="false" ht="15" hidden="false" customHeight="false" outlineLevel="0" collapsed="false">
      <c r="A2" s="0" t="s">
        <v>84</v>
      </c>
      <c r="B2" s="3" t="n">
        <v>370.43</v>
      </c>
    </row>
    <row r="3" customFormat="false" ht="15" hidden="false" customHeight="false" outlineLevel="0" collapsed="false">
      <c r="A3" s="0" t="s">
        <v>85</v>
      </c>
      <c r="B3" s="3" t="n">
        <v>38.5</v>
      </c>
    </row>
    <row r="4" customFormat="false" ht="15" hidden="false" customHeight="false" outlineLevel="0" collapsed="false">
      <c r="A4" s="0" t="s">
        <v>86</v>
      </c>
      <c r="B4" s="3" t="n">
        <v>0</v>
      </c>
    </row>
    <row r="5" customFormat="false" ht="15" hidden="false" customHeight="false" outlineLevel="0" collapsed="false">
      <c r="A5" s="0" t="s">
        <v>87</v>
      </c>
      <c r="B5" s="3" t="n">
        <v>0</v>
      </c>
    </row>
    <row r="6" customFormat="false" ht="15" hidden="false" customHeight="false" outlineLevel="0" collapsed="false">
      <c r="A6" s="0" t="s">
        <v>88</v>
      </c>
      <c r="B6" s="3" t="n">
        <v>15</v>
      </c>
    </row>
    <row r="7" customFormat="false" ht="15" hidden="false" customHeight="false" outlineLevel="0" collapsed="false">
      <c r="A7" s="0" t="s">
        <v>89</v>
      </c>
      <c r="B7" s="3" t="n">
        <v>17496</v>
      </c>
    </row>
    <row r="8" customFormat="false" ht="15" hidden="false" customHeight="false" outlineLevel="0" collapsed="false">
      <c r="A8" s="0" t="s">
        <v>90</v>
      </c>
      <c r="B8" s="3" t="s">
        <v>81</v>
      </c>
    </row>
    <row r="9" customFormat="false" ht="15" hidden="false" customHeight="false" outlineLevel="0" collapsed="false">
      <c r="A9" s="0" t="s">
        <v>91</v>
      </c>
      <c r="B9" s="3" t="s">
        <v>92</v>
      </c>
    </row>
    <row r="10" customFormat="false" ht="15" hidden="false" customHeight="false" outlineLevel="0" collapsed="false">
      <c r="A10" s="0" t="s">
        <v>93</v>
      </c>
      <c r="B10" s="3" t="n">
        <v>1</v>
      </c>
    </row>
    <row r="12" customFormat="false" ht="15" hidden="false" customHeight="false" outlineLevel="0" collapsed="false">
      <c r="A12" s="2" t="s">
        <v>94</v>
      </c>
      <c r="C12" s="2" t="s">
        <v>95</v>
      </c>
      <c r="D12" s="2" t="s">
        <v>96</v>
      </c>
      <c r="E12" s="2" t="s">
        <v>97</v>
      </c>
      <c r="F12" s="2" t="s">
        <v>98</v>
      </c>
      <c r="G12" s="2" t="s">
        <v>99</v>
      </c>
      <c r="H12" s="2" t="s">
        <v>100</v>
      </c>
      <c r="I12" s="2" t="s">
        <v>101</v>
      </c>
      <c r="J12" s="2" t="s">
        <v>102</v>
      </c>
      <c r="K12" s="2" t="s">
        <v>103</v>
      </c>
      <c r="L12" s="2" t="s">
        <v>104</v>
      </c>
    </row>
    <row r="13" customFormat="false" ht="15" hidden="false" customHeight="false" outlineLevel="0" collapsed="false">
      <c r="A13" s="0" t="s">
        <v>105</v>
      </c>
      <c r="C13" s="3" t="n">
        <v>-9</v>
      </c>
      <c r="D13" s="3" t="n">
        <v>-6</v>
      </c>
      <c r="E13" s="3" t="n">
        <v>0</v>
      </c>
      <c r="F13" s="3" t="n">
        <v>1</v>
      </c>
      <c r="G13" s="3" t="n">
        <v>1.5</v>
      </c>
      <c r="H13" s="3" t="n">
        <v>2</v>
      </c>
      <c r="I13" s="3" t="n">
        <v>2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106</v>
      </c>
      <c r="C14" s="3" t="n">
        <v>12</v>
      </c>
      <c r="D14" s="3" t="n">
        <v>9</v>
      </c>
      <c r="E14" s="3" t="n">
        <v>9.5</v>
      </c>
      <c r="F14" s="3" t="n">
        <v>10</v>
      </c>
      <c r="G14" s="3" t="n">
        <v>10</v>
      </c>
      <c r="H14" s="3" t="n">
        <v>10</v>
      </c>
      <c r="I14" s="3" t="n">
        <v>10</v>
      </c>
      <c r="J14" s="3" t="n">
        <v>10</v>
      </c>
      <c r="K14" s="3" t="n">
        <v>10</v>
      </c>
      <c r="L14" s="3" t="n">
        <v>10</v>
      </c>
    </row>
    <row r="15" customFormat="false" ht="15" hidden="false" customHeight="false" outlineLevel="0" collapsed="false">
      <c r="A15" s="0" t="s">
        <v>107</v>
      </c>
      <c r="C15" s="3" t="n">
        <v>0.35</v>
      </c>
      <c r="D15" s="3" t="n">
        <v>0.35</v>
      </c>
      <c r="E15" s="3" t="n">
        <v>0.35</v>
      </c>
      <c r="F15" s="3" t="n">
        <v>0.35</v>
      </c>
      <c r="G15" s="3" t="n">
        <v>0.35</v>
      </c>
      <c r="H15" s="3" t="n">
        <v>0.35</v>
      </c>
      <c r="I15" s="3" t="n">
        <v>0.35</v>
      </c>
      <c r="J15" s="3" t="n">
        <v>0.35</v>
      </c>
      <c r="K15" s="3" t="n">
        <v>0.35</v>
      </c>
      <c r="L15" s="3" t="n">
        <v>0.35</v>
      </c>
    </row>
    <row r="16" customFormat="false" ht="15" hidden="false" customHeight="false" outlineLevel="0" collapsed="false">
      <c r="A16" s="0" t="s">
        <v>108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109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</row>
    <row r="18" customFormat="false" ht="15" hidden="false" customHeight="false" outlineLevel="0" collapsed="false">
      <c r="A18" s="0" t="s">
        <v>110</v>
      </c>
      <c r="C18" s="3" t="n">
        <v>1.5</v>
      </c>
      <c r="D18" s="3" t="n">
        <v>1.5</v>
      </c>
      <c r="E18" s="3" t="n">
        <v>1</v>
      </c>
      <c r="F18" s="3" t="n">
        <v>1</v>
      </c>
      <c r="G18" s="3" t="n">
        <v>1.4</v>
      </c>
      <c r="H18" s="3" t="n">
        <v>1.9</v>
      </c>
      <c r="I18" s="3" t="n">
        <v>1.9</v>
      </c>
      <c r="J18" s="3" t="n">
        <v>1.9</v>
      </c>
      <c r="K18" s="3" t="n">
        <v>1.9</v>
      </c>
      <c r="L18" s="3" t="n">
        <v>1.9</v>
      </c>
    </row>
    <row r="19" customFormat="false" ht="15" hidden="false" customHeight="false" outlineLevel="0" collapsed="false">
      <c r="A19" s="0" t="s">
        <v>111</v>
      </c>
      <c r="C19" s="3" t="n">
        <v>15</v>
      </c>
      <c r="D19" s="3" t="n">
        <v>15</v>
      </c>
      <c r="E19" s="3" t="n">
        <v>15</v>
      </c>
      <c r="F19" s="3" t="n">
        <v>15</v>
      </c>
      <c r="G19" s="3" t="n">
        <v>15</v>
      </c>
      <c r="H19" s="3" t="n">
        <v>15</v>
      </c>
      <c r="I19" s="3" t="n">
        <v>15</v>
      </c>
      <c r="J19" s="3" t="n">
        <v>15</v>
      </c>
      <c r="K19" s="3" t="n">
        <v>15</v>
      </c>
      <c r="L19" s="3" t="n">
        <v>15</v>
      </c>
    </row>
    <row r="20" customFormat="false" ht="15" hidden="false" customHeight="false" outlineLevel="0" collapsed="false">
      <c r="A20" s="0" t="s">
        <v>112</v>
      </c>
      <c r="B20" s="3" t="n">
        <v>10</v>
      </c>
    </row>
    <row r="21" customFormat="false" ht="15" hidden="false" customHeight="false" outlineLevel="0" collapsed="false">
      <c r="A21" s="0" t="s">
        <v>113</v>
      </c>
      <c r="B21" s="3" t="n">
        <v>2</v>
      </c>
    </row>
    <row r="22" customFormat="false" ht="15" hidden="false" customHeight="false" outlineLevel="0" collapsed="false">
      <c r="A22" s="0" t="s">
        <v>114</v>
      </c>
      <c r="B22" s="3" t="n">
        <v>10</v>
      </c>
    </row>
    <row r="23" customFormat="false" ht="15" hidden="false" customHeight="false" outlineLevel="0" collapsed="false">
      <c r="A23" s="0" t="s">
        <v>115</v>
      </c>
      <c r="B23" s="3" t="n">
        <v>0</v>
      </c>
    </row>
    <row r="24" customFormat="false" ht="15" hidden="false" customHeight="false" outlineLevel="0" collapsed="false">
      <c r="A24" s="0" t="s">
        <v>116</v>
      </c>
      <c r="B24" s="3" t="n">
        <v>0.25</v>
      </c>
    </row>
    <row r="26" customFormat="false" ht="15" hidden="false" customHeight="false" outlineLevel="0" collapsed="false">
      <c r="A26" s="2" t="s">
        <v>117</v>
      </c>
      <c r="C26" s="2" t="s">
        <v>95</v>
      </c>
      <c r="D26" s="2" t="s">
        <v>96</v>
      </c>
      <c r="E26" s="2" t="s">
        <v>97</v>
      </c>
      <c r="F26" s="2" t="s">
        <v>98</v>
      </c>
      <c r="G26" s="2" t="s">
        <v>99</v>
      </c>
      <c r="H26" s="2" t="s">
        <v>100</v>
      </c>
      <c r="I26" s="2" t="s">
        <v>101</v>
      </c>
      <c r="J26" s="2" t="s">
        <v>102</v>
      </c>
      <c r="K26" s="2" t="s">
        <v>103</v>
      </c>
      <c r="L26" s="2" t="s">
        <v>104</v>
      </c>
    </row>
    <row r="27" customFormat="false" ht="15" hidden="false" customHeight="false" outlineLevel="0" collapsed="false">
      <c r="A27" s="0" t="s">
        <v>105</v>
      </c>
      <c r="C27" s="3" t="n">
        <v>-7.5</v>
      </c>
      <c r="D27" s="3" t="n">
        <v>-3</v>
      </c>
      <c r="E27" s="3" t="n">
        <v>2</v>
      </c>
      <c r="F27" s="3" t="n">
        <v>3</v>
      </c>
      <c r="G27" s="3" t="n">
        <v>3</v>
      </c>
      <c r="H27" s="3" t="n">
        <v>3</v>
      </c>
      <c r="I27" s="3" t="n">
        <v>3</v>
      </c>
      <c r="J27" s="3" t="n">
        <v>2.5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106</v>
      </c>
      <c r="C28" s="3" t="n">
        <v>14.8</v>
      </c>
      <c r="D28" s="3" t="n">
        <v>12.5</v>
      </c>
      <c r="E28" s="3" t="n">
        <v>13</v>
      </c>
      <c r="F28" s="3" t="n">
        <v>13</v>
      </c>
      <c r="G28" s="3" t="n">
        <v>13</v>
      </c>
      <c r="H28" s="3" t="n">
        <v>13</v>
      </c>
      <c r="I28" s="3" t="n">
        <v>13</v>
      </c>
      <c r="J28" s="3" t="n">
        <v>13</v>
      </c>
      <c r="K28" s="3" t="n">
        <v>13</v>
      </c>
      <c r="L28" s="3" t="n">
        <v>13</v>
      </c>
    </row>
    <row r="29" customFormat="false" ht="15" hidden="false" customHeight="false" outlineLevel="0" collapsed="false">
      <c r="A29" s="0" t="s">
        <v>107</v>
      </c>
      <c r="C29" s="3" t="n">
        <v>0.35</v>
      </c>
      <c r="D29" s="3" t="n">
        <v>0.35</v>
      </c>
      <c r="E29" s="3" t="n">
        <v>0.35</v>
      </c>
      <c r="F29" s="3" t="n">
        <v>0.35</v>
      </c>
      <c r="G29" s="3" t="n">
        <v>0.35</v>
      </c>
      <c r="H29" s="3" t="n">
        <v>0.35</v>
      </c>
      <c r="I29" s="3" t="n">
        <v>0.35</v>
      </c>
      <c r="J29" s="3" t="n">
        <v>0.35</v>
      </c>
      <c r="K29" s="3" t="n">
        <v>0.35</v>
      </c>
      <c r="L29" s="3" t="n">
        <v>0.35</v>
      </c>
    </row>
    <row r="30" customFormat="false" ht="15" hidden="false" customHeight="false" outlineLevel="0" collapsed="false">
      <c r="A30" s="0" t="s">
        <v>108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109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</row>
    <row r="32" customFormat="false" ht="15" hidden="false" customHeight="false" outlineLevel="0" collapsed="false">
      <c r="A32" s="0" t="s">
        <v>110</v>
      </c>
      <c r="C32" s="3" t="n">
        <v>1.5</v>
      </c>
      <c r="D32" s="3" t="n">
        <v>1.5</v>
      </c>
      <c r="E32" s="3" t="n">
        <v>1.9</v>
      </c>
      <c r="F32" s="3" t="n">
        <v>2.85</v>
      </c>
      <c r="G32" s="3" t="n">
        <v>2.85</v>
      </c>
      <c r="H32" s="3" t="n">
        <v>2.85</v>
      </c>
      <c r="I32" s="3" t="n">
        <v>2.85</v>
      </c>
      <c r="J32" s="3" t="n">
        <v>2.4</v>
      </c>
      <c r="K32" s="3" t="n">
        <v>2.4</v>
      </c>
      <c r="L32" s="3" t="n">
        <v>2.4</v>
      </c>
    </row>
    <row r="33" customFormat="false" ht="15" hidden="false" customHeight="false" outlineLevel="0" collapsed="false">
      <c r="A33" s="0" t="s">
        <v>111</v>
      </c>
      <c r="C33" s="3" t="n">
        <v>15</v>
      </c>
      <c r="D33" s="3" t="n">
        <v>15</v>
      </c>
      <c r="E33" s="3" t="n">
        <v>15</v>
      </c>
      <c r="F33" s="3" t="n">
        <v>15</v>
      </c>
      <c r="G33" s="3" t="n">
        <v>15</v>
      </c>
      <c r="H33" s="3" t="n">
        <v>15</v>
      </c>
      <c r="I33" s="3" t="n">
        <v>15</v>
      </c>
      <c r="J33" s="3" t="n">
        <v>15</v>
      </c>
      <c r="K33" s="3" t="n">
        <v>15</v>
      </c>
      <c r="L33" s="3" t="n">
        <v>15</v>
      </c>
    </row>
    <row r="34" customFormat="false" ht="15" hidden="false" customHeight="false" outlineLevel="0" collapsed="false">
      <c r="A34" s="0" t="s">
        <v>112</v>
      </c>
      <c r="B34" s="3" t="n">
        <v>10</v>
      </c>
    </row>
    <row r="35" customFormat="false" ht="15" hidden="false" customHeight="false" outlineLevel="0" collapsed="false">
      <c r="A35" s="0" t="s">
        <v>113</v>
      </c>
      <c r="B35" s="3" t="n">
        <v>2.5</v>
      </c>
    </row>
    <row r="36" customFormat="false" ht="15" hidden="false" customHeight="false" outlineLevel="0" collapsed="false">
      <c r="A36" s="0" t="s">
        <v>114</v>
      </c>
      <c r="B36" s="3" t="n">
        <v>12.5</v>
      </c>
    </row>
    <row r="37" customFormat="false" ht="15" hidden="false" customHeight="false" outlineLevel="0" collapsed="false">
      <c r="A37" s="0" t="s">
        <v>115</v>
      </c>
      <c r="B37" s="3" t="n">
        <v>0</v>
      </c>
    </row>
    <row r="38" customFormat="false" ht="15" hidden="false" customHeight="false" outlineLevel="0" collapsed="false">
      <c r="A38" s="0" t="s">
        <v>116</v>
      </c>
      <c r="B38" s="3" t="n">
        <v>0.5</v>
      </c>
    </row>
    <row r="40" customFormat="false" ht="15" hidden="false" customHeight="false" outlineLevel="0" collapsed="false">
      <c r="A40" s="2" t="s">
        <v>118</v>
      </c>
      <c r="C40" s="2" t="s">
        <v>95</v>
      </c>
      <c r="D40" s="2" t="s">
        <v>96</v>
      </c>
      <c r="E40" s="2" t="s">
        <v>97</v>
      </c>
      <c r="F40" s="2" t="s">
        <v>98</v>
      </c>
      <c r="G40" s="2" t="s">
        <v>99</v>
      </c>
      <c r="H40" s="2" t="s">
        <v>100</v>
      </c>
      <c r="I40" s="2" t="s">
        <v>101</v>
      </c>
      <c r="J40" s="2" t="s">
        <v>102</v>
      </c>
      <c r="K40" s="2" t="s">
        <v>103</v>
      </c>
      <c r="L40" s="2" t="s">
        <v>104</v>
      </c>
    </row>
    <row r="41" customFormat="false" ht="15" hidden="false" customHeight="false" outlineLevel="0" collapsed="false">
      <c r="A41" s="0" t="s">
        <v>105</v>
      </c>
      <c r="C41" s="3" t="n">
        <v>-6</v>
      </c>
      <c r="D41" s="3" t="n">
        <v>0</v>
      </c>
      <c r="E41" s="3" t="n">
        <v>4</v>
      </c>
      <c r="F41" s="3" t="n">
        <v>5</v>
      </c>
      <c r="G41" s="3" t="n">
        <v>5</v>
      </c>
      <c r="H41" s="3" t="n">
        <v>4</v>
      </c>
      <c r="I41" s="3" t="n">
        <v>4</v>
      </c>
      <c r="J41" s="3" t="n">
        <v>3.5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106</v>
      </c>
      <c r="C42" s="3" t="n">
        <v>15.5</v>
      </c>
      <c r="D42" s="3" t="n">
        <v>14.5</v>
      </c>
      <c r="E42" s="3" t="n">
        <v>15</v>
      </c>
      <c r="F42" s="3" t="n">
        <v>15</v>
      </c>
      <c r="G42" s="3" t="n">
        <v>15</v>
      </c>
      <c r="H42" s="3" t="n">
        <v>15</v>
      </c>
      <c r="I42" s="3" t="n">
        <v>15</v>
      </c>
      <c r="J42" s="3" t="n">
        <v>15</v>
      </c>
      <c r="K42" s="3" t="n">
        <v>15</v>
      </c>
      <c r="L42" s="3" t="n">
        <v>15</v>
      </c>
    </row>
    <row r="43" customFormat="false" ht="15" hidden="false" customHeight="false" outlineLevel="0" collapsed="false">
      <c r="A43" s="0" t="s">
        <v>107</v>
      </c>
      <c r="C43" s="3" t="n">
        <v>0.35</v>
      </c>
      <c r="D43" s="3" t="n">
        <v>0.35</v>
      </c>
      <c r="E43" s="3" t="n">
        <v>0.35</v>
      </c>
      <c r="F43" s="3" t="n">
        <v>0.35</v>
      </c>
      <c r="G43" s="3" t="n">
        <v>0.35</v>
      </c>
      <c r="H43" s="3" t="n">
        <v>0.35</v>
      </c>
      <c r="I43" s="3" t="n">
        <v>0.35</v>
      </c>
      <c r="J43" s="3" t="n">
        <v>0.35</v>
      </c>
      <c r="K43" s="3" t="n">
        <v>0.35</v>
      </c>
      <c r="L43" s="3" t="n">
        <v>0.35</v>
      </c>
    </row>
    <row r="44" customFormat="false" ht="15" hidden="false" customHeight="false" outlineLevel="0" collapsed="false">
      <c r="A44" s="0" t="s">
        <v>108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109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 customFormat="false" ht="15" hidden="false" customHeight="false" outlineLevel="0" collapsed="false">
      <c r="A46" s="0" t="s">
        <v>110</v>
      </c>
      <c r="C46" s="3" t="n">
        <v>1.5</v>
      </c>
      <c r="D46" s="3" t="n">
        <v>1.5</v>
      </c>
      <c r="E46" s="3" t="n">
        <v>3.8</v>
      </c>
      <c r="F46" s="3" t="n">
        <v>4.75</v>
      </c>
      <c r="G46" s="3" t="n">
        <v>4.75</v>
      </c>
      <c r="H46" s="3" t="n">
        <v>3.8</v>
      </c>
      <c r="I46" s="3" t="n">
        <v>3.8</v>
      </c>
      <c r="J46" s="3" t="n">
        <v>3.3</v>
      </c>
      <c r="K46" s="3" t="n">
        <v>2.85</v>
      </c>
      <c r="L46" s="3" t="n">
        <v>2.85</v>
      </c>
    </row>
    <row r="47" customFormat="false" ht="15" hidden="false" customHeight="false" outlineLevel="0" collapsed="false">
      <c r="A47" s="0" t="s">
        <v>111</v>
      </c>
      <c r="C47" s="3" t="n">
        <v>15</v>
      </c>
      <c r="D47" s="3" t="n">
        <v>15</v>
      </c>
      <c r="E47" s="3" t="n">
        <v>15</v>
      </c>
      <c r="F47" s="3" t="n">
        <v>15</v>
      </c>
      <c r="G47" s="3" t="n">
        <v>15</v>
      </c>
      <c r="H47" s="3" t="n">
        <v>15</v>
      </c>
      <c r="I47" s="3" t="n">
        <v>15</v>
      </c>
      <c r="J47" s="3" t="n">
        <v>15</v>
      </c>
      <c r="K47" s="3" t="n">
        <v>15</v>
      </c>
      <c r="L47" s="3" t="n">
        <v>15</v>
      </c>
    </row>
    <row r="48" customFormat="false" ht="15" hidden="false" customHeight="false" outlineLevel="0" collapsed="false">
      <c r="A48" s="0" t="s">
        <v>112</v>
      </c>
      <c r="B48" s="3" t="n">
        <v>10</v>
      </c>
    </row>
    <row r="49" customFormat="false" ht="15" hidden="false" customHeight="false" outlineLevel="0" collapsed="false">
      <c r="A49" s="0" t="s">
        <v>113</v>
      </c>
      <c r="B49" s="3" t="n">
        <v>3</v>
      </c>
    </row>
    <row r="50" customFormat="false" ht="15" hidden="false" customHeight="false" outlineLevel="0" collapsed="false">
      <c r="A50" s="0" t="s">
        <v>114</v>
      </c>
      <c r="B50" s="3" t="n">
        <v>13.5</v>
      </c>
    </row>
    <row r="51" customFormat="false" ht="15" hidden="false" customHeight="false" outlineLevel="0" collapsed="false">
      <c r="A51" s="0" t="s">
        <v>115</v>
      </c>
      <c r="B51" s="3" t="n">
        <v>0</v>
      </c>
    </row>
    <row r="52" customFormat="false" ht="15" hidden="false" customHeight="false" outlineLevel="0" collapsed="false">
      <c r="A52" s="0" t="s">
        <v>116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119</v>
      </c>
    </row>
    <row r="3" customFormat="false" ht="15" hidden="false" customHeight="false" outlineLevel="0" collapsed="false">
      <c r="A3" s="0" t="s">
        <v>120</v>
      </c>
      <c r="B3" s="0" t="s">
        <v>81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</row>
    <row r="4" customFormat="false" ht="15" hidden="false" customHeight="false" outlineLevel="0" collapsed="false">
      <c r="A4" s="0" t="s">
        <v>121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105</v>
      </c>
      <c r="C5" s="4" t="n">
        <f aca="false">Assumptions!C13</f>
        <v>-9</v>
      </c>
      <c r="D5" s="4" t="n">
        <f aca="false">Assumptions!D13</f>
        <v>-6</v>
      </c>
      <c r="E5" s="4" t="n">
        <f aca="false">Assumptions!E13</f>
        <v>0</v>
      </c>
      <c r="F5" s="4" t="n">
        <f aca="false">Assumptions!F13</f>
        <v>1</v>
      </c>
      <c r="G5" s="4" t="n">
        <f aca="false">Assumptions!G13</f>
        <v>1.5</v>
      </c>
      <c r="H5" s="4" t="n">
        <f aca="false">Assumptions!H13</f>
        <v>2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37</v>
      </c>
      <c r="B6" s="3" t="n">
        <v>17496</v>
      </c>
      <c r="C6" s="0" t="n">
        <f aca="false">B6*(1+C5/100)</f>
        <v>15921.36</v>
      </c>
      <c r="D6" s="0" t="n">
        <f aca="false">C6*(1+D5/100)</f>
        <v>14966.0784</v>
      </c>
      <c r="E6" s="0" t="n">
        <f aca="false">D6*(1+E5/100)</f>
        <v>14966.0784</v>
      </c>
      <c r="F6" s="0" t="n">
        <f aca="false">E6*(1+F5/100)</f>
        <v>15115.739184</v>
      </c>
      <c r="G6" s="0" t="n">
        <f aca="false">F6*(1+G5/100)</f>
        <v>15342.47527176</v>
      </c>
      <c r="H6" s="0" t="n">
        <f aca="false">G6*(1+H5/100)</f>
        <v>15649.3247771952</v>
      </c>
      <c r="I6" s="0" t="n">
        <f aca="false">H6*(1+I5/100)</f>
        <v>15962.3112727391</v>
      </c>
      <c r="J6" s="0" t="n">
        <f aca="false">I6*(1+J5/100)</f>
        <v>16281.5574981939</v>
      </c>
      <c r="K6" s="0" t="n">
        <f aca="false">J6*(1+K5/100)</f>
        <v>16607.1886481578</v>
      </c>
      <c r="L6" s="0" t="n">
        <f aca="false">K6*(1+L5/100)</f>
        <v>16939.3324211209</v>
      </c>
    </row>
    <row r="7" customFormat="false" ht="15" hidden="false" customHeight="false" outlineLevel="0" collapsed="false">
      <c r="A7" s="0" t="s">
        <v>106</v>
      </c>
      <c r="C7" s="4" t="n">
        <f aca="false">Assumptions!C14</f>
        <v>12</v>
      </c>
      <c r="D7" s="4" t="n">
        <f aca="false">Assumptions!D14</f>
        <v>9</v>
      </c>
      <c r="E7" s="4" t="n">
        <f aca="false">Assumptions!E14</f>
        <v>9.5</v>
      </c>
      <c r="F7" s="4" t="n">
        <f aca="false">Assumptions!F14</f>
        <v>10</v>
      </c>
      <c r="G7" s="4" t="n">
        <f aca="false">Assumptions!G14</f>
        <v>10</v>
      </c>
      <c r="H7" s="4" t="n">
        <f aca="false">Assumptions!H14</f>
        <v>10</v>
      </c>
      <c r="I7" s="4" t="n">
        <f aca="false">Assumptions!I14</f>
        <v>10</v>
      </c>
      <c r="J7" s="4" t="n">
        <f aca="false">Assumptions!J14</f>
        <v>10</v>
      </c>
      <c r="K7" s="4" t="n">
        <f aca="false">Assumptions!K14</f>
        <v>10</v>
      </c>
      <c r="L7" s="4" t="n">
        <f aca="false">Assumptions!L14</f>
        <v>10</v>
      </c>
    </row>
    <row r="8" customFormat="false" ht="15" hidden="false" customHeight="false" outlineLevel="0" collapsed="false">
      <c r="A8" s="0" t="s">
        <v>43</v>
      </c>
      <c r="C8" s="0" t="n">
        <f aca="false">C6*C7/100</f>
        <v>1910.5632</v>
      </c>
      <c r="D8" s="0" t="n">
        <f aca="false">D6*D7/100</f>
        <v>1346.947056</v>
      </c>
      <c r="E8" s="0" t="n">
        <f aca="false">E6*E7/100</f>
        <v>1421.777448</v>
      </c>
      <c r="F8" s="0" t="n">
        <f aca="false">F6*F7/100</f>
        <v>1511.5739184</v>
      </c>
      <c r="G8" s="0" t="n">
        <f aca="false">G6*G7/100</f>
        <v>1534.247527176</v>
      </c>
      <c r="H8" s="0" t="n">
        <f aca="false">H6*H7/100</f>
        <v>1564.93247771952</v>
      </c>
      <c r="I8" s="0" t="n">
        <f aca="false">I6*I7/100</f>
        <v>1596.23112727391</v>
      </c>
      <c r="J8" s="0" t="n">
        <f aca="false">J6*J7/100</f>
        <v>1628.15574981939</v>
      </c>
      <c r="K8" s="0" t="n">
        <f aca="false">K6*K7/100</f>
        <v>1660.71886481578</v>
      </c>
      <c r="L8" s="0" t="n">
        <f aca="false">L6*L7/100</f>
        <v>1693.93324211209</v>
      </c>
    </row>
    <row r="9" customFormat="false" ht="15" hidden="false" customHeight="false" outlineLevel="0" collapsed="false">
      <c r="A9" s="0" t="s">
        <v>107</v>
      </c>
      <c r="C9" s="4" t="n">
        <f aca="false">Assumptions!C15</f>
        <v>0.35</v>
      </c>
      <c r="D9" s="4" t="n">
        <f aca="false">Assumptions!D15</f>
        <v>0.35</v>
      </c>
      <c r="E9" s="4" t="n">
        <f aca="false">Assumptions!E15</f>
        <v>0.35</v>
      </c>
      <c r="F9" s="4" t="n">
        <f aca="false">Assumptions!F15</f>
        <v>0.35</v>
      </c>
      <c r="G9" s="4" t="n">
        <f aca="false">Assumptions!G15</f>
        <v>0.35</v>
      </c>
      <c r="H9" s="4" t="n">
        <f aca="false">Assumptions!H15</f>
        <v>0.35</v>
      </c>
      <c r="I9" s="4" t="n">
        <f aca="false">Assumptions!I15</f>
        <v>0.35</v>
      </c>
      <c r="J9" s="4" t="n">
        <f aca="false">Assumptions!J15</f>
        <v>0.35</v>
      </c>
      <c r="K9" s="4" t="n">
        <f aca="false">Assumptions!K15</f>
        <v>0.35</v>
      </c>
      <c r="L9" s="4" t="n">
        <f aca="false">Assumptions!L15</f>
        <v>0.35</v>
      </c>
    </row>
    <row r="10" customFormat="false" ht="15" hidden="false" customHeight="false" outlineLevel="0" collapsed="false">
      <c r="A10" s="0" t="s">
        <v>122</v>
      </c>
      <c r="C10" s="0" t="n">
        <f aca="false">-C6*C9/100</f>
        <v>-55.72476</v>
      </c>
      <c r="D10" s="0" t="n">
        <f aca="false">-D6*D9/100</f>
        <v>-52.3812744</v>
      </c>
      <c r="E10" s="0" t="n">
        <f aca="false">-E6*E9/100</f>
        <v>-52.3812744</v>
      </c>
      <c r="F10" s="0" t="n">
        <f aca="false">-F6*F9/100</f>
        <v>-52.905087144</v>
      </c>
      <c r="G10" s="0" t="n">
        <f aca="false">-G6*G9/100</f>
        <v>-53.69866345116</v>
      </c>
      <c r="H10" s="0" t="n">
        <f aca="false">-H6*H9/100</f>
        <v>-54.7726367201832</v>
      </c>
      <c r="I10" s="0" t="n">
        <f aca="false">-I6*I9/100</f>
        <v>-55.8680894545869</v>
      </c>
      <c r="J10" s="0" t="n">
        <f aca="false">-J6*J9/100</f>
        <v>-56.9854512436786</v>
      </c>
      <c r="K10" s="0" t="n">
        <f aca="false">-K6*K9/100</f>
        <v>-58.1251602685522</v>
      </c>
      <c r="L10" s="0" t="n">
        <f aca="false">-L6*L9/100</f>
        <v>-59.2876634739232</v>
      </c>
    </row>
    <row r="11" customFormat="false" ht="15" hidden="false" customHeight="false" outlineLevel="0" collapsed="false">
      <c r="A11" s="0" t="s">
        <v>123</v>
      </c>
      <c r="C11" s="0" t="n">
        <f aca="false">C8+C10+C24</f>
        <v>1854.83844</v>
      </c>
      <c r="D11" s="0" t="n">
        <f aca="false">D8+D10+D24</f>
        <v>1294.5657816</v>
      </c>
      <c r="E11" s="0" t="n">
        <f aca="false">E8+E10+E24</f>
        <v>1369.3961736</v>
      </c>
      <c r="F11" s="0" t="n">
        <f aca="false">F8+F10+F24</f>
        <v>1458.668831256</v>
      </c>
      <c r="G11" s="0" t="n">
        <f aca="false">G8+G10+G24</f>
        <v>1480.54886372484</v>
      </c>
      <c r="H11" s="0" t="n">
        <f aca="false">H8+H10+H24</f>
        <v>1510.15984099934</v>
      </c>
      <c r="I11" s="0" t="n">
        <f aca="false">I8+I10+I24</f>
        <v>1540.36303781932</v>
      </c>
      <c r="J11" s="0" t="n">
        <f aca="false">J8+J10+J24</f>
        <v>1571.17029857571</v>
      </c>
      <c r="K11" s="0" t="n">
        <f aca="false">K8+K10+K24</f>
        <v>1602.59370454722</v>
      </c>
      <c r="L11" s="0" t="n">
        <f aca="false">L8+L10+L24</f>
        <v>1634.64557863817</v>
      </c>
    </row>
    <row r="12" customFormat="false" ht="15" hidden="false" customHeight="false" outlineLevel="0" collapsed="false">
      <c r="A12" s="0" t="s">
        <v>124</v>
      </c>
      <c r="C12" s="4" t="n">
        <f aca="false">-C6*Assumptions!C17/100</f>
        <v>-0</v>
      </c>
      <c r="D12" s="4" t="n">
        <f aca="false">-D6*Assumptions!D17/100</f>
        <v>-0</v>
      </c>
      <c r="E12" s="4" t="n">
        <f aca="false">-E6*Assumptions!E17/100</f>
        <v>-0</v>
      </c>
      <c r="F12" s="4" t="n">
        <f aca="false">-F6*Assumptions!F17/100</f>
        <v>-0</v>
      </c>
      <c r="G12" s="4" t="n">
        <f aca="false">-G6*Assumptions!G17/100</f>
        <v>-0</v>
      </c>
      <c r="H12" s="4" t="n">
        <f aca="false">-H6*Assumptions!H17/100</f>
        <v>-0</v>
      </c>
      <c r="I12" s="4" t="n">
        <f aca="false">-I6*Assumptions!I17/100</f>
        <v>-0</v>
      </c>
      <c r="J12" s="4" t="n">
        <f aca="false">-J6*Assumptions!J17/100</f>
        <v>-0</v>
      </c>
      <c r="K12" s="4" t="n">
        <f aca="false">-K6*Assumptions!K17/100</f>
        <v>-0</v>
      </c>
      <c r="L12" s="4" t="n">
        <f aca="false">-L6*Assumptions!L17/100</f>
        <v>-0</v>
      </c>
    </row>
    <row r="13" customFormat="false" ht="15" hidden="false" customHeight="false" outlineLevel="0" collapsed="false">
      <c r="A13" s="0" t="s">
        <v>125</v>
      </c>
      <c r="C13" s="0" t="n">
        <f aca="false">C11+C12</f>
        <v>1854.83844</v>
      </c>
      <c r="D13" s="0" t="n">
        <f aca="false">D11+D12</f>
        <v>1294.5657816</v>
      </c>
      <c r="E13" s="0" t="n">
        <f aca="false">E11+E12</f>
        <v>1369.3961736</v>
      </c>
      <c r="F13" s="0" t="n">
        <f aca="false">F11+F12</f>
        <v>1458.668831256</v>
      </c>
      <c r="G13" s="0" t="n">
        <f aca="false">G11+G12</f>
        <v>1480.54886372484</v>
      </c>
      <c r="H13" s="0" t="n">
        <f aca="false">H11+H12</f>
        <v>1510.15984099934</v>
      </c>
      <c r="I13" s="0" t="n">
        <f aca="false">I11+I12</f>
        <v>1540.36303781932</v>
      </c>
      <c r="J13" s="0" t="n">
        <f aca="false">J11+J12</f>
        <v>1571.17029857571</v>
      </c>
      <c r="K13" s="0" t="n">
        <f aca="false">K11+K12</f>
        <v>1602.59370454722</v>
      </c>
      <c r="L13" s="0" t="n">
        <f aca="false">L11+L12</f>
        <v>1634.64557863817</v>
      </c>
    </row>
    <row r="14" customFormat="false" ht="15" hidden="false" customHeight="false" outlineLevel="0" collapsed="false">
      <c r="A14" s="0" t="s">
        <v>111</v>
      </c>
      <c r="C14" s="4" t="n">
        <f aca="false">Assumptions!C19</f>
        <v>15</v>
      </c>
      <c r="D14" s="4" t="n">
        <f aca="false">Assumptions!D19</f>
        <v>15</v>
      </c>
      <c r="E14" s="4" t="n">
        <f aca="false">Assumptions!E19</f>
        <v>15</v>
      </c>
      <c r="F14" s="4" t="n">
        <f aca="false">Assumptions!F19</f>
        <v>15</v>
      </c>
      <c r="G14" s="4" t="n">
        <f aca="false">Assumptions!G19</f>
        <v>15</v>
      </c>
      <c r="H14" s="4" t="n">
        <f aca="false">Assumptions!H19</f>
        <v>15</v>
      </c>
      <c r="I14" s="4" t="n">
        <f aca="false">Assumptions!I19</f>
        <v>15</v>
      </c>
      <c r="J14" s="4" t="n">
        <f aca="false">Assumptions!J19</f>
        <v>15</v>
      </c>
      <c r="K14" s="4" t="n">
        <f aca="false">Assumptions!K19</f>
        <v>15</v>
      </c>
      <c r="L14" s="4" t="n">
        <f aca="false">Assumptions!L19</f>
        <v>15</v>
      </c>
    </row>
    <row r="15" customFormat="false" ht="15" hidden="false" customHeight="false" outlineLevel="0" collapsed="false">
      <c r="A15" s="0" t="s">
        <v>126</v>
      </c>
      <c r="C15" s="0" t="n">
        <f aca="false">C13-MAX(0,C13)*C14/100</f>
        <v>1576.612674</v>
      </c>
      <c r="D15" s="0" t="n">
        <f aca="false">D13-MAX(0,D13)*D14/100</f>
        <v>1100.38091436</v>
      </c>
      <c r="E15" s="0" t="n">
        <f aca="false">E13-MAX(0,E13)*E14/100</f>
        <v>1163.98674756</v>
      </c>
      <c r="F15" s="0" t="n">
        <f aca="false">F13-MAX(0,F13)*F14/100</f>
        <v>1239.8685065676</v>
      </c>
      <c r="G15" s="0" t="n">
        <f aca="false">G13-MAX(0,G13)*G14/100</f>
        <v>1258.46653416611</v>
      </c>
      <c r="H15" s="0" t="n">
        <f aca="false">H13-MAX(0,H13)*H14/100</f>
        <v>1283.63586484944</v>
      </c>
      <c r="I15" s="0" t="n">
        <f aca="false">I13-MAX(0,I13)*I14/100</f>
        <v>1309.30858214643</v>
      </c>
      <c r="J15" s="0" t="n">
        <f aca="false">J13-MAX(0,J13)*J14/100</f>
        <v>1335.49475378935</v>
      </c>
      <c r="K15" s="0" t="n">
        <f aca="false">K13-MAX(0,K13)*K14/100</f>
        <v>1362.20464886514</v>
      </c>
      <c r="L15" s="0" t="n">
        <f aca="false">L13-MAX(0,L13)*L14/100</f>
        <v>1389.44874184244</v>
      </c>
    </row>
    <row r="16" customFormat="false" ht="15" hidden="false" customHeight="false" outlineLevel="0" collapsed="false">
      <c r="A16" s="0" t="s">
        <v>127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128</v>
      </c>
      <c r="C17" s="4" t="n">
        <f aca="false">-C6*Assumptions!C18/100</f>
        <v>-238.8204</v>
      </c>
      <c r="D17" s="4" t="n">
        <f aca="false">-D6*Assumptions!D18/100</f>
        <v>-224.491176</v>
      </c>
      <c r="E17" s="4" t="n">
        <f aca="false">-E6*Assumptions!E18/100</f>
        <v>-149.660784</v>
      </c>
      <c r="F17" s="4" t="n">
        <f aca="false">-F6*Assumptions!F18/100</f>
        <v>-151.15739184</v>
      </c>
      <c r="G17" s="4" t="n">
        <f aca="false">-G6*Assumptions!G18/100</f>
        <v>-214.79465380464</v>
      </c>
      <c r="H17" s="4" t="n">
        <f aca="false">-H6*Assumptions!H18/100</f>
        <v>-297.337170766709</v>
      </c>
      <c r="I17" s="4" t="n">
        <f aca="false">-I6*Assumptions!I18/100</f>
        <v>-303.283914182043</v>
      </c>
      <c r="J17" s="4" t="n">
        <f aca="false">-J6*Assumptions!J18/100</f>
        <v>-309.349592465684</v>
      </c>
      <c r="K17" s="4" t="n">
        <f aca="false">-K6*Assumptions!K18/100</f>
        <v>-315.536584314997</v>
      </c>
      <c r="L17" s="4" t="n">
        <f aca="false">-L6*Assumptions!L18/100</f>
        <v>-321.847316001297</v>
      </c>
    </row>
    <row r="18" customFormat="false" ht="15" hidden="false" customHeight="false" outlineLevel="0" collapsed="false">
      <c r="A18" s="0" t="s">
        <v>129</v>
      </c>
      <c r="C18" s="4" t="n">
        <f aca="false">(C6-B6)*Assumptions!$B$23/100</f>
        <v>-0</v>
      </c>
      <c r="D18" s="4" t="n">
        <f aca="false">(D6-C6)*Assumptions!$B$23/100</f>
        <v>-0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130</v>
      </c>
      <c r="C19" s="0" t="n">
        <f aca="false">C15+C16+C17+C18</f>
        <v>1337.792274</v>
      </c>
      <c r="D19" s="0" t="n">
        <f aca="false">D15+D16+D17+D18</f>
        <v>875.88973836</v>
      </c>
      <c r="E19" s="0" t="n">
        <f aca="false">E15+E16+E17+E18</f>
        <v>1014.32596356</v>
      </c>
      <c r="F19" s="0" t="n">
        <f aca="false">F15+F16+F17+F18</f>
        <v>1088.7111147276</v>
      </c>
      <c r="G19" s="0" t="n">
        <f aca="false">G15+G16+G17+G18</f>
        <v>1043.67188036147</v>
      </c>
      <c r="H19" s="0" t="n">
        <f aca="false">H15+H16+H17+H18</f>
        <v>986.298694082727</v>
      </c>
      <c r="I19" s="0" t="n">
        <f aca="false">I15+I16+I17+I18</f>
        <v>1006.02466796438</v>
      </c>
      <c r="J19" s="0" t="n">
        <f aca="false">J15+J16+J17+J18</f>
        <v>1026.14516132367</v>
      </c>
      <c r="K19" s="0" t="n">
        <f aca="false">K15+K16+K17+K18</f>
        <v>1046.66806455014</v>
      </c>
      <c r="L19" s="0" t="n">
        <f aca="false">L15+L16+L17+L18</f>
        <v>1067.60142584115</v>
      </c>
    </row>
    <row r="20" customFormat="false" ht="15" hidden="false" customHeight="false" outlineLevel="0" collapsed="false">
      <c r="A20" s="0" t="s">
        <v>131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132</v>
      </c>
      <c r="C21" s="0" t="n">
        <f aca="false">C19*C20</f>
        <v>1216.17479454545</v>
      </c>
      <c r="D21" s="0" t="n">
        <f aca="false">D19*D20</f>
        <v>723.875816826446</v>
      </c>
      <c r="E21" s="0" t="n">
        <f aca="false">E19*E20</f>
        <v>762.078109361382</v>
      </c>
      <c r="F21" s="0" t="n">
        <f aca="false">F19*F20</f>
        <v>743.604340364456</v>
      </c>
      <c r="G21" s="0" t="n">
        <f aca="false">G19*G20</f>
        <v>648.038124793683</v>
      </c>
      <c r="H21" s="0" t="n">
        <f aca="false">H19*H20</f>
        <v>556.739900055785</v>
      </c>
      <c r="I21" s="0" t="n">
        <f aca="false">I19*I20</f>
        <v>516.249725506274</v>
      </c>
      <c r="J21" s="0" t="n">
        <f aca="false">J19*J20</f>
        <v>478.704290923999</v>
      </c>
      <c r="K21" s="0" t="n">
        <f aca="false">K19*K20</f>
        <v>443.889433402254</v>
      </c>
      <c r="L21" s="0" t="n">
        <f aca="false">L19*L20</f>
        <v>411.606565518453</v>
      </c>
    </row>
    <row r="23" customFormat="false" ht="15" hidden="false" customHeight="false" outlineLevel="0" collapsed="false">
      <c r="A23" s="0" t="s">
        <v>108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134</v>
      </c>
    </row>
    <row r="27" customFormat="false" ht="15" hidden="false" customHeight="false" outlineLevel="0" collapsed="false">
      <c r="A27" s="0" t="s">
        <v>112</v>
      </c>
      <c r="B27" s="4" t="n">
        <f aca="false">Assumptions!$B$20</f>
        <v>10</v>
      </c>
    </row>
    <row r="28" customFormat="false" ht="15" hidden="false" customHeight="false" outlineLevel="0" collapsed="false">
      <c r="A28" s="0" t="s">
        <v>113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114</v>
      </c>
      <c r="B29" s="4" t="n">
        <f aca="false">Assumptions!$B$22</f>
        <v>10</v>
      </c>
    </row>
    <row r="30" customFormat="false" ht="15" hidden="false" customHeight="false" outlineLevel="0" collapsed="false">
      <c r="A30" s="0" t="s">
        <v>135</v>
      </c>
      <c r="B30" s="0" t="n">
        <f aca="false">SUM(C21:L21)</f>
        <v>6500.96110129819</v>
      </c>
    </row>
    <row r="31" customFormat="false" ht="15" hidden="false" customHeight="false" outlineLevel="0" collapsed="false">
      <c r="A31" s="0" t="s">
        <v>136</v>
      </c>
      <c r="B31" s="0" t="n">
        <f aca="false">L19</f>
        <v>1067.60142584115</v>
      </c>
    </row>
    <row r="32" customFormat="false" ht="15" hidden="false" customHeight="false" outlineLevel="0" collapsed="false">
      <c r="A32" s="0" t="s">
        <v>137</v>
      </c>
      <c r="B32" s="0" t="n">
        <f aca="false">IF(B27&gt;B28,B31*(1+B28/100)/((B27-B28)/100),B31*B29)</f>
        <v>13611.9181794746</v>
      </c>
    </row>
    <row r="33" customFormat="false" ht="15" hidden="false" customHeight="false" outlineLevel="0" collapsed="false">
      <c r="A33" s="0" t="s">
        <v>138</v>
      </c>
      <c r="B33" s="0" t="n">
        <f aca="false">B31*B29</f>
        <v>10676.0142584115</v>
      </c>
    </row>
    <row r="34" customFormat="false" ht="15" hidden="false" customHeight="false" outlineLevel="0" collapsed="false">
      <c r="A34" s="0" t="s">
        <v>139</v>
      </c>
      <c r="B34" s="0" t="n">
        <f aca="false">MAX(0,MIN(B32,B33))</f>
        <v>10676.0142584115</v>
      </c>
    </row>
    <row r="35" customFormat="false" ht="15" hidden="false" customHeight="false" outlineLevel="0" collapsed="false">
      <c r="A35" s="0" t="s">
        <v>140</v>
      </c>
      <c r="B35" s="0" t="n">
        <f aca="false">B34/(1+B27/100)^L4</f>
        <v>4116.06565518453</v>
      </c>
    </row>
    <row r="36" customFormat="false" ht="15" hidden="false" customHeight="false" outlineLevel="0" collapsed="false">
      <c r="A36" s="0" t="s">
        <v>141</v>
      </c>
      <c r="B36" s="0" t="n">
        <f aca="false">B30+B35</f>
        <v>10617.0267564827</v>
      </c>
    </row>
    <row r="37" customFormat="false" ht="15" hidden="false" customHeight="false" outlineLevel="0" collapsed="false">
      <c r="A37" s="0" t="s">
        <v>142</v>
      </c>
      <c r="B37" s="0" t="n">
        <f aca="false">B36+Assumptions!$B$5-Assumptions!$B$4</f>
        <v>10617.0267564827</v>
      </c>
    </row>
    <row r="38" customFormat="false" ht="15" hidden="false" customHeight="false" outlineLevel="0" collapsed="false">
      <c r="A38" s="0" t="s">
        <v>143</v>
      </c>
      <c r="B38" s="0" t="n">
        <f aca="false">B37/Assumptions!$B$3*Assumptions!$B$10</f>
        <v>275.766928739811</v>
      </c>
    </row>
    <row r="39" customFormat="false" ht="15" hidden="false" customHeight="false" outlineLevel="0" collapsed="false">
      <c r="A39" s="0" t="s">
        <v>144</v>
      </c>
      <c r="B39" s="4" t="n">
        <f aca="false">B38/Assumptions!$B$2-1</f>
        <v>-0.255549148989523</v>
      </c>
    </row>
    <row r="41" customFormat="false" ht="15" hidden="false" customHeight="false" outlineLevel="0" collapsed="false">
      <c r="A41" s="0" t="s">
        <v>145</v>
      </c>
      <c r="B41" s="0" t="n">
        <f aca="false">SUMPRODUCT(-C10:L10/(1+$B$27/100)^C4:L4)</f>
        <v>336.461265996791</v>
      </c>
    </row>
    <row r="42" customFormat="false" ht="15" hidden="false" customHeight="false" outlineLevel="0" collapsed="false">
      <c r="A42" s="0" t="s">
        <v>146</v>
      </c>
      <c r="B42" s="0" t="n">
        <f aca="false">IF(B27&gt;B28,-L10*(1+B28/100)/((B27-B28)/100),-L10*20)/(1+B27/100)^L4</f>
        <v>291.439000178675</v>
      </c>
    </row>
    <row r="43" customFormat="false" ht="15" hidden="false" customHeight="false" outlineLevel="0" collapsed="false">
      <c r="A43" s="0" t="s">
        <v>147</v>
      </c>
      <c r="B43" s="0" t="n">
        <f aca="false">(B37+B41+B42)/Assumptions!$B$3*Assumptions!$B$10</f>
        <v>292.07602656255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148</v>
      </c>
      <c r="B46" s="0" t="n">
        <f aca="false">MAX(0,MIN(IF(B45&gt;B28,B31*(1+B28/100)/((B45-B28)/100),B31*B29),B31*B29))</f>
        <v>8376.56503352284</v>
      </c>
    </row>
    <row r="47" customFormat="false" ht="15" hidden="false" customHeight="false" outlineLevel="0" collapsed="false">
      <c r="A47" s="0" t="s">
        <v>149</v>
      </c>
      <c r="B47" s="0" t="n">
        <f aca="false">(SUMPRODUCT(C19:L19/(1+B45/100)^C4:L4)+B46/(1+B45/100)^L4+Assumptions!$B$5-Assumptions!$B$4)/Assumptions!$B$3*Assumptions!$B$10</f>
        <v>192.361871116884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150</v>
      </c>
    </row>
    <row r="3" customFormat="false" ht="15" hidden="false" customHeight="false" outlineLevel="0" collapsed="false">
      <c r="A3" s="0" t="s">
        <v>120</v>
      </c>
      <c r="B3" s="0" t="s">
        <v>81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</row>
    <row r="4" customFormat="false" ht="15" hidden="false" customHeight="false" outlineLevel="0" collapsed="false">
      <c r="A4" s="0" t="s">
        <v>121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105</v>
      </c>
      <c r="C5" s="4" t="n">
        <f aca="false">Assumptions!C27</f>
        <v>-7.5</v>
      </c>
      <c r="D5" s="4" t="n">
        <f aca="false">Assumptions!D27</f>
        <v>-3</v>
      </c>
      <c r="E5" s="4" t="n">
        <f aca="false">Assumptions!E27</f>
        <v>2</v>
      </c>
      <c r="F5" s="4" t="n">
        <f aca="false">Assumptions!F27</f>
        <v>3</v>
      </c>
      <c r="G5" s="4" t="n">
        <f aca="false">Assumptions!G27</f>
        <v>3</v>
      </c>
      <c r="H5" s="4" t="n">
        <f aca="false">Assumptions!H27</f>
        <v>3</v>
      </c>
      <c r="I5" s="4" t="n">
        <f aca="false">Assumptions!I27</f>
        <v>3</v>
      </c>
      <c r="J5" s="4" t="n">
        <f aca="false">Assumptions!J27</f>
        <v>2.5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37</v>
      </c>
      <c r="B6" s="3" t="n">
        <v>17496</v>
      </c>
      <c r="C6" s="0" t="n">
        <f aca="false">B6*(1+C5/100)</f>
        <v>16183.8</v>
      </c>
      <c r="D6" s="0" t="n">
        <f aca="false">C6*(1+D5/100)</f>
        <v>15698.286</v>
      </c>
      <c r="E6" s="0" t="n">
        <f aca="false">D6*(1+E5/100)</f>
        <v>16012.25172</v>
      </c>
      <c r="F6" s="0" t="n">
        <f aca="false">E6*(1+F5/100)</f>
        <v>16492.6192716</v>
      </c>
      <c r="G6" s="0" t="n">
        <f aca="false">F6*(1+G5/100)</f>
        <v>16987.397849748</v>
      </c>
      <c r="H6" s="0" t="n">
        <f aca="false">G6*(1+H5/100)</f>
        <v>17497.0197852404</v>
      </c>
      <c r="I6" s="0" t="n">
        <f aca="false">H6*(1+I5/100)</f>
        <v>18021.9303787977</v>
      </c>
      <c r="J6" s="0" t="n">
        <f aca="false">I6*(1+J5/100)</f>
        <v>18472.4786382676</v>
      </c>
      <c r="K6" s="0" t="n">
        <f aca="false">J6*(1+K5/100)</f>
        <v>18934.2906042243</v>
      </c>
      <c r="L6" s="0" t="n">
        <f aca="false">K6*(1+L5/100)</f>
        <v>19407.6478693299</v>
      </c>
    </row>
    <row r="7" customFormat="false" ht="15" hidden="false" customHeight="false" outlineLevel="0" collapsed="false">
      <c r="A7" s="0" t="s">
        <v>106</v>
      </c>
      <c r="C7" s="4" t="n">
        <f aca="false">Assumptions!C28</f>
        <v>14.8</v>
      </c>
      <c r="D7" s="4" t="n">
        <f aca="false">Assumptions!D28</f>
        <v>12.5</v>
      </c>
      <c r="E7" s="4" t="n">
        <f aca="false">Assumptions!E28</f>
        <v>13</v>
      </c>
      <c r="F7" s="4" t="n">
        <f aca="false">Assumptions!F28</f>
        <v>13</v>
      </c>
      <c r="G7" s="4" t="n">
        <f aca="false">Assumptions!G28</f>
        <v>13</v>
      </c>
      <c r="H7" s="4" t="n">
        <f aca="false">Assumptions!H28</f>
        <v>13</v>
      </c>
      <c r="I7" s="4" t="n">
        <f aca="false">Assumptions!I28</f>
        <v>13</v>
      </c>
      <c r="J7" s="4" t="n">
        <f aca="false">Assumptions!J28</f>
        <v>13</v>
      </c>
      <c r="K7" s="4" t="n">
        <f aca="false">Assumptions!K28</f>
        <v>13</v>
      </c>
      <c r="L7" s="4" t="n">
        <f aca="false">Assumptions!L28</f>
        <v>13</v>
      </c>
    </row>
    <row r="8" customFormat="false" ht="15" hidden="false" customHeight="false" outlineLevel="0" collapsed="false">
      <c r="A8" s="0" t="s">
        <v>43</v>
      </c>
      <c r="C8" s="0" t="n">
        <f aca="false">C6*C7/100</f>
        <v>2395.2024</v>
      </c>
      <c r="D8" s="0" t="n">
        <f aca="false">D6*D7/100</f>
        <v>1962.28575</v>
      </c>
      <c r="E8" s="0" t="n">
        <f aca="false">E6*E7/100</f>
        <v>2081.5927236</v>
      </c>
      <c r="F8" s="0" t="n">
        <f aca="false">F6*F7/100</f>
        <v>2144.040505308</v>
      </c>
      <c r="G8" s="0" t="n">
        <f aca="false">G6*G7/100</f>
        <v>2208.36172046724</v>
      </c>
      <c r="H8" s="0" t="n">
        <f aca="false">H6*H7/100</f>
        <v>2274.61257208126</v>
      </c>
      <c r="I8" s="0" t="n">
        <f aca="false">I6*I7/100</f>
        <v>2342.8509492437</v>
      </c>
      <c r="J8" s="0" t="n">
        <f aca="false">J6*J7/100</f>
        <v>2401.42222297479</v>
      </c>
      <c r="K8" s="0" t="n">
        <f aca="false">K6*K7/100</f>
        <v>2461.45777854916</v>
      </c>
      <c r="L8" s="0" t="n">
        <f aca="false">L6*L7/100</f>
        <v>2522.99422301289</v>
      </c>
    </row>
    <row r="9" customFormat="false" ht="15" hidden="false" customHeight="false" outlineLevel="0" collapsed="false">
      <c r="A9" s="0" t="s">
        <v>107</v>
      </c>
      <c r="C9" s="4" t="n">
        <f aca="false">Assumptions!C29</f>
        <v>0.35</v>
      </c>
      <c r="D9" s="4" t="n">
        <f aca="false">Assumptions!D29</f>
        <v>0.35</v>
      </c>
      <c r="E9" s="4" t="n">
        <f aca="false">Assumptions!E29</f>
        <v>0.35</v>
      </c>
      <c r="F9" s="4" t="n">
        <f aca="false">Assumptions!F29</f>
        <v>0.35</v>
      </c>
      <c r="G9" s="4" t="n">
        <f aca="false">Assumptions!G29</f>
        <v>0.35</v>
      </c>
      <c r="H9" s="4" t="n">
        <f aca="false">Assumptions!H29</f>
        <v>0.35</v>
      </c>
      <c r="I9" s="4" t="n">
        <f aca="false">Assumptions!I29</f>
        <v>0.35</v>
      </c>
      <c r="J9" s="4" t="n">
        <f aca="false">Assumptions!J29</f>
        <v>0.35</v>
      </c>
      <c r="K9" s="4" t="n">
        <f aca="false">Assumptions!K29</f>
        <v>0.35</v>
      </c>
      <c r="L9" s="4" t="n">
        <f aca="false">Assumptions!L29</f>
        <v>0.35</v>
      </c>
    </row>
    <row r="10" customFormat="false" ht="15" hidden="false" customHeight="false" outlineLevel="0" collapsed="false">
      <c r="A10" s="0" t="s">
        <v>122</v>
      </c>
      <c r="C10" s="0" t="n">
        <f aca="false">-C6*C9/100</f>
        <v>-56.6433</v>
      </c>
      <c r="D10" s="0" t="n">
        <f aca="false">-D6*D9/100</f>
        <v>-54.944001</v>
      </c>
      <c r="E10" s="0" t="n">
        <f aca="false">-E6*E9/100</f>
        <v>-56.04288102</v>
      </c>
      <c r="F10" s="0" t="n">
        <f aca="false">-F6*F9/100</f>
        <v>-57.7241674506</v>
      </c>
      <c r="G10" s="0" t="n">
        <f aca="false">-G6*G9/100</f>
        <v>-59.455892474118</v>
      </c>
      <c r="H10" s="0" t="n">
        <f aca="false">-H6*H9/100</f>
        <v>-61.2395692483415</v>
      </c>
      <c r="I10" s="0" t="n">
        <f aca="false">-I6*I9/100</f>
        <v>-63.0767563257918</v>
      </c>
      <c r="J10" s="0" t="n">
        <f aca="false">-J6*J9/100</f>
        <v>-64.6536752339366</v>
      </c>
      <c r="K10" s="0" t="n">
        <f aca="false">-K6*K9/100</f>
        <v>-66.270017114785</v>
      </c>
      <c r="L10" s="0" t="n">
        <f aca="false">-L6*L9/100</f>
        <v>-67.9267675426546</v>
      </c>
    </row>
    <row r="11" customFormat="false" ht="15" hidden="false" customHeight="false" outlineLevel="0" collapsed="false">
      <c r="A11" s="0" t="s">
        <v>123</v>
      </c>
      <c r="C11" s="0" t="n">
        <f aca="false">C8+C10+C24</f>
        <v>2338.5591</v>
      </c>
      <c r="D11" s="0" t="n">
        <f aca="false">D8+D10+D24</f>
        <v>1907.341749</v>
      </c>
      <c r="E11" s="0" t="n">
        <f aca="false">E8+E10+E24</f>
        <v>2025.54984258</v>
      </c>
      <c r="F11" s="0" t="n">
        <f aca="false">F8+F10+F24</f>
        <v>2086.3163378574</v>
      </c>
      <c r="G11" s="0" t="n">
        <f aca="false">G8+G10+G24</f>
        <v>2148.90582799312</v>
      </c>
      <c r="H11" s="0" t="n">
        <f aca="false">H8+H10+H24</f>
        <v>2213.37300283292</v>
      </c>
      <c r="I11" s="0" t="n">
        <f aca="false">I8+I10+I24</f>
        <v>2279.7741929179</v>
      </c>
      <c r="J11" s="0" t="n">
        <f aca="false">J8+J10+J24</f>
        <v>2336.76854774085</v>
      </c>
      <c r="K11" s="0" t="n">
        <f aca="false">K8+K10+K24</f>
        <v>2395.18776143437</v>
      </c>
      <c r="L11" s="0" t="n">
        <f aca="false">L8+L10+L24</f>
        <v>2455.06745547023</v>
      </c>
    </row>
    <row r="12" customFormat="false" ht="15" hidden="false" customHeight="false" outlineLevel="0" collapsed="false">
      <c r="A12" s="0" t="s">
        <v>124</v>
      </c>
      <c r="C12" s="4" t="n">
        <f aca="false">-C6*Assumptions!C31/100</f>
        <v>-0</v>
      </c>
      <c r="D12" s="4" t="n">
        <f aca="false">-D6*Assumptions!D31/100</f>
        <v>-0</v>
      </c>
      <c r="E12" s="4" t="n">
        <f aca="false">-E6*Assumptions!E31/100</f>
        <v>-0</v>
      </c>
      <c r="F12" s="4" t="n">
        <f aca="false">-F6*Assumptions!F31/100</f>
        <v>-0</v>
      </c>
      <c r="G12" s="4" t="n">
        <f aca="false">-G6*Assumptions!G31/100</f>
        <v>-0</v>
      </c>
      <c r="H12" s="4" t="n">
        <f aca="false">-H6*Assumptions!H31/100</f>
        <v>-0</v>
      </c>
      <c r="I12" s="4" t="n">
        <f aca="false">-I6*Assumptions!I31/100</f>
        <v>-0</v>
      </c>
      <c r="J12" s="4" t="n">
        <f aca="false">-J6*Assumptions!J31/100</f>
        <v>-0</v>
      </c>
      <c r="K12" s="4" t="n">
        <f aca="false">-K6*Assumptions!K31/100</f>
        <v>-0</v>
      </c>
      <c r="L12" s="4" t="n">
        <f aca="false">-L6*Assumptions!L31/100</f>
        <v>-0</v>
      </c>
    </row>
    <row r="13" customFormat="false" ht="15" hidden="false" customHeight="false" outlineLevel="0" collapsed="false">
      <c r="A13" s="0" t="s">
        <v>125</v>
      </c>
      <c r="C13" s="0" t="n">
        <f aca="false">C11+C12</f>
        <v>2338.5591</v>
      </c>
      <c r="D13" s="0" t="n">
        <f aca="false">D11+D12</f>
        <v>1907.341749</v>
      </c>
      <c r="E13" s="0" t="n">
        <f aca="false">E11+E12</f>
        <v>2025.54984258</v>
      </c>
      <c r="F13" s="0" t="n">
        <f aca="false">F11+F12</f>
        <v>2086.3163378574</v>
      </c>
      <c r="G13" s="0" t="n">
        <f aca="false">G11+G12</f>
        <v>2148.90582799312</v>
      </c>
      <c r="H13" s="0" t="n">
        <f aca="false">H11+H12</f>
        <v>2213.37300283292</v>
      </c>
      <c r="I13" s="0" t="n">
        <f aca="false">I11+I12</f>
        <v>2279.7741929179</v>
      </c>
      <c r="J13" s="0" t="n">
        <f aca="false">J11+J12</f>
        <v>2336.76854774085</v>
      </c>
      <c r="K13" s="0" t="n">
        <f aca="false">K11+K12</f>
        <v>2395.18776143437</v>
      </c>
      <c r="L13" s="0" t="n">
        <f aca="false">L11+L12</f>
        <v>2455.06745547023</v>
      </c>
    </row>
    <row r="14" customFormat="false" ht="15" hidden="false" customHeight="false" outlineLevel="0" collapsed="false">
      <c r="A14" s="0" t="s">
        <v>111</v>
      </c>
      <c r="C14" s="4" t="n">
        <f aca="false">Assumptions!C33</f>
        <v>15</v>
      </c>
      <c r="D14" s="4" t="n">
        <f aca="false">Assumptions!D33</f>
        <v>15</v>
      </c>
      <c r="E14" s="4" t="n">
        <f aca="false">Assumptions!E33</f>
        <v>15</v>
      </c>
      <c r="F14" s="4" t="n">
        <f aca="false">Assumptions!F33</f>
        <v>15</v>
      </c>
      <c r="G14" s="4" t="n">
        <f aca="false">Assumptions!G33</f>
        <v>15</v>
      </c>
      <c r="H14" s="4" t="n">
        <f aca="false">Assumptions!H33</f>
        <v>15</v>
      </c>
      <c r="I14" s="4" t="n">
        <f aca="false">Assumptions!I33</f>
        <v>15</v>
      </c>
      <c r="J14" s="4" t="n">
        <f aca="false">Assumptions!J33</f>
        <v>15</v>
      </c>
      <c r="K14" s="4" t="n">
        <f aca="false">Assumptions!K33</f>
        <v>15</v>
      </c>
      <c r="L14" s="4" t="n">
        <f aca="false">Assumptions!L33</f>
        <v>15</v>
      </c>
    </row>
    <row r="15" customFormat="false" ht="15" hidden="false" customHeight="false" outlineLevel="0" collapsed="false">
      <c r="A15" s="0" t="s">
        <v>126</v>
      </c>
      <c r="C15" s="0" t="n">
        <f aca="false">C13-MAX(0,C13)*C14/100</f>
        <v>1987.775235</v>
      </c>
      <c r="D15" s="0" t="n">
        <f aca="false">D13-MAX(0,D13)*D14/100</f>
        <v>1621.24048665</v>
      </c>
      <c r="E15" s="0" t="n">
        <f aca="false">E13-MAX(0,E13)*E14/100</f>
        <v>1721.717366193</v>
      </c>
      <c r="F15" s="0" t="n">
        <f aca="false">F13-MAX(0,F13)*F14/100</f>
        <v>1773.36888717879</v>
      </c>
      <c r="G15" s="0" t="n">
        <f aca="false">G13-MAX(0,G13)*G14/100</f>
        <v>1826.56995379415</v>
      </c>
      <c r="H15" s="0" t="n">
        <f aca="false">H13-MAX(0,H13)*H14/100</f>
        <v>1881.36705240798</v>
      </c>
      <c r="I15" s="0" t="n">
        <f aca="false">I13-MAX(0,I13)*I14/100</f>
        <v>1937.80806398022</v>
      </c>
      <c r="J15" s="0" t="n">
        <f aca="false">J13-MAX(0,J13)*J14/100</f>
        <v>1986.25326557972</v>
      </c>
      <c r="K15" s="0" t="n">
        <f aca="false">K13-MAX(0,K13)*K14/100</f>
        <v>2035.90959721922</v>
      </c>
      <c r="L15" s="0" t="n">
        <f aca="false">L13-MAX(0,L13)*L14/100</f>
        <v>2086.8073371497</v>
      </c>
    </row>
    <row r="16" customFormat="false" ht="15" hidden="false" customHeight="false" outlineLevel="0" collapsed="false">
      <c r="A16" s="0" t="s">
        <v>127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128</v>
      </c>
      <c r="C17" s="4" t="n">
        <f aca="false">-C6*Assumptions!C32/100</f>
        <v>-242.757</v>
      </c>
      <c r="D17" s="4" t="n">
        <f aca="false">-D6*Assumptions!D32/100</f>
        <v>-235.47429</v>
      </c>
      <c r="E17" s="4" t="n">
        <f aca="false">-E6*Assumptions!E32/100</f>
        <v>-304.23278268</v>
      </c>
      <c r="F17" s="4" t="n">
        <f aca="false">-F6*Assumptions!F32/100</f>
        <v>-470.0396492406</v>
      </c>
      <c r="G17" s="4" t="n">
        <f aca="false">-G6*Assumptions!G32/100</f>
        <v>-484.140838717818</v>
      </c>
      <c r="H17" s="4" t="n">
        <f aca="false">-H6*Assumptions!H32/100</f>
        <v>-498.665063879353</v>
      </c>
      <c r="I17" s="4" t="n">
        <f aca="false">-I6*Assumptions!I32/100</f>
        <v>-513.625015795733</v>
      </c>
      <c r="J17" s="4" t="n">
        <f aca="false">-J6*Assumptions!J32/100</f>
        <v>-443.339487318422</v>
      </c>
      <c r="K17" s="4" t="n">
        <f aca="false">-K6*Assumptions!K32/100</f>
        <v>-454.422974501383</v>
      </c>
      <c r="L17" s="4" t="n">
        <f aca="false">-L6*Assumptions!L32/100</f>
        <v>-465.783548863917</v>
      </c>
    </row>
    <row r="18" customFormat="false" ht="15" hidden="false" customHeight="false" outlineLevel="0" collapsed="false">
      <c r="A18" s="0" t="s">
        <v>129</v>
      </c>
      <c r="C18" s="4" t="n">
        <f aca="false">(C6-B6)*Assumptions!$B$37/100</f>
        <v>-0</v>
      </c>
      <c r="D18" s="4" t="n">
        <f aca="false">(D6-C6)*Assumptions!$B$37/100</f>
        <v>-0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130</v>
      </c>
      <c r="C19" s="0" t="n">
        <f aca="false">C15+C16+C17+C18</f>
        <v>1745.018235</v>
      </c>
      <c r="D19" s="0" t="n">
        <f aca="false">D15+D16+D17+D18</f>
        <v>1385.76619665</v>
      </c>
      <c r="E19" s="0" t="n">
        <f aca="false">E15+E16+E17+E18</f>
        <v>1417.484583513</v>
      </c>
      <c r="F19" s="0" t="n">
        <f aca="false">F15+F16+F17+F18</f>
        <v>1303.32923793819</v>
      </c>
      <c r="G19" s="0" t="n">
        <f aca="false">G15+G16+G17+G18</f>
        <v>1342.42911507634</v>
      </c>
      <c r="H19" s="0" t="n">
        <f aca="false">H15+H16+H17+H18</f>
        <v>1382.70198852863</v>
      </c>
      <c r="I19" s="0" t="n">
        <f aca="false">I15+I16+I17+I18</f>
        <v>1424.18304818448</v>
      </c>
      <c r="J19" s="0" t="n">
        <f aca="false">J15+J16+J17+J18</f>
        <v>1542.9137782613</v>
      </c>
      <c r="K19" s="0" t="n">
        <f aca="false">K15+K16+K17+K18</f>
        <v>1581.48662271783</v>
      </c>
      <c r="L19" s="0" t="n">
        <f aca="false">L15+L16+L17+L18</f>
        <v>1621.02378828578</v>
      </c>
    </row>
    <row r="20" customFormat="false" ht="15" hidden="false" customHeight="false" outlineLevel="0" collapsed="false">
      <c r="A20" s="0" t="s">
        <v>131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132</v>
      </c>
      <c r="C21" s="0" t="n">
        <f aca="false">C19*C20</f>
        <v>1586.38021363636</v>
      </c>
      <c r="D21" s="0" t="n">
        <f aca="false">D19*D20</f>
        <v>1145.26131954545</v>
      </c>
      <c r="E21" s="0" t="n">
        <f aca="false">E19*E20</f>
        <v>1064.97714764313</v>
      </c>
      <c r="F21" s="0" t="n">
        <f aca="false">F19*F20</f>
        <v>890.191406282488</v>
      </c>
      <c r="G21" s="0" t="n">
        <f aca="false">G19*G20</f>
        <v>833.542862246329</v>
      </c>
      <c r="H21" s="0" t="n">
        <f aca="false">H19*H20</f>
        <v>780.499225557926</v>
      </c>
      <c r="I21" s="0" t="n">
        <f aca="false">I19*I20</f>
        <v>730.831093022422</v>
      </c>
      <c r="J21" s="0" t="n">
        <f aca="false">J19*J20</f>
        <v>719.780664586181</v>
      </c>
      <c r="K21" s="0" t="n">
        <f aca="false">K19*K20</f>
        <v>670.704710182577</v>
      </c>
      <c r="L21" s="0" t="n">
        <f aca="false">L19*L20</f>
        <v>624.97484357922</v>
      </c>
    </row>
    <row r="23" customFormat="false" ht="15" hidden="false" customHeight="false" outlineLevel="0" collapsed="false">
      <c r="A23" s="0" t="s">
        <v>108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134</v>
      </c>
    </row>
    <row r="27" customFormat="false" ht="15" hidden="false" customHeight="false" outlineLevel="0" collapsed="false">
      <c r="A27" s="0" t="s">
        <v>112</v>
      </c>
      <c r="B27" s="4" t="n">
        <f aca="false">Assumptions!$B$34</f>
        <v>10</v>
      </c>
    </row>
    <row r="28" customFormat="false" ht="15" hidden="false" customHeight="false" outlineLevel="0" collapsed="false">
      <c r="A28" s="0" t="s">
        <v>113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114</v>
      </c>
      <c r="B29" s="4" t="n">
        <f aca="false">Assumptions!$B$36</f>
        <v>12.5</v>
      </c>
    </row>
    <row r="30" customFormat="false" ht="15" hidden="false" customHeight="false" outlineLevel="0" collapsed="false">
      <c r="A30" s="0" t="s">
        <v>135</v>
      </c>
      <c r="B30" s="0" t="n">
        <f aca="false">SUM(C21:L21)</f>
        <v>9047.14348628208</v>
      </c>
    </row>
    <row r="31" customFormat="false" ht="15" hidden="false" customHeight="false" outlineLevel="0" collapsed="false">
      <c r="A31" s="0" t="s">
        <v>136</v>
      </c>
      <c r="B31" s="0" t="n">
        <f aca="false">L19</f>
        <v>1621.02378828578</v>
      </c>
    </row>
    <row r="32" customFormat="false" ht="15" hidden="false" customHeight="false" outlineLevel="0" collapsed="false">
      <c r="A32" s="0" t="s">
        <v>137</v>
      </c>
      <c r="B32" s="0" t="n">
        <f aca="false">IF(B27&gt;B28,B31*(1+B28/100)/((B27-B28)/100),B31*B29)</f>
        <v>22153.991773239</v>
      </c>
    </row>
    <row r="33" customFormat="false" ht="15" hidden="false" customHeight="false" outlineLevel="0" collapsed="false">
      <c r="A33" s="0" t="s">
        <v>138</v>
      </c>
      <c r="B33" s="0" t="n">
        <f aca="false">B31*B29</f>
        <v>20262.7973535722</v>
      </c>
    </row>
    <row r="34" customFormat="false" ht="15" hidden="false" customHeight="false" outlineLevel="0" collapsed="false">
      <c r="A34" s="0" t="s">
        <v>139</v>
      </c>
      <c r="B34" s="0" t="n">
        <f aca="false">MAX(0,MIN(B32,B33))</f>
        <v>20262.7973535722</v>
      </c>
    </row>
    <row r="35" customFormat="false" ht="15" hidden="false" customHeight="false" outlineLevel="0" collapsed="false">
      <c r="A35" s="0" t="s">
        <v>140</v>
      </c>
      <c r="B35" s="0" t="n">
        <f aca="false">B34/(1+B27/100)^L4</f>
        <v>7812.18554474024</v>
      </c>
    </row>
    <row r="36" customFormat="false" ht="15" hidden="false" customHeight="false" outlineLevel="0" collapsed="false">
      <c r="A36" s="0" t="s">
        <v>141</v>
      </c>
      <c r="B36" s="0" t="n">
        <f aca="false">B30+B35</f>
        <v>16859.3290310223</v>
      </c>
    </row>
    <row r="37" customFormat="false" ht="15" hidden="false" customHeight="false" outlineLevel="0" collapsed="false">
      <c r="A37" s="0" t="s">
        <v>142</v>
      </c>
      <c r="B37" s="0" t="n">
        <f aca="false">B36+Assumptions!$B$5-Assumptions!$B$4</f>
        <v>16859.3290310223</v>
      </c>
    </row>
    <row r="38" customFormat="false" ht="15" hidden="false" customHeight="false" outlineLevel="0" collapsed="false">
      <c r="A38" s="0" t="s">
        <v>143</v>
      </c>
      <c r="B38" s="0" t="n">
        <f aca="false">B37/Assumptions!$B$3*Assumptions!$B$10</f>
        <v>437.904650156424</v>
      </c>
    </row>
    <row r="39" customFormat="false" ht="15" hidden="false" customHeight="false" outlineLevel="0" collapsed="false">
      <c r="A39" s="0" t="s">
        <v>144</v>
      </c>
      <c r="B39" s="4" t="n">
        <f aca="false">B38/Assumptions!$B$2-1</f>
        <v>0.18215222891349</v>
      </c>
    </row>
    <row r="41" customFormat="false" ht="15" hidden="false" customHeight="false" outlineLevel="0" collapsed="false">
      <c r="A41" s="0" t="s">
        <v>145</v>
      </c>
      <c r="B41" s="0" t="n">
        <f aca="false">SUMPRODUCT(-C10:L10/(1+$B$27/100)^C4:L4)</f>
        <v>366.743407252417</v>
      </c>
    </row>
    <row r="42" customFormat="false" ht="15" hidden="false" customHeight="false" outlineLevel="0" collapsed="false">
      <c r="A42" s="0" t="s">
        <v>146</v>
      </c>
      <c r="B42" s="0" t="n">
        <f aca="false">IF(B27&gt;B28,-L10*(1+B28/100)/((B27-B28)/100),-L10*20)/(1+B27/100)^L4</f>
        <v>357.912361782372</v>
      </c>
    </row>
    <row r="43" customFormat="false" ht="15" hidden="false" customHeight="false" outlineLevel="0" collapsed="false">
      <c r="A43" s="0" t="s">
        <v>147</v>
      </c>
      <c r="B43" s="0" t="n">
        <f aca="false">(B37+B41+B42)/Assumptions!$B$3*Assumptions!$B$10</f>
        <v>456.726877923561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148</v>
      </c>
      <c r="B46" s="0" t="n">
        <f aca="false">MAX(0,MIN(IF(B45&gt;B28,B31*(1+B28/100)/((B45-B28)/100),B31*B29),B31*B29))</f>
        <v>13292.3950639434</v>
      </c>
    </row>
    <row r="47" customFormat="false" ht="15" hidden="false" customHeight="false" outlineLevel="0" collapsed="false">
      <c r="A47" s="0" t="s">
        <v>149</v>
      </c>
      <c r="B47" s="0" t="n">
        <f aca="false">(SUMPRODUCT(C19:L19/(1+B45/100)^C4:L4)+B46/(1+B45/100)^L4+Assumptions!$B$5-Assumptions!$B$4)/Assumptions!$B$3*Assumptions!$B$10</f>
        <v>277.489941808506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0" t="s">
        <v>120</v>
      </c>
      <c r="B3" s="0" t="s">
        <v>81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</row>
    <row r="4" customFormat="false" ht="15" hidden="false" customHeight="false" outlineLevel="0" collapsed="false">
      <c r="A4" s="0" t="s">
        <v>121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105</v>
      </c>
      <c r="C5" s="4" t="n">
        <f aca="false">Assumptions!C41</f>
        <v>-6</v>
      </c>
      <c r="D5" s="4" t="n">
        <f aca="false">Assumptions!D41</f>
        <v>0</v>
      </c>
      <c r="E5" s="4" t="n">
        <f aca="false">Assumptions!E41</f>
        <v>4</v>
      </c>
      <c r="F5" s="4" t="n">
        <f aca="false">Assumptions!F41</f>
        <v>5</v>
      </c>
      <c r="G5" s="4" t="n">
        <f aca="false">Assumptions!G41</f>
        <v>5</v>
      </c>
      <c r="H5" s="4" t="n">
        <f aca="false">Assumptions!H41</f>
        <v>4</v>
      </c>
      <c r="I5" s="4" t="n">
        <f aca="false">Assumptions!I41</f>
        <v>4</v>
      </c>
      <c r="J5" s="4" t="n">
        <f aca="false">Assumptions!J41</f>
        <v>3.5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17496</v>
      </c>
      <c r="C6" s="0" t="n">
        <f aca="false">B6*(1+C5/100)</f>
        <v>16446.24</v>
      </c>
      <c r="D6" s="0" t="n">
        <f aca="false">C6*(1+D5/100)</f>
        <v>16446.24</v>
      </c>
      <c r="E6" s="0" t="n">
        <f aca="false">D6*(1+E5/100)</f>
        <v>17104.0896</v>
      </c>
      <c r="F6" s="0" t="n">
        <f aca="false">E6*(1+F5/100)</f>
        <v>17959.29408</v>
      </c>
      <c r="G6" s="0" t="n">
        <f aca="false">F6*(1+G5/100)</f>
        <v>18857.258784</v>
      </c>
      <c r="H6" s="0" t="n">
        <f aca="false">G6*(1+H5/100)</f>
        <v>19611.54913536</v>
      </c>
      <c r="I6" s="0" t="n">
        <f aca="false">H6*(1+I5/100)</f>
        <v>20396.0111007744</v>
      </c>
      <c r="J6" s="0" t="n">
        <f aca="false">I6*(1+J5/100)</f>
        <v>21109.8714893015</v>
      </c>
      <c r="K6" s="0" t="n">
        <f aca="false">J6*(1+K5/100)</f>
        <v>21743.1676339806</v>
      </c>
      <c r="L6" s="0" t="n">
        <f aca="false">K6*(1+L5/100)</f>
        <v>22395.462663</v>
      </c>
    </row>
    <row r="7" customFormat="false" ht="15" hidden="false" customHeight="false" outlineLevel="0" collapsed="false">
      <c r="A7" s="0" t="s">
        <v>106</v>
      </c>
      <c r="C7" s="4" t="n">
        <f aca="false">Assumptions!C42</f>
        <v>15.5</v>
      </c>
      <c r="D7" s="4" t="n">
        <f aca="false">Assumptions!D42</f>
        <v>14.5</v>
      </c>
      <c r="E7" s="4" t="n">
        <f aca="false">Assumptions!E42</f>
        <v>15</v>
      </c>
      <c r="F7" s="4" t="n">
        <f aca="false">Assumptions!F42</f>
        <v>15</v>
      </c>
      <c r="G7" s="4" t="n">
        <f aca="false">Assumptions!G42</f>
        <v>15</v>
      </c>
      <c r="H7" s="4" t="n">
        <f aca="false">Assumptions!H42</f>
        <v>15</v>
      </c>
      <c r="I7" s="4" t="n">
        <f aca="false">Assumptions!I42</f>
        <v>15</v>
      </c>
      <c r="J7" s="4" t="n">
        <f aca="false">Assumptions!J42</f>
        <v>15</v>
      </c>
      <c r="K7" s="4" t="n">
        <f aca="false">Assumptions!K42</f>
        <v>15</v>
      </c>
      <c r="L7" s="4" t="n">
        <f aca="false">Assumptions!L42</f>
        <v>15</v>
      </c>
    </row>
    <row r="8" customFormat="false" ht="15" hidden="false" customHeight="false" outlineLevel="0" collapsed="false">
      <c r="A8" s="0" t="s">
        <v>43</v>
      </c>
      <c r="C8" s="0" t="n">
        <f aca="false">C6*C7/100</f>
        <v>2549.1672</v>
      </c>
      <c r="D8" s="0" t="n">
        <f aca="false">D6*D7/100</f>
        <v>2384.7048</v>
      </c>
      <c r="E8" s="0" t="n">
        <f aca="false">E6*E7/100</f>
        <v>2565.61344</v>
      </c>
      <c r="F8" s="0" t="n">
        <f aca="false">F6*F7/100</f>
        <v>2693.894112</v>
      </c>
      <c r="G8" s="0" t="n">
        <f aca="false">G6*G7/100</f>
        <v>2828.5888176</v>
      </c>
      <c r="H8" s="0" t="n">
        <f aca="false">H6*H7/100</f>
        <v>2941.732370304</v>
      </c>
      <c r="I8" s="0" t="n">
        <f aca="false">I6*I7/100</f>
        <v>3059.40166511616</v>
      </c>
      <c r="J8" s="0" t="n">
        <f aca="false">J6*J7/100</f>
        <v>3166.48072339523</v>
      </c>
      <c r="K8" s="0" t="n">
        <f aca="false">K6*K7/100</f>
        <v>3261.47514509708</v>
      </c>
      <c r="L8" s="0" t="n">
        <f aca="false">L6*L7/100</f>
        <v>3359.31939945</v>
      </c>
    </row>
    <row r="9" customFormat="false" ht="15" hidden="false" customHeight="false" outlineLevel="0" collapsed="false">
      <c r="A9" s="0" t="s">
        <v>107</v>
      </c>
      <c r="C9" s="4" t="n">
        <f aca="false">Assumptions!C43</f>
        <v>0.35</v>
      </c>
      <c r="D9" s="4" t="n">
        <f aca="false">Assumptions!D43</f>
        <v>0.35</v>
      </c>
      <c r="E9" s="4" t="n">
        <f aca="false">Assumptions!E43</f>
        <v>0.35</v>
      </c>
      <c r="F9" s="4" t="n">
        <f aca="false">Assumptions!F43</f>
        <v>0.35</v>
      </c>
      <c r="G9" s="4" t="n">
        <f aca="false">Assumptions!G43</f>
        <v>0.35</v>
      </c>
      <c r="H9" s="4" t="n">
        <f aca="false">Assumptions!H43</f>
        <v>0.35</v>
      </c>
      <c r="I9" s="4" t="n">
        <f aca="false">Assumptions!I43</f>
        <v>0.35</v>
      </c>
      <c r="J9" s="4" t="n">
        <f aca="false">Assumptions!J43</f>
        <v>0.35</v>
      </c>
      <c r="K9" s="4" t="n">
        <f aca="false">Assumptions!K43</f>
        <v>0.35</v>
      </c>
      <c r="L9" s="4" t="n">
        <f aca="false">Assumptions!L43</f>
        <v>0.35</v>
      </c>
    </row>
    <row r="10" customFormat="false" ht="15" hidden="false" customHeight="false" outlineLevel="0" collapsed="false">
      <c r="A10" s="0" t="s">
        <v>122</v>
      </c>
      <c r="C10" s="0" t="n">
        <f aca="false">-C6*C9/100</f>
        <v>-57.56184</v>
      </c>
      <c r="D10" s="0" t="n">
        <f aca="false">-D6*D9/100</f>
        <v>-57.56184</v>
      </c>
      <c r="E10" s="0" t="n">
        <f aca="false">-E6*E9/100</f>
        <v>-59.8643136</v>
      </c>
      <c r="F10" s="0" t="n">
        <f aca="false">-F6*F9/100</f>
        <v>-62.85752928</v>
      </c>
      <c r="G10" s="0" t="n">
        <f aca="false">-G6*G9/100</f>
        <v>-66.000405744</v>
      </c>
      <c r="H10" s="0" t="n">
        <f aca="false">-H6*H9/100</f>
        <v>-68.64042197376</v>
      </c>
      <c r="I10" s="0" t="n">
        <f aca="false">-I6*I9/100</f>
        <v>-71.3860388527104</v>
      </c>
      <c r="J10" s="0" t="n">
        <f aca="false">-J6*J9/100</f>
        <v>-73.8845502125553</v>
      </c>
      <c r="K10" s="0" t="n">
        <f aca="false">-K6*K9/100</f>
        <v>-76.1010867189319</v>
      </c>
      <c r="L10" s="0" t="n">
        <f aca="false">-L6*L9/100</f>
        <v>-78.3841193204999</v>
      </c>
    </row>
    <row r="11" customFormat="false" ht="15" hidden="false" customHeight="false" outlineLevel="0" collapsed="false">
      <c r="A11" s="0" t="s">
        <v>123</v>
      </c>
      <c r="C11" s="0" t="n">
        <f aca="false">C8+C10+C24</f>
        <v>2491.60536</v>
      </c>
      <c r="D11" s="0" t="n">
        <f aca="false">D8+D10+D24</f>
        <v>2327.14296</v>
      </c>
      <c r="E11" s="0" t="n">
        <f aca="false">E8+E10+E24</f>
        <v>2505.7491264</v>
      </c>
      <c r="F11" s="0" t="n">
        <f aca="false">F8+F10+F24</f>
        <v>2631.03658272</v>
      </c>
      <c r="G11" s="0" t="n">
        <f aca="false">G8+G10+G24</f>
        <v>2762.588411856</v>
      </c>
      <c r="H11" s="0" t="n">
        <f aca="false">H8+H10+H24</f>
        <v>2873.09194833024</v>
      </c>
      <c r="I11" s="0" t="n">
        <f aca="false">I8+I10+I24</f>
        <v>2988.01562626345</v>
      </c>
      <c r="J11" s="0" t="n">
        <f aca="false">J8+J10+J24</f>
        <v>3092.59617318267</v>
      </c>
      <c r="K11" s="0" t="n">
        <f aca="false">K8+K10+K24</f>
        <v>3185.37405837815</v>
      </c>
      <c r="L11" s="0" t="n">
        <f aca="false">L8+L10+L24</f>
        <v>3280.9352801295</v>
      </c>
    </row>
    <row r="12" customFormat="false" ht="15" hidden="false" customHeight="false" outlineLevel="0" collapsed="false">
      <c r="A12" s="0" t="s">
        <v>124</v>
      </c>
      <c r="C12" s="4" t="n">
        <f aca="false">-C6*Assumptions!C45/100</f>
        <v>-0</v>
      </c>
      <c r="D12" s="4" t="n">
        <f aca="false">-D6*Assumptions!D45/100</f>
        <v>-0</v>
      </c>
      <c r="E12" s="4" t="n">
        <f aca="false">-E6*Assumptions!E45/100</f>
        <v>-0</v>
      </c>
      <c r="F12" s="4" t="n">
        <f aca="false">-F6*Assumptions!F45/100</f>
        <v>-0</v>
      </c>
      <c r="G12" s="4" t="n">
        <f aca="false">-G6*Assumptions!G45/100</f>
        <v>-0</v>
      </c>
      <c r="H12" s="4" t="n">
        <f aca="false">-H6*Assumptions!H45/100</f>
        <v>-0</v>
      </c>
      <c r="I12" s="4" t="n">
        <f aca="false">-I6*Assumptions!I45/100</f>
        <v>-0</v>
      </c>
      <c r="J12" s="4" t="n">
        <f aca="false">-J6*Assumptions!J45/100</f>
        <v>-0</v>
      </c>
      <c r="K12" s="4" t="n">
        <f aca="false">-K6*Assumptions!K45/100</f>
        <v>-0</v>
      </c>
      <c r="L12" s="4" t="n">
        <f aca="false">-L6*Assumptions!L45/100</f>
        <v>-0</v>
      </c>
    </row>
    <row r="13" customFormat="false" ht="15" hidden="false" customHeight="false" outlineLevel="0" collapsed="false">
      <c r="A13" s="0" t="s">
        <v>125</v>
      </c>
      <c r="C13" s="0" t="n">
        <f aca="false">C11+C12</f>
        <v>2491.60536</v>
      </c>
      <c r="D13" s="0" t="n">
        <f aca="false">D11+D12</f>
        <v>2327.14296</v>
      </c>
      <c r="E13" s="0" t="n">
        <f aca="false">E11+E12</f>
        <v>2505.7491264</v>
      </c>
      <c r="F13" s="0" t="n">
        <f aca="false">F11+F12</f>
        <v>2631.03658272</v>
      </c>
      <c r="G13" s="0" t="n">
        <f aca="false">G11+G12</f>
        <v>2762.588411856</v>
      </c>
      <c r="H13" s="0" t="n">
        <f aca="false">H11+H12</f>
        <v>2873.09194833024</v>
      </c>
      <c r="I13" s="0" t="n">
        <f aca="false">I11+I12</f>
        <v>2988.01562626345</v>
      </c>
      <c r="J13" s="0" t="n">
        <f aca="false">J11+J12</f>
        <v>3092.59617318267</v>
      </c>
      <c r="K13" s="0" t="n">
        <f aca="false">K11+K12</f>
        <v>3185.37405837815</v>
      </c>
      <c r="L13" s="0" t="n">
        <f aca="false">L11+L12</f>
        <v>3280.9352801295</v>
      </c>
    </row>
    <row r="14" customFormat="false" ht="15" hidden="false" customHeight="false" outlineLevel="0" collapsed="false">
      <c r="A14" s="0" t="s">
        <v>111</v>
      </c>
      <c r="C14" s="4" t="n">
        <f aca="false">Assumptions!C47</f>
        <v>15</v>
      </c>
      <c r="D14" s="4" t="n">
        <f aca="false">Assumptions!D47</f>
        <v>15</v>
      </c>
      <c r="E14" s="4" t="n">
        <f aca="false">Assumptions!E47</f>
        <v>15</v>
      </c>
      <c r="F14" s="4" t="n">
        <f aca="false">Assumptions!F47</f>
        <v>15</v>
      </c>
      <c r="G14" s="4" t="n">
        <f aca="false">Assumptions!G47</f>
        <v>15</v>
      </c>
      <c r="H14" s="4" t="n">
        <f aca="false">Assumptions!H47</f>
        <v>15</v>
      </c>
      <c r="I14" s="4" t="n">
        <f aca="false">Assumptions!I47</f>
        <v>15</v>
      </c>
      <c r="J14" s="4" t="n">
        <f aca="false">Assumptions!J47</f>
        <v>15</v>
      </c>
      <c r="K14" s="4" t="n">
        <f aca="false">Assumptions!K47</f>
        <v>15</v>
      </c>
      <c r="L14" s="4" t="n">
        <f aca="false">Assumptions!L47</f>
        <v>15</v>
      </c>
    </row>
    <row r="15" customFormat="false" ht="15" hidden="false" customHeight="false" outlineLevel="0" collapsed="false">
      <c r="A15" s="0" t="s">
        <v>126</v>
      </c>
      <c r="C15" s="0" t="n">
        <f aca="false">C13-MAX(0,C13)*C14/100</f>
        <v>2117.864556</v>
      </c>
      <c r="D15" s="0" t="n">
        <f aca="false">D13-MAX(0,D13)*D14/100</f>
        <v>1978.071516</v>
      </c>
      <c r="E15" s="0" t="n">
        <f aca="false">E13-MAX(0,E13)*E14/100</f>
        <v>2129.88675744</v>
      </c>
      <c r="F15" s="0" t="n">
        <f aca="false">F13-MAX(0,F13)*F14/100</f>
        <v>2236.381095312</v>
      </c>
      <c r="G15" s="0" t="n">
        <f aca="false">G13-MAX(0,G13)*G14/100</f>
        <v>2348.2001500776</v>
      </c>
      <c r="H15" s="0" t="n">
        <f aca="false">H13-MAX(0,H13)*H14/100</f>
        <v>2442.1281560807</v>
      </c>
      <c r="I15" s="0" t="n">
        <f aca="false">I13-MAX(0,I13)*I14/100</f>
        <v>2539.81328232393</v>
      </c>
      <c r="J15" s="0" t="n">
        <f aca="false">J13-MAX(0,J13)*J14/100</f>
        <v>2628.70674720527</v>
      </c>
      <c r="K15" s="0" t="n">
        <f aca="false">K13-MAX(0,K13)*K14/100</f>
        <v>2707.56794962143</v>
      </c>
      <c r="L15" s="0" t="n">
        <f aca="false">L13-MAX(0,L13)*L14/100</f>
        <v>2788.79498811007</v>
      </c>
    </row>
    <row r="16" customFormat="false" ht="15" hidden="false" customHeight="false" outlineLevel="0" collapsed="false">
      <c r="A16" s="0" t="s">
        <v>127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128</v>
      </c>
      <c r="C17" s="4" t="n">
        <f aca="false">-C6*Assumptions!C46/100</f>
        <v>-246.6936</v>
      </c>
      <c r="D17" s="4" t="n">
        <f aca="false">-D6*Assumptions!D46/100</f>
        <v>-246.6936</v>
      </c>
      <c r="E17" s="4" t="n">
        <f aca="false">-E6*Assumptions!E46/100</f>
        <v>-649.9554048</v>
      </c>
      <c r="F17" s="4" t="n">
        <f aca="false">-F6*Assumptions!F46/100</f>
        <v>-853.0664688</v>
      </c>
      <c r="G17" s="4" t="n">
        <f aca="false">-G6*Assumptions!G46/100</f>
        <v>-895.71979224</v>
      </c>
      <c r="H17" s="4" t="n">
        <f aca="false">-H6*Assumptions!H46/100</f>
        <v>-745.23886714368</v>
      </c>
      <c r="I17" s="4" t="n">
        <f aca="false">-I6*Assumptions!I46/100</f>
        <v>-775.048421829427</v>
      </c>
      <c r="J17" s="4" t="n">
        <f aca="false">-J6*Assumptions!J46/100</f>
        <v>-696.62575914695</v>
      </c>
      <c r="K17" s="4" t="n">
        <f aca="false">-K6*Assumptions!K46/100</f>
        <v>-619.680277568446</v>
      </c>
      <c r="L17" s="4" t="n">
        <f aca="false">-L6*Assumptions!L46/100</f>
        <v>-638.270685895499</v>
      </c>
    </row>
    <row r="18" customFormat="false" ht="15" hidden="false" customHeight="false" outlineLevel="0" collapsed="false">
      <c r="A18" s="0" t="s">
        <v>129</v>
      </c>
      <c r="C18" s="4" t="n">
        <f aca="false">(C6-B6)*Assumptions!$B$51/100</f>
        <v>-0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130</v>
      </c>
      <c r="C19" s="0" t="n">
        <f aca="false">C15+C16+C17+C18</f>
        <v>1871.170956</v>
      </c>
      <c r="D19" s="0" t="n">
        <f aca="false">D15+D16+D17+D18</f>
        <v>1731.377916</v>
      </c>
      <c r="E19" s="0" t="n">
        <f aca="false">E15+E16+E17+E18</f>
        <v>1479.93135264</v>
      </c>
      <c r="F19" s="0" t="n">
        <f aca="false">F15+F16+F17+F18</f>
        <v>1383.314626512</v>
      </c>
      <c r="G19" s="0" t="n">
        <f aca="false">G15+G16+G17+G18</f>
        <v>1452.4803578376</v>
      </c>
      <c r="H19" s="0" t="n">
        <f aca="false">H15+H16+H17+H18</f>
        <v>1696.88928893702</v>
      </c>
      <c r="I19" s="0" t="n">
        <f aca="false">I15+I16+I17+I18</f>
        <v>1764.7648604945</v>
      </c>
      <c r="J19" s="0" t="n">
        <f aca="false">J15+J16+J17+J18</f>
        <v>1932.08098805832</v>
      </c>
      <c r="K19" s="0" t="n">
        <f aca="false">K15+K16+K17+K18</f>
        <v>2087.88767205298</v>
      </c>
      <c r="L19" s="0" t="n">
        <f aca="false">L15+L16+L17+L18</f>
        <v>2150.52430221457</v>
      </c>
    </row>
    <row r="20" customFormat="false" ht="15" hidden="false" customHeight="false" outlineLevel="0" collapsed="false">
      <c r="A20" s="0" t="s">
        <v>131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132</v>
      </c>
      <c r="C21" s="0" t="n">
        <f aca="false">C19*C20</f>
        <v>1701.06450545455</v>
      </c>
      <c r="D21" s="0" t="n">
        <f aca="false">D19*D20</f>
        <v>1430.89083966942</v>
      </c>
      <c r="E21" s="0" t="n">
        <f aca="false">E19*E20</f>
        <v>1111.89432955672</v>
      </c>
      <c r="F21" s="0" t="n">
        <f aca="false">F19*F20</f>
        <v>944.822502911003</v>
      </c>
      <c r="G21" s="0" t="n">
        <f aca="false">G19*G20</f>
        <v>901.876025505957</v>
      </c>
      <c r="H21" s="0" t="n">
        <f aca="false">H19*H20</f>
        <v>957.849765792442</v>
      </c>
      <c r="I21" s="0" t="n">
        <f aca="false">I19*I20</f>
        <v>905.603414931035</v>
      </c>
      <c r="J21" s="0" t="n">
        <f aca="false">J19*J20</f>
        <v>901.33004009212</v>
      </c>
      <c r="K21" s="0" t="n">
        <f aca="false">K19*K20</f>
        <v>885.468189146941</v>
      </c>
      <c r="L21" s="0" t="n">
        <f aca="false">L19*L20</f>
        <v>829.120213473954</v>
      </c>
    </row>
    <row r="23" customFormat="false" ht="15" hidden="false" customHeight="false" outlineLevel="0" collapsed="false">
      <c r="A23" s="0" t="s">
        <v>108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134</v>
      </c>
    </row>
    <row r="27" customFormat="false" ht="15" hidden="false" customHeight="false" outlineLevel="0" collapsed="false">
      <c r="A27" s="0" t="s">
        <v>112</v>
      </c>
      <c r="B27" s="4" t="n">
        <f aca="false">Assumptions!$B$48</f>
        <v>10</v>
      </c>
    </row>
    <row r="28" customFormat="false" ht="15" hidden="false" customHeight="false" outlineLevel="0" collapsed="false">
      <c r="A28" s="0" t="s">
        <v>113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114</v>
      </c>
      <c r="B29" s="4" t="n">
        <f aca="false">Assumptions!$B$50</f>
        <v>13.5</v>
      </c>
    </row>
    <row r="30" customFormat="false" ht="15" hidden="false" customHeight="false" outlineLevel="0" collapsed="false">
      <c r="A30" s="0" t="s">
        <v>135</v>
      </c>
      <c r="B30" s="0" t="n">
        <f aca="false">SUM(C21:L21)</f>
        <v>10569.9198265341</v>
      </c>
    </row>
    <row r="31" customFormat="false" ht="15" hidden="false" customHeight="false" outlineLevel="0" collapsed="false">
      <c r="A31" s="0" t="s">
        <v>136</v>
      </c>
      <c r="B31" s="0" t="n">
        <f aca="false">L19</f>
        <v>2150.52430221457</v>
      </c>
    </row>
    <row r="32" customFormat="false" ht="15" hidden="false" customHeight="false" outlineLevel="0" collapsed="false">
      <c r="A32" s="0" t="s">
        <v>137</v>
      </c>
      <c r="B32" s="0" t="n">
        <f aca="false">IF(B27&gt;B28,B31*(1+B28/100)/((B27-B28)/100),B31*B29)</f>
        <v>31643.4290183001</v>
      </c>
    </row>
    <row r="33" customFormat="false" ht="15" hidden="false" customHeight="false" outlineLevel="0" collapsed="false">
      <c r="A33" s="0" t="s">
        <v>138</v>
      </c>
      <c r="B33" s="0" t="n">
        <f aca="false">B31*B29</f>
        <v>29032.0780798967</v>
      </c>
    </row>
    <row r="34" customFormat="false" ht="15" hidden="false" customHeight="false" outlineLevel="0" collapsed="false">
      <c r="A34" s="0" t="s">
        <v>139</v>
      </c>
      <c r="B34" s="0" t="n">
        <f aca="false">MAX(0,MIN(B32,B33))</f>
        <v>29032.0780798967</v>
      </c>
    </row>
    <row r="35" customFormat="false" ht="15" hidden="false" customHeight="false" outlineLevel="0" collapsed="false">
      <c r="A35" s="0" t="s">
        <v>140</v>
      </c>
      <c r="B35" s="0" t="n">
        <f aca="false">B34/(1+B27/100)^L4</f>
        <v>11193.1228818984</v>
      </c>
    </row>
    <row r="36" customFormat="false" ht="15" hidden="false" customHeight="false" outlineLevel="0" collapsed="false">
      <c r="A36" s="0" t="s">
        <v>141</v>
      </c>
      <c r="B36" s="0" t="n">
        <f aca="false">B30+B35</f>
        <v>21763.0427084325</v>
      </c>
    </row>
    <row r="37" customFormat="false" ht="15" hidden="false" customHeight="false" outlineLevel="0" collapsed="false">
      <c r="A37" s="0" t="s">
        <v>142</v>
      </c>
      <c r="B37" s="0" t="n">
        <f aca="false">B36+Assumptions!$B$5-Assumptions!$B$4</f>
        <v>21763.0427084325</v>
      </c>
    </row>
    <row r="38" customFormat="false" ht="15" hidden="false" customHeight="false" outlineLevel="0" collapsed="false">
      <c r="A38" s="0" t="s">
        <v>143</v>
      </c>
      <c r="B38" s="0" t="n">
        <f aca="false">B37/Assumptions!$B$3*Assumptions!$B$10</f>
        <v>565.273836582663</v>
      </c>
    </row>
    <row r="39" customFormat="false" ht="15" hidden="false" customHeight="false" outlineLevel="0" collapsed="false">
      <c r="A39" s="0" t="s">
        <v>144</v>
      </c>
      <c r="B39" s="4" t="n">
        <f aca="false">B38/Assumptions!$B$2-1</f>
        <v>0.525993673791709</v>
      </c>
    </row>
    <row r="41" customFormat="false" ht="15" hidden="false" customHeight="false" outlineLevel="0" collapsed="false">
      <c r="A41" s="0" t="s">
        <v>145</v>
      </c>
      <c r="B41" s="0" t="n">
        <f aca="false">SUMPRODUCT(-C10:L10/(1+$B$27/100)^C4:L4)</f>
        <v>401.131759339562</v>
      </c>
    </row>
    <row r="42" customFormat="false" ht="15" hidden="false" customHeight="false" outlineLevel="0" collapsed="false">
      <c r="A42" s="0" t="s">
        <v>146</v>
      </c>
      <c r="B42" s="0" t="n">
        <f aca="false">IF(B27&gt;B28,-L10*(1+B28/100)/((B27-B28)/100),-L10*20)/(1+B27/100)^L4</f>
        <v>444.672647684547</v>
      </c>
    </row>
    <row r="43" customFormat="false" ht="15" hidden="false" customHeight="false" outlineLevel="0" collapsed="false">
      <c r="A43" s="0" t="s">
        <v>147</v>
      </c>
      <c r="B43" s="0" t="n">
        <f aca="false">(B37+B41+B42)/Assumptions!$B$3*Assumptions!$B$10</f>
        <v>587.242782219653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148</v>
      </c>
      <c r="B46" s="0" t="n">
        <f aca="false">MAX(0,MIN(IF(B45&gt;B28,B31*(1+B28/100)/((B45-B28)/100),B31*B29),B31*B29))</f>
        <v>18458.6669273418</v>
      </c>
    </row>
    <row r="47" customFormat="false" ht="15" hidden="false" customHeight="false" outlineLevel="0" collapsed="false">
      <c r="A47" s="0" t="s">
        <v>149</v>
      </c>
      <c r="B47" s="0" t="n">
        <f aca="false">(SUMPRODUCT(C19:L19/(1+B45/100)^C4:L4)+B46/(1+B45/100)^L4+Assumptions!$B$5-Assumptions!$B$4)/Assumptions!$B$3*Assumptions!$B$10</f>
        <v>341.268745275058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2" t="s">
        <v>153</v>
      </c>
      <c r="B3" s="2" t="s">
        <v>154</v>
      </c>
      <c r="C3" s="2" t="s">
        <v>144</v>
      </c>
      <c r="D3" s="2" t="s">
        <v>155</v>
      </c>
      <c r="E3" s="2" t="s">
        <v>147</v>
      </c>
      <c r="F3" s="2" t="s">
        <v>156</v>
      </c>
    </row>
    <row r="4" customFormat="false" ht="15" hidden="false" customHeight="false" outlineLevel="0" collapsed="false">
      <c r="A4" s="0" t="s">
        <v>157</v>
      </c>
      <c r="B4" s="4" t="n">
        <f aca="false">DCF_Bear!$B$38</f>
        <v>275.766928739811</v>
      </c>
      <c r="C4" s="0" t="n">
        <f aca="false">B4/Assumptions!$B$2-1</f>
        <v>-0.255549148989523</v>
      </c>
      <c r="D4" s="4" t="n">
        <f aca="false">Assumptions!$B$24</f>
        <v>0.25</v>
      </c>
      <c r="E4" s="4" t="n">
        <f aca="false">DCF_Bear!$B$43</f>
        <v>292.07602656255</v>
      </c>
      <c r="F4" s="4" t="n">
        <f aca="false">DCF_Bear!$B$47</f>
        <v>192.361871116884</v>
      </c>
    </row>
    <row r="5" customFormat="false" ht="15" hidden="false" customHeight="false" outlineLevel="0" collapsed="false">
      <c r="A5" s="0" t="s">
        <v>158</v>
      </c>
      <c r="B5" s="4" t="n">
        <f aca="false">DCF_Base!$B$38</f>
        <v>437.904650156424</v>
      </c>
      <c r="C5" s="0" t="n">
        <f aca="false">B5/Assumptions!$B$2-1</f>
        <v>0.18215222891349</v>
      </c>
      <c r="D5" s="4" t="n">
        <f aca="false">Assumptions!$B$38</f>
        <v>0.5</v>
      </c>
      <c r="E5" s="4" t="n">
        <f aca="false">DCF_Base!$B$43</f>
        <v>456.726877923561</v>
      </c>
      <c r="F5" s="4" t="n">
        <f aca="false">DCF_Base!$B$47</f>
        <v>277.489941808506</v>
      </c>
    </row>
    <row r="6" customFormat="false" ht="15" hidden="false" customHeight="false" outlineLevel="0" collapsed="false">
      <c r="A6" s="0" t="s">
        <v>159</v>
      </c>
      <c r="B6" s="4" t="n">
        <f aca="false">DCF_Bull!$B$38</f>
        <v>565.273836582663</v>
      </c>
      <c r="C6" s="0" t="n">
        <f aca="false">B6/Assumptions!$B$2-1</f>
        <v>0.525993673791709</v>
      </c>
      <c r="D6" s="4" t="n">
        <f aca="false">Assumptions!$B$52</f>
        <v>0.25</v>
      </c>
      <c r="E6" s="4" t="n">
        <f aca="false">DCF_Bull!$B$43</f>
        <v>587.242782219653</v>
      </c>
      <c r="F6" s="4" t="n">
        <f aca="false">DCF_Bull!$B$47</f>
        <v>341.268745275058</v>
      </c>
    </row>
    <row r="8" customFormat="false" ht="15" hidden="false" customHeight="false" outlineLevel="0" collapsed="false">
      <c r="A8" s="0" t="s">
        <v>160</v>
      </c>
      <c r="B8" s="0" t="n">
        <f aca="false">SUMPRODUCT(B4:B6,D4:D6)</f>
        <v>429.212516408831</v>
      </c>
    </row>
    <row r="9" customFormat="false" ht="15" hidden="false" customHeight="false" outlineLevel="0" collapsed="false">
      <c r="A9" s="0" t="s">
        <v>161</v>
      </c>
      <c r="B9" s="0" t="n">
        <f aca="false">SUMPRODUCT(E4:E6,D4:D6)</f>
        <v>448.193141157331</v>
      </c>
    </row>
    <row r="10" customFormat="false" ht="15" hidden="false" customHeight="false" outlineLevel="0" collapsed="false">
      <c r="A10" s="0" t="s">
        <v>162</v>
      </c>
      <c r="B10" s="0" t="n">
        <f aca="false">1-Assumptions!$B$2/B8</f>
        <v>0.136954338845141</v>
      </c>
    </row>
    <row r="11" customFormat="false" ht="15" hidden="false" customHeight="false" outlineLevel="0" collapsed="false">
      <c r="A11" s="0" t="s">
        <v>163</v>
      </c>
      <c r="B11" s="0" t="n">
        <f aca="false">IF(ABS(B9-B8)&gt;0.01*ABS(B8),(Assumptions!$B$2-B8)/(B9-B8)*100,"n/a")</f>
        <v>-309.697479338624</v>
      </c>
    </row>
    <row r="12" customFormat="false" ht="15" hidden="false" customHeight="false" outlineLevel="0" collapsed="false">
      <c r="A12" s="0" t="s">
        <v>164</v>
      </c>
      <c r="B12" s="0" t="n">
        <f aca="false">SUMPRODUCT(F4:F6,D4:D6)</f>
        <v>272.152625002239</v>
      </c>
    </row>
    <row r="14" customFormat="false" ht="15" hidden="false" customHeight="false" outlineLevel="0" collapsed="false">
      <c r="A14" s="2" t="s">
        <v>165</v>
      </c>
      <c r="C14" s="0" t="s">
        <v>166</v>
      </c>
    </row>
    <row r="15" customFormat="false" ht="15" hidden="false" customHeight="false" outlineLevel="0" collapsed="false">
      <c r="A15" s="0" t="s">
        <v>167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467.731386068026</v>
      </c>
      <c r="C15" s="3" t="n">
        <v>9</v>
      </c>
    </row>
    <row r="16" customFormat="false" ht="15" hidden="false" customHeight="false" outlineLevel="0" collapsed="false">
      <c r="A16" s="0" t="s">
        <v>168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437.904650156424</v>
      </c>
      <c r="C16" s="3" t="n">
        <v>10</v>
      </c>
    </row>
    <row r="17" customFormat="false" ht="15" hidden="false" customHeight="false" outlineLevel="0" collapsed="false">
      <c r="A17" s="0" t="s">
        <v>169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404.070559281011</v>
      </c>
      <c r="C17" s="3" t="n">
        <v>11</v>
      </c>
    </row>
    <row r="18" customFormat="false" ht="15" hidden="false" customHeight="false" outlineLevel="0" collapsed="false">
      <c r="A18" s="0" t="s">
        <v>170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362.420115306826</v>
      </c>
      <c r="C18" s="3" t="n">
        <v>12</v>
      </c>
    </row>
    <row r="19" customFormat="false" ht="15" hidden="false" customHeight="false" outlineLevel="0" collapsed="false">
      <c r="A19" s="0" t="s">
        <v>171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277.489941808506</v>
      </c>
      <c r="C19" s="3" t="n">
        <v>15</v>
      </c>
    </row>
    <row r="21" customFormat="false" ht="15" hidden="false" customHeight="false" outlineLevel="0" collapsed="false">
      <c r="A21" s="2" t="s">
        <v>172</v>
      </c>
    </row>
    <row r="22" customFormat="false" ht="15" hidden="false" customHeight="false" outlineLevel="0" collapsed="false">
      <c r="B22" s="3" t="n">
        <v>1.5</v>
      </c>
      <c r="C22" s="3" t="n">
        <v>2</v>
      </c>
      <c r="D22" s="3" t="n">
        <v>2.5</v>
      </c>
      <c r="E22" s="3" t="n">
        <v>3</v>
      </c>
      <c r="F22" s="3" t="n">
        <v>3.5</v>
      </c>
    </row>
    <row r="23" customFormat="false" ht="15" hidden="false" customHeight="false" outlineLevel="0" collapsed="false">
      <c r="A23" s="3" t="n">
        <v>8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500.368755071956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500.368755071956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500.368755071956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500.368755071956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500.368755071956</v>
      </c>
    </row>
    <row r="24" customFormat="false" ht="15" hidden="false" customHeight="false" outlineLevel="0" collapsed="false">
      <c r="A24" s="3" t="n">
        <v>9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467.731386068026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467.731386068026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467.731386068026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467.731386068026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467.731386068026</v>
      </c>
    </row>
    <row r="25" customFormat="false" ht="15" hidden="false" customHeight="false" outlineLevel="0" collapsed="false">
      <c r="A25" s="3" t="n">
        <v>10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428.833204756879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437.904650156424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437.904650156424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437.904650156424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437.904650156424</v>
      </c>
    </row>
    <row r="26" customFormat="false" ht="15" hidden="false" customHeight="false" outlineLevel="0" collapsed="false">
      <c r="A26" s="3" t="n">
        <v>11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383.687032959307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393.312587055667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404.070559281011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410.612569418044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410.612569418044</v>
      </c>
    </row>
    <row r="27" customFormat="false" ht="15" hidden="false" customHeight="false" outlineLevel="0" collapsed="false">
      <c r="A27" s="3" t="n">
        <v>12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347.198752060021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354.428899602253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362.420115306826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371.299243867462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381.222975788173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2026-09-28T07:33:48Z</dcterms:created>
  <dc:creator>openpyxl</dc:creator>
  <dc:description/>
  <dc:language>en-NZ</dc:language>
  <cp:lastModifiedBy/>
  <dcterms:modified xsi:type="dcterms:W3CDTF">2026-09-28T07:33:48Z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