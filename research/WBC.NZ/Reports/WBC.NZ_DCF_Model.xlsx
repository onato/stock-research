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WBC.NZ residual-income (bank) valuation model</t>
        </is>
      </c>
    </row>
    <row r="2">
      <c r="A2" t="inlineStr">
        <is>
          <t>Version 1.0, fresh build 2026-09-20 -- supersedes nothing (first WBC.NZ valuation).</t>
        </is>
      </c>
    </row>
    <row r="3">
      <c r="A3" t="inlineStr">
        <is>
          <t>Built by the dcf-analyst agent (Claude Fable 5.1) on 2026-09-20 at the research-stock orchestrator's request.</t>
        </is>
      </c>
    </row>
    <row r="4">
      <c r="A4" t="inlineStr">
        <is>
          <t>Figures go stale: price, FX, tangible book, share count and CET1 must be refreshed after each half-year result.</t>
        </is>
      </c>
    </row>
    <row r="5">
      <c r="A5" t="inlineStr"/>
    </row>
    <row r="6">
      <c r="A6" s="1" t="inlineStr">
        <is>
          <t>DATA VINTAGE</t>
        </is>
      </c>
    </row>
    <row r="7">
      <c r="A7" t="inlineStr">
        <is>
          <t>Price: NZ$43.08 WBC.NZ, NZX regular close 2026-09-18T04:59:55Z (Yahoo). ASX parity: WBC.AX A$34.75 close 2026-09-18.</t>
        </is>
      </c>
    </row>
    <row r="8">
      <c r="A8" t="inlineStr">
        <is>
          <t>FX: AUDNZD 1.2435, Yahoo AUDNZD=X 2026-09-20T04:50Z. Parity 34.75 x 1.2435 = 43.21 vs 43.08 (0.3%).</t>
        </is>
      </c>
    </row>
    <row r="9">
      <c r="A9" t="inlineStr">
        <is>
          <t>Balance sheet: 31-Mar-2026 interim results -- equity attributable A$70,761m, intangibles A$10,204m, NTA/share A$17.73, CET1 12.42%.</t>
        </is>
      </c>
    </row>
    <row r="10">
      <c r="A10" t="inlineStr">
        <is>
          <t>Share count: 3,415m (3,420.3m on issue less ~5m treasury), 31-Mar-2026. AT1 conversion (diluted 3,594m) excluded.</t>
        </is>
      </c>
    </row>
    <row r="11">
      <c r="A11" t="inlineStr">
        <is>
          <t>Guidance: none given. 1H26 framing: CET1 &gt; 11.25%, ROTE and cost-to-income improvement via UNITE, provisions raised for the energy shock.</t>
        </is>
      </c>
    </row>
    <row r="12">
      <c r="A12" t="inlineStr"/>
    </row>
    <row r="13">
      <c r="A13" s="1" t="inlineStr">
        <is>
          <t>METHODOLOGY</t>
        </is>
      </c>
    </row>
    <row r="14">
      <c r="A14" t="inlineStr">
        <is>
          <t>Model: residual income on tangible book, implemented as PV(dividends per share) + PV(exit P/TBV x FY2031 TBVPS), discounted at AUD cost of equity.</t>
        </is>
      </c>
    </row>
    <row r="15">
      <c r="A15" t="inlineStr">
        <is>
          <t>Why not owner-FCF DCF: bank OCF is a loan/deposit-flow artefact (FY24 -19.8bn, FY25 +9.5bn, 1H26 -6.7bn); deposits are not net debt; no EBITDA.</t>
        </is>
      </c>
    </row>
    <row r="16">
      <c r="A16" t="inlineStr">
        <is>
          <t>Discount rate: AUD cost of equity 9.5% base (10y AGB ~4.5% + 5.0% ERP x beta 1.0); 9.0% bull; 10.5% bear.</t>
        </is>
      </c>
    </row>
    <row r="17">
      <c r="A17" t="inlineStr">
        <is>
          <t>Terminal: exit price-to-tangible-book multiple (bear 1.2x / base 1.5x / bull 1.9x) instead of Gordon growth; justified base P/TBV 1.38x.</t>
        </is>
      </c>
    </row>
    <row r="18">
      <c r="A18" t="inlineStr">
        <is>
          <t>Buybacks: executed at 1.96x TBV (today's multiple); they reduce the share count by less than cash spent, captured on each scenario tab.</t>
        </is>
      </c>
    </row>
    <row r="19">
      <c r="A19" t="inlineStr">
        <is>
          <t>Stub: Mar-2026 TBV rolled to Sep-2026E with half a year of earnings less the 77c interim dividend; OCI not forecast.</t>
        </is>
      </c>
    </row>
    <row r="20">
      <c r="A20" t="inlineStr">
        <is>
          <t>Entry price: same flows and exit multiple discounted at the 15% hurdle (exit multiple is an explicit judgement, not rate-derived).</t>
        </is>
      </c>
    </row>
    <row r="21">
      <c r="A21" t="inlineStr"/>
    </row>
    <row r="22">
      <c r="A22" s="1" t="inlineStr">
        <is>
          <t>JUDGEMENT</t>
        </is>
      </c>
    </row>
    <row r="23">
      <c r="A23" t="inlineStr">
        <is>
          <t>Scenario drivers (ROTE path, payout, buybacks, CoE, exit multiple, weights) are the dcf-analyst agent's judgement set 2026-09-20; not yet reviewed by the user.</t>
        </is>
      </c>
    </row>
    <row r="24">
      <c r="A24" t="inlineStr">
        <is>
          <t>Refresh after the FY2026 result (Nov-2026): NTA/share, share count, CET1, buyback completion, FY2026 ROTE ex-notables, final dividend.</t>
        </is>
      </c>
    </row>
    <row r="25">
      <c r="A25" t="inlineStr"/>
    </row>
    <row r="26">
      <c r="A26" s="1" t="inlineStr">
        <is>
          <t>CELL COLOURS: blue = hardcoded input; yellow fill = key lever; black = formula; green = cross-sheet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7" max="7"/>
  </cols>
  <sheetData>
    <row r="1">
      <c r="A1" s="1" t="inlineStr">
        <is>
          <t>Metric (AUD m unless stated)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H1 FY2025</t>
        </is>
      </c>
      <c r="E1" s="1" t="inlineStr">
        <is>
          <t>FY2025</t>
        </is>
      </c>
      <c r="F1" s="1" t="inlineStr">
        <is>
          <t>H1 FY2026</t>
        </is>
      </c>
      <c r="G1" s="1" t="inlineStr">
        <is>
          <t>Source</t>
        </is>
      </c>
    </row>
    <row r="2">
      <c r="A2" t="inlineStr">
        <is>
          <t>Revenue (net operating income)</t>
        </is>
      </c>
      <c r="B2" s="2" t="n">
        <v>21645</v>
      </c>
      <c r="C2" s="2" t="n">
        <v>21588</v>
      </c>
      <c r="D2" s="2" t="n">
        <v>10793</v>
      </c>
      <c r="E2" s="2" t="n">
        <v>22384</v>
      </c>
      <c r="F2" s="2" t="n">
        <v>11293</v>
      </c>
      <c r="G2" t="inlineStr">
        <is>
          <t>WBC.NZ_Metrics.csv</t>
        </is>
      </c>
    </row>
    <row r="3">
      <c r="A3" t="inlineStr">
        <is>
          <t>Net interest income</t>
        </is>
      </c>
      <c r="B3" s="2" t="n">
        <v>18317</v>
      </c>
      <c r="C3" s="2" t="n">
        <v>18753</v>
      </c>
      <c r="D3" s="2" t="n">
        <v>9351</v>
      </c>
      <c r="E3" s="2" t="n">
        <v>19380</v>
      </c>
      <c r="F3" s="2" t="n">
        <v>9771</v>
      </c>
      <c r="G3" t="inlineStr">
        <is>
          <t>kpis NetInterestIncome</t>
        </is>
      </c>
    </row>
    <row r="4">
      <c r="A4" t="inlineStr">
        <is>
          <t>Net profit attributable</t>
        </is>
      </c>
      <c r="B4" s="2" t="n">
        <v>7195</v>
      </c>
      <c r="C4" s="2" t="n">
        <v>6990</v>
      </c>
      <c r="D4" s="2" t="n">
        <v>3317</v>
      </c>
      <c r="E4" s="2" t="n">
        <v>6916</v>
      </c>
      <c r="F4" s="2" t="n">
        <v>3414</v>
      </c>
      <c r="G4" t="inlineStr">
        <is>
          <t>WBC.NZ_Metrics.csv</t>
        </is>
      </c>
    </row>
    <row r="5">
      <c r="A5" t="inlineStr">
        <is>
          <t>Operating cash flow (NOT FCF)</t>
        </is>
      </c>
      <c r="B5" s="2" t="n">
        <v>-10796</v>
      </c>
      <c r="C5" s="2" t="n">
        <v>-19767</v>
      </c>
      <c r="D5" s="2" t="n">
        <v>11969</v>
      </c>
      <c r="E5" s="2" t="n">
        <v>9489</v>
      </c>
      <c r="F5" s="2" t="n">
        <v>-6679</v>
      </c>
      <c r="G5" t="inlineStr">
        <is>
          <t>WBC.NZ_Metrics.csv -- loan/deposit flow artefact</t>
        </is>
      </c>
    </row>
    <row r="6">
      <c r="A6" t="inlineStr">
        <is>
          <t>Equity attributable</t>
        </is>
      </c>
      <c r="B6" s="2" t="n">
        <v>72495</v>
      </c>
      <c r="C6" s="2" t="n">
        <v>71705</v>
      </c>
      <c r="D6" s="2" t="n">
        <v>72015</v>
      </c>
      <c r="E6" s="2" t="n">
        <v>72766</v>
      </c>
      <c r="F6" s="2" t="n">
        <v>70761</v>
      </c>
      <c r="G6" t="inlineStr">
        <is>
          <t>WBC.NZ_Metrics.csv</t>
        </is>
      </c>
    </row>
    <row r="7">
      <c r="A7" t="inlineStr">
        <is>
          <t>Shares (m)</t>
        </is>
      </c>
      <c r="B7" s="2" t="n">
        <v>3502</v>
      </c>
      <c r="C7" s="2" t="n">
        <v>3476</v>
      </c>
      <c r="D7" s="2" t="n">
        <v>3416</v>
      </c>
      <c r="E7" s="2" t="n">
        <v>3422</v>
      </c>
      <c r="F7" s="2" t="n">
        <v>3415</v>
      </c>
      <c r="G7" t="inlineStr">
        <is>
          <t>WBC.NZ_Metrics.csv</t>
        </is>
      </c>
    </row>
    <row r="8">
      <c r="A8" t="inlineStr">
        <is>
          <t>EPS basic (AUD)</t>
        </is>
      </c>
      <c r="B8" s="2" t="n">
        <v>2.053</v>
      </c>
      <c r="C8" s="2" t="n">
        <v>2.009</v>
      </c>
      <c r="D8" s="2" t="n">
        <v>0.967</v>
      </c>
      <c r="E8" s="2" t="n">
        <v>2.019</v>
      </c>
      <c r="F8" s="2" t="n">
        <v>0.999</v>
      </c>
      <c r="G8" t="inlineStr">
        <is>
          <t>WBC.NZ_Metrics.csv</t>
        </is>
      </c>
    </row>
    <row r="9">
      <c r="A9" t="inlineStr">
        <is>
          <t>DPS (AUD)</t>
        </is>
      </c>
      <c r="B9" s="2" t="n">
        <v>1.42</v>
      </c>
      <c r="C9" s="2" t="n">
        <v>1.51</v>
      </c>
      <c r="D9" s="2" t="n">
        <v>0.76</v>
      </c>
      <c r="E9" s="2" t="n">
        <v>1.53</v>
      </c>
      <c r="F9" s="2" t="n">
        <v>0.77</v>
      </c>
      <c r="G9" t="inlineStr">
        <is>
          <t>WBC.NZ_Metrics.csv</t>
        </is>
      </c>
    </row>
    <row r="10">
      <c r="A10" t="inlineStr">
        <is>
          <t>NTA per share (AUD)</t>
        </is>
      </c>
      <c r="B10" s="2" t="n"/>
      <c r="C10" s="2" t="n"/>
      <c r="D10" s="2" t="n">
        <v>17.97</v>
      </c>
      <c r="E10" s="2" t="n">
        <v>18.25</v>
      </c>
      <c r="F10" s="2" t="n">
        <v>17.73</v>
      </c>
      <c r="G10" t="inlineStr">
        <is>
          <t>kpis NetTangibleAssetsPerShare</t>
        </is>
      </c>
    </row>
    <row r="11">
      <c r="A11" t="inlineStr">
        <is>
          <t>ROE %</t>
        </is>
      </c>
      <c r="B11" s="2" t="n">
        <v>10.09</v>
      </c>
      <c r="C11" s="2" t="n">
        <v>9.77</v>
      </c>
      <c r="D11" s="2" t="n">
        <v>9.42</v>
      </c>
      <c r="E11" s="2" t="n">
        <v>9.66</v>
      </c>
      <c r="F11" s="2" t="n">
        <v>9.58</v>
      </c>
      <c r="G11" t="inlineStr">
        <is>
          <t>kpis ROE</t>
        </is>
      </c>
    </row>
    <row r="12">
      <c r="A12" t="inlineStr">
        <is>
          <t>ROTE % (statutory)</t>
        </is>
      </c>
      <c r="B12" s="2" t="n">
        <v>11.39</v>
      </c>
      <c r="C12" s="2" t="n">
        <v>11.01</v>
      </c>
      <c r="D12" s="2" t="n">
        <v>10.63</v>
      </c>
      <c r="E12" s="2" t="n">
        <v>11.13</v>
      </c>
      <c r="F12" s="2" t="n">
        <v>10.79</v>
      </c>
      <c r="G12" t="inlineStr">
        <is>
          <t>kpis ROTE</t>
        </is>
      </c>
    </row>
    <row r="13">
      <c r="A13" t="inlineStr">
        <is>
          <t>NIM %</t>
        </is>
      </c>
      <c r="B13" s="2" t="n">
        <v>1.9</v>
      </c>
      <c r="C13" s="2" t="n">
        <v>1.95</v>
      </c>
      <c r="D13" s="2" t="n">
        <v>1.92</v>
      </c>
      <c r="E13" s="2" t="n">
        <v>1.94</v>
      </c>
      <c r="F13" s="2" t="n">
        <v>1.89</v>
      </c>
      <c r="G13" t="inlineStr">
        <is>
          <t>kpis NIM</t>
        </is>
      </c>
    </row>
    <row r="14">
      <c r="A14" t="inlineStr">
        <is>
          <t>CET1 %</t>
        </is>
      </c>
      <c r="B14" s="2" t="n"/>
      <c r="C14" s="2" t="n"/>
      <c r="D14" s="2" t="n">
        <v>12.24</v>
      </c>
      <c r="E14" s="2" t="n">
        <v>12.53</v>
      </c>
      <c r="F14" s="2" t="n">
        <v>12.42</v>
      </c>
      <c r="G14" t="inlineStr">
        <is>
          <t>kpis CET1Ratio</t>
        </is>
      </c>
    </row>
    <row r="15">
      <c r="A15" t="inlineStr">
        <is>
          <t>Payout ratio %</t>
        </is>
      </c>
      <c r="B15" s="2" t="n">
        <v>69.2</v>
      </c>
      <c r="C15" s="2" t="n">
        <v>74.62</v>
      </c>
      <c r="D15" s="2" t="n">
        <v>78.38</v>
      </c>
      <c r="E15" s="2" t="n">
        <v>73.14</v>
      </c>
      <c r="F15" s="2" t="n">
        <v>77.09</v>
      </c>
      <c r="G15" t="inlineStr">
        <is>
          <t>kpis DividendPayoutRatio</t>
        </is>
      </c>
    </row>
    <row r="16">
      <c r="A16" t="inlineStr">
        <is>
          <t>Share repurchases</t>
        </is>
      </c>
      <c r="B16" s="2" t="n">
        <v>0</v>
      </c>
      <c r="C16" s="2" t="n">
        <v>1812</v>
      </c>
      <c r="D16" s="2" t="n">
        <v>565</v>
      </c>
      <c r="E16" s="2" t="n">
        <v>672</v>
      </c>
      <c r="F16" s="2" t="n">
        <v>2</v>
      </c>
      <c r="G16" t="inlineStr">
        <is>
          <t>kpis ShareRepurchases</t>
        </is>
      </c>
    </row>
    <row r="17">
      <c r="A17" t="inlineStr">
        <is>
          <t>Share-based payments</t>
        </is>
      </c>
      <c r="B17" s="2" t="n">
        <v>90</v>
      </c>
      <c r="C17" s="2" t="n">
        <v>97</v>
      </c>
      <c r="D17" s="2" t="n">
        <v>54</v>
      </c>
      <c r="E17" s="2" t="n">
        <v>95</v>
      </c>
      <c r="F17" s="2" t="n">
        <v>58</v>
      </c>
      <c r="G17" t="inlineStr">
        <is>
          <t>WBC.NZ_Metrics.csv StockBasedComp</t>
        </is>
      </c>
    </row>
    <row r="18">
      <c r="A18" t="inlineStr">
        <is>
          <t>Intangible assets (H1 FY2026)</t>
        </is>
      </c>
      <c r="B18" s="2" t="n"/>
      <c r="C18" s="2" t="n"/>
      <c r="D18" s="2" t="n">
        <v>10599</v>
      </c>
      <c r="E18" s="2" t="n">
        <v>10465</v>
      </c>
      <c r="F18" s="2" t="n">
        <v>10204</v>
      </c>
      <c r="G18" t="inlineStr">
        <is>
          <t>H1-2026 interim results balance sheet</t>
        </is>
      </c>
    </row>
    <row r="20">
      <c r="A20" t="inlineStr">
        <is>
          <t>Buyback status: A$3.5bn program, A$2.5bn done by 31-Mar-2026 (88.8m shares at A$28.01 avg); A$1.0bn remaining, extended to 10-Nov-2026; only 50,000 shares bought in H1 FY2026.</t>
        </is>
      </c>
    </row>
    <row r="21">
      <c r="A21" t="inlineStr">
        <is>
          <t>Guidance: none. 1H26 management framing -- CET1 12.42% vs 11.25% target (A$2.7bn surplus), ROTE ex-notables 11.0%, opex +4% (2% ex RAMS), provisions raised for the Middle-East energy shock.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3" max="3"/>
  </cols>
  <sheetData>
    <row r="1">
      <c r="A1" s="1" t="inlineStr">
        <is>
          <t>Global inputs</t>
        </is>
      </c>
    </row>
    <row r="2">
      <c r="A2" t="inlineStr">
        <is>
          <t>Price NZD (WBC.NZ)</t>
        </is>
      </c>
      <c r="B2" s="2" t="n">
        <v>43.08</v>
      </c>
      <c r="C2" t="inlineStr">
        <is>
          <t>Yahoo NZX close 2026-09-18T04:59:55Z</t>
        </is>
      </c>
    </row>
    <row r="3">
      <c r="A3" t="inlineStr">
        <is>
          <t>FX NZD per AUD</t>
        </is>
      </c>
      <c r="B3" s="2" t="n">
        <v>1.2435</v>
      </c>
      <c r="C3" t="inlineStr">
        <is>
          <t>Yahoo AUDNZD=X 2026-09-20</t>
        </is>
      </c>
    </row>
    <row r="4">
      <c r="A4" t="inlineStr">
        <is>
          <t>Price AUD equivalent</t>
        </is>
      </c>
      <c r="B4">
        <f>B2/B3</f>
        <v/>
      </c>
      <c r="C4" t="inlineStr">
        <is>
          <t>formula</t>
        </is>
      </c>
    </row>
    <row r="5">
      <c r="A5" t="inlineStr">
        <is>
          <t>Price AUD (WBC.AX)</t>
        </is>
      </c>
      <c r="B5" s="2" t="n">
        <v>34.75</v>
      </c>
      <c r="C5" t="inlineStr">
        <is>
          <t>ASX close 2026-09-18; parity check</t>
        </is>
      </c>
    </row>
    <row r="6">
      <c r="A6" t="inlineStr">
        <is>
          <t>Equity attributable AUD m (31-Mar-2026)</t>
        </is>
      </c>
      <c r="B6" s="2" t="n">
        <v>70761</v>
      </c>
      <c r="C6" t="inlineStr">
        <is>
          <t>interim balance sheet</t>
        </is>
      </c>
    </row>
    <row r="7">
      <c r="A7" t="inlineStr">
        <is>
          <t>Intangible assets AUD m</t>
        </is>
      </c>
      <c r="B7" s="2" t="n">
        <v>10204</v>
      </c>
      <c r="C7" t="inlineStr">
        <is>
          <t>interim balance sheet</t>
        </is>
      </c>
    </row>
    <row r="8">
      <c r="A8" t="inlineStr">
        <is>
          <t>Tangible book AUD m (Mar-2026)</t>
        </is>
      </c>
      <c r="B8">
        <f>B6-B7</f>
        <v/>
      </c>
      <c r="C8" t="inlineStr">
        <is>
          <t>formula</t>
        </is>
      </c>
    </row>
    <row r="9">
      <c r="A9" t="inlineStr">
        <is>
          <t>Shares m (ex treasury)</t>
        </is>
      </c>
      <c r="B9" s="2" t="n">
        <v>3415</v>
      </c>
      <c r="C9" t="inlineStr">
        <is>
          <t>interim results, NTA/share basis</t>
        </is>
      </c>
    </row>
    <row r="10">
      <c r="A10" t="inlineStr">
        <is>
          <t>TBVPS Mar-2026</t>
        </is>
      </c>
      <c r="B10">
        <f>B8/B9</f>
        <v/>
      </c>
      <c r="C10" t="inlineStr">
        <is>
          <t>formula -- ties to reported 17.73</t>
        </is>
      </c>
    </row>
    <row r="11">
      <c r="A11" t="inlineStr">
        <is>
          <t>Stub annualised ROTE %</t>
        </is>
      </c>
      <c r="B11" s="2" t="n">
        <v>11.3</v>
      </c>
      <c r="C11" t="inlineStr">
        <is>
          <t>H2 FY2026 assumption</t>
        </is>
      </c>
    </row>
    <row r="12">
      <c r="A12" t="inlineStr">
        <is>
          <t>Stub interim DPS AUD</t>
        </is>
      </c>
      <c r="B12" s="2" t="n">
        <v>0.77</v>
      </c>
      <c r="C12" t="inlineStr">
        <is>
          <t>paid 26-Jun-2026</t>
        </is>
      </c>
    </row>
    <row r="13">
      <c r="A13" t="inlineStr">
        <is>
          <t>Tangible book Sep-2026E AUD m</t>
        </is>
      </c>
      <c r="B13">
        <f>B8+B11/100*B8*0.5-B12*B9</f>
        <v/>
      </c>
      <c r="C13" t="inlineStr">
        <is>
          <t>formula</t>
        </is>
      </c>
    </row>
    <row r="14">
      <c r="A14" t="inlineStr">
        <is>
          <t>TBVPS Sep-2026E</t>
        </is>
      </c>
      <c r="B14">
        <f>B13/B9</f>
        <v/>
      </c>
      <c r="C14" t="inlineStr">
        <is>
          <t>formula -- starting TBVPS for the projection</t>
        </is>
      </c>
    </row>
    <row r="15">
      <c r="A15" t="inlineStr">
        <is>
          <t>Buyback execution P/TBV</t>
        </is>
      </c>
      <c r="B15" s="3" t="n">
        <v>1.96</v>
      </c>
      <c r="C15" t="inlineStr">
        <is>
          <t>today's multiple 34.75/17.73</t>
        </is>
      </c>
    </row>
    <row r="16">
      <c r="A16" t="inlineStr">
        <is>
          <t>Hurdle rate</t>
        </is>
      </c>
      <c r="B16" s="3" t="n">
        <v>0.15</v>
      </c>
      <c r="C16" t="inlineStr">
        <is>
          <t>15% IRR entry price</t>
        </is>
      </c>
    </row>
    <row r="19">
      <c r="A19" s="1" t="inlineStr">
        <is>
          <t>Scenario inputs</t>
        </is>
      </c>
    </row>
    <row r="20">
      <c r="A20" s="1" t="inlineStr"/>
      <c r="B20" s="1" t="inlineStr">
        <is>
          <t>Bear</t>
        </is>
      </c>
      <c r="C20" s="1" t="inlineStr">
        <is>
          <t>Base</t>
        </is>
      </c>
      <c r="D20" s="1" t="inlineStr">
        <is>
          <t>Bull</t>
        </is>
      </c>
    </row>
    <row r="21">
      <c r="A21" t="inlineStr">
        <is>
          <t>Cost of equity %</t>
        </is>
      </c>
      <c r="B21" s="3" t="n">
        <v>10.5</v>
      </c>
      <c r="C21" s="3" t="n">
        <v>9.5</v>
      </c>
      <c r="D21" s="3" t="n">
        <v>9</v>
      </c>
    </row>
    <row r="22">
      <c r="A22" t="inlineStr">
        <is>
          <t>Exit P/TBV multiple</t>
        </is>
      </c>
      <c r="B22" s="3" t="n">
        <v>1.2</v>
      </c>
      <c r="C22" s="3" t="n">
        <v>1.5</v>
      </c>
      <c r="D22" s="3" t="n">
        <v>1.9</v>
      </c>
    </row>
    <row r="23">
      <c r="A23" t="inlineStr">
        <is>
          <t>Dividend payout %</t>
        </is>
      </c>
      <c r="B23" s="3" t="n">
        <v>72</v>
      </c>
      <c r="C23" s="3" t="n">
        <v>75</v>
      </c>
      <c r="D23" s="3" t="n">
        <v>75</v>
      </c>
    </row>
    <row r="24">
      <c r="A24" t="inlineStr">
        <is>
          <t>Probability weight</t>
        </is>
      </c>
      <c r="B24" s="3" t="n">
        <v>0.25</v>
      </c>
      <c r="C24" s="3" t="n">
        <v>0.5</v>
      </c>
      <c r="D24" s="3" t="n">
        <v>0.25</v>
      </c>
    </row>
    <row r="25">
      <c r="A25" t="inlineStr">
        <is>
          <t>Weights sum check</t>
        </is>
      </c>
      <c r="B25">
        <f>SUM(B24:D24)</f>
        <v/>
      </c>
    </row>
    <row r="27">
      <c r="A27" s="1" t="inlineStr">
        <is>
          <t>Narratives</t>
        </is>
      </c>
    </row>
    <row r="28">
      <c r="A28" t="inlineStr">
        <is>
          <t>Bear</t>
        </is>
      </c>
      <c r="B28" t="inlineStr">
        <is>
          <t>NIM compresses toward 1.8% as mortgage competition and deposit mix shift persist, credit costs step up to ~20bps through the energy-price shock, UNITE delivers cost-out late; ROTE slides to 9.5%, at or below CoE. Payout trimmed to 72%, no further buybacks (capital retained for RWA growth and the higher provisioning). Exit at 1.2x TBV, the low end of Westpac's 2015-2024 range, at a 10.5% CoE.</t>
        </is>
      </c>
    </row>
    <row r="29">
      <c r="A29" t="inlineStr">
        <is>
          <t>Base</t>
        </is>
      </c>
      <c r="B29" t="inlineStr">
        <is>
          <t>ROTE grinds from 11.2% to 12.0% as UNITE lowers cost-to-income from ~53% toward 50%, NIM holds ~1.9%, credit costs normalise ~10-12bps. 75% payout (FY2025 73%, 1H26 77%); the remaining 1.0bn of the buyback completes in FY2027 at ~1.96x TBV, then retention funds ~5% RWA growth with no further buybacks. Exit 1.5x TBV vs justified 1.38x; CoE 9.5%.</t>
        </is>
      </c>
    </row>
    <row r="30">
      <c r="A30" t="inlineStr">
        <is>
          <t>Bull</t>
        </is>
      </c>
      <c r="B30" t="inlineStr">
        <is>
          <t>Rates and credit stay benign, UNITE hits its cost targets early, ROTE reaches 13.5% (peer-leading ex-CBA). Surplus capital above 11.25% CET1 recycled through 1.0-1.5bn/yr buybacks at today's multiple. Exit at 1.9x TBV (today's multiple sustained) at a 9.0% CoE.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Bear scenario -- residual income on tangible book (AUD m, per-share AUD)</t>
        </is>
      </c>
    </row>
    <row r="3">
      <c r="A3" t="inlineStr">
        <is>
          <t>Year</t>
        </is>
      </c>
      <c r="B3" s="1" t="inlineStr">
        <is>
          <t>FY2026E (Sep-26 stub)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A5" t="inlineStr">
        <is>
          <t>ROTE % (driver)</t>
        </is>
      </c>
      <c r="C5" s="3" t="n">
        <v>10.5</v>
      </c>
      <c r="D5" s="3" t="n">
        <v>10</v>
      </c>
      <c r="E5" s="3" t="n">
        <v>9.5</v>
      </c>
      <c r="F5" s="3" t="n">
        <v>9.5</v>
      </c>
      <c r="G5" s="3" t="n">
        <v>9.5</v>
      </c>
    </row>
    <row r="6">
      <c r="A6" t="inlineStr">
        <is>
          <t>Beginning tangible book</t>
        </is>
      </c>
      <c r="C6">
        <f>B14</f>
        <v/>
      </c>
      <c r="D6">
        <f>C14</f>
        <v/>
      </c>
      <c r="E6">
        <f>D14</f>
        <v/>
      </c>
      <c r="F6">
        <f>E14</f>
        <v/>
      </c>
      <c r="G6">
        <f>F14</f>
        <v/>
      </c>
    </row>
    <row r="7">
      <c r="A7" t="inlineStr">
        <is>
          <t>Net income = ROTE x beginning TBV</t>
        </is>
      </c>
      <c r="C7">
        <f>C5/100*C6</f>
        <v/>
      </c>
      <c r="D7">
        <f>D5/100*D6</f>
        <v/>
      </c>
      <c r="E7">
        <f>E5/100*E6</f>
        <v/>
      </c>
      <c r="F7">
        <f>F5/100*F6</f>
        <v/>
      </c>
      <c r="G7">
        <f>G5/100*G6</f>
        <v/>
      </c>
    </row>
    <row r="8">
      <c r="A8" t="inlineStr">
        <is>
          <t>Payout % (link)</t>
        </is>
      </c>
      <c r="C8" s="4">
        <f>Assumptions!B23</f>
        <v/>
      </c>
      <c r="D8" s="4">
        <f>Assumptions!B23</f>
        <v/>
      </c>
      <c r="E8" s="4">
        <f>Assumptions!B23</f>
        <v/>
      </c>
      <c r="F8" s="4">
        <f>Assumptions!B23</f>
        <v/>
      </c>
      <c r="G8" s="4">
        <f>Assumptions!B23</f>
        <v/>
      </c>
    </row>
    <row r="9">
      <c r="A9" t="inlineStr">
        <is>
          <t>Dividends</t>
        </is>
      </c>
      <c r="C9">
        <f>C7*C8/100</f>
        <v/>
      </c>
      <c r="D9">
        <f>D7*D8/100</f>
        <v/>
      </c>
      <c r="E9">
        <f>E7*E8/100</f>
        <v/>
      </c>
      <c r="F9">
        <f>F7*F8/100</f>
        <v/>
      </c>
      <c r="G9">
        <f>G7*G8/100</f>
        <v/>
      </c>
    </row>
    <row r="10">
      <c r="A10" t="inlineStr">
        <is>
          <t>Buyback AUD m (driver)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t="inlineStr">
        <is>
          <t>Buyback price = P/TBV x prior TBVPS</t>
        </is>
      </c>
      <c r="C11">
        <f>Assumptions!$B$15*B15</f>
        <v/>
      </c>
      <c r="D11">
        <f>Assumptions!$B$15*C15</f>
        <v/>
      </c>
      <c r="E11">
        <f>Assumptions!$B$15*D15</f>
        <v/>
      </c>
      <c r="F11">
        <f>Assumptions!$B$15*E15</f>
        <v/>
      </c>
      <c r="G11">
        <f>Assumptions!$B$15*F15</f>
        <v/>
      </c>
    </row>
    <row r="12">
      <c r="A12" t="inlineStr">
        <is>
          <t>Shares repurchased (m)</t>
        </is>
      </c>
      <c r="C12">
        <f>C10/C11</f>
        <v/>
      </c>
      <c r="D12">
        <f>D10/D11</f>
        <v/>
      </c>
      <c r="E12">
        <f>E10/E11</f>
        <v/>
      </c>
      <c r="F12">
        <f>F10/F11</f>
        <v/>
      </c>
      <c r="G12">
        <f>G10/G11</f>
        <v/>
      </c>
    </row>
    <row r="13">
      <c r="A13" t="inlineStr">
        <is>
          <t>Ending shares (m)</t>
        </is>
      </c>
      <c r="B13" s="4">
        <f>Assumptions!B9</f>
        <v/>
      </c>
      <c r="C13">
        <f>B13-C12</f>
        <v/>
      </c>
      <c r="D13">
        <f>C13-D12</f>
        <v/>
      </c>
      <c r="E13">
        <f>D13-E12</f>
        <v/>
      </c>
      <c r="F13">
        <f>E13-F12</f>
        <v/>
      </c>
      <c r="G13">
        <f>F13-G12</f>
        <v/>
      </c>
    </row>
    <row r="14">
      <c r="A14" t="inlineStr">
        <is>
          <t>Ending tangible book</t>
        </is>
      </c>
      <c r="B14" s="4">
        <f>Assumptions!B13</f>
        <v/>
      </c>
      <c r="C14">
        <f>C6+C7-C9-C10</f>
        <v/>
      </c>
      <c r="D14">
        <f>D6+D7-D9-D10</f>
        <v/>
      </c>
      <c r="E14">
        <f>E6+E7-E9-E10</f>
        <v/>
      </c>
      <c r="F14">
        <f>F6+F7-F9-F10</f>
        <v/>
      </c>
      <c r="G14">
        <f>G6+G7-G9-G10</f>
        <v/>
      </c>
    </row>
    <row r="15">
      <c r="A15" t="inlineStr">
        <is>
          <t>Tangible book per share</t>
        </is>
      </c>
      <c r="B15">
        <f>B14/B13</f>
        <v/>
      </c>
      <c r="C15">
        <f>C14/C13</f>
        <v/>
      </c>
      <c r="D15">
        <f>D14/D13</f>
        <v/>
      </c>
      <c r="E15">
        <f>E14/E13</f>
        <v/>
      </c>
      <c r="F15">
        <f>F14/F13</f>
        <v/>
      </c>
      <c r="G15">
        <f>G14/G13</f>
        <v/>
      </c>
    </row>
    <row r="16">
      <c r="A16" t="inlineStr">
        <is>
          <t>DPS</t>
        </is>
      </c>
      <c r="C16">
        <f>C9/C13</f>
        <v/>
      </c>
      <c r="D16">
        <f>D9/D13</f>
        <v/>
      </c>
      <c r="E16">
        <f>E9/E13</f>
        <v/>
      </c>
      <c r="F16">
        <f>F9/F13</f>
        <v/>
      </c>
      <c r="G16">
        <f>G9/G13</f>
        <v/>
      </c>
    </row>
    <row r="17">
      <c r="A17" t="inlineStr">
        <is>
          <t>EPS (memo)</t>
        </is>
      </c>
      <c r="C17">
        <f>C7/C13</f>
        <v/>
      </c>
      <c r="D17">
        <f>D7/D13</f>
        <v/>
      </c>
      <c r="E17">
        <f>E7/E13</f>
        <v/>
      </c>
      <c r="F17">
        <f>F7/F13</f>
        <v/>
      </c>
      <c r="G17">
        <f>G7/G13</f>
        <v/>
      </c>
    </row>
    <row r="18">
      <c r="A18" t="inlineStr">
        <is>
          <t>Discount factor</t>
        </is>
      </c>
      <c r="C18">
        <f>1/(1+$B$36/100)^C4</f>
        <v/>
      </c>
      <c r="D18">
        <f>1/(1+$B$36/100)^D4</f>
        <v/>
      </c>
      <c r="E18">
        <f>1/(1+$B$36/100)^E4</f>
        <v/>
      </c>
      <c r="F18">
        <f>1/(1+$B$36/100)^F4</f>
        <v/>
      </c>
      <c r="G18">
        <f>1/(1+$B$36/100)^G4</f>
        <v/>
      </c>
    </row>
    <row r="19">
      <c r="A19" t="inlineStr">
        <is>
          <t>PV of DPS</t>
        </is>
      </c>
      <c r="C19">
        <f>C16*C18</f>
        <v/>
      </c>
      <c r="D19">
        <f>D16*D18</f>
        <v/>
      </c>
      <c r="E19">
        <f>E16*E18</f>
        <v/>
      </c>
      <c r="F19">
        <f>F16*F18</f>
        <v/>
      </c>
      <c r="G19">
        <f>G16*G18</f>
        <v/>
      </c>
    </row>
    <row r="21">
      <c r="A21" t="inlineStr">
        <is>
          <t>Memo: residual income per share = (ROTE - CoE) x prior TBVPS</t>
        </is>
      </c>
      <c r="C21">
        <f>(C5-$B$36)/100*B15</f>
        <v/>
      </c>
      <c r="D21">
        <f>(D5-$B$36)/100*C15</f>
        <v/>
      </c>
      <c r="E21">
        <f>(E5-$B$36)/100*D15</f>
        <v/>
      </c>
      <c r="F21">
        <f>(F5-$B$36)/100*E15</f>
        <v/>
      </c>
      <c r="G21">
        <f>(G5-$B$36)/100*F15</f>
        <v/>
      </c>
    </row>
    <row r="22">
      <c r="A22" t="inlineStr">
        <is>
          <t>Memo: PV residual income per share</t>
        </is>
      </c>
      <c r="C22">
        <f>C21*C18</f>
        <v/>
      </c>
      <c r="D22">
        <f>D21*D18</f>
        <v/>
      </c>
      <c r="E22">
        <f>E21*E18</f>
        <v/>
      </c>
      <c r="F22">
        <f>F21*F18</f>
        <v/>
      </c>
      <c r="G22">
        <f>G21*G18</f>
        <v/>
      </c>
    </row>
    <row r="24">
      <c r="A24" t="inlineStr">
        <is>
          <t>Sum of PV of DPS (AUD)</t>
        </is>
      </c>
      <c r="B24">
        <f>SUM(C19:G19)</f>
        <v/>
      </c>
    </row>
    <row r="25">
      <c r="A25" t="inlineStr">
        <is>
          <t>Exit P/TBV multiple (link)</t>
        </is>
      </c>
      <c r="B25" s="4">
        <f>Assumptions!B22</f>
        <v/>
      </c>
    </row>
    <row r="26">
      <c r="A26" t="inlineStr">
        <is>
          <t>FY2031 TBVPS (AUD)</t>
        </is>
      </c>
      <c r="B26">
        <f>G15</f>
        <v/>
      </c>
    </row>
    <row r="27">
      <c r="A27" t="inlineStr">
        <is>
          <t>Exit value per share (AUD)</t>
        </is>
      </c>
      <c r="B27">
        <f>B25*B26</f>
        <v/>
      </c>
    </row>
    <row r="28">
      <c r="A28" t="inlineStr">
        <is>
          <t>PV of exit value (AUD)</t>
        </is>
      </c>
      <c r="B28">
        <f>B27*G18</f>
        <v/>
      </c>
    </row>
    <row r="29">
      <c r="A29" t="inlineStr">
        <is>
          <t>Intrinsic value per share AUD</t>
        </is>
      </c>
      <c r="B29" s="5">
        <f>B24+B28</f>
        <v/>
      </c>
    </row>
    <row r="30">
      <c r="A30" t="inlineStr">
        <is>
          <t>FX NZD per AUD (link)</t>
        </is>
      </c>
      <c r="B30" s="4">
        <f>Assumptions!B3</f>
        <v/>
      </c>
    </row>
    <row r="31">
      <c r="A31" t="inlineStr">
        <is>
          <t>Intrinsic value per share NZD</t>
        </is>
      </c>
      <c r="B31" s="5">
        <f>B29*B30</f>
        <v/>
      </c>
    </row>
    <row r="32">
      <c r="A32" t="inlineStr">
        <is>
          <t>Price NZD (link)</t>
        </is>
      </c>
      <c r="B32" s="4">
        <f>Assumptions!B2</f>
        <v/>
      </c>
    </row>
    <row r="33">
      <c r="A33" t="inlineStr">
        <is>
          <t>Upside vs price</t>
        </is>
      </c>
      <c r="B33" s="6">
        <f>B31/B32-1</f>
        <v/>
      </c>
    </row>
    <row r="34">
      <c r="A34" t="inlineStr">
        <is>
          <t>Implied P/TBV of IV (on Sep-26E TBVPS)</t>
        </is>
      </c>
      <c r="B34">
        <f>B29/B15</f>
        <v/>
      </c>
    </row>
    <row r="35">
      <c r="A35" t="inlineStr">
        <is>
          <t>Terminal share of value</t>
        </is>
      </c>
      <c r="B35" s="6">
        <f>B28/B29</f>
        <v/>
      </c>
    </row>
    <row r="36">
      <c r="A36" t="inlineStr">
        <is>
          <t>Cost of equity % (link)</t>
        </is>
      </c>
      <c r="B36" s="4">
        <f>Assumptions!B21</f>
        <v/>
      </c>
    </row>
    <row r="37">
      <c r="A37" t="inlineStr">
        <is>
          <t>Residual-income cross-check: TBVPS0 + PV RI + PV exit premium (AUD, approx. with buybacks)</t>
        </is>
      </c>
      <c r="B37">
        <f>B15+SUM(C22:G22)+(B25-1)*B26*G18</f>
        <v/>
      </c>
    </row>
    <row r="38">
      <c r="A38" t="inlineStr">
        <is>
          <t>Implied P/E of IV on FY2027 EPS</t>
        </is>
      </c>
      <c r="B38">
        <f>B29/C17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Base scenario -- residual income on tangible book (AUD m, per-share AUD)</t>
        </is>
      </c>
    </row>
    <row r="3">
      <c r="A3" t="inlineStr">
        <is>
          <t>Year</t>
        </is>
      </c>
      <c r="B3" s="1" t="inlineStr">
        <is>
          <t>FY2026E (Sep-26 stub)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A5" t="inlineStr">
        <is>
          <t>ROTE % (driver)</t>
        </is>
      </c>
      <c r="C5" s="3" t="n">
        <v>11.2</v>
      </c>
      <c r="D5" s="3" t="n">
        <v>11.4</v>
      </c>
      <c r="E5" s="3" t="n">
        <v>11.6</v>
      </c>
      <c r="F5" s="3" t="n">
        <v>11.8</v>
      </c>
      <c r="G5" s="3" t="n">
        <v>12</v>
      </c>
    </row>
    <row r="6">
      <c r="A6" t="inlineStr">
        <is>
          <t>Beginning tangible book</t>
        </is>
      </c>
      <c r="C6">
        <f>B14</f>
        <v/>
      </c>
      <c r="D6">
        <f>C14</f>
        <v/>
      </c>
      <c r="E6">
        <f>D14</f>
        <v/>
      </c>
      <c r="F6">
        <f>E14</f>
        <v/>
      </c>
      <c r="G6">
        <f>F14</f>
        <v/>
      </c>
    </row>
    <row r="7">
      <c r="A7" t="inlineStr">
        <is>
          <t>Net income = ROTE x beginning TBV</t>
        </is>
      </c>
      <c r="C7">
        <f>C5/100*C6</f>
        <v/>
      </c>
      <c r="D7">
        <f>D5/100*D6</f>
        <v/>
      </c>
      <c r="E7">
        <f>E5/100*E6</f>
        <v/>
      </c>
      <c r="F7">
        <f>F5/100*F6</f>
        <v/>
      </c>
      <c r="G7">
        <f>G5/100*G6</f>
        <v/>
      </c>
    </row>
    <row r="8">
      <c r="A8" t="inlineStr">
        <is>
          <t>Payout % (link)</t>
        </is>
      </c>
      <c r="C8" s="4">
        <f>Assumptions!C23</f>
        <v/>
      </c>
      <c r="D8" s="4">
        <f>Assumptions!C23</f>
        <v/>
      </c>
      <c r="E8" s="4">
        <f>Assumptions!C23</f>
        <v/>
      </c>
      <c r="F8" s="4">
        <f>Assumptions!C23</f>
        <v/>
      </c>
      <c r="G8" s="4">
        <f>Assumptions!C23</f>
        <v/>
      </c>
    </row>
    <row r="9">
      <c r="A9" t="inlineStr">
        <is>
          <t>Dividends</t>
        </is>
      </c>
      <c r="C9">
        <f>C7*C8/100</f>
        <v/>
      </c>
      <c r="D9">
        <f>D7*D8/100</f>
        <v/>
      </c>
      <c r="E9">
        <f>E7*E8/100</f>
        <v/>
      </c>
      <c r="F9">
        <f>F7*F8/100</f>
        <v/>
      </c>
      <c r="G9">
        <f>G7*G8/100</f>
        <v/>
      </c>
    </row>
    <row r="10">
      <c r="A10" t="inlineStr">
        <is>
          <t>Buyback AUD m (driver)</t>
        </is>
      </c>
      <c r="C10" s="3" t="n">
        <v>1000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t="inlineStr">
        <is>
          <t>Buyback price = P/TBV x prior TBVPS</t>
        </is>
      </c>
      <c r="C11">
        <f>Assumptions!$B$15*B15</f>
        <v/>
      </c>
      <c r="D11">
        <f>Assumptions!$B$15*C15</f>
        <v/>
      </c>
      <c r="E11">
        <f>Assumptions!$B$15*D15</f>
        <v/>
      </c>
      <c r="F11">
        <f>Assumptions!$B$15*E15</f>
        <v/>
      </c>
      <c r="G11">
        <f>Assumptions!$B$15*F15</f>
        <v/>
      </c>
    </row>
    <row r="12">
      <c r="A12" t="inlineStr">
        <is>
          <t>Shares repurchased (m)</t>
        </is>
      </c>
      <c r="C12">
        <f>C10/C11</f>
        <v/>
      </c>
      <c r="D12">
        <f>D10/D11</f>
        <v/>
      </c>
      <c r="E12">
        <f>E10/E11</f>
        <v/>
      </c>
      <c r="F12">
        <f>F10/F11</f>
        <v/>
      </c>
      <c r="G12">
        <f>G10/G11</f>
        <v/>
      </c>
    </row>
    <row r="13">
      <c r="A13" t="inlineStr">
        <is>
          <t>Ending shares (m)</t>
        </is>
      </c>
      <c r="B13" s="4">
        <f>Assumptions!B9</f>
        <v/>
      </c>
      <c r="C13">
        <f>B13-C12</f>
        <v/>
      </c>
      <c r="D13">
        <f>C13-D12</f>
        <v/>
      </c>
      <c r="E13">
        <f>D13-E12</f>
        <v/>
      </c>
      <c r="F13">
        <f>E13-F12</f>
        <v/>
      </c>
      <c r="G13">
        <f>F13-G12</f>
        <v/>
      </c>
    </row>
    <row r="14">
      <c r="A14" t="inlineStr">
        <is>
          <t>Ending tangible book</t>
        </is>
      </c>
      <c r="B14" s="4">
        <f>Assumptions!B13</f>
        <v/>
      </c>
      <c r="C14">
        <f>C6+C7-C9-C10</f>
        <v/>
      </c>
      <c r="D14">
        <f>D6+D7-D9-D10</f>
        <v/>
      </c>
      <c r="E14">
        <f>E6+E7-E9-E10</f>
        <v/>
      </c>
      <c r="F14">
        <f>F6+F7-F9-F10</f>
        <v/>
      </c>
      <c r="G14">
        <f>G6+G7-G9-G10</f>
        <v/>
      </c>
    </row>
    <row r="15">
      <c r="A15" t="inlineStr">
        <is>
          <t>Tangible book per share</t>
        </is>
      </c>
      <c r="B15">
        <f>B14/B13</f>
        <v/>
      </c>
      <c r="C15">
        <f>C14/C13</f>
        <v/>
      </c>
      <c r="D15">
        <f>D14/D13</f>
        <v/>
      </c>
      <c r="E15">
        <f>E14/E13</f>
        <v/>
      </c>
      <c r="F15">
        <f>F14/F13</f>
        <v/>
      </c>
      <c r="G15">
        <f>G14/G13</f>
        <v/>
      </c>
    </row>
    <row r="16">
      <c r="A16" t="inlineStr">
        <is>
          <t>DPS</t>
        </is>
      </c>
      <c r="C16">
        <f>C9/C13</f>
        <v/>
      </c>
      <c r="D16">
        <f>D9/D13</f>
        <v/>
      </c>
      <c r="E16">
        <f>E9/E13</f>
        <v/>
      </c>
      <c r="F16">
        <f>F9/F13</f>
        <v/>
      </c>
      <c r="G16">
        <f>G9/G13</f>
        <v/>
      </c>
    </row>
    <row r="17">
      <c r="A17" t="inlineStr">
        <is>
          <t>EPS (memo)</t>
        </is>
      </c>
      <c r="C17">
        <f>C7/C13</f>
        <v/>
      </c>
      <c r="D17">
        <f>D7/D13</f>
        <v/>
      </c>
      <c r="E17">
        <f>E7/E13</f>
        <v/>
      </c>
      <c r="F17">
        <f>F7/F13</f>
        <v/>
      </c>
      <c r="G17">
        <f>G7/G13</f>
        <v/>
      </c>
    </row>
    <row r="18">
      <c r="A18" t="inlineStr">
        <is>
          <t>Discount factor</t>
        </is>
      </c>
      <c r="C18">
        <f>1/(1+$B$36/100)^C4</f>
        <v/>
      </c>
      <c r="D18">
        <f>1/(1+$B$36/100)^D4</f>
        <v/>
      </c>
      <c r="E18">
        <f>1/(1+$B$36/100)^E4</f>
        <v/>
      </c>
      <c r="F18">
        <f>1/(1+$B$36/100)^F4</f>
        <v/>
      </c>
      <c r="G18">
        <f>1/(1+$B$36/100)^G4</f>
        <v/>
      </c>
    </row>
    <row r="19">
      <c r="A19" t="inlineStr">
        <is>
          <t>PV of DPS</t>
        </is>
      </c>
      <c r="C19">
        <f>C16*C18</f>
        <v/>
      </c>
      <c r="D19">
        <f>D16*D18</f>
        <v/>
      </c>
      <c r="E19">
        <f>E16*E18</f>
        <v/>
      </c>
      <c r="F19">
        <f>F16*F18</f>
        <v/>
      </c>
      <c r="G19">
        <f>G16*G18</f>
        <v/>
      </c>
    </row>
    <row r="21">
      <c r="A21" t="inlineStr">
        <is>
          <t>Memo: residual income per share = (ROTE - CoE) x prior TBVPS</t>
        </is>
      </c>
      <c r="C21">
        <f>(C5-$B$36)/100*B15</f>
        <v/>
      </c>
      <c r="D21">
        <f>(D5-$B$36)/100*C15</f>
        <v/>
      </c>
      <c r="E21">
        <f>(E5-$B$36)/100*D15</f>
        <v/>
      </c>
      <c r="F21">
        <f>(F5-$B$36)/100*E15</f>
        <v/>
      </c>
      <c r="G21">
        <f>(G5-$B$36)/100*F15</f>
        <v/>
      </c>
    </row>
    <row r="22">
      <c r="A22" t="inlineStr">
        <is>
          <t>Memo: PV residual income per share</t>
        </is>
      </c>
      <c r="C22">
        <f>C21*C18</f>
        <v/>
      </c>
      <c r="D22">
        <f>D21*D18</f>
        <v/>
      </c>
      <c r="E22">
        <f>E21*E18</f>
        <v/>
      </c>
      <c r="F22">
        <f>F21*F18</f>
        <v/>
      </c>
      <c r="G22">
        <f>G21*G18</f>
        <v/>
      </c>
    </row>
    <row r="24">
      <c r="A24" t="inlineStr">
        <is>
          <t>Sum of PV of DPS (AUD)</t>
        </is>
      </c>
      <c r="B24">
        <f>SUM(C19:G19)</f>
        <v/>
      </c>
    </row>
    <row r="25">
      <c r="A25" t="inlineStr">
        <is>
          <t>Exit P/TBV multiple (link)</t>
        </is>
      </c>
      <c r="B25" s="4">
        <f>Assumptions!C22</f>
        <v/>
      </c>
    </row>
    <row r="26">
      <c r="A26" t="inlineStr">
        <is>
          <t>FY2031 TBVPS (AUD)</t>
        </is>
      </c>
      <c r="B26">
        <f>G15</f>
        <v/>
      </c>
    </row>
    <row r="27">
      <c r="A27" t="inlineStr">
        <is>
          <t>Exit value per share (AUD)</t>
        </is>
      </c>
      <c r="B27">
        <f>B25*B26</f>
        <v/>
      </c>
    </row>
    <row r="28">
      <c r="A28" t="inlineStr">
        <is>
          <t>PV of exit value (AUD)</t>
        </is>
      </c>
      <c r="B28">
        <f>B27*G18</f>
        <v/>
      </c>
    </row>
    <row r="29">
      <c r="A29" t="inlineStr">
        <is>
          <t>Intrinsic value per share AUD</t>
        </is>
      </c>
      <c r="B29" s="5">
        <f>B24+B28</f>
        <v/>
      </c>
    </row>
    <row r="30">
      <c r="A30" t="inlineStr">
        <is>
          <t>FX NZD per AUD (link)</t>
        </is>
      </c>
      <c r="B30" s="4">
        <f>Assumptions!B3</f>
        <v/>
      </c>
    </row>
    <row r="31">
      <c r="A31" t="inlineStr">
        <is>
          <t>Intrinsic value per share NZD</t>
        </is>
      </c>
      <c r="B31" s="5">
        <f>B29*B30</f>
        <v/>
      </c>
    </row>
    <row r="32">
      <c r="A32" t="inlineStr">
        <is>
          <t>Price NZD (link)</t>
        </is>
      </c>
      <c r="B32" s="4">
        <f>Assumptions!B2</f>
        <v/>
      </c>
    </row>
    <row r="33">
      <c r="A33" t="inlineStr">
        <is>
          <t>Upside vs price</t>
        </is>
      </c>
      <c r="B33" s="6">
        <f>B31/B32-1</f>
        <v/>
      </c>
    </row>
    <row r="34">
      <c r="A34" t="inlineStr">
        <is>
          <t>Implied P/TBV of IV (on Sep-26E TBVPS)</t>
        </is>
      </c>
      <c r="B34">
        <f>B29/B15</f>
        <v/>
      </c>
    </row>
    <row r="35">
      <c r="A35" t="inlineStr">
        <is>
          <t>Terminal share of value</t>
        </is>
      </c>
      <c r="B35" s="6">
        <f>B28/B29</f>
        <v/>
      </c>
    </row>
    <row r="36">
      <c r="A36" t="inlineStr">
        <is>
          <t>Cost of equity % (link)</t>
        </is>
      </c>
      <c r="B36" s="4">
        <f>Assumptions!C21</f>
        <v/>
      </c>
    </row>
    <row r="37">
      <c r="A37" t="inlineStr">
        <is>
          <t>Residual-income cross-check: TBVPS0 + PV RI + PV exit premium (AUD, approx. with buybacks)</t>
        </is>
      </c>
      <c r="B37">
        <f>B15+SUM(C22:G22)+(B25-1)*B26*G18</f>
        <v/>
      </c>
    </row>
    <row r="38">
      <c r="A38" t="inlineStr">
        <is>
          <t>Implied P/E of IV on FY2027 EPS</t>
        </is>
      </c>
      <c r="B38">
        <f>B29/C17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Bull scenario -- residual income on tangible book (AUD m, per-share AUD)</t>
        </is>
      </c>
    </row>
    <row r="3">
      <c r="A3" t="inlineStr">
        <is>
          <t>Year</t>
        </is>
      </c>
      <c r="B3" s="1" t="inlineStr">
        <is>
          <t>FY2026E (Sep-26 stub)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A5" t="inlineStr">
        <is>
          <t>ROTE % (driver)</t>
        </is>
      </c>
      <c r="C5" s="3" t="n">
        <v>11.5</v>
      </c>
      <c r="D5" s="3" t="n">
        <v>12</v>
      </c>
      <c r="E5" s="3" t="n">
        <v>12.5</v>
      </c>
      <c r="F5" s="3" t="n">
        <v>13</v>
      </c>
      <c r="G5" s="3" t="n">
        <v>13.5</v>
      </c>
    </row>
    <row r="6">
      <c r="A6" t="inlineStr">
        <is>
          <t>Beginning tangible book</t>
        </is>
      </c>
      <c r="C6">
        <f>B14</f>
        <v/>
      </c>
      <c r="D6">
        <f>C14</f>
        <v/>
      </c>
      <c r="E6">
        <f>D14</f>
        <v/>
      </c>
      <c r="F6">
        <f>E14</f>
        <v/>
      </c>
      <c r="G6">
        <f>F14</f>
        <v/>
      </c>
    </row>
    <row r="7">
      <c r="A7" t="inlineStr">
        <is>
          <t>Net income = ROTE x beginning TBV</t>
        </is>
      </c>
      <c r="C7">
        <f>C5/100*C6</f>
        <v/>
      </c>
      <c r="D7">
        <f>D5/100*D6</f>
        <v/>
      </c>
      <c r="E7">
        <f>E5/100*E6</f>
        <v/>
      </c>
      <c r="F7">
        <f>F5/100*F6</f>
        <v/>
      </c>
      <c r="G7">
        <f>G5/100*G6</f>
        <v/>
      </c>
    </row>
    <row r="8">
      <c r="A8" t="inlineStr">
        <is>
          <t>Payout % (link)</t>
        </is>
      </c>
      <c r="C8" s="4">
        <f>Assumptions!D23</f>
        <v/>
      </c>
      <c r="D8" s="4">
        <f>Assumptions!D23</f>
        <v/>
      </c>
      <c r="E8" s="4">
        <f>Assumptions!D23</f>
        <v/>
      </c>
      <c r="F8" s="4">
        <f>Assumptions!D23</f>
        <v/>
      </c>
      <c r="G8" s="4">
        <f>Assumptions!D23</f>
        <v/>
      </c>
    </row>
    <row r="9">
      <c r="A9" t="inlineStr">
        <is>
          <t>Dividends</t>
        </is>
      </c>
      <c r="C9">
        <f>C7*C8/100</f>
        <v/>
      </c>
      <c r="D9">
        <f>D7*D8/100</f>
        <v/>
      </c>
      <c r="E9">
        <f>E7*E8/100</f>
        <v/>
      </c>
      <c r="F9">
        <f>F7*F8/100</f>
        <v/>
      </c>
      <c r="G9">
        <f>G7*G8/100</f>
        <v/>
      </c>
    </row>
    <row r="10">
      <c r="A10" t="inlineStr">
        <is>
          <t>Buyback AUD m (driver)</t>
        </is>
      </c>
      <c r="C10" s="3" t="n">
        <v>1000</v>
      </c>
      <c r="D10" s="3" t="n">
        <v>1000</v>
      </c>
      <c r="E10" s="3" t="n">
        <v>1500</v>
      </c>
      <c r="F10" s="3" t="n">
        <v>1500</v>
      </c>
      <c r="G10" s="3" t="n">
        <v>1500</v>
      </c>
    </row>
    <row r="11">
      <c r="A11" t="inlineStr">
        <is>
          <t>Buyback price = P/TBV x prior TBVPS</t>
        </is>
      </c>
      <c r="C11">
        <f>Assumptions!$B$15*B15</f>
        <v/>
      </c>
      <c r="D11">
        <f>Assumptions!$B$15*C15</f>
        <v/>
      </c>
      <c r="E11">
        <f>Assumptions!$B$15*D15</f>
        <v/>
      </c>
      <c r="F11">
        <f>Assumptions!$B$15*E15</f>
        <v/>
      </c>
      <c r="G11">
        <f>Assumptions!$B$15*F15</f>
        <v/>
      </c>
    </row>
    <row r="12">
      <c r="A12" t="inlineStr">
        <is>
          <t>Shares repurchased (m)</t>
        </is>
      </c>
      <c r="C12">
        <f>C10/C11</f>
        <v/>
      </c>
      <c r="D12">
        <f>D10/D11</f>
        <v/>
      </c>
      <c r="E12">
        <f>E10/E11</f>
        <v/>
      </c>
      <c r="F12">
        <f>F10/F11</f>
        <v/>
      </c>
      <c r="G12">
        <f>G10/G11</f>
        <v/>
      </c>
    </row>
    <row r="13">
      <c r="A13" t="inlineStr">
        <is>
          <t>Ending shares (m)</t>
        </is>
      </c>
      <c r="B13" s="4">
        <f>Assumptions!B9</f>
        <v/>
      </c>
      <c r="C13">
        <f>B13-C12</f>
        <v/>
      </c>
      <c r="D13">
        <f>C13-D12</f>
        <v/>
      </c>
      <c r="E13">
        <f>D13-E12</f>
        <v/>
      </c>
      <c r="F13">
        <f>E13-F12</f>
        <v/>
      </c>
      <c r="G13">
        <f>F13-G12</f>
        <v/>
      </c>
    </row>
    <row r="14">
      <c r="A14" t="inlineStr">
        <is>
          <t>Ending tangible book</t>
        </is>
      </c>
      <c r="B14" s="4">
        <f>Assumptions!B13</f>
        <v/>
      </c>
      <c r="C14">
        <f>C6+C7-C9-C10</f>
        <v/>
      </c>
      <c r="D14">
        <f>D6+D7-D9-D10</f>
        <v/>
      </c>
      <c r="E14">
        <f>E6+E7-E9-E10</f>
        <v/>
      </c>
      <c r="F14">
        <f>F6+F7-F9-F10</f>
        <v/>
      </c>
      <c r="G14">
        <f>G6+G7-G9-G10</f>
        <v/>
      </c>
    </row>
    <row r="15">
      <c r="A15" t="inlineStr">
        <is>
          <t>Tangible book per share</t>
        </is>
      </c>
      <c r="B15">
        <f>B14/B13</f>
        <v/>
      </c>
      <c r="C15">
        <f>C14/C13</f>
        <v/>
      </c>
      <c r="D15">
        <f>D14/D13</f>
        <v/>
      </c>
      <c r="E15">
        <f>E14/E13</f>
        <v/>
      </c>
      <c r="F15">
        <f>F14/F13</f>
        <v/>
      </c>
      <c r="G15">
        <f>G14/G13</f>
        <v/>
      </c>
    </row>
    <row r="16">
      <c r="A16" t="inlineStr">
        <is>
          <t>DPS</t>
        </is>
      </c>
      <c r="C16">
        <f>C9/C13</f>
        <v/>
      </c>
      <c r="D16">
        <f>D9/D13</f>
        <v/>
      </c>
      <c r="E16">
        <f>E9/E13</f>
        <v/>
      </c>
      <c r="F16">
        <f>F9/F13</f>
        <v/>
      </c>
      <c r="G16">
        <f>G9/G13</f>
        <v/>
      </c>
    </row>
    <row r="17">
      <c r="A17" t="inlineStr">
        <is>
          <t>EPS (memo)</t>
        </is>
      </c>
      <c r="C17">
        <f>C7/C13</f>
        <v/>
      </c>
      <c r="D17">
        <f>D7/D13</f>
        <v/>
      </c>
      <c r="E17">
        <f>E7/E13</f>
        <v/>
      </c>
      <c r="F17">
        <f>F7/F13</f>
        <v/>
      </c>
      <c r="G17">
        <f>G7/G13</f>
        <v/>
      </c>
    </row>
    <row r="18">
      <c r="A18" t="inlineStr">
        <is>
          <t>Discount factor</t>
        </is>
      </c>
      <c r="C18">
        <f>1/(1+$B$36/100)^C4</f>
        <v/>
      </c>
      <c r="D18">
        <f>1/(1+$B$36/100)^D4</f>
        <v/>
      </c>
      <c r="E18">
        <f>1/(1+$B$36/100)^E4</f>
        <v/>
      </c>
      <c r="F18">
        <f>1/(1+$B$36/100)^F4</f>
        <v/>
      </c>
      <c r="G18">
        <f>1/(1+$B$36/100)^G4</f>
        <v/>
      </c>
    </row>
    <row r="19">
      <c r="A19" t="inlineStr">
        <is>
          <t>PV of DPS</t>
        </is>
      </c>
      <c r="C19">
        <f>C16*C18</f>
        <v/>
      </c>
      <c r="D19">
        <f>D16*D18</f>
        <v/>
      </c>
      <c r="E19">
        <f>E16*E18</f>
        <v/>
      </c>
      <c r="F19">
        <f>F16*F18</f>
        <v/>
      </c>
      <c r="G19">
        <f>G16*G18</f>
        <v/>
      </c>
    </row>
    <row r="21">
      <c r="A21" t="inlineStr">
        <is>
          <t>Memo: residual income per share = (ROTE - CoE) x prior TBVPS</t>
        </is>
      </c>
      <c r="C21">
        <f>(C5-$B$36)/100*B15</f>
        <v/>
      </c>
      <c r="D21">
        <f>(D5-$B$36)/100*C15</f>
        <v/>
      </c>
      <c r="E21">
        <f>(E5-$B$36)/100*D15</f>
        <v/>
      </c>
      <c r="F21">
        <f>(F5-$B$36)/100*E15</f>
        <v/>
      </c>
      <c r="G21">
        <f>(G5-$B$36)/100*F15</f>
        <v/>
      </c>
    </row>
    <row r="22">
      <c r="A22" t="inlineStr">
        <is>
          <t>Memo: PV residual income per share</t>
        </is>
      </c>
      <c r="C22">
        <f>C21*C18</f>
        <v/>
      </c>
      <c r="D22">
        <f>D21*D18</f>
        <v/>
      </c>
      <c r="E22">
        <f>E21*E18</f>
        <v/>
      </c>
      <c r="F22">
        <f>F21*F18</f>
        <v/>
      </c>
      <c r="G22">
        <f>G21*G18</f>
        <v/>
      </c>
    </row>
    <row r="24">
      <c r="A24" t="inlineStr">
        <is>
          <t>Sum of PV of DPS (AUD)</t>
        </is>
      </c>
      <c r="B24">
        <f>SUM(C19:G19)</f>
        <v/>
      </c>
    </row>
    <row r="25">
      <c r="A25" t="inlineStr">
        <is>
          <t>Exit P/TBV multiple (link)</t>
        </is>
      </c>
      <c r="B25" s="4">
        <f>Assumptions!D22</f>
        <v/>
      </c>
    </row>
    <row r="26">
      <c r="A26" t="inlineStr">
        <is>
          <t>FY2031 TBVPS (AUD)</t>
        </is>
      </c>
      <c r="B26">
        <f>G15</f>
        <v/>
      </c>
    </row>
    <row r="27">
      <c r="A27" t="inlineStr">
        <is>
          <t>Exit value per share (AUD)</t>
        </is>
      </c>
      <c r="B27">
        <f>B25*B26</f>
        <v/>
      </c>
    </row>
    <row r="28">
      <c r="A28" t="inlineStr">
        <is>
          <t>PV of exit value (AUD)</t>
        </is>
      </c>
      <c r="B28">
        <f>B27*G18</f>
        <v/>
      </c>
    </row>
    <row r="29">
      <c r="A29" t="inlineStr">
        <is>
          <t>Intrinsic value per share AUD</t>
        </is>
      </c>
      <c r="B29" s="5">
        <f>B24+B28</f>
        <v/>
      </c>
    </row>
    <row r="30">
      <c r="A30" t="inlineStr">
        <is>
          <t>FX NZD per AUD (link)</t>
        </is>
      </c>
      <c r="B30" s="4">
        <f>Assumptions!B3</f>
        <v/>
      </c>
    </row>
    <row r="31">
      <c r="A31" t="inlineStr">
        <is>
          <t>Intrinsic value per share NZD</t>
        </is>
      </c>
      <c r="B31" s="5">
        <f>B29*B30</f>
        <v/>
      </c>
    </row>
    <row r="32">
      <c r="A32" t="inlineStr">
        <is>
          <t>Price NZD (link)</t>
        </is>
      </c>
      <c r="B32" s="4">
        <f>Assumptions!B2</f>
        <v/>
      </c>
    </row>
    <row r="33">
      <c r="A33" t="inlineStr">
        <is>
          <t>Upside vs price</t>
        </is>
      </c>
      <c r="B33" s="6">
        <f>B31/B32-1</f>
        <v/>
      </c>
    </row>
    <row r="34">
      <c r="A34" t="inlineStr">
        <is>
          <t>Implied P/TBV of IV (on Sep-26E TBVPS)</t>
        </is>
      </c>
      <c r="B34">
        <f>B29/B15</f>
        <v/>
      </c>
    </row>
    <row r="35">
      <c r="A35" t="inlineStr">
        <is>
          <t>Terminal share of value</t>
        </is>
      </c>
      <c r="B35" s="6">
        <f>B28/B29</f>
        <v/>
      </c>
    </row>
    <row r="36">
      <c r="A36" t="inlineStr">
        <is>
          <t>Cost of equity % (link)</t>
        </is>
      </c>
      <c r="B36" s="4">
        <f>Assumptions!D21</f>
        <v/>
      </c>
    </row>
    <row r="37">
      <c r="A37" t="inlineStr">
        <is>
          <t>Residual-income cross-check: TBVPS0 + PV RI + PV exit premium (AUD, approx. with buybacks)</t>
        </is>
      </c>
      <c r="B37">
        <f>B15+SUM(C22:G22)+(B25-1)*B26*G18</f>
        <v/>
      </c>
    </row>
    <row r="38">
      <c r="A38" t="inlineStr">
        <is>
          <t>Implied P/E of IV on FY2027 EPS</t>
        </is>
      </c>
      <c r="B38">
        <f>B29/C17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Valuation summary (NZD unless stated)</t>
        </is>
      </c>
    </row>
    <row r="2">
      <c r="A2" s="1" t="inlineStr">
        <is>
          <t>Scenario</t>
        </is>
      </c>
      <c r="B2" s="1" t="inlineStr">
        <is>
          <t>IV AUD</t>
        </is>
      </c>
      <c r="C2" s="1" t="inlineStr">
        <is>
          <t>IV NZD</t>
        </is>
      </c>
      <c r="D2" s="1" t="inlineStr">
        <is>
          <t>Upside</t>
        </is>
      </c>
      <c r="E2" s="1" t="inlineStr">
        <is>
          <t>Weight</t>
        </is>
      </c>
      <c r="F2" s="1" t="inlineStr">
        <is>
          <t>Entry price AUD @15%</t>
        </is>
      </c>
      <c r="G2" s="1" t="inlineStr">
        <is>
          <t>Entry price NZD @15%</t>
        </is>
      </c>
    </row>
    <row r="3">
      <c r="A3" t="inlineStr">
        <is>
          <t>Bear</t>
        </is>
      </c>
      <c r="B3" s="4">
        <f>DCF_Bear!B29</f>
        <v/>
      </c>
      <c r="C3" s="4">
        <f>DCF_Bear!B31</f>
        <v/>
      </c>
      <c r="D3" s="6">
        <f>C3/Assumptions!$B$2-1</f>
        <v/>
      </c>
      <c r="E3" s="4">
        <f>Assumptions!B24</f>
        <v/>
      </c>
      <c r="F3">
        <f>SUMPRODUCT(DCF_Bear!C16:G16/(1+Assumptions!$B$16)^DCF_Bear!C4:G4)+DCF_Bear!B27/(1+Assumptions!$B$16)^5</f>
        <v/>
      </c>
      <c r="G3">
        <f>F3*Assumptions!$B$3</f>
        <v/>
      </c>
    </row>
    <row r="4">
      <c r="A4" t="inlineStr">
        <is>
          <t>Base</t>
        </is>
      </c>
      <c r="B4" s="4">
        <f>DCF_Base!B29</f>
        <v/>
      </c>
      <c r="C4" s="4">
        <f>DCF_Base!B31</f>
        <v/>
      </c>
      <c r="D4" s="6">
        <f>C4/Assumptions!$B$2-1</f>
        <v/>
      </c>
      <c r="E4" s="4">
        <f>Assumptions!C24</f>
        <v/>
      </c>
      <c r="F4">
        <f>SUMPRODUCT(DCF_Base!C16:G16/(1+Assumptions!$B$16)^DCF_Base!C4:G4)+DCF_Base!B27/(1+Assumptions!$B$16)^5</f>
        <v/>
      </c>
      <c r="G4">
        <f>F4*Assumptions!$B$3</f>
        <v/>
      </c>
    </row>
    <row r="5">
      <c r="A5" t="inlineStr">
        <is>
          <t>Bull</t>
        </is>
      </c>
      <c r="B5" s="4">
        <f>DCF_Bull!B29</f>
        <v/>
      </c>
      <c r="C5" s="4">
        <f>DCF_Bull!B31</f>
        <v/>
      </c>
      <c r="D5" s="6">
        <f>C5/Assumptions!$B$2-1</f>
        <v/>
      </c>
      <c r="E5" s="4">
        <f>Assumptions!D24</f>
        <v/>
      </c>
      <c r="F5">
        <f>SUMPRODUCT(DCF_Bull!C16:G16/(1+Assumptions!$B$16)^DCF_Bull!C4:G4)+DCF_Bull!B27/(1+Assumptions!$B$16)^5</f>
        <v/>
      </c>
      <c r="G5">
        <f>F5*Assumptions!$B$3</f>
        <v/>
      </c>
    </row>
    <row r="6">
      <c r="A6" s="1" t="inlineStr">
        <is>
          <t>Probability-weighted IV</t>
        </is>
      </c>
      <c r="B6">
        <f>SUMPRODUCT(B3:B5,E3:E5)</f>
        <v/>
      </c>
      <c r="C6" s="7">
        <f>SUMPRODUCT(C3:C5,E3:E5)</f>
        <v/>
      </c>
      <c r="D6" s="6">
        <f>C6/Assumptions!B2-1</f>
        <v/>
      </c>
      <c r="F6">
        <f>SUMPRODUCT(F3:F5,E3:E5)</f>
        <v/>
      </c>
      <c r="G6" s="7">
        <f>SUMPRODUCT(G3:G5,E3:E5)</f>
        <v/>
      </c>
    </row>
    <row r="7">
      <c r="A7" t="inlineStr">
        <is>
          <t>Margin of safety vs weighted IV</t>
        </is>
      </c>
      <c r="B7" s="6">
        <f>1-Assumptions!B2/C6</f>
        <v/>
      </c>
    </row>
    <row r="8">
      <c r="A8" t="inlineStr">
        <is>
          <t>Band position (house = street; SBC immaterial)</t>
        </is>
      </c>
      <c r="B8" t="inlineStr">
        <is>
          <t>n/a -- band collapsed</t>
        </is>
      </c>
    </row>
    <row r="10">
      <c r="A10" s="1" t="inlineStr">
        <is>
          <t>Required-return table (base case)</t>
        </is>
      </c>
    </row>
    <row r="11">
      <c r="A11" s="1" t="inlineStr">
        <is>
          <t>Return %</t>
        </is>
      </c>
      <c r="B11" s="1" t="inlineStr">
        <is>
          <t>Value AUD</t>
        </is>
      </c>
      <c r="C11" s="1" t="inlineStr">
        <is>
          <t>Value NZD</t>
        </is>
      </c>
    </row>
    <row r="12">
      <c r="A12" s="2" t="n">
        <v>8</v>
      </c>
      <c r="B12">
        <f>SUMPRODUCT(DCF_Base!$C$16:$G$16/(1+A12/100)^DCF_Base!$C$4:$G$4)+DCF_Base!$B$27/(1+A12/100)^5</f>
        <v/>
      </c>
      <c r="C12">
        <f>B12*Assumptions!$B$3</f>
        <v/>
      </c>
    </row>
    <row r="13">
      <c r="A13" s="2" t="n">
        <v>9</v>
      </c>
      <c r="B13">
        <f>SUMPRODUCT(DCF_Base!$C$16:$G$16/(1+A13/100)^DCF_Base!$C$4:$G$4)+DCF_Base!$B$27/(1+A13/100)^5</f>
        <v/>
      </c>
      <c r="C13">
        <f>B13*Assumptions!$B$3</f>
        <v/>
      </c>
    </row>
    <row r="14">
      <c r="A14" s="2" t="n">
        <v>9.5</v>
      </c>
      <c r="B14">
        <f>SUMPRODUCT(DCF_Base!$C$16:$G$16/(1+A14/100)^DCF_Base!$C$4:$G$4)+DCF_Base!$B$27/(1+A14/100)^5</f>
        <v/>
      </c>
      <c r="C14">
        <f>B14*Assumptions!$B$3</f>
        <v/>
      </c>
    </row>
    <row r="15">
      <c r="A15" s="2" t="n">
        <v>10</v>
      </c>
      <c r="B15">
        <f>SUMPRODUCT(DCF_Base!$C$16:$G$16/(1+A15/100)^DCF_Base!$C$4:$G$4)+DCF_Base!$B$27/(1+A15/100)^5</f>
        <v/>
      </c>
      <c r="C15">
        <f>B15*Assumptions!$B$3</f>
        <v/>
      </c>
    </row>
    <row r="16">
      <c r="A16" s="2" t="n">
        <v>11</v>
      </c>
      <c r="B16">
        <f>SUMPRODUCT(DCF_Base!$C$16:$G$16/(1+A16/100)^DCF_Base!$C$4:$G$4)+DCF_Base!$B$27/(1+A16/100)^5</f>
        <v/>
      </c>
      <c r="C16">
        <f>B16*Assumptions!$B$3</f>
        <v/>
      </c>
    </row>
    <row r="17">
      <c r="A17" s="2" t="n">
        <v>12</v>
      </c>
      <c r="B17">
        <f>SUMPRODUCT(DCF_Base!$C$16:$G$16/(1+A17/100)^DCF_Base!$C$4:$G$4)+DCF_Base!$B$27/(1+A17/100)^5</f>
        <v/>
      </c>
      <c r="C17">
        <f>B17*Assumptions!$B$3</f>
        <v/>
      </c>
    </row>
    <row r="18">
      <c r="A18" s="2" t="n">
        <v>15</v>
      </c>
      <c r="B18">
        <f>SUMPRODUCT(DCF_Base!$C$16:$G$16/(1+A18/100)^DCF_Base!$C$4:$G$4)+DCF_Base!$B$27/(1+A18/100)^5</f>
        <v/>
      </c>
      <c r="C18">
        <f>B18*Assumptions!$B$3</f>
        <v/>
      </c>
    </row>
    <row r="21">
      <c r="A21" s="1" t="inlineStr">
        <is>
          <t>Sensitivity (base case): rows = cost of equity %, columns = exit P/TBV; values NZD</t>
        </is>
      </c>
    </row>
    <row r="22">
      <c r="B22" s="2" t="n">
        <v>1.2</v>
      </c>
      <c r="C22" s="2" t="n">
        <v>1.35</v>
      </c>
      <c r="D22" s="2" t="n">
        <v>1.5</v>
      </c>
      <c r="E22" s="2" t="n">
        <v>1.7</v>
      </c>
      <c r="F22" s="2" t="n">
        <v>1.9</v>
      </c>
    </row>
    <row r="23">
      <c r="A23" s="2" t="n">
        <v>8.5</v>
      </c>
      <c r="B23">
        <f>(SUMPRODUCT(DCF_Base!$C$16:$G$16/(1+$A23/100)^DCF_Base!$C$4:$G$4)+B$22*DCF_Base!$G$15/(1+$A23/100)^5)*Assumptions!$B$3</f>
        <v/>
      </c>
      <c r="C23">
        <f>(SUMPRODUCT(DCF_Base!$C$16:$G$16/(1+$A23/100)^DCF_Base!$C$4:$G$4)+C$22*DCF_Base!$G$15/(1+$A23/100)^5)*Assumptions!$B$3</f>
        <v/>
      </c>
      <c r="D23">
        <f>(SUMPRODUCT(DCF_Base!$C$16:$G$16/(1+$A23/100)^DCF_Base!$C$4:$G$4)+D$22*DCF_Base!$G$15/(1+$A23/100)^5)*Assumptions!$B$3</f>
        <v/>
      </c>
      <c r="E23">
        <f>(SUMPRODUCT(DCF_Base!$C$16:$G$16/(1+$A23/100)^DCF_Base!$C$4:$G$4)+E$22*DCF_Base!$G$15/(1+$A23/100)^5)*Assumptions!$B$3</f>
        <v/>
      </c>
      <c r="F23">
        <f>(SUMPRODUCT(DCF_Base!$C$16:$G$16/(1+$A23/100)^DCF_Base!$C$4:$G$4)+F$22*DCF_Base!$G$15/(1+$A23/100)^5)*Assumptions!$B$3</f>
        <v/>
      </c>
    </row>
    <row r="24">
      <c r="A24" s="2" t="n">
        <v>9</v>
      </c>
      <c r="B24">
        <f>(SUMPRODUCT(DCF_Base!$C$16:$G$16/(1+$A24/100)^DCF_Base!$C$4:$G$4)+B$22*DCF_Base!$G$15/(1+$A24/100)^5)*Assumptions!$B$3</f>
        <v/>
      </c>
      <c r="C24">
        <f>(SUMPRODUCT(DCF_Base!$C$16:$G$16/(1+$A24/100)^DCF_Base!$C$4:$G$4)+C$22*DCF_Base!$G$15/(1+$A24/100)^5)*Assumptions!$B$3</f>
        <v/>
      </c>
      <c r="D24">
        <f>(SUMPRODUCT(DCF_Base!$C$16:$G$16/(1+$A24/100)^DCF_Base!$C$4:$G$4)+D$22*DCF_Base!$G$15/(1+$A24/100)^5)*Assumptions!$B$3</f>
        <v/>
      </c>
      <c r="E24">
        <f>(SUMPRODUCT(DCF_Base!$C$16:$G$16/(1+$A24/100)^DCF_Base!$C$4:$G$4)+E$22*DCF_Base!$G$15/(1+$A24/100)^5)*Assumptions!$B$3</f>
        <v/>
      </c>
      <c r="F24">
        <f>(SUMPRODUCT(DCF_Base!$C$16:$G$16/(1+$A24/100)^DCF_Base!$C$4:$G$4)+F$22*DCF_Base!$G$15/(1+$A24/100)^5)*Assumptions!$B$3</f>
        <v/>
      </c>
    </row>
    <row r="25">
      <c r="A25" s="2" t="n">
        <v>9.5</v>
      </c>
      <c r="B25">
        <f>(SUMPRODUCT(DCF_Base!$C$16:$G$16/(1+$A25/100)^DCF_Base!$C$4:$G$4)+B$22*DCF_Base!$G$15/(1+$A25/100)^5)*Assumptions!$B$3</f>
        <v/>
      </c>
      <c r="C25">
        <f>(SUMPRODUCT(DCF_Base!$C$16:$G$16/(1+$A25/100)^DCF_Base!$C$4:$G$4)+C$22*DCF_Base!$G$15/(1+$A25/100)^5)*Assumptions!$B$3</f>
        <v/>
      </c>
      <c r="D25" s="7">
        <f>(SUMPRODUCT(DCF_Base!$C$16:$G$16/(1+$A25/100)^DCF_Base!$C$4:$G$4)+D$22*DCF_Base!$G$15/(1+$A25/100)^5)*Assumptions!$B$3</f>
        <v/>
      </c>
      <c r="E25">
        <f>(SUMPRODUCT(DCF_Base!$C$16:$G$16/(1+$A25/100)^DCF_Base!$C$4:$G$4)+E$22*DCF_Base!$G$15/(1+$A25/100)^5)*Assumptions!$B$3</f>
        <v/>
      </c>
      <c r="F25">
        <f>(SUMPRODUCT(DCF_Base!$C$16:$G$16/(1+$A25/100)^DCF_Base!$C$4:$G$4)+F$22*DCF_Base!$G$15/(1+$A25/100)^5)*Assumptions!$B$3</f>
        <v/>
      </c>
    </row>
    <row r="26">
      <c r="A26" s="2" t="n">
        <v>10</v>
      </c>
      <c r="B26">
        <f>(SUMPRODUCT(DCF_Base!$C$16:$G$16/(1+$A26/100)^DCF_Base!$C$4:$G$4)+B$22*DCF_Base!$G$15/(1+$A26/100)^5)*Assumptions!$B$3</f>
        <v/>
      </c>
      <c r="C26">
        <f>(SUMPRODUCT(DCF_Base!$C$16:$G$16/(1+$A26/100)^DCF_Base!$C$4:$G$4)+C$22*DCF_Base!$G$15/(1+$A26/100)^5)*Assumptions!$B$3</f>
        <v/>
      </c>
      <c r="D26">
        <f>(SUMPRODUCT(DCF_Base!$C$16:$G$16/(1+$A26/100)^DCF_Base!$C$4:$G$4)+D$22*DCF_Base!$G$15/(1+$A26/100)^5)*Assumptions!$B$3</f>
        <v/>
      </c>
      <c r="E26">
        <f>(SUMPRODUCT(DCF_Base!$C$16:$G$16/(1+$A26/100)^DCF_Base!$C$4:$G$4)+E$22*DCF_Base!$G$15/(1+$A26/100)^5)*Assumptions!$B$3</f>
        <v/>
      </c>
      <c r="F26">
        <f>(SUMPRODUCT(DCF_Base!$C$16:$G$16/(1+$A26/100)^DCF_Base!$C$4:$G$4)+F$22*DCF_Base!$G$15/(1+$A26/100)^5)*Assumptions!$B$3</f>
        <v/>
      </c>
    </row>
    <row r="27">
      <c r="A27" s="2" t="n">
        <v>11</v>
      </c>
      <c r="B27">
        <f>(SUMPRODUCT(DCF_Base!$C$16:$G$16/(1+$A27/100)^DCF_Base!$C$4:$G$4)+B$22*DCF_Base!$G$15/(1+$A27/100)^5)*Assumptions!$B$3</f>
        <v/>
      </c>
      <c r="C27">
        <f>(SUMPRODUCT(DCF_Base!$C$16:$G$16/(1+$A27/100)^DCF_Base!$C$4:$G$4)+C$22*DCF_Base!$G$15/(1+$A27/100)^5)*Assumptions!$B$3</f>
        <v/>
      </c>
      <c r="D27">
        <f>(SUMPRODUCT(DCF_Base!$C$16:$G$16/(1+$A27/100)^DCF_Base!$C$4:$G$4)+D$22*DCF_Base!$G$15/(1+$A27/100)^5)*Assumptions!$B$3</f>
        <v/>
      </c>
      <c r="E27">
        <f>(SUMPRODUCT(DCF_Base!$C$16:$G$16/(1+$A27/100)^DCF_Base!$C$4:$G$4)+E$22*DCF_Base!$G$15/(1+$A27/100)^5)*Assumptions!$B$3</f>
        <v/>
      </c>
      <c r="F27">
        <f>(SUMPRODUCT(DCF_Base!$C$16:$G$16/(1+$A27/100)^DCF_Base!$C$4:$G$4)+F$22*DCF_Base!$G$15/(1+$A27/100)^5)*Assumptions!$B$3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2026-09-20T09:28:24Z</dcterms:created>
  <dcterms:modified xsi:type="dcterms:W3CDTF">2026-09-20T09:28:24Z</dcterms:modified>
</cp:coreProperties>
</file>