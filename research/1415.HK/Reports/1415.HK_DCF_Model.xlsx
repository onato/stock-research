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<sst xmlns="http://schemas.openxmlformats.org/spreadsheetml/2006/main" count="358" uniqueCount="166">
  <si>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</si>
  <si>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1415.HK</t>
  </si>
  <si>
    <t xml:space="preserve">Company</t>
  </si>
  <si>
    <t xml:space="preserve">Cowell e Holdings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</si>
  <si>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</si>
  <si>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</si>
  <si>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</si>
  <si>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</si>
  <si>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(Friday); 52-week range 19.90-35.04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</si>
  <si>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</si>
  <si>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</si>
  <si>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</si>
  <si>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</si>
  <si>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</si>
  <si>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</si>
  <si>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</si>
  <si>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</si>
  <si>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</si>
  <si>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</si>
  <si>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</si>
  <si>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</si>
  <si>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</si>
  <si>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2026-10-16T12:09:22Z</t>
  </si>
  <si>
    <t xml:space="preserve">Drivers file</t>
  </si>
  <si>
    <t xml:space="preserve">1415.HK_Drivers.json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</si>
  <si>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</si>
  <si>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</si>
  <si>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</si>
  <si>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Cowell as a thin-margin, single-customer EMS component supplier on a mid-cycle owner-FCF margin built from components, not on the FY2025 cash flow, which sits on a trough capex year and a working-capital release and is roughly six times the FY2023-25 average. The step-change in revenue from Apple rear-camera share gains is treated as real and largely retained (base), but the customer, jurisdiction and governance concentration are charged in the flows through a 30% bear weight and a 12x terminal cap, not through a padded discount rate. Net cash of US$294m (after the July dividend and NCI, ~US$250m or HK$2.2/share) is the one hard asset in the valuation.
key_risks_to_valuation: Loss of share or in-sourcing at the single anchor customer: revenue is order-driven with no diversification buffer, and the bear case assumes a 25% peak-to-trough revenue decline that history (FY2017-18: -28%) shows is realistic; The mid-cycle capex assumption: capex ran 8-10% of revenue in FY2022-24 and 2-3% in FY2025-H1 FY2026; if the next product qualification needs another FY2024-scale build, owner FCF margin drops below 2% for that year; US-China tariff and technology-control escalation against a Dongguan-based supplier to a US brand, flagged explicitly by the Chairman; Related-party supply, labour-services and machinery agreements with the Luxshare/Luxvisions controller: pricing is not demonstrably arm's-length, and a 70% controller limits minority recourse; Margin squeeze from memory/storage component inflation or customer price-downs on a 10% gross margin with no FX hedging of RMB/KRW costs; HNTE 15% tax status renewal and PRC dividend withholding tax on repatriation of the Dongguan cash</t>
  </si>
  <si>
    <t xml:space="preserve">Data sources</t>
  </si>
  <si>
    <t xml:space="preserve">price: Yahoo Finance chart API at inputs.price_as_of (HKEX regular close); 52-week range 19.90-35.04; USD/HKD from Yahoo HKD=X the same day
financials: 1415.HK_Metrics.csv (core_metrics, USD millions) FY2017-FY2025 annuals and H1 FY2023-FY2026 interims; balance-sheet anchors from the H1 FY2026 interim report (30 June 2026); SBC, lease, tax and NCI lines from the FY2025 annual report with file:line pointers in inputs
qualitative: 1415.HK_Analysis.json (2026-10-17): customer concentration, Luxshare control, growth drivers, H1 FY2026 profit pre-announcement, bull/bear axes</t>
  </si>
  <si>
    <t xml:space="preserve">Scenario narrative: bear</t>
  </si>
  <si>
    <t xml:space="preserve">The concentration risk crystallises: Apple re-sources or in-sources part of the rear-module programme, or tariff/technology-control escalation against a Dongguan-based supplier to a US brand forces a share loss. Revenue +8% in FY2026 (H1 already banked) then -15% and -12% across FY2027-28 before stabilising at ~2% growth, i.e. revenue settles ~US$2.8bn, still three times FY2023. Pre-SBC EBITDA margin compresses to 7% on under-absorbed capacity and customer price pressure with no hedge against RMB/KRW costs; capex falls to maintenance 2.5%; terminal cap 10x. Related-party supply and labour agreements with Luxshare leave minorities with limited control over how the downturn is shared.</t>
  </si>
  <si>
    <t xml:space="preserve">Scenario narrative: base</t>
  </si>
  <si>
    <t xml:space="preserve">Cowell keeps its rear/flip-chip camera-module allocation at its single anchor customer (Apple, via the Luxshare/Luxvisions ecosystem that controls ~70% of the company) through the current flagship cycle: FY2026 revenue +14% on H1's +18%, a +5% FY2027, then a flat FY2028 as one product cycle pauses, and ~2-3%/yr content-driven growth after that. Pre-SBC EBITDA margin holds at ~9% as gross-margin erosion from the volume-module mix is offset by scale and AI-driven manufacturing efficiency; capex settles at 3-3.5% of revenue after the FY2024 capacity build; cash tax ramps from the 15% HNTE rate to 18% with withholding and Pillar Two. Owner-FCF margin matures at ~4.5%, terminal value capped at 12x for a cyclical single-customer supplier. No credit for the AR/VR, smart-glasses, robotics or automotive optionality.</t>
  </si>
  <si>
    <t xml:space="preserve">Scenario narrative: bull</t>
  </si>
  <si>
    <t xml:space="preserve">The January 2026 reshuffle of Apple's rear-camera supply chain hands Cowell further main-camera share, Pro/Pro Max optical content keeps rising (periscope, larger sensors, computational photography modules), and at least one adjacent market (AI smart glasses or automotive/robotics vision) becomes a second revenue leg: growth of 18%/12%/8%/8% through FY2029 before fading to 3%. Mix and operating leverage lift pre-SBC EBITDA to 10.5% (still below the FY2021-22 11-12% level), capex runs at 4% while capacity is added, and the terminal cap is 14x in recognition of a partly diversified customer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</si>
  <si>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</si>
  <si>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</si>
  <si>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</si>
  <si>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</si>
  <si>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</si>
  <si>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</si>
  <si>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</si>
  <si>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</si>
  <si>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</si>
  <si>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</si>
  <si>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</si>
  <si>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</si>
  <si>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</si>
  <si>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</si>
  <si>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</si>
  <si>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</si>
  <si>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</si>
  <si>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</si>
  <si>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</si>
  <si>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</si>
  <si>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</si>
  <si>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</si>
  <si>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</si>
  <si>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</si>
  <si>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</si>
  <si>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</si>
  <si>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</si>
  <si>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NonControllingInterestProfit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</si>
  <si>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</si>
  <si>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</si>
  <si>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</si>
  <si>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</si>
  <si>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</si>
  <si>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</si>
  <si>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</si>
  <si>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</si>
  <si>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</si>
  <si>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</si>
  <si>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</si>
  <si>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</si>
  <si>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</si>
  <si>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</si>
  <si>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</si>
  <si>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</si>
  <si>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</si>
  <si>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</si>
  <si>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</si>
  <si>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</si>
  <si>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</si>
  <si>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</si>
  <si>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</si>
  <si>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</si>
  <si>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</si>
  <si>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</si>
  <si>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</si>
  <si>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</si>
  <si>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</si>
  <si>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</si>
  <si>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</si>
  <si>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</si>
  <si>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</si>
  <si>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</si>
  <si>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</si>
  <si>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</si>
  <si>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</si>
  <si>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</si>
  <si>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</si>
  <si>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</si>
  <si>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</si>
  <si>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</si>
  <si>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</si>
  <si>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</si>
  <si>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</si>
  <si>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</si>
  <si>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1415.HK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</si>
  <si>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</si>
  <si>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</si>
  <si>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</si>
  <si>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</si>
  <si>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</si>
  <si>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</si>
  <si>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</si>
  <si>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</si>
  <si>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</si>
  <si>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</si>
  <si>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</si>
  <si>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</si>
  <si>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</si>
  <si>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</si>
  <si>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</si>
  <si>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</si>
  <si>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</si>
  <si>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</si>
  <si>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</si>
  <si>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</si>
  <si>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</si>
  <si>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</si>
  <si>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</si>
  <si>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</si>
  <si>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</si>
  <si>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</si>
  <si>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</si>
  <si>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</si>
  <si>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</si>
  <si>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</si>
  <si>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1415.HK owner-FCF component DCF: base case (millions, USD)</t>
  </si>
  <si>
    <t xml:space="preserve">1415.HK owner-FCF component DCF: bull case (millions, USD)</t>
  </si>
  <si>
    <t xml:space="preserve">1415.HK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</si>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</sst>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740.734</v>
      </c>
      <c r="C2" s="0" t="n">
        <v>-666.507</v>
      </c>
      <c r="D2" s="0" t="n">
        <v>74.227</v>
      </c>
      <c r="E2" s="0" t="n">
        <v>10</v>
      </c>
      <c r="F2" s="0" t="n">
        <v>31.113</v>
      </c>
      <c r="G2" s="0" t="n">
        <v>4.2</v>
      </c>
      <c r="H2" s="0" t="n">
        <v>53.862</v>
      </c>
      <c r="I2" s="0" t="n">
        <v>27.619</v>
      </c>
      <c r="J2" s="0" t="n">
        <v>3.7</v>
      </c>
      <c r="K2" s="0" t="n">
        <v>0.033</v>
      </c>
      <c r="L2" s="0" t="n">
        <v>61.33</v>
      </c>
      <c r="M2" s="0" t="n">
        <v>18.874</v>
      </c>
      <c r="N2" s="0" t="n">
        <v>42.456</v>
      </c>
      <c r="O2" s="0" t="n">
        <v>323.913</v>
      </c>
      <c r="P2" s="0" t="n">
        <v>504.1</v>
      </c>
      <c r="Q2" s="0" t="n">
        <v>170.6</v>
      </c>
      <c r="R2" s="0" t="n">
        <v>47.114</v>
      </c>
      <c r="S2" s="0" t="n">
        <v>93.937</v>
      </c>
      <c r="U2" s="0" t="n">
        <v>0.317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535.862</v>
      </c>
      <c r="C3" s="0" t="n">
        <v>-483.567</v>
      </c>
      <c r="D3" s="0" t="n">
        <v>52.295</v>
      </c>
      <c r="E3" s="0" t="n">
        <v>9.8</v>
      </c>
      <c r="F3" s="0" t="n">
        <v>14.327</v>
      </c>
      <c r="G3" s="0" t="n">
        <v>2.7</v>
      </c>
      <c r="H3" s="0" t="n">
        <v>38.551</v>
      </c>
      <c r="I3" s="0" t="n">
        <v>13.906</v>
      </c>
      <c r="J3" s="0" t="n">
        <v>2.6</v>
      </c>
      <c r="K3" s="0" t="n">
        <v>0.017</v>
      </c>
      <c r="L3" s="0" t="n">
        <v>85.237</v>
      </c>
      <c r="M3" s="0" t="n">
        <v>16.473</v>
      </c>
      <c r="N3" s="0" t="n">
        <v>68.764</v>
      </c>
      <c r="O3" s="0" t="n">
        <v>326.314</v>
      </c>
      <c r="P3" s="0" t="n">
        <v>384.4</v>
      </c>
      <c r="Q3" s="0" t="n">
        <v>58.1</v>
      </c>
      <c r="R3" s="0" t="n">
        <v>0</v>
      </c>
      <c r="S3" s="0" t="n">
        <v>112.304</v>
      </c>
      <c r="T3" s="0" t="n">
        <v>831.519</v>
      </c>
      <c r="U3" s="0" t="n">
        <v>0.014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542.614</v>
      </c>
      <c r="C4" s="0" t="n">
        <v>-465.517</v>
      </c>
      <c r="D4" s="0" t="n">
        <v>77.097</v>
      </c>
      <c r="E4" s="0" t="n">
        <v>14.2</v>
      </c>
      <c r="F4" s="0" t="n">
        <v>31.371</v>
      </c>
      <c r="G4" s="0" t="n">
        <v>5.8</v>
      </c>
      <c r="H4" s="0" t="n">
        <v>56.681</v>
      </c>
      <c r="I4" s="0" t="n">
        <v>29.28</v>
      </c>
      <c r="J4" s="0" t="n">
        <v>5.4</v>
      </c>
      <c r="K4" s="0" t="n">
        <v>0.035</v>
      </c>
      <c r="L4" s="0" t="n">
        <v>50.036</v>
      </c>
      <c r="M4" s="0" t="n">
        <v>17.917</v>
      </c>
      <c r="N4" s="0" t="n">
        <v>32.119</v>
      </c>
      <c r="O4" s="0" t="n">
        <v>335.968</v>
      </c>
      <c r="P4" s="0" t="n">
        <v>460.9</v>
      </c>
      <c r="Q4" s="0" t="n">
        <v>124.9</v>
      </c>
      <c r="R4" s="0" t="n">
        <v>0</v>
      </c>
      <c r="S4" s="0" t="n">
        <v>119.571</v>
      </c>
      <c r="T4" s="0" t="n">
        <v>831.519</v>
      </c>
      <c r="U4" s="0" t="n">
        <v>0.198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750.203</v>
      </c>
      <c r="C5" s="0" t="n">
        <v>-631.752</v>
      </c>
      <c r="D5" s="0" t="n">
        <v>118.451</v>
      </c>
      <c r="E5" s="0" t="n">
        <v>15.8</v>
      </c>
      <c r="F5" s="0" t="n">
        <v>53.377</v>
      </c>
      <c r="G5" s="0" t="n">
        <v>7.1</v>
      </c>
      <c r="H5" s="0" t="n">
        <v>80.26</v>
      </c>
      <c r="I5" s="0" t="n">
        <v>42.42</v>
      </c>
      <c r="J5" s="0" t="n">
        <v>5.7</v>
      </c>
      <c r="K5" s="0" t="n">
        <v>0.051</v>
      </c>
      <c r="L5" s="0" t="n">
        <v>101.15</v>
      </c>
      <c r="M5" s="0" t="n">
        <v>19.829</v>
      </c>
      <c r="N5" s="0" t="n">
        <v>81.321</v>
      </c>
      <c r="O5" s="0" t="n">
        <v>250.112</v>
      </c>
      <c r="P5" s="0" t="n">
        <v>381.7</v>
      </c>
      <c r="Q5" s="0" t="n">
        <v>131.5</v>
      </c>
      <c r="R5" s="0" t="n">
        <v>0</v>
      </c>
      <c r="S5" s="0" t="n">
        <v>84.603</v>
      </c>
      <c r="T5" s="0" t="n">
        <v>832.845</v>
      </c>
      <c r="U5" s="0" t="n">
        <v>0.059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799.291</v>
      </c>
      <c r="C6" s="0" t="n">
        <v>-678.793</v>
      </c>
      <c r="D6" s="0" t="n">
        <v>120.498</v>
      </c>
      <c r="E6" s="0" t="n">
        <v>15.1</v>
      </c>
      <c r="F6" s="0" t="n">
        <v>58.609</v>
      </c>
      <c r="G6" s="0" t="n">
        <v>7.3</v>
      </c>
      <c r="H6" s="0" t="n">
        <v>82.228</v>
      </c>
      <c r="I6" s="0" t="n">
        <v>49.805</v>
      </c>
      <c r="J6" s="0" t="n">
        <v>6.2</v>
      </c>
      <c r="K6" s="0" t="n">
        <v>0.06</v>
      </c>
      <c r="L6" s="0" t="n">
        <v>64.542</v>
      </c>
      <c r="M6" s="0" t="n">
        <v>26.289</v>
      </c>
      <c r="N6" s="0" t="n">
        <v>38.253</v>
      </c>
      <c r="O6" s="0" t="n">
        <v>308.669</v>
      </c>
      <c r="P6" s="0" t="n">
        <v>552.1</v>
      </c>
      <c r="Q6" s="0" t="n">
        <v>243.4</v>
      </c>
      <c r="R6" s="0" t="n">
        <v>72.865</v>
      </c>
      <c r="S6" s="0" t="n">
        <v>188.243</v>
      </c>
      <c r="T6" s="0" t="n">
        <v>844.824</v>
      </c>
      <c r="U6" s="0" t="n">
        <v>1.148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1116.21</v>
      </c>
      <c r="C7" s="0" t="n">
        <v>-941.763</v>
      </c>
      <c r="D7" s="0" t="n">
        <v>174.447</v>
      </c>
      <c r="E7" s="0" t="n">
        <v>15.6</v>
      </c>
      <c r="F7" s="0" t="n">
        <v>105.953</v>
      </c>
      <c r="G7" s="0" t="n">
        <v>9.5</v>
      </c>
      <c r="H7" s="0" t="n">
        <v>130.201</v>
      </c>
      <c r="I7" s="0" t="n">
        <v>84.305</v>
      </c>
      <c r="J7" s="0" t="n">
        <v>7.6</v>
      </c>
      <c r="K7" s="0" t="n">
        <v>0.101</v>
      </c>
      <c r="L7" s="0" t="n">
        <v>97.123</v>
      </c>
      <c r="M7" s="0" t="n">
        <v>92.665</v>
      </c>
      <c r="N7" s="0" t="n">
        <v>4.458</v>
      </c>
      <c r="O7" s="0" t="n">
        <v>359.989</v>
      </c>
      <c r="P7" s="0" t="n">
        <v>631.1</v>
      </c>
      <c r="Q7" s="0" t="n">
        <v>270.5</v>
      </c>
      <c r="R7" s="0" t="n">
        <v>15.794</v>
      </c>
      <c r="S7" s="0" t="n">
        <v>44.508</v>
      </c>
      <c r="T7" s="0" t="n">
        <v>868.528</v>
      </c>
      <c r="U7" s="0" t="n">
        <v>1.835</v>
      </c>
      <c r="AA7" s="0" t="s">
        <v>18</v>
      </c>
      <c r="AB7" s="0" t="s">
        <v>14</v>
      </c>
      <c r="AC7" s="0" t="n">
        <v>-0.489</v>
      </c>
    </row>
    <row r="8" customFormat="false" ht="15" hidden="false" customHeight="false" outlineLevel="0" collapsed="false">
      <c r="A8" s="0" t="s">
        <v>71</v>
      </c>
      <c r="B8" s="0" t="n">
        <v>923.846</v>
      </c>
      <c r="C8" s="0" t="n">
        <v>-796.08</v>
      </c>
      <c r="D8" s="0" t="n">
        <v>127.766</v>
      </c>
      <c r="E8" s="0" t="n">
        <v>13.8</v>
      </c>
      <c r="F8" s="0" t="n">
        <v>59.677</v>
      </c>
      <c r="G8" s="0" t="n">
        <v>6.5</v>
      </c>
      <c r="H8" s="0" t="n">
        <v>90.418</v>
      </c>
      <c r="I8" s="0" t="n">
        <v>46.589</v>
      </c>
      <c r="J8" s="0" t="n">
        <v>5</v>
      </c>
      <c r="K8" s="0" t="n">
        <v>0.055</v>
      </c>
      <c r="L8" s="0" t="n">
        <v>113.436</v>
      </c>
      <c r="M8" s="0" t="n">
        <v>80.785</v>
      </c>
      <c r="N8" s="0" t="n">
        <v>32.651</v>
      </c>
      <c r="O8" s="0" t="n">
        <v>409.655</v>
      </c>
      <c r="P8" s="0" t="n">
        <v>943.3</v>
      </c>
      <c r="Q8" s="0" t="n">
        <v>528.1</v>
      </c>
      <c r="R8" s="0" t="n">
        <v>274.76</v>
      </c>
      <c r="S8" s="0" t="n">
        <v>96.726</v>
      </c>
      <c r="T8" s="0" t="n">
        <v>880.629</v>
      </c>
      <c r="U8" s="0" t="n">
        <v>1.308</v>
      </c>
      <c r="AA8" s="0" t="s">
        <v>18</v>
      </c>
      <c r="AB8" s="0" t="s">
        <v>14</v>
      </c>
      <c r="AC8" s="0" t="n">
        <v>-0.199</v>
      </c>
    </row>
    <row r="9" customFormat="false" ht="15" hidden="false" customHeight="false" outlineLevel="0" collapsed="false">
      <c r="A9" s="0" t="s">
        <v>72</v>
      </c>
      <c r="B9" s="0" t="n">
        <v>2494.258</v>
      </c>
      <c r="C9" s="0" t="n">
        <v>-2203.351</v>
      </c>
      <c r="D9" s="0" t="n">
        <v>290.907</v>
      </c>
      <c r="E9" s="0" t="n">
        <v>11.7</v>
      </c>
      <c r="F9" s="0" t="n">
        <v>156.409</v>
      </c>
      <c r="G9" s="0" t="n">
        <v>6.3</v>
      </c>
      <c r="H9" s="0" t="n">
        <v>202.865</v>
      </c>
      <c r="I9" s="0" t="n">
        <v>119.055</v>
      </c>
      <c r="J9" s="0" t="n">
        <v>4.8</v>
      </c>
      <c r="K9" s="0" t="n">
        <v>0.139</v>
      </c>
      <c r="L9" s="0" t="n">
        <v>64.083</v>
      </c>
      <c r="M9" s="0" t="n">
        <v>248.49</v>
      </c>
      <c r="N9" s="0" t="n">
        <v>-184.407</v>
      </c>
      <c r="O9" s="0" t="n">
        <v>516.533</v>
      </c>
      <c r="P9" s="0" t="n">
        <v>1442.6</v>
      </c>
      <c r="Q9" s="0" t="n">
        <v>918.9</v>
      </c>
      <c r="R9" s="0" t="n">
        <v>324.106</v>
      </c>
      <c r="S9" s="0" t="n">
        <v>113.349</v>
      </c>
      <c r="T9" s="0" t="n">
        <v>888.163</v>
      </c>
      <c r="U9" s="0" t="n">
        <v>3.444</v>
      </c>
      <c r="AA9" s="0" t="s">
        <v>18</v>
      </c>
      <c r="AB9" s="0" t="s">
        <v>14</v>
      </c>
      <c r="AC9" s="0" t="n">
        <v>1.325</v>
      </c>
    </row>
    <row r="10" customFormat="false" ht="15" hidden="false" customHeight="false" outlineLevel="0" collapsed="false">
      <c r="A10" s="0" t="s">
        <v>73</v>
      </c>
      <c r="B10" s="0" t="n">
        <v>3500.054</v>
      </c>
      <c r="C10" s="0" t="n">
        <v>-3141.326</v>
      </c>
      <c r="D10" s="0" t="n">
        <v>358.728</v>
      </c>
      <c r="E10" s="0" t="n">
        <v>10.2</v>
      </c>
      <c r="F10" s="0" t="n">
        <v>239.945</v>
      </c>
      <c r="G10" s="0" t="n">
        <v>6.9</v>
      </c>
      <c r="H10" s="0" t="n">
        <v>305.631</v>
      </c>
      <c r="I10" s="0" t="n">
        <v>196.904</v>
      </c>
      <c r="J10" s="0" t="n">
        <v>5.6</v>
      </c>
      <c r="K10" s="0" t="n">
        <v>0.229</v>
      </c>
      <c r="L10" s="0" t="n">
        <v>316.306</v>
      </c>
      <c r="M10" s="0" t="n">
        <v>74.094</v>
      </c>
      <c r="N10" s="0" t="n">
        <v>242.212</v>
      </c>
      <c r="O10" s="0" t="n">
        <v>726.128</v>
      </c>
      <c r="P10" s="0" t="n">
        <v>1543.7</v>
      </c>
      <c r="Q10" s="0" t="n">
        <v>812.2</v>
      </c>
      <c r="R10" s="0" t="n">
        <v>131.485</v>
      </c>
      <c r="S10" s="0" t="n">
        <v>149.439</v>
      </c>
      <c r="T10" s="0" t="n">
        <v>891.093</v>
      </c>
      <c r="U10" s="0" t="n">
        <v>16.1</v>
      </c>
      <c r="AA10" s="0" t="s">
        <v>18</v>
      </c>
      <c r="AB10" s="0" t="s">
        <v>14</v>
      </c>
      <c r="AC10" s="0" t="n">
        <v>-1.957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21.5</v>
      </c>
    </row>
    <row r="3" customFormat="false" ht="15" hidden="false" customHeight="false" outlineLevel="0" collapsed="false">
      <c r="A3" s="0" t="s">
        <v>77</v>
      </c>
      <c r="B3" s="3" t="n">
        <v>887.717</v>
      </c>
    </row>
    <row r="4" customFormat="false" ht="15" hidden="false" customHeight="false" outlineLevel="0" collapsed="false">
      <c r="A4" s="0" t="s">
        <v>78</v>
      </c>
      <c r="B4" s="3" t="n">
        <v>-294.023</v>
      </c>
    </row>
    <row r="5" customFormat="false" ht="15" hidden="false" customHeight="false" outlineLevel="0" collapsed="false">
      <c r="A5" s="0" t="s">
        <v>79</v>
      </c>
      <c r="B5" s="3" t="n">
        <v>-44.106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3500.054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7.848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8</v>
      </c>
      <c r="D13" s="3" t="n">
        <v>-15</v>
      </c>
      <c r="E13" s="3" t="n">
        <v>-12</v>
      </c>
      <c r="F13" s="3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8.8</v>
      </c>
      <c r="D14" s="3" t="n">
        <v>7.5</v>
      </c>
      <c r="E14" s="3" t="n">
        <v>7</v>
      </c>
      <c r="F14" s="3" t="n">
        <v>7</v>
      </c>
      <c r="G14" s="3" t="n">
        <v>7</v>
      </c>
      <c r="H14" s="3" t="n">
        <v>7</v>
      </c>
      <c r="I14" s="3" t="n">
        <v>7</v>
      </c>
      <c r="J14" s="3" t="n">
        <v>7</v>
      </c>
      <c r="K14" s="3" t="n">
        <v>7</v>
      </c>
      <c r="L14" s="3" t="n">
        <v>7</v>
      </c>
    </row>
    <row r="15" customFormat="false" ht="15" hidden="false" customHeight="false" outlineLevel="0" collapsed="false">
      <c r="A15" s="0" t="s">
        <v>99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2</v>
      </c>
      <c r="D17" s="3" t="n">
        <v>2.4</v>
      </c>
      <c r="E17" s="3" t="n">
        <v>2.8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102</v>
      </c>
      <c r="C18" s="3" t="n">
        <v>3.5</v>
      </c>
      <c r="D18" s="3" t="n">
        <v>3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103</v>
      </c>
      <c r="C19" s="3" t="n">
        <v>15</v>
      </c>
      <c r="D19" s="3" t="n">
        <v>16</v>
      </c>
      <c r="E19" s="3" t="n">
        <v>17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14</v>
      </c>
      <c r="D27" s="3" t="n">
        <v>5</v>
      </c>
      <c r="E27" s="3" t="n">
        <v>0</v>
      </c>
      <c r="F27" s="3" t="n">
        <v>4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9.2</v>
      </c>
      <c r="D28" s="3" t="n">
        <v>9.2</v>
      </c>
      <c r="E28" s="3" t="n">
        <v>9</v>
      </c>
      <c r="F28" s="3" t="n">
        <v>9</v>
      </c>
      <c r="G28" s="3" t="n">
        <v>9</v>
      </c>
      <c r="H28" s="3" t="n">
        <v>9</v>
      </c>
      <c r="I28" s="3" t="n">
        <v>9</v>
      </c>
      <c r="J28" s="3" t="n">
        <v>9</v>
      </c>
      <c r="K28" s="3" t="n">
        <v>9</v>
      </c>
      <c r="L28" s="3" t="n">
        <v>9</v>
      </c>
    </row>
    <row r="29" customFormat="false" ht="15" hidden="false" customHeight="false" outlineLevel="0" collapsed="false">
      <c r="A29" s="0" t="s">
        <v>99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2</v>
      </c>
      <c r="D31" s="3" t="n">
        <v>2.2</v>
      </c>
      <c r="E31" s="3" t="n">
        <v>2.4</v>
      </c>
      <c r="F31" s="3" t="n">
        <v>2.5</v>
      </c>
      <c r="G31" s="3" t="n">
        <v>2.6</v>
      </c>
      <c r="H31" s="3" t="n">
        <v>2.7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102</v>
      </c>
      <c r="C32" s="3" t="n">
        <v>3.5</v>
      </c>
      <c r="D32" s="3" t="n">
        <v>3.5</v>
      </c>
      <c r="E32" s="3" t="n">
        <v>3.5</v>
      </c>
      <c r="F32" s="3" t="n">
        <v>3.2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103</v>
      </c>
      <c r="C33" s="3" t="n">
        <v>15</v>
      </c>
      <c r="D33" s="3" t="n">
        <v>16</v>
      </c>
      <c r="E33" s="3" t="n">
        <v>17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104</v>
      </c>
      <c r="B34" s="3" t="n">
        <v>10.5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0.45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18</v>
      </c>
      <c r="D41" s="3" t="n">
        <v>12</v>
      </c>
      <c r="E41" s="3" t="n">
        <v>8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9.4</v>
      </c>
      <c r="D42" s="3" t="n">
        <v>9.6</v>
      </c>
      <c r="E42" s="3" t="n">
        <v>9.8</v>
      </c>
      <c r="F42" s="3" t="n">
        <v>10</v>
      </c>
      <c r="G42" s="3" t="n">
        <v>10.2</v>
      </c>
      <c r="H42" s="3" t="n">
        <v>10.4</v>
      </c>
      <c r="I42" s="3" t="n">
        <v>10.5</v>
      </c>
      <c r="J42" s="3" t="n">
        <v>10.5</v>
      </c>
      <c r="K42" s="3" t="n">
        <v>10.5</v>
      </c>
      <c r="L42" s="3" t="n">
        <v>10.5</v>
      </c>
    </row>
    <row r="43" customFormat="false" ht="15" hidden="false" customHeight="false" outlineLevel="0" collapsed="false">
      <c r="A43" s="0" t="s">
        <v>99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2</v>
      </c>
      <c r="D45" s="3" t="n">
        <v>2.2</v>
      </c>
      <c r="E45" s="3" t="n">
        <v>2.4</v>
      </c>
      <c r="F45" s="3" t="n">
        <v>2.5</v>
      </c>
      <c r="G45" s="3" t="n">
        <v>2.6</v>
      </c>
      <c r="H45" s="3" t="n">
        <v>2.7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102</v>
      </c>
      <c r="C46" s="3" t="n">
        <v>4</v>
      </c>
      <c r="D46" s="3" t="n">
        <v>4</v>
      </c>
      <c r="E46" s="3" t="n">
        <v>3.8</v>
      </c>
      <c r="F46" s="3" t="n">
        <v>3.5</v>
      </c>
      <c r="G46" s="3" t="n">
        <v>3.2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103</v>
      </c>
      <c r="C47" s="3" t="n">
        <v>15</v>
      </c>
      <c r="D47" s="3" t="n">
        <v>16</v>
      </c>
      <c r="E47" s="3" t="n">
        <v>17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104</v>
      </c>
      <c r="B48" s="3" t="n">
        <v>10.5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14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8</v>
      </c>
      <c r="D5" s="4" t="n">
        <f aca="false">Assumptions!D13</f>
        <v>-15</v>
      </c>
      <c r="E5" s="4" t="n">
        <f aca="false">Assumptions!E13</f>
        <v>-12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3500.054</v>
      </c>
      <c r="C6" s="0" t="n">
        <f aca="false">B6*(1+C5/100)</f>
        <v>3780.05832</v>
      </c>
      <c r="D6" s="0" t="n">
        <f aca="false">C6*(1+D5/100)</f>
        <v>3213.049572</v>
      </c>
      <c r="E6" s="0" t="n">
        <f aca="false">D6*(1+E5/100)</f>
        <v>2827.48362336</v>
      </c>
      <c r="F6" s="0" t="n">
        <f aca="false">E6*(1+F5/100)</f>
        <v>2827.48362336</v>
      </c>
      <c r="G6" s="0" t="n">
        <f aca="false">F6*(1+G5/100)</f>
        <v>2884.0332958272</v>
      </c>
      <c r="H6" s="0" t="n">
        <f aca="false">G6*(1+H5/100)</f>
        <v>2941.71396174374</v>
      </c>
      <c r="I6" s="0" t="n">
        <f aca="false">H6*(1+I5/100)</f>
        <v>3000.54824097862</v>
      </c>
      <c r="J6" s="0" t="n">
        <f aca="false">I6*(1+J5/100)</f>
        <v>3060.55920579819</v>
      </c>
      <c r="K6" s="0" t="n">
        <f aca="false">J6*(1+K5/100)</f>
        <v>3121.77038991416</v>
      </c>
      <c r="L6" s="0" t="n">
        <f aca="false">K6*(1+L5/100)</f>
        <v>3184.20579771244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8.8</v>
      </c>
      <c r="D7" s="4" t="n">
        <f aca="false">Assumptions!D14</f>
        <v>7.5</v>
      </c>
      <c r="E7" s="4" t="n">
        <f aca="false">Assumptions!E14</f>
        <v>7</v>
      </c>
      <c r="F7" s="4" t="n">
        <f aca="false">Assumptions!F14</f>
        <v>7</v>
      </c>
      <c r="G7" s="4" t="n">
        <f aca="false">Assumptions!G14</f>
        <v>7</v>
      </c>
      <c r="H7" s="4" t="n">
        <f aca="false">Assumptions!H14</f>
        <v>7</v>
      </c>
      <c r="I7" s="4" t="n">
        <f aca="false">Assumptions!I14</f>
        <v>7</v>
      </c>
      <c r="J7" s="4" t="n">
        <f aca="false">Assumptions!J14</f>
        <v>7</v>
      </c>
      <c r="K7" s="4" t="n">
        <f aca="false">Assumptions!K14</f>
        <v>7</v>
      </c>
      <c r="L7" s="4" t="n">
        <f aca="false">Assumptions!L14</f>
        <v>7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332.64513216</v>
      </c>
      <c r="D8" s="0" t="n">
        <f aca="false">D6*D7/100</f>
        <v>240.9787179</v>
      </c>
      <c r="E8" s="0" t="n">
        <f aca="false">E6*E7/100</f>
        <v>197.9238536352</v>
      </c>
      <c r="F8" s="0" t="n">
        <f aca="false">F6*F7/100</f>
        <v>197.9238536352</v>
      </c>
      <c r="G8" s="0" t="n">
        <f aca="false">G6*G7/100</f>
        <v>201.882330707904</v>
      </c>
      <c r="H8" s="0" t="n">
        <f aca="false">H6*H7/100</f>
        <v>205.919977322062</v>
      </c>
      <c r="I8" s="0" t="n">
        <f aca="false">I6*I7/100</f>
        <v>210.038376868503</v>
      </c>
      <c r="J8" s="0" t="n">
        <f aca="false">J6*J7/100</f>
        <v>214.239144405873</v>
      </c>
      <c r="K8" s="0" t="n">
        <f aca="false">K6*K7/100</f>
        <v>218.523927293991</v>
      </c>
      <c r="L8" s="0" t="n">
        <f aca="false">L6*L7/100</f>
        <v>222.894405839871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-17.01026244</v>
      </c>
      <c r="D10" s="0" t="n">
        <f aca="false">-D6*D9/100</f>
        <v>-14.458723074</v>
      </c>
      <c r="E10" s="0" t="n">
        <f aca="false">-E6*E9/100</f>
        <v>-12.72367630512</v>
      </c>
      <c r="F10" s="0" t="n">
        <f aca="false">-F6*F9/100</f>
        <v>-12.72367630512</v>
      </c>
      <c r="G10" s="0" t="n">
        <f aca="false">-G6*G9/100</f>
        <v>-11.5361331833088</v>
      </c>
      <c r="H10" s="0" t="n">
        <f aca="false">-H6*H9/100</f>
        <v>-11.766855846975</v>
      </c>
      <c r="I10" s="0" t="n">
        <f aca="false">-I6*I9/100</f>
        <v>-12.0021929639145</v>
      </c>
      <c r="J10" s="0" t="n">
        <f aca="false">-J6*J9/100</f>
        <v>-12.2422368231928</v>
      </c>
      <c r="K10" s="0" t="n">
        <f aca="false">-K6*K9/100</f>
        <v>-12.4870815596566</v>
      </c>
      <c r="L10" s="0" t="n">
        <f aca="false">-L6*L9/100</f>
        <v>-12.7368231908498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315.63486972</v>
      </c>
      <c r="D11" s="0" t="n">
        <f aca="false">D8+D10+D24</f>
        <v>226.519994826</v>
      </c>
      <c r="E11" s="0" t="n">
        <f aca="false">E8+E10+E24</f>
        <v>185.20017733008</v>
      </c>
      <c r="F11" s="0" t="n">
        <f aca="false">F8+F10+F24</f>
        <v>185.20017733008</v>
      </c>
      <c r="G11" s="0" t="n">
        <f aca="false">G8+G10+G24</f>
        <v>190.346197524595</v>
      </c>
      <c r="H11" s="0" t="n">
        <f aca="false">H8+H10+H24</f>
        <v>194.153121475087</v>
      </c>
      <c r="I11" s="0" t="n">
        <f aca="false">I8+I10+I24</f>
        <v>198.036183904589</v>
      </c>
      <c r="J11" s="0" t="n">
        <f aca="false">J8+J10+J24</f>
        <v>201.996907582681</v>
      </c>
      <c r="K11" s="0" t="n">
        <f aca="false">K8+K10+K24</f>
        <v>206.036845734334</v>
      </c>
      <c r="L11" s="0" t="n">
        <f aca="false">L8+L10+L24</f>
        <v>210.157582649021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-75.6011664</v>
      </c>
      <c r="D12" s="4" t="n">
        <f aca="false">-D6*Assumptions!D17/100</f>
        <v>-77.113189728</v>
      </c>
      <c r="E12" s="4" t="n">
        <f aca="false">-E6*Assumptions!E17/100</f>
        <v>-79.16954145408</v>
      </c>
      <c r="F12" s="4" t="n">
        <f aca="false">-F6*Assumptions!F17/100</f>
        <v>-84.8245087008</v>
      </c>
      <c r="G12" s="4" t="n">
        <f aca="false">-G6*Assumptions!G17/100</f>
        <v>-86.520998874816</v>
      </c>
      <c r="H12" s="4" t="n">
        <f aca="false">-H6*Assumptions!H17/100</f>
        <v>-88.2514188523123</v>
      </c>
      <c r="I12" s="4" t="n">
        <f aca="false">-I6*Assumptions!I17/100</f>
        <v>-90.0164472293586</v>
      </c>
      <c r="J12" s="4" t="n">
        <f aca="false">-J6*Assumptions!J17/100</f>
        <v>-91.8167761739458</v>
      </c>
      <c r="K12" s="4" t="n">
        <f aca="false">-K6*Assumptions!K17/100</f>
        <v>-93.6531116974247</v>
      </c>
      <c r="L12" s="4" t="n">
        <f aca="false">-L6*Assumptions!L17/100</f>
        <v>-95.5261739313732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240.03370332</v>
      </c>
      <c r="D13" s="0" t="n">
        <f aca="false">D11+D12</f>
        <v>149.406805098</v>
      </c>
      <c r="E13" s="0" t="n">
        <f aca="false">E11+E12</f>
        <v>106.030635876</v>
      </c>
      <c r="F13" s="0" t="n">
        <f aca="false">F11+F12</f>
        <v>100.37566862928</v>
      </c>
      <c r="G13" s="0" t="n">
        <f aca="false">G11+G12</f>
        <v>103.825198649779</v>
      </c>
      <c r="H13" s="0" t="n">
        <f aca="false">H11+H12</f>
        <v>105.901702622775</v>
      </c>
      <c r="I13" s="0" t="n">
        <f aca="false">I11+I12</f>
        <v>108.01973667523</v>
      </c>
      <c r="J13" s="0" t="n">
        <f aca="false">J11+J12</f>
        <v>110.180131408735</v>
      </c>
      <c r="K13" s="0" t="n">
        <f aca="false">K11+K12</f>
        <v>112.38373403691</v>
      </c>
      <c r="L13" s="0" t="n">
        <f aca="false">L11+L12</f>
        <v>114.631408717648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15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204.028647822</v>
      </c>
      <c r="D15" s="0" t="n">
        <f aca="false">D13-MAX(0,D13)*D14/100</f>
        <v>125.50171628232</v>
      </c>
      <c r="E15" s="0" t="n">
        <f aca="false">E13-MAX(0,E13)*E14/100</f>
        <v>88.00542777708</v>
      </c>
      <c r="F15" s="0" t="n">
        <f aca="false">F13-MAX(0,F13)*F14/100</f>
        <v>82.3080482760096</v>
      </c>
      <c r="G15" s="0" t="n">
        <f aca="false">G13-MAX(0,G13)*G14/100</f>
        <v>85.136662892819</v>
      </c>
      <c r="H15" s="0" t="n">
        <f aca="false">H13-MAX(0,H13)*H14/100</f>
        <v>86.8393961506753</v>
      </c>
      <c r="I15" s="0" t="n">
        <f aca="false">I13-MAX(0,I13)*I14/100</f>
        <v>88.5761840736889</v>
      </c>
      <c r="J15" s="0" t="n">
        <f aca="false">J13-MAX(0,J13)*J14/100</f>
        <v>90.3477077551626</v>
      </c>
      <c r="K15" s="0" t="n">
        <f aca="false">K13-MAX(0,K13)*K14/100</f>
        <v>92.1546619102659</v>
      </c>
      <c r="L15" s="0" t="n">
        <f aca="false">L13-MAX(0,L13)*L14/100</f>
        <v>93.9977551484712</v>
      </c>
    </row>
    <row r="16" customFormat="false" ht="15" hidden="false" customHeight="false" outlineLevel="0" collapsed="false">
      <c r="A16" s="0" t="s">
        <v>119</v>
      </c>
      <c r="C16" s="0" t="n">
        <f aca="false">-C12</f>
        <v>75.6011664</v>
      </c>
      <c r="D16" s="0" t="n">
        <f aca="false">-D12</f>
        <v>77.113189728</v>
      </c>
      <c r="E16" s="0" t="n">
        <f aca="false">-E12</f>
        <v>79.16954145408</v>
      </c>
      <c r="F16" s="0" t="n">
        <f aca="false">-F12</f>
        <v>84.8245087008</v>
      </c>
      <c r="G16" s="0" t="n">
        <f aca="false">-G12</f>
        <v>86.520998874816</v>
      </c>
      <c r="H16" s="0" t="n">
        <f aca="false">-H12</f>
        <v>88.2514188523123</v>
      </c>
      <c r="I16" s="0" t="n">
        <f aca="false">-I12</f>
        <v>90.0164472293586</v>
      </c>
      <c r="J16" s="0" t="n">
        <f aca="false">-J12</f>
        <v>91.8167761739458</v>
      </c>
      <c r="K16" s="0" t="n">
        <f aca="false">-K12</f>
        <v>93.6531116974247</v>
      </c>
      <c r="L16" s="0" t="n">
        <f aca="false">-L12</f>
        <v>95.5261739313732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-132.3020412</v>
      </c>
      <c r="D17" s="4" t="n">
        <f aca="false">-D6*Assumptions!D18/100</f>
        <v>-96.39148716</v>
      </c>
      <c r="E17" s="4" t="n">
        <f aca="false">-E6*Assumptions!E18/100</f>
        <v>-70.687090584</v>
      </c>
      <c r="F17" s="4" t="n">
        <f aca="false">-F6*Assumptions!F18/100</f>
        <v>-70.687090584</v>
      </c>
      <c r="G17" s="4" t="n">
        <f aca="false">-G6*Assumptions!G18/100</f>
        <v>-72.10083239568</v>
      </c>
      <c r="H17" s="4" t="n">
        <f aca="false">-H6*Assumptions!H18/100</f>
        <v>-73.5428490435936</v>
      </c>
      <c r="I17" s="4" t="n">
        <f aca="false">-I6*Assumptions!I18/100</f>
        <v>-75.0137060244655</v>
      </c>
      <c r="J17" s="4" t="n">
        <f aca="false">-J6*Assumptions!J18/100</f>
        <v>-76.5139801449548</v>
      </c>
      <c r="K17" s="4" t="n">
        <f aca="false">-K6*Assumptions!K18/100</f>
        <v>-78.0442597478539</v>
      </c>
      <c r="L17" s="4" t="n">
        <f aca="false">-L6*Assumptions!L18/100</f>
        <v>-79.605144942811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-14.000216</v>
      </c>
      <c r="D18" s="4" t="n">
        <f aca="false">(D6-C6)*Assumptions!$B$23/100</f>
        <v>28.3504374</v>
      </c>
      <c r="E18" s="4" t="n">
        <f aca="false">(E6-D6)*Assumptions!$B$23/100</f>
        <v>19.278297432</v>
      </c>
      <c r="F18" s="4" t="n">
        <f aca="false">(F6-E6)*Assumptions!$B$23/100</f>
        <v>-0</v>
      </c>
      <c r="G18" s="4" t="n">
        <f aca="false">(G6-F6)*Assumptions!$B$23/100</f>
        <v>-2.82748362336001</v>
      </c>
      <c r="H18" s="4" t="n">
        <f aca="false">(H6-G6)*Assumptions!$B$23/100</f>
        <v>-2.8840332958272</v>
      </c>
      <c r="I18" s="4" t="n">
        <f aca="false">(I6-H6)*Assumptions!$B$23/100</f>
        <v>-2.94171396174374</v>
      </c>
      <c r="J18" s="4" t="n">
        <f aca="false">(J6-I6)*Assumptions!$B$23/100</f>
        <v>-3.00054824097863</v>
      </c>
      <c r="K18" s="4" t="n">
        <f aca="false">(K6-J6)*Assumptions!$B$23/100</f>
        <v>-3.0605592057982</v>
      </c>
      <c r="L18" s="4" t="n">
        <f aca="false">(L6-K6)*Assumptions!$B$23/100</f>
        <v>-3.12177038991415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133.327557022</v>
      </c>
      <c r="D19" s="0" t="n">
        <f aca="false">D15+D16+D17+D18</f>
        <v>134.57385625032</v>
      </c>
      <c r="E19" s="0" t="n">
        <f aca="false">E15+E16+E17+E18</f>
        <v>115.76617607916</v>
      </c>
      <c r="F19" s="0" t="n">
        <f aca="false">F15+F16+F17+F18</f>
        <v>96.4454663928096</v>
      </c>
      <c r="G19" s="0" t="n">
        <f aca="false">G15+G16+G17+G18</f>
        <v>96.729345748595</v>
      </c>
      <c r="H19" s="0" t="n">
        <f aca="false">H15+H16+H17+H18</f>
        <v>98.6639326635669</v>
      </c>
      <c r="I19" s="0" t="n">
        <f aca="false">I15+I16+I17+I18</f>
        <v>100.637211316838</v>
      </c>
      <c r="J19" s="0" t="n">
        <f aca="false">J15+J16+J17+J18</f>
        <v>102.649955543175</v>
      </c>
      <c r="K19" s="0" t="n">
        <f aca="false">K15+K16+K17+K18</f>
        <v>104.702954654038</v>
      </c>
      <c r="L19" s="0" t="n">
        <f aca="false">L15+L16+L17+L18</f>
        <v>106.797013747119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120.658422644344</v>
      </c>
      <c r="D21" s="0" t="n">
        <f aca="false">D19*D20</f>
        <v>110.213841854442</v>
      </c>
      <c r="E21" s="0" t="n">
        <f aca="false">E19*E20</f>
        <v>85.8014948157365</v>
      </c>
      <c r="F21" s="0" t="n">
        <f aca="false">F19*F20</f>
        <v>64.6893378088647</v>
      </c>
      <c r="G21" s="0" t="n">
        <f aca="false">G19*G20</f>
        <v>58.7147018940952</v>
      </c>
      <c r="H21" s="0" t="n">
        <f aca="false">H19*H20</f>
        <v>54.1981863637802</v>
      </c>
      <c r="I21" s="0" t="n">
        <f aca="false">I19*I20</f>
        <v>50.0290951050278</v>
      </c>
      <c r="J21" s="0" t="n">
        <f aca="false">J19*J20</f>
        <v>46.1807031738718</v>
      </c>
      <c r="K21" s="0" t="n">
        <f aca="false">K19*K20</f>
        <v>42.6283413912663</v>
      </c>
      <c r="L21" s="0" t="n">
        <f aca="false">L19*L20</f>
        <v>39.3492382073228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672.463363258751</v>
      </c>
    </row>
    <row r="31" customFormat="false" ht="15" hidden="false" customHeight="false" outlineLevel="0" collapsed="false">
      <c r="A31" s="0" t="s">
        <v>128</v>
      </c>
      <c r="B31" s="0" t="n">
        <f aca="false">L19</f>
        <v>106.797013747119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1368.33673863497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1067.97013747119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1067.97013747119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393.492382073228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1065.95574533198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1315.87274533198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11.6331773587364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-0.458921983314588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79.917079290943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60.1273714217839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12.8712620740155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875.735512726378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9.13804504990405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14</v>
      </c>
      <c r="D5" s="4" t="n">
        <f aca="false">Assumptions!D27</f>
        <v>5</v>
      </c>
      <c r="E5" s="4" t="n">
        <f aca="false">Assumptions!E27</f>
        <v>0</v>
      </c>
      <c r="F5" s="4" t="n">
        <f aca="false">Assumptions!F27</f>
        <v>4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3500.054</v>
      </c>
      <c r="C6" s="0" t="n">
        <f aca="false">B6*(1+C5/100)</f>
        <v>3990.06156</v>
      </c>
      <c r="D6" s="0" t="n">
        <f aca="false">C6*(1+D5/100)</f>
        <v>4189.564638</v>
      </c>
      <c r="E6" s="0" t="n">
        <f aca="false">D6*(1+E5/100)</f>
        <v>4189.564638</v>
      </c>
      <c r="F6" s="0" t="n">
        <f aca="false">E6*(1+F5/100)</f>
        <v>4357.14722352</v>
      </c>
      <c r="G6" s="0" t="n">
        <f aca="false">F6*(1+G5/100)</f>
        <v>4487.8616402256</v>
      </c>
      <c r="H6" s="0" t="n">
        <f aca="false">G6*(1+H5/100)</f>
        <v>4622.49748943237</v>
      </c>
      <c r="I6" s="0" t="n">
        <f aca="false">H6*(1+I5/100)</f>
        <v>4738.05992666818</v>
      </c>
      <c r="J6" s="0" t="n">
        <f aca="false">I6*(1+J5/100)</f>
        <v>4856.51142483488</v>
      </c>
      <c r="K6" s="0" t="n">
        <f aca="false">J6*(1+K5/100)</f>
        <v>4953.64165333158</v>
      </c>
      <c r="L6" s="0" t="n">
        <f aca="false">K6*(1+L5/100)</f>
        <v>5052.71448639821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9.2</v>
      </c>
      <c r="D7" s="4" t="n">
        <f aca="false">Assumptions!D28</f>
        <v>9.2</v>
      </c>
      <c r="E7" s="4" t="n">
        <f aca="false">Assumptions!E28</f>
        <v>9</v>
      </c>
      <c r="F7" s="4" t="n">
        <f aca="false">Assumptions!F28</f>
        <v>9</v>
      </c>
      <c r="G7" s="4" t="n">
        <f aca="false">Assumptions!G28</f>
        <v>9</v>
      </c>
      <c r="H7" s="4" t="n">
        <f aca="false">Assumptions!H28</f>
        <v>9</v>
      </c>
      <c r="I7" s="4" t="n">
        <f aca="false">Assumptions!I28</f>
        <v>9</v>
      </c>
      <c r="J7" s="4" t="n">
        <f aca="false">Assumptions!J28</f>
        <v>9</v>
      </c>
      <c r="K7" s="4" t="n">
        <f aca="false">Assumptions!K28</f>
        <v>9</v>
      </c>
      <c r="L7" s="4" t="n">
        <f aca="false">Assumptions!L28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367.08566352</v>
      </c>
      <c r="D8" s="0" t="n">
        <f aca="false">D6*D7/100</f>
        <v>385.439946696</v>
      </c>
      <c r="E8" s="0" t="n">
        <f aca="false">E6*E7/100</f>
        <v>377.06081742</v>
      </c>
      <c r="F8" s="0" t="n">
        <f aca="false">F6*F7/100</f>
        <v>392.1432501168</v>
      </c>
      <c r="G8" s="0" t="n">
        <f aca="false">G6*G7/100</f>
        <v>403.907547620304</v>
      </c>
      <c r="H8" s="0" t="n">
        <f aca="false">H6*H7/100</f>
        <v>416.024774048913</v>
      </c>
      <c r="I8" s="0" t="n">
        <f aca="false">I6*I7/100</f>
        <v>426.425393400136</v>
      </c>
      <c r="J8" s="0" t="n">
        <f aca="false">J6*J7/100</f>
        <v>437.086028235139</v>
      </c>
      <c r="K8" s="0" t="n">
        <f aca="false">K6*K7/100</f>
        <v>445.827748799842</v>
      </c>
      <c r="L8" s="0" t="n">
        <f aca="false">L6*L7/100</f>
        <v>454.744303775839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-17.95527702</v>
      </c>
      <c r="D10" s="0" t="n">
        <f aca="false">-D6*D9/100</f>
        <v>-18.853040871</v>
      </c>
      <c r="E10" s="0" t="n">
        <f aca="false">-E6*E9/100</f>
        <v>-18.853040871</v>
      </c>
      <c r="F10" s="0" t="n">
        <f aca="false">-F6*F9/100</f>
        <v>-19.60716250584</v>
      </c>
      <c r="G10" s="0" t="n">
        <f aca="false">-G6*G9/100</f>
        <v>-17.9514465609024</v>
      </c>
      <c r="H10" s="0" t="n">
        <f aca="false">-H6*H9/100</f>
        <v>-18.4899899577295</v>
      </c>
      <c r="I10" s="0" t="n">
        <f aca="false">-I6*I9/100</f>
        <v>-18.9522397066727</v>
      </c>
      <c r="J10" s="0" t="n">
        <f aca="false">-J6*J9/100</f>
        <v>-19.4260456993395</v>
      </c>
      <c r="K10" s="0" t="n">
        <f aca="false">-K6*K9/100</f>
        <v>-19.8145666133263</v>
      </c>
      <c r="L10" s="0" t="n">
        <f aca="false">-L6*L9/100</f>
        <v>-20.2108579455929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349.1303865</v>
      </c>
      <c r="D11" s="0" t="n">
        <f aca="false">D8+D10+D24</f>
        <v>366.586905825</v>
      </c>
      <c r="E11" s="0" t="n">
        <f aca="false">E8+E10+E24</f>
        <v>358.207776549</v>
      </c>
      <c r="F11" s="0" t="n">
        <f aca="false">F8+F10+F24</f>
        <v>372.53608761096</v>
      </c>
      <c r="G11" s="0" t="n">
        <f aca="false">G8+G10+G24</f>
        <v>385.956101059402</v>
      </c>
      <c r="H11" s="0" t="n">
        <f aca="false">H8+H10+H24</f>
        <v>397.534784091184</v>
      </c>
      <c r="I11" s="0" t="n">
        <f aca="false">I8+I10+I24</f>
        <v>407.473153693463</v>
      </c>
      <c r="J11" s="0" t="n">
        <f aca="false">J8+J10+J24</f>
        <v>417.6599825358</v>
      </c>
      <c r="K11" s="0" t="n">
        <f aca="false">K8+K10+K24</f>
        <v>426.013182186516</v>
      </c>
      <c r="L11" s="0" t="n">
        <f aca="false">L8+L10+L24</f>
        <v>434.533445830246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-79.8012312</v>
      </c>
      <c r="D12" s="4" t="n">
        <f aca="false">-D6*Assumptions!D31/100</f>
        <v>-92.170422036</v>
      </c>
      <c r="E12" s="4" t="n">
        <f aca="false">-E6*Assumptions!E31/100</f>
        <v>-100.549551312</v>
      </c>
      <c r="F12" s="4" t="n">
        <f aca="false">-F6*Assumptions!F31/100</f>
        <v>-108.928680588</v>
      </c>
      <c r="G12" s="4" t="n">
        <f aca="false">-G6*Assumptions!G31/100</f>
        <v>-116.684402645866</v>
      </c>
      <c r="H12" s="4" t="n">
        <f aca="false">-H6*Assumptions!H31/100</f>
        <v>-124.807432214674</v>
      </c>
      <c r="I12" s="4" t="n">
        <f aca="false">-I6*Assumptions!I31/100</f>
        <v>-132.665677946709</v>
      </c>
      <c r="J12" s="4" t="n">
        <f aca="false">-J6*Assumptions!J31/100</f>
        <v>-135.982319895377</v>
      </c>
      <c r="K12" s="4" t="n">
        <f aca="false">-K6*Assumptions!K31/100</f>
        <v>-138.701966293284</v>
      </c>
      <c r="L12" s="4" t="n">
        <f aca="false">-L6*Assumptions!L31/100</f>
        <v>-141.47600561915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269.3291553</v>
      </c>
      <c r="D13" s="0" t="n">
        <f aca="false">D11+D12</f>
        <v>274.416483789</v>
      </c>
      <c r="E13" s="0" t="n">
        <f aca="false">E11+E12</f>
        <v>257.658225237</v>
      </c>
      <c r="F13" s="0" t="n">
        <f aca="false">F11+F12</f>
        <v>263.60740702296</v>
      </c>
      <c r="G13" s="0" t="n">
        <f aca="false">G11+G12</f>
        <v>269.271698413536</v>
      </c>
      <c r="H13" s="0" t="n">
        <f aca="false">H11+H12</f>
        <v>272.72735187651</v>
      </c>
      <c r="I13" s="0" t="n">
        <f aca="false">I11+I12</f>
        <v>274.807475746754</v>
      </c>
      <c r="J13" s="0" t="n">
        <f aca="false">J11+J12</f>
        <v>281.677662640423</v>
      </c>
      <c r="K13" s="0" t="n">
        <f aca="false">K11+K12</f>
        <v>287.311215893232</v>
      </c>
      <c r="L13" s="0" t="n">
        <f aca="false">L11+L12</f>
        <v>293.057440211096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15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228.929782005</v>
      </c>
      <c r="D15" s="0" t="n">
        <f aca="false">D13-MAX(0,D13)*D14/100</f>
        <v>230.50984638276</v>
      </c>
      <c r="E15" s="0" t="n">
        <f aca="false">E13-MAX(0,E13)*E14/100</f>
        <v>213.85632694671</v>
      </c>
      <c r="F15" s="0" t="n">
        <f aca="false">F13-MAX(0,F13)*F14/100</f>
        <v>216.158073758827</v>
      </c>
      <c r="G15" s="0" t="n">
        <f aca="false">G13-MAX(0,G13)*G14/100</f>
        <v>220.8027926991</v>
      </c>
      <c r="H15" s="0" t="n">
        <f aca="false">H13-MAX(0,H13)*H14/100</f>
        <v>223.636428538738</v>
      </c>
      <c r="I15" s="0" t="n">
        <f aca="false">I13-MAX(0,I13)*I14/100</f>
        <v>225.342130112339</v>
      </c>
      <c r="J15" s="0" t="n">
        <f aca="false">J13-MAX(0,J13)*J14/100</f>
        <v>230.975683365147</v>
      </c>
      <c r="K15" s="0" t="n">
        <f aca="false">K13-MAX(0,K13)*K14/100</f>
        <v>235.59519703245</v>
      </c>
      <c r="L15" s="0" t="n">
        <f aca="false">L13-MAX(0,L13)*L14/100</f>
        <v>240.307100973099</v>
      </c>
    </row>
    <row r="16" customFormat="false" ht="15" hidden="false" customHeight="false" outlineLevel="0" collapsed="false">
      <c r="A16" s="0" t="s">
        <v>119</v>
      </c>
      <c r="C16" s="0" t="n">
        <f aca="false">-C12</f>
        <v>79.8012312</v>
      </c>
      <c r="D16" s="0" t="n">
        <f aca="false">-D12</f>
        <v>92.170422036</v>
      </c>
      <c r="E16" s="0" t="n">
        <f aca="false">-E12</f>
        <v>100.549551312</v>
      </c>
      <c r="F16" s="0" t="n">
        <f aca="false">-F12</f>
        <v>108.928680588</v>
      </c>
      <c r="G16" s="0" t="n">
        <f aca="false">-G12</f>
        <v>116.684402645866</v>
      </c>
      <c r="H16" s="0" t="n">
        <f aca="false">-H12</f>
        <v>124.807432214674</v>
      </c>
      <c r="I16" s="0" t="n">
        <f aca="false">-I12</f>
        <v>132.665677946709</v>
      </c>
      <c r="J16" s="0" t="n">
        <f aca="false">-J12</f>
        <v>135.982319895377</v>
      </c>
      <c r="K16" s="0" t="n">
        <f aca="false">-K12</f>
        <v>138.701966293284</v>
      </c>
      <c r="L16" s="0" t="n">
        <f aca="false">-L12</f>
        <v>141.47600561915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-139.6521546</v>
      </c>
      <c r="D17" s="4" t="n">
        <f aca="false">-D6*Assumptions!D32/100</f>
        <v>-146.63476233</v>
      </c>
      <c r="E17" s="4" t="n">
        <f aca="false">-E6*Assumptions!E32/100</f>
        <v>-146.63476233</v>
      </c>
      <c r="F17" s="4" t="n">
        <f aca="false">-F6*Assumptions!F32/100</f>
        <v>-139.42871115264</v>
      </c>
      <c r="G17" s="4" t="n">
        <f aca="false">-G6*Assumptions!G32/100</f>
        <v>-134.635849206768</v>
      </c>
      <c r="H17" s="4" t="n">
        <f aca="false">-H6*Assumptions!H32/100</f>
        <v>-138.674924682971</v>
      </c>
      <c r="I17" s="4" t="n">
        <f aca="false">-I6*Assumptions!I32/100</f>
        <v>-142.141797800045</v>
      </c>
      <c r="J17" s="4" t="n">
        <f aca="false">-J6*Assumptions!J32/100</f>
        <v>-145.695342745046</v>
      </c>
      <c r="K17" s="4" t="n">
        <f aca="false">-K6*Assumptions!K32/100</f>
        <v>-148.609249599947</v>
      </c>
      <c r="L17" s="4" t="n">
        <f aca="false">-L6*Assumptions!L32/100</f>
        <v>-151.581434591946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-24.500378</v>
      </c>
      <c r="D18" s="4" t="n">
        <f aca="false">(D6-C6)*Assumptions!$B$37/100</f>
        <v>-9.97515390000001</v>
      </c>
      <c r="E18" s="4" t="n">
        <f aca="false">(E6-D6)*Assumptions!$B$37/100</f>
        <v>-0</v>
      </c>
      <c r="F18" s="4" t="n">
        <f aca="false">(F6-E6)*Assumptions!$B$37/100</f>
        <v>-8.379129276</v>
      </c>
      <c r="G18" s="4" t="n">
        <f aca="false">(G6-F6)*Assumptions!$B$37/100</f>
        <v>-6.53572083528002</v>
      </c>
      <c r="H18" s="4" t="n">
        <f aca="false">(H6-G6)*Assumptions!$B$37/100</f>
        <v>-6.73179246033842</v>
      </c>
      <c r="I18" s="4" t="n">
        <f aca="false">(I6-H6)*Assumptions!$B$37/100</f>
        <v>-5.77812186179044</v>
      </c>
      <c r="J18" s="4" t="n">
        <f aca="false">(J6-I6)*Assumptions!$B$37/100</f>
        <v>-5.92257490833522</v>
      </c>
      <c r="K18" s="4" t="n">
        <f aca="false">(K6-J6)*Assumptions!$B$37/100</f>
        <v>-4.85651142483489</v>
      </c>
      <c r="L18" s="4" t="n">
        <f aca="false">(L6-K6)*Assumptions!$B$37/100</f>
        <v>-4.95364165333158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144.578480605</v>
      </c>
      <c r="D19" s="0" t="n">
        <f aca="false">D15+D16+D17+D18</f>
        <v>166.07035218876</v>
      </c>
      <c r="E19" s="0" t="n">
        <f aca="false">E15+E16+E17+E18</f>
        <v>167.77111592871</v>
      </c>
      <c r="F19" s="0" t="n">
        <f aca="false">F15+F16+F17+F18</f>
        <v>177.278913918187</v>
      </c>
      <c r="G19" s="0" t="n">
        <f aca="false">G15+G16+G17+G18</f>
        <v>196.315625302917</v>
      </c>
      <c r="H19" s="0" t="n">
        <f aca="false">H15+H16+H17+H18</f>
        <v>203.037143610102</v>
      </c>
      <c r="I19" s="0" t="n">
        <f aca="false">I15+I16+I17+I18</f>
        <v>210.087888397212</v>
      </c>
      <c r="J19" s="0" t="n">
        <f aca="false">J15+J16+J17+J18</f>
        <v>215.340085607142</v>
      </c>
      <c r="K19" s="0" t="n">
        <f aca="false">K15+K16+K17+K18</f>
        <v>220.831402300952</v>
      </c>
      <c r="L19" s="0" t="n">
        <f aca="false">L15+L16+L17+L18</f>
        <v>225.248030346971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130.840253941177</v>
      </c>
      <c r="D21" s="0" t="n">
        <f aca="false">D19*D20</f>
        <v>136.00896966791</v>
      </c>
      <c r="E21" s="0" t="n">
        <f aca="false">E19*E20</f>
        <v>124.345581940483</v>
      </c>
      <c r="F21" s="0" t="n">
        <f aca="false">F19*F20</f>
        <v>118.907150100082</v>
      </c>
      <c r="G21" s="0" t="n">
        <f aca="false">G19*G20</f>
        <v>119.163562284108</v>
      </c>
      <c r="H21" s="0" t="n">
        <f aca="false">H19*H20</f>
        <v>111.532600121193</v>
      </c>
      <c r="I21" s="0" t="n">
        <f aca="false">I19*I20</f>
        <v>104.439568739123</v>
      </c>
      <c r="J21" s="0" t="n">
        <f aca="false">J19*J20</f>
        <v>96.8783329933043</v>
      </c>
      <c r="K21" s="0" t="n">
        <f aca="false">K19*K20</f>
        <v>89.9084122153181</v>
      </c>
      <c r="L21" s="0" t="n">
        <f aca="false">L19*L20</f>
        <v>82.9923805064475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1115.01681250915</v>
      </c>
    </row>
    <row r="31" customFormat="false" ht="15" hidden="false" customHeight="false" outlineLevel="0" collapsed="false">
      <c r="A31" s="0" t="s">
        <v>128</v>
      </c>
      <c r="B31" s="0" t="n">
        <f aca="false">L19</f>
        <v>225.248030346971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2885.99038882057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2702.97636416365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2702.97636416365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995.90856607737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2110.92537858652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2360.84237858652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20.8713936841887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-0.0292375030609889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113.54227518949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95.4104288203202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22.7186725141188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1847.03384884516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14.3452887957066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18</v>
      </c>
      <c r="D5" s="4" t="n">
        <f aca="false">Assumptions!D41</f>
        <v>12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3500.054</v>
      </c>
      <c r="C6" s="0" t="n">
        <f aca="false">B6*(1+C5/100)</f>
        <v>4130.06372</v>
      </c>
      <c r="D6" s="0" t="n">
        <f aca="false">C6*(1+D5/100)</f>
        <v>4625.6713664</v>
      </c>
      <c r="E6" s="0" t="n">
        <f aca="false">D6*(1+E5/100)</f>
        <v>4995.725075712</v>
      </c>
      <c r="F6" s="0" t="n">
        <f aca="false">E6*(1+F5/100)</f>
        <v>5395.38308176896</v>
      </c>
      <c r="G6" s="0" t="n">
        <f aca="false">F6*(1+G5/100)</f>
        <v>5719.1060666751</v>
      </c>
      <c r="H6" s="0" t="n">
        <f aca="false">G6*(1+H5/100)</f>
        <v>6005.06137000885</v>
      </c>
      <c r="I6" s="0" t="n">
        <f aca="false">H6*(1+I5/100)</f>
        <v>6245.26382480921</v>
      </c>
      <c r="J6" s="0" t="n">
        <f aca="false">I6*(1+J5/100)</f>
        <v>6432.62173955349</v>
      </c>
      <c r="K6" s="0" t="n">
        <f aca="false">J6*(1+K5/100)</f>
        <v>6625.60039174009</v>
      </c>
      <c r="L6" s="0" t="n">
        <f aca="false">K6*(1+L5/100)</f>
        <v>6824.36840349229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9.4</v>
      </c>
      <c r="D7" s="4" t="n">
        <f aca="false">Assumptions!D42</f>
        <v>9.6</v>
      </c>
      <c r="E7" s="4" t="n">
        <f aca="false">Assumptions!E42</f>
        <v>9.8</v>
      </c>
      <c r="F7" s="4" t="n">
        <f aca="false">Assumptions!F42</f>
        <v>10</v>
      </c>
      <c r="G7" s="4" t="n">
        <f aca="false">Assumptions!G42</f>
        <v>10.2</v>
      </c>
      <c r="H7" s="4" t="n">
        <f aca="false">Assumptions!H42</f>
        <v>10.4</v>
      </c>
      <c r="I7" s="4" t="n">
        <f aca="false">Assumptions!I42</f>
        <v>10.5</v>
      </c>
      <c r="J7" s="4" t="n">
        <f aca="false">Assumptions!J42</f>
        <v>10.5</v>
      </c>
      <c r="K7" s="4" t="n">
        <f aca="false">Assumptions!K42</f>
        <v>10.5</v>
      </c>
      <c r="L7" s="4" t="n">
        <f aca="false">Assumptions!L42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388.22598968</v>
      </c>
      <c r="D8" s="0" t="n">
        <f aca="false">D6*D7/100</f>
        <v>444.0644511744</v>
      </c>
      <c r="E8" s="0" t="n">
        <f aca="false">E6*E7/100</f>
        <v>489.581057419776</v>
      </c>
      <c r="F8" s="0" t="n">
        <f aca="false">F6*F7/100</f>
        <v>539.538308176896</v>
      </c>
      <c r="G8" s="0" t="n">
        <f aca="false">G6*G7/100</f>
        <v>583.34881880086</v>
      </c>
      <c r="H8" s="0" t="n">
        <f aca="false">H6*H7/100</f>
        <v>624.526382480921</v>
      </c>
      <c r="I8" s="0" t="n">
        <f aca="false">I6*I7/100</f>
        <v>655.752701604967</v>
      </c>
      <c r="J8" s="0" t="n">
        <f aca="false">J6*J7/100</f>
        <v>675.425282653116</v>
      </c>
      <c r="K8" s="0" t="n">
        <f aca="false">K6*K7/100</f>
        <v>695.688041132709</v>
      </c>
      <c r="L8" s="0" t="n">
        <f aca="false">L6*L7/100</f>
        <v>716.558682366691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-18.58528674</v>
      </c>
      <c r="D10" s="0" t="n">
        <f aca="false">-D6*D9/100</f>
        <v>-20.8155211488</v>
      </c>
      <c r="E10" s="0" t="n">
        <f aca="false">-E6*E9/100</f>
        <v>-22.480762840704</v>
      </c>
      <c r="F10" s="0" t="n">
        <f aca="false">-F6*F9/100</f>
        <v>-24.2792238679603</v>
      </c>
      <c r="G10" s="0" t="n">
        <f aca="false">-G6*G9/100</f>
        <v>-22.8764242667004</v>
      </c>
      <c r="H10" s="0" t="n">
        <f aca="false">-H6*H9/100</f>
        <v>-24.0202454800354</v>
      </c>
      <c r="I10" s="0" t="n">
        <f aca="false">-I6*I9/100</f>
        <v>-24.9810552992368</v>
      </c>
      <c r="J10" s="0" t="n">
        <f aca="false">-J6*J9/100</f>
        <v>-25.7304869582139</v>
      </c>
      <c r="K10" s="0" t="n">
        <f aca="false">-K6*K9/100</f>
        <v>-26.5024015669604</v>
      </c>
      <c r="L10" s="0" t="n">
        <f aca="false">-L6*L9/100</f>
        <v>-27.2974736139692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369.64070294</v>
      </c>
      <c r="D11" s="0" t="n">
        <f aca="false">D8+D10+D24</f>
        <v>423.2489300256</v>
      </c>
      <c r="E11" s="0" t="n">
        <f aca="false">E8+E10+E24</f>
        <v>467.100294579072</v>
      </c>
      <c r="F11" s="0" t="n">
        <f aca="false">F8+F10+F24</f>
        <v>515.259084308936</v>
      </c>
      <c r="G11" s="0" t="n">
        <f aca="false">G8+G10+G24</f>
        <v>560.47239453416</v>
      </c>
      <c r="H11" s="0" t="n">
        <f aca="false">H8+H10+H24</f>
        <v>600.506137000886</v>
      </c>
      <c r="I11" s="0" t="n">
        <f aca="false">I8+I10+I24</f>
        <v>630.77164630573</v>
      </c>
      <c r="J11" s="0" t="n">
        <f aca="false">J8+J10+J24</f>
        <v>649.694795694902</v>
      </c>
      <c r="K11" s="0" t="n">
        <f aca="false">K8+K10+K24</f>
        <v>669.185639565749</v>
      </c>
      <c r="L11" s="0" t="n">
        <f aca="false">L8+L10+L24</f>
        <v>689.261208752722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-82.6012744</v>
      </c>
      <c r="D12" s="4" t="n">
        <f aca="false">-D6*Assumptions!D45/100</f>
        <v>-101.7647700608</v>
      </c>
      <c r="E12" s="4" t="n">
        <f aca="false">-E6*Assumptions!E45/100</f>
        <v>-119.897401817088</v>
      </c>
      <c r="F12" s="4" t="n">
        <f aca="false">-F6*Assumptions!F45/100</f>
        <v>-134.884577044224</v>
      </c>
      <c r="G12" s="4" t="n">
        <f aca="false">-G6*Assumptions!G45/100</f>
        <v>-148.696757733553</v>
      </c>
      <c r="H12" s="4" t="n">
        <f aca="false">-H6*Assumptions!H45/100</f>
        <v>-162.136656990239</v>
      </c>
      <c r="I12" s="4" t="n">
        <f aca="false">-I6*Assumptions!I45/100</f>
        <v>-174.867387094658</v>
      </c>
      <c r="J12" s="4" t="n">
        <f aca="false">-J6*Assumptions!J45/100</f>
        <v>-180.113408707498</v>
      </c>
      <c r="K12" s="4" t="n">
        <f aca="false">-K6*Assumptions!K45/100</f>
        <v>-185.516810968723</v>
      </c>
      <c r="L12" s="4" t="n">
        <f aca="false">-L6*Assumptions!L45/100</f>
        <v>-191.082315297784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287.03942854</v>
      </c>
      <c r="D13" s="0" t="n">
        <f aca="false">D11+D12</f>
        <v>321.4841599648</v>
      </c>
      <c r="E13" s="0" t="n">
        <f aca="false">E11+E12</f>
        <v>347.202892761984</v>
      </c>
      <c r="F13" s="0" t="n">
        <f aca="false">F11+F12</f>
        <v>380.374507264712</v>
      </c>
      <c r="G13" s="0" t="n">
        <f aca="false">G11+G12</f>
        <v>411.775636800607</v>
      </c>
      <c r="H13" s="0" t="n">
        <f aca="false">H11+H12</f>
        <v>438.369480010646</v>
      </c>
      <c r="I13" s="0" t="n">
        <f aca="false">I11+I12</f>
        <v>455.904259211072</v>
      </c>
      <c r="J13" s="0" t="n">
        <f aca="false">J11+J12</f>
        <v>469.581386987404</v>
      </c>
      <c r="K13" s="0" t="n">
        <f aca="false">K11+K12</f>
        <v>483.668828597027</v>
      </c>
      <c r="L13" s="0" t="n">
        <f aca="false">L11+L12</f>
        <v>498.178893454937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15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243.983514259</v>
      </c>
      <c r="D15" s="0" t="n">
        <f aca="false">D13-MAX(0,D13)*D14/100</f>
        <v>270.046694370432</v>
      </c>
      <c r="E15" s="0" t="n">
        <f aca="false">E13-MAX(0,E13)*E14/100</f>
        <v>288.178400992447</v>
      </c>
      <c r="F15" s="0" t="n">
        <f aca="false">F13-MAX(0,F13)*F14/100</f>
        <v>311.907095957064</v>
      </c>
      <c r="G15" s="0" t="n">
        <f aca="false">G13-MAX(0,G13)*G14/100</f>
        <v>337.656022176498</v>
      </c>
      <c r="H15" s="0" t="n">
        <f aca="false">H13-MAX(0,H13)*H14/100</f>
        <v>359.46297360873</v>
      </c>
      <c r="I15" s="0" t="n">
        <f aca="false">I13-MAX(0,I13)*I14/100</f>
        <v>373.841492553079</v>
      </c>
      <c r="J15" s="0" t="n">
        <f aca="false">J13-MAX(0,J13)*J14/100</f>
        <v>385.056737329672</v>
      </c>
      <c r="K15" s="0" t="n">
        <f aca="false">K13-MAX(0,K13)*K14/100</f>
        <v>396.608439449562</v>
      </c>
      <c r="L15" s="0" t="n">
        <f aca="false">L13-MAX(0,L13)*L14/100</f>
        <v>408.506692633049</v>
      </c>
    </row>
    <row r="16" customFormat="false" ht="15" hidden="false" customHeight="false" outlineLevel="0" collapsed="false">
      <c r="A16" s="0" t="s">
        <v>119</v>
      </c>
      <c r="C16" s="0" t="n">
        <f aca="false">-C12</f>
        <v>82.6012744</v>
      </c>
      <c r="D16" s="0" t="n">
        <f aca="false">-D12</f>
        <v>101.7647700608</v>
      </c>
      <c r="E16" s="0" t="n">
        <f aca="false">-E12</f>
        <v>119.897401817088</v>
      </c>
      <c r="F16" s="0" t="n">
        <f aca="false">-F12</f>
        <v>134.884577044224</v>
      </c>
      <c r="G16" s="0" t="n">
        <f aca="false">-G12</f>
        <v>148.696757733553</v>
      </c>
      <c r="H16" s="0" t="n">
        <f aca="false">-H12</f>
        <v>162.136656990239</v>
      </c>
      <c r="I16" s="0" t="n">
        <f aca="false">-I12</f>
        <v>174.867387094658</v>
      </c>
      <c r="J16" s="0" t="n">
        <f aca="false">-J12</f>
        <v>180.113408707498</v>
      </c>
      <c r="K16" s="0" t="n">
        <f aca="false">-K12</f>
        <v>185.516810968723</v>
      </c>
      <c r="L16" s="0" t="n">
        <f aca="false">-L12</f>
        <v>191.082315297784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-165.2025488</v>
      </c>
      <c r="D17" s="4" t="n">
        <f aca="false">-D6*Assumptions!D46/100</f>
        <v>-185.026854656</v>
      </c>
      <c r="E17" s="4" t="n">
        <f aca="false">-E6*Assumptions!E46/100</f>
        <v>-189.837552877056</v>
      </c>
      <c r="F17" s="4" t="n">
        <f aca="false">-F6*Assumptions!F46/100</f>
        <v>-188.838407861914</v>
      </c>
      <c r="G17" s="4" t="n">
        <f aca="false">-G6*Assumptions!G46/100</f>
        <v>-183.011394133603</v>
      </c>
      <c r="H17" s="4" t="n">
        <f aca="false">-H6*Assumptions!H46/100</f>
        <v>-180.151841100266</v>
      </c>
      <c r="I17" s="4" t="n">
        <f aca="false">-I6*Assumptions!I46/100</f>
        <v>-187.357914744276</v>
      </c>
      <c r="J17" s="4" t="n">
        <f aca="false">-J6*Assumptions!J46/100</f>
        <v>-192.978652186605</v>
      </c>
      <c r="K17" s="4" t="n">
        <f aca="false">-K6*Assumptions!K46/100</f>
        <v>-198.768011752203</v>
      </c>
      <c r="L17" s="4" t="n">
        <f aca="false">-L6*Assumptions!L46/100</f>
        <v>-204.731052104769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-31.500486</v>
      </c>
      <c r="D18" s="4" t="n">
        <f aca="false">(D6-C6)*Assumptions!$B$51/100</f>
        <v>-24.78038232</v>
      </c>
      <c r="E18" s="4" t="n">
        <f aca="false">(E6-D6)*Assumptions!$B$51/100</f>
        <v>-18.5026854656</v>
      </c>
      <c r="F18" s="4" t="n">
        <f aca="false">(F6-E6)*Assumptions!$B$51/100</f>
        <v>-19.982900302848</v>
      </c>
      <c r="G18" s="4" t="n">
        <f aca="false">(G6-F6)*Assumptions!$B$51/100</f>
        <v>-16.1861492453069</v>
      </c>
      <c r="H18" s="4" t="n">
        <f aca="false">(H6-G6)*Assumptions!$B$51/100</f>
        <v>-14.2977651666878</v>
      </c>
      <c r="I18" s="4" t="n">
        <f aca="false">(I6-H6)*Assumptions!$B$51/100</f>
        <v>-12.0101227400177</v>
      </c>
      <c r="J18" s="4" t="n">
        <f aca="false">(J6-I6)*Assumptions!$B$51/100</f>
        <v>-9.3678957372138</v>
      </c>
      <c r="K18" s="4" t="n">
        <f aca="false">(K6-J6)*Assumptions!$B$51/100</f>
        <v>-9.64893260933022</v>
      </c>
      <c r="L18" s="4" t="n">
        <f aca="false">(L6-K6)*Assumptions!$B$51/100</f>
        <v>-9.93840058761016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129.881753859</v>
      </c>
      <c r="D19" s="0" t="n">
        <f aca="false">D15+D16+D17+D18</f>
        <v>162.004227455232</v>
      </c>
      <c r="E19" s="0" t="n">
        <f aca="false">E15+E16+E17+E18</f>
        <v>199.735564466879</v>
      </c>
      <c r="F19" s="0" t="n">
        <f aca="false">F15+F16+F17+F18</f>
        <v>237.970364836526</v>
      </c>
      <c r="G19" s="0" t="n">
        <f aca="false">G15+G16+G17+G18</f>
        <v>287.15523653114</v>
      </c>
      <c r="H19" s="0" t="n">
        <f aca="false">H15+H16+H17+H18</f>
        <v>327.150024332016</v>
      </c>
      <c r="I19" s="0" t="n">
        <f aca="false">I15+I16+I17+I18</f>
        <v>349.340842163443</v>
      </c>
      <c r="J19" s="0" t="n">
        <f aca="false">J15+J16+J17+J18</f>
        <v>362.823598113351</v>
      </c>
      <c r="K19" s="0" t="n">
        <f aca="false">K15+K16+K17+K18</f>
        <v>373.708306056751</v>
      </c>
      <c r="L19" s="0" t="n">
        <f aca="false">L15+L16+L17+L18</f>
        <v>384.919555238454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117.540048741176</v>
      </c>
      <c r="D21" s="0" t="n">
        <f aca="false">D19*D20</f>
        <v>132.678878364679</v>
      </c>
      <c r="E21" s="0" t="n">
        <f aca="false">E19*E20</f>
        <v>148.036417713275</v>
      </c>
      <c r="F21" s="0" t="n">
        <f aca="false">F19*F20</f>
        <v>159.615022822436</v>
      </c>
      <c r="G21" s="0" t="n">
        <f aca="false">G19*G20</f>
        <v>174.30319599261</v>
      </c>
      <c r="H21" s="0" t="n">
        <f aca="false">H19*H20</f>
        <v>179.710432262237</v>
      </c>
      <c r="I21" s="0" t="n">
        <f aca="false">I19*I20</f>
        <v>173.66544628946</v>
      </c>
      <c r="J21" s="0" t="n">
        <f aca="false">J19*J20</f>
        <v>163.228993137765</v>
      </c>
      <c r="K21" s="0" t="n">
        <f aca="false">K19*K20</f>
        <v>152.150102200813</v>
      </c>
      <c r="L21" s="0" t="n">
        <f aca="false">L19*L20</f>
        <v>141.823172187183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1542.75170971163</v>
      </c>
    </row>
    <row r="31" customFormat="false" ht="15" hidden="false" customHeight="false" outlineLevel="0" collapsed="false">
      <c r="A31" s="0" t="s">
        <v>128</v>
      </c>
      <c r="B31" s="0" t="n">
        <f aca="false">L19</f>
        <v>384.919555238454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4931.78180149269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5388.87377333836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4931.78180149269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1817.10939364828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3359.86110335992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3609.77810335992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31.9128039174294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0.484316461275784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138.736704713044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128.864577161016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34.2785746080297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3156.34035295532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20.0547000704008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11.6331773587364</v>
      </c>
      <c r="C4" s="0" t="n">
        <f aca="false">B4/Assumptions!$B$2-1</f>
        <v>-0.458921983314588</v>
      </c>
      <c r="D4" s="4" t="n">
        <f aca="false">Assumptions!$B$24</f>
        <v>0.3</v>
      </c>
      <c r="E4" s="4" t="n">
        <f aca="false">DCF_Bear!$B$43</f>
        <v>12.8712620740155</v>
      </c>
      <c r="F4" s="4" t="n">
        <f aca="false">DCF_Bear!$B$47</f>
        <v>9.13804504990405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20.8713936841887</v>
      </c>
      <c r="C5" s="0" t="n">
        <f aca="false">B5/Assumptions!$B$2-1</f>
        <v>-0.0292375030609889</v>
      </c>
      <c r="D5" s="4" t="n">
        <f aca="false">Assumptions!$B$38</f>
        <v>0.45</v>
      </c>
      <c r="E5" s="4" t="n">
        <f aca="false">DCF_Base!$B$43</f>
        <v>22.7186725141188</v>
      </c>
      <c r="F5" s="4" t="n">
        <f aca="false">DCF_Base!$B$47</f>
        <v>14.3452887957066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31.9128039174294</v>
      </c>
      <c r="C6" s="0" t="n">
        <f aca="false">B6/Assumptions!$B$2-1</f>
        <v>0.484316461275784</v>
      </c>
      <c r="D6" s="4" t="n">
        <f aca="false">Assumptions!$B$52</f>
        <v>0.25</v>
      </c>
      <c r="E6" s="4" t="n">
        <f aca="false">DCF_Bull!$B$43</f>
        <v>34.2785746080297</v>
      </c>
      <c r="F6" s="4" t="n">
        <f aca="false">DCF_Bull!$B$47</f>
        <v>20.0547000704008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20.8602813448632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22.6544249055655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-0.0306668277652136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35.6559346280179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14.2104684906394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22.8771288324092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21.510340983963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20.8713936841887</v>
      </c>
      <c r="C17" s="3" t="n">
        <v>10.5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20.2601115731509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18.3389867660759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14.3452887957066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23.6081365198791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23.6081365198791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23.6081365198791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23.6081365198791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23.6081365198791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22.1784066098918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22.1784066098918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22.1784066098918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22.1784066098918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22.1784066098918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20.3414941636089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20.8713936841887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20.8713936841887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20.8713936841887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20.8713936841887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18.434702237697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18.8281780604833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19.2653734191347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19.675121535539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19.675121535539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16.8785897664014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17.177238568899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17.5057522516464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17.8688463220513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18.2722841780568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2026-10-16T12:09:22Z</dcterms:created>
  <dc:creator>openpyxl</dc:creator>
  <dc:description/>
  <dc:language>en-NZ</dc:language>
  <cp:lastModifiedBy/>
  <dcterms:modified xsi:type="dcterms:W3CDTF">2026-10-16T12:09:22Z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