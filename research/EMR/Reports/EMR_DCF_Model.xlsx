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<sst xmlns="http://schemas.openxmlformats.org/spreadsheetml/2006/main" count="390" uniqueCount="176">
  <si>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</si>
  <si>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EMR</t>
  </si>
  <si>
    <t xml:space="preserve">Company</t>
  </si>
  <si>
    <t xml:space="preserve">Emerson Electric Co.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</si>
  <si>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</si>
  <si>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</si>
  <si>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</si>
  <si>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</si>
  <si>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2026-09-25T20:03:59Z regular close (Friday); valuation dated Monday 2026-09-28 pre-open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</si>
  <si>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</si>
  <si>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</si>
  <si>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</si>
  <si>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</si>
  <si>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</si>
  <si>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</si>
  <si>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</si>
  <si>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</si>
  <si>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</si>
  <si>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</si>
  <si>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</si>
  <si>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</si>
  <si>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2026-09-28T07:34:40Z</t>
  </si>
  <si>
    <t xml:space="preserve">Drivers file</t>
  </si>
  <si>
    <t xml:space="preserve">EMR_Drivers.json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</si>
  <si>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</si>
  <si>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</si>
  <si>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</si>
  <si>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DCF, SBC fully expensed, share count flat and funded by buybacks, net debt of $10.9B deducted once at the 2026-06-30 balance sheet. The build is unlevered and uses only cash-tax-deductible D&amp;A so the ~$1.1B/yr of non-deductible acquired-intangible amortization creates neither a phantom tax shield nor a fake cost. The market pays ~27x EV/FCF and ~22x forward P/E for Emerson's software re-rating; at an 8.5% WACC the house basis says that price already embeds the bull case. The stock is a quality compounder that is not cheap.
key_risks_to_valuation: Terminal value carries most of the EV: a 1pp move in WACC or terminal growth swings value ~15-20% (see sensitivity grid).; FY0 is guidance-based (FY26 ends 2026-09-30, reports ~mid-Nov 2026): replace with actuals at the next update; the FY26 FCF print vs $3.6B guide is the first checkpoint.; EBITDA margin is derived from GAAP pretax + interest + D&amp;A, not a company-reported total-company EBITDA; a ~1pp error in the FY26E starting margin is ~$8/share.; The cash tax rate treatment (22% on EBIT after deductible D&amp;A only) is a judgment on how much of the $1.1B amortization is deductible; if more is deductible than assumed, value is understated by up to ~$5/share.; Safety &amp; Productivity divestiture (~8% of revenue) is not modelled; a sale below fair value or a prolonged process would be dilutive.; ~$4B of commercial paper from the AspenTech buyout is short-dated; a refinancing at 5%+ raises interest (outside the unlevered build but a real equity cost).</t>
  </si>
  <si>
    <t xml:space="preserve">Data sources</t>
  </si>
  <si>
    <t xml:space="preserve">price: Yahoo Finance chart API at inputs.price_as_of; 52-week range 122.64-166.35.
financials: SEC XBRL companyfacts (CIK 32604): 10-Q Q3 FY2026 (period ended 2026-06-30) for cash, debt, shares, 9M cash flows, SBC, D&amp;A, taxes; 10-K FY2025 for annual D&amp;A split (depreciation $344M / amortization $1,174M), taxes paid $1,440M, interest paid $221M, operating lease cost $201M and liability $643M, continuing vs discontinued OCF ($3,676M / -$578M). EMR_Metrics.csv for the history pivot.
qualitative: EMR_Analysis.json (2026-09-28): Q3 FY2026 results and raised FY26 guidance (sales ~+5%, adj EPS ~$6.55, FCF ~$3.6B, capital return ~$2.2B), backlog $8.2B, ACV $1.68B, Middle East headwind ~$100M, Safety &amp; Productivity strategic review.</t>
  </si>
  <si>
    <t xml:space="preserve">Scenario narrative: bear</t>
  </si>
  <si>
    <t xml:space="preserve">A FY28 industrial-capex recession (oil/chemicals overcapacity, tariff retaliation, financing-cost-driven project deferrals) coincides with China staying weak and the Strait of Hormuz disruption persisting. Revenue falls 3% at the trough, EBITDA deleverages to 26%, and the recovery is muted because software growth stalls at the current ACV and NI synergies disappoint. Leverage at 1.9x means no solvency risk, but $4B of commercial paper must be termed out at higher coupons. Terminal growth 2.0%, cap 15x. The bear does not hit the zero floor - the business remains a ~$3B FCF generator throughout.</t>
  </si>
  <si>
    <t xml:space="preserve">Scenario narrative: base</t>
  </si>
  <si>
    <t xml:space="preserve">Emerson is now a ~40%-software process-automation company with a record $8.2B backlog. Base assumes the power/grid, LNG and semiconductor cycles deliver 5-5.5% growth for two years, fading to 2.5% by FY36, while software mix and NI/AspenTech synergies add ~30bp/yr of EBITDA margin to 30.5%. The Middle East logistics headwind (~$100M FY26) and China weakness (-3%) roll off but are not reversed. Non-deductible acquisition amortization is left out of the build (no cash, no shield). Buybacks fund a flat share count; net debt of $10.9B (1.9x EBITDA) is deducted once. The axes that matter are (1) whether the growth-vertical orders (+27%) convert to shipped revenue at software-like margins, and (2) whether the hardware half (Intelligent Devices, 55% of sales) stays above trough through the next capex cycle.</t>
  </si>
  <si>
    <t xml:space="preserve">Scenario narrative: bull</t>
  </si>
  <si>
    <t xml:space="preserve">The AI/data-centre power buildout (1.7 GW award, Ovation +31%), the LNG funnel ($2.2B) and the semiconductor T&amp;M recovery (+70% orders) run concurrently for 3-4 years, lifting growth to 7-7.5% and pulling AspenTech/DeltaV software to 40%+ of revenue. Company EBITDA reaches 32% - a level no automation peer has achieved, which is why this is the bull and not the base. A Safety &amp; Productivity sale at a full multiple would be upside on top (not modelled). Terminal growth 3.0%, cap 20x.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</si>
  <si>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</si>
  <si>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</si>
  <si>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</si>
  <si>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</si>
  <si>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</si>
  <si>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</si>
  <si>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</si>
  <si>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</si>
  <si>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</si>
  <si>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</si>
  <si>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</si>
  <si>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</si>
  <si>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</si>
  <si>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</si>
  <si>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</si>
  <si>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</si>
  <si>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</si>
  <si>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</si>
  <si>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</si>
  <si>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</si>
  <si>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</si>
  <si>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</si>
  <si>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</si>
  <si>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</si>
  <si>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</si>
  <si>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</si>
  <si>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</si>
  <si>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</si>
  <si>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</si>
  <si>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</si>
  <si>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</si>
  <si>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</si>
  <si>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</si>
  <si>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</si>
  <si>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</si>
  <si>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</si>
  <si>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</si>
  <si>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</si>
  <si>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</si>
  <si>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</si>
  <si>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</si>
  <si>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</si>
  <si>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</si>
  <si>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</si>
  <si>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</si>
  <si>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</si>
  <si>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</si>
  <si>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</si>
  <si>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</si>
  <si>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</si>
  <si>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</si>
  <si>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</si>
  <si>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</si>
  <si>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</si>
  <si>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</si>
  <si>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</si>
  <si>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</si>
  <si>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</si>
  <si>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</si>
  <si>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</si>
  <si>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</si>
  <si>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</si>
  <si>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</si>
  <si>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</si>
  <si>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</si>
  <si>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</si>
  <si>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</si>
  <si>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</si>
  <si>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</si>
  <si>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</si>
  <si>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</si>
  <si>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</si>
  <si>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</si>
  <si>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</si>
  <si>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</si>
  <si>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</si>
  <si>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</si>
  <si>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</si>
  <si>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</si>
  <si>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</si>
  <si>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</si>
  <si>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</si>
  <si>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</si>
  <si>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</si>
  <si>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</si>
  <si>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EMR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</si>
  <si>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</si>
  <si>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</si>
  <si>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</si>
  <si>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</si>
  <si>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</si>
  <si>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</si>
  <si>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</si>
  <si>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</si>
  <si>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</si>
  <si>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</si>
  <si>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</si>
  <si>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</si>
  <si>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</si>
  <si>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</si>
  <si>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</si>
  <si>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</si>
  <si>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</si>
  <si>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</si>
  <si>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</si>
  <si>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</si>
  <si>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</si>
  <si>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</si>
  <si>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</si>
  <si>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</si>
  <si>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</si>
  <si>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</si>
  <si>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</si>
  <si>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</si>
  <si>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</si>
  <si>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</si>
  <si>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EMR owner-FCF component DCF: base case (millions, USD)</t>
  </si>
  <si>
    <t xml:space="preserve">EMR owner-FCF component DCF: bull case (millions, USD)</t>
  </si>
  <si>
    <t xml:space="preserve">EMR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</si>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</sst>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158.23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810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22131</v>
      </c>
      <c r="C3" s="0" t="n">
        <v>14066</v>
      </c>
      <c r="I3" s="0" t="n">
        <v>2136</v>
      </c>
      <c r="J3" s="0" t="n">
        <v>9.65161989968822</v>
      </c>
      <c r="K3" s="0" t="n">
        <v>2.69</v>
      </c>
      <c r="L3" s="0" t="n">
        <v>3016</v>
      </c>
      <c r="M3" s="0" t="n">
        <v>-681</v>
      </c>
      <c r="N3" s="0" t="n">
        <v>2335</v>
      </c>
      <c r="S3" s="0" t="n">
        <v>1008</v>
      </c>
      <c r="V3" s="0" t="n">
        <v>1.05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23751</v>
      </c>
      <c r="C4" s="0" t="n">
        <v>14813</v>
      </c>
      <c r="I4" s="0" t="n">
        <v>2486</v>
      </c>
      <c r="J4" s="0" t="n">
        <v>10.466927708307</v>
      </c>
      <c r="K4" s="0" t="n">
        <v>3.09</v>
      </c>
      <c r="L4" s="0" t="n">
        <v>3293</v>
      </c>
      <c r="M4" s="0" t="n">
        <v>714</v>
      </c>
      <c r="N4" s="0" t="n">
        <v>2579</v>
      </c>
      <c r="O4" s="0" t="n">
        <v>9301</v>
      </c>
      <c r="P4" s="0" t="n">
        <v>21040</v>
      </c>
      <c r="R4" s="0" t="n">
        <v>4518</v>
      </c>
      <c r="S4" s="0" t="n">
        <v>1777</v>
      </c>
      <c r="T4" s="0" t="n">
        <v>789.4</v>
      </c>
      <c r="V4" s="0" t="n">
        <v>1.2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20102</v>
      </c>
      <c r="C5" s="0" t="n">
        <v>12542</v>
      </c>
      <c r="D5" s="0" t="n">
        <v>7560</v>
      </c>
      <c r="E5" s="0" t="n">
        <v>37.6081981892349</v>
      </c>
      <c r="I5" s="0" t="n">
        <v>1771</v>
      </c>
      <c r="J5" s="0" t="n">
        <v>8.81006864988558</v>
      </c>
      <c r="K5" s="0" t="n">
        <v>2.29</v>
      </c>
      <c r="L5" s="0" t="n">
        <v>3086</v>
      </c>
      <c r="M5" s="0" t="n">
        <v>531</v>
      </c>
      <c r="N5" s="0" t="n">
        <v>2555</v>
      </c>
      <c r="O5" s="0" t="n">
        <v>8706</v>
      </c>
      <c r="P5" s="0" t="n">
        <v>19763</v>
      </c>
      <c r="R5" s="0" t="n">
        <v>4575</v>
      </c>
      <c r="S5" s="0" t="n">
        <v>1560</v>
      </c>
      <c r="T5" s="0" t="n">
        <v>758.7</v>
      </c>
      <c r="U5" s="0" t="n">
        <v>54</v>
      </c>
      <c r="V5" s="0" t="n">
        <v>1.32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21039</v>
      </c>
      <c r="C6" s="0" t="n">
        <v>12713</v>
      </c>
      <c r="D6" s="0" t="n">
        <v>8326</v>
      </c>
      <c r="E6" s="0" t="n">
        <v>39.5741242454489</v>
      </c>
      <c r="I6" s="0" t="n">
        <v>2217</v>
      </c>
      <c r="J6" s="0" t="n">
        <v>10.5375730785684</v>
      </c>
      <c r="K6" s="0" t="n">
        <v>2.87</v>
      </c>
      <c r="L6" s="0" t="n">
        <v>3292</v>
      </c>
      <c r="M6" s="0" t="n">
        <v>524</v>
      </c>
      <c r="N6" s="0" t="n">
        <v>2768</v>
      </c>
      <c r="O6" s="0" t="n">
        <v>9952</v>
      </c>
      <c r="P6" s="0" t="n">
        <v>22843</v>
      </c>
      <c r="R6" s="0" t="n">
        <v>5066</v>
      </c>
      <c r="S6" s="0" t="n">
        <v>1592</v>
      </c>
      <c r="T6" s="0" t="n">
        <v>757</v>
      </c>
      <c r="U6" s="0" t="n">
        <v>217</v>
      </c>
      <c r="V6" s="0" t="n">
        <v>1.34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24222</v>
      </c>
      <c r="C7" s="0" t="n">
        <v>14665</v>
      </c>
      <c r="D7" s="0" t="n">
        <v>9557</v>
      </c>
      <c r="E7" s="0" t="n">
        <v>39.4558665675832</v>
      </c>
      <c r="I7" s="0" t="n">
        <v>2530</v>
      </c>
      <c r="J7" s="0" t="n">
        <v>10.4450499545867</v>
      </c>
      <c r="K7" s="0" t="n">
        <v>3.29</v>
      </c>
      <c r="L7" s="0" t="n">
        <v>3233</v>
      </c>
      <c r="M7" s="0" t="n">
        <v>647</v>
      </c>
      <c r="N7" s="0" t="n">
        <v>2586</v>
      </c>
      <c r="O7" s="0" t="n">
        <v>10551</v>
      </c>
      <c r="P7" s="0" t="n">
        <v>23861</v>
      </c>
      <c r="R7" s="0" t="n">
        <v>5201</v>
      </c>
      <c r="S7" s="0" t="n">
        <v>2052</v>
      </c>
      <c r="T7" s="0" t="n">
        <v>753.5</v>
      </c>
      <c r="U7" s="0" t="n">
        <v>121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24412</v>
      </c>
      <c r="C8" s="0" t="n">
        <v>14644</v>
      </c>
      <c r="D8" s="0" t="n">
        <v>9768</v>
      </c>
      <c r="E8" s="0" t="n">
        <v>40.0131083073898</v>
      </c>
      <c r="I8" s="0" t="n">
        <v>2024</v>
      </c>
      <c r="J8" s="0" t="n">
        <v>8.29100442405374</v>
      </c>
      <c r="K8" s="0" t="n">
        <v>2.68</v>
      </c>
      <c r="L8" s="0" t="n">
        <v>3053</v>
      </c>
      <c r="M8" s="0" t="n">
        <v>665</v>
      </c>
      <c r="N8" s="0" t="n">
        <v>2388</v>
      </c>
      <c r="O8" s="0" t="n">
        <v>10442</v>
      </c>
      <c r="P8" s="0" t="n">
        <v>23818</v>
      </c>
      <c r="R8" s="0" t="n">
        <v>5293</v>
      </c>
      <c r="S8" s="0" t="n">
        <v>2367</v>
      </c>
      <c r="T8" s="0" t="n">
        <v>734.6</v>
      </c>
      <c r="U8" s="0" t="n">
        <v>100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24669</v>
      </c>
      <c r="C9" s="0" t="n">
        <v>14717</v>
      </c>
      <c r="D9" s="0" t="n">
        <v>9952</v>
      </c>
      <c r="E9" s="0" t="n">
        <v>40.3421297985326</v>
      </c>
      <c r="I9" s="0" t="n">
        <v>2066</v>
      </c>
      <c r="J9" s="0" t="n">
        <v>8.37488345697029</v>
      </c>
      <c r="K9" s="0" t="n">
        <v>2.78</v>
      </c>
      <c r="L9" s="0" t="n">
        <v>3649</v>
      </c>
      <c r="M9" s="0" t="n">
        <v>678</v>
      </c>
      <c r="N9" s="0" t="n">
        <v>2971</v>
      </c>
      <c r="O9" s="0" t="n">
        <v>10718</v>
      </c>
      <c r="P9" s="0" t="n">
        <v>24711</v>
      </c>
      <c r="R9" s="0" t="n">
        <v>5642</v>
      </c>
      <c r="S9" s="0" t="n">
        <v>3275</v>
      </c>
      <c r="T9" s="0" t="n">
        <v>722.9</v>
      </c>
      <c r="U9" s="0" t="n">
        <v>221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17733</v>
      </c>
      <c r="C10" s="0" t="n">
        <v>9971</v>
      </c>
      <c r="D10" s="0" t="n">
        <v>10158</v>
      </c>
      <c r="E10" s="0" t="n">
        <v>57.283031635933</v>
      </c>
      <c r="I10" s="0" t="n">
        <v>2184</v>
      </c>
      <c r="J10" s="0" t="n">
        <v>12.3160209778379</v>
      </c>
      <c r="K10" s="0" t="n">
        <v>3.05</v>
      </c>
      <c r="L10" s="0" t="n">
        <v>3692</v>
      </c>
      <c r="M10" s="0" t="n">
        <v>651</v>
      </c>
      <c r="N10" s="0" t="n">
        <v>3041</v>
      </c>
      <c r="O10" s="0" t="n">
        <v>10167</v>
      </c>
      <c r="P10" s="0" t="n">
        <v>24177</v>
      </c>
      <c r="R10" s="0" t="n">
        <v>6024</v>
      </c>
      <c r="S10" s="0" t="n">
        <v>3149</v>
      </c>
      <c r="T10" s="0" t="n">
        <v>704.1</v>
      </c>
      <c r="U10" s="0" t="n">
        <v>123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16249</v>
      </c>
      <c r="C11" s="0" t="n">
        <v>9241</v>
      </c>
      <c r="D11" s="0" t="n">
        <v>7008</v>
      </c>
      <c r="E11" s="0" t="n">
        <v>43.1288079266416</v>
      </c>
      <c r="I11" s="0" t="n">
        <v>2733</v>
      </c>
      <c r="J11" s="0" t="n">
        <v>16.8194965844052</v>
      </c>
      <c r="K11" s="0" t="n">
        <v>4.01</v>
      </c>
      <c r="L11" s="0" t="n">
        <v>2529</v>
      </c>
      <c r="M11" s="0" t="n">
        <v>588</v>
      </c>
      <c r="N11" s="0" t="n">
        <v>1941</v>
      </c>
      <c r="O11" s="0" t="n">
        <v>8128</v>
      </c>
      <c r="P11" s="0" t="n">
        <v>22088</v>
      </c>
      <c r="R11" s="0" t="n">
        <v>6841</v>
      </c>
      <c r="S11" s="0" t="n">
        <v>3054</v>
      </c>
      <c r="T11" s="0" t="n">
        <v>676.5</v>
      </c>
      <c r="U11" s="0" t="n">
        <v>24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14522</v>
      </c>
      <c r="C12" s="0" t="n">
        <v>8260</v>
      </c>
      <c r="D12" s="0" t="n">
        <v>6262</v>
      </c>
      <c r="E12" s="0" t="n">
        <v>43.1207822613965</v>
      </c>
      <c r="I12" s="0" t="n">
        <v>1664</v>
      </c>
      <c r="J12" s="0" t="n">
        <v>11.4584767938301</v>
      </c>
      <c r="K12" s="0" t="n">
        <v>2.53</v>
      </c>
      <c r="L12" s="0" t="n">
        <v>2881</v>
      </c>
      <c r="M12" s="0" t="n">
        <v>447</v>
      </c>
      <c r="N12" s="0" t="n">
        <v>2434</v>
      </c>
      <c r="O12" s="0" t="n">
        <v>7618</v>
      </c>
      <c r="P12" s="0" t="n">
        <v>21732</v>
      </c>
      <c r="R12" s="0" t="n">
        <v>6635</v>
      </c>
      <c r="S12" s="0" t="n">
        <v>3182</v>
      </c>
      <c r="T12" s="0" t="n">
        <v>646.8</v>
      </c>
      <c r="U12" s="0" t="n">
        <v>145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15264</v>
      </c>
      <c r="C13" s="0" t="n">
        <v>8833</v>
      </c>
      <c r="D13" s="0" t="n">
        <v>6404</v>
      </c>
      <c r="E13" s="0" t="n">
        <v>41.954926624738</v>
      </c>
      <c r="I13" s="0" t="n">
        <v>1550</v>
      </c>
      <c r="J13" s="0" t="n">
        <v>10.1546121593291</v>
      </c>
      <c r="K13" s="0" t="n">
        <v>2.35</v>
      </c>
      <c r="L13" s="0" t="n">
        <v>1912</v>
      </c>
      <c r="M13" s="0" t="n">
        <v>476</v>
      </c>
      <c r="N13" s="0" t="n">
        <v>1436</v>
      </c>
      <c r="O13" s="0" t="n">
        <v>8770</v>
      </c>
      <c r="P13" s="0" t="n">
        <v>19589</v>
      </c>
      <c r="R13" s="0" t="n">
        <v>4656</v>
      </c>
      <c r="S13" s="0" t="n">
        <v>3062</v>
      </c>
      <c r="T13" s="0" t="n">
        <v>643.4</v>
      </c>
      <c r="U13" s="0" t="n">
        <v>110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17408</v>
      </c>
      <c r="C14" s="0" t="n">
        <v>9976</v>
      </c>
      <c r="D14" s="0" t="n">
        <v>7432</v>
      </c>
      <c r="E14" s="0" t="n">
        <v>42.6930147058824</v>
      </c>
      <c r="I14" s="0" t="n">
        <v>2224</v>
      </c>
      <c r="J14" s="0" t="n">
        <v>12.7757352941177</v>
      </c>
      <c r="K14" s="0" t="n">
        <v>3.48</v>
      </c>
      <c r="L14" s="0" t="n">
        <v>2892</v>
      </c>
      <c r="M14" s="0" t="n">
        <v>617</v>
      </c>
      <c r="N14" s="0" t="n">
        <v>2275</v>
      </c>
      <c r="O14" s="0" t="n">
        <v>8990</v>
      </c>
      <c r="P14" s="0" t="n">
        <v>20390</v>
      </c>
      <c r="R14" s="0" t="n">
        <v>4760</v>
      </c>
      <c r="S14" s="0" t="n">
        <v>1093</v>
      </c>
      <c r="T14" s="0" t="n">
        <v>635.3</v>
      </c>
      <c r="U14" s="0" t="n">
        <v>216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18372</v>
      </c>
      <c r="C15" s="0" t="n">
        <v>10557</v>
      </c>
      <c r="D15" s="0" t="n">
        <v>7815</v>
      </c>
      <c r="E15" s="0" t="n">
        <v>42.5375571521881</v>
      </c>
      <c r="I15" s="0" t="n">
        <v>2328</v>
      </c>
      <c r="J15" s="0" t="n">
        <v>12.671456564337</v>
      </c>
      <c r="K15" s="0" t="n">
        <v>3.74</v>
      </c>
      <c r="L15" s="0" t="n">
        <v>3006</v>
      </c>
      <c r="M15" s="0" t="n">
        <v>594</v>
      </c>
      <c r="N15" s="0" t="n">
        <v>2412</v>
      </c>
      <c r="O15" s="0" t="n">
        <v>8273</v>
      </c>
      <c r="P15" s="0" t="n">
        <v>20497</v>
      </c>
      <c r="R15" s="0" t="n">
        <v>5721</v>
      </c>
      <c r="S15" s="0" t="n">
        <v>1494</v>
      </c>
      <c r="T15" s="0" t="n">
        <v>620.6</v>
      </c>
      <c r="U15" s="0" t="n">
        <v>120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16785</v>
      </c>
      <c r="C16" s="0" t="n">
        <v>9776</v>
      </c>
      <c r="D16" s="0" t="n">
        <v>7009</v>
      </c>
      <c r="E16" s="0" t="n">
        <v>41.7575215966637</v>
      </c>
      <c r="I16" s="0" t="n">
        <v>1990</v>
      </c>
      <c r="J16" s="0" t="n">
        <v>11.8558236520703</v>
      </c>
      <c r="K16" s="0" t="n">
        <v>3.26</v>
      </c>
      <c r="L16" s="0" t="n">
        <v>3083</v>
      </c>
      <c r="M16" s="0" t="n">
        <v>538</v>
      </c>
      <c r="N16" s="0" t="n">
        <v>2545</v>
      </c>
      <c r="O16" s="0" t="n">
        <v>8447</v>
      </c>
      <c r="P16" s="0" t="n">
        <v>22882</v>
      </c>
      <c r="R16" s="0" t="n">
        <v>7486</v>
      </c>
      <c r="S16" s="0" t="n">
        <v>3315</v>
      </c>
      <c r="T16" s="0" t="n">
        <v>606.6</v>
      </c>
      <c r="U16" s="0" t="n">
        <v>110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12932</v>
      </c>
      <c r="C17" s="0" t="n">
        <v>7202</v>
      </c>
      <c r="D17" s="0" t="n">
        <v>7563</v>
      </c>
      <c r="E17" s="0" t="n">
        <v>58.4828332817816</v>
      </c>
      <c r="I17" s="0" t="n">
        <v>2327</v>
      </c>
      <c r="J17" s="0" t="n">
        <v>17.9941231054748</v>
      </c>
      <c r="K17" s="0" t="n">
        <v>3.85</v>
      </c>
      <c r="L17" s="0" t="n">
        <v>3575</v>
      </c>
      <c r="M17" s="0" t="n">
        <v>404</v>
      </c>
      <c r="N17" s="0" t="n">
        <v>3171</v>
      </c>
      <c r="O17" s="0" t="n">
        <v>9923</v>
      </c>
      <c r="P17" s="0" t="n">
        <v>24715</v>
      </c>
      <c r="R17" s="0" t="n">
        <v>6665</v>
      </c>
      <c r="S17" s="0" t="n">
        <v>2354</v>
      </c>
      <c r="T17" s="0" t="n">
        <v>601.8</v>
      </c>
      <c r="U17" s="0" t="n">
        <v>224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13804</v>
      </c>
      <c r="C18" s="0" t="n">
        <v>7498</v>
      </c>
      <c r="D18" s="0" t="n">
        <v>6306</v>
      </c>
      <c r="E18" s="0" t="n">
        <v>45.6824108953926</v>
      </c>
      <c r="I18" s="0" t="n">
        <v>3231</v>
      </c>
      <c r="J18" s="0" t="n">
        <v>23.4062590553463</v>
      </c>
      <c r="K18" s="0" t="n">
        <v>5.44</v>
      </c>
      <c r="L18" s="0" t="n">
        <v>2922</v>
      </c>
      <c r="M18" s="0" t="n">
        <v>299</v>
      </c>
      <c r="N18" s="0" t="n">
        <v>2623</v>
      </c>
      <c r="O18" s="0" t="n">
        <v>16316</v>
      </c>
      <c r="P18" s="0" t="n">
        <v>35672</v>
      </c>
      <c r="R18" s="0" t="n">
        <v>10890</v>
      </c>
      <c r="T18" s="0" t="n">
        <v>596.3</v>
      </c>
      <c r="U18" s="0" t="n">
        <v>144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15165</v>
      </c>
      <c r="C19" s="0" t="n">
        <v>7738</v>
      </c>
      <c r="D19" s="0" t="n">
        <v>7427</v>
      </c>
      <c r="E19" s="0" t="n">
        <v>48.9746125947906</v>
      </c>
      <c r="I19" s="0" t="n">
        <v>13219</v>
      </c>
      <c r="J19" s="0" t="n">
        <v>87.1678206396307</v>
      </c>
      <c r="K19" s="0" t="n">
        <v>23</v>
      </c>
      <c r="L19" s="0" t="n">
        <v>637</v>
      </c>
      <c r="M19" s="0" t="n">
        <v>363</v>
      </c>
      <c r="N19" s="0" t="n">
        <v>274</v>
      </c>
      <c r="O19" s="0" t="n">
        <v>26598</v>
      </c>
      <c r="P19" s="0" t="n">
        <v>42746</v>
      </c>
      <c r="R19" s="0" t="n">
        <v>8703</v>
      </c>
      <c r="T19" s="0" t="n">
        <v>577.3</v>
      </c>
      <c r="U19" s="0" t="n">
        <v>271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17492</v>
      </c>
      <c r="C20" s="0" t="n">
        <v>8607</v>
      </c>
      <c r="D20" s="0" t="n">
        <v>8885</v>
      </c>
      <c r="E20" s="0" t="n">
        <v>50.794648982392</v>
      </c>
      <c r="I20" s="0" t="n">
        <v>1968</v>
      </c>
      <c r="J20" s="0" t="n">
        <v>11.2508575348731</v>
      </c>
      <c r="K20" s="0" t="n">
        <v>3.44</v>
      </c>
      <c r="L20" s="0" t="n">
        <v>3332</v>
      </c>
      <c r="M20" s="0" t="n">
        <v>419</v>
      </c>
      <c r="N20" s="0" t="n">
        <v>2913</v>
      </c>
      <c r="O20" s="0" t="n">
        <v>27509</v>
      </c>
      <c r="P20" s="0" t="n">
        <v>44246</v>
      </c>
      <c r="R20" s="0" t="n">
        <v>8219</v>
      </c>
      <c r="T20" s="0" t="n">
        <v>574</v>
      </c>
      <c r="U20" s="0" t="n">
        <v>260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18016</v>
      </c>
      <c r="C21" s="0" t="n">
        <v>8497</v>
      </c>
      <c r="D21" s="0" t="n">
        <v>9519</v>
      </c>
      <c r="E21" s="0" t="n">
        <v>52.8363676731794</v>
      </c>
      <c r="I21" s="0" t="n">
        <v>2293</v>
      </c>
      <c r="J21" s="0" t="n">
        <v>12.7275754884547</v>
      </c>
      <c r="K21" s="0" t="n">
        <v>4.06</v>
      </c>
      <c r="L21" s="0" t="n">
        <v>3098</v>
      </c>
      <c r="M21" s="0" t="n">
        <v>431</v>
      </c>
      <c r="N21" s="0" t="n">
        <v>2667</v>
      </c>
      <c r="O21" s="0" t="n">
        <v>20298</v>
      </c>
      <c r="P21" s="0" t="n">
        <v>41964</v>
      </c>
      <c r="R21" s="0" t="n">
        <v>13721</v>
      </c>
      <c r="T21" s="0" t="n">
        <v>566.7</v>
      </c>
      <c r="U21" s="0" t="n">
        <v>265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158.23</v>
      </c>
    </row>
    <row r="3" customFormat="false" ht="15" hidden="false" customHeight="false" outlineLevel="0" collapsed="false">
      <c r="A3" s="0" t="s">
        <v>86</v>
      </c>
      <c r="B3" s="3" t="n">
        <v>560.1</v>
      </c>
    </row>
    <row r="4" customFormat="false" ht="15" hidden="false" customHeight="false" outlineLevel="0" collapsed="false">
      <c r="A4" s="0" t="s">
        <v>87</v>
      </c>
      <c r="B4" s="3" t="n">
        <v>10933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18900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2</v>
      </c>
      <c r="D13" s="3" t="n">
        <v>0</v>
      </c>
      <c r="E13" s="3" t="n">
        <v>-3</v>
      </c>
      <c r="F13" s="3" t="n">
        <v>2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28</v>
      </c>
      <c r="D14" s="3" t="n">
        <v>27</v>
      </c>
      <c r="E14" s="3" t="n">
        <v>26</v>
      </c>
      <c r="F14" s="3" t="n">
        <v>26.5</v>
      </c>
      <c r="G14" s="3" t="n">
        <v>27</v>
      </c>
      <c r="H14" s="3" t="n">
        <v>27.5</v>
      </c>
      <c r="I14" s="3" t="n">
        <v>28</v>
      </c>
      <c r="J14" s="3" t="n">
        <v>28</v>
      </c>
      <c r="K14" s="3" t="n">
        <v>28</v>
      </c>
      <c r="L14" s="3" t="n">
        <v>28</v>
      </c>
    </row>
    <row r="15" customFormat="false" ht="15" hidden="false" customHeight="false" outlineLevel="0" collapsed="false">
      <c r="A15" s="0" t="s">
        <v>109</v>
      </c>
      <c r="C15" s="3" t="n">
        <v>1.5</v>
      </c>
      <c r="D15" s="3" t="n">
        <v>1.5</v>
      </c>
      <c r="E15" s="3" t="n">
        <v>1.5</v>
      </c>
      <c r="F15" s="3" t="n">
        <v>1.5</v>
      </c>
      <c r="G15" s="3" t="n">
        <v>1.5</v>
      </c>
      <c r="H15" s="3" t="n">
        <v>1.5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4</v>
      </c>
      <c r="D17" s="3" t="n">
        <v>3.9</v>
      </c>
      <c r="E17" s="3" t="n">
        <v>3.8</v>
      </c>
      <c r="F17" s="3" t="n">
        <v>3.7</v>
      </c>
      <c r="G17" s="3" t="n">
        <v>3.6</v>
      </c>
      <c r="H17" s="3" t="n">
        <v>3.5</v>
      </c>
      <c r="I17" s="3" t="n">
        <v>3.4</v>
      </c>
      <c r="J17" s="3" t="n">
        <v>3.3</v>
      </c>
      <c r="K17" s="3" t="n">
        <v>3.2</v>
      </c>
      <c r="L17" s="3" t="n">
        <v>3</v>
      </c>
    </row>
    <row r="18" customFormat="false" ht="15" hidden="false" customHeight="false" outlineLevel="0" collapsed="false">
      <c r="A18" s="0" t="s">
        <v>112</v>
      </c>
      <c r="C18" s="3" t="n">
        <v>2.5</v>
      </c>
      <c r="D18" s="3" t="n">
        <v>2.5</v>
      </c>
      <c r="E18" s="3" t="n">
        <v>2.5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113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114</v>
      </c>
      <c r="B20" s="3" t="n">
        <v>8.5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15</v>
      </c>
    </row>
    <row r="23" customFormat="false" ht="15" hidden="false" customHeight="false" outlineLevel="0" collapsed="false">
      <c r="A23" s="0" t="s">
        <v>117</v>
      </c>
      <c r="B23" s="3" t="n">
        <v>-14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5.5</v>
      </c>
      <c r="D27" s="3" t="n">
        <v>5.5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108</v>
      </c>
      <c r="C28" s="3" t="n">
        <v>29</v>
      </c>
      <c r="D28" s="3" t="n">
        <v>29.3</v>
      </c>
      <c r="E28" s="3" t="n">
        <v>29.6</v>
      </c>
      <c r="F28" s="3" t="n">
        <v>29.9</v>
      </c>
      <c r="G28" s="3" t="n">
        <v>30.2</v>
      </c>
      <c r="H28" s="3" t="n">
        <v>30.4</v>
      </c>
      <c r="I28" s="3" t="n">
        <v>30.5</v>
      </c>
      <c r="J28" s="3" t="n">
        <v>30.5</v>
      </c>
      <c r="K28" s="3" t="n">
        <v>30.5</v>
      </c>
      <c r="L28" s="3" t="n">
        <v>30.5</v>
      </c>
    </row>
    <row r="29" customFormat="false" ht="15" hidden="false" customHeight="false" outlineLevel="0" collapsed="false">
      <c r="A29" s="0" t="s">
        <v>109</v>
      </c>
      <c r="C29" s="3" t="n">
        <v>1.35</v>
      </c>
      <c r="D29" s="3" t="n">
        <v>1.35</v>
      </c>
      <c r="E29" s="3" t="n">
        <v>1.35</v>
      </c>
      <c r="F29" s="3" t="n">
        <v>1.35</v>
      </c>
      <c r="G29" s="3" t="n">
        <v>1.35</v>
      </c>
      <c r="H29" s="3" t="n">
        <v>1.35</v>
      </c>
      <c r="I29" s="3" t="n">
        <v>1.35</v>
      </c>
      <c r="J29" s="3" t="n">
        <v>1.35</v>
      </c>
      <c r="K29" s="3" t="n">
        <v>1.35</v>
      </c>
      <c r="L29" s="3" t="n">
        <v>1.35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4</v>
      </c>
      <c r="D31" s="3" t="n">
        <v>3.9</v>
      </c>
      <c r="E31" s="3" t="n">
        <v>3.8</v>
      </c>
      <c r="F31" s="3" t="n">
        <v>3.7</v>
      </c>
      <c r="G31" s="3" t="n">
        <v>3.6</v>
      </c>
      <c r="H31" s="3" t="n">
        <v>3.5</v>
      </c>
      <c r="I31" s="3" t="n">
        <v>3.4</v>
      </c>
      <c r="J31" s="3" t="n">
        <v>3.3</v>
      </c>
      <c r="K31" s="3" t="n">
        <v>3.2</v>
      </c>
      <c r="L31" s="3" t="n">
        <v>3</v>
      </c>
    </row>
    <row r="32" customFormat="false" ht="15" hidden="false" customHeight="false" outlineLevel="0" collapsed="false">
      <c r="A32" s="0" t="s">
        <v>112</v>
      </c>
      <c r="C32" s="3" t="n">
        <v>2.4</v>
      </c>
      <c r="D32" s="3" t="n">
        <v>2.4</v>
      </c>
      <c r="E32" s="3" t="n">
        <v>2.4</v>
      </c>
      <c r="F32" s="3" t="n">
        <v>2.4</v>
      </c>
      <c r="G32" s="3" t="n">
        <v>2.4</v>
      </c>
      <c r="H32" s="3" t="n">
        <v>2.4</v>
      </c>
      <c r="I32" s="3" t="n">
        <v>2.4</v>
      </c>
      <c r="J32" s="3" t="n">
        <v>2.4</v>
      </c>
      <c r="K32" s="3" t="n">
        <v>2.4</v>
      </c>
      <c r="L32" s="3" t="n">
        <v>2.4</v>
      </c>
    </row>
    <row r="33" customFormat="false" ht="15" hidden="false" customHeight="false" outlineLevel="0" collapsed="false">
      <c r="A33" s="0" t="s">
        <v>113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114</v>
      </c>
      <c r="B34" s="3" t="n">
        <v>8.5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18</v>
      </c>
    </row>
    <row r="37" customFormat="false" ht="15" hidden="false" customHeight="false" outlineLevel="0" collapsed="false">
      <c r="A37" s="0" t="s">
        <v>117</v>
      </c>
      <c r="B37" s="3" t="n">
        <v>-12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7.5</v>
      </c>
      <c r="D41" s="3" t="n">
        <v>7.5</v>
      </c>
      <c r="E41" s="3" t="n">
        <v>7</v>
      </c>
      <c r="F41" s="3" t="n">
        <v>6.5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108</v>
      </c>
      <c r="C42" s="3" t="n">
        <v>29.5</v>
      </c>
      <c r="D42" s="3" t="n">
        <v>30</v>
      </c>
      <c r="E42" s="3" t="n">
        <v>30.5</v>
      </c>
      <c r="F42" s="3" t="n">
        <v>31</v>
      </c>
      <c r="G42" s="3" t="n">
        <v>31.5</v>
      </c>
      <c r="H42" s="3" t="n">
        <v>32</v>
      </c>
      <c r="I42" s="3" t="n">
        <v>32</v>
      </c>
      <c r="J42" s="3" t="n">
        <v>32</v>
      </c>
      <c r="K42" s="3" t="n">
        <v>32</v>
      </c>
      <c r="L42" s="3" t="n">
        <v>32</v>
      </c>
    </row>
    <row r="43" customFormat="false" ht="15" hidden="false" customHeight="false" outlineLevel="0" collapsed="false">
      <c r="A43" s="0" t="s">
        <v>109</v>
      </c>
      <c r="C43" s="3" t="n">
        <v>1.35</v>
      </c>
      <c r="D43" s="3" t="n">
        <v>1.35</v>
      </c>
      <c r="E43" s="3" t="n">
        <v>1.35</v>
      </c>
      <c r="F43" s="3" t="n">
        <v>1.35</v>
      </c>
      <c r="G43" s="3" t="n">
        <v>1.35</v>
      </c>
      <c r="H43" s="3" t="n">
        <v>1.35</v>
      </c>
      <c r="I43" s="3" t="n">
        <v>1.35</v>
      </c>
      <c r="J43" s="3" t="n">
        <v>1.35</v>
      </c>
      <c r="K43" s="3" t="n">
        <v>1.35</v>
      </c>
      <c r="L43" s="3" t="n">
        <v>1.35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4</v>
      </c>
      <c r="D45" s="3" t="n">
        <v>3.9</v>
      </c>
      <c r="E45" s="3" t="n">
        <v>3.8</v>
      </c>
      <c r="F45" s="3" t="n">
        <v>3.7</v>
      </c>
      <c r="G45" s="3" t="n">
        <v>3.6</v>
      </c>
      <c r="H45" s="3" t="n">
        <v>3.5</v>
      </c>
      <c r="I45" s="3" t="n">
        <v>3.4</v>
      </c>
      <c r="J45" s="3" t="n">
        <v>3.3</v>
      </c>
      <c r="K45" s="3" t="n">
        <v>3.2</v>
      </c>
      <c r="L45" s="3" t="n">
        <v>3</v>
      </c>
    </row>
    <row r="46" customFormat="false" ht="15" hidden="false" customHeight="false" outlineLevel="0" collapsed="false">
      <c r="A46" s="0" t="s">
        <v>112</v>
      </c>
      <c r="C46" s="3" t="n">
        <v>2.3</v>
      </c>
      <c r="D46" s="3" t="n">
        <v>2.3</v>
      </c>
      <c r="E46" s="3" t="n">
        <v>2.3</v>
      </c>
      <c r="F46" s="3" t="n">
        <v>2.3</v>
      </c>
      <c r="G46" s="3" t="n">
        <v>2.3</v>
      </c>
      <c r="H46" s="3" t="n">
        <v>2.3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113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114</v>
      </c>
      <c r="B48" s="3" t="n">
        <v>8.5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20</v>
      </c>
    </row>
    <row r="51" customFormat="false" ht="15" hidden="false" customHeight="false" outlineLevel="0" collapsed="false">
      <c r="A51" s="0" t="s">
        <v>117</v>
      </c>
      <c r="B51" s="3" t="n">
        <v>-10</v>
      </c>
    </row>
    <row r="52" customFormat="false" ht="15" hidden="false" customHeight="false" outlineLevel="0" collapsed="false">
      <c r="A52" s="0" t="s">
        <v>118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2</v>
      </c>
      <c r="D5" s="4" t="n">
        <f aca="false">Assumptions!D13</f>
        <v>0</v>
      </c>
      <c r="E5" s="4" t="n">
        <f aca="false">Assumptions!E13</f>
        <v>-3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18900</v>
      </c>
      <c r="C6" s="0" t="n">
        <f aca="false">B6*(1+C5/100)</f>
        <v>19278</v>
      </c>
      <c r="D6" s="0" t="n">
        <f aca="false">C6*(1+D5/100)</f>
        <v>19278</v>
      </c>
      <c r="E6" s="0" t="n">
        <f aca="false">D6*(1+E5/100)</f>
        <v>18699.66</v>
      </c>
      <c r="F6" s="0" t="n">
        <f aca="false">E6*(1+F5/100)</f>
        <v>19073.6532</v>
      </c>
      <c r="G6" s="0" t="n">
        <f aca="false">F6*(1+G5/100)</f>
        <v>19645.862796</v>
      </c>
      <c r="H6" s="0" t="n">
        <f aca="false">G6*(1+H5/100)</f>
        <v>20235.23867988</v>
      </c>
      <c r="I6" s="0" t="n">
        <f aca="false">H6*(1+I5/100)</f>
        <v>20842.2958402764</v>
      </c>
      <c r="J6" s="0" t="n">
        <f aca="false">I6*(1+J5/100)</f>
        <v>21363.3532362833</v>
      </c>
      <c r="K6" s="0" t="n">
        <f aca="false">J6*(1+K5/100)</f>
        <v>21897.4370671904</v>
      </c>
      <c r="L6" s="0" t="n">
        <f aca="false">K6*(1+L5/100)</f>
        <v>22335.3858085342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28</v>
      </c>
      <c r="D7" s="4" t="n">
        <f aca="false">Assumptions!D14</f>
        <v>27</v>
      </c>
      <c r="E7" s="4" t="n">
        <f aca="false">Assumptions!E14</f>
        <v>26</v>
      </c>
      <c r="F7" s="4" t="n">
        <f aca="false">Assumptions!F14</f>
        <v>26.5</v>
      </c>
      <c r="G7" s="4" t="n">
        <f aca="false">Assumptions!G14</f>
        <v>27</v>
      </c>
      <c r="H7" s="4" t="n">
        <f aca="false">Assumptions!H14</f>
        <v>27.5</v>
      </c>
      <c r="I7" s="4" t="n">
        <f aca="false">Assumptions!I14</f>
        <v>28</v>
      </c>
      <c r="J7" s="4" t="n">
        <f aca="false">Assumptions!J14</f>
        <v>28</v>
      </c>
      <c r="K7" s="4" t="n">
        <f aca="false">Assumptions!K14</f>
        <v>28</v>
      </c>
      <c r="L7" s="4" t="n">
        <f aca="false">Assumptions!L14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5397.84</v>
      </c>
      <c r="D8" s="0" t="n">
        <f aca="false">D6*D7/100</f>
        <v>5205.06</v>
      </c>
      <c r="E8" s="0" t="n">
        <f aca="false">E6*E7/100</f>
        <v>4861.9116</v>
      </c>
      <c r="F8" s="0" t="n">
        <f aca="false">F6*F7/100</f>
        <v>5054.518098</v>
      </c>
      <c r="G8" s="0" t="n">
        <f aca="false">G6*G7/100</f>
        <v>5304.38295492</v>
      </c>
      <c r="H8" s="0" t="n">
        <f aca="false">H6*H7/100</f>
        <v>5564.690636967</v>
      </c>
      <c r="I8" s="0" t="n">
        <f aca="false">I6*I7/100</f>
        <v>5835.84283527739</v>
      </c>
      <c r="J8" s="0" t="n">
        <f aca="false">J6*J7/100</f>
        <v>5981.73890615933</v>
      </c>
      <c r="K8" s="0" t="n">
        <f aca="false">K6*K7/100</f>
        <v>6131.28237881331</v>
      </c>
      <c r="L8" s="0" t="n">
        <f aca="false">L6*L7/100</f>
        <v>6253.90802638958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1.5</v>
      </c>
      <c r="D9" s="4" t="n">
        <f aca="false">Assumptions!D15</f>
        <v>1.5</v>
      </c>
      <c r="E9" s="4" t="n">
        <f aca="false">Assumptions!E15</f>
        <v>1.5</v>
      </c>
      <c r="F9" s="4" t="n">
        <f aca="false">Assumptions!F15</f>
        <v>1.5</v>
      </c>
      <c r="G9" s="4" t="n">
        <f aca="false">Assumptions!G15</f>
        <v>1.5</v>
      </c>
      <c r="H9" s="4" t="n">
        <f aca="false">Assumptions!H15</f>
        <v>1.5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-289.17</v>
      </c>
      <c r="D10" s="0" t="n">
        <f aca="false">-D6*D9/100</f>
        <v>-289.17</v>
      </c>
      <c r="E10" s="0" t="n">
        <f aca="false">-E6*E9/100</f>
        <v>-280.4949</v>
      </c>
      <c r="F10" s="0" t="n">
        <f aca="false">-F6*F9/100</f>
        <v>-286.104798</v>
      </c>
      <c r="G10" s="0" t="n">
        <f aca="false">-G6*G9/100</f>
        <v>-294.68794194</v>
      </c>
      <c r="H10" s="0" t="n">
        <f aca="false">-H6*H9/100</f>
        <v>-303.5285801982</v>
      </c>
      <c r="I10" s="0" t="n">
        <f aca="false">-I6*I9/100</f>
        <v>-312.634437604146</v>
      </c>
      <c r="J10" s="0" t="n">
        <f aca="false">-J6*J9/100</f>
        <v>-320.45029854425</v>
      </c>
      <c r="K10" s="0" t="n">
        <f aca="false">-K6*K9/100</f>
        <v>-328.461556007856</v>
      </c>
      <c r="L10" s="0" t="n">
        <f aca="false">-L6*L9/100</f>
        <v>-335.030787128013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5108.67</v>
      </c>
      <c r="D11" s="0" t="n">
        <f aca="false">D8+D10+D24</f>
        <v>4915.89</v>
      </c>
      <c r="E11" s="0" t="n">
        <f aca="false">E8+E10+E24</f>
        <v>4581.4167</v>
      </c>
      <c r="F11" s="0" t="n">
        <f aca="false">F8+F10+F24</f>
        <v>4768.4133</v>
      </c>
      <c r="G11" s="0" t="n">
        <f aca="false">G8+G10+G24</f>
        <v>5009.69501298</v>
      </c>
      <c r="H11" s="0" t="n">
        <f aca="false">H8+H10+H24</f>
        <v>5261.1620567688</v>
      </c>
      <c r="I11" s="0" t="n">
        <f aca="false">I8+I10+I24</f>
        <v>5523.20839767325</v>
      </c>
      <c r="J11" s="0" t="n">
        <f aca="false">J8+J10+J24</f>
        <v>5661.28860761508</v>
      </c>
      <c r="K11" s="0" t="n">
        <f aca="false">K8+K10+K24</f>
        <v>5802.82082280546</v>
      </c>
      <c r="L11" s="0" t="n">
        <f aca="false">L8+L10+L24</f>
        <v>5918.87723926157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-771.12</v>
      </c>
      <c r="D12" s="4" t="n">
        <f aca="false">-D6*Assumptions!D17/100</f>
        <v>-751.842</v>
      </c>
      <c r="E12" s="4" t="n">
        <f aca="false">-E6*Assumptions!E17/100</f>
        <v>-710.58708</v>
      </c>
      <c r="F12" s="4" t="n">
        <f aca="false">-F6*Assumptions!F17/100</f>
        <v>-705.7251684</v>
      </c>
      <c r="G12" s="4" t="n">
        <f aca="false">-G6*Assumptions!G17/100</f>
        <v>-707.251060656</v>
      </c>
      <c r="H12" s="4" t="n">
        <f aca="false">-H6*Assumptions!H17/100</f>
        <v>-708.2333537958</v>
      </c>
      <c r="I12" s="4" t="n">
        <f aca="false">-I6*Assumptions!I17/100</f>
        <v>-708.638058569398</v>
      </c>
      <c r="J12" s="4" t="n">
        <f aca="false">-J6*Assumptions!J17/100</f>
        <v>-704.990656797349</v>
      </c>
      <c r="K12" s="4" t="n">
        <f aca="false">-K6*Assumptions!K17/100</f>
        <v>-700.717986150093</v>
      </c>
      <c r="L12" s="4" t="n">
        <f aca="false">-L6*Assumptions!L17/100</f>
        <v>-670.061574256026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4337.55</v>
      </c>
      <c r="D13" s="0" t="n">
        <f aca="false">D11+D12</f>
        <v>4164.048</v>
      </c>
      <c r="E13" s="0" t="n">
        <f aca="false">E11+E12</f>
        <v>3870.82962</v>
      </c>
      <c r="F13" s="0" t="n">
        <f aca="false">F11+F12</f>
        <v>4062.6881316</v>
      </c>
      <c r="G13" s="0" t="n">
        <f aca="false">G11+G12</f>
        <v>4302.443952324</v>
      </c>
      <c r="H13" s="0" t="n">
        <f aca="false">H11+H12</f>
        <v>4552.928702973</v>
      </c>
      <c r="I13" s="0" t="n">
        <f aca="false">I11+I12</f>
        <v>4814.57033910385</v>
      </c>
      <c r="J13" s="0" t="n">
        <f aca="false">J11+J12</f>
        <v>4956.29795081773</v>
      </c>
      <c r="K13" s="0" t="n">
        <f aca="false">K11+K12</f>
        <v>5102.10283665536</v>
      </c>
      <c r="L13" s="0" t="n">
        <f aca="false">L11+L12</f>
        <v>5248.81566500554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3339.9135</v>
      </c>
      <c r="D15" s="0" t="n">
        <f aca="false">D13-MAX(0,D13)*D14/100</f>
        <v>3206.31696</v>
      </c>
      <c r="E15" s="0" t="n">
        <f aca="false">E13-MAX(0,E13)*E14/100</f>
        <v>2980.5388074</v>
      </c>
      <c r="F15" s="0" t="n">
        <f aca="false">F13-MAX(0,F13)*F14/100</f>
        <v>3128.269861332</v>
      </c>
      <c r="G15" s="0" t="n">
        <f aca="false">G13-MAX(0,G13)*G14/100</f>
        <v>3312.88184328948</v>
      </c>
      <c r="H15" s="0" t="n">
        <f aca="false">H13-MAX(0,H13)*H14/100</f>
        <v>3505.75510128921</v>
      </c>
      <c r="I15" s="0" t="n">
        <f aca="false">I13-MAX(0,I13)*I14/100</f>
        <v>3707.21916110996</v>
      </c>
      <c r="J15" s="0" t="n">
        <f aca="false">J13-MAX(0,J13)*J14/100</f>
        <v>3816.34942212965</v>
      </c>
      <c r="K15" s="0" t="n">
        <f aca="false">K13-MAX(0,K13)*K14/100</f>
        <v>3928.61918422463</v>
      </c>
      <c r="L15" s="0" t="n">
        <f aca="false">L13-MAX(0,L13)*L14/100</f>
        <v>4041.58806205427</v>
      </c>
    </row>
    <row r="16" customFormat="false" ht="15" hidden="false" customHeight="false" outlineLevel="0" collapsed="false">
      <c r="A16" s="0" t="s">
        <v>129</v>
      </c>
      <c r="C16" s="0" t="n">
        <f aca="false">-C12</f>
        <v>771.12</v>
      </c>
      <c r="D16" s="0" t="n">
        <f aca="false">-D12</f>
        <v>751.842</v>
      </c>
      <c r="E16" s="0" t="n">
        <f aca="false">-E12</f>
        <v>710.58708</v>
      </c>
      <c r="F16" s="0" t="n">
        <f aca="false">-F12</f>
        <v>705.7251684</v>
      </c>
      <c r="G16" s="0" t="n">
        <f aca="false">-G12</f>
        <v>707.251060656</v>
      </c>
      <c r="H16" s="0" t="n">
        <f aca="false">-H12</f>
        <v>708.2333537958</v>
      </c>
      <c r="I16" s="0" t="n">
        <f aca="false">-I12</f>
        <v>708.638058569398</v>
      </c>
      <c r="J16" s="0" t="n">
        <f aca="false">-J12</f>
        <v>704.990656797349</v>
      </c>
      <c r="K16" s="0" t="n">
        <f aca="false">-K12</f>
        <v>700.717986150093</v>
      </c>
      <c r="L16" s="0" t="n">
        <f aca="false">-L12</f>
        <v>670.061574256026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-481.95</v>
      </c>
      <c r="D17" s="4" t="n">
        <f aca="false">-D6*Assumptions!D18/100</f>
        <v>-481.95</v>
      </c>
      <c r="E17" s="4" t="n">
        <f aca="false">-E6*Assumptions!E18/100</f>
        <v>-467.4915</v>
      </c>
      <c r="F17" s="4" t="n">
        <f aca="false">-F6*Assumptions!F18/100</f>
        <v>-476.84133</v>
      </c>
      <c r="G17" s="4" t="n">
        <f aca="false">-G6*Assumptions!G18/100</f>
        <v>-491.1465699</v>
      </c>
      <c r="H17" s="4" t="n">
        <f aca="false">-H6*Assumptions!H18/100</f>
        <v>-505.880966997</v>
      </c>
      <c r="I17" s="4" t="n">
        <f aca="false">-I6*Assumptions!I18/100</f>
        <v>-521.05739600691</v>
      </c>
      <c r="J17" s="4" t="n">
        <f aca="false">-J6*Assumptions!J18/100</f>
        <v>-534.083830907083</v>
      </c>
      <c r="K17" s="4" t="n">
        <f aca="false">-K6*Assumptions!K18/100</f>
        <v>-547.43592667976</v>
      </c>
      <c r="L17" s="4" t="n">
        <f aca="false">-L6*Assumptions!L18/100</f>
        <v>-558.384645213355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-52.92</v>
      </c>
      <c r="D18" s="4" t="n">
        <f aca="false">(D6-C6)*Assumptions!$B$23/100</f>
        <v>-0</v>
      </c>
      <c r="E18" s="4" t="n">
        <f aca="false">(E6-D6)*Assumptions!$B$23/100</f>
        <v>80.9676</v>
      </c>
      <c r="F18" s="4" t="n">
        <f aca="false">(F6-E6)*Assumptions!$B$23/100</f>
        <v>-52.3590480000001</v>
      </c>
      <c r="G18" s="4" t="n">
        <f aca="false">(G6-F6)*Assumptions!$B$23/100</f>
        <v>-80.1093434400001</v>
      </c>
      <c r="H18" s="4" t="n">
        <f aca="false">(H6-G6)*Assumptions!$B$23/100</f>
        <v>-82.5126237432003</v>
      </c>
      <c r="I18" s="4" t="n">
        <f aca="false">(I6-H6)*Assumptions!$B$23/100</f>
        <v>-84.9880024554962</v>
      </c>
      <c r="J18" s="4" t="n">
        <f aca="false">(J6-I6)*Assumptions!$B$23/100</f>
        <v>-72.9480354409672</v>
      </c>
      <c r="K18" s="4" t="n">
        <f aca="false">(K6-J6)*Assumptions!$B$23/100</f>
        <v>-74.7717363269915</v>
      </c>
      <c r="L18" s="4" t="n">
        <f aca="false">(L6-K6)*Assumptions!$B$23/100</f>
        <v>-61.312823788133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3576.1635</v>
      </c>
      <c r="D19" s="0" t="n">
        <f aca="false">D15+D16+D17+D18</f>
        <v>3476.20896</v>
      </c>
      <c r="E19" s="0" t="n">
        <f aca="false">E15+E16+E17+E18</f>
        <v>3304.6019874</v>
      </c>
      <c r="F19" s="0" t="n">
        <f aca="false">F15+F16+F17+F18</f>
        <v>3304.794651732</v>
      </c>
      <c r="G19" s="0" t="n">
        <f aca="false">G15+G16+G17+G18</f>
        <v>3448.87699060548</v>
      </c>
      <c r="H19" s="0" t="n">
        <f aca="false">H15+H16+H17+H18</f>
        <v>3625.59486434481</v>
      </c>
      <c r="I19" s="0" t="n">
        <f aca="false">I15+I16+I17+I18</f>
        <v>3809.81182121696</v>
      </c>
      <c r="J19" s="0" t="n">
        <f aca="false">J15+J16+J17+J18</f>
        <v>3914.30821257895</v>
      </c>
      <c r="K19" s="0" t="n">
        <f aca="false">K15+K16+K17+K18</f>
        <v>4007.12950736797</v>
      </c>
      <c r="L19" s="0" t="n">
        <f aca="false">L15+L16+L17+L18</f>
        <v>4091.9521673088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3296.00322580645</v>
      </c>
      <c r="D21" s="0" t="n">
        <f aca="false">D19*D20</f>
        <v>2952.88407908429</v>
      </c>
      <c r="E21" s="0" t="n">
        <f aca="false">E19*E20</f>
        <v>2587.19965802574</v>
      </c>
      <c r="F21" s="0" t="n">
        <f aca="false">F19*F20</f>
        <v>2384.65483547608</v>
      </c>
      <c r="G21" s="0" t="n">
        <f aca="false">G19*G20</f>
        <v>2293.65985808697</v>
      </c>
      <c r="H21" s="0" t="n">
        <f aca="false">H19*H20</f>
        <v>2222.29057256274</v>
      </c>
      <c r="I21" s="0" t="n">
        <f aca="false">I19*I20</f>
        <v>2152.26308929093</v>
      </c>
      <c r="J21" s="0" t="n">
        <f aca="false">J19*J20</f>
        <v>2038.06069523685</v>
      </c>
      <c r="K21" s="0" t="n">
        <f aca="false">K19*K20</f>
        <v>1922.94000694102</v>
      </c>
      <c r="L21" s="0" t="n">
        <f aca="false">L19*L20</f>
        <v>1809.8107626293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23659.7667831404</v>
      </c>
    </row>
    <row r="31" customFormat="false" ht="15" hidden="false" customHeight="false" outlineLevel="0" collapsed="false">
      <c r="A31" s="0" t="s">
        <v>138</v>
      </c>
      <c r="B31" s="0" t="n">
        <f aca="false">L19</f>
        <v>4091.9521673088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64212.1724716151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61379.282509632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61379.282509632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27147.1614394395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50806.9282225798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39873.9282225798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71.1907306241383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-0.550080701357908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1969.49329561858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2325.27408230388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78.8585888243212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32106.0862358075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26.6885286093065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5.5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18900</v>
      </c>
      <c r="C6" s="0" t="n">
        <f aca="false">B6*(1+C5/100)</f>
        <v>19939.5</v>
      </c>
      <c r="D6" s="0" t="n">
        <f aca="false">C6*(1+D5/100)</f>
        <v>21036.1725</v>
      </c>
      <c r="E6" s="0" t="n">
        <f aca="false">D6*(1+E5/100)</f>
        <v>22087.981125</v>
      </c>
      <c r="F6" s="0" t="n">
        <f aca="false">E6*(1+F5/100)</f>
        <v>23192.38018125</v>
      </c>
      <c r="G6" s="0" t="n">
        <f aca="false">F6*(1+G5/100)</f>
        <v>24236.0372894062</v>
      </c>
      <c r="H6" s="0" t="n">
        <f aca="false">G6*(1+H5/100)</f>
        <v>25205.4787809825</v>
      </c>
      <c r="I6" s="0" t="n">
        <f aca="false">H6*(1+I5/100)</f>
        <v>26087.6705383169</v>
      </c>
      <c r="J6" s="0" t="n">
        <f aca="false">I6*(1+J5/100)</f>
        <v>26870.3006544664</v>
      </c>
      <c r="K6" s="0" t="n">
        <f aca="false">J6*(1+K5/100)</f>
        <v>27676.4096741004</v>
      </c>
      <c r="L6" s="0" t="n">
        <f aca="false">K6*(1+L5/100)</f>
        <v>28368.3199159529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29</v>
      </c>
      <c r="D7" s="4" t="n">
        <f aca="false">Assumptions!D28</f>
        <v>29.3</v>
      </c>
      <c r="E7" s="4" t="n">
        <f aca="false">Assumptions!E28</f>
        <v>29.6</v>
      </c>
      <c r="F7" s="4" t="n">
        <f aca="false">Assumptions!F28</f>
        <v>29.9</v>
      </c>
      <c r="G7" s="4" t="n">
        <f aca="false">Assumptions!G28</f>
        <v>30.2</v>
      </c>
      <c r="H7" s="4" t="n">
        <f aca="false">Assumptions!H28</f>
        <v>30.4</v>
      </c>
      <c r="I7" s="4" t="n">
        <f aca="false">Assumptions!I28</f>
        <v>30.5</v>
      </c>
      <c r="J7" s="4" t="n">
        <f aca="false">Assumptions!J28</f>
        <v>30.5</v>
      </c>
      <c r="K7" s="4" t="n">
        <f aca="false">Assumptions!K28</f>
        <v>30.5</v>
      </c>
      <c r="L7" s="4" t="n">
        <f aca="false">Assumptions!L28</f>
        <v>30.5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5782.455</v>
      </c>
      <c r="D8" s="0" t="n">
        <f aca="false">D6*D7/100</f>
        <v>6163.5985425</v>
      </c>
      <c r="E8" s="0" t="n">
        <f aca="false">E6*E7/100</f>
        <v>6538.042413</v>
      </c>
      <c r="F8" s="0" t="n">
        <f aca="false">F6*F7/100</f>
        <v>6934.52167419375</v>
      </c>
      <c r="G8" s="0" t="n">
        <f aca="false">G6*G7/100</f>
        <v>7319.28326140069</v>
      </c>
      <c r="H8" s="0" t="n">
        <f aca="false">H6*H7/100</f>
        <v>7662.46554941868</v>
      </c>
      <c r="I8" s="0" t="n">
        <f aca="false">I6*I7/100</f>
        <v>7956.73951418665</v>
      </c>
      <c r="J8" s="0" t="n">
        <f aca="false">J6*J7/100</f>
        <v>8195.44169961225</v>
      </c>
      <c r="K8" s="0" t="n">
        <f aca="false">K6*K7/100</f>
        <v>8441.30495060062</v>
      </c>
      <c r="L8" s="0" t="n">
        <f aca="false">L6*L7/100</f>
        <v>8652.33757436563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1.35</v>
      </c>
      <c r="D9" s="4" t="n">
        <f aca="false">Assumptions!D29</f>
        <v>1.35</v>
      </c>
      <c r="E9" s="4" t="n">
        <f aca="false">Assumptions!E29</f>
        <v>1.35</v>
      </c>
      <c r="F9" s="4" t="n">
        <f aca="false">Assumptions!F29</f>
        <v>1.35</v>
      </c>
      <c r="G9" s="4" t="n">
        <f aca="false">Assumptions!G29</f>
        <v>1.35</v>
      </c>
      <c r="H9" s="4" t="n">
        <f aca="false">Assumptions!H29</f>
        <v>1.35</v>
      </c>
      <c r="I9" s="4" t="n">
        <f aca="false">Assumptions!I29</f>
        <v>1.35</v>
      </c>
      <c r="J9" s="4" t="n">
        <f aca="false">Assumptions!J29</f>
        <v>1.35</v>
      </c>
      <c r="K9" s="4" t="n">
        <f aca="false">Assumptions!K29</f>
        <v>1.35</v>
      </c>
      <c r="L9" s="4" t="n">
        <f aca="false">Assumptions!L29</f>
        <v>1.35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-269.18325</v>
      </c>
      <c r="D10" s="0" t="n">
        <f aca="false">-D6*D9/100</f>
        <v>-283.98832875</v>
      </c>
      <c r="E10" s="0" t="n">
        <f aca="false">-E6*E9/100</f>
        <v>-298.1877451875</v>
      </c>
      <c r="F10" s="0" t="n">
        <f aca="false">-F6*F9/100</f>
        <v>-313.097132446875</v>
      </c>
      <c r="G10" s="0" t="n">
        <f aca="false">-G6*G9/100</f>
        <v>-327.186503406984</v>
      </c>
      <c r="H10" s="0" t="n">
        <f aca="false">-H6*H9/100</f>
        <v>-340.273963543264</v>
      </c>
      <c r="I10" s="0" t="n">
        <f aca="false">-I6*I9/100</f>
        <v>-352.183552267278</v>
      </c>
      <c r="J10" s="0" t="n">
        <f aca="false">-J6*J9/100</f>
        <v>-362.749058835296</v>
      </c>
      <c r="K10" s="0" t="n">
        <f aca="false">-K6*K9/100</f>
        <v>-373.631530600355</v>
      </c>
      <c r="L10" s="0" t="n">
        <f aca="false">-L6*L9/100</f>
        <v>-382.972318865364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5513.27175</v>
      </c>
      <c r="D11" s="0" t="n">
        <f aca="false">D8+D10+D24</f>
        <v>5879.61021375</v>
      </c>
      <c r="E11" s="0" t="n">
        <f aca="false">E8+E10+E24</f>
        <v>6239.8546678125</v>
      </c>
      <c r="F11" s="0" t="n">
        <f aca="false">F8+F10+F24</f>
        <v>6621.42454174688</v>
      </c>
      <c r="G11" s="0" t="n">
        <f aca="false">G8+G10+G24</f>
        <v>6992.0967579937</v>
      </c>
      <c r="H11" s="0" t="n">
        <f aca="false">H8+H10+H24</f>
        <v>7322.19158587542</v>
      </c>
      <c r="I11" s="0" t="n">
        <f aca="false">I8+I10+I24</f>
        <v>7604.55596191937</v>
      </c>
      <c r="J11" s="0" t="n">
        <f aca="false">J8+J10+J24</f>
        <v>7832.69264077695</v>
      </c>
      <c r="K11" s="0" t="n">
        <f aca="false">K8+K10+K24</f>
        <v>8067.67342000026</v>
      </c>
      <c r="L11" s="0" t="n">
        <f aca="false">L8+L10+L24</f>
        <v>8269.36525550027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-797.58</v>
      </c>
      <c r="D12" s="4" t="n">
        <f aca="false">-D6*Assumptions!D31/100</f>
        <v>-820.4107275</v>
      </c>
      <c r="E12" s="4" t="n">
        <f aca="false">-E6*Assumptions!E31/100</f>
        <v>-839.34328275</v>
      </c>
      <c r="F12" s="4" t="n">
        <f aca="false">-F6*Assumptions!F31/100</f>
        <v>-858.11806670625</v>
      </c>
      <c r="G12" s="4" t="n">
        <f aca="false">-G6*Assumptions!G31/100</f>
        <v>-872.497342418625</v>
      </c>
      <c r="H12" s="4" t="n">
        <f aca="false">-H6*Assumptions!H31/100</f>
        <v>-882.191757334387</v>
      </c>
      <c r="I12" s="4" t="n">
        <f aca="false">-I6*Assumptions!I31/100</f>
        <v>-886.980798302774</v>
      </c>
      <c r="J12" s="4" t="n">
        <f aca="false">-J6*Assumptions!J31/100</f>
        <v>-886.719921597391</v>
      </c>
      <c r="K12" s="4" t="n">
        <f aca="false">-K6*Assumptions!K31/100</f>
        <v>-885.645109571212</v>
      </c>
      <c r="L12" s="4" t="n">
        <f aca="false">-L6*Assumptions!L31/100</f>
        <v>-851.049597478587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4715.69175</v>
      </c>
      <c r="D13" s="0" t="n">
        <f aca="false">D11+D12</f>
        <v>5059.19948625</v>
      </c>
      <c r="E13" s="0" t="n">
        <f aca="false">E11+E12</f>
        <v>5400.5113850625</v>
      </c>
      <c r="F13" s="0" t="n">
        <f aca="false">F11+F12</f>
        <v>5763.30647504063</v>
      </c>
      <c r="G13" s="0" t="n">
        <f aca="false">G11+G12</f>
        <v>6119.59941557508</v>
      </c>
      <c r="H13" s="0" t="n">
        <f aca="false">H11+H12</f>
        <v>6439.99982854103</v>
      </c>
      <c r="I13" s="0" t="n">
        <f aca="false">I11+I12</f>
        <v>6717.5751636166</v>
      </c>
      <c r="J13" s="0" t="n">
        <f aca="false">J11+J12</f>
        <v>6945.97271917956</v>
      </c>
      <c r="K13" s="0" t="n">
        <f aca="false">K11+K12</f>
        <v>7182.02831042905</v>
      </c>
      <c r="L13" s="0" t="n">
        <f aca="false">L11+L12</f>
        <v>7418.31565802168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3678.239565</v>
      </c>
      <c r="D15" s="0" t="n">
        <f aca="false">D13-MAX(0,D13)*D14/100</f>
        <v>3946.175599275</v>
      </c>
      <c r="E15" s="0" t="n">
        <f aca="false">E13-MAX(0,E13)*E14/100</f>
        <v>4212.39888034875</v>
      </c>
      <c r="F15" s="0" t="n">
        <f aca="false">F13-MAX(0,F13)*F14/100</f>
        <v>4495.37905053169</v>
      </c>
      <c r="G15" s="0" t="n">
        <f aca="false">G13-MAX(0,G13)*G14/100</f>
        <v>4773.28754414856</v>
      </c>
      <c r="H15" s="0" t="n">
        <f aca="false">H13-MAX(0,H13)*H14/100</f>
        <v>5023.199866262</v>
      </c>
      <c r="I15" s="0" t="n">
        <f aca="false">I13-MAX(0,I13)*I14/100</f>
        <v>5239.70862762095</v>
      </c>
      <c r="J15" s="0" t="n">
        <f aca="false">J13-MAX(0,J13)*J14/100</f>
        <v>5417.85872096006</v>
      </c>
      <c r="K15" s="0" t="n">
        <f aca="false">K13-MAX(0,K13)*K14/100</f>
        <v>5601.98208213466</v>
      </c>
      <c r="L15" s="0" t="n">
        <f aca="false">L13-MAX(0,L13)*L14/100</f>
        <v>5786.28621325691</v>
      </c>
    </row>
    <row r="16" customFormat="false" ht="15" hidden="false" customHeight="false" outlineLevel="0" collapsed="false">
      <c r="A16" s="0" t="s">
        <v>129</v>
      </c>
      <c r="C16" s="0" t="n">
        <f aca="false">-C12</f>
        <v>797.58</v>
      </c>
      <c r="D16" s="0" t="n">
        <f aca="false">-D12</f>
        <v>820.4107275</v>
      </c>
      <c r="E16" s="0" t="n">
        <f aca="false">-E12</f>
        <v>839.34328275</v>
      </c>
      <c r="F16" s="0" t="n">
        <f aca="false">-F12</f>
        <v>858.11806670625</v>
      </c>
      <c r="G16" s="0" t="n">
        <f aca="false">-G12</f>
        <v>872.497342418625</v>
      </c>
      <c r="H16" s="0" t="n">
        <f aca="false">-H12</f>
        <v>882.191757334387</v>
      </c>
      <c r="I16" s="0" t="n">
        <f aca="false">-I12</f>
        <v>886.980798302774</v>
      </c>
      <c r="J16" s="0" t="n">
        <f aca="false">-J12</f>
        <v>886.719921597391</v>
      </c>
      <c r="K16" s="0" t="n">
        <f aca="false">-K12</f>
        <v>885.645109571212</v>
      </c>
      <c r="L16" s="0" t="n">
        <f aca="false">-L12</f>
        <v>851.049597478587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-478.548</v>
      </c>
      <c r="D17" s="4" t="n">
        <f aca="false">-D6*Assumptions!D32/100</f>
        <v>-504.86814</v>
      </c>
      <c r="E17" s="4" t="n">
        <f aca="false">-E6*Assumptions!E32/100</f>
        <v>-530.111547</v>
      </c>
      <c r="F17" s="4" t="n">
        <f aca="false">-F6*Assumptions!F32/100</f>
        <v>-556.61712435</v>
      </c>
      <c r="G17" s="4" t="n">
        <f aca="false">-G6*Assumptions!G32/100</f>
        <v>-581.66489494575</v>
      </c>
      <c r="H17" s="4" t="n">
        <f aca="false">-H6*Assumptions!H32/100</f>
        <v>-604.93149074358</v>
      </c>
      <c r="I17" s="4" t="n">
        <f aca="false">-I6*Assumptions!I32/100</f>
        <v>-626.104092919605</v>
      </c>
      <c r="J17" s="4" t="n">
        <f aca="false">-J6*Assumptions!J32/100</f>
        <v>-644.887215707193</v>
      </c>
      <c r="K17" s="4" t="n">
        <f aca="false">-K6*Assumptions!K32/100</f>
        <v>-664.233832178409</v>
      </c>
      <c r="L17" s="4" t="n">
        <f aca="false">-L6*Assumptions!L32/100</f>
        <v>-680.839677982869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-124.74</v>
      </c>
      <c r="D18" s="4" t="n">
        <f aca="false">(D6-C6)*Assumptions!$B$37/100</f>
        <v>-131.6007</v>
      </c>
      <c r="E18" s="4" t="n">
        <f aca="false">(E6-D6)*Assumptions!$B$37/100</f>
        <v>-126.217035</v>
      </c>
      <c r="F18" s="4" t="n">
        <f aca="false">(F6-E6)*Assumptions!$B$37/100</f>
        <v>-132.52788675</v>
      </c>
      <c r="G18" s="4" t="n">
        <f aca="false">(G6-F6)*Assumptions!$B$37/100</f>
        <v>-125.23885297875</v>
      </c>
      <c r="H18" s="4" t="n">
        <f aca="false">(H6-G6)*Assumptions!$B$37/100</f>
        <v>-116.33297898915</v>
      </c>
      <c r="I18" s="4" t="n">
        <f aca="false">(I6-H6)*Assumptions!$B$37/100</f>
        <v>-105.863010880126</v>
      </c>
      <c r="J18" s="4" t="n">
        <f aca="false">(J6-I6)*Assumptions!$B$37/100</f>
        <v>-93.9156139379408</v>
      </c>
      <c r="K18" s="4" t="n">
        <f aca="false">(K6-J6)*Assumptions!$B$37/100</f>
        <v>-96.7330823560793</v>
      </c>
      <c r="L18" s="4" t="n">
        <f aca="false">(L6-K6)*Assumptions!$B$37/100</f>
        <v>-83.0292290223009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3872.531565</v>
      </c>
      <c r="D19" s="0" t="n">
        <f aca="false">D15+D16+D17+D18</f>
        <v>4130.117486775</v>
      </c>
      <c r="E19" s="0" t="n">
        <f aca="false">E15+E16+E17+E18</f>
        <v>4395.41358109875</v>
      </c>
      <c r="F19" s="0" t="n">
        <f aca="false">F15+F16+F17+F18</f>
        <v>4664.35210613794</v>
      </c>
      <c r="G19" s="0" t="n">
        <f aca="false">G15+G16+G17+G18</f>
        <v>4938.88113864268</v>
      </c>
      <c r="H19" s="0" t="n">
        <f aca="false">H15+H16+H17+H18</f>
        <v>5184.12715386366</v>
      </c>
      <c r="I19" s="0" t="n">
        <f aca="false">I15+I16+I17+I18</f>
        <v>5394.72232212399</v>
      </c>
      <c r="J19" s="0" t="n">
        <f aca="false">J15+J16+J17+J18</f>
        <v>5565.77581291231</v>
      </c>
      <c r="K19" s="0" t="n">
        <f aca="false">K15+K16+K17+K18</f>
        <v>5726.66027717138</v>
      </c>
      <c r="L19" s="0" t="n">
        <f aca="false">L15+L16+L17+L18</f>
        <v>5873.46690373033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3569.15351612903</v>
      </c>
      <c r="D21" s="0" t="n">
        <f aca="false">D19*D20</f>
        <v>3508.35013423517</v>
      </c>
      <c r="E21" s="0" t="n">
        <f aca="false">E19*E20</f>
        <v>3441.20488859462</v>
      </c>
      <c r="F21" s="0" t="n">
        <f aca="false">F19*F20</f>
        <v>3365.6765325602</v>
      </c>
      <c r="G21" s="0" t="n">
        <f aca="false">G19*G20</f>
        <v>3284.5802974199</v>
      </c>
      <c r="H21" s="0" t="n">
        <f aca="false">H19*H20</f>
        <v>3177.58528794685</v>
      </c>
      <c r="I21" s="0" t="n">
        <f aca="false">I19*I20</f>
        <v>3047.62079486973</v>
      </c>
      <c r="J21" s="0" t="n">
        <f aca="false">J19*J20</f>
        <v>2897.92941862463</v>
      </c>
      <c r="K21" s="0" t="n">
        <f aca="false">K19*K20</f>
        <v>2748.10787444849</v>
      </c>
      <c r="L21" s="0" t="n">
        <f aca="false">L19*L20</f>
        <v>2597.74874722184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31637.9574920505</v>
      </c>
    </row>
    <row r="31" customFormat="false" ht="15" hidden="false" customHeight="false" outlineLevel="0" collapsed="false">
      <c r="A31" s="0" t="s">
        <v>138</v>
      </c>
      <c r="B31" s="0" t="n">
        <f aca="false">L19</f>
        <v>5873.46690373033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100338.392938726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105722.404267146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100338.392938726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44378.2077650397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76016.1652570902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65083.1652570902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116.199188104071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-0.265631118599058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2111.38150010608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2893.62746286558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125.135108409323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48162.4286105887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43.9980223907765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7.5</v>
      </c>
      <c r="D5" s="4" t="n">
        <f aca="false">Assumptions!D41</f>
        <v>7.5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18900</v>
      </c>
      <c r="C6" s="0" t="n">
        <f aca="false">B6*(1+C5/100)</f>
        <v>20317.5</v>
      </c>
      <c r="D6" s="0" t="n">
        <f aca="false">C6*(1+D5/100)</f>
        <v>21841.3125</v>
      </c>
      <c r="E6" s="0" t="n">
        <f aca="false">D6*(1+E5/100)</f>
        <v>23370.204375</v>
      </c>
      <c r="F6" s="0" t="n">
        <f aca="false">E6*(1+F5/100)</f>
        <v>24889.267659375</v>
      </c>
      <c r="G6" s="0" t="n">
        <f aca="false">F6*(1+G5/100)</f>
        <v>26382.6237189375</v>
      </c>
      <c r="H6" s="0" t="n">
        <f aca="false">G6*(1+H5/100)</f>
        <v>27833.6680234791</v>
      </c>
      <c r="I6" s="0" t="n">
        <f aca="false">H6*(1+I5/100)</f>
        <v>29225.351424653</v>
      </c>
      <c r="J6" s="0" t="n">
        <f aca="false">I6*(1+J5/100)</f>
        <v>30540.4922387624</v>
      </c>
      <c r="K6" s="0" t="n">
        <f aca="false">J6*(1+K5/100)</f>
        <v>31762.1119283129</v>
      </c>
      <c r="L6" s="0" t="n">
        <f aca="false">K6*(1+L5/100)</f>
        <v>32873.7858458039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29.5</v>
      </c>
      <c r="D7" s="4" t="n">
        <f aca="false">Assumptions!D42</f>
        <v>30</v>
      </c>
      <c r="E7" s="4" t="n">
        <f aca="false">Assumptions!E42</f>
        <v>30.5</v>
      </c>
      <c r="F7" s="4" t="n">
        <f aca="false">Assumptions!F42</f>
        <v>31</v>
      </c>
      <c r="G7" s="4" t="n">
        <f aca="false">Assumptions!G42</f>
        <v>31.5</v>
      </c>
      <c r="H7" s="4" t="n">
        <f aca="false">Assumptions!H42</f>
        <v>32</v>
      </c>
      <c r="I7" s="4" t="n">
        <f aca="false">Assumptions!I42</f>
        <v>32</v>
      </c>
      <c r="J7" s="4" t="n">
        <f aca="false">Assumptions!J42</f>
        <v>32</v>
      </c>
      <c r="K7" s="4" t="n">
        <f aca="false">Assumptions!K42</f>
        <v>32</v>
      </c>
      <c r="L7" s="4" t="n">
        <f aca="false">Assumptions!L42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5993.6625</v>
      </c>
      <c r="D8" s="0" t="n">
        <f aca="false">D6*D7/100</f>
        <v>6552.39375</v>
      </c>
      <c r="E8" s="0" t="n">
        <f aca="false">E6*E7/100</f>
        <v>7127.912334375</v>
      </c>
      <c r="F8" s="0" t="n">
        <f aca="false">F6*F7/100</f>
        <v>7715.67297440625</v>
      </c>
      <c r="G8" s="0" t="n">
        <f aca="false">G6*G7/100</f>
        <v>8310.52647146531</v>
      </c>
      <c r="H8" s="0" t="n">
        <f aca="false">H6*H7/100</f>
        <v>8906.7737675133</v>
      </c>
      <c r="I8" s="0" t="n">
        <f aca="false">I6*I7/100</f>
        <v>9352.11245588897</v>
      </c>
      <c r="J8" s="0" t="n">
        <f aca="false">J6*J7/100</f>
        <v>9772.95751640397</v>
      </c>
      <c r="K8" s="0" t="n">
        <f aca="false">K6*K7/100</f>
        <v>10163.8758170601</v>
      </c>
      <c r="L8" s="0" t="n">
        <f aca="false">L6*L7/100</f>
        <v>10519.6114706572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1.35</v>
      </c>
      <c r="D9" s="4" t="n">
        <f aca="false">Assumptions!D43</f>
        <v>1.35</v>
      </c>
      <c r="E9" s="4" t="n">
        <f aca="false">Assumptions!E43</f>
        <v>1.35</v>
      </c>
      <c r="F9" s="4" t="n">
        <f aca="false">Assumptions!F43</f>
        <v>1.35</v>
      </c>
      <c r="G9" s="4" t="n">
        <f aca="false">Assumptions!G43</f>
        <v>1.35</v>
      </c>
      <c r="H9" s="4" t="n">
        <f aca="false">Assumptions!H43</f>
        <v>1.35</v>
      </c>
      <c r="I9" s="4" t="n">
        <f aca="false">Assumptions!I43</f>
        <v>1.35</v>
      </c>
      <c r="J9" s="4" t="n">
        <f aca="false">Assumptions!J43</f>
        <v>1.35</v>
      </c>
      <c r="K9" s="4" t="n">
        <f aca="false">Assumptions!K43</f>
        <v>1.35</v>
      </c>
      <c r="L9" s="4" t="n">
        <f aca="false">Assumptions!L43</f>
        <v>1.35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-274.28625</v>
      </c>
      <c r="D10" s="0" t="n">
        <f aca="false">-D6*D9/100</f>
        <v>-294.85771875</v>
      </c>
      <c r="E10" s="0" t="n">
        <f aca="false">-E6*E9/100</f>
        <v>-315.4977590625</v>
      </c>
      <c r="F10" s="0" t="n">
        <f aca="false">-F6*F9/100</f>
        <v>-336.005113401563</v>
      </c>
      <c r="G10" s="0" t="n">
        <f aca="false">-G6*G9/100</f>
        <v>-356.165420205656</v>
      </c>
      <c r="H10" s="0" t="n">
        <f aca="false">-H6*H9/100</f>
        <v>-375.754518316967</v>
      </c>
      <c r="I10" s="0" t="n">
        <f aca="false">-I6*I9/100</f>
        <v>-394.542244232816</v>
      </c>
      <c r="J10" s="0" t="n">
        <f aca="false">-J6*J9/100</f>
        <v>-412.296645223292</v>
      </c>
      <c r="K10" s="0" t="n">
        <f aca="false">-K6*K9/100</f>
        <v>-428.788511032224</v>
      </c>
      <c r="L10" s="0" t="n">
        <f aca="false">-L6*L9/100</f>
        <v>-443.796108918352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5719.37625</v>
      </c>
      <c r="D11" s="0" t="n">
        <f aca="false">D8+D10+D24</f>
        <v>6257.53603125</v>
      </c>
      <c r="E11" s="0" t="n">
        <f aca="false">E8+E10+E24</f>
        <v>6812.4145753125</v>
      </c>
      <c r="F11" s="0" t="n">
        <f aca="false">F8+F10+F24</f>
        <v>7379.66786100469</v>
      </c>
      <c r="G11" s="0" t="n">
        <f aca="false">G8+G10+G24</f>
        <v>7954.36105125966</v>
      </c>
      <c r="H11" s="0" t="n">
        <f aca="false">H8+H10+H24</f>
        <v>8531.01924919633</v>
      </c>
      <c r="I11" s="0" t="n">
        <f aca="false">I8+I10+I24</f>
        <v>8957.57021165615</v>
      </c>
      <c r="J11" s="0" t="n">
        <f aca="false">J8+J10+J24</f>
        <v>9360.66087118068</v>
      </c>
      <c r="K11" s="0" t="n">
        <f aca="false">K8+K10+K24</f>
        <v>9735.08730602791</v>
      </c>
      <c r="L11" s="0" t="n">
        <f aca="false">L8+L10+L24</f>
        <v>10075.8153617389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-812.7</v>
      </c>
      <c r="D12" s="4" t="n">
        <f aca="false">-D6*Assumptions!D45/100</f>
        <v>-851.8111875</v>
      </c>
      <c r="E12" s="4" t="n">
        <f aca="false">-E6*Assumptions!E45/100</f>
        <v>-888.06776625</v>
      </c>
      <c r="F12" s="4" t="n">
        <f aca="false">-F6*Assumptions!F45/100</f>
        <v>-920.902903396875</v>
      </c>
      <c r="G12" s="4" t="n">
        <f aca="false">-G6*Assumptions!G45/100</f>
        <v>-949.77445388175</v>
      </c>
      <c r="H12" s="4" t="n">
        <f aca="false">-H6*Assumptions!H45/100</f>
        <v>-974.178380821767</v>
      </c>
      <c r="I12" s="4" t="n">
        <f aca="false">-I6*Assumptions!I45/100</f>
        <v>-993.661948438203</v>
      </c>
      <c r="J12" s="4" t="n">
        <f aca="false">-J6*Assumptions!J45/100</f>
        <v>-1007.83624387916</v>
      </c>
      <c r="K12" s="4" t="n">
        <f aca="false">-K6*Assumptions!K45/100</f>
        <v>-1016.38758170601</v>
      </c>
      <c r="L12" s="4" t="n">
        <f aca="false">-L6*Assumptions!L45/100</f>
        <v>-986.213575374116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4906.67625</v>
      </c>
      <c r="D13" s="0" t="n">
        <f aca="false">D11+D12</f>
        <v>5405.72484375</v>
      </c>
      <c r="E13" s="0" t="n">
        <f aca="false">E11+E12</f>
        <v>5924.3468090625</v>
      </c>
      <c r="F13" s="0" t="n">
        <f aca="false">F11+F12</f>
        <v>6458.76495760781</v>
      </c>
      <c r="G13" s="0" t="n">
        <f aca="false">G11+G12</f>
        <v>7004.58659737791</v>
      </c>
      <c r="H13" s="0" t="n">
        <f aca="false">H11+H12</f>
        <v>7556.84086837457</v>
      </c>
      <c r="I13" s="0" t="n">
        <f aca="false">I11+I12</f>
        <v>7963.90826321795</v>
      </c>
      <c r="J13" s="0" t="n">
        <f aca="false">J11+J12</f>
        <v>8352.82462730152</v>
      </c>
      <c r="K13" s="0" t="n">
        <f aca="false">K11+K12</f>
        <v>8718.69972432189</v>
      </c>
      <c r="L13" s="0" t="n">
        <f aca="false">L11+L12</f>
        <v>9089.60178636477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3827.207475</v>
      </c>
      <c r="D15" s="0" t="n">
        <f aca="false">D13-MAX(0,D13)*D14/100</f>
        <v>4216.465378125</v>
      </c>
      <c r="E15" s="0" t="n">
        <f aca="false">E13-MAX(0,E13)*E14/100</f>
        <v>4620.99051106875</v>
      </c>
      <c r="F15" s="0" t="n">
        <f aca="false">F13-MAX(0,F13)*F14/100</f>
        <v>5037.83666693409</v>
      </c>
      <c r="G15" s="0" t="n">
        <f aca="false">G13-MAX(0,G13)*G14/100</f>
        <v>5463.57754595477</v>
      </c>
      <c r="H15" s="0" t="n">
        <f aca="false">H13-MAX(0,H13)*H14/100</f>
        <v>5894.33587733216</v>
      </c>
      <c r="I15" s="0" t="n">
        <f aca="false">I13-MAX(0,I13)*I14/100</f>
        <v>6211.84844531</v>
      </c>
      <c r="J15" s="0" t="n">
        <f aca="false">J13-MAX(0,J13)*J14/100</f>
        <v>6515.20320929518</v>
      </c>
      <c r="K15" s="0" t="n">
        <f aca="false">K13-MAX(0,K13)*K14/100</f>
        <v>6800.58578497108</v>
      </c>
      <c r="L15" s="0" t="n">
        <f aca="false">L13-MAX(0,L13)*L14/100</f>
        <v>7089.88939336452</v>
      </c>
    </row>
    <row r="16" customFormat="false" ht="15" hidden="false" customHeight="false" outlineLevel="0" collapsed="false">
      <c r="A16" s="0" t="s">
        <v>129</v>
      </c>
      <c r="C16" s="0" t="n">
        <f aca="false">-C12</f>
        <v>812.7</v>
      </c>
      <c r="D16" s="0" t="n">
        <f aca="false">-D12</f>
        <v>851.8111875</v>
      </c>
      <c r="E16" s="0" t="n">
        <f aca="false">-E12</f>
        <v>888.06776625</v>
      </c>
      <c r="F16" s="0" t="n">
        <f aca="false">-F12</f>
        <v>920.902903396875</v>
      </c>
      <c r="G16" s="0" t="n">
        <f aca="false">-G12</f>
        <v>949.77445388175</v>
      </c>
      <c r="H16" s="0" t="n">
        <f aca="false">-H12</f>
        <v>974.178380821767</v>
      </c>
      <c r="I16" s="0" t="n">
        <f aca="false">-I12</f>
        <v>993.661948438203</v>
      </c>
      <c r="J16" s="0" t="n">
        <f aca="false">-J12</f>
        <v>1007.83624387916</v>
      </c>
      <c r="K16" s="0" t="n">
        <f aca="false">-K12</f>
        <v>1016.38758170601</v>
      </c>
      <c r="L16" s="0" t="n">
        <f aca="false">-L12</f>
        <v>986.213575374116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-467.3025</v>
      </c>
      <c r="D17" s="4" t="n">
        <f aca="false">-D6*Assumptions!D46/100</f>
        <v>-502.3501875</v>
      </c>
      <c r="E17" s="4" t="n">
        <f aca="false">-E6*Assumptions!E46/100</f>
        <v>-537.514700625</v>
      </c>
      <c r="F17" s="4" t="n">
        <f aca="false">-F6*Assumptions!F46/100</f>
        <v>-572.453156165625</v>
      </c>
      <c r="G17" s="4" t="n">
        <f aca="false">-G6*Assumptions!G46/100</f>
        <v>-606.800345535563</v>
      </c>
      <c r="H17" s="4" t="n">
        <f aca="false">-H6*Assumptions!H46/100</f>
        <v>-640.174364540018</v>
      </c>
      <c r="I17" s="4" t="n">
        <f aca="false">-I6*Assumptions!I46/100</f>
        <v>-672.183082767019</v>
      </c>
      <c r="J17" s="4" t="n">
        <f aca="false">-J6*Assumptions!J46/100</f>
        <v>-702.431321491535</v>
      </c>
      <c r="K17" s="4" t="n">
        <f aca="false">-K6*Assumptions!K46/100</f>
        <v>-730.528574351197</v>
      </c>
      <c r="L17" s="4" t="n">
        <f aca="false">-L6*Assumptions!L46/100</f>
        <v>-756.097074453489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-141.75</v>
      </c>
      <c r="D18" s="4" t="n">
        <f aca="false">(D6-C6)*Assumptions!$B$51/100</f>
        <v>-152.38125</v>
      </c>
      <c r="E18" s="4" t="n">
        <f aca="false">(E6-D6)*Assumptions!$B$51/100</f>
        <v>-152.8891875</v>
      </c>
      <c r="F18" s="4" t="n">
        <f aca="false">(F6-E6)*Assumptions!$B$51/100</f>
        <v>-151.9063284375</v>
      </c>
      <c r="G18" s="4" t="n">
        <f aca="false">(G6-F6)*Assumptions!$B$51/100</f>
        <v>-149.33560595625</v>
      </c>
      <c r="H18" s="4" t="n">
        <f aca="false">(H6-G6)*Assumptions!$B$51/100</f>
        <v>-145.104430454156</v>
      </c>
      <c r="I18" s="4" t="n">
        <f aca="false">(I6-H6)*Assumptions!$B$51/100</f>
        <v>-139.168340117396</v>
      </c>
      <c r="J18" s="4" t="n">
        <f aca="false">(J6-I6)*Assumptions!$B$51/100</f>
        <v>-131.514081410939</v>
      </c>
      <c r="K18" s="4" t="n">
        <f aca="false">(K6-J6)*Assumptions!$B$51/100</f>
        <v>-122.16196895505</v>
      </c>
      <c r="L18" s="4" t="n">
        <f aca="false">(L6-K6)*Assumptions!$B$51/100</f>
        <v>-111.167391749095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4030.854975</v>
      </c>
      <c r="D19" s="0" t="n">
        <f aca="false">D15+D16+D17+D18</f>
        <v>4413.545128125</v>
      </c>
      <c r="E19" s="0" t="n">
        <f aca="false">E15+E16+E17+E18</f>
        <v>4818.65438919375</v>
      </c>
      <c r="F19" s="0" t="n">
        <f aca="false">F15+F16+F17+F18</f>
        <v>5234.38008572784</v>
      </c>
      <c r="G19" s="0" t="n">
        <f aca="false">G15+G16+G17+G18</f>
        <v>5657.2160483447</v>
      </c>
      <c r="H19" s="0" t="n">
        <f aca="false">H15+H16+H17+H18</f>
        <v>6083.23546315975</v>
      </c>
      <c r="I19" s="0" t="n">
        <f aca="false">I15+I16+I17+I18</f>
        <v>6394.15897086379</v>
      </c>
      <c r="J19" s="0" t="n">
        <f aca="false">J15+J16+J17+J18</f>
        <v>6689.09405027187</v>
      </c>
      <c r="K19" s="0" t="n">
        <f aca="false">K15+K16+K17+K18</f>
        <v>6964.28282337084</v>
      </c>
      <c r="L19" s="0" t="n">
        <f aca="false">L15+L16+L17+L18</f>
        <v>7208.83850253605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3715.07370967742</v>
      </c>
      <c r="D21" s="0" t="n">
        <f aca="false">D19*D20</f>
        <v>3749.10924260443</v>
      </c>
      <c r="E21" s="0" t="n">
        <f aca="false">E19*E20</f>
        <v>3772.56354483857</v>
      </c>
      <c r="F21" s="0" t="n">
        <f aca="false">F19*F20</f>
        <v>3776.9940639455</v>
      </c>
      <c r="G21" s="0" t="n">
        <f aca="false">G19*G20</f>
        <v>3762.30564150554</v>
      </c>
      <c r="H21" s="0" t="n">
        <f aca="false">H19*H20</f>
        <v>3728.68931203715</v>
      </c>
      <c r="I21" s="0" t="n">
        <f aca="false">I19*I20</f>
        <v>3612.22889367084</v>
      </c>
      <c r="J21" s="0" t="n">
        <f aca="false">J19*J20</f>
        <v>3482.80690488085</v>
      </c>
      <c r="K21" s="0" t="n">
        <f aca="false">K19*K20</f>
        <v>3342.01778008125</v>
      </c>
      <c r="L21" s="0" t="n">
        <f aca="false">L19*L20</f>
        <v>3188.36412902811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36130.1532222697</v>
      </c>
    </row>
    <row r="31" customFormat="false" ht="15" hidden="false" customHeight="false" outlineLevel="0" collapsed="false">
      <c r="A31" s="0" t="s">
        <v>138</v>
      </c>
      <c r="B31" s="0" t="n">
        <f aca="false">L19</f>
        <v>7208.83850253605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135001.884683857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144176.770050721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135001.884683857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59709.3645981628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95839.5178204324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84906.5178204324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151.591711873652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-0.0419534103921388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2299.51731937373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3675.87422929916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162.260148846823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61875.8638134344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55.6327675635131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71.1907306241383</v>
      </c>
      <c r="C4" s="0" t="n">
        <f aca="false">B4/Assumptions!$B$2-1</f>
        <v>-0.550080701357908</v>
      </c>
      <c r="D4" s="4" t="n">
        <f aca="false">Assumptions!$B$24</f>
        <v>0.2</v>
      </c>
      <c r="E4" s="4" t="n">
        <f aca="false">DCF_Bear!$B$43</f>
        <v>78.8585888243212</v>
      </c>
      <c r="F4" s="4" t="n">
        <f aca="false">DCF_Bear!$B$47</f>
        <v>26.6885286093065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116.199188104071</v>
      </c>
      <c r="C5" s="0" t="n">
        <f aca="false">B5/Assumptions!$B$2-1</f>
        <v>-0.265631118599058</v>
      </c>
      <c r="D5" s="4" t="n">
        <f aca="false">Assumptions!$B$38</f>
        <v>0.5</v>
      </c>
      <c r="E5" s="4" t="n">
        <f aca="false">DCF_Base!$B$43</f>
        <v>125.135108409323</v>
      </c>
      <c r="F5" s="4" t="n">
        <f aca="false">DCF_Base!$B$47</f>
        <v>43.9980223907765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151.591711873652</v>
      </c>
      <c r="C6" s="0" t="n">
        <f aca="false">B6/Assumptions!$B$2-1</f>
        <v>-0.0419534103921388</v>
      </c>
      <c r="D6" s="4" t="n">
        <f aca="false">Assumptions!$B$52</f>
        <v>0.3</v>
      </c>
      <c r="E6" s="4" t="n">
        <f aca="false">DCF_Bull!$B$43</f>
        <v>162.260148846823</v>
      </c>
      <c r="F6" s="4" t="n">
        <f aca="false">DCF_Bull!$B$47</f>
        <v>55.6327675635131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117.815253738959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127.017316623573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-0.343034921017847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439.192241650688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44.0265471863035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116.199188104071</v>
      </c>
      <c r="C15" s="3" t="n">
        <v>8.5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105.48349043846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88.3551406631917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75.2757193224228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64.965615271795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43.9980223907765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143.367712617144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143.367712617144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143.367712617144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143.367712617144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143.367712617144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125.854627396704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131.36659196211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131.36659196211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131.36659196211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131.36659196211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104.21766528614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109.747598894416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116.199188104071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120.450696200756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120.450696200756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88.0306886809023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91.8918738963322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96.3046569996807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101.396329811237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107.336614758052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75.4745430277161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78.2650108584814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81.4042871680922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84.9621336523179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89.0282439200044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2026-09-28T07:34:40Z</dcterms:created>
  <dc:creator>openpyxl</dc:creator>
  <dc:description/>
  <dc:language>en-NZ</dc:language>
  <cp:lastModifiedBy/>
  <dcterms:modified xsi:type="dcterms:W3CDTF">2026-09-28T07:34:40Z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