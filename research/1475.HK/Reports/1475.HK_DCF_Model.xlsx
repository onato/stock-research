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<sst xmlns="http://schemas.openxmlformats.org/spreadsheetml/2006/main" count="354" uniqueCount="163">
  <si>
    <t xml:space="preserve">Ticker</t>
  </si>
  <si>
    <t xml:space="preserve">1475.HK</t>
  </si>
  <si>
    <t xml:space="preserve">Company</t>
  </si>
  <si>
    <t xml:space="preserve">Nissin Foods Company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</si>
  <si>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</si>
  <si>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</si>
  <si>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</si>
  <si>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</si>
  <si>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regular HKEX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</si>
  <si>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</si>
  <si>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</si>
  <si>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</si>
  <si>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</si>
  <si>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</si>
  <si>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</si>
  <si>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</si>
  <si>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</si>
  <si>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</si>
  <si>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</si>
  <si>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</si>
  <si>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</si>
  <si>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2026-10-16T12:20:44Z</t>
  </si>
  <si>
    <t xml:space="preserve">Drivers file</t>
  </si>
  <si>
    <t xml:space="preserve">1475.HK_Drivers.json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</si>
  <si>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</si>
  <si>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</si>
  <si>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</si>
  <si>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HKD flows at a 9% HKD cost of equity, with the company's Adjusted EBITDA (not the cash-flow-statement D&amp;A basis) as the margin anchor, total D&amp;A of 4.4% of revenue, interest income stripped and net cash added once in the bridge, NCI deducted once at book, and SBC (0.06% of revenue) expensed with a flat share count. Risk is carried in the scenario flows and weights, not in the discount rate.
key_risks_to_valuation: Chinese Mainland volume: H1-2026 growth was +4.5% in HKD but -0.1% in local currency; the base case assumes genuine low-single-digit volume growth resumes; Hong Kong consumption leakage to the Greater Bay Area: HK segment result -16% in H1-2026 on flat revenue; Input costs (palm oil, wheat flour, packaging) and the ability to price through in a competitive Mainland market; Zhuhai Jinwan factory capex (2027-2029) is modelled at 6-6.5% of revenue without a disclosed budget; a larger or slower project moves the base case; Parent Nissin Foods HD owns ~70%; related-party procurement, royalties and common-control acquisitions (FY2022 Winner Food, HK$428.5m FY2024 acquisitions) can transfer value away from minorities; Interest income on HK$1.7bn of cash is stripped; if the cash is never distributed or deployed above the cost of capital the bridge overstates its value to minorities; The Metrics CSV EBITDA (491) understates the company's Adjusted EBITDA (623) by the depreciation capitalised in inventories; multiples built from the CSV look ~27% more expensive than they are</t>
  </si>
  <si>
    <t xml:space="preserve">Data sources</t>
  </si>
  <si>
    <t xml:space="preserve">price: Yahoo Finance chart API at inputs.price_as_of; 52-week range 5.80-9.69 HKD
financials: research/1475.HK/Reports/1475.HK_Metrics.csv (FY2018-FY2025 annual, H1-2024 to H1-2026 interim); 1475.HK_Annual_FY2025.txt (cash flow statement lines 5036-5135, note 11 depreciation line 7195-7215, segment note 6760-6800, Adjusted EBITDA line 604-615); 1475.HK_HalfYear_H1-2026.txt (balance sheet 1430-1510, share capital note 14, liquidity section, segment note 2020-2030)
qualitative: research/1475.HK/Reports/1475.HK_Analysis.json (bull/bear points, guidance, Zhuhai budget); FY2025 annual report chairman's statement and business review; H1-2026 interim management discussion and future prospects.</t>
  </si>
  <si>
    <t xml:space="preserve">Scenario narrative: bear</t>
  </si>
  <si>
    <t xml:space="preserve">Hong Kong leakage and Mainland price competition flatten revenue, input-cost inflation compresses Adjusted EBITDA margin to 14%, and the committed factory capex is spent into flat demand. The HK$1.7bn net cash and 50% payout keep the downside bounded by the balance sheet rather than by solvency.</t>
  </si>
  <si>
    <t xml:space="preserve">Scenario narrative: base</t>
  </si>
  <si>
    <t xml:space="preserve">Nissin Foods HK is a mature, cash-generative premium instant-noodle franchise (Cup Noodles, Demae Iccho) with ~62% of revenue in the Chinese Mainland and ~38% in Hong Kong and other regions, no debt and HK$1.7bn of net cash. Base case: 3-3.5% revenue growth driven by Mainland store coverage and channel penetration, Hong Kong flat; Adjusted EBITDA margin 16.0-16.5%; the Zhuhai Jinwan factory (completion 2029) lifts capex to 6-6.5% of revenue for three years; 50% dividend payout continues. Value is roughly the current price.</t>
  </si>
  <si>
    <t xml:space="preserve">Scenario narrative: bull</t>
  </si>
  <si>
    <t xml:space="preserve">Mainland premium-noodle penetration accelerates under the consumption-stimulus policy, volume growth runs 5-6% in local currency, distribution (Itochu partnership) and snacks add new revenue lines, and mix plus the new automated factory lift Adjusted EBITDA margin to 18%.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</si>
  <si>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</si>
  <si>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</si>
  <si>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</si>
  <si>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</si>
  <si>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</si>
  <si>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</si>
  <si>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</si>
  <si>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</si>
  <si>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</si>
  <si>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</si>
  <si>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</si>
  <si>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</si>
  <si>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</si>
  <si>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</si>
  <si>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</si>
  <si>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</si>
  <si>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</si>
  <si>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</si>
  <si>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</si>
  <si>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</si>
  <si>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</si>
  <si>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</si>
  <si>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</si>
  <si>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</si>
  <si>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</si>
  <si>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</si>
  <si>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</si>
  <si>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NetIncomeInclNCI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</si>
  <si>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</si>
  <si>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</si>
  <si>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</si>
  <si>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</si>
  <si>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</si>
  <si>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</si>
  <si>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</si>
  <si>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</si>
  <si>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</si>
  <si>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</si>
  <si>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</si>
  <si>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</si>
  <si>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</si>
  <si>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</si>
  <si>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</si>
  <si>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</si>
  <si>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</si>
  <si>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</si>
  <si>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</si>
  <si>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</si>
  <si>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</si>
  <si>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</si>
  <si>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</si>
  <si>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</si>
  <si>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</si>
  <si>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</si>
  <si>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</si>
  <si>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</si>
  <si>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</si>
  <si>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</si>
  <si>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</si>
  <si>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</si>
  <si>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</si>
  <si>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</si>
  <si>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</si>
  <si>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</si>
  <si>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</si>
  <si>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</si>
  <si>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</si>
  <si>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</si>
  <si>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</si>
  <si>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</si>
  <si>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</si>
  <si>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</si>
  <si>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</si>
  <si>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1475.HK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</si>
  <si>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</si>
  <si>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</si>
  <si>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</si>
  <si>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</si>
  <si>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</si>
  <si>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</si>
  <si>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</si>
  <si>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</si>
  <si>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</si>
  <si>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</si>
  <si>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</si>
  <si>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</si>
  <si>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</si>
  <si>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</si>
  <si>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</si>
  <si>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</si>
  <si>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</si>
  <si>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</si>
  <si>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</si>
  <si>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</si>
  <si>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</si>
  <si>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</si>
  <si>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</si>
  <si>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</si>
  <si>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</si>
  <si>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</si>
  <si>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</si>
  <si>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</si>
  <si>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</si>
  <si>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</si>
  <si>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1475.HK owner-FCF component DCF: base case (millions, HKD)</t>
  </si>
  <si>
    <t xml:space="preserve">1475.HK owner-FCF component DCF: bull case (millions, HKD)</t>
  </si>
  <si>
    <t xml:space="preserve">1475.HK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</si>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</sst>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6.235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2998.828</v>
      </c>
      <c r="C2" s="0" t="n">
        <v>2065.429</v>
      </c>
      <c r="D2" s="0" t="n">
        <v>933.399</v>
      </c>
      <c r="E2" s="0" t="n">
        <v>31.1255</v>
      </c>
      <c r="F2" s="0" t="n">
        <v>300.008</v>
      </c>
      <c r="G2" s="0" t="n">
        <v>10.0042</v>
      </c>
      <c r="H2" s="0" t="n">
        <v>323.069</v>
      </c>
      <c r="I2" s="0" t="n">
        <v>205.448</v>
      </c>
      <c r="J2" s="0" t="n">
        <v>6.8509</v>
      </c>
      <c r="K2" s="0" t="n">
        <v>0.1913</v>
      </c>
      <c r="L2" s="0" t="n">
        <v>263.915</v>
      </c>
      <c r="M2" s="0" t="n">
        <v>214.815</v>
      </c>
      <c r="N2" s="0" t="n">
        <v>49.1</v>
      </c>
      <c r="O2" s="0" t="n">
        <v>3480.536</v>
      </c>
      <c r="P2" s="0" t="n">
        <v>4444.372</v>
      </c>
      <c r="Q2" s="0" t="n">
        <v>849.199</v>
      </c>
      <c r="R2" s="0" t="n">
        <v>0</v>
      </c>
      <c r="S2" s="0" t="n">
        <v>1384.707</v>
      </c>
      <c r="T2" s="0" t="n">
        <v>1074.1926</v>
      </c>
      <c r="U2" s="0" t="n">
        <v>0.809</v>
      </c>
      <c r="AA2" s="0" t="s">
        <v>17</v>
      </c>
      <c r="AB2" s="0" t="s">
        <v>14</v>
      </c>
      <c r="AC2" s="0" t="n">
        <v>230.582</v>
      </c>
    </row>
    <row r="3" customFormat="false" ht="15" hidden="false" customHeight="false" outlineLevel="0" collapsed="false">
      <c r="A3" s="0" t="s">
        <v>65</v>
      </c>
      <c r="B3" s="0" t="n">
        <v>3087.781</v>
      </c>
      <c r="C3" s="0" t="n">
        <v>2074.351</v>
      </c>
      <c r="D3" s="0" t="n">
        <v>1013.43</v>
      </c>
      <c r="E3" s="0" t="n">
        <v>32.8207</v>
      </c>
      <c r="F3" s="0" t="n">
        <v>352.702</v>
      </c>
      <c r="G3" s="0" t="n">
        <v>11.4225</v>
      </c>
      <c r="H3" s="0" t="n">
        <v>379.107</v>
      </c>
      <c r="I3" s="0" t="n">
        <v>250.964</v>
      </c>
      <c r="J3" s="0" t="n">
        <v>8.1276</v>
      </c>
      <c r="K3" s="0" t="n">
        <v>0.2336</v>
      </c>
      <c r="L3" s="0" t="n">
        <v>459.488</v>
      </c>
      <c r="M3" s="0" t="n">
        <v>208.933</v>
      </c>
      <c r="N3" s="0" t="n">
        <v>250.555</v>
      </c>
      <c r="O3" s="0" t="n">
        <v>3589.565</v>
      </c>
      <c r="P3" s="0" t="n">
        <v>4633.93</v>
      </c>
      <c r="Q3" s="0" t="n">
        <v>921.612</v>
      </c>
      <c r="R3" s="0" t="n">
        <v>1.791</v>
      </c>
      <c r="S3" s="0" t="n">
        <v>1505.261</v>
      </c>
      <c r="T3" s="0" t="n">
        <v>1074.301</v>
      </c>
      <c r="U3" s="0" t="n">
        <v>0.23</v>
      </c>
      <c r="AA3" s="0" t="s">
        <v>17</v>
      </c>
      <c r="AB3" s="0" t="s">
        <v>14</v>
      </c>
      <c r="AC3" s="0" t="n">
        <v>278.918</v>
      </c>
    </row>
    <row r="4" customFormat="false" ht="15" hidden="false" customHeight="false" outlineLevel="0" collapsed="false">
      <c r="A4" s="0" t="s">
        <v>66</v>
      </c>
      <c r="B4" s="0" t="n">
        <v>3518.847</v>
      </c>
      <c r="C4" s="0" t="n">
        <v>2360.17</v>
      </c>
      <c r="D4" s="0" t="n">
        <v>1158.677</v>
      </c>
      <c r="E4" s="0" t="n">
        <v>32.9277</v>
      </c>
      <c r="F4" s="0" t="n">
        <v>434.058</v>
      </c>
      <c r="G4" s="0" t="n">
        <v>12.3352</v>
      </c>
      <c r="H4" s="0" t="n">
        <v>470.621</v>
      </c>
      <c r="I4" s="0" t="n">
        <v>301.912</v>
      </c>
      <c r="J4" s="0" t="n">
        <v>8.5799</v>
      </c>
      <c r="K4" s="0" t="n">
        <v>0.281</v>
      </c>
      <c r="L4" s="0" t="n">
        <v>501.615</v>
      </c>
      <c r="M4" s="0" t="n">
        <v>265.907</v>
      </c>
      <c r="N4" s="0" t="n">
        <v>235.708</v>
      </c>
      <c r="O4" s="0" t="n">
        <v>3895.679</v>
      </c>
      <c r="P4" s="0" t="n">
        <v>5183.875</v>
      </c>
      <c r="Q4" s="0" t="n">
        <v>1140.692</v>
      </c>
      <c r="R4" s="0" t="n">
        <v>16.674</v>
      </c>
      <c r="S4" s="0" t="n">
        <v>1607.247</v>
      </c>
      <c r="T4" s="0" t="n">
        <v>1074.2957</v>
      </c>
      <c r="U4" s="0" t="n">
        <v>2.754</v>
      </c>
      <c r="AA4" s="0" t="s">
        <v>17</v>
      </c>
      <c r="AB4" s="0" t="s">
        <v>14</v>
      </c>
      <c r="AC4" s="0" t="n">
        <v>332.564</v>
      </c>
    </row>
    <row r="5" customFormat="false" ht="15" hidden="false" customHeight="false" outlineLevel="0" collapsed="false">
      <c r="A5" s="0" t="s">
        <v>67</v>
      </c>
      <c r="B5" s="0" t="n">
        <v>3866.335</v>
      </c>
      <c r="C5" s="0" t="n">
        <v>2639.016</v>
      </c>
      <c r="D5" s="0" t="n">
        <v>1227.319</v>
      </c>
      <c r="E5" s="0" t="n">
        <v>31.7437</v>
      </c>
      <c r="F5" s="0" t="n">
        <v>441.941</v>
      </c>
      <c r="G5" s="0" t="n">
        <v>11.4305</v>
      </c>
      <c r="H5" s="0" t="n">
        <v>492.514</v>
      </c>
      <c r="I5" s="0" t="n">
        <v>303.821</v>
      </c>
      <c r="J5" s="0" t="n">
        <v>7.8581</v>
      </c>
      <c r="K5" s="0" t="n">
        <v>0.2874</v>
      </c>
      <c r="L5" s="0" t="n">
        <v>450.517</v>
      </c>
      <c r="M5" s="0" t="n">
        <v>262.941</v>
      </c>
      <c r="N5" s="0" t="n">
        <v>187.576</v>
      </c>
      <c r="O5" s="0" t="n">
        <v>3950.639</v>
      </c>
      <c r="P5" s="0" t="n">
        <v>5259.569</v>
      </c>
      <c r="Q5" s="0" t="n">
        <v>1143.308</v>
      </c>
      <c r="R5" s="0" t="n">
        <v>11.212</v>
      </c>
      <c r="S5" s="0" t="n">
        <v>1790.954</v>
      </c>
      <c r="T5" s="0" t="n">
        <v>1057.0687</v>
      </c>
      <c r="U5" s="0" t="n">
        <v>1.431</v>
      </c>
      <c r="AA5" s="0" t="s">
        <v>17</v>
      </c>
      <c r="AB5" s="0" t="s">
        <v>14</v>
      </c>
      <c r="AC5" s="0" t="n">
        <v>339.235</v>
      </c>
    </row>
    <row r="6" customFormat="false" ht="15" hidden="false" customHeight="false" outlineLevel="0" collapsed="false">
      <c r="A6" s="0" t="s">
        <v>68</v>
      </c>
      <c r="B6" s="0" t="n">
        <v>4067.732</v>
      </c>
      <c r="C6" s="0" t="n">
        <v>2764.937</v>
      </c>
      <c r="D6" s="0" t="n">
        <v>1302.795</v>
      </c>
      <c r="E6" s="0" t="n">
        <v>32.0276</v>
      </c>
      <c r="F6" s="0" t="n">
        <v>463.144</v>
      </c>
      <c r="G6" s="0" t="n">
        <v>11.3858</v>
      </c>
      <c r="H6" s="0" t="n">
        <v>509.057</v>
      </c>
      <c r="I6" s="0" t="n">
        <v>312.761</v>
      </c>
      <c r="J6" s="0" t="n">
        <v>7.6888</v>
      </c>
      <c r="K6" s="0" t="n">
        <v>0.2996</v>
      </c>
      <c r="L6" s="0" t="n">
        <v>453.585</v>
      </c>
      <c r="M6" s="0" t="n">
        <v>246.151</v>
      </c>
      <c r="N6" s="0" t="n">
        <v>207.434</v>
      </c>
      <c r="O6" s="0" t="n">
        <v>3555.753</v>
      </c>
      <c r="P6" s="0" t="n">
        <v>4599.805</v>
      </c>
      <c r="Q6" s="0" t="n">
        <v>1000.143</v>
      </c>
      <c r="R6" s="0" t="n">
        <v>8.375</v>
      </c>
      <c r="S6" s="0" t="n">
        <v>1257.573</v>
      </c>
      <c r="T6" s="0" t="n">
        <v>1043.8416</v>
      </c>
      <c r="U6" s="0" t="n">
        <v>1.697</v>
      </c>
      <c r="AA6" s="0" t="s">
        <v>17</v>
      </c>
      <c r="AB6" s="0" t="s">
        <v>14</v>
      </c>
      <c r="AC6" s="0" t="n">
        <v>342.896</v>
      </c>
    </row>
    <row r="7" customFormat="false" ht="15" hidden="false" customHeight="false" outlineLevel="0" collapsed="false">
      <c r="A7" s="0" t="s">
        <v>69</v>
      </c>
      <c r="B7" s="0" t="n">
        <v>3833.194</v>
      </c>
      <c r="C7" s="0" t="n">
        <v>2530.133</v>
      </c>
      <c r="D7" s="0" t="n">
        <v>1303.061</v>
      </c>
      <c r="E7" s="0" t="n">
        <v>33.9941</v>
      </c>
      <c r="F7" s="0" t="n">
        <v>457.235</v>
      </c>
      <c r="G7" s="0" t="n">
        <v>11.9283</v>
      </c>
      <c r="H7" s="0" t="n">
        <v>504.862</v>
      </c>
      <c r="I7" s="0" t="n">
        <v>330.169</v>
      </c>
      <c r="J7" s="0" t="n">
        <v>8.6134</v>
      </c>
      <c r="K7" s="0" t="n">
        <v>0.3163</v>
      </c>
      <c r="L7" s="0" t="n">
        <v>576.497</v>
      </c>
      <c r="M7" s="0" t="n">
        <v>254.127</v>
      </c>
      <c r="N7" s="0" t="n">
        <v>322.37</v>
      </c>
      <c r="O7" s="0" t="n">
        <v>3631.441</v>
      </c>
      <c r="P7" s="0" t="n">
        <v>4683.733</v>
      </c>
      <c r="Q7" s="0" t="n">
        <v>1009.03</v>
      </c>
      <c r="R7" s="0" t="n">
        <v>9.672</v>
      </c>
      <c r="S7" s="0" t="n">
        <v>1199.054</v>
      </c>
      <c r="T7" s="0" t="n">
        <v>1043.6916</v>
      </c>
      <c r="U7" s="0" t="n">
        <v>1.684</v>
      </c>
      <c r="AA7" s="0" t="s">
        <v>17</v>
      </c>
      <c r="AB7" s="0" t="s">
        <v>14</v>
      </c>
      <c r="AC7" s="0" t="n">
        <v>333.149</v>
      </c>
    </row>
    <row r="8" customFormat="false" ht="15" hidden="false" customHeight="false" outlineLevel="0" collapsed="false">
      <c r="A8" s="0" t="s">
        <v>70</v>
      </c>
      <c r="B8" s="0" t="n">
        <v>3811.864</v>
      </c>
      <c r="C8" s="0" t="n">
        <v>2499.75</v>
      </c>
      <c r="D8" s="0" t="n">
        <v>1312.114</v>
      </c>
      <c r="E8" s="0" t="n">
        <v>34.4218</v>
      </c>
      <c r="F8" s="0" t="n">
        <v>303.335</v>
      </c>
      <c r="G8" s="0" t="n">
        <v>7.9577</v>
      </c>
      <c r="H8" s="0" t="n">
        <v>344.789</v>
      </c>
      <c r="I8" s="0" t="n">
        <v>200.993</v>
      </c>
      <c r="J8" s="0" t="n">
        <v>5.2728</v>
      </c>
      <c r="K8" s="0" t="n">
        <v>0.1926</v>
      </c>
      <c r="L8" s="0" t="n">
        <v>427.764</v>
      </c>
      <c r="M8" s="0" t="n">
        <v>112.093</v>
      </c>
      <c r="N8" s="0" t="n">
        <v>315.671</v>
      </c>
      <c r="O8" s="0" t="n">
        <v>3620.162</v>
      </c>
      <c r="P8" s="0" t="n">
        <v>4776.352</v>
      </c>
      <c r="Q8" s="0" t="n">
        <v>1106.378</v>
      </c>
      <c r="R8" s="0" t="n">
        <v>16.14</v>
      </c>
      <c r="S8" s="0" t="n">
        <v>1110.097</v>
      </c>
      <c r="T8" s="0" t="n">
        <v>1043.6083</v>
      </c>
      <c r="U8" s="0" t="n">
        <v>1.992</v>
      </c>
      <c r="AA8" s="0" t="s">
        <v>17</v>
      </c>
      <c r="AB8" s="0" t="s">
        <v>14</v>
      </c>
      <c r="AC8" s="0" t="n">
        <v>207.461</v>
      </c>
    </row>
    <row r="9" customFormat="false" ht="15" hidden="false" customHeight="false" outlineLevel="0" collapsed="false">
      <c r="A9" s="0" t="s">
        <v>71</v>
      </c>
      <c r="B9" s="0" t="n">
        <v>4001.102</v>
      </c>
      <c r="C9" s="0" t="n">
        <v>2616.032</v>
      </c>
      <c r="D9" s="0" t="n">
        <v>1385.07</v>
      </c>
      <c r="E9" s="0" t="n">
        <v>34.6172</v>
      </c>
      <c r="F9" s="0" t="n">
        <v>459.717</v>
      </c>
      <c r="G9" s="0" t="n">
        <v>11.4898</v>
      </c>
      <c r="H9" s="0" t="n">
        <v>491.161</v>
      </c>
      <c r="I9" s="0" t="n">
        <v>331.422</v>
      </c>
      <c r="J9" s="0" t="n">
        <v>8.2833</v>
      </c>
      <c r="K9" s="0" t="n">
        <v>0.3176</v>
      </c>
      <c r="L9" s="0" t="n">
        <v>535.711</v>
      </c>
      <c r="M9" s="0" t="n">
        <v>144.012</v>
      </c>
      <c r="N9" s="0" t="n">
        <v>391.699</v>
      </c>
      <c r="O9" s="0" t="n">
        <v>3820.17</v>
      </c>
      <c r="P9" s="0" t="n">
        <v>4924.386</v>
      </c>
      <c r="Q9" s="0" t="n">
        <v>1047.939</v>
      </c>
      <c r="R9" s="0" t="n">
        <v>3.425</v>
      </c>
      <c r="S9" s="0" t="n">
        <v>1512.76</v>
      </c>
      <c r="T9" s="0" t="n">
        <v>1043.4205</v>
      </c>
      <c r="U9" s="0" t="n">
        <v>2.572</v>
      </c>
      <c r="AA9" s="0" t="s">
        <v>17</v>
      </c>
      <c r="AB9" s="0" t="s">
        <v>14</v>
      </c>
      <c r="AC9" s="0" t="n">
        <v>339.527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6.235</v>
      </c>
    </row>
    <row r="3" customFormat="false" ht="15" hidden="false" customHeight="false" outlineLevel="0" collapsed="false">
      <c r="A3" s="0" t="s">
        <v>75</v>
      </c>
      <c r="B3" s="3" t="n">
        <v>1043.691</v>
      </c>
    </row>
    <row r="4" customFormat="false" ht="15" hidden="false" customHeight="false" outlineLevel="0" collapsed="false">
      <c r="A4" s="0" t="s">
        <v>76</v>
      </c>
      <c r="B4" s="3" t="n">
        <v>-1706.9</v>
      </c>
    </row>
    <row r="5" customFormat="false" ht="15" hidden="false" customHeight="false" outlineLevel="0" collapsed="false">
      <c r="A5" s="0" t="s">
        <v>77</v>
      </c>
      <c r="B5" s="3" t="n">
        <v>-68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4001.102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1</v>
      </c>
      <c r="D13" s="3" t="n">
        <v>0</v>
      </c>
      <c r="E13" s="3" t="n">
        <v>0</v>
      </c>
      <c r="F13" s="3" t="n">
        <v>0.5</v>
      </c>
      <c r="G13" s="3" t="n">
        <v>1</v>
      </c>
      <c r="H13" s="3" t="n">
        <v>1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15.5</v>
      </c>
      <c r="D14" s="3" t="n">
        <v>14.8</v>
      </c>
      <c r="E14" s="3" t="n">
        <v>14.2</v>
      </c>
      <c r="F14" s="3" t="n">
        <v>14</v>
      </c>
      <c r="G14" s="3" t="n">
        <v>14</v>
      </c>
      <c r="H14" s="3" t="n">
        <v>14</v>
      </c>
      <c r="I14" s="3" t="n">
        <v>14</v>
      </c>
      <c r="J14" s="3" t="n">
        <v>14</v>
      </c>
      <c r="K14" s="3" t="n">
        <v>14</v>
      </c>
      <c r="L14" s="3" t="n">
        <v>14</v>
      </c>
    </row>
    <row r="15" customFormat="false" ht="15" hidden="false" customHeight="false" outlineLevel="0" collapsed="false">
      <c r="A15" s="0" t="s">
        <v>97</v>
      </c>
      <c r="C15" s="3" t="n">
        <v>0.064</v>
      </c>
      <c r="D15" s="3" t="n">
        <v>0.064</v>
      </c>
      <c r="E15" s="3" t="n">
        <v>0.064</v>
      </c>
      <c r="F15" s="3" t="n">
        <v>0.064</v>
      </c>
      <c r="G15" s="3" t="n">
        <v>0.064</v>
      </c>
      <c r="H15" s="3" t="n">
        <v>0.064</v>
      </c>
      <c r="I15" s="3" t="n">
        <v>0.064</v>
      </c>
      <c r="J15" s="3" t="n">
        <v>0.064</v>
      </c>
      <c r="K15" s="3" t="n">
        <v>0.064</v>
      </c>
      <c r="L15" s="3" t="n">
        <v>0.064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4.4</v>
      </c>
      <c r="D17" s="3" t="n">
        <v>4.5</v>
      </c>
      <c r="E17" s="3" t="n">
        <v>4.6</v>
      </c>
      <c r="F17" s="3" t="n">
        <v>4.7</v>
      </c>
      <c r="G17" s="3" t="n">
        <v>4.8</v>
      </c>
      <c r="H17" s="3" t="n">
        <v>4.8</v>
      </c>
      <c r="I17" s="3" t="n">
        <v>4.8</v>
      </c>
      <c r="J17" s="3" t="n">
        <v>4.8</v>
      </c>
      <c r="K17" s="3" t="n">
        <v>4.8</v>
      </c>
      <c r="L17" s="3" t="n">
        <v>4.8</v>
      </c>
    </row>
    <row r="18" customFormat="false" ht="15" hidden="false" customHeight="false" outlineLevel="0" collapsed="false">
      <c r="A18" s="0" t="s">
        <v>100</v>
      </c>
      <c r="C18" s="3" t="n">
        <v>3</v>
      </c>
      <c r="D18" s="3" t="n">
        <v>6</v>
      </c>
      <c r="E18" s="3" t="n">
        <v>6.5</v>
      </c>
      <c r="F18" s="3" t="n">
        <v>6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101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102</v>
      </c>
      <c r="B20" s="3" t="n">
        <v>9</v>
      </c>
    </row>
    <row r="21" customFormat="false" ht="15" hidden="false" customHeight="false" outlineLevel="0" collapsed="false">
      <c r="A21" s="0" t="s">
        <v>103</v>
      </c>
      <c r="B21" s="3" t="n">
        <v>1.5</v>
      </c>
    </row>
    <row r="22" customFormat="false" ht="15" hidden="false" customHeight="false" outlineLevel="0" collapsed="false">
      <c r="A22" s="0" t="s">
        <v>104</v>
      </c>
      <c r="B22" s="3" t="n">
        <v>14</v>
      </c>
    </row>
    <row r="23" customFormat="false" ht="15" hidden="false" customHeight="false" outlineLevel="0" collapsed="false">
      <c r="A23" s="0" t="s">
        <v>105</v>
      </c>
      <c r="B23" s="3" t="n">
        <v>-10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3</v>
      </c>
      <c r="D27" s="3" t="n">
        <v>3.5</v>
      </c>
      <c r="E27" s="3" t="n">
        <v>3.5</v>
      </c>
      <c r="F27" s="3" t="n">
        <v>3.5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16</v>
      </c>
      <c r="D28" s="3" t="n">
        <v>16.1</v>
      </c>
      <c r="E28" s="3" t="n">
        <v>16.2</v>
      </c>
      <c r="F28" s="3" t="n">
        <v>16.3</v>
      </c>
      <c r="G28" s="3" t="n">
        <v>16.5</v>
      </c>
      <c r="H28" s="3" t="n">
        <v>16.5</v>
      </c>
      <c r="I28" s="3" t="n">
        <v>16.5</v>
      </c>
      <c r="J28" s="3" t="n">
        <v>16.5</v>
      </c>
      <c r="K28" s="3" t="n">
        <v>16.5</v>
      </c>
      <c r="L28" s="3" t="n">
        <v>16.5</v>
      </c>
    </row>
    <row r="29" customFormat="false" ht="15" hidden="false" customHeight="false" outlineLevel="0" collapsed="false">
      <c r="A29" s="0" t="s">
        <v>97</v>
      </c>
      <c r="C29" s="3" t="n">
        <v>0.064</v>
      </c>
      <c r="D29" s="3" t="n">
        <v>0.064</v>
      </c>
      <c r="E29" s="3" t="n">
        <v>0.064</v>
      </c>
      <c r="F29" s="3" t="n">
        <v>0.064</v>
      </c>
      <c r="G29" s="3" t="n">
        <v>0.064</v>
      </c>
      <c r="H29" s="3" t="n">
        <v>0.064</v>
      </c>
      <c r="I29" s="3" t="n">
        <v>0.064</v>
      </c>
      <c r="J29" s="3" t="n">
        <v>0.064</v>
      </c>
      <c r="K29" s="3" t="n">
        <v>0.064</v>
      </c>
      <c r="L29" s="3" t="n">
        <v>0.064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4.4</v>
      </c>
      <c r="D31" s="3" t="n">
        <v>4.4</v>
      </c>
      <c r="E31" s="3" t="n">
        <v>4.4</v>
      </c>
      <c r="F31" s="3" t="n">
        <v>4.5</v>
      </c>
      <c r="G31" s="3" t="n">
        <v>4.6</v>
      </c>
      <c r="H31" s="3" t="n">
        <v>4.6</v>
      </c>
      <c r="I31" s="3" t="n">
        <v>4.6</v>
      </c>
      <c r="J31" s="3" t="n">
        <v>4.6</v>
      </c>
      <c r="K31" s="3" t="n">
        <v>4.6</v>
      </c>
      <c r="L31" s="3" t="n">
        <v>4.6</v>
      </c>
    </row>
    <row r="32" customFormat="false" ht="15" hidden="false" customHeight="false" outlineLevel="0" collapsed="false">
      <c r="A32" s="0" t="s">
        <v>100</v>
      </c>
      <c r="C32" s="3" t="n">
        <v>3</v>
      </c>
      <c r="D32" s="3" t="n">
        <v>6</v>
      </c>
      <c r="E32" s="3" t="n">
        <v>6.5</v>
      </c>
      <c r="F32" s="3" t="n">
        <v>6</v>
      </c>
      <c r="G32" s="3" t="n">
        <v>5</v>
      </c>
      <c r="H32" s="3" t="n">
        <v>5</v>
      </c>
      <c r="I32" s="3" t="n">
        <v>5</v>
      </c>
      <c r="J32" s="3" t="n">
        <v>5</v>
      </c>
      <c r="K32" s="3" t="n">
        <v>5</v>
      </c>
      <c r="L32" s="3" t="n">
        <v>5</v>
      </c>
    </row>
    <row r="33" customFormat="false" ht="15" hidden="false" customHeight="false" outlineLevel="0" collapsed="false">
      <c r="A33" s="0" t="s">
        <v>101</v>
      </c>
      <c r="C33" s="3" t="n">
        <v>26</v>
      </c>
      <c r="D33" s="3" t="n">
        <v>26</v>
      </c>
      <c r="E33" s="3" t="n">
        <v>26</v>
      </c>
      <c r="F33" s="3" t="n">
        <v>26</v>
      </c>
      <c r="G33" s="3" t="n">
        <v>26</v>
      </c>
      <c r="H33" s="3" t="n">
        <v>26</v>
      </c>
      <c r="I33" s="3" t="n">
        <v>26</v>
      </c>
      <c r="J33" s="3" t="n">
        <v>26</v>
      </c>
      <c r="K33" s="3" t="n">
        <v>26</v>
      </c>
      <c r="L33" s="3" t="n">
        <v>26</v>
      </c>
    </row>
    <row r="34" customFormat="false" ht="15" hidden="false" customHeight="false" outlineLevel="0" collapsed="false">
      <c r="A34" s="0" t="s">
        <v>102</v>
      </c>
      <c r="B34" s="3" t="n">
        <v>9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18</v>
      </c>
    </row>
    <row r="37" customFormat="false" ht="15" hidden="false" customHeight="false" outlineLevel="0" collapsed="false">
      <c r="A37" s="0" t="s">
        <v>105</v>
      </c>
      <c r="B37" s="3" t="n">
        <v>-10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4</v>
      </c>
      <c r="D41" s="3" t="n">
        <v>6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16.3</v>
      </c>
      <c r="D42" s="3" t="n">
        <v>16.8</v>
      </c>
      <c r="E42" s="3" t="n">
        <v>17.2</v>
      </c>
      <c r="F42" s="3" t="n">
        <v>17.6</v>
      </c>
      <c r="G42" s="3" t="n">
        <v>18</v>
      </c>
      <c r="H42" s="3" t="n">
        <v>18</v>
      </c>
      <c r="I42" s="3" t="n">
        <v>18</v>
      </c>
      <c r="J42" s="3" t="n">
        <v>18</v>
      </c>
      <c r="K42" s="3" t="n">
        <v>18</v>
      </c>
      <c r="L42" s="3" t="n">
        <v>18</v>
      </c>
    </row>
    <row r="43" customFormat="false" ht="15" hidden="false" customHeight="false" outlineLevel="0" collapsed="false">
      <c r="A43" s="0" t="s">
        <v>97</v>
      </c>
      <c r="C43" s="3" t="n">
        <v>0.064</v>
      </c>
      <c r="D43" s="3" t="n">
        <v>0.064</v>
      </c>
      <c r="E43" s="3" t="n">
        <v>0.064</v>
      </c>
      <c r="F43" s="3" t="n">
        <v>0.064</v>
      </c>
      <c r="G43" s="3" t="n">
        <v>0.064</v>
      </c>
      <c r="H43" s="3" t="n">
        <v>0.064</v>
      </c>
      <c r="I43" s="3" t="n">
        <v>0.064</v>
      </c>
      <c r="J43" s="3" t="n">
        <v>0.064</v>
      </c>
      <c r="K43" s="3" t="n">
        <v>0.064</v>
      </c>
      <c r="L43" s="3" t="n">
        <v>0.064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4.4</v>
      </c>
      <c r="D45" s="3" t="n">
        <v>4.4</v>
      </c>
      <c r="E45" s="3" t="n">
        <v>4.4</v>
      </c>
      <c r="F45" s="3" t="n">
        <v>4.5</v>
      </c>
      <c r="G45" s="3" t="n">
        <v>4.6</v>
      </c>
      <c r="H45" s="3" t="n">
        <v>4.6</v>
      </c>
      <c r="I45" s="3" t="n">
        <v>4.6</v>
      </c>
      <c r="J45" s="3" t="n">
        <v>4.6</v>
      </c>
      <c r="K45" s="3" t="n">
        <v>4.6</v>
      </c>
      <c r="L45" s="3" t="n">
        <v>4.6</v>
      </c>
    </row>
    <row r="46" customFormat="false" ht="15" hidden="false" customHeight="false" outlineLevel="0" collapsed="false">
      <c r="A46" s="0" t="s">
        <v>100</v>
      </c>
      <c r="C46" s="3" t="n">
        <v>3</v>
      </c>
      <c r="D46" s="3" t="n">
        <v>6.5</v>
      </c>
      <c r="E46" s="3" t="n">
        <v>7</v>
      </c>
      <c r="F46" s="3" t="n">
        <v>6.5</v>
      </c>
      <c r="G46" s="3" t="n">
        <v>5</v>
      </c>
      <c r="H46" s="3" t="n">
        <v>5</v>
      </c>
      <c r="I46" s="3" t="n">
        <v>5</v>
      </c>
      <c r="J46" s="3" t="n">
        <v>5</v>
      </c>
      <c r="K46" s="3" t="n">
        <v>5</v>
      </c>
      <c r="L46" s="3" t="n">
        <v>5</v>
      </c>
    </row>
    <row r="47" customFormat="false" ht="15" hidden="false" customHeight="false" outlineLevel="0" collapsed="false">
      <c r="A47" s="0" t="s">
        <v>101</v>
      </c>
      <c r="C47" s="3" t="n">
        <v>25.5</v>
      </c>
      <c r="D47" s="3" t="n">
        <v>25.5</v>
      </c>
      <c r="E47" s="3" t="n">
        <v>25.5</v>
      </c>
      <c r="F47" s="3" t="n">
        <v>25.5</v>
      </c>
      <c r="G47" s="3" t="n">
        <v>25.5</v>
      </c>
      <c r="H47" s="3" t="n">
        <v>25.5</v>
      </c>
      <c r="I47" s="3" t="n">
        <v>25.5</v>
      </c>
      <c r="J47" s="3" t="n">
        <v>25.5</v>
      </c>
      <c r="K47" s="3" t="n">
        <v>25.5</v>
      </c>
      <c r="L47" s="3" t="n">
        <v>25.5</v>
      </c>
    </row>
    <row r="48" customFormat="false" ht="15" hidden="false" customHeight="false" outlineLevel="0" collapsed="false">
      <c r="A48" s="0" t="s">
        <v>102</v>
      </c>
      <c r="B48" s="3" t="n">
        <v>9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18</v>
      </c>
    </row>
    <row r="51" customFormat="false" ht="15" hidden="false" customHeight="false" outlineLevel="0" collapsed="false">
      <c r="A51" s="0" t="s">
        <v>105</v>
      </c>
      <c r="B51" s="3" t="n">
        <v>-10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1</v>
      </c>
      <c r="D5" s="4" t="n">
        <f aca="false">Assumptions!D13</f>
        <v>0</v>
      </c>
      <c r="E5" s="4" t="n">
        <f aca="false">Assumptions!E13</f>
        <v>0</v>
      </c>
      <c r="F5" s="4" t="n">
        <f aca="false">Assumptions!F13</f>
        <v>0.5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37</v>
      </c>
      <c r="B6" s="3" t="n">
        <v>4001.102</v>
      </c>
      <c r="C6" s="0" t="n">
        <f aca="false">B6*(1+C5/100)</f>
        <v>4041.11302</v>
      </c>
      <c r="D6" s="0" t="n">
        <f aca="false">C6*(1+D5/100)</f>
        <v>4041.11302</v>
      </c>
      <c r="E6" s="0" t="n">
        <f aca="false">D6*(1+E5/100)</f>
        <v>4041.11302</v>
      </c>
      <c r="F6" s="0" t="n">
        <f aca="false">E6*(1+F5/100)</f>
        <v>4061.3185851</v>
      </c>
      <c r="G6" s="0" t="n">
        <f aca="false">F6*(1+G5/100)</f>
        <v>4101.931770951</v>
      </c>
      <c r="H6" s="0" t="n">
        <f aca="false">G6*(1+H5/100)</f>
        <v>4142.95108866051</v>
      </c>
      <c r="I6" s="0" t="n">
        <f aca="false">H6*(1+I5/100)</f>
        <v>4205.09535499042</v>
      </c>
      <c r="J6" s="0" t="n">
        <f aca="false">I6*(1+J5/100)</f>
        <v>4268.17178531527</v>
      </c>
      <c r="K6" s="0" t="n">
        <f aca="false">J6*(1+K5/100)</f>
        <v>4332.194362095</v>
      </c>
      <c r="L6" s="0" t="n">
        <f aca="false">K6*(1+L5/100)</f>
        <v>4397.17727752643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15.5</v>
      </c>
      <c r="D7" s="4" t="n">
        <f aca="false">Assumptions!D14</f>
        <v>14.8</v>
      </c>
      <c r="E7" s="4" t="n">
        <f aca="false">Assumptions!E14</f>
        <v>14.2</v>
      </c>
      <c r="F7" s="4" t="n">
        <f aca="false">Assumptions!F14</f>
        <v>14</v>
      </c>
      <c r="G7" s="4" t="n">
        <f aca="false">Assumptions!G14</f>
        <v>14</v>
      </c>
      <c r="H7" s="4" t="n">
        <f aca="false">Assumptions!H14</f>
        <v>14</v>
      </c>
      <c r="I7" s="4" t="n">
        <f aca="false">Assumptions!I14</f>
        <v>14</v>
      </c>
      <c r="J7" s="4" t="n">
        <f aca="false">Assumptions!J14</f>
        <v>14</v>
      </c>
      <c r="K7" s="4" t="n">
        <f aca="false">Assumptions!K14</f>
        <v>14</v>
      </c>
      <c r="L7" s="4" t="n">
        <f aca="false">Assumptions!L14</f>
        <v>14</v>
      </c>
    </row>
    <row r="8" customFormat="false" ht="15" hidden="false" customHeight="false" outlineLevel="0" collapsed="false">
      <c r="A8" s="0" t="s">
        <v>43</v>
      </c>
      <c r="C8" s="0" t="n">
        <f aca="false">C6*C7/100</f>
        <v>626.3725181</v>
      </c>
      <c r="D8" s="0" t="n">
        <f aca="false">D6*D7/100</f>
        <v>598.08472696</v>
      </c>
      <c r="E8" s="0" t="n">
        <f aca="false">E6*E7/100</f>
        <v>573.83804884</v>
      </c>
      <c r="F8" s="0" t="n">
        <f aca="false">F6*F7/100</f>
        <v>568.584601914</v>
      </c>
      <c r="G8" s="0" t="n">
        <f aca="false">G6*G7/100</f>
        <v>574.27044793314</v>
      </c>
      <c r="H8" s="0" t="n">
        <f aca="false">H6*H7/100</f>
        <v>580.013152412471</v>
      </c>
      <c r="I8" s="0" t="n">
        <f aca="false">I6*I7/100</f>
        <v>588.713349698659</v>
      </c>
      <c r="J8" s="0" t="n">
        <f aca="false">J6*J7/100</f>
        <v>597.544049944138</v>
      </c>
      <c r="K8" s="0" t="n">
        <f aca="false">K6*K7/100</f>
        <v>606.5072106933</v>
      </c>
      <c r="L8" s="0" t="n">
        <f aca="false">L6*L7/100</f>
        <v>615.6048188537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0.064</v>
      </c>
      <c r="D9" s="4" t="n">
        <f aca="false">Assumptions!D15</f>
        <v>0.064</v>
      </c>
      <c r="E9" s="4" t="n">
        <f aca="false">Assumptions!E15</f>
        <v>0.064</v>
      </c>
      <c r="F9" s="4" t="n">
        <f aca="false">Assumptions!F15</f>
        <v>0.064</v>
      </c>
      <c r="G9" s="4" t="n">
        <f aca="false">Assumptions!G15</f>
        <v>0.064</v>
      </c>
      <c r="H9" s="4" t="n">
        <f aca="false">Assumptions!H15</f>
        <v>0.064</v>
      </c>
      <c r="I9" s="4" t="n">
        <f aca="false">Assumptions!I15</f>
        <v>0.064</v>
      </c>
      <c r="J9" s="4" t="n">
        <f aca="false">Assumptions!J15</f>
        <v>0.064</v>
      </c>
      <c r="K9" s="4" t="n">
        <f aca="false">Assumptions!K15</f>
        <v>0.064</v>
      </c>
      <c r="L9" s="4" t="n">
        <f aca="false">Assumptions!L15</f>
        <v>0.064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-2.5863123328</v>
      </c>
      <c r="D10" s="0" t="n">
        <f aca="false">-D6*D9/100</f>
        <v>-2.5863123328</v>
      </c>
      <c r="E10" s="0" t="n">
        <f aca="false">-E6*E9/100</f>
        <v>-2.5863123328</v>
      </c>
      <c r="F10" s="0" t="n">
        <f aca="false">-F6*F9/100</f>
        <v>-2.599243894464</v>
      </c>
      <c r="G10" s="0" t="n">
        <f aca="false">-G6*G9/100</f>
        <v>-2.62523633340864</v>
      </c>
      <c r="H10" s="0" t="n">
        <f aca="false">-H6*H9/100</f>
        <v>-2.65148869674273</v>
      </c>
      <c r="I10" s="0" t="n">
        <f aca="false">-I6*I9/100</f>
        <v>-2.69126102719387</v>
      </c>
      <c r="J10" s="0" t="n">
        <f aca="false">-J6*J9/100</f>
        <v>-2.73162994260177</v>
      </c>
      <c r="K10" s="0" t="n">
        <f aca="false">-K6*K9/100</f>
        <v>-2.7726043917408</v>
      </c>
      <c r="L10" s="0" t="n">
        <f aca="false">-L6*L9/100</f>
        <v>-2.81419345761691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623.7862057672</v>
      </c>
      <c r="D11" s="0" t="n">
        <f aca="false">D8+D10+D24</f>
        <v>595.4984146272</v>
      </c>
      <c r="E11" s="0" t="n">
        <f aca="false">E8+E10+E24</f>
        <v>571.2517365072</v>
      </c>
      <c r="F11" s="0" t="n">
        <f aca="false">F8+F10+F24</f>
        <v>565.985358019536</v>
      </c>
      <c r="G11" s="0" t="n">
        <f aca="false">G8+G10+G24</f>
        <v>571.645211599731</v>
      </c>
      <c r="H11" s="0" t="n">
        <f aca="false">H8+H10+H24</f>
        <v>577.361663715729</v>
      </c>
      <c r="I11" s="0" t="n">
        <f aca="false">I8+I10+I24</f>
        <v>586.022088671465</v>
      </c>
      <c r="J11" s="0" t="n">
        <f aca="false">J8+J10+J24</f>
        <v>594.812420001537</v>
      </c>
      <c r="K11" s="0" t="n">
        <f aca="false">K8+K10+K24</f>
        <v>603.734606301559</v>
      </c>
      <c r="L11" s="0" t="n">
        <f aca="false">L8+L10+L24</f>
        <v>612.790625396083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-177.80897288</v>
      </c>
      <c r="D12" s="4" t="n">
        <f aca="false">-D6*Assumptions!D17/100</f>
        <v>-181.8500859</v>
      </c>
      <c r="E12" s="4" t="n">
        <f aca="false">-E6*Assumptions!E17/100</f>
        <v>-185.89119892</v>
      </c>
      <c r="F12" s="4" t="n">
        <f aca="false">-F6*Assumptions!F17/100</f>
        <v>-190.8819734997</v>
      </c>
      <c r="G12" s="4" t="n">
        <f aca="false">-G6*Assumptions!G17/100</f>
        <v>-196.892725005648</v>
      </c>
      <c r="H12" s="4" t="n">
        <f aca="false">-H6*Assumptions!H17/100</f>
        <v>-198.861652255704</v>
      </c>
      <c r="I12" s="4" t="n">
        <f aca="false">-I6*Assumptions!I17/100</f>
        <v>-201.84457703954</v>
      </c>
      <c r="J12" s="4" t="n">
        <f aca="false">-J6*Assumptions!J17/100</f>
        <v>-204.872245695133</v>
      </c>
      <c r="K12" s="4" t="n">
        <f aca="false">-K6*Assumptions!K17/100</f>
        <v>-207.94532938056</v>
      </c>
      <c r="L12" s="4" t="n">
        <f aca="false">-L6*Assumptions!L17/100</f>
        <v>-211.064509321268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445.9772328872</v>
      </c>
      <c r="D13" s="0" t="n">
        <f aca="false">D11+D12</f>
        <v>413.6483287272</v>
      </c>
      <c r="E13" s="0" t="n">
        <f aca="false">E11+E12</f>
        <v>385.3605375872</v>
      </c>
      <c r="F13" s="0" t="n">
        <f aca="false">F11+F12</f>
        <v>375.103384519836</v>
      </c>
      <c r="G13" s="0" t="n">
        <f aca="false">G11+G12</f>
        <v>374.752486594083</v>
      </c>
      <c r="H13" s="0" t="n">
        <f aca="false">H11+H12</f>
        <v>378.500011460024</v>
      </c>
      <c r="I13" s="0" t="n">
        <f aca="false">I11+I12</f>
        <v>384.177511631925</v>
      </c>
      <c r="J13" s="0" t="n">
        <f aca="false">J11+J12</f>
        <v>389.940174306403</v>
      </c>
      <c r="K13" s="0" t="n">
        <f aca="false">K11+K12</f>
        <v>395.789276920999</v>
      </c>
      <c r="L13" s="0" t="n">
        <f aca="false">L11+L12</f>
        <v>401.726116074814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325.563380007656</v>
      </c>
      <c r="D15" s="0" t="n">
        <f aca="false">D13-MAX(0,D13)*D14/100</f>
        <v>301.963279970856</v>
      </c>
      <c r="E15" s="0" t="n">
        <f aca="false">E13-MAX(0,E13)*E14/100</f>
        <v>281.313192438656</v>
      </c>
      <c r="F15" s="0" t="n">
        <f aca="false">F13-MAX(0,F13)*F14/100</f>
        <v>273.82547069948</v>
      </c>
      <c r="G15" s="0" t="n">
        <f aca="false">G13-MAX(0,G13)*G14/100</f>
        <v>273.569315213681</v>
      </c>
      <c r="H15" s="0" t="n">
        <f aca="false">H13-MAX(0,H13)*H14/100</f>
        <v>276.305008365818</v>
      </c>
      <c r="I15" s="0" t="n">
        <f aca="false">I13-MAX(0,I13)*I14/100</f>
        <v>280.449583491305</v>
      </c>
      <c r="J15" s="0" t="n">
        <f aca="false">J13-MAX(0,J13)*J14/100</f>
        <v>284.656327243674</v>
      </c>
      <c r="K15" s="0" t="n">
        <f aca="false">K13-MAX(0,K13)*K14/100</f>
        <v>288.926172152329</v>
      </c>
      <c r="L15" s="0" t="n">
        <f aca="false">L13-MAX(0,L13)*L14/100</f>
        <v>293.260064734614</v>
      </c>
    </row>
    <row r="16" customFormat="false" ht="15" hidden="false" customHeight="false" outlineLevel="0" collapsed="false">
      <c r="A16" s="0" t="s">
        <v>117</v>
      </c>
      <c r="C16" s="0" t="n">
        <f aca="false">-C12</f>
        <v>177.80897288</v>
      </c>
      <c r="D16" s="0" t="n">
        <f aca="false">-D12</f>
        <v>181.8500859</v>
      </c>
      <c r="E16" s="0" t="n">
        <f aca="false">-E12</f>
        <v>185.89119892</v>
      </c>
      <c r="F16" s="0" t="n">
        <f aca="false">-F12</f>
        <v>190.8819734997</v>
      </c>
      <c r="G16" s="0" t="n">
        <f aca="false">-G12</f>
        <v>196.892725005648</v>
      </c>
      <c r="H16" s="0" t="n">
        <f aca="false">-H12</f>
        <v>198.861652255704</v>
      </c>
      <c r="I16" s="0" t="n">
        <f aca="false">-I12</f>
        <v>201.84457703954</v>
      </c>
      <c r="J16" s="0" t="n">
        <f aca="false">-J12</f>
        <v>204.872245695133</v>
      </c>
      <c r="K16" s="0" t="n">
        <f aca="false">-K12</f>
        <v>207.94532938056</v>
      </c>
      <c r="L16" s="0" t="n">
        <f aca="false">-L12</f>
        <v>211.064509321268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-121.2333906</v>
      </c>
      <c r="D17" s="4" t="n">
        <f aca="false">-D6*Assumptions!D18/100</f>
        <v>-242.4667812</v>
      </c>
      <c r="E17" s="4" t="n">
        <f aca="false">-E6*Assumptions!E18/100</f>
        <v>-262.6723463</v>
      </c>
      <c r="F17" s="4" t="n">
        <f aca="false">-F6*Assumptions!F18/100</f>
        <v>-243.679115106</v>
      </c>
      <c r="G17" s="4" t="n">
        <f aca="false">-G6*Assumptions!G18/100</f>
        <v>-184.586929692795</v>
      </c>
      <c r="H17" s="4" t="n">
        <f aca="false">-H6*Assumptions!H18/100</f>
        <v>-186.432798989723</v>
      </c>
      <c r="I17" s="4" t="n">
        <f aca="false">-I6*Assumptions!I18/100</f>
        <v>-189.229290974569</v>
      </c>
      <c r="J17" s="4" t="n">
        <f aca="false">-J6*Assumptions!J18/100</f>
        <v>-192.067730339187</v>
      </c>
      <c r="K17" s="4" t="n">
        <f aca="false">-K6*Assumptions!K18/100</f>
        <v>-194.948746294275</v>
      </c>
      <c r="L17" s="4" t="n">
        <f aca="false">-L6*Assumptions!L18/100</f>
        <v>-197.872977488689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-4.00110199999999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-2.02055650999996</v>
      </c>
      <c r="G18" s="4" t="n">
        <f aca="false">(G6-F6)*Assumptions!$B$23/100</f>
        <v>-4.06131858510003</v>
      </c>
      <c r="H18" s="4" t="n">
        <f aca="false">(H6-G6)*Assumptions!$B$23/100</f>
        <v>-4.10193177095098</v>
      </c>
      <c r="I18" s="4" t="n">
        <f aca="false">(I6-H6)*Assumptions!$B$23/100</f>
        <v>-6.21442663299076</v>
      </c>
      <c r="J18" s="4" t="n">
        <f aca="false">(J6-I6)*Assumptions!$B$23/100</f>
        <v>-6.30764303248561</v>
      </c>
      <c r="K18" s="4" t="n">
        <f aca="false">(K6-J6)*Assumptions!$B$23/100</f>
        <v>-6.40225767797283</v>
      </c>
      <c r="L18" s="4" t="n">
        <f aca="false">(L6-K6)*Assumptions!$B$23/100</f>
        <v>-6.49829154314248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378.137860287656</v>
      </c>
      <c r="D19" s="0" t="n">
        <f aca="false">D15+D16+D17+D18</f>
        <v>241.346584670856</v>
      </c>
      <c r="E19" s="0" t="n">
        <f aca="false">E15+E16+E17+E18</f>
        <v>204.532045058656</v>
      </c>
      <c r="F19" s="0" t="n">
        <f aca="false">F15+F16+F17+F18</f>
        <v>219.00777258318</v>
      </c>
      <c r="G19" s="0" t="n">
        <f aca="false">G15+G16+G17+G18</f>
        <v>281.813791941434</v>
      </c>
      <c r="H19" s="0" t="n">
        <f aca="false">H15+H16+H17+H18</f>
        <v>284.631929860848</v>
      </c>
      <c r="I19" s="0" t="n">
        <f aca="false">I15+I16+I17+I18</f>
        <v>286.850442923286</v>
      </c>
      <c r="J19" s="0" t="n">
        <f aca="false">J15+J16+J17+J18</f>
        <v>291.153199567135</v>
      </c>
      <c r="K19" s="0" t="n">
        <f aca="false">K15+K16+K17+K18</f>
        <v>295.520497560642</v>
      </c>
      <c r="L19" s="0" t="n">
        <f aca="false">L15+L16+L17+L18</f>
        <v>299.953305024051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346.915468153813</v>
      </c>
      <c r="D21" s="0" t="n">
        <f aca="false">D19*D20</f>
        <v>203.136591760673</v>
      </c>
      <c r="E21" s="0" t="n">
        <f aca="false">E19*E20</f>
        <v>157.936266337399</v>
      </c>
      <c r="F21" s="0" t="n">
        <f aca="false">F19*F20</f>
        <v>155.150627517158</v>
      </c>
      <c r="G21" s="0" t="n">
        <f aca="false">G19*G20</f>
        <v>183.15962847449</v>
      </c>
      <c r="H21" s="0" t="n">
        <f aca="false">H19*H20</f>
        <v>169.7167199626</v>
      </c>
      <c r="I21" s="0" t="n">
        <f aca="false">I19*I20</f>
        <v>156.917015427511</v>
      </c>
      <c r="J21" s="0" t="n">
        <f aca="false">J19*J20</f>
        <v>146.119973081581</v>
      </c>
      <c r="K21" s="0" t="n">
        <f aca="false">K19*K20</f>
        <v>136.065846493399</v>
      </c>
      <c r="L21" s="0" t="n">
        <f aca="false">L19*L20</f>
        <v>126.703517606238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1781.82165481486</v>
      </c>
    </row>
    <row r="31" customFormat="false" ht="15" hidden="false" customHeight="false" outlineLevel="0" collapsed="false">
      <c r="A31" s="0" t="s">
        <v>126</v>
      </c>
      <c r="B31" s="0" t="n">
        <f aca="false">L19</f>
        <v>299.953305024051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4059.36806132549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4199.34627033672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4059.36806132549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1714.72093827109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3496.54259308595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5135.44259308595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4.92046265904942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-0.210831971283172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16.9837627973144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16.0876922017389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4.95214967656615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2255.20447851416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3.44133729699879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3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4001.102</v>
      </c>
      <c r="C6" s="0" t="n">
        <f aca="false">B6*(1+C5/100)</f>
        <v>4121.13506</v>
      </c>
      <c r="D6" s="0" t="n">
        <f aca="false">C6*(1+D5/100)</f>
        <v>4265.3747871</v>
      </c>
      <c r="E6" s="0" t="n">
        <f aca="false">D6*(1+E5/100)</f>
        <v>4414.6629046485</v>
      </c>
      <c r="F6" s="0" t="n">
        <f aca="false">E6*(1+F5/100)</f>
        <v>4569.1761063112</v>
      </c>
      <c r="G6" s="0" t="n">
        <f aca="false">F6*(1+G5/100)</f>
        <v>4706.25138950053</v>
      </c>
      <c r="H6" s="0" t="n">
        <f aca="false">G6*(1+H5/100)</f>
        <v>4847.43893118555</v>
      </c>
      <c r="I6" s="0" t="n">
        <f aca="false">H6*(1+I5/100)</f>
        <v>4968.62490446519</v>
      </c>
      <c r="J6" s="0" t="n">
        <f aca="false">I6*(1+J5/100)</f>
        <v>5092.84052707682</v>
      </c>
      <c r="K6" s="0" t="n">
        <f aca="false">J6*(1+K5/100)</f>
        <v>5220.16154025374</v>
      </c>
      <c r="L6" s="0" t="n">
        <f aca="false">K6*(1+L5/100)</f>
        <v>5350.66557876008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16</v>
      </c>
      <c r="D7" s="4" t="n">
        <f aca="false">Assumptions!D28</f>
        <v>16.1</v>
      </c>
      <c r="E7" s="4" t="n">
        <f aca="false">Assumptions!E28</f>
        <v>16.2</v>
      </c>
      <c r="F7" s="4" t="n">
        <f aca="false">Assumptions!F28</f>
        <v>16.3</v>
      </c>
      <c r="G7" s="4" t="n">
        <f aca="false">Assumptions!G28</f>
        <v>16.5</v>
      </c>
      <c r="H7" s="4" t="n">
        <f aca="false">Assumptions!H28</f>
        <v>16.5</v>
      </c>
      <c r="I7" s="4" t="n">
        <f aca="false">Assumptions!I28</f>
        <v>16.5</v>
      </c>
      <c r="J7" s="4" t="n">
        <f aca="false">Assumptions!J28</f>
        <v>16.5</v>
      </c>
      <c r="K7" s="4" t="n">
        <f aca="false">Assumptions!K28</f>
        <v>16.5</v>
      </c>
      <c r="L7" s="4" t="n">
        <f aca="false">Assumptions!L28</f>
        <v>16.5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659.3816096</v>
      </c>
      <c r="D8" s="0" t="n">
        <f aca="false">D6*D7/100</f>
        <v>686.7253407231</v>
      </c>
      <c r="E8" s="0" t="n">
        <f aca="false">E6*E7/100</f>
        <v>715.175390553057</v>
      </c>
      <c r="F8" s="0" t="n">
        <f aca="false">F6*F7/100</f>
        <v>744.775705328725</v>
      </c>
      <c r="G8" s="0" t="n">
        <f aca="false">G6*G7/100</f>
        <v>776.531479267588</v>
      </c>
      <c r="H8" s="0" t="n">
        <f aca="false">H6*H7/100</f>
        <v>799.827423645616</v>
      </c>
      <c r="I8" s="0" t="n">
        <f aca="false">I6*I7/100</f>
        <v>819.823109236756</v>
      </c>
      <c r="J8" s="0" t="n">
        <f aca="false">J6*J7/100</f>
        <v>840.318686967675</v>
      </c>
      <c r="K8" s="0" t="n">
        <f aca="false">K6*K7/100</f>
        <v>861.326654141867</v>
      </c>
      <c r="L8" s="0" t="n">
        <f aca="false">L6*L7/100</f>
        <v>882.859820495413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0.064</v>
      </c>
      <c r="D9" s="4" t="n">
        <f aca="false">Assumptions!D29</f>
        <v>0.064</v>
      </c>
      <c r="E9" s="4" t="n">
        <f aca="false">Assumptions!E29</f>
        <v>0.064</v>
      </c>
      <c r="F9" s="4" t="n">
        <f aca="false">Assumptions!F29</f>
        <v>0.064</v>
      </c>
      <c r="G9" s="4" t="n">
        <f aca="false">Assumptions!G29</f>
        <v>0.064</v>
      </c>
      <c r="H9" s="4" t="n">
        <f aca="false">Assumptions!H29</f>
        <v>0.064</v>
      </c>
      <c r="I9" s="4" t="n">
        <f aca="false">Assumptions!I29</f>
        <v>0.064</v>
      </c>
      <c r="J9" s="4" t="n">
        <f aca="false">Assumptions!J29</f>
        <v>0.064</v>
      </c>
      <c r="K9" s="4" t="n">
        <f aca="false">Assumptions!K29</f>
        <v>0.064</v>
      </c>
      <c r="L9" s="4" t="n">
        <f aca="false">Assumptions!L29</f>
        <v>0.064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-2.6375264384</v>
      </c>
      <c r="D10" s="0" t="n">
        <f aca="false">-D6*D9/100</f>
        <v>-2.729839863744</v>
      </c>
      <c r="E10" s="0" t="n">
        <f aca="false">-E6*E9/100</f>
        <v>-2.82538425897504</v>
      </c>
      <c r="F10" s="0" t="n">
        <f aca="false">-F6*F9/100</f>
        <v>-2.92427270803917</v>
      </c>
      <c r="G10" s="0" t="n">
        <f aca="false">-G6*G9/100</f>
        <v>-3.01200088928034</v>
      </c>
      <c r="H10" s="0" t="n">
        <f aca="false">-H6*H9/100</f>
        <v>-3.10236091595875</v>
      </c>
      <c r="I10" s="0" t="n">
        <f aca="false">-I6*I9/100</f>
        <v>-3.17991993885772</v>
      </c>
      <c r="J10" s="0" t="n">
        <f aca="false">-J6*J9/100</f>
        <v>-3.25941793732916</v>
      </c>
      <c r="K10" s="0" t="n">
        <f aca="false">-K6*K9/100</f>
        <v>-3.34090338576239</v>
      </c>
      <c r="L10" s="0" t="n">
        <f aca="false">-L6*L9/100</f>
        <v>-3.42442597040645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656.7440831616</v>
      </c>
      <c r="D11" s="0" t="n">
        <f aca="false">D8+D10+D24</f>
        <v>683.995500859356</v>
      </c>
      <c r="E11" s="0" t="n">
        <f aca="false">E8+E10+E24</f>
        <v>712.350006294082</v>
      </c>
      <c r="F11" s="0" t="n">
        <f aca="false">F8+F10+F24</f>
        <v>741.851432620686</v>
      </c>
      <c r="G11" s="0" t="n">
        <f aca="false">G8+G10+G24</f>
        <v>773.519478378308</v>
      </c>
      <c r="H11" s="0" t="n">
        <f aca="false">H8+H10+H24</f>
        <v>796.725062729657</v>
      </c>
      <c r="I11" s="0" t="n">
        <f aca="false">I8+I10+I24</f>
        <v>816.643189297898</v>
      </c>
      <c r="J11" s="0" t="n">
        <f aca="false">J8+J10+J24</f>
        <v>837.059269030346</v>
      </c>
      <c r="K11" s="0" t="n">
        <f aca="false">K8+K10+K24</f>
        <v>857.985750756104</v>
      </c>
      <c r="L11" s="0" t="n">
        <f aca="false">L8+L10+L24</f>
        <v>879.435394525007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-181.32994264</v>
      </c>
      <c r="D12" s="4" t="n">
        <f aca="false">-D6*Assumptions!D31/100</f>
        <v>-187.6764906324</v>
      </c>
      <c r="E12" s="4" t="n">
        <f aca="false">-E6*Assumptions!E31/100</f>
        <v>-194.245167804534</v>
      </c>
      <c r="F12" s="4" t="n">
        <f aca="false">-F6*Assumptions!F31/100</f>
        <v>-205.612924784004</v>
      </c>
      <c r="G12" s="4" t="n">
        <f aca="false">-G6*Assumptions!G31/100</f>
        <v>-216.487563917024</v>
      </c>
      <c r="H12" s="4" t="n">
        <f aca="false">-H6*Assumptions!H31/100</f>
        <v>-222.982190834535</v>
      </c>
      <c r="I12" s="4" t="n">
        <f aca="false">-I6*Assumptions!I31/100</f>
        <v>-228.556745605399</v>
      </c>
      <c r="J12" s="4" t="n">
        <f aca="false">-J6*Assumptions!J31/100</f>
        <v>-234.270664245534</v>
      </c>
      <c r="K12" s="4" t="n">
        <f aca="false">-K6*Assumptions!K31/100</f>
        <v>-240.127430851672</v>
      </c>
      <c r="L12" s="4" t="n">
        <f aca="false">-L6*Assumptions!L31/100</f>
        <v>-246.130616622964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475.4141405216</v>
      </c>
      <c r="D13" s="0" t="n">
        <f aca="false">D11+D12</f>
        <v>496.319010226956</v>
      </c>
      <c r="E13" s="0" t="n">
        <f aca="false">E11+E12</f>
        <v>518.104838489548</v>
      </c>
      <c r="F13" s="0" t="n">
        <f aca="false">F11+F12</f>
        <v>536.238507836682</v>
      </c>
      <c r="G13" s="0" t="n">
        <f aca="false">G11+G12</f>
        <v>557.031914461283</v>
      </c>
      <c r="H13" s="0" t="n">
        <f aca="false">H11+H12</f>
        <v>573.742871895121</v>
      </c>
      <c r="I13" s="0" t="n">
        <f aca="false">I11+I12</f>
        <v>588.0864436925</v>
      </c>
      <c r="J13" s="0" t="n">
        <f aca="false">J11+J12</f>
        <v>602.788604784812</v>
      </c>
      <c r="K13" s="0" t="n">
        <f aca="false">K11+K12</f>
        <v>617.858319904432</v>
      </c>
      <c r="L13" s="0" t="n">
        <f aca="false">L11+L12</f>
        <v>633.304777902043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26</v>
      </c>
      <c r="D14" s="4" t="n">
        <f aca="false">Assumptions!D33</f>
        <v>26</v>
      </c>
      <c r="E14" s="4" t="n">
        <f aca="false">Assumptions!E33</f>
        <v>26</v>
      </c>
      <c r="F14" s="4" t="n">
        <f aca="false">Assumptions!F33</f>
        <v>26</v>
      </c>
      <c r="G14" s="4" t="n">
        <f aca="false">Assumptions!G33</f>
        <v>26</v>
      </c>
      <c r="H14" s="4" t="n">
        <f aca="false">Assumptions!H33</f>
        <v>26</v>
      </c>
      <c r="I14" s="4" t="n">
        <f aca="false">Assumptions!I33</f>
        <v>26</v>
      </c>
      <c r="J14" s="4" t="n">
        <f aca="false">Assumptions!J33</f>
        <v>26</v>
      </c>
      <c r="K14" s="4" t="n">
        <f aca="false">Assumptions!K33</f>
        <v>26</v>
      </c>
      <c r="L14" s="4" t="n">
        <f aca="false">Assumptions!L33</f>
        <v>26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351.806463985984</v>
      </c>
      <c r="D15" s="0" t="n">
        <f aca="false">D13-MAX(0,D13)*D14/100</f>
        <v>367.276067567947</v>
      </c>
      <c r="E15" s="0" t="n">
        <f aca="false">E13-MAX(0,E13)*E14/100</f>
        <v>383.397580482265</v>
      </c>
      <c r="F15" s="0" t="n">
        <f aca="false">F13-MAX(0,F13)*F14/100</f>
        <v>396.816495799145</v>
      </c>
      <c r="G15" s="0" t="n">
        <f aca="false">G13-MAX(0,G13)*G14/100</f>
        <v>412.20361670135</v>
      </c>
      <c r="H15" s="0" t="n">
        <f aca="false">H13-MAX(0,H13)*H14/100</f>
        <v>424.56972520239</v>
      </c>
      <c r="I15" s="0" t="n">
        <f aca="false">I13-MAX(0,I13)*I14/100</f>
        <v>435.18396833245</v>
      </c>
      <c r="J15" s="0" t="n">
        <f aca="false">J13-MAX(0,J13)*J14/100</f>
        <v>446.063567540761</v>
      </c>
      <c r="K15" s="0" t="n">
        <f aca="false">K13-MAX(0,K13)*K14/100</f>
        <v>457.21515672928</v>
      </c>
      <c r="L15" s="0" t="n">
        <f aca="false">L13-MAX(0,L13)*L14/100</f>
        <v>468.645535647512</v>
      </c>
    </row>
    <row r="16" customFormat="false" ht="15" hidden="false" customHeight="false" outlineLevel="0" collapsed="false">
      <c r="A16" s="0" t="s">
        <v>117</v>
      </c>
      <c r="C16" s="0" t="n">
        <f aca="false">-C12</f>
        <v>181.32994264</v>
      </c>
      <c r="D16" s="0" t="n">
        <f aca="false">-D12</f>
        <v>187.6764906324</v>
      </c>
      <c r="E16" s="0" t="n">
        <f aca="false">-E12</f>
        <v>194.245167804534</v>
      </c>
      <c r="F16" s="0" t="n">
        <f aca="false">-F12</f>
        <v>205.612924784004</v>
      </c>
      <c r="G16" s="0" t="n">
        <f aca="false">-G12</f>
        <v>216.487563917024</v>
      </c>
      <c r="H16" s="0" t="n">
        <f aca="false">-H12</f>
        <v>222.982190834535</v>
      </c>
      <c r="I16" s="0" t="n">
        <f aca="false">-I12</f>
        <v>228.556745605399</v>
      </c>
      <c r="J16" s="0" t="n">
        <f aca="false">-J12</f>
        <v>234.270664245534</v>
      </c>
      <c r="K16" s="0" t="n">
        <f aca="false">-K12</f>
        <v>240.127430851672</v>
      </c>
      <c r="L16" s="0" t="n">
        <f aca="false">-L12</f>
        <v>246.130616622964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-123.6340518</v>
      </c>
      <c r="D17" s="4" t="n">
        <f aca="false">-D6*Assumptions!D32/100</f>
        <v>-255.922487226</v>
      </c>
      <c r="E17" s="4" t="n">
        <f aca="false">-E6*Assumptions!E32/100</f>
        <v>-286.953088802153</v>
      </c>
      <c r="F17" s="4" t="n">
        <f aca="false">-F6*Assumptions!F32/100</f>
        <v>-274.150566378672</v>
      </c>
      <c r="G17" s="4" t="n">
        <f aca="false">-G6*Assumptions!G32/100</f>
        <v>-235.312569475027</v>
      </c>
      <c r="H17" s="4" t="n">
        <f aca="false">-H6*Assumptions!H32/100</f>
        <v>-242.371946559277</v>
      </c>
      <c r="I17" s="4" t="n">
        <f aca="false">-I6*Assumptions!I32/100</f>
        <v>-248.431245223259</v>
      </c>
      <c r="J17" s="4" t="n">
        <f aca="false">-J6*Assumptions!J32/100</f>
        <v>-254.642026353841</v>
      </c>
      <c r="K17" s="4" t="n">
        <f aca="false">-K6*Assumptions!K32/100</f>
        <v>-261.008077012687</v>
      </c>
      <c r="L17" s="4" t="n">
        <f aca="false">-L6*Assumptions!L32/100</f>
        <v>-267.533278938004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-12.003306</v>
      </c>
      <c r="D18" s="4" t="n">
        <f aca="false">(D6-C6)*Assumptions!$B$37/100</f>
        <v>-14.42397271</v>
      </c>
      <c r="E18" s="4" t="n">
        <f aca="false">(E6-D6)*Assumptions!$B$37/100</f>
        <v>-14.92881175485</v>
      </c>
      <c r="F18" s="4" t="n">
        <f aca="false">(F6-E6)*Assumptions!$B$37/100</f>
        <v>-15.4513201662697</v>
      </c>
      <c r="G18" s="4" t="n">
        <f aca="false">(G6-F6)*Assumptions!$B$37/100</f>
        <v>-13.7075283189336</v>
      </c>
      <c r="H18" s="4" t="n">
        <f aca="false">(H6-G6)*Assumptions!$B$37/100</f>
        <v>-14.1187541685016</v>
      </c>
      <c r="I18" s="4" t="n">
        <f aca="false">(I6-H6)*Assumptions!$B$37/100</f>
        <v>-12.1185973279638</v>
      </c>
      <c r="J18" s="4" t="n">
        <f aca="false">(J6-I6)*Assumptions!$B$37/100</f>
        <v>-12.4215622611629</v>
      </c>
      <c r="K18" s="4" t="n">
        <f aca="false">(K6-J6)*Assumptions!$B$37/100</f>
        <v>-12.732101317692</v>
      </c>
      <c r="L18" s="4" t="n">
        <f aca="false">(L6-K6)*Assumptions!$B$37/100</f>
        <v>-13.0504038506343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397.499048825984</v>
      </c>
      <c r="D19" s="0" t="n">
        <f aca="false">D15+D16+D17+D18</f>
        <v>284.606098264347</v>
      </c>
      <c r="E19" s="0" t="n">
        <f aca="false">E15+E16+E17+E18</f>
        <v>275.760847729797</v>
      </c>
      <c r="F19" s="0" t="n">
        <f aca="false">F15+F16+F17+F18</f>
        <v>312.827534038207</v>
      </c>
      <c r="G19" s="0" t="n">
        <f aca="false">G15+G16+G17+G18</f>
        <v>379.671082824414</v>
      </c>
      <c r="H19" s="0" t="n">
        <f aca="false">H15+H16+H17+H18</f>
        <v>391.061215309146</v>
      </c>
      <c r="I19" s="0" t="n">
        <f aca="false">I15+I16+I17+I18</f>
        <v>403.190871386625</v>
      </c>
      <c r="J19" s="0" t="n">
        <f aca="false">J15+J16+J17+J18</f>
        <v>413.270643171291</v>
      </c>
      <c r="K19" s="0" t="n">
        <f aca="false">K15+K16+K17+K18</f>
        <v>423.602409250573</v>
      </c>
      <c r="L19" s="0" t="n">
        <f aca="false">L15+L16+L17+L18</f>
        <v>434.192469481837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364.678026445857</v>
      </c>
      <c r="D21" s="0" t="n">
        <f aca="false">D19*D20</f>
        <v>239.547258870758</v>
      </c>
      <c r="E21" s="0" t="n">
        <f aca="false">E19*E20</f>
        <v>212.937971064584</v>
      </c>
      <c r="F21" s="0" t="n">
        <f aca="false">F19*F20</f>
        <v>221.614911828022</v>
      </c>
      <c r="G21" s="0" t="n">
        <f aca="false">G19*G20</f>
        <v>246.760153197465</v>
      </c>
      <c r="H21" s="0" t="n">
        <f aca="false">H19*H20</f>
        <v>233.177025498522</v>
      </c>
      <c r="I21" s="0" t="n">
        <f aca="false">I19*I20</f>
        <v>220.559213856702</v>
      </c>
      <c r="J21" s="0" t="n">
        <f aca="false">J19*J20</f>
        <v>207.406600186348</v>
      </c>
      <c r="K21" s="0" t="n">
        <f aca="false">K19*K20</f>
        <v>195.038316688997</v>
      </c>
      <c r="L21" s="0" t="n">
        <f aca="false">L19*L20</f>
        <v>183.407591381855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2325.12706901911</v>
      </c>
    </row>
    <row r="31" customFormat="false" ht="15" hidden="false" customHeight="false" outlineLevel="0" collapsed="false">
      <c r="A31" s="0" t="s">
        <v>126</v>
      </c>
      <c r="B31" s="0" t="n">
        <f aca="false">L19</f>
        <v>434.192469481837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6846.88124952128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7815.46445067307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6846.88124952128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2892.19663332925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5217.32370234835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6856.22370234835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6.56920841738441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0.0536019915612525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19.1382508693952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22.8104215499506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6.6094010341832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3560.37824975106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4.13172705590618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4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4001.102</v>
      </c>
      <c r="C6" s="0" t="n">
        <f aca="false">B6*(1+C5/100)</f>
        <v>4161.14608</v>
      </c>
      <c r="D6" s="0" t="n">
        <f aca="false">C6*(1+D5/100)</f>
        <v>4410.8148448</v>
      </c>
      <c r="E6" s="0" t="n">
        <f aca="false">D6*(1+E5/100)</f>
        <v>4675.463735488</v>
      </c>
      <c r="F6" s="0" t="n">
        <f aca="false">E6*(1+F5/100)</f>
        <v>4932.61424093984</v>
      </c>
      <c r="G6" s="0" t="n">
        <f aca="false">F6*(1+G5/100)</f>
        <v>5179.24495298683</v>
      </c>
      <c r="H6" s="0" t="n">
        <f aca="false">G6*(1+H5/100)</f>
        <v>5412.31097587124</v>
      </c>
      <c r="I6" s="0" t="n">
        <f aca="false">H6*(1+I5/100)</f>
        <v>5628.80341490609</v>
      </c>
      <c r="J6" s="0" t="n">
        <f aca="false">I6*(1+J5/100)</f>
        <v>5825.8115344278</v>
      </c>
      <c r="K6" s="0" t="n">
        <f aca="false">J6*(1+K5/100)</f>
        <v>6000.58588046064</v>
      </c>
      <c r="L6" s="0" t="n">
        <f aca="false">K6*(1+L5/100)</f>
        <v>6180.60345687446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16.3</v>
      </c>
      <c r="D7" s="4" t="n">
        <f aca="false">Assumptions!D42</f>
        <v>16.8</v>
      </c>
      <c r="E7" s="4" t="n">
        <f aca="false">Assumptions!E42</f>
        <v>17.2</v>
      </c>
      <c r="F7" s="4" t="n">
        <f aca="false">Assumptions!F42</f>
        <v>17.6</v>
      </c>
      <c r="G7" s="4" t="n">
        <f aca="false">Assumptions!G42</f>
        <v>18</v>
      </c>
      <c r="H7" s="4" t="n">
        <f aca="false">Assumptions!H42</f>
        <v>18</v>
      </c>
      <c r="I7" s="4" t="n">
        <f aca="false">Assumptions!I42</f>
        <v>18</v>
      </c>
      <c r="J7" s="4" t="n">
        <f aca="false">Assumptions!J42</f>
        <v>18</v>
      </c>
      <c r="K7" s="4" t="n">
        <f aca="false">Assumptions!K42</f>
        <v>18</v>
      </c>
      <c r="L7" s="4" t="n">
        <f aca="false">Assumptions!L42</f>
        <v>18</v>
      </c>
    </row>
    <row r="8" customFormat="false" ht="15" hidden="false" customHeight="false" outlineLevel="0" collapsed="false">
      <c r="A8" s="0" t="s">
        <v>43</v>
      </c>
      <c r="C8" s="0" t="n">
        <f aca="false">C6*C7/100</f>
        <v>678.26681104</v>
      </c>
      <c r="D8" s="0" t="n">
        <f aca="false">D6*D7/100</f>
        <v>741.0168939264</v>
      </c>
      <c r="E8" s="0" t="n">
        <f aca="false">E6*E7/100</f>
        <v>804.179762503936</v>
      </c>
      <c r="F8" s="0" t="n">
        <f aca="false">F6*F7/100</f>
        <v>868.140106405412</v>
      </c>
      <c r="G8" s="0" t="n">
        <f aca="false">G6*G7/100</f>
        <v>932.26409153763</v>
      </c>
      <c r="H8" s="0" t="n">
        <f aca="false">H6*H7/100</f>
        <v>974.215975656823</v>
      </c>
      <c r="I8" s="0" t="n">
        <f aca="false">I6*I7/100</f>
        <v>1013.1846146831</v>
      </c>
      <c r="J8" s="0" t="n">
        <f aca="false">J6*J7/100</f>
        <v>1048.646076197</v>
      </c>
      <c r="K8" s="0" t="n">
        <f aca="false">K6*K7/100</f>
        <v>1080.10545848291</v>
      </c>
      <c r="L8" s="0" t="n">
        <f aca="false">L6*L7/100</f>
        <v>1112.5086222374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0.064</v>
      </c>
      <c r="D9" s="4" t="n">
        <f aca="false">Assumptions!D43</f>
        <v>0.064</v>
      </c>
      <c r="E9" s="4" t="n">
        <f aca="false">Assumptions!E43</f>
        <v>0.064</v>
      </c>
      <c r="F9" s="4" t="n">
        <f aca="false">Assumptions!F43</f>
        <v>0.064</v>
      </c>
      <c r="G9" s="4" t="n">
        <f aca="false">Assumptions!G43</f>
        <v>0.064</v>
      </c>
      <c r="H9" s="4" t="n">
        <f aca="false">Assumptions!H43</f>
        <v>0.064</v>
      </c>
      <c r="I9" s="4" t="n">
        <f aca="false">Assumptions!I43</f>
        <v>0.064</v>
      </c>
      <c r="J9" s="4" t="n">
        <f aca="false">Assumptions!J43</f>
        <v>0.064</v>
      </c>
      <c r="K9" s="4" t="n">
        <f aca="false">Assumptions!K43</f>
        <v>0.064</v>
      </c>
      <c r="L9" s="4" t="n">
        <f aca="false">Assumptions!L43</f>
        <v>0.064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-2.6631334912</v>
      </c>
      <c r="D10" s="0" t="n">
        <f aca="false">-D6*D9/100</f>
        <v>-2.822921500672</v>
      </c>
      <c r="E10" s="0" t="n">
        <f aca="false">-E6*E9/100</f>
        <v>-2.99229679071232</v>
      </c>
      <c r="F10" s="0" t="n">
        <f aca="false">-F6*F9/100</f>
        <v>-3.1568731142015</v>
      </c>
      <c r="G10" s="0" t="n">
        <f aca="false">-G6*G9/100</f>
        <v>-3.31471676991157</v>
      </c>
      <c r="H10" s="0" t="n">
        <f aca="false">-H6*H9/100</f>
        <v>-3.46387902455759</v>
      </c>
      <c r="I10" s="0" t="n">
        <f aca="false">-I6*I9/100</f>
        <v>-3.6024341855399</v>
      </c>
      <c r="J10" s="0" t="n">
        <f aca="false">-J6*J9/100</f>
        <v>-3.72851938203379</v>
      </c>
      <c r="K10" s="0" t="n">
        <f aca="false">-K6*K9/100</f>
        <v>-3.84037496349481</v>
      </c>
      <c r="L10" s="0" t="n">
        <f aca="false">-L6*L9/100</f>
        <v>-3.95558621239965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675.6036775488</v>
      </c>
      <c r="D11" s="0" t="n">
        <f aca="false">D8+D10+D24</f>
        <v>738.193972425728</v>
      </c>
      <c r="E11" s="0" t="n">
        <f aca="false">E8+E10+E24</f>
        <v>801.187465713224</v>
      </c>
      <c r="F11" s="0" t="n">
        <f aca="false">F8+F10+F24</f>
        <v>864.983233291211</v>
      </c>
      <c r="G11" s="0" t="n">
        <f aca="false">G8+G10+G24</f>
        <v>928.949374767719</v>
      </c>
      <c r="H11" s="0" t="n">
        <f aca="false">H8+H10+H24</f>
        <v>970.752096632266</v>
      </c>
      <c r="I11" s="0" t="n">
        <f aca="false">I8+I10+I24</f>
        <v>1009.58218049756</v>
      </c>
      <c r="J11" s="0" t="n">
        <f aca="false">J8+J10+J24</f>
        <v>1044.91755681497</v>
      </c>
      <c r="K11" s="0" t="n">
        <f aca="false">K8+K10+K24</f>
        <v>1076.26508351942</v>
      </c>
      <c r="L11" s="0" t="n">
        <f aca="false">L8+L10+L24</f>
        <v>1108.553036025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-183.09042752</v>
      </c>
      <c r="D12" s="4" t="n">
        <f aca="false">-D6*Assumptions!D45/100</f>
        <v>-194.0758531712</v>
      </c>
      <c r="E12" s="4" t="n">
        <f aca="false">-E6*Assumptions!E45/100</f>
        <v>-205.720404361472</v>
      </c>
      <c r="F12" s="4" t="n">
        <f aca="false">-F6*Assumptions!F45/100</f>
        <v>-221.967640842293</v>
      </c>
      <c r="G12" s="4" t="n">
        <f aca="false">-G6*Assumptions!G45/100</f>
        <v>-238.245267837394</v>
      </c>
      <c r="H12" s="4" t="n">
        <f aca="false">-H6*Assumptions!H45/100</f>
        <v>-248.966304890077</v>
      </c>
      <c r="I12" s="4" t="n">
        <f aca="false">-I6*Assumptions!I45/100</f>
        <v>-258.92495708568</v>
      </c>
      <c r="J12" s="4" t="n">
        <f aca="false">-J6*Assumptions!J45/100</f>
        <v>-267.987330583679</v>
      </c>
      <c r="K12" s="4" t="n">
        <f aca="false">-K6*Assumptions!K45/100</f>
        <v>-276.026950501189</v>
      </c>
      <c r="L12" s="4" t="n">
        <f aca="false">-L6*Assumptions!L45/100</f>
        <v>-284.307759016225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492.5132500288</v>
      </c>
      <c r="D13" s="0" t="n">
        <f aca="false">D11+D12</f>
        <v>544.118119254528</v>
      </c>
      <c r="E13" s="0" t="n">
        <f aca="false">E11+E12</f>
        <v>595.467061351752</v>
      </c>
      <c r="F13" s="0" t="n">
        <f aca="false">F11+F12</f>
        <v>643.015592448918</v>
      </c>
      <c r="G13" s="0" t="n">
        <f aca="false">G11+G12</f>
        <v>690.704106930324</v>
      </c>
      <c r="H13" s="0" t="n">
        <f aca="false">H11+H12</f>
        <v>721.785791742189</v>
      </c>
      <c r="I13" s="0" t="n">
        <f aca="false">I11+I12</f>
        <v>750.657223411876</v>
      </c>
      <c r="J13" s="0" t="n">
        <f aca="false">J11+J12</f>
        <v>776.930226231292</v>
      </c>
      <c r="K13" s="0" t="n">
        <f aca="false">K11+K12</f>
        <v>800.238133018231</v>
      </c>
      <c r="L13" s="0" t="n">
        <f aca="false">L11+L12</f>
        <v>824.245277008778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25.5</v>
      </c>
      <c r="D14" s="4" t="n">
        <f aca="false">Assumptions!D47</f>
        <v>25.5</v>
      </c>
      <c r="E14" s="4" t="n">
        <f aca="false">Assumptions!E47</f>
        <v>25.5</v>
      </c>
      <c r="F14" s="4" t="n">
        <f aca="false">Assumptions!F47</f>
        <v>25.5</v>
      </c>
      <c r="G14" s="4" t="n">
        <f aca="false">Assumptions!G47</f>
        <v>25.5</v>
      </c>
      <c r="H14" s="4" t="n">
        <f aca="false">Assumptions!H47</f>
        <v>25.5</v>
      </c>
      <c r="I14" s="4" t="n">
        <f aca="false">Assumptions!I47</f>
        <v>25.5</v>
      </c>
      <c r="J14" s="4" t="n">
        <f aca="false">Assumptions!J47</f>
        <v>25.5</v>
      </c>
      <c r="K14" s="4" t="n">
        <f aca="false">Assumptions!K47</f>
        <v>25.5</v>
      </c>
      <c r="L14" s="4" t="n">
        <f aca="false">Assumptions!L47</f>
        <v>25.5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366.922371271456</v>
      </c>
      <c r="D15" s="0" t="n">
        <f aca="false">D13-MAX(0,D13)*D14/100</f>
        <v>405.367998844624</v>
      </c>
      <c r="E15" s="0" t="n">
        <f aca="false">E13-MAX(0,E13)*E14/100</f>
        <v>443.622960707055</v>
      </c>
      <c r="F15" s="0" t="n">
        <f aca="false">F13-MAX(0,F13)*F14/100</f>
        <v>479.046616374444</v>
      </c>
      <c r="G15" s="0" t="n">
        <f aca="false">G13-MAX(0,G13)*G14/100</f>
        <v>514.574559663092</v>
      </c>
      <c r="H15" s="0" t="n">
        <f aca="false">H13-MAX(0,H13)*H14/100</f>
        <v>537.730414847931</v>
      </c>
      <c r="I15" s="0" t="n">
        <f aca="false">I13-MAX(0,I13)*I14/100</f>
        <v>559.239631441848</v>
      </c>
      <c r="J15" s="0" t="n">
        <f aca="false">J13-MAX(0,J13)*J14/100</f>
        <v>578.813018542313</v>
      </c>
      <c r="K15" s="0" t="n">
        <f aca="false">K13-MAX(0,K13)*K14/100</f>
        <v>596.177409098582</v>
      </c>
      <c r="L15" s="0" t="n">
        <f aca="false">L13-MAX(0,L13)*L14/100</f>
        <v>614.062731371539</v>
      </c>
    </row>
    <row r="16" customFormat="false" ht="15" hidden="false" customHeight="false" outlineLevel="0" collapsed="false">
      <c r="A16" s="0" t="s">
        <v>117</v>
      </c>
      <c r="C16" s="0" t="n">
        <f aca="false">-C12</f>
        <v>183.09042752</v>
      </c>
      <c r="D16" s="0" t="n">
        <f aca="false">-D12</f>
        <v>194.0758531712</v>
      </c>
      <c r="E16" s="0" t="n">
        <f aca="false">-E12</f>
        <v>205.720404361472</v>
      </c>
      <c r="F16" s="0" t="n">
        <f aca="false">-F12</f>
        <v>221.967640842293</v>
      </c>
      <c r="G16" s="0" t="n">
        <f aca="false">-G12</f>
        <v>238.245267837394</v>
      </c>
      <c r="H16" s="0" t="n">
        <f aca="false">-H12</f>
        <v>248.966304890077</v>
      </c>
      <c r="I16" s="0" t="n">
        <f aca="false">-I12</f>
        <v>258.92495708568</v>
      </c>
      <c r="J16" s="0" t="n">
        <f aca="false">-J12</f>
        <v>267.987330583679</v>
      </c>
      <c r="K16" s="0" t="n">
        <f aca="false">-K12</f>
        <v>276.026950501189</v>
      </c>
      <c r="L16" s="0" t="n">
        <f aca="false">-L12</f>
        <v>284.307759016225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-124.8343824</v>
      </c>
      <c r="D17" s="4" t="n">
        <f aca="false">-D6*Assumptions!D46/100</f>
        <v>-286.702964912</v>
      </c>
      <c r="E17" s="4" t="n">
        <f aca="false">-E6*Assumptions!E46/100</f>
        <v>-327.28246148416</v>
      </c>
      <c r="F17" s="4" t="n">
        <f aca="false">-F6*Assumptions!F46/100</f>
        <v>-320.61992566109</v>
      </c>
      <c r="G17" s="4" t="n">
        <f aca="false">-G6*Assumptions!G46/100</f>
        <v>-258.962247649342</v>
      </c>
      <c r="H17" s="4" t="n">
        <f aca="false">-H6*Assumptions!H46/100</f>
        <v>-270.615548793562</v>
      </c>
      <c r="I17" s="4" t="n">
        <f aca="false">-I6*Assumptions!I46/100</f>
        <v>-281.440170745305</v>
      </c>
      <c r="J17" s="4" t="n">
        <f aca="false">-J6*Assumptions!J46/100</f>
        <v>-291.29057672139</v>
      </c>
      <c r="K17" s="4" t="n">
        <f aca="false">-K6*Assumptions!K46/100</f>
        <v>-300.029294023032</v>
      </c>
      <c r="L17" s="4" t="n">
        <f aca="false">-L6*Assumptions!L46/100</f>
        <v>-309.030172843723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-16.0044080000001</v>
      </c>
      <c r="D18" s="4" t="n">
        <f aca="false">(D6-C6)*Assumptions!$B$51/100</f>
        <v>-24.9668764800001</v>
      </c>
      <c r="E18" s="4" t="n">
        <f aca="false">(E6-D6)*Assumptions!$B$51/100</f>
        <v>-26.4648890688</v>
      </c>
      <c r="F18" s="4" t="n">
        <f aca="false">(F6-E6)*Assumptions!$B$51/100</f>
        <v>-25.715050545184</v>
      </c>
      <c r="G18" s="4" t="n">
        <f aca="false">(G6-F6)*Assumptions!$B$51/100</f>
        <v>-24.6630712046992</v>
      </c>
      <c r="H18" s="4" t="n">
        <f aca="false">(H6-G6)*Assumptions!$B$51/100</f>
        <v>-23.3066022884407</v>
      </c>
      <c r="I18" s="4" t="n">
        <f aca="false">(I6-H6)*Assumptions!$B$51/100</f>
        <v>-21.649243903485</v>
      </c>
      <c r="J18" s="4" t="n">
        <f aca="false">(J6-I6)*Assumptions!$B$51/100</f>
        <v>-19.7008119521713</v>
      </c>
      <c r="K18" s="4" t="n">
        <f aca="false">(K6-J6)*Assumptions!$B$51/100</f>
        <v>-17.4774346032834</v>
      </c>
      <c r="L18" s="4" t="n">
        <f aca="false">(L6-K6)*Assumptions!$B$51/100</f>
        <v>-18.0017576413819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409.174008391456</v>
      </c>
      <c r="D19" s="0" t="n">
        <f aca="false">D15+D16+D17+D18</f>
        <v>287.774010623824</v>
      </c>
      <c r="E19" s="0" t="n">
        <f aca="false">E15+E16+E17+E18</f>
        <v>295.596014515567</v>
      </c>
      <c r="F19" s="0" t="n">
        <f aca="false">F15+F16+F17+F18</f>
        <v>354.679281010463</v>
      </c>
      <c r="G19" s="0" t="n">
        <f aca="false">G15+G16+G17+G18</f>
        <v>469.194508646445</v>
      </c>
      <c r="H19" s="0" t="n">
        <f aca="false">H15+H16+H17+H18</f>
        <v>492.774568656005</v>
      </c>
      <c r="I19" s="0" t="n">
        <f aca="false">I15+I16+I17+I18</f>
        <v>515.075173878738</v>
      </c>
      <c r="J19" s="0" t="n">
        <f aca="false">J15+J16+J17+J18</f>
        <v>535.80896045243</v>
      </c>
      <c r="K19" s="0" t="n">
        <f aca="false">K15+K16+K17+K18</f>
        <v>554.697630973456</v>
      </c>
      <c r="L19" s="0" t="n">
        <f aca="false">L15+L16+L17+L18</f>
        <v>571.33855990266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375.388998524271</v>
      </c>
      <c r="D21" s="0" t="n">
        <f aca="false">D19*D20</f>
        <v>242.213627324151</v>
      </c>
      <c r="E21" s="0" t="n">
        <f aca="false">E19*E20</f>
        <v>228.254359180811</v>
      </c>
      <c r="F21" s="0" t="n">
        <f aca="false">F19*F20</f>
        <v>251.263744510289</v>
      </c>
      <c r="G21" s="0" t="n">
        <f aca="false">G19*G20</f>
        <v>304.944237448155</v>
      </c>
      <c r="H21" s="0" t="n">
        <f aca="false">H19*H20</f>
        <v>293.825374806575</v>
      </c>
      <c r="I21" s="0" t="n">
        <f aca="false">I19*I20</f>
        <v>281.763758780296</v>
      </c>
      <c r="J21" s="0" t="n">
        <f aca="false">J19*J20</f>
        <v>268.904449597594</v>
      </c>
      <c r="K21" s="0" t="n">
        <f aca="false">K19*K20</f>
        <v>255.398198532061</v>
      </c>
      <c r="L21" s="0" t="n">
        <f aca="false">L19*L20</f>
        <v>241.339582099103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2743.29633080331</v>
      </c>
    </row>
    <row r="31" customFormat="false" ht="15" hidden="false" customHeight="false" outlineLevel="0" collapsed="false">
      <c r="A31" s="0" t="s">
        <v>126</v>
      </c>
      <c r="B31" s="0" t="n">
        <f aca="false">L19</f>
        <v>571.33855990266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9807.97861166232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10284.0940782479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9807.97861166232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4142.99615936794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6886.29249017125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8525.19249017125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8.16831082204527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0.310073908908623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20.8669559841573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28.6834805772826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8.21578697788204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4903.98930583116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4.72903623729668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4.92046265904942</v>
      </c>
      <c r="C4" s="0" t="n">
        <f aca="false">B4/Assumptions!$B$2-1</f>
        <v>-0.210831971283172</v>
      </c>
      <c r="D4" s="4" t="n">
        <f aca="false">Assumptions!$B$24</f>
        <v>0.25</v>
      </c>
      <c r="E4" s="4" t="n">
        <f aca="false">DCF_Bear!$B$43</f>
        <v>4.95214967656615</v>
      </c>
      <c r="F4" s="4" t="n">
        <f aca="false">DCF_Bear!$B$47</f>
        <v>3.44133729699879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6.56920841738441</v>
      </c>
      <c r="C5" s="0" t="n">
        <f aca="false">B5/Assumptions!$B$2-1</f>
        <v>0.0536019915612525</v>
      </c>
      <c r="D5" s="4" t="n">
        <f aca="false">Assumptions!$B$38</f>
        <v>0.5</v>
      </c>
      <c r="E5" s="4" t="n">
        <f aca="false">DCF_Base!$B$43</f>
        <v>6.6094010341832</v>
      </c>
      <c r="F5" s="4" t="n">
        <f aca="false">DCF_Base!$B$47</f>
        <v>4.13172705590618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8.16831082204527</v>
      </c>
      <c r="C6" s="0" t="n">
        <f aca="false">B6/Assumptions!$B$2-1</f>
        <v>0.310073908908623</v>
      </c>
      <c r="D6" s="4" t="n">
        <f aca="false">Assumptions!$B$52</f>
        <v>0.25</v>
      </c>
      <c r="E6" s="4" t="n">
        <f aca="false">DCF_Bull!$B$43</f>
        <v>8.21578697788204</v>
      </c>
      <c r="F6" s="4" t="n">
        <f aca="false">DCF_Bull!$B$47</f>
        <v>4.72903623729668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6.55679757896588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6.59668468070365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0.0490784678176125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4.10845691152696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6.56920841738441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5.89001526291542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5.37144020859303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4.9627184555051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4.13172705590618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7.82774985258702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7.82774985258702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7.82774985258702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7.82774985258702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7.82774985258702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6.91457883746004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7.18138874132778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7.37408478301004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7.37408478301004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7.37408478301004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6.17629464952131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6.35871889888632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6.56920841738441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6.81477952229885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6.96122100688086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5.61325993339399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5.74298899410716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5.89001526291542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6.05804528441057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6.25192607844344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5.17003949343942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5.2651453867064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5.37144020859303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5.49102188321549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5.62654778112094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2026-10-16T12:20:44Z</dcterms:created>
  <dc:creator>openpyxl</dc:creator>
  <dc:description/>
  <dc:language>en-NZ</dc:language>
  <cp:lastModifiedBy/>
  <dcterms:modified xsi:type="dcterms:W3CDTF">2026-10-16T12:20:44Z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