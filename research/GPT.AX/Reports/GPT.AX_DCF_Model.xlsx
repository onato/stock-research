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<sst xmlns="http://schemas.openxmlformats.org/spreadsheetml/2006/main" count="359" uniqueCount="170">
  <si>
    <t xml:space="preserve">Ticker</t>
  </si>
  <si>
    <t xml:space="preserve">GPT.AX</t>
  </si>
  <si>
    <t xml:space="preserve">Company</t>
  </si>
  <si>
    <t xml:space="preserve">The GPT Group</t>
  </si>
  <si>
    <t xml:space="preserve">Valuation date</t>
  </si>
  <si>
    <t xml:space="preserve">2026-09-22</t>
  </si>
  <si>
    <t xml:space="preserve">Current price</t>
  </si>
  <si>
    <t xml:space="preserve">Price as of</t>
  </si>
  <si>
    <t xml:space="preserve">2026-09-22T06:10:04Z (ASX regular close 16:10 AEST; Yahoo v8 chart meta; 52-week range 4.375-5.75)</t>
  </si>
  <si>
    <t xml:space="preserve">Balance sheet date</t>
  </si>
  <si>
    <t xml:space="preserve">2026-06-30</t>
  </si>
  <si>
    <t xml:space="preserve">Model</t>
  </si>
  <si>
    <t xml:space="preserve">REIT AFFO capitalisation at cost of equity (engine route)</t>
  </si>
  <si>
    <t xml:space="preserve">Currency (model)</t>
  </si>
  <si>
    <t xml:space="preserve">AUD</t>
  </si>
  <si>
    <t xml:space="preserve">Currency (quote)</t>
  </si>
  <si>
    <t xml:space="preserve">Units</t>
  </si>
  <si>
    <t xml:space="preserve">millions</t>
  </si>
  <si>
    <t xml:space="preserve">Engine</t>
  </si>
  <si>
    <t xml:space="preserve">dcf_engine v1</t>
  </si>
  <si>
    <t xml:space="preserve">Built at</t>
  </si>
  <si>
    <t xml:space="preserve">2026-09-22T20:11:22Z</t>
  </si>
  <si>
    <t xml:space="preserve">Drivers file</t>
  </si>
  <si>
    <t xml:space="preserve">GPT.AX_Drivers.json</t>
  </si>
  <si>
    <t xml:space="preserve">Convention</t>
  </si>
  <si>
    <t xml:space="preserve">Percents stored as percents; formulas divide by 100. Blue = input, green = link, black = formula.</t>
  </si>
  <si>
    <t xml:space="preserve">Methodology</t>
  </si>
  <si>
    <t xml:space="preserve">summary: GPT is valued as a stream of AFFO (FFO less maintenance and leasing capex) capitalised at a 9.0% AUD cost of equity, with no net-debt deduction because AFFO is already after the A$220m/yr net finance cost. Statutory earnings, book-value growth and reported free cash flow are all set aside: the first two are IAS 40 revaluation series and the third includes growth development capex. The base case is essentially the reaffirmed FY2026 guidance fading to CPI growth; it lands a few percent below the current price, which means the market is capitalising GPT at roughly an 8.5% cost of equity versus the house 9%. NTA of A$5.61 is a cross-check, not a floor: the 0.80x price/NTA discount is the gap between the valuers' 5.4-6.3% cap rates and an equity investor's required return once 31.5% gearing, corporate costs and ~A$160m/yr of capex are charged.
key_risks_to_valuation: Discount rate: every 50bp on the cost of equity moves the base value ~8-9% because the terminal value is ~55% of it; the price already implies ~8.5%.; Office (43% of directly-owned AUM): Grosvenor Place lease-up from 70.6% and renewed cap-rate expansion are the two ways FY2026-28 FFO growth and the NTA cross-check both fail at once.; Finance costs: A$5.5bn of borrowings repricing as hedges roll; FY2025 net finance costs grew 7.0% against 5.5% FFO growth.; Maintenance and leasing capex: the FFO-to-AFFO bridge grew 6.7% in FY2025 and 16% in H1 FY2026; AFFO cover of the 24.5 cps distribution is only ~1.1x.; Revenue is the driver line, not the valued flow: a change in revenue mix (development revenue, trading profits) can move the FFO/revenue margin without changing FFO.</t>
  </si>
  <si>
    <t xml:space="preserve">Data sources</t>
  </si>
  <si>
    <t xml:space="preserve">price: Yahoo Finance v8 chart API at inputs.price_as_of (ASX regular close); 52-week range 4.375-5.75.
financials: GPT.AX Metrics CSV / core_metrics and kpis (FFO, AFFO, maintenance and leasing capex, DPS, NTA, gearing) adjudicated from the FY2019-FY2025 annual reports and H1 FY2015-H1 FY2026 interim reports; FY2025 AR p.1046-1054 (FFO/AFFO bridge), H1 FY2026 interim p.330-357 (balance sheet, gearing, ICR, liquidity) and p.1756-1766 (diluted WANOS).
qualitative: GPT.AX_Analysis.json (2026-09-22): guidance, segment occupancy, cap rates, partnerships, risk register.</t>
  </si>
  <si>
    <t xml:space="preserve">Scenario narrative: bear</t>
  </si>
  <si>
    <t xml:space="preserve">Persistent inflation keeps the RBA restrictive, bond yields back up, and office cap rates expand again as they did in FY2024; Grosvenor Place stays two-thirds leased, incentives rise, and the A$5.5bn debt book reprices higher as hedges roll. GPT sells assets to hold gearing inside 35%, shrinking the rent base; FFO stalls at 0.5-1.5% growth, the FFO margin gives up 2pp and AFFO cover of the distribution drops below 1.0x, so the distribution is cut or funded from the balance sheet. Exit at 13.5x AFFO, the 2022-24 sector trough.</t>
  </si>
  <si>
    <t xml:space="preserve">Scenario narrative: base</t>
  </si>
  <si>
    <t xml:space="preserve">GPT delivers the reaffirmed FY2026 guidance (35.4 cps FFO, 24.5 cps distribution) and then compounds FFO at 3-4% for three years as Grosvenor Place leases up, logistics rents keep re-rating on 20%+ spreads and the A$27.6bn third-party platform grows fees, before fading to a CPI-like 2.5%. Maintenance and leasing capex stays ~15% of revenue so AFFO covers the distribution ~1.1x. No cap-rate compression and no discount-rate relief are assumed: the value is the AFFO stream capitalised at a 9% AUD cost of equity, which is ~0.5pp above what the current price implies.</t>
  </si>
  <si>
    <t xml:space="preserve">Scenario narrative: bull</t>
  </si>
  <si>
    <t xml:space="preserve">The FY2025 pattern of two guidance upgrades repeats, the RBA eases from late 2026 so transaction markets reopen (trading profits, development fees), the two Sydney/Melbourne office towers reach &gt;95% occupancy by FY2028, and the funds-management flywheel (Perron, QuadReal GQLT2, CSC, the new value-add partner) lifts capital-light fee income faster than rent. FFO grows 4-5.5% for five years, the FFO margin drifts to 64.5% and office incentives normalise, so AFFO compounds ~5% and the terminal multiple is 17x.</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</si>
  <si>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</si>
  <si>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</si>
  <si>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</si>
  <si>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</si>
  <si>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</si>
  <si>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</si>
  <si>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</si>
  <si>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</si>
  <si>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</si>
  <si>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</si>
  <si>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</si>
  <si>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</si>
  <si>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</si>
  <si>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</si>
  <si>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</si>
  <si>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</si>
  <si>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</si>
  <si>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</si>
  <si>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</si>
  <si>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</si>
  <si>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</si>
  <si>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</si>
  <si>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</si>
  <si>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</si>
  <si>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</si>
  <si>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</si>
  <si>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</si>
  <si>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AFFO</t>
  </si>
  <si>
    <t xml:space="preserve">AUM</t>
  </si>
  <si>
    <t xml:space="preserve">DistributionPerSecurity</t>
  </si>
  <si>
    <t xml:space="preserve">GrossRentalIncome</t>
  </si>
  <si>
    <t xml:space="preserve">NetTangibleAssetsPerSecurity</t>
  </si>
  <si>
    <t xml:space="preserve">Occupancy</t>
  </si>
  <si>
    <t xml:space="preserve">FFO</t>
  </si>
  <si>
    <t xml:space="preserve">FFOPerSecurity</t>
  </si>
  <si>
    <t xml:space="preserve">NetGearing</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</si>
  <si>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</si>
  <si>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</si>
  <si>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</si>
  <si>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</si>
  <si>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</si>
  <si>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</si>
  <si>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</si>
  <si>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</si>
  <si>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</si>
  <si>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</si>
  <si>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</si>
  <si>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</si>
  <si>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</si>
  <si>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</si>
  <si>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</si>
  <si>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</si>
  <si>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</si>
  <si>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AUD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</si>
  <si>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</si>
  <si>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</si>
  <si>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</si>
  <si>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</si>
  <si>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</si>
  <si>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</si>
  <si>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</si>
  <si>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</si>
  <si>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</si>
  <si>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</si>
  <si>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</si>
  <si>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</si>
  <si>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</si>
  <si>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</si>
  <si>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</si>
  <si>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</si>
  <si>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</si>
  <si>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</si>
  <si>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</si>
  <si>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</si>
  <si>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</si>
  <si>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</si>
  <si>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</si>
  <si>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</si>
  <si>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</si>
  <si>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</si>
  <si>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GPT.AX owner-FCF component DCF: bear case (millions, AUD)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</si>
  <si>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</si>
  <si>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</si>
  <si>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</si>
  <si>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</si>
  <si>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</si>
  <si>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</si>
  <si>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</si>
  <si>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</si>
  <si>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</si>
  <si>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</si>
  <si>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</si>
  <si>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</si>
  <si>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</si>
  <si>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</si>
  <si>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</si>
  <si>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</si>
  <si>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</si>
  <si>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</si>
  <si>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</si>
  <si>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</si>
  <si>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</si>
  <si>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</si>
  <si>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</si>
  <si>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</si>
  <si>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</si>
  <si>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</si>
  <si>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</si>
  <si>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</si>
  <si>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</si>
  <si>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</si>
  <si>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GPT.AX owner-FCF component DCF: base case (millions, AUD)</t>
  </si>
  <si>
    <t xml:space="preserve">GPT.AX owner-FCF component DCF: bull case (millions, AUD)</t>
  </si>
  <si>
    <t xml:space="preserve">GPT.AX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</si>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</sst>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4.51</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c r="AD1" s="2" t="s">
        <v>64</v>
      </c>
      <c r="AE1" s="2" t="s">
        <v>65</v>
      </c>
      <c r="AF1" s="2" t="s">
        <v>66</v>
      </c>
      <c r="AG1" s="2" t="s">
        <v>67</v>
      </c>
      <c r="AH1" s="2" t="s">
        <v>68</v>
      </c>
      <c r="AI1" s="2" t="s">
        <v>69</v>
      </c>
      <c r="AJ1" s="2" t="s">
        <v>70</v>
      </c>
      <c r="AK1" s="2" t="s">
        <v>71</v>
      </c>
    </row>
    <row r="2" customFormat="false" ht="15" hidden="false" customHeight="false" outlineLevel="0" collapsed="false">
      <c r="A2" s="0" t="s">
        <v>72</v>
      </c>
      <c r="B2" s="0" t="n">
        <v>807</v>
      </c>
      <c r="I2" s="0" t="n">
        <v>880</v>
      </c>
      <c r="K2" s="0" t="n">
        <v>46.9</v>
      </c>
      <c r="L2" s="0" t="n">
        <v>614.6</v>
      </c>
      <c r="M2" s="0" t="n">
        <v>373.6</v>
      </c>
      <c r="N2" s="0" t="n">
        <v>241</v>
      </c>
      <c r="O2" s="0" t="n">
        <v>11326.6</v>
      </c>
      <c r="P2" s="0" t="n">
        <v>15867.8</v>
      </c>
      <c r="Q2" s="0" t="n">
        <v>4541.2</v>
      </c>
      <c r="R2" s="0" t="n">
        <v>3897.5</v>
      </c>
      <c r="S2" s="0" t="n">
        <v>104.2</v>
      </c>
      <c r="T2" s="0" t="n">
        <v>1947.9</v>
      </c>
      <c r="V2" s="0" t="n">
        <v>0.2661</v>
      </c>
      <c r="AA2" s="0" t="s">
        <v>17</v>
      </c>
      <c r="AB2" s="0" t="s">
        <v>14</v>
      </c>
      <c r="AE2" s="0" t="n">
        <v>26.61</v>
      </c>
      <c r="AF2" s="0" t="n">
        <v>653.8</v>
      </c>
      <c r="AG2" s="0" t="n">
        <v>5.8</v>
      </c>
      <c r="AI2" s="0" t="n">
        <v>613.7</v>
      </c>
      <c r="AJ2" s="0" t="n">
        <v>121</v>
      </c>
      <c r="AK2" s="0" t="n">
        <v>22.1</v>
      </c>
    </row>
    <row r="3" customFormat="false" ht="15" hidden="false" customHeight="false" outlineLevel="0" collapsed="false">
      <c r="A3" s="0" t="s">
        <v>73</v>
      </c>
      <c r="B3" s="0" t="n">
        <v>716.7</v>
      </c>
      <c r="I3" s="0" t="n">
        <v>-213.2</v>
      </c>
      <c r="K3" s="0" t="n">
        <v>-10.9</v>
      </c>
      <c r="L3" s="0" t="n">
        <v>490.2</v>
      </c>
      <c r="M3" s="0" t="n">
        <v>326.2</v>
      </c>
      <c r="N3" s="0" t="n">
        <v>164</v>
      </c>
      <c r="O3" s="0" t="n">
        <v>10889.2</v>
      </c>
      <c r="P3" s="0" t="n">
        <v>15358.6</v>
      </c>
      <c r="Q3" s="0" t="n">
        <v>4469.4</v>
      </c>
      <c r="R3" s="0" t="n">
        <v>4087.4</v>
      </c>
      <c r="S3" s="0" t="n">
        <v>372.5</v>
      </c>
      <c r="T3" s="0" t="n">
        <v>1947.9</v>
      </c>
      <c r="V3" s="0" t="n">
        <v>0.132</v>
      </c>
      <c r="AA3" s="0" t="s">
        <v>17</v>
      </c>
      <c r="AB3" s="0" t="s">
        <v>14</v>
      </c>
      <c r="AE3" s="0" t="n">
        <v>13.2</v>
      </c>
      <c r="AF3" s="0" t="n">
        <v>625.8</v>
      </c>
      <c r="AG3" s="0" t="n">
        <v>5.57</v>
      </c>
      <c r="AI3" s="0" t="n">
        <v>554.7</v>
      </c>
      <c r="AJ3" s="0" t="n">
        <v>139.4</v>
      </c>
      <c r="AK3" s="0" t="n">
        <v>23.2</v>
      </c>
    </row>
    <row r="4" customFormat="false" ht="15" hidden="false" customHeight="false" outlineLevel="0" collapsed="false">
      <c r="A4" s="0" t="s">
        <v>74</v>
      </c>
      <c r="B4" s="0" t="n">
        <v>795.2</v>
      </c>
      <c r="I4" s="0" t="n">
        <v>1422.8</v>
      </c>
      <c r="K4" s="0" t="n">
        <v>73.9</v>
      </c>
      <c r="L4" s="0" t="n">
        <v>520.4</v>
      </c>
      <c r="M4" s="0" t="n">
        <v>206.5</v>
      </c>
      <c r="N4" s="0" t="n">
        <v>313.9</v>
      </c>
      <c r="O4" s="0" t="n">
        <v>11673.3</v>
      </c>
      <c r="P4" s="0" t="n">
        <v>17179.7</v>
      </c>
      <c r="Q4" s="0" t="n">
        <v>5506.4</v>
      </c>
      <c r="R4" s="0" t="n">
        <v>5139.3</v>
      </c>
      <c r="S4" s="0" t="n">
        <v>61.5</v>
      </c>
      <c r="T4" s="0" t="n">
        <v>1915.6</v>
      </c>
      <c r="V4" s="0" t="n">
        <v>0.263</v>
      </c>
      <c r="AA4" s="0" t="s">
        <v>17</v>
      </c>
      <c r="AB4" s="0" t="s">
        <v>14</v>
      </c>
      <c r="AE4" s="0" t="n">
        <v>26.3</v>
      </c>
      <c r="AF4" s="0" t="n">
        <v>673.7</v>
      </c>
      <c r="AG4" s="0" t="n">
        <v>6.09</v>
      </c>
      <c r="AI4" s="0" t="n">
        <v>554.5</v>
      </c>
      <c r="AJ4" s="0" t="n">
        <v>154.7</v>
      </c>
      <c r="AK4" s="0" t="n">
        <v>28.2</v>
      </c>
    </row>
    <row r="5" customFormat="false" ht="15" hidden="false" customHeight="false" outlineLevel="0" collapsed="false">
      <c r="A5" s="0" t="s">
        <v>75</v>
      </c>
      <c r="B5" s="0" t="n">
        <v>815.5</v>
      </c>
      <c r="I5" s="0" t="n">
        <v>469.3</v>
      </c>
      <c r="K5" s="0" t="n">
        <v>24.5</v>
      </c>
      <c r="L5" s="0" t="n">
        <v>562.1</v>
      </c>
      <c r="M5" s="0" t="n">
        <v>283.5</v>
      </c>
      <c r="N5" s="0" t="n">
        <v>278.6</v>
      </c>
      <c r="O5" s="0" t="n">
        <v>11475.9</v>
      </c>
      <c r="P5" s="0" t="n">
        <v>17294.2</v>
      </c>
      <c r="Q5" s="0" t="n">
        <v>5818.3</v>
      </c>
      <c r="R5" s="0" t="n">
        <v>5052.5</v>
      </c>
      <c r="S5" s="0" t="n">
        <v>60.2</v>
      </c>
      <c r="T5" s="0" t="n">
        <v>1915.6</v>
      </c>
      <c r="V5" s="0" t="n">
        <v>0.25</v>
      </c>
      <c r="AA5" s="0" t="s">
        <v>17</v>
      </c>
      <c r="AB5" s="0" t="s">
        <v>14</v>
      </c>
      <c r="AE5" s="0" t="n">
        <v>25</v>
      </c>
      <c r="AF5" s="0" t="n">
        <v>707.3</v>
      </c>
      <c r="AG5" s="0" t="n">
        <v>5.98</v>
      </c>
      <c r="AI5" s="0" t="n">
        <v>620.6</v>
      </c>
      <c r="AK5" s="0" t="n">
        <v>28.5</v>
      </c>
    </row>
    <row r="6" customFormat="false" ht="15" hidden="false" customHeight="false" outlineLevel="0" collapsed="false">
      <c r="A6" s="0" t="s">
        <v>76</v>
      </c>
      <c r="B6" s="0" t="n">
        <v>902.6</v>
      </c>
      <c r="I6" s="0" t="n">
        <v>-240</v>
      </c>
      <c r="K6" s="0" t="n">
        <v>-12.5</v>
      </c>
      <c r="L6" s="0" t="n">
        <v>586</v>
      </c>
      <c r="M6" s="0" t="n">
        <v>180.2</v>
      </c>
      <c r="N6" s="0" t="n">
        <v>405.8</v>
      </c>
      <c r="O6" s="0" t="n">
        <v>10766.2</v>
      </c>
      <c r="P6" s="0" t="n">
        <v>16279.8</v>
      </c>
      <c r="Q6" s="0" t="n">
        <v>5513.6</v>
      </c>
      <c r="R6" s="0" t="n">
        <v>4796.3</v>
      </c>
      <c r="S6" s="0" t="n">
        <v>67.9</v>
      </c>
      <c r="T6" s="0" t="n">
        <v>1915.6</v>
      </c>
      <c r="V6" s="0" t="n">
        <v>0.25</v>
      </c>
      <c r="AA6" s="0" t="s">
        <v>17</v>
      </c>
      <c r="AB6" s="0" t="s">
        <v>14</v>
      </c>
      <c r="AE6" s="0" t="n">
        <v>25</v>
      </c>
      <c r="AF6" s="0" t="n">
        <v>781</v>
      </c>
      <c r="AG6" s="0" t="n">
        <v>5.61</v>
      </c>
      <c r="AH6" s="0" t="n">
        <v>98.2</v>
      </c>
      <c r="AI6" s="0" t="n">
        <v>600.9</v>
      </c>
      <c r="AJ6" s="0" t="n">
        <v>31.37</v>
      </c>
      <c r="AK6" s="0" t="n">
        <v>28.3</v>
      </c>
    </row>
    <row r="7" customFormat="false" ht="15" hidden="false" customHeight="false" outlineLevel="0" collapsed="false">
      <c r="A7" s="0" t="s">
        <v>77</v>
      </c>
      <c r="B7" s="0" t="n">
        <v>988.7</v>
      </c>
      <c r="I7" s="0" t="n">
        <v>-200.7</v>
      </c>
      <c r="K7" s="0" t="n">
        <v>-10.5</v>
      </c>
      <c r="L7" s="0" t="n">
        <v>604</v>
      </c>
      <c r="M7" s="0" t="n">
        <v>168.4</v>
      </c>
      <c r="N7" s="0" t="n">
        <v>435.6</v>
      </c>
      <c r="O7" s="0" t="n">
        <v>10109.7</v>
      </c>
      <c r="P7" s="0" t="n">
        <v>15629.8</v>
      </c>
      <c r="Q7" s="0" t="n">
        <v>5520.1</v>
      </c>
      <c r="R7" s="0" t="n">
        <v>4839.3</v>
      </c>
      <c r="S7" s="0" t="n">
        <v>72.2</v>
      </c>
      <c r="T7" s="0" t="n">
        <v>1915.6</v>
      </c>
      <c r="V7" s="0" t="n">
        <v>0.24</v>
      </c>
      <c r="AA7" s="0" t="s">
        <v>17</v>
      </c>
      <c r="AB7" s="0" t="s">
        <v>14</v>
      </c>
      <c r="AC7" s="0" t="n">
        <v>470</v>
      </c>
      <c r="AE7" s="0" t="n">
        <v>24</v>
      </c>
      <c r="AF7" s="0" t="n">
        <v>780.6</v>
      </c>
      <c r="AG7" s="0" t="n">
        <v>5.27</v>
      </c>
      <c r="AI7" s="0" t="n">
        <v>616.3</v>
      </c>
      <c r="AJ7" s="0" t="n">
        <v>32.17</v>
      </c>
      <c r="AK7" s="0" t="n">
        <v>26.5</v>
      </c>
    </row>
    <row r="8" customFormat="false" ht="15" hidden="false" customHeight="false" outlineLevel="0" collapsed="false">
      <c r="A8" s="0" t="s">
        <v>78</v>
      </c>
      <c r="B8" s="0" t="n">
        <v>1031.9</v>
      </c>
      <c r="I8" s="0" t="n">
        <v>981</v>
      </c>
      <c r="K8" s="0" t="n">
        <v>51.2</v>
      </c>
      <c r="L8" s="0" t="n">
        <v>622.1</v>
      </c>
      <c r="M8" s="0" t="n">
        <v>241.4</v>
      </c>
      <c r="N8" s="0" t="n">
        <v>380.7</v>
      </c>
      <c r="O8" s="0" t="n">
        <v>10628.1</v>
      </c>
      <c r="P8" s="0" t="n">
        <v>16927.8</v>
      </c>
      <c r="Q8" s="0" t="n">
        <v>6299.7</v>
      </c>
      <c r="R8" s="0" t="n">
        <v>5491.8</v>
      </c>
      <c r="S8" s="0" t="n">
        <v>99.4</v>
      </c>
      <c r="T8" s="0" t="n">
        <v>1915.6</v>
      </c>
      <c r="V8" s="0" t="n">
        <v>0.24</v>
      </c>
      <c r="AA8" s="0" t="s">
        <v>17</v>
      </c>
      <c r="AB8" s="0" t="s">
        <v>14</v>
      </c>
      <c r="AC8" s="0" t="n">
        <v>494.4</v>
      </c>
      <c r="AD8" s="0" t="n">
        <v>39.8</v>
      </c>
      <c r="AE8" s="0" t="n">
        <v>24</v>
      </c>
      <c r="AF8" s="0" t="n">
        <v>815.8</v>
      </c>
      <c r="AG8" s="0" t="n">
        <v>5.53</v>
      </c>
      <c r="AH8" s="0" t="n">
        <v>97.6</v>
      </c>
      <c r="AI8" s="0" t="n">
        <v>650.5</v>
      </c>
      <c r="AJ8" s="0" t="n">
        <v>34</v>
      </c>
      <c r="AK8" s="0" t="n">
        <v>31.1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79</v>
      </c>
      <c r="B1" s="2" t="s">
        <v>80</v>
      </c>
    </row>
    <row r="2" customFormat="false" ht="15" hidden="false" customHeight="false" outlineLevel="0" collapsed="false">
      <c r="A2" s="0" t="s">
        <v>81</v>
      </c>
      <c r="B2" s="3" t="n">
        <v>4.51</v>
      </c>
    </row>
    <row r="3" customFormat="false" ht="15" hidden="false" customHeight="false" outlineLevel="0" collapsed="false">
      <c r="A3" s="0" t="s">
        <v>82</v>
      </c>
      <c r="B3" s="3" t="n">
        <v>1918.3</v>
      </c>
    </row>
    <row r="4" customFormat="false" ht="15" hidden="false" customHeight="false" outlineLevel="0" collapsed="false">
      <c r="A4" s="0" t="s">
        <v>83</v>
      </c>
      <c r="B4" s="3" t="n">
        <v>0</v>
      </c>
    </row>
    <row r="5" customFormat="false" ht="15" hidden="false" customHeight="false" outlineLevel="0" collapsed="false">
      <c r="A5" s="0" t="s">
        <v>84</v>
      </c>
      <c r="B5" s="3" t="n">
        <v>0</v>
      </c>
    </row>
    <row r="6" customFormat="false" ht="15" hidden="false" customHeight="false" outlineLevel="0" collapsed="false">
      <c r="A6" s="0" t="s">
        <v>85</v>
      </c>
      <c r="B6" s="3" t="n">
        <v>15</v>
      </c>
    </row>
    <row r="7" customFormat="false" ht="15" hidden="false" customHeight="false" outlineLevel="0" collapsed="false">
      <c r="A7" s="0" t="s">
        <v>86</v>
      </c>
      <c r="B7" s="3" t="n">
        <v>1031.9</v>
      </c>
    </row>
    <row r="8" customFormat="false" ht="15" hidden="false" customHeight="false" outlineLevel="0" collapsed="false">
      <c r="A8" s="0" t="s">
        <v>87</v>
      </c>
      <c r="B8" s="3" t="s">
        <v>78</v>
      </c>
    </row>
    <row r="9" customFormat="false" ht="15" hidden="false" customHeight="false" outlineLevel="0" collapsed="false">
      <c r="A9" s="0" t="s">
        <v>88</v>
      </c>
      <c r="B9" s="3" t="s">
        <v>89</v>
      </c>
    </row>
    <row r="10" customFormat="false" ht="15" hidden="false" customHeight="false" outlineLevel="0" collapsed="false">
      <c r="A10" s="0" t="s">
        <v>90</v>
      </c>
      <c r="B10" s="3" t="n">
        <v>1</v>
      </c>
    </row>
    <row r="12" customFormat="false" ht="15" hidden="false" customHeight="false" outlineLevel="0" collapsed="false">
      <c r="A12" s="2" t="s">
        <v>91</v>
      </c>
      <c r="C12" s="2" t="s">
        <v>92</v>
      </c>
      <c r="D12" s="2" t="s">
        <v>93</v>
      </c>
      <c r="E12" s="2" t="s">
        <v>94</v>
      </c>
      <c r="F12" s="2" t="s">
        <v>95</v>
      </c>
      <c r="G12" s="2" t="s">
        <v>96</v>
      </c>
      <c r="H12" s="2" t="s">
        <v>97</v>
      </c>
      <c r="I12" s="2" t="s">
        <v>98</v>
      </c>
      <c r="J12" s="2" t="s">
        <v>99</v>
      </c>
      <c r="K12" s="2" t="s">
        <v>100</v>
      </c>
      <c r="L12" s="2" t="s">
        <v>101</v>
      </c>
    </row>
    <row r="13" customFormat="false" ht="15" hidden="false" customHeight="false" outlineLevel="0" collapsed="false">
      <c r="A13" s="0" t="s">
        <v>102</v>
      </c>
      <c r="C13" s="3" t="n">
        <v>3</v>
      </c>
      <c r="D13" s="3" t="n">
        <v>1</v>
      </c>
      <c r="E13" s="3" t="n">
        <v>0.5</v>
      </c>
      <c r="F13" s="3" t="n">
        <v>1</v>
      </c>
      <c r="G13" s="3" t="n">
        <v>1.5</v>
      </c>
      <c r="H13" s="3" t="n">
        <v>1.5</v>
      </c>
      <c r="I13" s="3" t="n">
        <v>1.5</v>
      </c>
      <c r="J13" s="3" t="n">
        <v>1.5</v>
      </c>
      <c r="K13" s="3" t="n">
        <v>1.5</v>
      </c>
      <c r="L13" s="3" t="n">
        <v>1.5</v>
      </c>
    </row>
    <row r="14" customFormat="false" ht="15" hidden="false" customHeight="false" outlineLevel="0" collapsed="false">
      <c r="A14" s="0" t="s">
        <v>103</v>
      </c>
      <c r="C14" s="3" t="n">
        <v>62.5</v>
      </c>
      <c r="D14" s="3" t="n">
        <v>62</v>
      </c>
      <c r="E14" s="3" t="n">
        <v>61.5</v>
      </c>
      <c r="F14" s="3" t="n">
        <v>61</v>
      </c>
      <c r="G14" s="3" t="n">
        <v>61</v>
      </c>
      <c r="H14" s="3" t="n">
        <v>61</v>
      </c>
      <c r="I14" s="3" t="n">
        <v>61</v>
      </c>
      <c r="J14" s="3" t="n">
        <v>61</v>
      </c>
      <c r="K14" s="3" t="n">
        <v>61</v>
      </c>
      <c r="L14" s="3" t="n">
        <v>61</v>
      </c>
    </row>
    <row r="15" customFormat="false" ht="15" hidden="false" customHeight="false" outlineLevel="0" collapsed="false">
      <c r="A15" s="0" t="s">
        <v>104</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105</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106</v>
      </c>
      <c r="C17" s="3" t="n">
        <v>0</v>
      </c>
      <c r="D17" s="3" t="n">
        <v>0</v>
      </c>
      <c r="E17" s="3" t="n">
        <v>0</v>
      </c>
      <c r="F17" s="3" t="n">
        <v>0</v>
      </c>
      <c r="G17" s="3" t="n">
        <v>0</v>
      </c>
      <c r="H17" s="3" t="n">
        <v>0</v>
      </c>
      <c r="I17" s="3" t="n">
        <v>0</v>
      </c>
      <c r="J17" s="3" t="n">
        <v>0</v>
      </c>
      <c r="K17" s="3" t="n">
        <v>0</v>
      </c>
      <c r="L17" s="3" t="n">
        <v>0</v>
      </c>
    </row>
    <row r="18" customFormat="false" ht="15" hidden="false" customHeight="false" outlineLevel="0" collapsed="false">
      <c r="A18" s="0" t="s">
        <v>107</v>
      </c>
      <c r="C18" s="3" t="n">
        <v>15.5</v>
      </c>
      <c r="D18" s="3" t="n">
        <v>16</v>
      </c>
      <c r="E18" s="3" t="n">
        <v>16.5</v>
      </c>
      <c r="F18" s="3" t="n">
        <v>16.5</v>
      </c>
      <c r="G18" s="3" t="n">
        <v>16.5</v>
      </c>
      <c r="H18" s="3" t="n">
        <v>16.5</v>
      </c>
      <c r="I18" s="3" t="n">
        <v>16.5</v>
      </c>
      <c r="J18" s="3" t="n">
        <v>16.5</v>
      </c>
      <c r="K18" s="3" t="n">
        <v>16.5</v>
      </c>
      <c r="L18" s="3" t="n">
        <v>16.5</v>
      </c>
    </row>
    <row r="19" customFormat="false" ht="15" hidden="false" customHeight="false" outlineLevel="0" collapsed="false">
      <c r="A19" s="0" t="s">
        <v>108</v>
      </c>
      <c r="C19" s="3" t="n">
        <v>0</v>
      </c>
      <c r="D19" s="3" t="n">
        <v>0</v>
      </c>
      <c r="E19" s="3" t="n">
        <v>0</v>
      </c>
      <c r="F19" s="3" t="n">
        <v>0</v>
      </c>
      <c r="G19" s="3" t="n">
        <v>0</v>
      </c>
      <c r="H19" s="3" t="n">
        <v>0</v>
      </c>
      <c r="I19" s="3" t="n">
        <v>0</v>
      </c>
      <c r="J19" s="3" t="n">
        <v>0</v>
      </c>
      <c r="K19" s="3" t="n">
        <v>0</v>
      </c>
      <c r="L19" s="3" t="n">
        <v>0</v>
      </c>
    </row>
    <row r="20" customFormat="false" ht="15" hidden="false" customHeight="false" outlineLevel="0" collapsed="false">
      <c r="A20" s="0" t="s">
        <v>109</v>
      </c>
      <c r="B20" s="3" t="n">
        <v>9</v>
      </c>
    </row>
    <row r="21" customFormat="false" ht="15" hidden="false" customHeight="false" outlineLevel="0" collapsed="false">
      <c r="A21" s="0" t="s">
        <v>110</v>
      </c>
      <c r="B21" s="3" t="n">
        <v>1.5</v>
      </c>
    </row>
    <row r="22" customFormat="false" ht="15" hidden="false" customHeight="false" outlineLevel="0" collapsed="false">
      <c r="A22" s="0" t="s">
        <v>111</v>
      </c>
      <c r="B22" s="3" t="n">
        <v>14</v>
      </c>
    </row>
    <row r="23" customFormat="false" ht="15" hidden="false" customHeight="false" outlineLevel="0" collapsed="false">
      <c r="A23" s="0" t="s">
        <v>112</v>
      </c>
      <c r="B23" s="3" t="n">
        <v>0</v>
      </c>
    </row>
    <row r="24" customFormat="false" ht="15" hidden="false" customHeight="false" outlineLevel="0" collapsed="false">
      <c r="A24" s="0" t="s">
        <v>113</v>
      </c>
      <c r="B24" s="3" t="n">
        <v>0.25</v>
      </c>
    </row>
    <row r="26" customFormat="false" ht="15" hidden="false" customHeight="false" outlineLevel="0" collapsed="false">
      <c r="A26" s="2" t="s">
        <v>114</v>
      </c>
      <c r="C26" s="2" t="s">
        <v>92</v>
      </c>
      <c r="D26" s="2" t="s">
        <v>93</v>
      </c>
      <c r="E26" s="2" t="s">
        <v>94</v>
      </c>
      <c r="F26" s="2" t="s">
        <v>95</v>
      </c>
      <c r="G26" s="2" t="s">
        <v>96</v>
      </c>
      <c r="H26" s="2" t="s">
        <v>97</v>
      </c>
      <c r="I26" s="2" t="s">
        <v>98</v>
      </c>
      <c r="J26" s="2" t="s">
        <v>99</v>
      </c>
      <c r="K26" s="2" t="s">
        <v>100</v>
      </c>
      <c r="L26" s="2" t="s">
        <v>101</v>
      </c>
    </row>
    <row r="27" customFormat="false" ht="15" hidden="false" customHeight="false" outlineLevel="0" collapsed="false">
      <c r="A27" s="0" t="s">
        <v>102</v>
      </c>
      <c r="C27" s="3" t="n">
        <v>4</v>
      </c>
      <c r="D27" s="3" t="n">
        <v>4</v>
      </c>
      <c r="E27" s="3" t="n">
        <v>3.5</v>
      </c>
      <c r="F27" s="3" t="n">
        <v>3.5</v>
      </c>
      <c r="G27" s="3" t="n">
        <v>3</v>
      </c>
      <c r="H27" s="3" t="n">
        <v>3</v>
      </c>
      <c r="I27" s="3" t="n">
        <v>3</v>
      </c>
      <c r="J27" s="3" t="n">
        <v>2.5</v>
      </c>
      <c r="K27" s="3" t="n">
        <v>2.5</v>
      </c>
      <c r="L27" s="3" t="n">
        <v>2.5</v>
      </c>
    </row>
    <row r="28" customFormat="false" ht="15" hidden="false" customHeight="false" outlineLevel="0" collapsed="false">
      <c r="A28" s="0" t="s">
        <v>103</v>
      </c>
      <c r="C28" s="3" t="n">
        <v>63</v>
      </c>
      <c r="D28" s="3" t="n">
        <v>63</v>
      </c>
      <c r="E28" s="3" t="n">
        <v>63</v>
      </c>
      <c r="F28" s="3" t="n">
        <v>63</v>
      </c>
      <c r="G28" s="3" t="n">
        <v>63</v>
      </c>
      <c r="H28" s="3" t="n">
        <v>63</v>
      </c>
      <c r="I28" s="3" t="n">
        <v>63</v>
      </c>
      <c r="J28" s="3" t="n">
        <v>63</v>
      </c>
      <c r="K28" s="3" t="n">
        <v>63</v>
      </c>
      <c r="L28" s="3" t="n">
        <v>63</v>
      </c>
    </row>
    <row r="29" customFormat="false" ht="15" hidden="false" customHeight="false" outlineLevel="0" collapsed="false">
      <c r="A29" s="0" t="s">
        <v>104</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105</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106</v>
      </c>
      <c r="C31" s="3" t="n">
        <v>0</v>
      </c>
      <c r="D31" s="3" t="n">
        <v>0</v>
      </c>
      <c r="E31" s="3" t="n">
        <v>0</v>
      </c>
      <c r="F31" s="3" t="n">
        <v>0</v>
      </c>
      <c r="G31" s="3" t="n">
        <v>0</v>
      </c>
      <c r="H31" s="3" t="n">
        <v>0</v>
      </c>
      <c r="I31" s="3" t="n">
        <v>0</v>
      </c>
      <c r="J31" s="3" t="n">
        <v>0</v>
      </c>
      <c r="K31" s="3" t="n">
        <v>0</v>
      </c>
      <c r="L31" s="3" t="n">
        <v>0</v>
      </c>
    </row>
    <row r="32" customFormat="false" ht="15" hidden="false" customHeight="false" outlineLevel="0" collapsed="false">
      <c r="A32" s="0" t="s">
        <v>107</v>
      </c>
      <c r="C32" s="3" t="n">
        <v>15.3</v>
      </c>
      <c r="D32" s="3" t="n">
        <v>15.3</v>
      </c>
      <c r="E32" s="3" t="n">
        <v>15.3</v>
      </c>
      <c r="F32" s="3" t="n">
        <v>15.3</v>
      </c>
      <c r="G32" s="3" t="n">
        <v>15.3</v>
      </c>
      <c r="H32" s="3" t="n">
        <v>15.3</v>
      </c>
      <c r="I32" s="3" t="n">
        <v>15.3</v>
      </c>
      <c r="J32" s="3" t="n">
        <v>15.3</v>
      </c>
      <c r="K32" s="3" t="n">
        <v>15.3</v>
      </c>
      <c r="L32" s="3" t="n">
        <v>15.3</v>
      </c>
    </row>
    <row r="33" customFormat="false" ht="15" hidden="false" customHeight="false" outlineLevel="0" collapsed="false">
      <c r="A33" s="0" t="s">
        <v>108</v>
      </c>
      <c r="C33" s="3" t="n">
        <v>0</v>
      </c>
      <c r="D33" s="3" t="n">
        <v>0</v>
      </c>
      <c r="E33" s="3" t="n">
        <v>0</v>
      </c>
      <c r="F33" s="3" t="n">
        <v>0</v>
      </c>
      <c r="G33" s="3" t="n">
        <v>0</v>
      </c>
      <c r="H33" s="3" t="n">
        <v>0</v>
      </c>
      <c r="I33" s="3" t="n">
        <v>0</v>
      </c>
      <c r="J33" s="3" t="n">
        <v>0</v>
      </c>
      <c r="K33" s="3" t="n">
        <v>0</v>
      </c>
      <c r="L33" s="3" t="n">
        <v>0</v>
      </c>
    </row>
    <row r="34" customFormat="false" ht="15" hidden="false" customHeight="false" outlineLevel="0" collapsed="false">
      <c r="A34" s="0" t="s">
        <v>109</v>
      </c>
      <c r="B34" s="3" t="n">
        <v>9</v>
      </c>
    </row>
    <row r="35" customFormat="false" ht="15" hidden="false" customHeight="false" outlineLevel="0" collapsed="false">
      <c r="A35" s="0" t="s">
        <v>110</v>
      </c>
      <c r="B35" s="3" t="n">
        <v>2.5</v>
      </c>
    </row>
    <row r="36" customFormat="false" ht="15" hidden="false" customHeight="false" outlineLevel="0" collapsed="false">
      <c r="A36" s="0" t="s">
        <v>111</v>
      </c>
      <c r="B36" s="3" t="n">
        <v>18</v>
      </c>
    </row>
    <row r="37" customFormat="false" ht="15" hidden="false" customHeight="false" outlineLevel="0" collapsed="false">
      <c r="A37" s="0" t="s">
        <v>112</v>
      </c>
      <c r="B37" s="3" t="n">
        <v>0</v>
      </c>
    </row>
    <row r="38" customFormat="false" ht="15" hidden="false" customHeight="false" outlineLevel="0" collapsed="false">
      <c r="A38" s="0" t="s">
        <v>113</v>
      </c>
      <c r="B38" s="3" t="n">
        <v>0.5</v>
      </c>
    </row>
    <row r="40" customFormat="false" ht="15" hidden="false" customHeight="false" outlineLevel="0" collapsed="false">
      <c r="A40" s="2" t="s">
        <v>115</v>
      </c>
      <c r="C40" s="2" t="s">
        <v>92</v>
      </c>
      <c r="D40" s="2" t="s">
        <v>93</v>
      </c>
      <c r="E40" s="2" t="s">
        <v>94</v>
      </c>
      <c r="F40" s="2" t="s">
        <v>95</v>
      </c>
      <c r="G40" s="2" t="s">
        <v>96</v>
      </c>
      <c r="H40" s="2" t="s">
        <v>97</v>
      </c>
      <c r="I40" s="2" t="s">
        <v>98</v>
      </c>
      <c r="J40" s="2" t="s">
        <v>99</v>
      </c>
      <c r="K40" s="2" t="s">
        <v>100</v>
      </c>
      <c r="L40" s="2" t="s">
        <v>101</v>
      </c>
    </row>
    <row r="41" customFormat="false" ht="15" hidden="false" customHeight="false" outlineLevel="0" collapsed="false">
      <c r="A41" s="0" t="s">
        <v>102</v>
      </c>
      <c r="C41" s="3" t="n">
        <v>5.5</v>
      </c>
      <c r="D41" s="3" t="n">
        <v>5</v>
      </c>
      <c r="E41" s="3" t="n">
        <v>4.5</v>
      </c>
      <c r="F41" s="3" t="n">
        <v>4.5</v>
      </c>
      <c r="G41" s="3" t="n">
        <v>4</v>
      </c>
      <c r="H41" s="3" t="n">
        <v>4</v>
      </c>
      <c r="I41" s="3" t="n">
        <v>3.5</v>
      </c>
      <c r="J41" s="3" t="n">
        <v>3</v>
      </c>
      <c r="K41" s="3" t="n">
        <v>3</v>
      </c>
      <c r="L41" s="3" t="n">
        <v>3</v>
      </c>
    </row>
    <row r="42" customFormat="false" ht="15" hidden="false" customHeight="false" outlineLevel="0" collapsed="false">
      <c r="A42" s="0" t="s">
        <v>103</v>
      </c>
      <c r="C42" s="3" t="n">
        <v>63.2</v>
      </c>
      <c r="D42" s="3" t="n">
        <v>63.5</v>
      </c>
      <c r="E42" s="3" t="n">
        <v>63.8</v>
      </c>
      <c r="F42" s="3" t="n">
        <v>64</v>
      </c>
      <c r="G42" s="3" t="n">
        <v>64.2</v>
      </c>
      <c r="H42" s="3" t="n">
        <v>64.5</v>
      </c>
      <c r="I42" s="3" t="n">
        <v>64.5</v>
      </c>
      <c r="J42" s="3" t="n">
        <v>64.5</v>
      </c>
      <c r="K42" s="3" t="n">
        <v>64.5</v>
      </c>
      <c r="L42" s="3" t="n">
        <v>64.5</v>
      </c>
    </row>
    <row r="43" customFormat="false" ht="15" hidden="false" customHeight="false" outlineLevel="0" collapsed="false">
      <c r="A43" s="0" t="s">
        <v>104</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105</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106</v>
      </c>
      <c r="C45" s="3" t="n">
        <v>0</v>
      </c>
      <c r="D45" s="3" t="n">
        <v>0</v>
      </c>
      <c r="E45" s="3" t="n">
        <v>0</v>
      </c>
      <c r="F45" s="3" t="n">
        <v>0</v>
      </c>
      <c r="G45" s="3" t="n">
        <v>0</v>
      </c>
      <c r="H45" s="3" t="n">
        <v>0</v>
      </c>
      <c r="I45" s="3" t="n">
        <v>0</v>
      </c>
      <c r="J45" s="3" t="n">
        <v>0</v>
      </c>
      <c r="K45" s="3" t="n">
        <v>0</v>
      </c>
      <c r="L45" s="3" t="n">
        <v>0</v>
      </c>
    </row>
    <row r="46" customFormat="false" ht="15" hidden="false" customHeight="false" outlineLevel="0" collapsed="false">
      <c r="A46" s="0" t="s">
        <v>107</v>
      </c>
      <c r="C46" s="3" t="n">
        <v>15</v>
      </c>
      <c r="D46" s="3" t="n">
        <v>15</v>
      </c>
      <c r="E46" s="3" t="n">
        <v>14.8</v>
      </c>
      <c r="F46" s="3" t="n">
        <v>14.8</v>
      </c>
      <c r="G46" s="3" t="n">
        <v>14.5</v>
      </c>
      <c r="H46" s="3" t="n">
        <v>14.5</v>
      </c>
      <c r="I46" s="3" t="n">
        <v>14.5</v>
      </c>
      <c r="J46" s="3" t="n">
        <v>14.5</v>
      </c>
      <c r="K46" s="3" t="n">
        <v>14.5</v>
      </c>
      <c r="L46" s="3" t="n">
        <v>14.5</v>
      </c>
    </row>
    <row r="47" customFormat="false" ht="15" hidden="false" customHeight="false" outlineLevel="0" collapsed="false">
      <c r="A47" s="0" t="s">
        <v>108</v>
      </c>
      <c r="C47" s="3" t="n">
        <v>0</v>
      </c>
      <c r="D47" s="3" t="n">
        <v>0</v>
      </c>
      <c r="E47" s="3" t="n">
        <v>0</v>
      </c>
      <c r="F47" s="3" t="n">
        <v>0</v>
      </c>
      <c r="G47" s="3" t="n">
        <v>0</v>
      </c>
      <c r="H47" s="3" t="n">
        <v>0</v>
      </c>
      <c r="I47" s="3" t="n">
        <v>0</v>
      </c>
      <c r="J47" s="3" t="n">
        <v>0</v>
      </c>
      <c r="K47" s="3" t="n">
        <v>0</v>
      </c>
      <c r="L47" s="3" t="n">
        <v>0</v>
      </c>
    </row>
    <row r="48" customFormat="false" ht="15" hidden="false" customHeight="false" outlineLevel="0" collapsed="false">
      <c r="A48" s="0" t="s">
        <v>109</v>
      </c>
      <c r="B48" s="3" t="n">
        <v>9</v>
      </c>
    </row>
    <row r="49" customFormat="false" ht="15" hidden="false" customHeight="false" outlineLevel="0" collapsed="false">
      <c r="A49" s="0" t="s">
        <v>110</v>
      </c>
      <c r="B49" s="3" t="n">
        <v>3</v>
      </c>
    </row>
    <row r="50" customFormat="false" ht="15" hidden="false" customHeight="false" outlineLevel="0" collapsed="false">
      <c r="A50" s="0" t="s">
        <v>111</v>
      </c>
      <c r="B50" s="3" t="n">
        <v>18</v>
      </c>
    </row>
    <row r="51" customFormat="false" ht="15" hidden="false" customHeight="false" outlineLevel="0" collapsed="false">
      <c r="A51" s="0" t="s">
        <v>112</v>
      </c>
      <c r="B51" s="3" t="n">
        <v>0</v>
      </c>
    </row>
    <row r="52" customFormat="false" ht="15" hidden="false" customHeight="false" outlineLevel="0" collapsed="false">
      <c r="A52" s="0" t="s">
        <v>113</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116</v>
      </c>
    </row>
    <row r="3" customFormat="false" ht="15" hidden="false" customHeight="false" outlineLevel="0" collapsed="false">
      <c r="A3" s="0" t="s">
        <v>117</v>
      </c>
      <c r="B3" s="0" t="s">
        <v>78</v>
      </c>
      <c r="C3" s="2" t="s">
        <v>92</v>
      </c>
      <c r="D3" s="2" t="s">
        <v>93</v>
      </c>
      <c r="E3" s="2" t="s">
        <v>94</v>
      </c>
      <c r="F3" s="2" t="s">
        <v>95</v>
      </c>
      <c r="G3" s="2" t="s">
        <v>96</v>
      </c>
      <c r="H3" s="2" t="s">
        <v>97</v>
      </c>
      <c r="I3" s="2" t="s">
        <v>98</v>
      </c>
      <c r="J3" s="2" t="s">
        <v>99</v>
      </c>
      <c r="K3" s="2" t="s">
        <v>100</v>
      </c>
      <c r="L3" s="2" t="s">
        <v>101</v>
      </c>
    </row>
    <row r="4" customFormat="false" ht="15" hidden="false" customHeight="false" outlineLevel="0" collapsed="false">
      <c r="A4" s="0" t="s">
        <v>118</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102</v>
      </c>
      <c r="C5" s="4" t="n">
        <f aca="false">Assumptions!C13</f>
        <v>3</v>
      </c>
      <c r="D5" s="4" t="n">
        <f aca="false">Assumptions!D13</f>
        <v>1</v>
      </c>
      <c r="E5" s="4" t="n">
        <f aca="false">Assumptions!E13</f>
        <v>0.5</v>
      </c>
      <c r="F5" s="4" t="n">
        <f aca="false">Assumptions!F13</f>
        <v>1</v>
      </c>
      <c r="G5" s="4" t="n">
        <f aca="false">Assumptions!G13</f>
        <v>1.5</v>
      </c>
      <c r="H5" s="4" t="n">
        <f aca="false">Assumptions!H13</f>
        <v>1.5</v>
      </c>
      <c r="I5" s="4" t="n">
        <f aca="false">Assumptions!I13</f>
        <v>1.5</v>
      </c>
      <c r="J5" s="4" t="n">
        <f aca="false">Assumptions!J13</f>
        <v>1.5</v>
      </c>
      <c r="K5" s="4" t="n">
        <f aca="false">Assumptions!K13</f>
        <v>1.5</v>
      </c>
      <c r="L5" s="4" t="n">
        <f aca="false">Assumptions!L13</f>
        <v>1.5</v>
      </c>
    </row>
    <row r="6" customFormat="false" ht="15" hidden="false" customHeight="false" outlineLevel="0" collapsed="false">
      <c r="A6" s="0" t="s">
        <v>37</v>
      </c>
      <c r="B6" s="3" t="n">
        <v>1031.9</v>
      </c>
      <c r="C6" s="0" t="n">
        <f aca="false">B6*(1+C5/100)</f>
        <v>1062.857</v>
      </c>
      <c r="D6" s="0" t="n">
        <f aca="false">C6*(1+D5/100)</f>
        <v>1073.48557</v>
      </c>
      <c r="E6" s="0" t="n">
        <f aca="false">D6*(1+E5/100)</f>
        <v>1078.85299785</v>
      </c>
      <c r="F6" s="0" t="n">
        <f aca="false">E6*(1+F5/100)</f>
        <v>1089.6415278285</v>
      </c>
      <c r="G6" s="0" t="n">
        <f aca="false">F6*(1+G5/100)</f>
        <v>1105.98615074593</v>
      </c>
      <c r="H6" s="0" t="n">
        <f aca="false">G6*(1+H5/100)</f>
        <v>1122.57594300712</v>
      </c>
      <c r="I6" s="0" t="n">
        <f aca="false">H6*(1+I5/100)</f>
        <v>1139.41458215222</v>
      </c>
      <c r="J6" s="0" t="n">
        <f aca="false">I6*(1+J5/100)</f>
        <v>1156.50580088451</v>
      </c>
      <c r="K6" s="0" t="n">
        <f aca="false">J6*(1+K5/100)</f>
        <v>1173.85338789777</v>
      </c>
      <c r="L6" s="0" t="n">
        <f aca="false">K6*(1+L5/100)</f>
        <v>1191.46118871624</v>
      </c>
    </row>
    <row r="7" customFormat="false" ht="15" hidden="false" customHeight="false" outlineLevel="0" collapsed="false">
      <c r="A7" s="0" t="s">
        <v>103</v>
      </c>
      <c r="C7" s="4" t="n">
        <f aca="false">Assumptions!C14</f>
        <v>62.5</v>
      </c>
      <c r="D7" s="4" t="n">
        <f aca="false">Assumptions!D14</f>
        <v>62</v>
      </c>
      <c r="E7" s="4" t="n">
        <f aca="false">Assumptions!E14</f>
        <v>61.5</v>
      </c>
      <c r="F7" s="4" t="n">
        <f aca="false">Assumptions!F14</f>
        <v>61</v>
      </c>
      <c r="G7" s="4" t="n">
        <f aca="false">Assumptions!G14</f>
        <v>61</v>
      </c>
      <c r="H7" s="4" t="n">
        <f aca="false">Assumptions!H14</f>
        <v>61</v>
      </c>
      <c r="I7" s="4" t="n">
        <f aca="false">Assumptions!I14</f>
        <v>61</v>
      </c>
      <c r="J7" s="4" t="n">
        <f aca="false">Assumptions!J14</f>
        <v>61</v>
      </c>
      <c r="K7" s="4" t="n">
        <f aca="false">Assumptions!K14</f>
        <v>61</v>
      </c>
      <c r="L7" s="4" t="n">
        <f aca="false">Assumptions!L14</f>
        <v>61</v>
      </c>
    </row>
    <row r="8" customFormat="false" ht="15" hidden="false" customHeight="false" outlineLevel="0" collapsed="false">
      <c r="A8" s="0" t="s">
        <v>43</v>
      </c>
      <c r="C8" s="0" t="n">
        <f aca="false">C6*C7/100</f>
        <v>664.285625</v>
      </c>
      <c r="D8" s="0" t="n">
        <f aca="false">D6*D7/100</f>
        <v>665.5610534</v>
      </c>
      <c r="E8" s="0" t="n">
        <f aca="false">E6*E7/100</f>
        <v>663.49459367775</v>
      </c>
      <c r="F8" s="0" t="n">
        <f aca="false">F6*F7/100</f>
        <v>664.681331975385</v>
      </c>
      <c r="G8" s="0" t="n">
        <f aca="false">G6*G7/100</f>
        <v>674.651551955016</v>
      </c>
      <c r="H8" s="0" t="n">
        <f aca="false">H6*H7/100</f>
        <v>684.771325234341</v>
      </c>
      <c r="I8" s="0" t="n">
        <f aca="false">I6*I7/100</f>
        <v>695.042895112856</v>
      </c>
      <c r="J8" s="0" t="n">
        <f aca="false">J6*J7/100</f>
        <v>705.468538539549</v>
      </c>
      <c r="K8" s="0" t="n">
        <f aca="false">K6*K7/100</f>
        <v>716.050566617642</v>
      </c>
      <c r="L8" s="0" t="n">
        <f aca="false">L6*L7/100</f>
        <v>726.791325116907</v>
      </c>
    </row>
    <row r="9" customFormat="false" ht="15" hidden="false" customHeight="false" outlineLevel="0" collapsed="false">
      <c r="A9" s="0" t="s">
        <v>104</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119</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120</v>
      </c>
      <c r="C11" s="0" t="n">
        <f aca="false">C8+C10+C24</f>
        <v>664.285625</v>
      </c>
      <c r="D11" s="0" t="n">
        <f aca="false">D8+D10+D24</f>
        <v>665.5610534</v>
      </c>
      <c r="E11" s="0" t="n">
        <f aca="false">E8+E10+E24</f>
        <v>663.49459367775</v>
      </c>
      <c r="F11" s="0" t="n">
        <f aca="false">F8+F10+F24</f>
        <v>664.681331975385</v>
      </c>
      <c r="G11" s="0" t="n">
        <f aca="false">G8+G10+G24</f>
        <v>674.651551955016</v>
      </c>
      <c r="H11" s="0" t="n">
        <f aca="false">H8+H10+H24</f>
        <v>684.771325234341</v>
      </c>
      <c r="I11" s="0" t="n">
        <f aca="false">I8+I10+I24</f>
        <v>695.042895112856</v>
      </c>
      <c r="J11" s="0" t="n">
        <f aca="false">J8+J10+J24</f>
        <v>705.468538539549</v>
      </c>
      <c r="K11" s="0" t="n">
        <f aca="false">K8+K10+K24</f>
        <v>716.050566617642</v>
      </c>
      <c r="L11" s="0" t="n">
        <f aca="false">L8+L10+L24</f>
        <v>726.791325116907</v>
      </c>
    </row>
    <row r="12" customFormat="false" ht="15" hidden="false" customHeight="false" outlineLevel="0" collapsed="false">
      <c r="A12" s="0" t="s">
        <v>121</v>
      </c>
      <c r="C12" s="4" t="n">
        <f aca="false">-C6*Assumptions!C17/100</f>
        <v>-0</v>
      </c>
      <c r="D12" s="4" t="n">
        <f aca="false">-D6*Assumptions!D17/100</f>
        <v>-0</v>
      </c>
      <c r="E12" s="4" t="n">
        <f aca="false">-E6*Assumptions!E17/100</f>
        <v>-0</v>
      </c>
      <c r="F12" s="4" t="n">
        <f aca="false">-F6*Assumptions!F17/100</f>
        <v>-0</v>
      </c>
      <c r="G12" s="4" t="n">
        <f aca="false">-G6*Assumptions!G17/100</f>
        <v>-0</v>
      </c>
      <c r="H12" s="4" t="n">
        <f aca="false">-H6*Assumptions!H17/100</f>
        <v>-0</v>
      </c>
      <c r="I12" s="4" t="n">
        <f aca="false">-I6*Assumptions!I17/100</f>
        <v>-0</v>
      </c>
      <c r="J12" s="4" t="n">
        <f aca="false">-J6*Assumptions!J17/100</f>
        <v>-0</v>
      </c>
      <c r="K12" s="4" t="n">
        <f aca="false">-K6*Assumptions!K17/100</f>
        <v>-0</v>
      </c>
      <c r="L12" s="4" t="n">
        <f aca="false">-L6*Assumptions!L17/100</f>
        <v>-0</v>
      </c>
    </row>
    <row r="13" customFormat="false" ht="15" hidden="false" customHeight="false" outlineLevel="0" collapsed="false">
      <c r="A13" s="0" t="s">
        <v>122</v>
      </c>
      <c r="C13" s="0" t="n">
        <f aca="false">C11+C12</f>
        <v>664.285625</v>
      </c>
      <c r="D13" s="0" t="n">
        <f aca="false">D11+D12</f>
        <v>665.5610534</v>
      </c>
      <c r="E13" s="0" t="n">
        <f aca="false">E11+E12</f>
        <v>663.49459367775</v>
      </c>
      <c r="F13" s="0" t="n">
        <f aca="false">F11+F12</f>
        <v>664.681331975385</v>
      </c>
      <c r="G13" s="0" t="n">
        <f aca="false">G11+G12</f>
        <v>674.651551955016</v>
      </c>
      <c r="H13" s="0" t="n">
        <f aca="false">H11+H12</f>
        <v>684.771325234341</v>
      </c>
      <c r="I13" s="0" t="n">
        <f aca="false">I11+I12</f>
        <v>695.042895112856</v>
      </c>
      <c r="J13" s="0" t="n">
        <f aca="false">J11+J12</f>
        <v>705.468538539549</v>
      </c>
      <c r="K13" s="0" t="n">
        <f aca="false">K11+K12</f>
        <v>716.050566617642</v>
      </c>
      <c r="L13" s="0" t="n">
        <f aca="false">L11+L12</f>
        <v>726.791325116907</v>
      </c>
    </row>
    <row r="14" customFormat="false" ht="15" hidden="false" customHeight="false" outlineLevel="0" collapsed="false">
      <c r="A14" s="0" t="s">
        <v>108</v>
      </c>
      <c r="C14" s="4" t="n">
        <f aca="false">Assumptions!C19</f>
        <v>0</v>
      </c>
      <c r="D14" s="4" t="n">
        <f aca="false">Assumptions!D19</f>
        <v>0</v>
      </c>
      <c r="E14" s="4" t="n">
        <f aca="false">Assumptions!E19</f>
        <v>0</v>
      </c>
      <c r="F14" s="4" t="n">
        <f aca="false">Assumptions!F19</f>
        <v>0</v>
      </c>
      <c r="G14" s="4" t="n">
        <f aca="false">Assumptions!G19</f>
        <v>0</v>
      </c>
      <c r="H14" s="4" t="n">
        <f aca="false">Assumptions!H19</f>
        <v>0</v>
      </c>
      <c r="I14" s="4" t="n">
        <f aca="false">Assumptions!I19</f>
        <v>0</v>
      </c>
      <c r="J14" s="4" t="n">
        <f aca="false">Assumptions!J19</f>
        <v>0</v>
      </c>
      <c r="K14" s="4" t="n">
        <f aca="false">Assumptions!K19</f>
        <v>0</v>
      </c>
      <c r="L14" s="4" t="n">
        <f aca="false">Assumptions!L19</f>
        <v>0</v>
      </c>
    </row>
    <row r="15" customFormat="false" ht="15" hidden="false" customHeight="false" outlineLevel="0" collapsed="false">
      <c r="A15" s="0" t="s">
        <v>123</v>
      </c>
      <c r="C15" s="0" t="n">
        <f aca="false">C13-MAX(0,C13)*C14/100</f>
        <v>664.285625</v>
      </c>
      <c r="D15" s="0" t="n">
        <f aca="false">D13-MAX(0,D13)*D14/100</f>
        <v>665.5610534</v>
      </c>
      <c r="E15" s="0" t="n">
        <f aca="false">E13-MAX(0,E13)*E14/100</f>
        <v>663.49459367775</v>
      </c>
      <c r="F15" s="0" t="n">
        <f aca="false">F13-MAX(0,F13)*F14/100</f>
        <v>664.681331975385</v>
      </c>
      <c r="G15" s="0" t="n">
        <f aca="false">G13-MAX(0,G13)*G14/100</f>
        <v>674.651551955016</v>
      </c>
      <c r="H15" s="0" t="n">
        <f aca="false">H13-MAX(0,H13)*H14/100</f>
        <v>684.771325234341</v>
      </c>
      <c r="I15" s="0" t="n">
        <f aca="false">I13-MAX(0,I13)*I14/100</f>
        <v>695.042895112856</v>
      </c>
      <c r="J15" s="0" t="n">
        <f aca="false">J13-MAX(0,J13)*J14/100</f>
        <v>705.468538539549</v>
      </c>
      <c r="K15" s="0" t="n">
        <f aca="false">K13-MAX(0,K13)*K14/100</f>
        <v>716.050566617642</v>
      </c>
      <c r="L15" s="0" t="n">
        <f aca="false">L13-MAX(0,L13)*L14/100</f>
        <v>726.791325116907</v>
      </c>
    </row>
    <row r="16" customFormat="false" ht="15" hidden="false" customHeight="false" outlineLevel="0" collapsed="false">
      <c r="A16" s="0" t="s">
        <v>124</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125</v>
      </c>
      <c r="C17" s="4" t="n">
        <f aca="false">-C6*Assumptions!C18/100</f>
        <v>-164.742835</v>
      </c>
      <c r="D17" s="4" t="n">
        <f aca="false">-D6*Assumptions!D18/100</f>
        <v>-171.7576912</v>
      </c>
      <c r="E17" s="4" t="n">
        <f aca="false">-E6*Assumptions!E18/100</f>
        <v>-178.01074464525</v>
      </c>
      <c r="F17" s="4" t="n">
        <f aca="false">-F6*Assumptions!F18/100</f>
        <v>-179.790852091703</v>
      </c>
      <c r="G17" s="4" t="n">
        <f aca="false">-G6*Assumptions!G18/100</f>
        <v>-182.487714873078</v>
      </c>
      <c r="H17" s="4" t="n">
        <f aca="false">-H6*Assumptions!H18/100</f>
        <v>-185.225030596174</v>
      </c>
      <c r="I17" s="4" t="n">
        <f aca="false">-I6*Assumptions!I18/100</f>
        <v>-188.003406055117</v>
      </c>
      <c r="J17" s="4" t="n">
        <f aca="false">-J6*Assumptions!J18/100</f>
        <v>-190.823457145944</v>
      </c>
      <c r="K17" s="4" t="n">
        <f aca="false">-K6*Assumptions!K18/100</f>
        <v>-193.685809003133</v>
      </c>
      <c r="L17" s="4" t="n">
        <f aca="false">-L6*Assumptions!L18/100</f>
        <v>-196.59109613818</v>
      </c>
    </row>
    <row r="18" customFormat="false" ht="15" hidden="false" customHeight="false" outlineLevel="0" collapsed="false">
      <c r="A18" s="0" t="s">
        <v>126</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127</v>
      </c>
      <c r="C19" s="0" t="n">
        <f aca="false">C15+C16+C17+C18</f>
        <v>499.54279</v>
      </c>
      <c r="D19" s="0" t="n">
        <f aca="false">D15+D16+D17+D18</f>
        <v>493.8033622</v>
      </c>
      <c r="E19" s="0" t="n">
        <f aca="false">E15+E16+E17+E18</f>
        <v>485.4838490325</v>
      </c>
      <c r="F19" s="0" t="n">
        <f aca="false">F15+F16+F17+F18</f>
        <v>484.890479883683</v>
      </c>
      <c r="G19" s="0" t="n">
        <f aca="false">G15+G16+G17+G18</f>
        <v>492.163837081938</v>
      </c>
      <c r="H19" s="0" t="n">
        <f aca="false">H15+H16+H17+H18</f>
        <v>499.546294638167</v>
      </c>
      <c r="I19" s="0" t="n">
        <f aca="false">I15+I16+I17+I18</f>
        <v>507.039489057739</v>
      </c>
      <c r="J19" s="0" t="n">
        <f aca="false">J15+J16+J17+J18</f>
        <v>514.645081393605</v>
      </c>
      <c r="K19" s="0" t="n">
        <f aca="false">K15+K16+K17+K18</f>
        <v>522.364757614509</v>
      </c>
      <c r="L19" s="0" t="n">
        <f aca="false">L15+L16+L17+L18</f>
        <v>530.200228978727</v>
      </c>
    </row>
    <row r="20" customFormat="false" ht="15" hidden="false" customHeight="false" outlineLevel="0" collapsed="false">
      <c r="A20" s="0" t="s">
        <v>128</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129</v>
      </c>
      <c r="C21" s="0" t="n">
        <f aca="false">C19*C20</f>
        <v>458.296137614679</v>
      </c>
      <c r="D21" s="0" t="n">
        <f aca="false">D19*D20</f>
        <v>415.624410571501</v>
      </c>
      <c r="E21" s="0" t="n">
        <f aca="false">E19*E20</f>
        <v>374.882608059356</v>
      </c>
      <c r="F21" s="0" t="n">
        <f aca="false">F19*F20</f>
        <v>343.508640555102</v>
      </c>
      <c r="G21" s="0" t="n">
        <f aca="false">G19*G20</f>
        <v>319.872724920577</v>
      </c>
      <c r="H21" s="0" t="n">
        <f aca="false">H19*H20</f>
        <v>297.863133756317</v>
      </c>
      <c r="I21" s="0" t="n">
        <f aca="false">I19*I20</f>
        <v>277.367964002442</v>
      </c>
      <c r="J21" s="0" t="n">
        <f aca="false">J19*J20</f>
        <v>258.283012350898</v>
      </c>
      <c r="K21" s="0" t="n">
        <f aca="false">K19*K20</f>
        <v>240.511245446019</v>
      </c>
      <c r="L21" s="0" t="n">
        <f aca="false">L19*L20</f>
        <v>223.962306539183</v>
      </c>
    </row>
    <row r="23" customFormat="false" ht="15" hidden="false" customHeight="false" outlineLevel="0" collapsed="false">
      <c r="A23" s="0" t="s">
        <v>105</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130</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131</v>
      </c>
    </row>
    <row r="27" customFormat="false" ht="15" hidden="false" customHeight="false" outlineLevel="0" collapsed="false">
      <c r="A27" s="0" t="s">
        <v>109</v>
      </c>
      <c r="B27" s="4" t="n">
        <f aca="false">Assumptions!$B$20</f>
        <v>9</v>
      </c>
    </row>
    <row r="28" customFormat="false" ht="15" hidden="false" customHeight="false" outlineLevel="0" collapsed="false">
      <c r="A28" s="0" t="s">
        <v>110</v>
      </c>
      <c r="B28" s="4" t="n">
        <f aca="false">Assumptions!$B$21</f>
        <v>1.5</v>
      </c>
    </row>
    <row r="29" customFormat="false" ht="15" hidden="false" customHeight="false" outlineLevel="0" collapsed="false">
      <c r="A29" s="0" t="s">
        <v>111</v>
      </c>
      <c r="B29" s="4" t="n">
        <f aca="false">Assumptions!$B$22</f>
        <v>14</v>
      </c>
    </row>
    <row r="30" customFormat="false" ht="15" hidden="false" customHeight="false" outlineLevel="0" collapsed="false">
      <c r="A30" s="0" t="s">
        <v>132</v>
      </c>
      <c r="B30" s="0" t="n">
        <f aca="false">SUM(C21:L21)</f>
        <v>3210.17218381607</v>
      </c>
    </row>
    <row r="31" customFormat="false" ht="15" hidden="false" customHeight="false" outlineLevel="0" collapsed="false">
      <c r="A31" s="0" t="s">
        <v>133</v>
      </c>
      <c r="B31" s="0" t="n">
        <f aca="false">L19</f>
        <v>530.200228978727</v>
      </c>
    </row>
    <row r="32" customFormat="false" ht="15" hidden="false" customHeight="false" outlineLevel="0" collapsed="false">
      <c r="A32" s="0" t="s">
        <v>134</v>
      </c>
      <c r="B32" s="0" t="n">
        <f aca="false">IF(B27&gt;B28,B31*(1+B28/100)/((B27-B28)/100),B31*B29)</f>
        <v>7175.37643217877</v>
      </c>
    </row>
    <row r="33" customFormat="false" ht="15" hidden="false" customHeight="false" outlineLevel="0" collapsed="false">
      <c r="A33" s="0" t="s">
        <v>135</v>
      </c>
      <c r="B33" s="0" t="n">
        <f aca="false">B31*B29</f>
        <v>7422.80320570218</v>
      </c>
    </row>
    <row r="34" customFormat="false" ht="15" hidden="false" customHeight="false" outlineLevel="0" collapsed="false">
      <c r="A34" s="0" t="s">
        <v>136</v>
      </c>
      <c r="B34" s="0" t="n">
        <f aca="false">MAX(0,MIN(B32,B33))</f>
        <v>7175.37643217877</v>
      </c>
    </row>
    <row r="35" customFormat="false" ht="15" hidden="false" customHeight="false" outlineLevel="0" collapsed="false">
      <c r="A35" s="0" t="s">
        <v>137</v>
      </c>
      <c r="B35" s="0" t="n">
        <f aca="false">B34/(1+B27/100)^L4</f>
        <v>3030.95654849694</v>
      </c>
    </row>
    <row r="36" customFormat="false" ht="15" hidden="false" customHeight="false" outlineLevel="0" collapsed="false">
      <c r="A36" s="0" t="s">
        <v>138</v>
      </c>
      <c r="B36" s="0" t="n">
        <f aca="false">B30+B35</f>
        <v>6241.12873231302</v>
      </c>
    </row>
    <row r="37" customFormat="false" ht="15" hidden="false" customHeight="false" outlineLevel="0" collapsed="false">
      <c r="A37" s="0" t="s">
        <v>139</v>
      </c>
      <c r="B37" s="0" t="n">
        <f aca="false">B36+Assumptions!$B$5-Assumptions!$B$4</f>
        <v>6241.12873231302</v>
      </c>
    </row>
    <row r="38" customFormat="false" ht="15" hidden="false" customHeight="false" outlineLevel="0" collapsed="false">
      <c r="A38" s="0" t="s">
        <v>140</v>
      </c>
      <c r="B38" s="0" t="n">
        <f aca="false">B37/Assumptions!$B$3*Assumptions!$B$10</f>
        <v>3.25346855669761</v>
      </c>
    </row>
    <row r="39" customFormat="false" ht="15" hidden="false" customHeight="false" outlineLevel="0" collapsed="false">
      <c r="A39" s="0" t="s">
        <v>141</v>
      </c>
      <c r="B39" s="4" t="n">
        <f aca="false">B38/Assumptions!$B$2-1</f>
        <v>-0.278610076120265</v>
      </c>
    </row>
    <row r="41" customFormat="false" ht="15" hidden="false" customHeight="false" outlineLevel="0" collapsed="false">
      <c r="A41" s="0" t="s">
        <v>142</v>
      </c>
      <c r="B41" s="0" t="n">
        <f aca="false">SUMPRODUCT(-C10:L10/(1+$B$27/100)^C4:L4)</f>
        <v>0</v>
      </c>
    </row>
    <row r="42" customFormat="false" ht="15" hidden="false" customHeight="false" outlineLevel="0" collapsed="false">
      <c r="A42" s="0" t="s">
        <v>143</v>
      </c>
      <c r="B42" s="0" t="n">
        <f aca="false">IF(B27&gt;B28,-L10*(1+B28/100)/((B27-B28)/100),-L10*20)/(1+B27/100)^L4</f>
        <v>0</v>
      </c>
    </row>
    <row r="43" customFormat="false" ht="15" hidden="false" customHeight="false" outlineLevel="0" collapsed="false">
      <c r="A43" s="0" t="s">
        <v>144</v>
      </c>
      <c r="B43" s="0" t="n">
        <f aca="false">(B37+B41+B42)/Assumptions!$B$3*Assumptions!$B$10</f>
        <v>3.25346855669761</v>
      </c>
    </row>
    <row r="45" customFormat="false" ht="15" hidden="false" customHeight="false" outlineLevel="0" collapsed="false">
      <c r="A45" s="0" t="s">
        <v>85</v>
      </c>
      <c r="B45" s="4" t="n">
        <f aca="false">Assumptions!$B$6</f>
        <v>15</v>
      </c>
    </row>
    <row r="46" customFormat="false" ht="15" hidden="false" customHeight="false" outlineLevel="0" collapsed="false">
      <c r="A46" s="0" t="s">
        <v>145</v>
      </c>
      <c r="B46" s="0" t="n">
        <f aca="false">MAX(0,MIN(IF(B45&gt;B28,B31*(1+B28/100)/((B45-B28)/100),B31*B29),B31*B29))</f>
        <v>3986.32024009932</v>
      </c>
    </row>
    <row r="47" customFormat="false" ht="15" hidden="false" customHeight="false" outlineLevel="0" collapsed="false">
      <c r="A47" s="0" t="s">
        <v>146</v>
      </c>
      <c r="B47" s="0" t="n">
        <f aca="false">(SUMPRODUCT(C19:L19/(1+B45/100)^C4:L4)+B46/(1+B45/100)^L4+Assumptions!$B$5-Assumptions!$B$4)/Assumptions!$B$3*Assumptions!$B$10</f>
        <v>1.8186098945779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147</v>
      </c>
    </row>
    <row r="3" customFormat="false" ht="15" hidden="false" customHeight="false" outlineLevel="0" collapsed="false">
      <c r="A3" s="0" t="s">
        <v>117</v>
      </c>
      <c r="B3" s="0" t="s">
        <v>78</v>
      </c>
      <c r="C3" s="2" t="s">
        <v>92</v>
      </c>
      <c r="D3" s="2" t="s">
        <v>93</v>
      </c>
      <c r="E3" s="2" t="s">
        <v>94</v>
      </c>
      <c r="F3" s="2" t="s">
        <v>95</v>
      </c>
      <c r="G3" s="2" t="s">
        <v>96</v>
      </c>
      <c r="H3" s="2" t="s">
        <v>97</v>
      </c>
      <c r="I3" s="2" t="s">
        <v>98</v>
      </c>
      <c r="J3" s="2" t="s">
        <v>99</v>
      </c>
      <c r="K3" s="2" t="s">
        <v>100</v>
      </c>
      <c r="L3" s="2" t="s">
        <v>101</v>
      </c>
    </row>
    <row r="4" customFormat="false" ht="15" hidden="false" customHeight="false" outlineLevel="0" collapsed="false">
      <c r="A4" s="0" t="s">
        <v>118</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102</v>
      </c>
      <c r="C5" s="4" t="n">
        <f aca="false">Assumptions!C27</f>
        <v>4</v>
      </c>
      <c r="D5" s="4" t="n">
        <f aca="false">Assumptions!D27</f>
        <v>4</v>
      </c>
      <c r="E5" s="4" t="n">
        <f aca="false">Assumptions!E27</f>
        <v>3.5</v>
      </c>
      <c r="F5" s="4" t="n">
        <f aca="false">Assumptions!F27</f>
        <v>3.5</v>
      </c>
      <c r="G5" s="4" t="n">
        <f aca="false">Assumptions!G27</f>
        <v>3</v>
      </c>
      <c r="H5" s="4" t="n">
        <f aca="false">Assumptions!H27</f>
        <v>3</v>
      </c>
      <c r="I5" s="4" t="n">
        <f aca="false">Assumptions!I27</f>
        <v>3</v>
      </c>
      <c r="J5" s="4" t="n">
        <f aca="false">Assumptions!J27</f>
        <v>2.5</v>
      </c>
      <c r="K5" s="4" t="n">
        <f aca="false">Assumptions!K27</f>
        <v>2.5</v>
      </c>
      <c r="L5" s="4" t="n">
        <f aca="false">Assumptions!L27</f>
        <v>2.5</v>
      </c>
    </row>
    <row r="6" customFormat="false" ht="15" hidden="false" customHeight="false" outlineLevel="0" collapsed="false">
      <c r="A6" s="0" t="s">
        <v>37</v>
      </c>
      <c r="B6" s="3" t="n">
        <v>1031.9</v>
      </c>
      <c r="C6" s="0" t="n">
        <f aca="false">B6*(1+C5/100)</f>
        <v>1073.176</v>
      </c>
      <c r="D6" s="0" t="n">
        <f aca="false">C6*(1+D5/100)</f>
        <v>1116.10304</v>
      </c>
      <c r="E6" s="0" t="n">
        <f aca="false">D6*(1+E5/100)</f>
        <v>1155.1666464</v>
      </c>
      <c r="F6" s="0" t="n">
        <f aca="false">E6*(1+F5/100)</f>
        <v>1195.597479024</v>
      </c>
      <c r="G6" s="0" t="n">
        <f aca="false">F6*(1+G5/100)</f>
        <v>1231.46540339472</v>
      </c>
      <c r="H6" s="0" t="n">
        <f aca="false">G6*(1+H5/100)</f>
        <v>1268.40936549656</v>
      </c>
      <c r="I6" s="0" t="n">
        <f aca="false">H6*(1+I5/100)</f>
        <v>1306.46164646146</v>
      </c>
      <c r="J6" s="0" t="n">
        <f aca="false">I6*(1+J5/100)</f>
        <v>1339.123187623</v>
      </c>
      <c r="K6" s="0" t="n">
        <f aca="false">J6*(1+K5/100)</f>
        <v>1372.60126731357</v>
      </c>
      <c r="L6" s="0" t="n">
        <f aca="false">K6*(1+L5/100)</f>
        <v>1406.91629899641</v>
      </c>
    </row>
    <row r="7" customFormat="false" ht="15" hidden="false" customHeight="false" outlineLevel="0" collapsed="false">
      <c r="A7" s="0" t="s">
        <v>103</v>
      </c>
      <c r="C7" s="4" t="n">
        <f aca="false">Assumptions!C28</f>
        <v>63</v>
      </c>
      <c r="D7" s="4" t="n">
        <f aca="false">Assumptions!D28</f>
        <v>63</v>
      </c>
      <c r="E7" s="4" t="n">
        <f aca="false">Assumptions!E28</f>
        <v>63</v>
      </c>
      <c r="F7" s="4" t="n">
        <f aca="false">Assumptions!F28</f>
        <v>63</v>
      </c>
      <c r="G7" s="4" t="n">
        <f aca="false">Assumptions!G28</f>
        <v>63</v>
      </c>
      <c r="H7" s="4" t="n">
        <f aca="false">Assumptions!H28</f>
        <v>63</v>
      </c>
      <c r="I7" s="4" t="n">
        <f aca="false">Assumptions!I28</f>
        <v>63</v>
      </c>
      <c r="J7" s="4" t="n">
        <f aca="false">Assumptions!J28</f>
        <v>63</v>
      </c>
      <c r="K7" s="4" t="n">
        <f aca="false">Assumptions!K28</f>
        <v>63</v>
      </c>
      <c r="L7" s="4" t="n">
        <f aca="false">Assumptions!L28</f>
        <v>63</v>
      </c>
    </row>
    <row r="8" customFormat="false" ht="15" hidden="false" customHeight="false" outlineLevel="0" collapsed="false">
      <c r="A8" s="0" t="s">
        <v>43</v>
      </c>
      <c r="C8" s="0" t="n">
        <f aca="false">C6*C7/100</f>
        <v>676.10088</v>
      </c>
      <c r="D8" s="0" t="n">
        <f aca="false">D6*D7/100</f>
        <v>703.1449152</v>
      </c>
      <c r="E8" s="0" t="n">
        <f aca="false">E6*E7/100</f>
        <v>727.754987232</v>
      </c>
      <c r="F8" s="0" t="n">
        <f aca="false">F6*F7/100</f>
        <v>753.22641178512</v>
      </c>
      <c r="G8" s="0" t="n">
        <f aca="false">G6*G7/100</f>
        <v>775.823204138674</v>
      </c>
      <c r="H8" s="0" t="n">
        <f aca="false">H6*H7/100</f>
        <v>799.097900262834</v>
      </c>
      <c r="I8" s="0" t="n">
        <f aca="false">I6*I7/100</f>
        <v>823.070837270719</v>
      </c>
      <c r="J8" s="0" t="n">
        <f aca="false">J6*J7/100</f>
        <v>843.647608202487</v>
      </c>
      <c r="K8" s="0" t="n">
        <f aca="false">K6*K7/100</f>
        <v>864.738798407549</v>
      </c>
      <c r="L8" s="0" t="n">
        <f aca="false">L6*L7/100</f>
        <v>886.357268367738</v>
      </c>
    </row>
    <row r="9" customFormat="false" ht="15" hidden="false" customHeight="false" outlineLevel="0" collapsed="false">
      <c r="A9" s="0" t="s">
        <v>104</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119</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120</v>
      </c>
      <c r="C11" s="0" t="n">
        <f aca="false">C8+C10+C24</f>
        <v>676.10088</v>
      </c>
      <c r="D11" s="0" t="n">
        <f aca="false">D8+D10+D24</f>
        <v>703.1449152</v>
      </c>
      <c r="E11" s="0" t="n">
        <f aca="false">E8+E10+E24</f>
        <v>727.754987232</v>
      </c>
      <c r="F11" s="0" t="n">
        <f aca="false">F8+F10+F24</f>
        <v>753.22641178512</v>
      </c>
      <c r="G11" s="0" t="n">
        <f aca="false">G8+G10+G24</f>
        <v>775.823204138674</v>
      </c>
      <c r="H11" s="0" t="n">
        <f aca="false">H8+H10+H24</f>
        <v>799.097900262834</v>
      </c>
      <c r="I11" s="0" t="n">
        <f aca="false">I8+I10+I24</f>
        <v>823.070837270719</v>
      </c>
      <c r="J11" s="0" t="n">
        <f aca="false">J8+J10+J24</f>
        <v>843.647608202487</v>
      </c>
      <c r="K11" s="0" t="n">
        <f aca="false">K8+K10+K24</f>
        <v>864.738798407549</v>
      </c>
      <c r="L11" s="0" t="n">
        <f aca="false">L8+L10+L24</f>
        <v>886.357268367738</v>
      </c>
    </row>
    <row r="12" customFormat="false" ht="15" hidden="false" customHeight="false" outlineLevel="0" collapsed="false">
      <c r="A12" s="0" t="s">
        <v>121</v>
      </c>
      <c r="C12" s="4" t="n">
        <f aca="false">-C6*Assumptions!C31/100</f>
        <v>-0</v>
      </c>
      <c r="D12" s="4" t="n">
        <f aca="false">-D6*Assumptions!D31/100</f>
        <v>-0</v>
      </c>
      <c r="E12" s="4" t="n">
        <f aca="false">-E6*Assumptions!E31/100</f>
        <v>-0</v>
      </c>
      <c r="F12" s="4" t="n">
        <f aca="false">-F6*Assumptions!F31/100</f>
        <v>-0</v>
      </c>
      <c r="G12" s="4" t="n">
        <f aca="false">-G6*Assumptions!G31/100</f>
        <v>-0</v>
      </c>
      <c r="H12" s="4" t="n">
        <f aca="false">-H6*Assumptions!H31/100</f>
        <v>-0</v>
      </c>
      <c r="I12" s="4" t="n">
        <f aca="false">-I6*Assumptions!I31/100</f>
        <v>-0</v>
      </c>
      <c r="J12" s="4" t="n">
        <f aca="false">-J6*Assumptions!J31/100</f>
        <v>-0</v>
      </c>
      <c r="K12" s="4" t="n">
        <f aca="false">-K6*Assumptions!K31/100</f>
        <v>-0</v>
      </c>
      <c r="L12" s="4" t="n">
        <f aca="false">-L6*Assumptions!L31/100</f>
        <v>-0</v>
      </c>
    </row>
    <row r="13" customFormat="false" ht="15" hidden="false" customHeight="false" outlineLevel="0" collapsed="false">
      <c r="A13" s="0" t="s">
        <v>122</v>
      </c>
      <c r="C13" s="0" t="n">
        <f aca="false">C11+C12</f>
        <v>676.10088</v>
      </c>
      <c r="D13" s="0" t="n">
        <f aca="false">D11+D12</f>
        <v>703.1449152</v>
      </c>
      <c r="E13" s="0" t="n">
        <f aca="false">E11+E12</f>
        <v>727.754987232</v>
      </c>
      <c r="F13" s="0" t="n">
        <f aca="false">F11+F12</f>
        <v>753.22641178512</v>
      </c>
      <c r="G13" s="0" t="n">
        <f aca="false">G11+G12</f>
        <v>775.823204138674</v>
      </c>
      <c r="H13" s="0" t="n">
        <f aca="false">H11+H12</f>
        <v>799.097900262834</v>
      </c>
      <c r="I13" s="0" t="n">
        <f aca="false">I11+I12</f>
        <v>823.070837270719</v>
      </c>
      <c r="J13" s="0" t="n">
        <f aca="false">J11+J12</f>
        <v>843.647608202487</v>
      </c>
      <c r="K13" s="0" t="n">
        <f aca="false">K11+K12</f>
        <v>864.738798407549</v>
      </c>
      <c r="L13" s="0" t="n">
        <f aca="false">L11+L12</f>
        <v>886.357268367738</v>
      </c>
    </row>
    <row r="14" customFormat="false" ht="15" hidden="false" customHeight="false" outlineLevel="0" collapsed="false">
      <c r="A14" s="0" t="s">
        <v>108</v>
      </c>
      <c r="C14" s="4" t="n">
        <f aca="false">Assumptions!C33</f>
        <v>0</v>
      </c>
      <c r="D14" s="4" t="n">
        <f aca="false">Assumptions!D33</f>
        <v>0</v>
      </c>
      <c r="E14" s="4" t="n">
        <f aca="false">Assumptions!E33</f>
        <v>0</v>
      </c>
      <c r="F14" s="4" t="n">
        <f aca="false">Assumptions!F33</f>
        <v>0</v>
      </c>
      <c r="G14" s="4" t="n">
        <f aca="false">Assumptions!G33</f>
        <v>0</v>
      </c>
      <c r="H14" s="4" t="n">
        <f aca="false">Assumptions!H33</f>
        <v>0</v>
      </c>
      <c r="I14" s="4" t="n">
        <f aca="false">Assumptions!I33</f>
        <v>0</v>
      </c>
      <c r="J14" s="4" t="n">
        <f aca="false">Assumptions!J33</f>
        <v>0</v>
      </c>
      <c r="K14" s="4" t="n">
        <f aca="false">Assumptions!K33</f>
        <v>0</v>
      </c>
      <c r="L14" s="4" t="n">
        <f aca="false">Assumptions!L33</f>
        <v>0</v>
      </c>
    </row>
    <row r="15" customFormat="false" ht="15" hidden="false" customHeight="false" outlineLevel="0" collapsed="false">
      <c r="A15" s="0" t="s">
        <v>123</v>
      </c>
      <c r="C15" s="0" t="n">
        <f aca="false">C13-MAX(0,C13)*C14/100</f>
        <v>676.10088</v>
      </c>
      <c r="D15" s="0" t="n">
        <f aca="false">D13-MAX(0,D13)*D14/100</f>
        <v>703.1449152</v>
      </c>
      <c r="E15" s="0" t="n">
        <f aca="false">E13-MAX(0,E13)*E14/100</f>
        <v>727.754987232</v>
      </c>
      <c r="F15" s="0" t="n">
        <f aca="false">F13-MAX(0,F13)*F14/100</f>
        <v>753.22641178512</v>
      </c>
      <c r="G15" s="0" t="n">
        <f aca="false">G13-MAX(0,G13)*G14/100</f>
        <v>775.823204138674</v>
      </c>
      <c r="H15" s="0" t="n">
        <f aca="false">H13-MAX(0,H13)*H14/100</f>
        <v>799.097900262834</v>
      </c>
      <c r="I15" s="0" t="n">
        <f aca="false">I13-MAX(0,I13)*I14/100</f>
        <v>823.070837270719</v>
      </c>
      <c r="J15" s="0" t="n">
        <f aca="false">J13-MAX(0,J13)*J14/100</f>
        <v>843.647608202487</v>
      </c>
      <c r="K15" s="0" t="n">
        <f aca="false">K13-MAX(0,K13)*K14/100</f>
        <v>864.738798407549</v>
      </c>
      <c r="L15" s="0" t="n">
        <f aca="false">L13-MAX(0,L13)*L14/100</f>
        <v>886.357268367738</v>
      </c>
    </row>
    <row r="16" customFormat="false" ht="15" hidden="false" customHeight="false" outlineLevel="0" collapsed="false">
      <c r="A16" s="0" t="s">
        <v>124</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125</v>
      </c>
      <c r="C17" s="4" t="n">
        <f aca="false">-C6*Assumptions!C32/100</f>
        <v>-164.195928</v>
      </c>
      <c r="D17" s="4" t="n">
        <f aca="false">-D6*Assumptions!D32/100</f>
        <v>-170.76376512</v>
      </c>
      <c r="E17" s="4" t="n">
        <f aca="false">-E6*Assumptions!E32/100</f>
        <v>-176.7404968992</v>
      </c>
      <c r="F17" s="4" t="n">
        <f aca="false">-F6*Assumptions!F32/100</f>
        <v>-182.926414290672</v>
      </c>
      <c r="G17" s="4" t="n">
        <f aca="false">-G6*Assumptions!G32/100</f>
        <v>-188.414206719392</v>
      </c>
      <c r="H17" s="4" t="n">
        <f aca="false">-H6*Assumptions!H32/100</f>
        <v>-194.066632920974</v>
      </c>
      <c r="I17" s="4" t="n">
        <f aca="false">-I6*Assumptions!I32/100</f>
        <v>-199.888631908603</v>
      </c>
      <c r="J17" s="4" t="n">
        <f aca="false">-J6*Assumptions!J32/100</f>
        <v>-204.885847706318</v>
      </c>
      <c r="K17" s="4" t="n">
        <f aca="false">-K6*Assumptions!K32/100</f>
        <v>-210.007993898976</v>
      </c>
      <c r="L17" s="4" t="n">
        <f aca="false">-L6*Assumptions!L32/100</f>
        <v>-215.258193746451</v>
      </c>
    </row>
    <row r="18" customFormat="false" ht="15" hidden="false" customHeight="false" outlineLevel="0" collapsed="false">
      <c r="A18" s="0" t="s">
        <v>126</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127</v>
      </c>
      <c r="C19" s="0" t="n">
        <f aca="false">C15+C16+C17+C18</f>
        <v>511.904952</v>
      </c>
      <c r="D19" s="0" t="n">
        <f aca="false">D15+D16+D17+D18</f>
        <v>532.38115008</v>
      </c>
      <c r="E19" s="0" t="n">
        <f aca="false">E15+E16+E17+E18</f>
        <v>551.0144903328</v>
      </c>
      <c r="F19" s="0" t="n">
        <f aca="false">F15+F16+F17+F18</f>
        <v>570.299997494448</v>
      </c>
      <c r="G19" s="0" t="n">
        <f aca="false">G15+G16+G17+G18</f>
        <v>587.408997419282</v>
      </c>
      <c r="H19" s="0" t="n">
        <f aca="false">H15+H16+H17+H18</f>
        <v>605.03126734186</v>
      </c>
      <c r="I19" s="0" t="n">
        <f aca="false">I15+I16+I17+I18</f>
        <v>623.182205362116</v>
      </c>
      <c r="J19" s="0" t="n">
        <f aca="false">J15+J16+J17+J18</f>
        <v>638.761760496169</v>
      </c>
      <c r="K19" s="0" t="n">
        <f aca="false">K15+K16+K17+K18</f>
        <v>654.730804508573</v>
      </c>
      <c r="L19" s="0" t="n">
        <f aca="false">L15+L16+L17+L18</f>
        <v>671.099074621287</v>
      </c>
    </row>
    <row r="20" customFormat="false" ht="15" hidden="false" customHeight="false" outlineLevel="0" collapsed="false">
      <c r="A20" s="0" t="s">
        <v>128</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129</v>
      </c>
      <c r="C21" s="0" t="n">
        <f aca="false">C19*C20</f>
        <v>469.637570642202</v>
      </c>
      <c r="D21" s="0" t="n">
        <f aca="false">D19*D20</f>
        <v>448.094562814578</v>
      </c>
      <c r="E21" s="0" t="n">
        <f aca="false">E19*E20</f>
        <v>425.484286709255</v>
      </c>
      <c r="F21" s="0" t="n">
        <f aca="false">F19*F20</f>
        <v>404.014896095485</v>
      </c>
      <c r="G21" s="0" t="n">
        <f aca="false">G19*G20</f>
        <v>381.775544016835</v>
      </c>
      <c r="H21" s="0" t="n">
        <f aca="false">H19*H20</f>
        <v>360.760376456275</v>
      </c>
      <c r="I21" s="0" t="n">
        <f aca="false">I19*I20</f>
        <v>340.902007110058</v>
      </c>
      <c r="J21" s="0" t="n">
        <f aca="false">J19*J20</f>
        <v>320.57298833744</v>
      </c>
      <c r="K21" s="0" t="n">
        <f aca="false">K19*K20</f>
        <v>301.456250500803</v>
      </c>
      <c r="L21" s="0" t="n">
        <f aca="false">L19*L20</f>
        <v>283.479501617728</v>
      </c>
    </row>
    <row r="23" customFormat="false" ht="15" hidden="false" customHeight="false" outlineLevel="0" collapsed="false">
      <c r="A23" s="0" t="s">
        <v>105</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130</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131</v>
      </c>
    </row>
    <row r="27" customFormat="false" ht="15" hidden="false" customHeight="false" outlineLevel="0" collapsed="false">
      <c r="A27" s="0" t="s">
        <v>109</v>
      </c>
      <c r="B27" s="4" t="n">
        <f aca="false">Assumptions!$B$34</f>
        <v>9</v>
      </c>
    </row>
    <row r="28" customFormat="false" ht="15" hidden="false" customHeight="false" outlineLevel="0" collapsed="false">
      <c r="A28" s="0" t="s">
        <v>110</v>
      </c>
      <c r="B28" s="4" t="n">
        <f aca="false">Assumptions!$B$35</f>
        <v>2.5</v>
      </c>
    </row>
    <row r="29" customFormat="false" ht="15" hidden="false" customHeight="false" outlineLevel="0" collapsed="false">
      <c r="A29" s="0" t="s">
        <v>111</v>
      </c>
      <c r="B29" s="4" t="n">
        <f aca="false">Assumptions!$B$36</f>
        <v>18</v>
      </c>
    </row>
    <row r="30" customFormat="false" ht="15" hidden="false" customHeight="false" outlineLevel="0" collapsed="false">
      <c r="A30" s="0" t="s">
        <v>132</v>
      </c>
      <c r="B30" s="0" t="n">
        <f aca="false">SUM(C21:L21)</f>
        <v>3736.17798430066</v>
      </c>
    </row>
    <row r="31" customFormat="false" ht="15" hidden="false" customHeight="false" outlineLevel="0" collapsed="false">
      <c r="A31" s="0" t="s">
        <v>133</v>
      </c>
      <c r="B31" s="0" t="n">
        <f aca="false">L19</f>
        <v>671.099074621287</v>
      </c>
    </row>
    <row r="32" customFormat="false" ht="15" hidden="false" customHeight="false" outlineLevel="0" collapsed="false">
      <c r="A32" s="0" t="s">
        <v>134</v>
      </c>
      <c r="B32" s="0" t="n">
        <f aca="false">IF(B27&gt;B28,B31*(1+B28/100)/((B27-B28)/100),B31*B29)</f>
        <v>10582.7161767203</v>
      </c>
    </row>
    <row r="33" customFormat="false" ht="15" hidden="false" customHeight="false" outlineLevel="0" collapsed="false">
      <c r="A33" s="0" t="s">
        <v>135</v>
      </c>
      <c r="B33" s="0" t="n">
        <f aca="false">B31*B29</f>
        <v>12079.7833431832</v>
      </c>
    </row>
    <row r="34" customFormat="false" ht="15" hidden="false" customHeight="false" outlineLevel="0" collapsed="false">
      <c r="A34" s="0" t="s">
        <v>136</v>
      </c>
      <c r="B34" s="0" t="n">
        <f aca="false">MAX(0,MIN(B32,B33))</f>
        <v>10582.7161767203</v>
      </c>
    </row>
    <row r="35" customFormat="false" ht="15" hidden="false" customHeight="false" outlineLevel="0" collapsed="false">
      <c r="A35" s="0" t="s">
        <v>137</v>
      </c>
      <c r="B35" s="0" t="n">
        <f aca="false">B34/(1+B27/100)^L4</f>
        <v>4470.25367935648</v>
      </c>
    </row>
    <row r="36" customFormat="false" ht="15" hidden="false" customHeight="false" outlineLevel="0" collapsed="false">
      <c r="A36" s="0" t="s">
        <v>138</v>
      </c>
      <c r="B36" s="0" t="n">
        <f aca="false">B30+B35</f>
        <v>8206.43166365714</v>
      </c>
    </row>
    <row r="37" customFormat="false" ht="15" hidden="false" customHeight="false" outlineLevel="0" collapsed="false">
      <c r="A37" s="0" t="s">
        <v>139</v>
      </c>
      <c r="B37" s="0" t="n">
        <f aca="false">B36+Assumptions!$B$5-Assumptions!$B$4</f>
        <v>8206.43166365714</v>
      </c>
    </row>
    <row r="38" customFormat="false" ht="15" hidden="false" customHeight="false" outlineLevel="0" collapsed="false">
      <c r="A38" s="0" t="s">
        <v>140</v>
      </c>
      <c r="B38" s="0" t="n">
        <f aca="false">B37/Assumptions!$B$3*Assumptions!$B$10</f>
        <v>4.27797094492892</v>
      </c>
    </row>
    <row r="39" customFormat="false" ht="15" hidden="false" customHeight="false" outlineLevel="0" collapsed="false">
      <c r="A39" s="0" t="s">
        <v>141</v>
      </c>
      <c r="B39" s="4" t="n">
        <f aca="false">B38/Assumptions!$B$2-1</f>
        <v>-0.0514476840512382</v>
      </c>
    </row>
    <row r="41" customFormat="false" ht="15" hidden="false" customHeight="false" outlineLevel="0" collapsed="false">
      <c r="A41" s="0" t="s">
        <v>142</v>
      </c>
      <c r="B41" s="0" t="n">
        <f aca="false">SUMPRODUCT(-C10:L10/(1+$B$27/100)^C4:L4)</f>
        <v>0</v>
      </c>
    </row>
    <row r="42" customFormat="false" ht="15" hidden="false" customHeight="false" outlineLevel="0" collapsed="false">
      <c r="A42" s="0" t="s">
        <v>143</v>
      </c>
      <c r="B42" s="0" t="n">
        <f aca="false">IF(B27&gt;B28,-L10*(1+B28/100)/((B27-B28)/100),-L10*20)/(1+B27/100)^L4</f>
        <v>0</v>
      </c>
    </row>
    <row r="43" customFormat="false" ht="15" hidden="false" customHeight="false" outlineLevel="0" collapsed="false">
      <c r="A43" s="0" t="s">
        <v>144</v>
      </c>
      <c r="B43" s="0" t="n">
        <f aca="false">(B37+B41+B42)/Assumptions!$B$3*Assumptions!$B$10</f>
        <v>4.27797094492892</v>
      </c>
    </row>
    <row r="45" customFormat="false" ht="15" hidden="false" customHeight="false" outlineLevel="0" collapsed="false">
      <c r="A45" s="0" t="s">
        <v>85</v>
      </c>
      <c r="B45" s="4" t="n">
        <f aca="false">Assumptions!$B$6</f>
        <v>15</v>
      </c>
    </row>
    <row r="46" customFormat="false" ht="15" hidden="false" customHeight="false" outlineLevel="0" collapsed="false">
      <c r="A46" s="0" t="s">
        <v>145</v>
      </c>
      <c r="B46" s="0" t="n">
        <f aca="false">MAX(0,MIN(IF(B45&gt;B28,B31*(1+B28/100)/((B45-B28)/100),B31*B29),B31*B29))</f>
        <v>5503.01241189455</v>
      </c>
    </row>
    <row r="47" customFormat="false" ht="15" hidden="false" customHeight="false" outlineLevel="0" collapsed="false">
      <c r="A47" s="0" t="s">
        <v>146</v>
      </c>
      <c r="B47" s="0" t="n">
        <f aca="false">(SUMPRODUCT(C19:L19/(1+B45/100)^C4:L4)+B46/(1+B45/100)^L4+Assumptions!$B$5-Assumptions!$B$4)/Assumptions!$B$3*Assumptions!$B$10</f>
        <v>2.2129134861463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148</v>
      </c>
    </row>
    <row r="3" customFormat="false" ht="15" hidden="false" customHeight="false" outlineLevel="0" collapsed="false">
      <c r="A3" s="0" t="s">
        <v>117</v>
      </c>
      <c r="B3" s="0" t="s">
        <v>78</v>
      </c>
      <c r="C3" s="2" t="s">
        <v>92</v>
      </c>
      <c r="D3" s="2" t="s">
        <v>93</v>
      </c>
      <c r="E3" s="2" t="s">
        <v>94</v>
      </c>
      <c r="F3" s="2" t="s">
        <v>95</v>
      </c>
      <c r="G3" s="2" t="s">
        <v>96</v>
      </c>
      <c r="H3" s="2" t="s">
        <v>97</v>
      </c>
      <c r="I3" s="2" t="s">
        <v>98</v>
      </c>
      <c r="J3" s="2" t="s">
        <v>99</v>
      </c>
      <c r="K3" s="2" t="s">
        <v>100</v>
      </c>
      <c r="L3" s="2" t="s">
        <v>101</v>
      </c>
    </row>
    <row r="4" customFormat="false" ht="15" hidden="false" customHeight="false" outlineLevel="0" collapsed="false">
      <c r="A4" s="0" t="s">
        <v>118</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102</v>
      </c>
      <c r="C5" s="4" t="n">
        <f aca="false">Assumptions!C41</f>
        <v>5.5</v>
      </c>
      <c r="D5" s="4" t="n">
        <f aca="false">Assumptions!D41</f>
        <v>5</v>
      </c>
      <c r="E5" s="4" t="n">
        <f aca="false">Assumptions!E41</f>
        <v>4.5</v>
      </c>
      <c r="F5" s="4" t="n">
        <f aca="false">Assumptions!F41</f>
        <v>4.5</v>
      </c>
      <c r="G5" s="4" t="n">
        <f aca="false">Assumptions!G41</f>
        <v>4</v>
      </c>
      <c r="H5" s="4" t="n">
        <f aca="false">Assumptions!H41</f>
        <v>4</v>
      </c>
      <c r="I5" s="4" t="n">
        <f aca="false">Assumptions!I41</f>
        <v>3.5</v>
      </c>
      <c r="J5" s="4" t="n">
        <f aca="false">Assumptions!J41</f>
        <v>3</v>
      </c>
      <c r="K5" s="4" t="n">
        <f aca="false">Assumptions!K41</f>
        <v>3</v>
      </c>
      <c r="L5" s="4" t="n">
        <f aca="false">Assumptions!L41</f>
        <v>3</v>
      </c>
    </row>
    <row r="6" customFormat="false" ht="15" hidden="false" customHeight="false" outlineLevel="0" collapsed="false">
      <c r="A6" s="0" t="s">
        <v>37</v>
      </c>
      <c r="B6" s="3" t="n">
        <v>1031.9</v>
      </c>
      <c r="C6" s="0" t="n">
        <f aca="false">B6*(1+C5/100)</f>
        <v>1088.6545</v>
      </c>
      <c r="D6" s="0" t="n">
        <f aca="false">C6*(1+D5/100)</f>
        <v>1143.087225</v>
      </c>
      <c r="E6" s="0" t="n">
        <f aca="false">D6*(1+E5/100)</f>
        <v>1194.526150125</v>
      </c>
      <c r="F6" s="0" t="n">
        <f aca="false">E6*(1+F5/100)</f>
        <v>1248.27982688063</v>
      </c>
      <c r="G6" s="0" t="n">
        <f aca="false">F6*(1+G5/100)</f>
        <v>1298.21101995585</v>
      </c>
      <c r="H6" s="0" t="n">
        <f aca="false">G6*(1+H5/100)</f>
        <v>1350.13946075408</v>
      </c>
      <c r="I6" s="0" t="n">
        <f aca="false">H6*(1+I5/100)</f>
        <v>1397.39434188048</v>
      </c>
      <c r="J6" s="0" t="n">
        <f aca="false">I6*(1+J5/100)</f>
        <v>1439.31617213689</v>
      </c>
      <c r="K6" s="0" t="n">
        <f aca="false">J6*(1+K5/100)</f>
        <v>1482.495657301</v>
      </c>
      <c r="L6" s="0" t="n">
        <f aca="false">K6*(1+L5/100)</f>
        <v>1526.97052702003</v>
      </c>
    </row>
    <row r="7" customFormat="false" ht="15" hidden="false" customHeight="false" outlineLevel="0" collapsed="false">
      <c r="A7" s="0" t="s">
        <v>103</v>
      </c>
      <c r="C7" s="4" t="n">
        <f aca="false">Assumptions!C42</f>
        <v>63.2</v>
      </c>
      <c r="D7" s="4" t="n">
        <f aca="false">Assumptions!D42</f>
        <v>63.5</v>
      </c>
      <c r="E7" s="4" t="n">
        <f aca="false">Assumptions!E42</f>
        <v>63.8</v>
      </c>
      <c r="F7" s="4" t="n">
        <f aca="false">Assumptions!F42</f>
        <v>64</v>
      </c>
      <c r="G7" s="4" t="n">
        <f aca="false">Assumptions!G42</f>
        <v>64.2</v>
      </c>
      <c r="H7" s="4" t="n">
        <f aca="false">Assumptions!H42</f>
        <v>64.5</v>
      </c>
      <c r="I7" s="4" t="n">
        <f aca="false">Assumptions!I42</f>
        <v>64.5</v>
      </c>
      <c r="J7" s="4" t="n">
        <f aca="false">Assumptions!J42</f>
        <v>64.5</v>
      </c>
      <c r="K7" s="4" t="n">
        <f aca="false">Assumptions!K42</f>
        <v>64.5</v>
      </c>
      <c r="L7" s="4" t="n">
        <f aca="false">Assumptions!L42</f>
        <v>64.5</v>
      </c>
    </row>
    <row r="8" customFormat="false" ht="15" hidden="false" customHeight="false" outlineLevel="0" collapsed="false">
      <c r="A8" s="0" t="s">
        <v>43</v>
      </c>
      <c r="C8" s="0" t="n">
        <f aca="false">C6*C7/100</f>
        <v>688.029644</v>
      </c>
      <c r="D8" s="0" t="n">
        <f aca="false">D6*D7/100</f>
        <v>725.860387875</v>
      </c>
      <c r="E8" s="0" t="n">
        <f aca="false">E6*E7/100</f>
        <v>762.10768377975</v>
      </c>
      <c r="F8" s="0" t="n">
        <f aca="false">F6*F7/100</f>
        <v>798.8990892036</v>
      </c>
      <c r="G8" s="0" t="n">
        <f aca="false">G6*G7/100</f>
        <v>833.451474811656</v>
      </c>
      <c r="H8" s="0" t="n">
        <f aca="false">H6*H7/100</f>
        <v>870.839952186384</v>
      </c>
      <c r="I8" s="0" t="n">
        <f aca="false">I6*I7/100</f>
        <v>901.319350512908</v>
      </c>
      <c r="J8" s="0" t="n">
        <f aca="false">J6*J7/100</f>
        <v>928.358931028295</v>
      </c>
      <c r="K8" s="0" t="n">
        <f aca="false">K6*K7/100</f>
        <v>956.209698959144</v>
      </c>
      <c r="L8" s="0" t="n">
        <f aca="false">L6*L7/100</f>
        <v>984.895989927918</v>
      </c>
    </row>
    <row r="9" customFormat="false" ht="15" hidden="false" customHeight="false" outlineLevel="0" collapsed="false">
      <c r="A9" s="0" t="s">
        <v>104</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119</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120</v>
      </c>
      <c r="C11" s="0" t="n">
        <f aca="false">C8+C10+C24</f>
        <v>688.029644</v>
      </c>
      <c r="D11" s="0" t="n">
        <f aca="false">D8+D10+D24</f>
        <v>725.860387875</v>
      </c>
      <c r="E11" s="0" t="n">
        <f aca="false">E8+E10+E24</f>
        <v>762.10768377975</v>
      </c>
      <c r="F11" s="0" t="n">
        <f aca="false">F8+F10+F24</f>
        <v>798.8990892036</v>
      </c>
      <c r="G11" s="0" t="n">
        <f aca="false">G8+G10+G24</f>
        <v>833.451474811656</v>
      </c>
      <c r="H11" s="0" t="n">
        <f aca="false">H8+H10+H24</f>
        <v>870.839952186384</v>
      </c>
      <c r="I11" s="0" t="n">
        <f aca="false">I8+I10+I24</f>
        <v>901.319350512908</v>
      </c>
      <c r="J11" s="0" t="n">
        <f aca="false">J8+J10+J24</f>
        <v>928.358931028295</v>
      </c>
      <c r="K11" s="0" t="n">
        <f aca="false">K8+K10+K24</f>
        <v>956.209698959144</v>
      </c>
      <c r="L11" s="0" t="n">
        <f aca="false">L8+L10+L24</f>
        <v>984.895989927918</v>
      </c>
    </row>
    <row r="12" customFormat="false" ht="15" hidden="false" customHeight="false" outlineLevel="0" collapsed="false">
      <c r="A12" s="0" t="s">
        <v>121</v>
      </c>
      <c r="C12" s="4" t="n">
        <f aca="false">-C6*Assumptions!C45/100</f>
        <v>-0</v>
      </c>
      <c r="D12" s="4" t="n">
        <f aca="false">-D6*Assumptions!D45/100</f>
        <v>-0</v>
      </c>
      <c r="E12" s="4" t="n">
        <f aca="false">-E6*Assumptions!E45/100</f>
        <v>-0</v>
      </c>
      <c r="F12" s="4" t="n">
        <f aca="false">-F6*Assumptions!F45/100</f>
        <v>-0</v>
      </c>
      <c r="G12" s="4" t="n">
        <f aca="false">-G6*Assumptions!G45/100</f>
        <v>-0</v>
      </c>
      <c r="H12" s="4" t="n">
        <f aca="false">-H6*Assumptions!H45/100</f>
        <v>-0</v>
      </c>
      <c r="I12" s="4" t="n">
        <f aca="false">-I6*Assumptions!I45/100</f>
        <v>-0</v>
      </c>
      <c r="J12" s="4" t="n">
        <f aca="false">-J6*Assumptions!J45/100</f>
        <v>-0</v>
      </c>
      <c r="K12" s="4" t="n">
        <f aca="false">-K6*Assumptions!K45/100</f>
        <v>-0</v>
      </c>
      <c r="L12" s="4" t="n">
        <f aca="false">-L6*Assumptions!L45/100</f>
        <v>-0</v>
      </c>
    </row>
    <row r="13" customFormat="false" ht="15" hidden="false" customHeight="false" outlineLevel="0" collapsed="false">
      <c r="A13" s="0" t="s">
        <v>122</v>
      </c>
      <c r="C13" s="0" t="n">
        <f aca="false">C11+C12</f>
        <v>688.029644</v>
      </c>
      <c r="D13" s="0" t="n">
        <f aca="false">D11+D12</f>
        <v>725.860387875</v>
      </c>
      <c r="E13" s="0" t="n">
        <f aca="false">E11+E12</f>
        <v>762.10768377975</v>
      </c>
      <c r="F13" s="0" t="n">
        <f aca="false">F11+F12</f>
        <v>798.8990892036</v>
      </c>
      <c r="G13" s="0" t="n">
        <f aca="false">G11+G12</f>
        <v>833.451474811656</v>
      </c>
      <c r="H13" s="0" t="n">
        <f aca="false">H11+H12</f>
        <v>870.839952186384</v>
      </c>
      <c r="I13" s="0" t="n">
        <f aca="false">I11+I12</f>
        <v>901.319350512908</v>
      </c>
      <c r="J13" s="0" t="n">
        <f aca="false">J11+J12</f>
        <v>928.358931028295</v>
      </c>
      <c r="K13" s="0" t="n">
        <f aca="false">K11+K12</f>
        <v>956.209698959144</v>
      </c>
      <c r="L13" s="0" t="n">
        <f aca="false">L11+L12</f>
        <v>984.895989927918</v>
      </c>
    </row>
    <row r="14" customFormat="false" ht="15" hidden="false" customHeight="false" outlineLevel="0" collapsed="false">
      <c r="A14" s="0" t="s">
        <v>108</v>
      </c>
      <c r="C14" s="4" t="n">
        <f aca="false">Assumptions!C47</f>
        <v>0</v>
      </c>
      <c r="D14" s="4" t="n">
        <f aca="false">Assumptions!D47</f>
        <v>0</v>
      </c>
      <c r="E14" s="4" t="n">
        <f aca="false">Assumptions!E47</f>
        <v>0</v>
      </c>
      <c r="F14" s="4" t="n">
        <f aca="false">Assumptions!F47</f>
        <v>0</v>
      </c>
      <c r="G14" s="4" t="n">
        <f aca="false">Assumptions!G47</f>
        <v>0</v>
      </c>
      <c r="H14" s="4" t="n">
        <f aca="false">Assumptions!H47</f>
        <v>0</v>
      </c>
      <c r="I14" s="4" t="n">
        <f aca="false">Assumptions!I47</f>
        <v>0</v>
      </c>
      <c r="J14" s="4" t="n">
        <f aca="false">Assumptions!J47</f>
        <v>0</v>
      </c>
      <c r="K14" s="4" t="n">
        <f aca="false">Assumptions!K47</f>
        <v>0</v>
      </c>
      <c r="L14" s="4" t="n">
        <f aca="false">Assumptions!L47</f>
        <v>0</v>
      </c>
    </row>
    <row r="15" customFormat="false" ht="15" hidden="false" customHeight="false" outlineLevel="0" collapsed="false">
      <c r="A15" s="0" t="s">
        <v>123</v>
      </c>
      <c r="C15" s="0" t="n">
        <f aca="false">C13-MAX(0,C13)*C14/100</f>
        <v>688.029644</v>
      </c>
      <c r="D15" s="0" t="n">
        <f aca="false">D13-MAX(0,D13)*D14/100</f>
        <v>725.860387875</v>
      </c>
      <c r="E15" s="0" t="n">
        <f aca="false">E13-MAX(0,E13)*E14/100</f>
        <v>762.10768377975</v>
      </c>
      <c r="F15" s="0" t="n">
        <f aca="false">F13-MAX(0,F13)*F14/100</f>
        <v>798.8990892036</v>
      </c>
      <c r="G15" s="0" t="n">
        <f aca="false">G13-MAX(0,G13)*G14/100</f>
        <v>833.451474811656</v>
      </c>
      <c r="H15" s="0" t="n">
        <f aca="false">H13-MAX(0,H13)*H14/100</f>
        <v>870.839952186384</v>
      </c>
      <c r="I15" s="0" t="n">
        <f aca="false">I13-MAX(0,I13)*I14/100</f>
        <v>901.319350512908</v>
      </c>
      <c r="J15" s="0" t="n">
        <f aca="false">J13-MAX(0,J13)*J14/100</f>
        <v>928.358931028295</v>
      </c>
      <c r="K15" s="0" t="n">
        <f aca="false">K13-MAX(0,K13)*K14/100</f>
        <v>956.209698959144</v>
      </c>
      <c r="L15" s="0" t="n">
        <f aca="false">L13-MAX(0,L13)*L14/100</f>
        <v>984.895989927918</v>
      </c>
    </row>
    <row r="16" customFormat="false" ht="15" hidden="false" customHeight="false" outlineLevel="0" collapsed="false">
      <c r="A16" s="0" t="s">
        <v>124</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125</v>
      </c>
      <c r="C17" s="4" t="n">
        <f aca="false">-C6*Assumptions!C46/100</f>
        <v>-163.298175</v>
      </c>
      <c r="D17" s="4" t="n">
        <f aca="false">-D6*Assumptions!D46/100</f>
        <v>-171.46308375</v>
      </c>
      <c r="E17" s="4" t="n">
        <f aca="false">-E6*Assumptions!E46/100</f>
        <v>-176.7898702185</v>
      </c>
      <c r="F17" s="4" t="n">
        <f aca="false">-F6*Assumptions!F46/100</f>
        <v>-184.745414378333</v>
      </c>
      <c r="G17" s="4" t="n">
        <f aca="false">-G6*Assumptions!G46/100</f>
        <v>-188.240597893598</v>
      </c>
      <c r="H17" s="4" t="n">
        <f aca="false">-H6*Assumptions!H46/100</f>
        <v>-195.770221809342</v>
      </c>
      <c r="I17" s="4" t="n">
        <f aca="false">-I6*Assumptions!I46/100</f>
        <v>-202.622179572669</v>
      </c>
      <c r="J17" s="4" t="n">
        <f aca="false">-J6*Assumptions!J46/100</f>
        <v>-208.700844959849</v>
      </c>
      <c r="K17" s="4" t="n">
        <f aca="false">-K6*Assumptions!K46/100</f>
        <v>-214.961870308645</v>
      </c>
      <c r="L17" s="4" t="n">
        <f aca="false">-L6*Assumptions!L46/100</f>
        <v>-221.410726417904</v>
      </c>
    </row>
    <row r="18" customFormat="false" ht="15" hidden="false" customHeight="false" outlineLevel="0" collapsed="false">
      <c r="A18" s="0" t="s">
        <v>126</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127</v>
      </c>
      <c r="C19" s="0" t="n">
        <f aca="false">C15+C16+C17+C18</f>
        <v>524.731469</v>
      </c>
      <c r="D19" s="0" t="n">
        <f aca="false">D15+D16+D17+D18</f>
        <v>554.397304125</v>
      </c>
      <c r="E19" s="0" t="n">
        <f aca="false">E15+E16+E17+E18</f>
        <v>585.31781356125</v>
      </c>
      <c r="F19" s="0" t="n">
        <f aca="false">F15+F16+F17+F18</f>
        <v>614.153674825268</v>
      </c>
      <c r="G19" s="0" t="n">
        <f aca="false">G15+G16+G17+G18</f>
        <v>645.210876918058</v>
      </c>
      <c r="H19" s="0" t="n">
        <f aca="false">H15+H16+H17+H18</f>
        <v>675.069730377042</v>
      </c>
      <c r="I19" s="0" t="n">
        <f aca="false">I15+I16+I17+I18</f>
        <v>698.697170940239</v>
      </c>
      <c r="J19" s="0" t="n">
        <f aca="false">J15+J16+J17+J18</f>
        <v>719.658086068446</v>
      </c>
      <c r="K19" s="0" t="n">
        <f aca="false">K15+K16+K17+K18</f>
        <v>741.247828650499</v>
      </c>
      <c r="L19" s="0" t="n">
        <f aca="false">L15+L16+L17+L18</f>
        <v>763.485263510014</v>
      </c>
    </row>
    <row r="20" customFormat="false" ht="15" hidden="false" customHeight="false" outlineLevel="0" collapsed="false">
      <c r="A20" s="0" t="s">
        <v>128</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129</v>
      </c>
      <c r="C21" s="0" t="n">
        <f aca="false">C19*C20</f>
        <v>481.405017431193</v>
      </c>
      <c r="D21" s="0" t="n">
        <f aca="false">D19*D20</f>
        <v>466.625119202929</v>
      </c>
      <c r="E21" s="0" t="n">
        <f aca="false">E19*E20</f>
        <v>451.972746217459</v>
      </c>
      <c r="F21" s="0" t="n">
        <f aca="false">F19*F20</f>
        <v>435.081946714556</v>
      </c>
      <c r="G21" s="0" t="n">
        <f aca="false">G19*G20</f>
        <v>419.342799690124</v>
      </c>
      <c r="H21" s="0" t="n">
        <f aca="false">H19*H20</f>
        <v>402.522023588992</v>
      </c>
      <c r="I21" s="0" t="n">
        <f aca="false">I19*I20</f>
        <v>382.211279279456</v>
      </c>
      <c r="J21" s="0" t="n">
        <f aca="false">J19*J20</f>
        <v>361.172126291596</v>
      </c>
      <c r="K21" s="0" t="n">
        <f aca="false">K19*K20</f>
        <v>341.291091816829</v>
      </c>
      <c r="L21" s="0" t="n">
        <f aca="false">L19*L20</f>
        <v>322.504426212233</v>
      </c>
    </row>
    <row r="23" customFormat="false" ht="15" hidden="false" customHeight="false" outlineLevel="0" collapsed="false">
      <c r="A23" s="0" t="s">
        <v>105</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130</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131</v>
      </c>
    </row>
    <row r="27" customFormat="false" ht="15" hidden="false" customHeight="false" outlineLevel="0" collapsed="false">
      <c r="A27" s="0" t="s">
        <v>109</v>
      </c>
      <c r="B27" s="4" t="n">
        <f aca="false">Assumptions!$B$48</f>
        <v>9</v>
      </c>
    </row>
    <row r="28" customFormat="false" ht="15" hidden="false" customHeight="false" outlineLevel="0" collapsed="false">
      <c r="A28" s="0" t="s">
        <v>110</v>
      </c>
      <c r="B28" s="4" t="n">
        <f aca="false">Assumptions!$B$49</f>
        <v>3</v>
      </c>
    </row>
    <row r="29" customFormat="false" ht="15" hidden="false" customHeight="false" outlineLevel="0" collapsed="false">
      <c r="A29" s="0" t="s">
        <v>111</v>
      </c>
      <c r="B29" s="4" t="n">
        <f aca="false">Assumptions!$B$50</f>
        <v>18</v>
      </c>
    </row>
    <row r="30" customFormat="false" ht="15" hidden="false" customHeight="false" outlineLevel="0" collapsed="false">
      <c r="A30" s="0" t="s">
        <v>132</v>
      </c>
      <c r="B30" s="0" t="n">
        <f aca="false">SUM(C21:L21)</f>
        <v>4064.12857644537</v>
      </c>
    </row>
    <row r="31" customFormat="false" ht="15" hidden="false" customHeight="false" outlineLevel="0" collapsed="false">
      <c r="A31" s="0" t="s">
        <v>133</v>
      </c>
      <c r="B31" s="0" t="n">
        <f aca="false">L19</f>
        <v>763.485263510014</v>
      </c>
    </row>
    <row r="32" customFormat="false" ht="15" hidden="false" customHeight="false" outlineLevel="0" collapsed="false">
      <c r="A32" s="0" t="s">
        <v>134</v>
      </c>
      <c r="B32" s="0" t="n">
        <f aca="false">IF(B27&gt;B28,B31*(1+B28/100)/((B27-B28)/100),B31*B29)</f>
        <v>13106.4970235886</v>
      </c>
    </row>
    <row r="33" customFormat="false" ht="15" hidden="false" customHeight="false" outlineLevel="0" collapsed="false">
      <c r="A33" s="0" t="s">
        <v>135</v>
      </c>
      <c r="B33" s="0" t="n">
        <f aca="false">B31*B29</f>
        <v>13742.7347431803</v>
      </c>
    </row>
    <row r="34" customFormat="false" ht="15" hidden="false" customHeight="false" outlineLevel="0" collapsed="false">
      <c r="A34" s="0" t="s">
        <v>136</v>
      </c>
      <c r="B34" s="0" t="n">
        <f aca="false">MAX(0,MIN(B32,B33))</f>
        <v>13106.4970235886</v>
      </c>
    </row>
    <row r="35" customFormat="false" ht="15" hidden="false" customHeight="false" outlineLevel="0" collapsed="false">
      <c r="A35" s="0" t="s">
        <v>137</v>
      </c>
      <c r="B35" s="0" t="n">
        <f aca="false">B34/(1+B27/100)^L4</f>
        <v>5536.32598330999</v>
      </c>
    </row>
    <row r="36" customFormat="false" ht="15" hidden="false" customHeight="false" outlineLevel="0" collapsed="false">
      <c r="A36" s="0" t="s">
        <v>138</v>
      </c>
      <c r="B36" s="0" t="n">
        <f aca="false">B30+B35</f>
        <v>9600.45455975536</v>
      </c>
    </row>
    <row r="37" customFormat="false" ht="15" hidden="false" customHeight="false" outlineLevel="0" collapsed="false">
      <c r="A37" s="0" t="s">
        <v>139</v>
      </c>
      <c r="B37" s="0" t="n">
        <f aca="false">B36+Assumptions!$B$5-Assumptions!$B$4</f>
        <v>9600.45455975536</v>
      </c>
    </row>
    <row r="38" customFormat="false" ht="15" hidden="false" customHeight="false" outlineLevel="0" collapsed="false">
      <c r="A38" s="0" t="s">
        <v>140</v>
      </c>
      <c r="B38" s="0" t="n">
        <f aca="false">B37/Assumptions!$B$3*Assumptions!$B$10</f>
        <v>5.00466796630108</v>
      </c>
    </row>
    <row r="39" customFormat="false" ht="15" hidden="false" customHeight="false" outlineLevel="0" collapsed="false">
      <c r="A39" s="0" t="s">
        <v>141</v>
      </c>
      <c r="B39" s="4" t="n">
        <f aca="false">B38/Assumptions!$B$2-1</f>
        <v>0.109682475898244</v>
      </c>
    </row>
    <row r="41" customFormat="false" ht="15" hidden="false" customHeight="false" outlineLevel="0" collapsed="false">
      <c r="A41" s="0" t="s">
        <v>142</v>
      </c>
      <c r="B41" s="0" t="n">
        <f aca="false">SUMPRODUCT(-C10:L10/(1+$B$27/100)^C4:L4)</f>
        <v>0</v>
      </c>
    </row>
    <row r="42" customFormat="false" ht="15" hidden="false" customHeight="false" outlineLevel="0" collapsed="false">
      <c r="A42" s="0" t="s">
        <v>143</v>
      </c>
      <c r="B42" s="0" t="n">
        <f aca="false">IF(B27&gt;B28,-L10*(1+B28/100)/((B27-B28)/100),-L10*20)/(1+B27/100)^L4</f>
        <v>0</v>
      </c>
    </row>
    <row r="43" customFormat="false" ht="15" hidden="false" customHeight="false" outlineLevel="0" collapsed="false">
      <c r="A43" s="0" t="s">
        <v>144</v>
      </c>
      <c r="B43" s="0" t="n">
        <f aca="false">(B37+B41+B42)/Assumptions!$B$3*Assumptions!$B$10</f>
        <v>5.00466796630108</v>
      </c>
    </row>
    <row r="45" customFormat="false" ht="15" hidden="false" customHeight="false" outlineLevel="0" collapsed="false">
      <c r="A45" s="0" t="s">
        <v>85</v>
      </c>
      <c r="B45" s="4" t="n">
        <f aca="false">Assumptions!$B$6</f>
        <v>15</v>
      </c>
    </row>
    <row r="46" customFormat="false" ht="15" hidden="false" customHeight="false" outlineLevel="0" collapsed="false">
      <c r="A46" s="0" t="s">
        <v>145</v>
      </c>
      <c r="B46" s="0" t="n">
        <f aca="false">MAX(0,MIN(IF(B45&gt;B28,B31*(1+B28/100)/((B45-B28)/100),B31*B29),B31*B29))</f>
        <v>6553.24851179429</v>
      </c>
    </row>
    <row r="47" customFormat="false" ht="15" hidden="false" customHeight="false" outlineLevel="0" collapsed="false">
      <c r="A47" s="0" t="s">
        <v>146</v>
      </c>
      <c r="B47" s="0" t="n">
        <f aca="false">(SUMPRODUCT(C19:L19/(1+B45/100)^C4:L4)+B46/(1+B45/100)^L4+Assumptions!$B$5-Assumptions!$B$4)/Assumptions!$B$3*Assumptions!$B$10</f>
        <v>2.47163890467822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149</v>
      </c>
    </row>
    <row r="3" customFormat="false" ht="15" hidden="false" customHeight="false" outlineLevel="0" collapsed="false">
      <c r="A3" s="2" t="s">
        <v>150</v>
      </c>
      <c r="B3" s="2" t="s">
        <v>151</v>
      </c>
      <c r="C3" s="2" t="s">
        <v>141</v>
      </c>
      <c r="D3" s="2" t="s">
        <v>152</v>
      </c>
      <c r="E3" s="2" t="s">
        <v>144</v>
      </c>
      <c r="F3" s="2" t="s">
        <v>153</v>
      </c>
    </row>
    <row r="4" customFormat="false" ht="15" hidden="false" customHeight="false" outlineLevel="0" collapsed="false">
      <c r="A4" s="0" t="s">
        <v>154</v>
      </c>
      <c r="B4" s="4" t="n">
        <f aca="false">DCF_Bear!$B$38</f>
        <v>3.25346855669761</v>
      </c>
      <c r="C4" s="0" t="n">
        <f aca="false">B4/Assumptions!$B$2-1</f>
        <v>-0.278610076120265</v>
      </c>
      <c r="D4" s="4" t="n">
        <f aca="false">Assumptions!$B$24</f>
        <v>0.25</v>
      </c>
      <c r="E4" s="4" t="n">
        <f aca="false">DCF_Bear!$B$43</f>
        <v>3.25346855669761</v>
      </c>
      <c r="F4" s="4" t="n">
        <f aca="false">DCF_Bear!$B$47</f>
        <v>1.8186098945779</v>
      </c>
    </row>
    <row r="5" customFormat="false" ht="15" hidden="false" customHeight="false" outlineLevel="0" collapsed="false">
      <c r="A5" s="0" t="s">
        <v>155</v>
      </c>
      <c r="B5" s="4" t="n">
        <f aca="false">DCF_Base!$B$38</f>
        <v>4.27797094492892</v>
      </c>
      <c r="C5" s="0" t="n">
        <f aca="false">B5/Assumptions!$B$2-1</f>
        <v>-0.0514476840512382</v>
      </c>
      <c r="D5" s="4" t="n">
        <f aca="false">Assumptions!$B$38</f>
        <v>0.5</v>
      </c>
      <c r="E5" s="4" t="n">
        <f aca="false">DCF_Base!$B$43</f>
        <v>4.27797094492892</v>
      </c>
      <c r="F5" s="4" t="n">
        <f aca="false">DCF_Base!$B$47</f>
        <v>2.2129134861463</v>
      </c>
    </row>
    <row r="6" customFormat="false" ht="15" hidden="false" customHeight="false" outlineLevel="0" collapsed="false">
      <c r="A6" s="0" t="s">
        <v>156</v>
      </c>
      <c r="B6" s="4" t="n">
        <f aca="false">DCF_Bull!$B$38</f>
        <v>5.00466796630108</v>
      </c>
      <c r="C6" s="0" t="n">
        <f aca="false">B6/Assumptions!$B$2-1</f>
        <v>0.109682475898244</v>
      </c>
      <c r="D6" s="4" t="n">
        <f aca="false">Assumptions!$B$52</f>
        <v>0.25</v>
      </c>
      <c r="E6" s="4" t="n">
        <f aca="false">DCF_Bull!$B$43</f>
        <v>5.00466796630108</v>
      </c>
      <c r="F6" s="4" t="n">
        <f aca="false">DCF_Bull!$B$47</f>
        <v>2.47163890467822</v>
      </c>
    </row>
    <row r="8" customFormat="false" ht="15" hidden="false" customHeight="false" outlineLevel="0" collapsed="false">
      <c r="A8" s="0" t="s">
        <v>157</v>
      </c>
      <c r="B8" s="0" t="n">
        <f aca="false">SUMPRODUCT(B4:B6,D4:D6)</f>
        <v>4.20351960321413</v>
      </c>
    </row>
    <row r="9" customFormat="false" ht="15" hidden="false" customHeight="false" outlineLevel="0" collapsed="false">
      <c r="A9" s="0" t="s">
        <v>158</v>
      </c>
      <c r="B9" s="0" t="n">
        <f aca="false">SUMPRODUCT(E4:E6,D4:D6)</f>
        <v>4.20351960321413</v>
      </c>
    </row>
    <row r="10" customFormat="false" ht="15" hidden="false" customHeight="false" outlineLevel="0" collapsed="false">
      <c r="A10" s="0" t="s">
        <v>159</v>
      </c>
      <c r="B10" s="0" t="n">
        <f aca="false">1-Assumptions!$B$2/B8</f>
        <v>-0.0729104240531024</v>
      </c>
    </row>
    <row r="11" customFormat="false" ht="15" hidden="false" customHeight="false" outlineLevel="0" collapsed="false">
      <c r="A11" s="0" t="s">
        <v>160</v>
      </c>
      <c r="B11" s="0" t="str">
        <f aca="false">IF(ABS(B9-B8)&gt;0.01*ABS(B8),(Assumptions!$B$2-B8)/(B9-B8)*100,"n/a")</f>
        <v>n/a</v>
      </c>
    </row>
    <row r="12" customFormat="false" ht="15" hidden="false" customHeight="false" outlineLevel="0" collapsed="false">
      <c r="A12" s="0" t="s">
        <v>161</v>
      </c>
      <c r="B12" s="0" t="n">
        <f aca="false">SUMPRODUCT(F4:F6,D4:D6)</f>
        <v>2.17901894288718</v>
      </c>
    </row>
    <row r="14" customFormat="false" ht="15" hidden="false" customHeight="false" outlineLevel="0" collapsed="false">
      <c r="A14" s="2" t="s">
        <v>162</v>
      </c>
      <c r="C14" s="0" t="s">
        <v>163</v>
      </c>
    </row>
    <row r="15" customFormat="false" ht="15" hidden="false" customHeight="false" outlineLevel="0" collapsed="false">
      <c r="A15" s="0" t="s">
        <v>164</v>
      </c>
      <c r="B15" s="0" t="n">
        <f aca="false">(SUMPRODUCT(DCF_Base!$C$19:$L$19/(1+$C$15/100)^DCF_Base!$C$4:$L$4)+MAX(0,MIN(IF($C$15&gt;DCF_Base!$B$28,DCF_Base!$L$19*(1+DCF_Base!$B$28/100)/(($C$15-DCF_Base!$B$28)/100),DCF_Base!$L$19*DCF_Base!$B$29),DCF_Base!$L$19*DCF_Base!$B$29))/(1+$C$15/100)^DCF_Base!$L$4+Assumptions!$B$5-Assumptions!$B$4)/Assumptions!$B$3*Assumptions!$B$10</f>
        <v>4.27797094492892</v>
      </c>
      <c r="C15" s="3" t="n">
        <v>9</v>
      </c>
    </row>
    <row r="16" customFormat="false" ht="15" hidden="false" customHeight="false" outlineLevel="0" collapsed="false">
      <c r="A16" s="0" t="s">
        <v>165</v>
      </c>
      <c r="B16" s="0" t="n">
        <f aca="false">(SUMPRODUCT(DCF_Base!$C$19:$L$19/(1+$C$16/100)^DCF_Base!$C$4:$L$4)+MAX(0,MIN(IF($C$16&gt;DCF_Base!$B$28,DCF_Base!$L$19*(1+DCF_Base!$B$28/100)/(($C$16-DCF_Base!$B$28)/100),DCF_Base!$L$19*DCF_Base!$B$29),DCF_Base!$L$19*DCF_Base!$B$29))/(1+$C$16/100)^DCF_Base!$L$4+Assumptions!$B$5-Assumptions!$B$4)/Assumptions!$B$3*Assumptions!$B$10</f>
        <v>3.70400236538842</v>
      </c>
      <c r="C16" s="3" t="n">
        <v>10</v>
      </c>
    </row>
    <row r="17" customFormat="false" ht="15" hidden="false" customHeight="false" outlineLevel="0" collapsed="false">
      <c r="A17" s="0" t="s">
        <v>166</v>
      </c>
      <c r="B17" s="0" t="n">
        <f aca="false">(SUMPRODUCT(DCF_Base!$C$19:$L$19/(1+$C$17/100)^DCF_Base!$C$4:$L$4)+MAX(0,MIN(IF($C$17&gt;DCF_Base!$B$28,DCF_Base!$L$19*(1+DCF_Base!$B$28/100)/(($C$17-DCF_Base!$B$28)/100),DCF_Base!$L$19*DCF_Base!$B$29),DCF_Base!$L$19*DCF_Base!$B$29))/(1+$C$17/100)^DCF_Base!$L$4+Assumptions!$B$5-Assumptions!$B$4)/Assumptions!$B$3*Assumptions!$B$10</f>
        <v>3.26521471842269</v>
      </c>
      <c r="C17" s="3" t="n">
        <v>11</v>
      </c>
    </row>
    <row r="18" customFormat="false" ht="15" hidden="false" customHeight="false" outlineLevel="0" collapsed="false">
      <c r="A18" s="0" t="s">
        <v>167</v>
      </c>
      <c r="B18" s="0" t="n">
        <f aca="false">(SUMPRODUCT(DCF_Base!$C$19:$L$19/(1+$C$18/100)^DCF_Base!$C$4:$L$4)+MAX(0,MIN(IF($C$18&gt;DCF_Base!$B$28,DCF_Base!$L$19*(1+DCF_Base!$B$28/100)/(($C$18-DCF_Base!$B$28)/100),DCF_Base!$L$19*DCF_Base!$B$29),DCF_Base!$L$19*DCF_Base!$B$29))/(1+$C$18/100)^DCF_Base!$L$4+Assumptions!$B$5-Assumptions!$B$4)/Assumptions!$B$3*Assumptions!$B$10</f>
        <v>2.91891296555149</v>
      </c>
      <c r="C18" s="3" t="n">
        <v>12</v>
      </c>
    </row>
    <row r="19" customFormat="false" ht="15" hidden="false" customHeight="false" outlineLevel="0" collapsed="false">
      <c r="A19" s="0" t="s">
        <v>168</v>
      </c>
      <c r="B19" s="0" t="n">
        <f aca="false">(SUMPRODUCT(DCF_Base!$C$19:$L$19/(1+$C$19/100)^DCF_Base!$C$4:$L$4)+MAX(0,MIN(IF($C$19&gt;DCF_Base!$B$28,DCF_Base!$L$19*(1+DCF_Base!$B$28/100)/(($C$19-DCF_Base!$B$28)/100),DCF_Base!$L$19*DCF_Base!$B$29),DCF_Base!$L$19*DCF_Base!$B$29))/(1+$C$19/100)^DCF_Base!$L$4+Assumptions!$B$5-Assumptions!$B$4)/Assumptions!$B$3*Assumptions!$B$10</f>
        <v>2.2129134861463</v>
      </c>
      <c r="C19" s="3" t="n">
        <v>15</v>
      </c>
    </row>
    <row r="21" customFormat="false" ht="15" hidden="false" customHeight="false" outlineLevel="0" collapsed="false">
      <c r="A21" s="2" t="s">
        <v>169</v>
      </c>
    </row>
    <row r="22" customFormat="false" ht="15" hidden="false" customHeight="false" outlineLevel="0" collapsed="false">
      <c r="B22" s="3" t="n">
        <v>1.5</v>
      </c>
      <c r="C22" s="3" t="n">
        <v>2</v>
      </c>
      <c r="D22" s="3" t="n">
        <v>2.5</v>
      </c>
      <c r="E22" s="3" t="n">
        <v>3</v>
      </c>
      <c r="F22" s="3" t="n">
        <v>3.5</v>
      </c>
    </row>
    <row r="23" customFormat="false" ht="15" hidden="false" customHeight="false" outlineLevel="0" collapsed="false">
      <c r="A23" s="3" t="n">
        <v>7</v>
      </c>
      <c r="B23" s="0" t="n">
        <f aca="false">(SUMPRODUCT(DCF_Base!$C$19:$L$19/(1+$A$23/100)^DCF_Base!$C$4:$L$4)+MAX(0,MIN(IF($A$23&gt;$B$22,DCF_Base!$L$19*(1+$B$22/100)/(($A$23-$B$22)/100),DCF_Base!$L$19*DCF_Base!$B$29),DCF_Base!$L$19*DCF_Base!$B$29))/(1+$A$23/100)^DCF_Base!$L$4+Assumptions!$B$5-Assumptions!$B$4)/Assumptions!$B$3*Assumptions!$B$10</f>
        <v>5.34230598794194</v>
      </c>
      <c r="C23" s="0" t="n">
        <f aca="false">(SUMPRODUCT(DCF_Base!$C$19:$L$19/(1+$A$23/100)^DCF_Base!$C$4:$L$4)+MAX(0,MIN(IF($A$23&gt;$C$22,DCF_Base!$L$19*(1+$C$22/100)/(($A$23-$C$22)/100),DCF_Base!$L$19*DCF_Base!$B$29),DCF_Base!$L$19*DCF_Base!$B$29))/(1+$A$23/100)^DCF_Base!$L$4+Assumptions!$B$5-Assumptions!$B$4)/Assumptions!$B$3*Assumptions!$B$10</f>
        <v>5.34230598794194</v>
      </c>
      <c r="D23" s="0" t="n">
        <f aca="false">(SUMPRODUCT(DCF_Base!$C$19:$L$19/(1+$A$23/100)^DCF_Base!$C$4:$L$4)+MAX(0,MIN(IF($A$23&gt;$D$22,DCF_Base!$L$19*(1+$D$22/100)/(($A$23-$D$22)/100),DCF_Base!$L$19*DCF_Base!$B$29),DCF_Base!$L$19*DCF_Base!$B$29))/(1+$A$23/100)^DCF_Base!$L$4+Assumptions!$B$5-Assumptions!$B$4)/Assumptions!$B$3*Assumptions!$B$10</f>
        <v>5.34230598794194</v>
      </c>
      <c r="E23" s="0" t="n">
        <f aca="false">(SUMPRODUCT(DCF_Base!$C$19:$L$19/(1+$A$23/100)^DCF_Base!$C$4:$L$4)+MAX(0,MIN(IF($A$23&gt;$E$22,DCF_Base!$L$19*(1+$E$22/100)/(($A$23-$E$22)/100),DCF_Base!$L$19*DCF_Base!$B$29),DCF_Base!$L$19*DCF_Base!$B$29))/(1+$A$23/100)^DCF_Base!$L$4+Assumptions!$B$5-Assumptions!$B$4)/Assumptions!$B$3*Assumptions!$B$10</f>
        <v>5.34230598794194</v>
      </c>
      <c r="F23" s="0" t="n">
        <f aca="false">(SUMPRODUCT(DCF_Base!$C$19:$L$19/(1+$A$23/100)^DCF_Base!$C$4:$L$4)+MAX(0,MIN(IF($A$23&gt;$F$22,DCF_Base!$L$19*(1+$F$22/100)/(($A$23-$F$22)/100),DCF_Base!$L$19*DCF_Base!$B$29),DCF_Base!$L$19*DCF_Base!$B$29))/(1+$A$23/100)^DCF_Base!$L$4+Assumptions!$B$5-Assumptions!$B$4)/Assumptions!$B$3*Assumptions!$B$10</f>
        <v>5.34230598794194</v>
      </c>
    </row>
    <row r="24" customFormat="false" ht="15" hidden="false" customHeight="false" outlineLevel="0" collapsed="false">
      <c r="A24" s="3" t="n">
        <v>8</v>
      </c>
      <c r="B24" s="0" t="n">
        <f aca="false">(SUMPRODUCT(DCF_Base!$C$19:$L$19/(1+$A$24/100)^DCF_Base!$C$4:$L$4)+MAX(0,MIN(IF($A$24&gt;$B$22,DCF_Base!$L$19*(1+$B$22/100)/(($A$24-$B$22)/100),DCF_Base!$L$19*DCF_Base!$B$29),DCF_Base!$L$19*DCF_Base!$B$29))/(1+$A$24/100)^DCF_Base!$L$4+Assumptions!$B$5-Assumptions!$B$4)/Assumptions!$B$3*Assumptions!$B$10</f>
        <v>4.57133613633573</v>
      </c>
      <c r="C24" s="0" t="n">
        <f aca="false">(SUMPRODUCT(DCF_Base!$C$19:$L$19/(1+$A$24/100)^DCF_Base!$C$4:$L$4)+MAX(0,MIN(IF($A$24&gt;$C$22,DCF_Base!$L$19*(1+$C$22/100)/(($A$24-$C$22)/100),DCF_Base!$L$19*DCF_Base!$B$29),DCF_Base!$L$19*DCF_Base!$B$29))/(1+$A$24/100)^DCF_Base!$L$4+Assumptions!$B$5-Assumptions!$B$4)/Assumptions!$B$3*Assumptions!$B$10</f>
        <v>4.79570454674865</v>
      </c>
      <c r="D24" s="0" t="n">
        <f aca="false">(SUMPRODUCT(DCF_Base!$C$19:$L$19/(1+$A$24/100)^DCF_Base!$C$4:$L$4)+MAX(0,MIN(IF($A$24&gt;$D$22,DCF_Base!$L$19*(1+$D$22/100)/(($A$24-$D$22)/100),DCF_Base!$L$19*DCF_Base!$B$29),DCF_Base!$L$19*DCF_Base!$B$29))/(1+$A$24/100)^DCF_Base!$L$4+Assumptions!$B$5-Assumptions!$B$4)/Assumptions!$B$3*Assumptions!$B$10</f>
        <v>4.95774839871353</v>
      </c>
      <c r="E24" s="0" t="n">
        <f aca="false">(SUMPRODUCT(DCF_Base!$C$19:$L$19/(1+$A$24/100)^DCF_Base!$C$4:$L$4)+MAX(0,MIN(IF($A$24&gt;$E$22,DCF_Base!$L$19*(1+$E$22/100)/(($A$24-$E$22)/100),DCF_Base!$L$19*DCF_Base!$B$29),DCF_Base!$L$19*DCF_Base!$B$29))/(1+$A$24/100)^DCF_Base!$L$4+Assumptions!$B$5-Assumptions!$B$4)/Assumptions!$B$3*Assumptions!$B$10</f>
        <v>4.95774839871353</v>
      </c>
      <c r="F24" s="0" t="n">
        <f aca="false">(SUMPRODUCT(DCF_Base!$C$19:$L$19/(1+$A$24/100)^DCF_Base!$C$4:$L$4)+MAX(0,MIN(IF($A$24&gt;$F$22,DCF_Base!$L$19*(1+$F$22/100)/(($A$24-$F$22)/100),DCF_Base!$L$19*DCF_Base!$B$29),DCF_Base!$L$19*DCF_Base!$B$29))/(1+$A$24/100)^DCF_Base!$L$4+Assumptions!$B$5-Assumptions!$B$4)/Assumptions!$B$3*Assumptions!$B$10</f>
        <v>4.95774839871353</v>
      </c>
    </row>
    <row r="25" customFormat="false" ht="15" hidden="false" customHeight="false" outlineLevel="0" collapsed="false">
      <c r="A25" s="3" t="n">
        <v>9</v>
      </c>
      <c r="B25" s="0" t="n">
        <f aca="false">(SUMPRODUCT(DCF_Base!$C$19:$L$19/(1+$A$25/100)^DCF_Base!$C$4:$L$4)+MAX(0,MIN(IF($A$25&gt;$B$22,DCF_Base!$L$19*(1+$B$22/100)/(($A$25-$B$22)/100),DCF_Base!$L$19*DCF_Base!$B$29),DCF_Base!$L$19*DCF_Base!$B$29))/(1+$A$25/100)^DCF_Base!$L$4+Assumptions!$B$5-Assumptions!$B$4)/Assumptions!$B$3*Assumptions!$B$10</f>
        <v>3.94755803203909</v>
      </c>
      <c r="C25" s="0" t="n">
        <f aca="false">(SUMPRODUCT(DCF_Base!$C$19:$L$19/(1+$A$25/100)^DCF_Base!$C$4:$L$4)+MAX(0,MIN(IF($A$25&gt;$C$22,DCF_Base!$L$19*(1+$C$22/100)/(($A$25-$C$22)/100),DCF_Base!$L$19*DCF_Base!$B$29),DCF_Base!$L$19*DCF_Base!$B$29))/(1+$A$25/100)^DCF_Base!$L$4+Assumptions!$B$5-Assumptions!$B$4)/Assumptions!$B$3*Assumptions!$B$10</f>
        <v>4.10096402730936</v>
      </c>
      <c r="D25" s="0" t="n">
        <f aca="false">(SUMPRODUCT(DCF_Base!$C$19:$L$19/(1+$A$25/100)^DCF_Base!$C$4:$L$4)+MAX(0,MIN(IF($A$25&gt;$D$22,DCF_Base!$L$19*(1+$D$22/100)/(($A$25-$D$22)/100),DCF_Base!$L$19*DCF_Base!$B$29),DCF_Base!$L$19*DCF_Base!$B$29))/(1+$A$25/100)^DCF_Base!$L$4+Assumptions!$B$5-Assumptions!$B$4)/Assumptions!$B$3*Assumptions!$B$10</f>
        <v>4.27797094492892</v>
      </c>
      <c r="E25" s="0" t="n">
        <f aca="false">(SUMPRODUCT(DCF_Base!$C$19:$L$19/(1+$A$25/100)^DCF_Base!$C$4:$L$4)+MAX(0,MIN(IF($A$25&gt;$E$22,DCF_Base!$L$19*(1+$E$22/100)/(($A$25-$E$22)/100),DCF_Base!$L$19*DCF_Base!$B$29),DCF_Base!$L$19*DCF_Base!$B$29))/(1+$A$25/100)^DCF_Base!$L$4+Assumptions!$B$5-Assumptions!$B$4)/Assumptions!$B$3*Assumptions!$B$10</f>
        <v>4.48447901548506</v>
      </c>
      <c r="F25" s="0" t="n">
        <f aca="false">(SUMPRODUCT(DCF_Base!$C$19:$L$19/(1+$A$25/100)^DCF_Base!$C$4:$L$4)+MAX(0,MIN(IF($A$25&gt;$F$22,DCF_Base!$L$19*(1+$F$22/100)/(($A$25-$F$22)/100),DCF_Base!$L$19*DCF_Base!$B$29),DCF_Base!$L$19*DCF_Base!$B$29))/(1+$A$25/100)^DCF_Base!$L$4+Assumptions!$B$5-Assumptions!$B$4)/Assumptions!$B$3*Assumptions!$B$10</f>
        <v>4.60762603003689</v>
      </c>
    </row>
    <row r="26" customFormat="false" ht="15" hidden="false" customHeight="false" outlineLevel="0" collapsed="false">
      <c r="A26" s="3" t="n">
        <v>10</v>
      </c>
      <c r="B26" s="0" t="n">
        <f aca="false">(SUMPRODUCT(DCF_Base!$C$19:$L$19/(1+$A$26/100)^DCF_Base!$C$4:$L$4)+MAX(0,MIN(IF($A$26&gt;$B$22,DCF_Base!$L$19*(1+$B$22/100)/(($A$26-$B$22)/100),DCF_Base!$L$19*DCF_Base!$B$29),DCF_Base!$L$19*DCF_Base!$B$29))/(1+$A$26/100)^DCF_Base!$L$4+Assumptions!$B$5-Assumptions!$B$4)/Assumptions!$B$3*Assumptions!$B$10</f>
        <v>3.47127054974784</v>
      </c>
      <c r="C26" s="0" t="n">
        <f aca="false">(SUMPRODUCT(DCF_Base!$C$19:$L$19/(1+$A$26/100)^DCF_Base!$C$4:$L$4)+MAX(0,MIN(IF($A$26&gt;$C$22,DCF_Base!$L$19*(1+$C$22/100)/(($A$26-$C$22)/100),DCF_Base!$L$19*DCF_Base!$B$29),DCF_Base!$L$19*DCF_Base!$B$29))/(1+$A$26/100)^DCF_Base!$L$4+Assumptions!$B$5-Assumptions!$B$4)/Assumptions!$B$3*Assumptions!$B$10</f>
        <v>3.58036358832936</v>
      </c>
      <c r="D26" s="0" t="n">
        <f aca="false">(SUMPRODUCT(DCF_Base!$C$19:$L$19/(1+$A$26/100)^DCF_Base!$C$4:$L$4)+MAX(0,MIN(IF($A$26&gt;$D$22,DCF_Base!$L$19*(1+$D$22/100)/(($A$26-$D$22)/100),DCF_Base!$L$19*DCF_Base!$B$29),DCF_Base!$L$19*DCF_Base!$B$29))/(1+$A$26/100)^DCF_Base!$L$4+Assumptions!$B$5-Assumptions!$B$4)/Assumptions!$B$3*Assumptions!$B$10</f>
        <v>3.70400236538842</v>
      </c>
      <c r="E26" s="0" t="n">
        <f aca="false">(SUMPRODUCT(DCF_Base!$C$19:$L$19/(1+$A$26/100)^DCF_Base!$C$4:$L$4)+MAX(0,MIN(IF($A$26&gt;$E$22,DCF_Base!$L$19*(1+$E$22/100)/(($A$26-$E$22)/100),DCF_Base!$L$19*DCF_Base!$B$29),DCF_Base!$L$19*DCF_Base!$B$29))/(1+$A$26/100)^DCF_Base!$L$4+Assumptions!$B$5-Assumptions!$B$4)/Assumptions!$B$3*Assumptions!$B$10</f>
        <v>3.84530382488448</v>
      </c>
      <c r="F26" s="0" t="n">
        <f aca="false">(SUMPRODUCT(DCF_Base!$C$19:$L$19/(1+$A$26/100)^DCF_Base!$C$4:$L$4)+MAX(0,MIN(IF($A$26&gt;$F$22,DCF_Base!$L$19*(1+$F$22/100)/(($A$26-$F$22)/100),DCF_Base!$L$19*DCF_Base!$B$29),DCF_Base!$L$19*DCF_Base!$B$29))/(1+$A$26/100)^DCF_Base!$L$4+Assumptions!$B$5-Assumptions!$B$4)/Assumptions!$B$3*Assumptions!$B$10</f>
        <v>4.00834397045687</v>
      </c>
    </row>
    <row r="27" customFormat="false" ht="15" hidden="false" customHeight="false" outlineLevel="0" collapsed="false">
      <c r="A27" s="3" t="n">
        <v>11</v>
      </c>
      <c r="B27" s="0" t="n">
        <f aca="false">(SUMPRODUCT(DCF_Base!$C$19:$L$19/(1+$A$27/100)^DCF_Base!$C$4:$L$4)+MAX(0,MIN(IF($A$27&gt;$B$22,DCF_Base!$L$19*(1+$B$22/100)/(($A$27-$B$22)/100),DCF_Base!$L$19*DCF_Base!$B$29),DCF_Base!$L$19*DCF_Base!$B$29))/(1+$A$27/100)^DCF_Base!$L$4+Assumptions!$B$5-Assumptions!$B$4)/Assumptions!$B$3*Assumptions!$B$10</f>
        <v>3.0958508467673</v>
      </c>
      <c r="C27" s="0" t="n">
        <f aca="false">(SUMPRODUCT(DCF_Base!$C$19:$L$19/(1+$A$27/100)^DCF_Base!$C$4:$L$4)+MAX(0,MIN(IF($A$27&gt;$C$22,DCF_Base!$L$19*(1+$C$22/100)/(($A$27-$C$22)/100),DCF_Base!$L$19*DCF_Base!$B$29),DCF_Base!$L$19*DCF_Base!$B$29))/(1+$A$27/100)^DCF_Base!$L$4+Assumptions!$B$5-Assumptions!$B$4)/Assumptions!$B$3*Assumptions!$B$10</f>
        <v>3.17582823060457</v>
      </c>
      <c r="D27" s="0" t="n">
        <f aca="false">(SUMPRODUCT(DCF_Base!$C$19:$L$19/(1+$A$27/100)^DCF_Base!$C$4:$L$4)+MAX(0,MIN(IF($A$27&gt;$D$22,DCF_Base!$L$19*(1+$D$22/100)/(($A$27-$D$22)/100),DCF_Base!$L$19*DCF_Base!$B$29),DCF_Base!$L$19*DCF_Base!$B$29))/(1+$A$27/100)^DCF_Base!$L$4+Assumptions!$B$5-Assumptions!$B$4)/Assumptions!$B$3*Assumptions!$B$10</f>
        <v>3.26521471842269</v>
      </c>
      <c r="E27" s="0" t="n">
        <f aca="false">(SUMPRODUCT(DCF_Base!$C$19:$L$19/(1+$A$27/100)^DCF_Base!$C$4:$L$4)+MAX(0,MIN(IF($A$27&gt;$E$22,DCF_Base!$L$19*(1+$E$22/100)/(($A$27-$E$22)/100),DCF_Base!$L$19*DCF_Base!$B$29),DCF_Base!$L$19*DCF_Base!$B$29))/(1+$A$27/100)^DCF_Base!$L$4+Assumptions!$B$5-Assumptions!$B$4)/Assumptions!$B$3*Assumptions!$B$10</f>
        <v>3.36577451721807</v>
      </c>
      <c r="F27" s="0" t="n">
        <f aca="false">(SUMPRODUCT(DCF_Base!$C$19:$L$19/(1+$A$27/100)^DCF_Base!$C$4:$L$4)+MAX(0,MIN(IF($A$27&gt;$F$22,DCF_Base!$L$19*(1+$F$22/100)/(($A$27-$F$22)/100),DCF_Base!$L$19*DCF_Base!$B$29),DCF_Base!$L$19*DCF_Base!$B$29))/(1+$A$27/100)^DCF_Base!$L$4+Assumptions!$B$5-Assumptions!$B$4)/Assumptions!$B$3*Assumptions!$B$10</f>
        <v>3.47974228918618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2026-09-22T20:11:22Z</dcterms:created>
  <dc:creator>openpyxl</dc:creator>
  <dc:description/>
  <dc:language>en-NZ</dc:language>
  <cp:lastModifiedBy/>
  <dcterms:modified xsi:type="dcterms:W3CDTF">2026-09-22T20:11:22Z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