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<sst xmlns="http://schemas.openxmlformats.org/spreadsheetml/2006/main" count="369" uniqueCount="169">
  <si>
    <t xml:space="preserve">Ticker</t>
  </si>
  <si>
    <t xml:space="preserve">BT-A.L</t>
  </si>
  <si>
    <t xml:space="preserve">Company</t>
  </si>
  <si>
    <t xml:space="preserve">BT Group plc</t>
  </si>
  <si>
    <t xml:space="preserve">Valuation date</t>
  </si>
  <si>
    <t xml:space="preserve">2026-10-10</t>
  </si>
  <si>
    <t xml:space="preserve">Current price</t>
  </si>
  <si>
    <t xml:space="preserve">Price as of</t>
  </si>
  <si>
    <t xml:space="preserve">2026-10-09T15:36:06Z regular close (LSE)</t>
  </si>
  <si>
    <t xml:space="preserve">Balance sheet date</t>
  </si>
  <si>
    <t xml:space="preserve">2026-03-31</t>
  </si>
  <si>
    <t xml:space="preserve">Model</t>
  </si>
  <si>
    <t xml:space="preserve">owner_fcf_dcf_component</t>
  </si>
  <si>
    <t xml:space="preserve">Currency (model)</t>
  </si>
  <si>
    <t xml:space="preserve">GBP</t>
  </si>
  <si>
    <t xml:space="preserve">Currency (quote)</t>
  </si>
  <si>
    <t xml:space="preserve">GBp</t>
  </si>
  <si>
    <t xml:space="preserve">Units</t>
  </si>
  <si>
    <t xml:space="preserve">millions</t>
  </si>
  <si>
    <t xml:space="preserve">Engine</t>
  </si>
  <si>
    <t xml:space="preserve">dcf_engine v1</t>
  </si>
  <si>
    <t xml:space="preserve">Built at</t>
  </si>
  <si>
    <t xml:space="preserve">2026-10-09T23:03:14Z</t>
  </si>
  <si>
    <t xml:space="preserve">Drivers file</t>
  </si>
  <si>
    <t xml:space="preserve">BT-A.L_Drivers.json</t>
  </si>
  <si>
    <t xml:space="preserve">Convention</t>
  </si>
  <si>
    <t xml:space="preserve">Percents stored as percents; formulas divide by 100. Blue = input, green = link, black = formula.</t>
  </si>
  <si>
    <t xml:space="preserve">Methodology</t>
  </si>
  <si>
    <t xml:space="preserve">summary: BT is valued as an unlevered stream of owner FCF -- adjusted EBITDA less recurring restructuring cash, SBC, the full IFRS 16 lease payment, unlevered cash tax at a rate ramping to statutory, and capex including spectrum -- discounted at a sterling 7% WACC, with net financial debt, the after-tax IAS 19 pension deficit and the Verizon equalisation receipt bridged once. The thesis the market is paying for is the capex-peak-to-cash inflection; the base case gives management most but not all of it, and the equity's sensitivity to that delivery is what the bear/bull spread shows.
key_risks_to_valuation: Leverage: GBP15.8bn net financial debt plus a GBP3.1bn after-tax pension deficit sit ahead of GBP19bn of equity -- a 10% move in EV is roughly a 20% move in the shares; Capex roll-off slips (30m-premises extension, spectrum auctions, overbuild defence) and the FCF inflection arrives later or smaller than guided; Ofcom Telecoms Access Review 2026-31 and future reviews cap Openreach wholesale pricing below what FTTP take-up would otherwise deliver; Altnet/VMO2/Nexfibre overbuild accelerates Openreach line losses beyond the ~800k/yr run-rate; Cash tax normalises faster than the 5-year ramp assumed as full-expensing capex falls and interest/pension shields shrink; June 2026 triennial pension valuation extends or increases deficit repair beyond the current FY31 end-date; Governance: Bharti Global's 24.5% stake and two board seats; concurrent CFO/Openreach CEO/ExCo turnover during the transition</t>
  </si>
  <si>
    <t xml:space="preserve">Data sources</t>
  </si>
  <si>
    <t xml:space="preserve">price: Yahoo Finance chart API at inputs.price_as_of (LSE regular close); 52-week range 173.0-242.09p
financials: BT-A.L_Metrics.csv / core_metrics (FY2014-FY2026, GBP millions, 'Total reported' basis); BT Group plc Annual Report FY2026 (year ended 31 March 2026) for net debt reconciliation (p.199), lease cash flows, ROU depreciation, pension note 20, share-based payments note 22, diluted shares note 10; H1 FY2026 results release for guidance reconfirmation
qualitative: BT-A.L_Analysis.json (2026-10-10): FY27 guidance, mid-term outlook, Verizon JV, cost transformation, Ofcom TAR 2026-31, competitive and governance factors</t>
  </si>
  <si>
    <t xml:space="preserve">Scenario narrative: bear</t>
  </si>
  <si>
    <t xml:space="preserve">Infrastructure competition and Ofcom cap Openreach's monetisation of the fibre build, revenue erodes toward GBP17bn, the cost programme only offsets inflation, and capex has to stay high to defend footprint. Leverage and the pension deficit absorb most of the enterprise value and the equity is worth less than half today's price.</t>
  </si>
  <si>
    <t xml:space="preserve">Scenario narrative: base</t>
  </si>
  <si>
    <t xml:space="preserve">Capex rolls off as guided (GBP5.1bn -&gt; ~GBP4.3bn FY27 -&gt; ~GBP4.0bn FY30 ex-spectrum) and most of the GBP3.7bn cost programme is delivered, lifting the adjusted EBITDA margin from 42% to ~45% while revenue bottoms in FY28 and grows ~1% thereafter. Unlevered owner FCF rises from ~GBP2.0bn to ~GBP3.1bn by FY36; the valuation sits ~20% below management's GBP3bn FY30 NFCF because spectrum, recurring restructuring cash and a normalising 25% unlevered tax rate are charged. Pension deficit (GBP3.1bn net) and GBP15.8bn net financial debt are deducted once in the bridge.</t>
  </si>
  <si>
    <t xml:space="preserve">Scenario narrative: bull</t>
  </si>
  <si>
    <t xml:space="preserve">Management's plan lands in full: FTTP take-up and CPI-linked wholesale pricing give sustained ~2% revenue growth, margins reach 47%, capex falls below GBP4bn and NFCF hits ~GBP3bn in FY30; the balance sheet reaches BBB+ metrics and enhanced distributions begin, supporting a 15x terminal multiple.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</si>
  <si>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</si>
  <si>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</si>
  <si>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</si>
  <si>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</si>
  <si>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</si>
  <si>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</si>
  <si>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</si>
  <si>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</si>
  <si>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</si>
  <si>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</si>
  <si>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</si>
  <si>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</si>
  <si>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</si>
  <si>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</si>
  <si>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</si>
  <si>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</si>
  <si>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</si>
  <si>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</si>
  <si>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</si>
  <si>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</si>
  <si>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</si>
  <si>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</si>
  <si>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</si>
  <si>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</si>
  <si>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</si>
  <si>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</si>
  <si>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</si>
  <si>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</si>
  <si>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</si>
  <si>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</si>
  <si>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</si>
  <si>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</si>
  <si>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</si>
  <si>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</si>
  <si>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</si>
  <si>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</si>
  <si>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</si>
  <si>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</si>
  <si>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</si>
  <si>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</si>
  <si>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</si>
  <si>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</si>
  <si>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</si>
  <si>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</si>
  <si>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</si>
  <si>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</si>
  <si>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</si>
  <si>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</si>
  <si>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</si>
  <si>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</si>
  <si>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GBP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</si>
  <si>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</si>
  <si>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</si>
  <si>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</si>
  <si>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</si>
  <si>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</si>
  <si>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</si>
  <si>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</si>
  <si>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</si>
  <si>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</si>
  <si>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</si>
  <si>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</si>
  <si>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</si>
  <si>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</si>
  <si>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</si>
  <si>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</si>
  <si>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</si>
  <si>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</si>
  <si>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</si>
  <si>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</si>
  <si>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</si>
  <si>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</si>
  <si>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</si>
  <si>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</si>
  <si>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</si>
  <si>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</si>
  <si>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</si>
  <si>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BT-A.L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</si>
  <si>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</si>
  <si>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</si>
  <si>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</si>
  <si>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</si>
  <si>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</si>
  <si>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</si>
  <si>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</si>
  <si>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</si>
  <si>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</si>
  <si>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</si>
  <si>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</si>
  <si>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</si>
  <si>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</si>
  <si>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</si>
  <si>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</si>
  <si>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</si>
  <si>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</si>
  <si>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</si>
  <si>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</si>
  <si>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</si>
  <si>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</si>
  <si>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</si>
  <si>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</si>
  <si>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</si>
  <si>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</si>
  <si>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</si>
  <si>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</si>
  <si>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</si>
  <si>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</si>
  <si>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</si>
  <si>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BT-A.L owner-FCF component DCF: base case (millions, GBP)</t>
  </si>
  <si>
    <t xml:space="preserve">BT-A.L owner-FCF component DCF: bull case (millions, GBP)</t>
  </si>
  <si>
    <t xml:space="preserve">BT-A.L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</si>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</sst>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192.75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18287</v>
      </c>
      <c r="F2" s="0" t="n">
        <v>3145</v>
      </c>
      <c r="G2" s="0" t="n">
        <v>17.2</v>
      </c>
      <c r="H2" s="0" t="n">
        <v>5840</v>
      </c>
      <c r="I2" s="0" t="n">
        <v>2018</v>
      </c>
      <c r="J2" s="0" t="n">
        <v>11</v>
      </c>
      <c r="K2" s="0" t="n">
        <v>0.245</v>
      </c>
      <c r="L2" s="0" t="n">
        <v>4796</v>
      </c>
      <c r="M2" s="0" t="n">
        <v>2356</v>
      </c>
      <c r="N2" s="0" t="n">
        <v>2440</v>
      </c>
      <c r="O2" s="0" t="n">
        <v>-592</v>
      </c>
      <c r="P2" s="0" t="n">
        <v>24898</v>
      </c>
      <c r="Q2" s="0" t="n">
        <v>25490</v>
      </c>
      <c r="R2" s="0" t="n">
        <v>9814</v>
      </c>
      <c r="S2" s="0" t="n">
        <v>695</v>
      </c>
      <c r="T2" s="0" t="n">
        <v>8236.7</v>
      </c>
      <c r="U2" s="0" t="n">
        <v>60</v>
      </c>
      <c r="AA2" s="0" t="s">
        <v>18</v>
      </c>
      <c r="AB2" s="0" t="s">
        <v>14</v>
      </c>
    </row>
    <row r="3" customFormat="false" ht="15" hidden="false" customHeight="false" outlineLevel="0" collapsed="false">
      <c r="A3" s="0" t="s">
        <v>65</v>
      </c>
      <c r="B3" s="0" t="n">
        <v>17968</v>
      </c>
      <c r="F3" s="0" t="n">
        <v>3402</v>
      </c>
      <c r="G3" s="0" t="n">
        <v>18.9</v>
      </c>
      <c r="H3" s="0" t="n">
        <v>5940</v>
      </c>
      <c r="I3" s="0" t="n">
        <v>2057</v>
      </c>
      <c r="J3" s="0" t="n">
        <v>11.4</v>
      </c>
      <c r="K3" s="0" t="n">
        <v>0.251</v>
      </c>
      <c r="L3" s="0" t="n">
        <v>4788</v>
      </c>
      <c r="M3" s="0" t="n">
        <v>2410</v>
      </c>
      <c r="N3" s="0" t="n">
        <v>2378</v>
      </c>
      <c r="O3" s="0" t="n">
        <v>681</v>
      </c>
      <c r="P3" s="0" t="n">
        <v>27546</v>
      </c>
      <c r="Q3" s="0" t="n">
        <v>26865</v>
      </c>
      <c r="R3" s="0" t="n">
        <v>10176</v>
      </c>
      <c r="S3" s="0" t="n">
        <v>848</v>
      </c>
      <c r="T3" s="0" t="n">
        <v>8195.2</v>
      </c>
      <c r="U3" s="0" t="n">
        <v>70</v>
      </c>
      <c r="AA3" s="0" t="s">
        <v>18</v>
      </c>
      <c r="AB3" s="0" t="s">
        <v>14</v>
      </c>
    </row>
    <row r="4" customFormat="false" ht="15" hidden="false" customHeight="false" outlineLevel="0" collapsed="false">
      <c r="A4" s="0" t="s">
        <v>66</v>
      </c>
      <c r="B4" s="0" t="n">
        <v>19012</v>
      </c>
      <c r="F4" s="0" t="n">
        <v>3613</v>
      </c>
      <c r="G4" s="0" t="n">
        <v>19</v>
      </c>
      <c r="H4" s="0" t="n">
        <v>6244</v>
      </c>
      <c r="I4" s="0" t="n">
        <v>2466</v>
      </c>
      <c r="J4" s="0" t="n">
        <v>13</v>
      </c>
      <c r="K4" s="0" t="n">
        <v>0.282</v>
      </c>
      <c r="L4" s="0" t="n">
        <v>5151</v>
      </c>
      <c r="M4" s="0" t="n">
        <v>2438</v>
      </c>
      <c r="N4" s="0" t="n">
        <v>2713</v>
      </c>
      <c r="O4" s="0" t="n">
        <v>10112</v>
      </c>
      <c r="P4" s="0" t="n">
        <v>42966</v>
      </c>
      <c r="Q4" s="0" t="n">
        <v>32854</v>
      </c>
      <c r="R4" s="0" t="n">
        <v>14761</v>
      </c>
      <c r="S4" s="0" t="n">
        <v>996</v>
      </c>
      <c r="T4" s="0" t="n">
        <v>8744.7</v>
      </c>
      <c r="U4" s="0" t="n">
        <v>58</v>
      </c>
      <c r="AA4" s="0" t="s">
        <v>18</v>
      </c>
      <c r="AB4" s="0" t="s">
        <v>14</v>
      </c>
    </row>
    <row r="5" customFormat="false" ht="15" hidden="false" customHeight="false" outlineLevel="0" collapsed="false">
      <c r="A5" s="0" t="s">
        <v>67</v>
      </c>
      <c r="B5" s="0" t="n">
        <v>24062</v>
      </c>
      <c r="F5" s="0" t="n">
        <v>3167</v>
      </c>
      <c r="G5" s="0" t="n">
        <v>13.2</v>
      </c>
      <c r="H5" s="0" t="n">
        <v>6739</v>
      </c>
      <c r="I5" s="0" t="n">
        <v>1908</v>
      </c>
      <c r="J5" s="0" t="n">
        <v>7.9</v>
      </c>
      <c r="K5" s="0" t="n">
        <v>0.191</v>
      </c>
      <c r="L5" s="0" t="n">
        <v>6174</v>
      </c>
      <c r="M5" s="0" t="n">
        <v>3145</v>
      </c>
      <c r="N5" s="0" t="n">
        <v>3029</v>
      </c>
      <c r="O5" s="0" t="n">
        <v>8335</v>
      </c>
      <c r="P5" s="0" t="n">
        <v>42372</v>
      </c>
      <c r="Q5" s="0" t="n">
        <v>34037</v>
      </c>
      <c r="R5" s="0" t="n">
        <v>12713</v>
      </c>
      <c r="S5" s="0" t="n">
        <v>528</v>
      </c>
      <c r="T5" s="0" t="n">
        <v>9989.5</v>
      </c>
      <c r="U5" s="0" t="n">
        <v>57</v>
      </c>
      <c r="AA5" s="0" t="s">
        <v>18</v>
      </c>
      <c r="AB5" s="0" t="s">
        <v>14</v>
      </c>
    </row>
    <row r="6" customFormat="false" ht="15" hidden="false" customHeight="false" outlineLevel="0" collapsed="false">
      <c r="A6" s="0" t="s">
        <v>68</v>
      </c>
      <c r="B6" s="0" t="n">
        <v>23723</v>
      </c>
      <c r="F6" s="0" t="n">
        <v>3381</v>
      </c>
      <c r="G6" s="0" t="n">
        <v>14.3</v>
      </c>
      <c r="H6" s="0" t="n">
        <v>6895</v>
      </c>
      <c r="I6" s="0" t="n">
        <v>2032</v>
      </c>
      <c r="J6" s="0" t="n">
        <v>8.6</v>
      </c>
      <c r="K6" s="0" t="n">
        <v>0.204</v>
      </c>
      <c r="L6" s="0" t="n">
        <v>4927</v>
      </c>
      <c r="M6" s="0" t="n">
        <v>3362</v>
      </c>
      <c r="N6" s="0" t="n">
        <v>1565</v>
      </c>
      <c r="O6" s="0" t="n">
        <v>10304</v>
      </c>
      <c r="P6" s="0" t="n">
        <v>42759</v>
      </c>
      <c r="Q6" s="0" t="n">
        <v>32455</v>
      </c>
      <c r="R6" s="0" t="n">
        <v>14275</v>
      </c>
      <c r="S6" s="0" t="n">
        <v>528</v>
      </c>
      <c r="T6" s="0" t="n">
        <v>9960.8</v>
      </c>
      <c r="U6" s="0" t="n">
        <v>84</v>
      </c>
      <c r="AA6" s="0" t="s">
        <v>18</v>
      </c>
      <c r="AB6" s="0" t="s">
        <v>14</v>
      </c>
    </row>
    <row r="7" customFormat="false" ht="15" hidden="false" customHeight="false" outlineLevel="0" collapsed="false">
      <c r="A7" s="0" t="s">
        <v>69</v>
      </c>
      <c r="B7" s="0" t="n">
        <v>23428</v>
      </c>
      <c r="F7" s="0" t="n">
        <v>3421</v>
      </c>
      <c r="G7" s="0" t="n">
        <v>14.6</v>
      </c>
      <c r="H7" s="0" t="n">
        <v>6967</v>
      </c>
      <c r="I7" s="0" t="n">
        <v>2159</v>
      </c>
      <c r="J7" s="0" t="n">
        <v>9.2</v>
      </c>
      <c r="K7" s="0" t="n">
        <v>0.216</v>
      </c>
      <c r="L7" s="0" t="n">
        <v>4256</v>
      </c>
      <c r="M7" s="0" t="n">
        <v>3678</v>
      </c>
      <c r="N7" s="0" t="n">
        <v>578</v>
      </c>
      <c r="O7" s="0" t="n">
        <v>10167</v>
      </c>
      <c r="P7" s="0" t="n">
        <v>46287</v>
      </c>
      <c r="Q7" s="0" t="n">
        <v>36120</v>
      </c>
      <c r="R7" s="0" t="n">
        <v>16876</v>
      </c>
      <c r="S7" s="0" t="n">
        <v>1666</v>
      </c>
      <c r="T7" s="0" t="n">
        <v>9995.4</v>
      </c>
      <c r="U7" s="0" t="n">
        <v>67</v>
      </c>
      <c r="AA7" s="0" t="s">
        <v>18</v>
      </c>
      <c r="AB7" s="0" t="s">
        <v>14</v>
      </c>
    </row>
    <row r="8" customFormat="false" ht="15" hidden="false" customHeight="false" outlineLevel="0" collapsed="false">
      <c r="A8" s="0" t="s">
        <v>70</v>
      </c>
      <c r="B8" s="0" t="n">
        <v>22905</v>
      </c>
      <c r="F8" s="0" t="n">
        <v>3283</v>
      </c>
      <c r="G8" s="0" t="n">
        <v>14.3</v>
      </c>
      <c r="H8" s="0" t="n">
        <v>7557</v>
      </c>
      <c r="I8" s="0" t="n">
        <v>1734</v>
      </c>
      <c r="J8" s="0" t="n">
        <v>7.6</v>
      </c>
      <c r="K8" s="0" t="n">
        <v>0.174</v>
      </c>
      <c r="L8" s="0" t="n">
        <v>6271</v>
      </c>
      <c r="M8" s="0" t="n">
        <v>4105</v>
      </c>
      <c r="N8" s="0" t="n">
        <v>2166</v>
      </c>
      <c r="O8" s="0" t="n">
        <v>14763</v>
      </c>
      <c r="P8" s="0" t="n">
        <v>53067</v>
      </c>
      <c r="Q8" s="0" t="n">
        <v>38304</v>
      </c>
      <c r="R8" s="0" t="n">
        <v>19334</v>
      </c>
      <c r="S8" s="0" t="n">
        <v>1549</v>
      </c>
      <c r="T8" s="0" t="n">
        <v>9965.5</v>
      </c>
      <c r="U8" s="0" t="n">
        <v>72</v>
      </c>
      <c r="AA8" s="0" t="s">
        <v>18</v>
      </c>
      <c r="AB8" s="0" t="s">
        <v>14</v>
      </c>
    </row>
    <row r="9" customFormat="false" ht="15" hidden="false" customHeight="false" outlineLevel="0" collapsed="false">
      <c r="A9" s="0" t="s">
        <v>71</v>
      </c>
      <c r="B9" s="0" t="n">
        <v>21331</v>
      </c>
      <c r="F9" s="0" t="n">
        <v>2587</v>
      </c>
      <c r="G9" s="0" t="n">
        <v>12.1</v>
      </c>
      <c r="H9" s="0" t="n">
        <v>6934</v>
      </c>
      <c r="I9" s="0" t="n">
        <v>1472</v>
      </c>
      <c r="J9" s="0" t="n">
        <v>6.9</v>
      </c>
      <c r="K9" s="0" t="n">
        <v>0.146</v>
      </c>
      <c r="L9" s="0" t="n">
        <v>5963</v>
      </c>
      <c r="M9" s="0" t="n">
        <v>4903</v>
      </c>
      <c r="N9" s="0" t="n">
        <v>1060</v>
      </c>
      <c r="O9" s="0" t="n">
        <v>11679</v>
      </c>
      <c r="P9" s="0" t="n">
        <v>50877</v>
      </c>
      <c r="Q9" s="0" t="n">
        <v>39198</v>
      </c>
      <c r="R9" s="0" t="n">
        <v>16685</v>
      </c>
      <c r="S9" s="0" t="n">
        <v>1000</v>
      </c>
      <c r="T9" s="0" t="n">
        <v>10082.2</v>
      </c>
      <c r="U9" s="0" t="n">
        <v>72</v>
      </c>
      <c r="AA9" s="0" t="s">
        <v>18</v>
      </c>
      <c r="AB9" s="0" t="s">
        <v>14</v>
      </c>
    </row>
    <row r="10" customFormat="false" ht="15" hidden="false" customHeight="false" outlineLevel="0" collapsed="false">
      <c r="A10" s="0" t="s">
        <v>72</v>
      </c>
      <c r="B10" s="0" t="n">
        <v>20850</v>
      </c>
      <c r="F10" s="0" t="n">
        <v>2885</v>
      </c>
      <c r="G10" s="0" t="n">
        <v>13.8</v>
      </c>
      <c r="H10" s="0" t="n">
        <v>7290</v>
      </c>
      <c r="I10" s="0" t="n">
        <v>1274</v>
      </c>
      <c r="J10" s="0" t="n">
        <v>6.1</v>
      </c>
      <c r="K10" s="0" t="n">
        <v>0.125</v>
      </c>
      <c r="L10" s="0" t="n">
        <v>5910</v>
      </c>
      <c r="M10" s="0" t="n">
        <v>4607</v>
      </c>
      <c r="N10" s="0" t="n">
        <v>1303</v>
      </c>
      <c r="O10" s="0" t="n">
        <v>15296</v>
      </c>
      <c r="P10" s="0" t="n">
        <v>49774</v>
      </c>
      <c r="Q10" s="0" t="n">
        <v>34478</v>
      </c>
      <c r="R10" s="0" t="n">
        <v>16185</v>
      </c>
      <c r="S10" s="0" t="n">
        <v>777</v>
      </c>
      <c r="T10" s="0" t="n">
        <v>10192</v>
      </c>
      <c r="U10" s="0" t="n">
        <v>108</v>
      </c>
      <c r="AA10" s="0" t="s">
        <v>18</v>
      </c>
      <c r="AB10" s="0" t="s">
        <v>14</v>
      </c>
    </row>
    <row r="11" customFormat="false" ht="15" hidden="false" customHeight="false" outlineLevel="0" collapsed="false">
      <c r="A11" s="0" t="s">
        <v>73</v>
      </c>
      <c r="B11" s="0" t="n">
        <v>20681</v>
      </c>
      <c r="F11" s="0" t="n">
        <v>2619</v>
      </c>
      <c r="G11" s="0" t="n">
        <v>12.7</v>
      </c>
      <c r="H11" s="0" t="n">
        <v>7437</v>
      </c>
      <c r="I11" s="0" t="n">
        <v>1905</v>
      </c>
      <c r="J11" s="0" t="n">
        <v>9.2</v>
      </c>
      <c r="K11" s="0" t="n">
        <v>0.189</v>
      </c>
      <c r="L11" s="0" t="n">
        <v>6724</v>
      </c>
      <c r="M11" s="0" t="n">
        <v>5307</v>
      </c>
      <c r="N11" s="0" t="n">
        <v>1417</v>
      </c>
      <c r="O11" s="0" t="n">
        <v>14514</v>
      </c>
      <c r="P11" s="0" t="n">
        <v>52752</v>
      </c>
      <c r="Q11" s="0" t="n">
        <v>38238</v>
      </c>
      <c r="R11" s="0" t="n">
        <v>18521</v>
      </c>
      <c r="S11" s="0" t="n">
        <v>392</v>
      </c>
      <c r="T11" s="0" t="n">
        <v>10079.4</v>
      </c>
      <c r="U11" s="0" t="n">
        <v>80</v>
      </c>
      <c r="AA11" s="0" t="s">
        <v>18</v>
      </c>
      <c r="AB11" s="0" t="s">
        <v>14</v>
      </c>
    </row>
    <row r="12" customFormat="false" ht="15" hidden="false" customHeight="false" outlineLevel="0" collapsed="false">
      <c r="A12" s="0" t="s">
        <v>74</v>
      </c>
      <c r="B12" s="0" t="n">
        <v>20797</v>
      </c>
      <c r="F12" s="0" t="n">
        <v>2214</v>
      </c>
      <c r="G12" s="0" t="n">
        <v>10.6</v>
      </c>
      <c r="H12" s="0" t="n">
        <v>7612</v>
      </c>
      <c r="I12" s="0" t="n">
        <v>855</v>
      </c>
      <c r="J12" s="0" t="n">
        <v>4.1</v>
      </c>
      <c r="K12" s="0" t="n">
        <v>0.086</v>
      </c>
      <c r="L12" s="0" t="n">
        <v>5953</v>
      </c>
      <c r="M12" s="0" t="n">
        <v>4969</v>
      </c>
      <c r="N12" s="0" t="n">
        <v>984</v>
      </c>
      <c r="O12" s="0" t="n">
        <v>12518</v>
      </c>
      <c r="P12" s="0" t="n">
        <v>51739</v>
      </c>
      <c r="Q12" s="0" t="n">
        <v>39221</v>
      </c>
      <c r="R12" s="0" t="n">
        <v>18526</v>
      </c>
      <c r="S12" s="0" t="n">
        <v>414</v>
      </c>
      <c r="T12" s="0" t="n">
        <v>9941.9</v>
      </c>
      <c r="U12" s="0" t="n">
        <v>71</v>
      </c>
      <c r="AA12" s="0" t="s">
        <v>18</v>
      </c>
      <c r="AB12" s="0" t="s">
        <v>14</v>
      </c>
    </row>
    <row r="13" customFormat="false" ht="15" hidden="false" customHeight="false" outlineLevel="0" collapsed="false">
      <c r="A13" s="0" t="s">
        <v>75</v>
      </c>
      <c r="B13" s="0" t="n">
        <v>20358</v>
      </c>
      <c r="F13" s="0" t="n">
        <v>2492</v>
      </c>
      <c r="G13" s="0" t="n">
        <v>12.2</v>
      </c>
      <c r="H13" s="0" t="n">
        <v>7470</v>
      </c>
      <c r="I13" s="0" t="n">
        <v>1054</v>
      </c>
      <c r="J13" s="0" t="n">
        <v>5.2</v>
      </c>
      <c r="K13" s="0" t="n">
        <v>0.106</v>
      </c>
      <c r="L13" s="0" t="n">
        <v>6989</v>
      </c>
      <c r="M13" s="0" t="n">
        <v>4937</v>
      </c>
      <c r="N13" s="0" t="n">
        <v>2052</v>
      </c>
      <c r="O13" s="0" t="n">
        <v>12908</v>
      </c>
      <c r="P13" s="0" t="n">
        <v>50982</v>
      </c>
      <c r="Q13" s="0" t="n">
        <v>38074</v>
      </c>
      <c r="R13" s="0" t="n">
        <v>18762</v>
      </c>
      <c r="S13" s="0" t="n">
        <v>216</v>
      </c>
      <c r="T13" s="0" t="n">
        <v>9943.4</v>
      </c>
      <c r="U13" s="0" t="n">
        <v>62</v>
      </c>
      <c r="AA13" s="0" t="s">
        <v>18</v>
      </c>
      <c r="AB13" s="0" t="s">
        <v>14</v>
      </c>
    </row>
    <row r="14" customFormat="false" ht="15" hidden="false" customHeight="false" outlineLevel="0" collapsed="false">
      <c r="A14" s="0" t="s">
        <v>76</v>
      </c>
      <c r="B14" s="0" t="n">
        <v>19654</v>
      </c>
      <c r="F14" s="0" t="n">
        <v>2897</v>
      </c>
      <c r="G14" s="0" t="n">
        <v>14.7</v>
      </c>
      <c r="H14" s="0" t="n">
        <v>7810</v>
      </c>
      <c r="I14" s="0" t="n">
        <v>1077</v>
      </c>
      <c r="J14" s="0" t="n">
        <v>5.5</v>
      </c>
      <c r="K14" s="0" t="n">
        <v>0.108</v>
      </c>
      <c r="L14" s="0" t="n">
        <v>7030</v>
      </c>
      <c r="M14" s="0" t="n">
        <v>5169</v>
      </c>
      <c r="N14" s="0" t="n">
        <v>1861</v>
      </c>
      <c r="O14" s="0" t="n">
        <v>12564</v>
      </c>
      <c r="P14" s="0" t="n">
        <v>49976</v>
      </c>
      <c r="Q14" s="0" t="n">
        <v>37412</v>
      </c>
      <c r="R14" s="0" t="n">
        <v>18536</v>
      </c>
      <c r="S14" s="0" t="n">
        <v>359</v>
      </c>
      <c r="T14" s="0" t="n">
        <v>9972.2</v>
      </c>
      <c r="U14" s="0" t="n">
        <v>49</v>
      </c>
      <c r="AA14" s="0" t="s">
        <v>18</v>
      </c>
      <c r="AB14"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192.75</v>
      </c>
    </row>
    <row r="3" customFormat="false" ht="15" hidden="false" customHeight="false" outlineLevel="0" collapsed="false">
      <c r="A3" s="0" t="s">
        <v>80</v>
      </c>
      <c r="B3" s="3" t="n">
        <v>9972</v>
      </c>
    </row>
    <row r="4" customFormat="false" ht="15" hidden="false" customHeight="false" outlineLevel="0" collapsed="false">
      <c r="A4" s="0" t="s">
        <v>81</v>
      </c>
      <c r="B4" s="3" t="n">
        <v>15782</v>
      </c>
    </row>
    <row r="5" customFormat="false" ht="15" hidden="false" customHeight="false" outlineLevel="0" collapsed="false">
      <c r="A5" s="0" t="s">
        <v>82</v>
      </c>
      <c r="B5" s="3" t="n">
        <v>-2635</v>
      </c>
    </row>
    <row r="6" customFormat="false" ht="15" hidden="false" customHeight="false" outlineLevel="0" collapsed="false">
      <c r="A6" s="0" t="s">
        <v>83</v>
      </c>
      <c r="B6" s="3" t="n">
        <v>15</v>
      </c>
    </row>
    <row r="7" customFormat="false" ht="15" hidden="false" customHeight="false" outlineLevel="0" collapsed="false">
      <c r="A7" s="0" t="s">
        <v>84</v>
      </c>
      <c r="B7" s="3" t="n">
        <v>19654</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100</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-3.5</v>
      </c>
      <c r="D13" s="3" t="n">
        <v>-2</v>
      </c>
      <c r="E13" s="3" t="n">
        <v>-1.5</v>
      </c>
      <c r="F13" s="3" t="n">
        <v>-1</v>
      </c>
      <c r="G13" s="3" t="n">
        <v>-1</v>
      </c>
      <c r="H13" s="3" t="n">
        <v>-0.5</v>
      </c>
      <c r="I13" s="3" t="n">
        <v>-0.5</v>
      </c>
      <c r="J13" s="3" t="n">
        <v>-0.5</v>
      </c>
      <c r="K13" s="3" t="n">
        <v>0</v>
      </c>
      <c r="L13" s="3" t="n">
        <v>0</v>
      </c>
    </row>
    <row r="14" customFormat="false" ht="15" hidden="false" customHeight="false" outlineLevel="0" collapsed="false">
      <c r="A14" s="0" t="s">
        <v>101</v>
      </c>
      <c r="C14" s="3" t="n">
        <v>40.8</v>
      </c>
      <c r="D14" s="3" t="n">
        <v>41</v>
      </c>
      <c r="E14" s="3" t="n">
        <v>41.3</v>
      </c>
      <c r="F14" s="3" t="n">
        <v>41.5</v>
      </c>
      <c r="G14" s="3" t="n">
        <v>41.5</v>
      </c>
      <c r="H14" s="3" t="n">
        <v>41.5</v>
      </c>
      <c r="I14" s="3" t="n">
        <v>41.5</v>
      </c>
      <c r="J14" s="3" t="n">
        <v>41.5</v>
      </c>
      <c r="K14" s="3" t="n">
        <v>41.5</v>
      </c>
      <c r="L14" s="3" t="n">
        <v>41.5</v>
      </c>
    </row>
    <row r="15" customFormat="false" ht="15" hidden="false" customHeight="false" outlineLevel="0" collapsed="false">
      <c r="A15" s="0" t="s">
        <v>102</v>
      </c>
      <c r="C15" s="3" t="n">
        <v>0.25</v>
      </c>
      <c r="D15" s="3" t="n">
        <v>0.25</v>
      </c>
      <c r="E15" s="3" t="n">
        <v>0.25</v>
      </c>
      <c r="F15" s="3" t="n">
        <v>0.25</v>
      </c>
      <c r="G15" s="3" t="n">
        <v>0.25</v>
      </c>
      <c r="H15" s="3" t="n">
        <v>0.25</v>
      </c>
      <c r="I15" s="3" t="n">
        <v>0.25</v>
      </c>
      <c r="J15" s="3" t="n">
        <v>0.25</v>
      </c>
      <c r="K15" s="3" t="n">
        <v>0.25</v>
      </c>
      <c r="L15" s="3" t="n">
        <v>0.25</v>
      </c>
    </row>
    <row r="16" customFormat="false" ht="15" hidden="false" customHeight="false" outlineLevel="0" collapsed="false">
      <c r="A16" s="0" t="s">
        <v>103</v>
      </c>
      <c r="C16" s="3" t="n">
        <v>4.4</v>
      </c>
      <c r="D16" s="3" t="n">
        <v>4.4</v>
      </c>
      <c r="E16" s="3" t="n">
        <v>4.3</v>
      </c>
      <c r="F16" s="3" t="n">
        <v>4.3</v>
      </c>
      <c r="G16" s="3" t="n">
        <v>4.2</v>
      </c>
      <c r="H16" s="3" t="n">
        <v>4.2</v>
      </c>
      <c r="I16" s="3" t="n">
        <v>4.2</v>
      </c>
      <c r="J16" s="3" t="n">
        <v>4.2</v>
      </c>
      <c r="K16" s="3" t="n">
        <v>4.2</v>
      </c>
      <c r="L16" s="3" t="n">
        <v>4.2</v>
      </c>
    </row>
    <row r="17" customFormat="false" ht="15" hidden="false" customHeight="false" outlineLevel="0" collapsed="false">
      <c r="A17" s="0" t="s">
        <v>104</v>
      </c>
      <c r="C17" s="3" t="n">
        <v>21.7</v>
      </c>
      <c r="D17" s="3" t="n">
        <v>21.5</v>
      </c>
      <c r="E17" s="3" t="n">
        <v>21.3</v>
      </c>
      <c r="F17" s="3" t="n">
        <v>21</v>
      </c>
      <c r="G17" s="3" t="n">
        <v>20.8</v>
      </c>
      <c r="H17" s="3" t="n">
        <v>20.5</v>
      </c>
      <c r="I17" s="3" t="n">
        <v>20.3</v>
      </c>
      <c r="J17" s="3" t="n">
        <v>20.2</v>
      </c>
      <c r="K17" s="3" t="n">
        <v>20.2</v>
      </c>
      <c r="L17" s="3" t="n">
        <v>20.2</v>
      </c>
    </row>
    <row r="18" customFormat="false" ht="15" hidden="false" customHeight="false" outlineLevel="0" collapsed="false">
      <c r="A18" s="0" t="s">
        <v>105</v>
      </c>
      <c r="C18" s="3" t="n">
        <v>23.8</v>
      </c>
      <c r="D18" s="3" t="n">
        <v>23.3</v>
      </c>
      <c r="E18" s="3" t="n">
        <v>22.8</v>
      </c>
      <c r="F18" s="3" t="n">
        <v>22.3</v>
      </c>
      <c r="G18" s="3" t="n">
        <v>22</v>
      </c>
      <c r="H18" s="3" t="n">
        <v>21.8</v>
      </c>
      <c r="I18" s="3" t="n">
        <v>21.6</v>
      </c>
      <c r="J18" s="3" t="n">
        <v>21.5</v>
      </c>
      <c r="K18" s="3" t="n">
        <v>21.5</v>
      </c>
      <c r="L18" s="3" t="n">
        <v>21.5</v>
      </c>
    </row>
    <row r="19" customFormat="false" ht="15" hidden="false" customHeight="false" outlineLevel="0" collapsed="false">
      <c r="A19" s="0" t="s">
        <v>106</v>
      </c>
      <c r="C19" s="3" t="n">
        <v>18</v>
      </c>
      <c r="D19" s="3" t="n">
        <v>20</v>
      </c>
      <c r="E19" s="3" t="n">
        <v>22</v>
      </c>
      <c r="F19" s="3" t="n">
        <v>24</v>
      </c>
      <c r="G19" s="3" t="n">
        <v>25</v>
      </c>
      <c r="H19" s="3" t="n">
        <v>25</v>
      </c>
      <c r="I19" s="3" t="n">
        <v>25</v>
      </c>
      <c r="J19" s="3" t="n">
        <v>25</v>
      </c>
      <c r="K19" s="3" t="n">
        <v>25</v>
      </c>
      <c r="L19" s="3" t="n">
        <v>25</v>
      </c>
    </row>
    <row r="20" customFormat="false" ht="15" hidden="false" customHeight="false" outlineLevel="0" collapsed="false">
      <c r="A20" s="0" t="s">
        <v>107</v>
      </c>
      <c r="B20" s="3" t="n">
        <v>7</v>
      </c>
    </row>
    <row r="21" customFormat="false" ht="15" hidden="false" customHeight="false" outlineLevel="0" collapsed="false">
      <c r="A21" s="0" t="s">
        <v>108</v>
      </c>
      <c r="B21" s="3" t="n">
        <v>0</v>
      </c>
    </row>
    <row r="22" customFormat="false" ht="15" hidden="false" customHeight="false" outlineLevel="0" collapsed="false">
      <c r="A22" s="0" t="s">
        <v>109</v>
      </c>
      <c r="B22" s="3" t="n">
        <v>12</v>
      </c>
    </row>
    <row r="23" customFormat="false" ht="15" hidden="false" customHeight="false" outlineLevel="0" collapsed="false">
      <c r="A23" s="0" t="s">
        <v>110</v>
      </c>
      <c r="B23" s="3" t="n">
        <v>0</v>
      </c>
    </row>
    <row r="24" customFormat="false" ht="15" hidden="false" customHeight="false" outlineLevel="0" collapsed="false">
      <c r="A24" s="0" t="s">
        <v>111</v>
      </c>
      <c r="B24" s="3" t="n">
        <v>0.25</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-2.5</v>
      </c>
      <c r="D27" s="3" t="n">
        <v>-0.5</v>
      </c>
      <c r="E27" s="3" t="n">
        <v>0.5</v>
      </c>
      <c r="F27" s="3" t="n">
        <v>1</v>
      </c>
      <c r="G27" s="3" t="n">
        <v>1</v>
      </c>
      <c r="H27" s="3" t="n">
        <v>1</v>
      </c>
      <c r="I27" s="3" t="n">
        <v>1</v>
      </c>
      <c r="J27" s="3" t="n">
        <v>1</v>
      </c>
      <c r="K27" s="3" t="n">
        <v>1</v>
      </c>
      <c r="L27" s="3" t="n">
        <v>1</v>
      </c>
    </row>
    <row r="28" customFormat="false" ht="15" hidden="false" customHeight="false" outlineLevel="0" collapsed="false">
      <c r="A28" s="0" t="s">
        <v>101</v>
      </c>
      <c r="C28" s="3" t="n">
        <v>41.4</v>
      </c>
      <c r="D28" s="3" t="n">
        <v>42.4</v>
      </c>
      <c r="E28" s="3" t="n">
        <v>43.4</v>
      </c>
      <c r="F28" s="3" t="n">
        <v>44.2</v>
      </c>
      <c r="G28" s="3" t="n">
        <v>44.8</v>
      </c>
      <c r="H28" s="3" t="n">
        <v>45</v>
      </c>
      <c r="I28" s="3" t="n">
        <v>45</v>
      </c>
      <c r="J28" s="3" t="n">
        <v>45</v>
      </c>
      <c r="K28" s="3" t="n">
        <v>45</v>
      </c>
      <c r="L28" s="3" t="n">
        <v>45</v>
      </c>
    </row>
    <row r="29" customFormat="false" ht="15" hidden="false" customHeight="false" outlineLevel="0" collapsed="false">
      <c r="A29" s="0" t="s">
        <v>102</v>
      </c>
      <c r="C29" s="3" t="n">
        <v>0.25</v>
      </c>
      <c r="D29" s="3" t="n">
        <v>0.25</v>
      </c>
      <c r="E29" s="3" t="n">
        <v>0.25</v>
      </c>
      <c r="F29" s="3" t="n">
        <v>0.25</v>
      </c>
      <c r="G29" s="3" t="n">
        <v>0.25</v>
      </c>
      <c r="H29" s="3" t="n">
        <v>0.25</v>
      </c>
      <c r="I29" s="3" t="n">
        <v>0.25</v>
      </c>
      <c r="J29" s="3" t="n">
        <v>0.25</v>
      </c>
      <c r="K29" s="3" t="n">
        <v>0.25</v>
      </c>
      <c r="L29" s="3" t="n">
        <v>0.25</v>
      </c>
    </row>
    <row r="30" customFormat="false" ht="15" hidden="false" customHeight="false" outlineLevel="0" collapsed="false">
      <c r="A30" s="0" t="s">
        <v>103</v>
      </c>
      <c r="C30" s="3" t="n">
        <v>4.4</v>
      </c>
      <c r="D30" s="3" t="n">
        <v>4.3</v>
      </c>
      <c r="E30" s="3" t="n">
        <v>4.2</v>
      </c>
      <c r="F30" s="3" t="n">
        <v>4.1</v>
      </c>
      <c r="G30" s="3" t="n">
        <v>4</v>
      </c>
      <c r="H30" s="3" t="n">
        <v>4</v>
      </c>
      <c r="I30" s="3" t="n">
        <v>4</v>
      </c>
      <c r="J30" s="3" t="n">
        <v>4</v>
      </c>
      <c r="K30" s="3" t="n">
        <v>4</v>
      </c>
      <c r="L30" s="3" t="n">
        <v>4</v>
      </c>
    </row>
    <row r="31" customFormat="false" ht="15" hidden="false" customHeight="false" outlineLevel="0" collapsed="false">
      <c r="A31" s="0" t="s">
        <v>104</v>
      </c>
      <c r="C31" s="3" t="n">
        <v>21.5</v>
      </c>
      <c r="D31" s="3" t="n">
        <v>21.2</v>
      </c>
      <c r="E31" s="3" t="n">
        <v>20.8</v>
      </c>
      <c r="F31" s="3" t="n">
        <v>20.4</v>
      </c>
      <c r="G31" s="3" t="n">
        <v>20</v>
      </c>
      <c r="H31" s="3" t="n">
        <v>19.7</v>
      </c>
      <c r="I31" s="3" t="n">
        <v>19.5</v>
      </c>
      <c r="J31" s="3" t="n">
        <v>19.3</v>
      </c>
      <c r="K31" s="3" t="n">
        <v>19.2</v>
      </c>
      <c r="L31" s="3" t="n">
        <v>19.2</v>
      </c>
    </row>
    <row r="32" customFormat="false" ht="15" hidden="false" customHeight="false" outlineLevel="0" collapsed="false">
      <c r="A32" s="0" t="s">
        <v>105</v>
      </c>
      <c r="C32" s="3" t="n">
        <v>23.2</v>
      </c>
      <c r="D32" s="3" t="n">
        <v>22.4</v>
      </c>
      <c r="E32" s="3" t="n">
        <v>21.7</v>
      </c>
      <c r="F32" s="3" t="n">
        <v>21</v>
      </c>
      <c r="G32" s="3" t="n">
        <v>20.7</v>
      </c>
      <c r="H32" s="3" t="n">
        <v>20.5</v>
      </c>
      <c r="I32" s="3" t="n">
        <v>20.4</v>
      </c>
      <c r="J32" s="3" t="n">
        <v>20.3</v>
      </c>
      <c r="K32" s="3" t="n">
        <v>20.2</v>
      </c>
      <c r="L32" s="3" t="n">
        <v>20.2</v>
      </c>
    </row>
    <row r="33" customFormat="false" ht="15" hidden="false" customHeight="false" outlineLevel="0" collapsed="false">
      <c r="A33" s="0" t="s">
        <v>106</v>
      </c>
      <c r="C33" s="3" t="n">
        <v>18</v>
      </c>
      <c r="D33" s="3" t="n">
        <v>20</v>
      </c>
      <c r="E33" s="3" t="n">
        <v>22</v>
      </c>
      <c r="F33" s="3" t="n">
        <v>24</v>
      </c>
      <c r="G33" s="3" t="n">
        <v>25</v>
      </c>
      <c r="H33" s="3" t="n">
        <v>25</v>
      </c>
      <c r="I33" s="3" t="n">
        <v>25</v>
      </c>
      <c r="J33" s="3" t="n">
        <v>25</v>
      </c>
      <c r="K33" s="3" t="n">
        <v>25</v>
      </c>
      <c r="L33" s="3" t="n">
        <v>25</v>
      </c>
    </row>
    <row r="34" customFormat="false" ht="15" hidden="false" customHeight="false" outlineLevel="0" collapsed="false">
      <c r="A34" s="0" t="s">
        <v>107</v>
      </c>
      <c r="B34" s="3" t="n">
        <v>7</v>
      </c>
    </row>
    <row r="35" customFormat="false" ht="15" hidden="false" customHeight="false" outlineLevel="0" collapsed="false">
      <c r="A35" s="0" t="s">
        <v>108</v>
      </c>
      <c r="B35" s="3" t="n">
        <v>1</v>
      </c>
    </row>
    <row r="36" customFormat="false" ht="15" hidden="false" customHeight="false" outlineLevel="0" collapsed="false">
      <c r="A36" s="0" t="s">
        <v>109</v>
      </c>
      <c r="B36" s="3" t="n">
        <v>14</v>
      </c>
    </row>
    <row r="37" customFormat="false" ht="15" hidden="false" customHeight="false" outlineLevel="0" collapsed="false">
      <c r="A37" s="0" t="s">
        <v>110</v>
      </c>
      <c r="B37" s="3" t="n">
        <v>0</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-2</v>
      </c>
      <c r="D41" s="3" t="n">
        <v>0.5</v>
      </c>
      <c r="E41" s="3" t="n">
        <v>1.5</v>
      </c>
      <c r="F41" s="3" t="n">
        <v>2</v>
      </c>
      <c r="G41" s="3" t="n">
        <v>2</v>
      </c>
      <c r="H41" s="3" t="n">
        <v>2</v>
      </c>
      <c r="I41" s="3" t="n">
        <v>1.5</v>
      </c>
      <c r="J41" s="3" t="n">
        <v>1.5</v>
      </c>
      <c r="K41" s="3" t="n">
        <v>1.5</v>
      </c>
      <c r="L41" s="3" t="n">
        <v>1.5</v>
      </c>
    </row>
    <row r="42" customFormat="false" ht="15" hidden="false" customHeight="false" outlineLevel="0" collapsed="false">
      <c r="A42" s="0" t="s">
        <v>101</v>
      </c>
      <c r="C42" s="3" t="n">
        <v>41.8</v>
      </c>
      <c r="D42" s="3" t="n">
        <v>43.2</v>
      </c>
      <c r="E42" s="3" t="n">
        <v>44.5</v>
      </c>
      <c r="F42" s="3" t="n">
        <v>45.6</v>
      </c>
      <c r="G42" s="3" t="n">
        <v>46.4</v>
      </c>
      <c r="H42" s="3" t="n">
        <v>46.8</v>
      </c>
      <c r="I42" s="3" t="n">
        <v>47</v>
      </c>
      <c r="J42" s="3" t="n">
        <v>47</v>
      </c>
      <c r="K42" s="3" t="n">
        <v>47</v>
      </c>
      <c r="L42" s="3" t="n">
        <v>47</v>
      </c>
    </row>
    <row r="43" customFormat="false" ht="15" hidden="false" customHeight="false" outlineLevel="0" collapsed="false">
      <c r="A43" s="0" t="s">
        <v>102</v>
      </c>
      <c r="C43" s="3" t="n">
        <v>0.25</v>
      </c>
      <c r="D43" s="3" t="n">
        <v>0.25</v>
      </c>
      <c r="E43" s="3" t="n">
        <v>0.25</v>
      </c>
      <c r="F43" s="3" t="n">
        <v>0.25</v>
      </c>
      <c r="G43" s="3" t="n">
        <v>0.25</v>
      </c>
      <c r="H43" s="3" t="n">
        <v>0.25</v>
      </c>
      <c r="I43" s="3" t="n">
        <v>0.25</v>
      </c>
      <c r="J43" s="3" t="n">
        <v>0.25</v>
      </c>
      <c r="K43" s="3" t="n">
        <v>0.25</v>
      </c>
      <c r="L43" s="3" t="n">
        <v>0.25</v>
      </c>
    </row>
    <row r="44" customFormat="false" ht="15" hidden="false" customHeight="false" outlineLevel="0" collapsed="false">
      <c r="A44" s="0" t="s">
        <v>103</v>
      </c>
      <c r="C44" s="3" t="n">
        <v>4.4</v>
      </c>
      <c r="D44" s="3" t="n">
        <v>4.2</v>
      </c>
      <c r="E44" s="3" t="n">
        <v>4</v>
      </c>
      <c r="F44" s="3" t="n">
        <v>3.9</v>
      </c>
      <c r="G44" s="3" t="n">
        <v>3.8</v>
      </c>
      <c r="H44" s="3" t="n">
        <v>3.8</v>
      </c>
      <c r="I44" s="3" t="n">
        <v>3.8</v>
      </c>
      <c r="J44" s="3" t="n">
        <v>3.8</v>
      </c>
      <c r="K44" s="3" t="n">
        <v>3.8</v>
      </c>
      <c r="L44" s="3" t="n">
        <v>3.8</v>
      </c>
    </row>
    <row r="45" customFormat="false" ht="15" hidden="false" customHeight="false" outlineLevel="0" collapsed="false">
      <c r="A45" s="0" t="s">
        <v>104</v>
      </c>
      <c r="C45" s="3" t="n">
        <v>21.5</v>
      </c>
      <c r="D45" s="3" t="n">
        <v>21</v>
      </c>
      <c r="E45" s="3" t="n">
        <v>20.5</v>
      </c>
      <c r="F45" s="3" t="n">
        <v>20</v>
      </c>
      <c r="G45" s="3" t="n">
        <v>19.5</v>
      </c>
      <c r="H45" s="3" t="n">
        <v>19.2</v>
      </c>
      <c r="I45" s="3" t="n">
        <v>19</v>
      </c>
      <c r="J45" s="3" t="n">
        <v>18.8</v>
      </c>
      <c r="K45" s="3" t="n">
        <v>18.7</v>
      </c>
      <c r="L45" s="3" t="n">
        <v>18.7</v>
      </c>
    </row>
    <row r="46" customFormat="false" ht="15" hidden="false" customHeight="false" outlineLevel="0" collapsed="false">
      <c r="A46" s="0" t="s">
        <v>105</v>
      </c>
      <c r="C46" s="3" t="n">
        <v>22.8</v>
      </c>
      <c r="D46" s="3" t="n">
        <v>21.8</v>
      </c>
      <c r="E46" s="3" t="n">
        <v>21</v>
      </c>
      <c r="F46" s="3" t="n">
        <v>20.2</v>
      </c>
      <c r="G46" s="3" t="n">
        <v>19.8</v>
      </c>
      <c r="H46" s="3" t="n">
        <v>19.5</v>
      </c>
      <c r="I46" s="3" t="n">
        <v>19.3</v>
      </c>
      <c r="J46" s="3" t="n">
        <v>19.2</v>
      </c>
      <c r="K46" s="3" t="n">
        <v>19.2</v>
      </c>
      <c r="L46" s="3" t="n">
        <v>19.2</v>
      </c>
    </row>
    <row r="47" customFormat="false" ht="15" hidden="false" customHeight="false" outlineLevel="0" collapsed="false">
      <c r="A47" s="0" t="s">
        <v>106</v>
      </c>
      <c r="C47" s="3" t="n">
        <v>18</v>
      </c>
      <c r="D47" s="3" t="n">
        <v>20</v>
      </c>
      <c r="E47" s="3" t="n">
        <v>22</v>
      </c>
      <c r="F47" s="3" t="n">
        <v>24</v>
      </c>
      <c r="G47" s="3" t="n">
        <v>25</v>
      </c>
      <c r="H47" s="3" t="n">
        <v>25</v>
      </c>
      <c r="I47" s="3" t="n">
        <v>25</v>
      </c>
      <c r="J47" s="3" t="n">
        <v>25</v>
      </c>
      <c r="K47" s="3" t="n">
        <v>25</v>
      </c>
      <c r="L47" s="3" t="n">
        <v>25</v>
      </c>
    </row>
    <row r="48" customFormat="false" ht="15" hidden="false" customHeight="false" outlineLevel="0" collapsed="false">
      <c r="A48" s="0" t="s">
        <v>107</v>
      </c>
      <c r="B48" s="3" t="n">
        <v>7</v>
      </c>
    </row>
    <row r="49" customFormat="false" ht="15" hidden="false" customHeight="false" outlineLevel="0" collapsed="false">
      <c r="A49" s="0" t="s">
        <v>108</v>
      </c>
      <c r="B49" s="3" t="n">
        <v>1.5</v>
      </c>
    </row>
    <row r="50" customFormat="false" ht="15" hidden="false" customHeight="false" outlineLevel="0" collapsed="false">
      <c r="A50" s="0" t="s">
        <v>109</v>
      </c>
      <c r="B50" s="3" t="n">
        <v>15</v>
      </c>
    </row>
    <row r="51" customFormat="false" ht="15" hidden="false" customHeight="false" outlineLevel="0" collapsed="false">
      <c r="A51" s="0" t="s">
        <v>110</v>
      </c>
      <c r="B51" s="3" t="n">
        <v>0</v>
      </c>
    </row>
    <row r="52" customFormat="false" ht="15" hidden="false" customHeight="false" outlineLevel="0" collapsed="false">
      <c r="A52" s="0" t="s">
        <v>111</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-3.5</v>
      </c>
      <c r="D5" s="4" t="n">
        <f aca="false">Assumptions!D13</f>
        <v>-2</v>
      </c>
      <c r="E5" s="4" t="n">
        <f aca="false">Assumptions!E13</f>
        <v>-1.5</v>
      </c>
      <c r="F5" s="4" t="n">
        <f aca="false">Assumptions!F13</f>
        <v>-1</v>
      </c>
      <c r="G5" s="4" t="n">
        <f aca="false">Assumptions!G13</f>
        <v>-1</v>
      </c>
      <c r="H5" s="4" t="n">
        <f aca="false">Assumptions!H13</f>
        <v>-0.5</v>
      </c>
      <c r="I5" s="4" t="n">
        <f aca="false">Assumptions!I13</f>
        <v>-0.5</v>
      </c>
      <c r="J5" s="4" t="n">
        <f aca="false">Assumptions!J13</f>
        <v>-0.5</v>
      </c>
      <c r="K5" s="4" t="n">
        <f aca="false">Assumptions!K13</f>
        <v>0</v>
      </c>
      <c r="L5" s="4" t="n">
        <f aca="false">Assumptions!L13</f>
        <v>0</v>
      </c>
    </row>
    <row r="6" customFormat="false" ht="15" hidden="false" customHeight="false" outlineLevel="0" collapsed="false">
      <c r="A6" s="0" t="s">
        <v>38</v>
      </c>
      <c r="B6" s="3" t="n">
        <v>19654</v>
      </c>
      <c r="C6" s="0" t="n">
        <f aca="false">B6*(1+C5/100)</f>
        <v>18966.11</v>
      </c>
      <c r="D6" s="0" t="n">
        <f aca="false">C6*(1+D5/100)</f>
        <v>18586.7878</v>
      </c>
      <c r="E6" s="0" t="n">
        <f aca="false">D6*(1+E5/100)</f>
        <v>18307.985983</v>
      </c>
      <c r="F6" s="0" t="n">
        <f aca="false">E6*(1+F5/100)</f>
        <v>18124.90612317</v>
      </c>
      <c r="G6" s="0" t="n">
        <f aca="false">F6*(1+G5/100)</f>
        <v>17943.6570619383</v>
      </c>
      <c r="H6" s="0" t="n">
        <f aca="false">G6*(1+H5/100)</f>
        <v>17853.9387766286</v>
      </c>
      <c r="I6" s="0" t="n">
        <f aca="false">H6*(1+I5/100)</f>
        <v>17764.6690827455</v>
      </c>
      <c r="J6" s="0" t="n">
        <f aca="false">I6*(1+J5/100)</f>
        <v>17675.8457373317</v>
      </c>
      <c r="K6" s="0" t="n">
        <f aca="false">J6*(1+K5/100)</f>
        <v>17675.8457373317</v>
      </c>
      <c r="L6" s="0" t="n">
        <f aca="false">K6*(1+L5/100)</f>
        <v>17675.8457373317</v>
      </c>
    </row>
    <row r="7" customFormat="false" ht="15" hidden="false" customHeight="false" outlineLevel="0" collapsed="false">
      <c r="A7" s="0" t="s">
        <v>101</v>
      </c>
      <c r="C7" s="4" t="n">
        <f aca="false">Assumptions!C14</f>
        <v>40.8</v>
      </c>
      <c r="D7" s="4" t="n">
        <f aca="false">Assumptions!D14</f>
        <v>41</v>
      </c>
      <c r="E7" s="4" t="n">
        <f aca="false">Assumptions!E14</f>
        <v>41.3</v>
      </c>
      <c r="F7" s="4" t="n">
        <f aca="false">Assumptions!F14</f>
        <v>41.5</v>
      </c>
      <c r="G7" s="4" t="n">
        <f aca="false">Assumptions!G14</f>
        <v>41.5</v>
      </c>
      <c r="H7" s="4" t="n">
        <f aca="false">Assumptions!H14</f>
        <v>41.5</v>
      </c>
      <c r="I7" s="4" t="n">
        <f aca="false">Assumptions!I14</f>
        <v>41.5</v>
      </c>
      <c r="J7" s="4" t="n">
        <f aca="false">Assumptions!J14</f>
        <v>41.5</v>
      </c>
      <c r="K7" s="4" t="n">
        <f aca="false">Assumptions!K14</f>
        <v>41.5</v>
      </c>
      <c r="L7" s="4" t="n">
        <f aca="false">Assumptions!L14</f>
        <v>41.5</v>
      </c>
    </row>
    <row r="8" customFormat="false" ht="15" hidden="false" customHeight="false" outlineLevel="0" collapsed="false">
      <c r="A8" s="0" t="s">
        <v>44</v>
      </c>
      <c r="C8" s="0" t="n">
        <f aca="false">C6*C7/100</f>
        <v>7738.17288</v>
      </c>
      <c r="D8" s="0" t="n">
        <f aca="false">D6*D7/100</f>
        <v>7620.582998</v>
      </c>
      <c r="E8" s="0" t="n">
        <f aca="false">E6*E7/100</f>
        <v>7561.198210979</v>
      </c>
      <c r="F8" s="0" t="n">
        <f aca="false">F6*F7/100</f>
        <v>7521.83604111555</v>
      </c>
      <c r="G8" s="0" t="n">
        <f aca="false">G6*G7/100</f>
        <v>7446.6176807044</v>
      </c>
      <c r="H8" s="0" t="n">
        <f aca="false">H6*H7/100</f>
        <v>7409.38459230087</v>
      </c>
      <c r="I8" s="0" t="n">
        <f aca="false">I6*I7/100</f>
        <v>7372.33766933937</v>
      </c>
      <c r="J8" s="0" t="n">
        <f aca="false">J6*J7/100</f>
        <v>7335.47598099267</v>
      </c>
      <c r="K8" s="0" t="n">
        <f aca="false">K6*K7/100</f>
        <v>7335.47598099267</v>
      </c>
      <c r="L8" s="0" t="n">
        <f aca="false">L6*L7/100</f>
        <v>7335.47598099267</v>
      </c>
    </row>
    <row r="9" customFormat="false" ht="15" hidden="false" customHeight="false" outlineLevel="0" collapsed="false">
      <c r="A9" s="0" t="s">
        <v>102</v>
      </c>
      <c r="C9" s="4" t="n">
        <f aca="false">Assumptions!C15</f>
        <v>0.25</v>
      </c>
      <c r="D9" s="4" t="n">
        <f aca="false">Assumptions!D15</f>
        <v>0.25</v>
      </c>
      <c r="E9" s="4" t="n">
        <f aca="false">Assumptions!E15</f>
        <v>0.25</v>
      </c>
      <c r="F9" s="4" t="n">
        <f aca="false">Assumptions!F15</f>
        <v>0.25</v>
      </c>
      <c r="G9" s="4" t="n">
        <f aca="false">Assumptions!G15</f>
        <v>0.25</v>
      </c>
      <c r="H9" s="4" t="n">
        <f aca="false">Assumptions!H15</f>
        <v>0.25</v>
      </c>
      <c r="I9" s="4" t="n">
        <f aca="false">Assumptions!I15</f>
        <v>0.25</v>
      </c>
      <c r="J9" s="4" t="n">
        <f aca="false">Assumptions!J15</f>
        <v>0.25</v>
      </c>
      <c r="K9" s="4" t="n">
        <f aca="false">Assumptions!K15</f>
        <v>0.25</v>
      </c>
      <c r="L9" s="4" t="n">
        <f aca="false">Assumptions!L15</f>
        <v>0.25</v>
      </c>
    </row>
    <row r="10" customFormat="false" ht="15" hidden="false" customHeight="false" outlineLevel="0" collapsed="false">
      <c r="A10" s="0" t="s">
        <v>117</v>
      </c>
      <c r="C10" s="0" t="n">
        <f aca="false">-C6*C9/100</f>
        <v>-47.415275</v>
      </c>
      <c r="D10" s="0" t="n">
        <f aca="false">-D6*D9/100</f>
        <v>-46.4669695</v>
      </c>
      <c r="E10" s="0" t="n">
        <f aca="false">-E6*E9/100</f>
        <v>-45.7699649575</v>
      </c>
      <c r="F10" s="0" t="n">
        <f aca="false">-F6*F9/100</f>
        <v>-45.312265307925</v>
      </c>
      <c r="G10" s="0" t="n">
        <f aca="false">-G6*G9/100</f>
        <v>-44.8591426548458</v>
      </c>
      <c r="H10" s="0" t="n">
        <f aca="false">-H6*H9/100</f>
        <v>-44.6348469415715</v>
      </c>
      <c r="I10" s="0" t="n">
        <f aca="false">-I6*I9/100</f>
        <v>-44.4116727068637</v>
      </c>
      <c r="J10" s="0" t="n">
        <f aca="false">-J6*J9/100</f>
        <v>-44.1896143433293</v>
      </c>
      <c r="K10" s="0" t="n">
        <f aca="false">-K6*K9/100</f>
        <v>-44.1896143433293</v>
      </c>
      <c r="L10" s="0" t="n">
        <f aca="false">-L6*L9/100</f>
        <v>-44.1896143433293</v>
      </c>
    </row>
    <row r="11" customFormat="false" ht="15" hidden="false" customHeight="false" outlineLevel="0" collapsed="false">
      <c r="A11" s="0" t="s">
        <v>118</v>
      </c>
      <c r="C11" s="0" t="n">
        <f aca="false">C8+C10+C24</f>
        <v>6856.248765</v>
      </c>
      <c r="D11" s="0" t="n">
        <f aca="false">D8+D10+D24</f>
        <v>6756.2973653</v>
      </c>
      <c r="E11" s="0" t="n">
        <f aca="false">E8+E10+E24</f>
        <v>6728.1848487525</v>
      </c>
      <c r="F11" s="0" t="n">
        <f aca="false">F8+F10+F24</f>
        <v>6697.15281251132</v>
      </c>
      <c r="G11" s="0" t="n">
        <f aca="false">G8+G10+G24</f>
        <v>6648.12494144814</v>
      </c>
      <c r="H11" s="0" t="n">
        <f aca="false">H8+H10+H24</f>
        <v>6614.8843167409</v>
      </c>
      <c r="I11" s="0" t="n">
        <f aca="false">I8+I10+I24</f>
        <v>6581.8098951572</v>
      </c>
      <c r="J11" s="0" t="n">
        <f aca="false">J8+J10+J24</f>
        <v>6548.90084568141</v>
      </c>
      <c r="K11" s="0" t="n">
        <f aca="false">K8+K10+K24</f>
        <v>6548.90084568141</v>
      </c>
      <c r="L11" s="0" t="n">
        <f aca="false">L8+L10+L24</f>
        <v>6548.90084568141</v>
      </c>
    </row>
    <row r="12" customFormat="false" ht="15" hidden="false" customHeight="false" outlineLevel="0" collapsed="false">
      <c r="A12" s="0" t="s">
        <v>119</v>
      </c>
      <c r="C12" s="4" t="n">
        <f aca="false">-C6*Assumptions!C17/100</f>
        <v>-4115.64587</v>
      </c>
      <c r="D12" s="4" t="n">
        <f aca="false">-D6*Assumptions!D17/100</f>
        <v>-3996.159377</v>
      </c>
      <c r="E12" s="4" t="n">
        <f aca="false">-E6*Assumptions!E17/100</f>
        <v>-3899.601014379</v>
      </c>
      <c r="F12" s="4" t="n">
        <f aca="false">-F6*Assumptions!F17/100</f>
        <v>-3806.2302858657</v>
      </c>
      <c r="G12" s="4" t="n">
        <f aca="false">-G6*Assumptions!G17/100</f>
        <v>-3732.28066888317</v>
      </c>
      <c r="H12" s="4" t="n">
        <f aca="false">-H6*Assumptions!H17/100</f>
        <v>-3660.05744920887</v>
      </c>
      <c r="I12" s="4" t="n">
        <f aca="false">-I6*Assumptions!I17/100</f>
        <v>-3606.22782379733</v>
      </c>
      <c r="J12" s="4" t="n">
        <f aca="false">-J6*Assumptions!J17/100</f>
        <v>-3570.52083894101</v>
      </c>
      <c r="K12" s="4" t="n">
        <f aca="false">-K6*Assumptions!K17/100</f>
        <v>-3570.52083894101</v>
      </c>
      <c r="L12" s="4" t="n">
        <f aca="false">-L6*Assumptions!L17/100</f>
        <v>-3570.52083894101</v>
      </c>
    </row>
    <row r="13" customFormat="false" ht="15" hidden="false" customHeight="false" outlineLevel="0" collapsed="false">
      <c r="A13" s="0" t="s">
        <v>120</v>
      </c>
      <c r="C13" s="0" t="n">
        <f aca="false">C11+C12</f>
        <v>2740.602895</v>
      </c>
      <c r="D13" s="0" t="n">
        <f aca="false">D11+D12</f>
        <v>2760.1379883</v>
      </c>
      <c r="E13" s="0" t="n">
        <f aca="false">E11+E12</f>
        <v>2828.5838343735</v>
      </c>
      <c r="F13" s="0" t="n">
        <f aca="false">F11+F12</f>
        <v>2890.92252664562</v>
      </c>
      <c r="G13" s="0" t="n">
        <f aca="false">G11+G12</f>
        <v>2915.84427256497</v>
      </c>
      <c r="H13" s="0" t="n">
        <f aca="false">H11+H12</f>
        <v>2954.82686753203</v>
      </c>
      <c r="I13" s="0" t="n">
        <f aca="false">I11+I12</f>
        <v>2975.58207135986</v>
      </c>
      <c r="J13" s="0" t="n">
        <f aca="false">J11+J12</f>
        <v>2978.3800067404</v>
      </c>
      <c r="K13" s="0" t="n">
        <f aca="false">K11+K12</f>
        <v>2978.3800067404</v>
      </c>
      <c r="L13" s="0" t="n">
        <f aca="false">L11+L12</f>
        <v>2978.3800067404</v>
      </c>
    </row>
    <row r="14" customFormat="false" ht="15" hidden="false" customHeight="false" outlineLevel="0" collapsed="false">
      <c r="A14" s="0" t="s">
        <v>106</v>
      </c>
      <c r="C14" s="4" t="n">
        <f aca="false">Assumptions!C19</f>
        <v>18</v>
      </c>
      <c r="D14" s="4" t="n">
        <f aca="false">Assumptions!D19</f>
        <v>20</v>
      </c>
      <c r="E14" s="4" t="n">
        <f aca="false">Assumptions!E19</f>
        <v>22</v>
      </c>
      <c r="F14" s="4" t="n">
        <f aca="false">Assumptions!F19</f>
        <v>24</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121</v>
      </c>
      <c r="C15" s="0" t="n">
        <f aca="false">C13-MAX(0,C13)*C14/100</f>
        <v>2247.2943739</v>
      </c>
      <c r="D15" s="0" t="n">
        <f aca="false">D13-MAX(0,D13)*D14/100</f>
        <v>2208.11039064</v>
      </c>
      <c r="E15" s="0" t="n">
        <f aca="false">E13-MAX(0,E13)*E14/100</f>
        <v>2206.29539081133</v>
      </c>
      <c r="F15" s="0" t="n">
        <f aca="false">F13-MAX(0,F13)*F14/100</f>
        <v>2197.10112025067</v>
      </c>
      <c r="G15" s="0" t="n">
        <f aca="false">G13-MAX(0,G13)*G14/100</f>
        <v>2186.88320442373</v>
      </c>
      <c r="H15" s="0" t="n">
        <f aca="false">H13-MAX(0,H13)*H14/100</f>
        <v>2216.12015064903</v>
      </c>
      <c r="I15" s="0" t="n">
        <f aca="false">I13-MAX(0,I13)*I14/100</f>
        <v>2231.6865535199</v>
      </c>
      <c r="J15" s="0" t="n">
        <f aca="false">J13-MAX(0,J13)*J14/100</f>
        <v>2233.7850050553</v>
      </c>
      <c r="K15" s="0" t="n">
        <f aca="false">K13-MAX(0,K13)*K14/100</f>
        <v>2233.7850050553</v>
      </c>
      <c r="L15" s="0" t="n">
        <f aca="false">L13-MAX(0,L13)*L14/100</f>
        <v>2233.7850050553</v>
      </c>
    </row>
    <row r="16" customFormat="false" ht="15" hidden="false" customHeight="false" outlineLevel="0" collapsed="false">
      <c r="A16" s="0" t="s">
        <v>122</v>
      </c>
      <c r="C16" s="0" t="n">
        <f aca="false">-C12</f>
        <v>4115.64587</v>
      </c>
      <c r="D16" s="0" t="n">
        <f aca="false">-D12</f>
        <v>3996.159377</v>
      </c>
      <c r="E16" s="0" t="n">
        <f aca="false">-E12</f>
        <v>3899.601014379</v>
      </c>
      <c r="F16" s="0" t="n">
        <f aca="false">-F12</f>
        <v>3806.2302858657</v>
      </c>
      <c r="G16" s="0" t="n">
        <f aca="false">-G12</f>
        <v>3732.28066888317</v>
      </c>
      <c r="H16" s="0" t="n">
        <f aca="false">-H12</f>
        <v>3660.05744920887</v>
      </c>
      <c r="I16" s="0" t="n">
        <f aca="false">-I12</f>
        <v>3606.22782379733</v>
      </c>
      <c r="J16" s="0" t="n">
        <f aca="false">-J12</f>
        <v>3570.52083894101</v>
      </c>
      <c r="K16" s="0" t="n">
        <f aca="false">-K12</f>
        <v>3570.52083894101</v>
      </c>
      <c r="L16" s="0" t="n">
        <f aca="false">-L12</f>
        <v>3570.52083894101</v>
      </c>
    </row>
    <row r="17" customFormat="false" ht="15" hidden="false" customHeight="false" outlineLevel="0" collapsed="false">
      <c r="A17" s="0" t="s">
        <v>123</v>
      </c>
      <c r="C17" s="4" t="n">
        <f aca="false">-C6*Assumptions!C18/100</f>
        <v>-4513.93418</v>
      </c>
      <c r="D17" s="4" t="n">
        <f aca="false">-D6*Assumptions!D18/100</f>
        <v>-4330.7215574</v>
      </c>
      <c r="E17" s="4" t="n">
        <f aca="false">-E6*Assumptions!E18/100</f>
        <v>-4174.220804124</v>
      </c>
      <c r="F17" s="4" t="n">
        <f aca="false">-F6*Assumptions!F18/100</f>
        <v>-4041.85406546691</v>
      </c>
      <c r="G17" s="4" t="n">
        <f aca="false">-G6*Assumptions!G18/100</f>
        <v>-3947.60455362643</v>
      </c>
      <c r="H17" s="4" t="n">
        <f aca="false">-H6*Assumptions!H18/100</f>
        <v>-3892.15865330504</v>
      </c>
      <c r="I17" s="4" t="n">
        <f aca="false">-I6*Assumptions!I18/100</f>
        <v>-3837.16852187302</v>
      </c>
      <c r="J17" s="4" t="n">
        <f aca="false">-J6*Assumptions!J18/100</f>
        <v>-3800.30683352632</v>
      </c>
      <c r="K17" s="4" t="n">
        <f aca="false">-K6*Assumptions!K18/100</f>
        <v>-3800.30683352632</v>
      </c>
      <c r="L17" s="4" t="n">
        <f aca="false">-L6*Assumptions!L18/100</f>
        <v>-3800.30683352632</v>
      </c>
    </row>
    <row r="18" customFormat="false" ht="15" hidden="false" customHeight="false" outlineLevel="0" collapsed="false">
      <c r="A18" s="0" t="s">
        <v>124</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125</v>
      </c>
      <c r="C19" s="0" t="n">
        <f aca="false">C15+C16+C17+C18</f>
        <v>1849.0060639</v>
      </c>
      <c r="D19" s="0" t="n">
        <f aca="false">D15+D16+D17+D18</f>
        <v>1873.54821024</v>
      </c>
      <c r="E19" s="0" t="n">
        <f aca="false">E15+E16+E17+E18</f>
        <v>1931.67560106633</v>
      </c>
      <c r="F19" s="0" t="n">
        <f aca="false">F15+F16+F17+F18</f>
        <v>1961.47734064946</v>
      </c>
      <c r="G19" s="0" t="n">
        <f aca="false">G15+G16+G17+G18</f>
        <v>1971.55931968047</v>
      </c>
      <c r="H19" s="0" t="n">
        <f aca="false">H15+H16+H17+H18</f>
        <v>1984.01894655285</v>
      </c>
      <c r="I19" s="0" t="n">
        <f aca="false">I15+I16+I17+I18</f>
        <v>2000.74585544421</v>
      </c>
      <c r="J19" s="0" t="n">
        <f aca="false">J15+J16+J17+J18</f>
        <v>2003.99901046999</v>
      </c>
      <c r="K19" s="0" t="n">
        <f aca="false">K15+K16+K17+K18</f>
        <v>2003.99901046999</v>
      </c>
      <c r="L19" s="0" t="n">
        <f aca="false">L15+L16+L17+L18</f>
        <v>2003.99901046999</v>
      </c>
    </row>
    <row r="20" customFormat="false" ht="15" hidden="false" customHeight="false" outlineLevel="0" collapsed="false">
      <c r="A20" s="0" t="s">
        <v>126</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127</v>
      </c>
      <c r="C21" s="0" t="n">
        <f aca="false">C19*C20</f>
        <v>1728.04305037383</v>
      </c>
      <c r="D21" s="0" t="n">
        <f aca="false">D19*D20</f>
        <v>1636.42956611058</v>
      </c>
      <c r="E21" s="0" t="n">
        <f aca="false">E19*E20</f>
        <v>1576.8226919923</v>
      </c>
      <c r="F21" s="0" t="n">
        <f aca="false">F19*F20</f>
        <v>1496.40167172118</v>
      </c>
      <c r="G21" s="0" t="n">
        <f aca="false">G19*G20</f>
        <v>1405.6945469644</v>
      </c>
      <c r="H21" s="0" t="n">
        <f aca="false">H19*H20</f>
        <v>1322.03559694012</v>
      </c>
      <c r="I21" s="0" t="n">
        <f aca="false">I19*I20</f>
        <v>1245.96396505455</v>
      </c>
      <c r="J21" s="0" t="n">
        <f aca="false">J19*J20</f>
        <v>1166.34566963286</v>
      </c>
      <c r="K21" s="0" t="n">
        <f aca="false">K19*K20</f>
        <v>1090.04268189987</v>
      </c>
      <c r="L21" s="0" t="n">
        <f aca="false">L19*L20</f>
        <v>1018.73147841109</v>
      </c>
    </row>
    <row r="23" customFormat="false" ht="15" hidden="false" customHeight="false" outlineLevel="0" collapsed="false">
      <c r="A23" s="0" t="s">
        <v>103</v>
      </c>
      <c r="C23" s="4" t="n">
        <f aca="false">Assumptions!C16</f>
        <v>4.4</v>
      </c>
      <c r="D23" s="4" t="n">
        <f aca="false">Assumptions!D16</f>
        <v>4.4</v>
      </c>
      <c r="E23" s="4" t="n">
        <f aca="false">Assumptions!E16</f>
        <v>4.3</v>
      </c>
      <c r="F23" s="4" t="n">
        <f aca="false">Assumptions!F16</f>
        <v>4.3</v>
      </c>
      <c r="G23" s="4" t="n">
        <f aca="false">Assumptions!G16</f>
        <v>4.2</v>
      </c>
      <c r="H23" s="4" t="n">
        <f aca="false">Assumptions!H16</f>
        <v>4.2</v>
      </c>
      <c r="I23" s="4" t="n">
        <f aca="false">Assumptions!I16</f>
        <v>4.2</v>
      </c>
      <c r="J23" s="4" t="n">
        <f aca="false">Assumptions!J16</f>
        <v>4.2</v>
      </c>
      <c r="K23" s="4" t="n">
        <f aca="false">Assumptions!K16</f>
        <v>4.2</v>
      </c>
      <c r="L23" s="4" t="n">
        <f aca="false">Assumptions!L16</f>
        <v>4.2</v>
      </c>
    </row>
    <row r="24" customFormat="false" ht="15" hidden="false" customHeight="false" outlineLevel="0" collapsed="false">
      <c r="A24" s="0" t="s">
        <v>128</v>
      </c>
      <c r="C24" s="0" t="n">
        <f aca="false">-C6*C23/100</f>
        <v>-834.50884</v>
      </c>
      <c r="D24" s="0" t="n">
        <f aca="false">-D6*D23/100</f>
        <v>-817.8186632</v>
      </c>
      <c r="E24" s="0" t="n">
        <f aca="false">-E6*E23/100</f>
        <v>-787.243397269</v>
      </c>
      <c r="F24" s="0" t="n">
        <f aca="false">-F6*F23/100</f>
        <v>-779.37096329631</v>
      </c>
      <c r="G24" s="0" t="n">
        <f aca="false">-G6*G23/100</f>
        <v>-753.633596601409</v>
      </c>
      <c r="H24" s="0" t="n">
        <f aca="false">-H6*H23/100</f>
        <v>-749.865428618402</v>
      </c>
      <c r="I24" s="0" t="n">
        <f aca="false">-I6*I23/100</f>
        <v>-746.11610147531</v>
      </c>
      <c r="J24" s="0" t="n">
        <f aca="false">-J6*J23/100</f>
        <v>-742.385520967933</v>
      </c>
      <c r="K24" s="0" t="n">
        <f aca="false">-K6*K23/100</f>
        <v>-742.385520967933</v>
      </c>
      <c r="L24" s="0" t="n">
        <f aca="false">-L6*L23/100</f>
        <v>-742.385520967933</v>
      </c>
    </row>
    <row r="26" customFormat="false" ht="15" hidden="false" customHeight="false" outlineLevel="0" collapsed="false">
      <c r="A26" s="2" t="s">
        <v>129</v>
      </c>
    </row>
    <row r="27" customFormat="false" ht="15" hidden="false" customHeight="false" outlineLevel="0" collapsed="false">
      <c r="A27" s="0" t="s">
        <v>107</v>
      </c>
      <c r="B27" s="4" t="n">
        <f aca="false">Assumptions!$B$20</f>
        <v>7</v>
      </c>
    </row>
    <row r="28" customFormat="false" ht="15" hidden="false" customHeight="false" outlineLevel="0" collapsed="false">
      <c r="A28" s="0" t="s">
        <v>108</v>
      </c>
      <c r="B28" s="4" t="n">
        <f aca="false">Assumptions!$B$21</f>
        <v>0</v>
      </c>
    </row>
    <row r="29" customFormat="false" ht="15" hidden="false" customHeight="false" outlineLevel="0" collapsed="false">
      <c r="A29" s="0" t="s">
        <v>109</v>
      </c>
      <c r="B29" s="4" t="n">
        <f aca="false">Assumptions!$B$22</f>
        <v>12</v>
      </c>
    </row>
    <row r="30" customFormat="false" ht="15" hidden="false" customHeight="false" outlineLevel="0" collapsed="false">
      <c r="A30" s="0" t="s">
        <v>130</v>
      </c>
      <c r="B30" s="0" t="n">
        <f aca="false">SUM(C21:L21)</f>
        <v>13686.5109191008</v>
      </c>
    </row>
    <row r="31" customFormat="false" ht="15" hidden="false" customHeight="false" outlineLevel="0" collapsed="false">
      <c r="A31" s="0" t="s">
        <v>131</v>
      </c>
      <c r="B31" s="0" t="n">
        <f aca="false">L19</f>
        <v>2003.99901046999</v>
      </c>
    </row>
    <row r="32" customFormat="false" ht="15" hidden="false" customHeight="false" outlineLevel="0" collapsed="false">
      <c r="A32" s="0" t="s">
        <v>132</v>
      </c>
      <c r="B32" s="0" t="n">
        <f aca="false">IF(B27&gt;B28,B31*(1+B28/100)/((B27-B28)/100),B31*B29)</f>
        <v>28628.5572924284</v>
      </c>
    </row>
    <row r="33" customFormat="false" ht="15" hidden="false" customHeight="false" outlineLevel="0" collapsed="false">
      <c r="A33" s="0" t="s">
        <v>133</v>
      </c>
      <c r="B33" s="0" t="n">
        <f aca="false">B31*B29</f>
        <v>24047.9881256398</v>
      </c>
    </row>
    <row r="34" customFormat="false" ht="15" hidden="false" customHeight="false" outlineLevel="0" collapsed="false">
      <c r="A34" s="0" t="s">
        <v>134</v>
      </c>
      <c r="B34" s="0" t="n">
        <f aca="false">MAX(0,MIN(B32,B33))</f>
        <v>24047.9881256398</v>
      </c>
    </row>
    <row r="35" customFormat="false" ht="15" hidden="false" customHeight="false" outlineLevel="0" collapsed="false">
      <c r="A35" s="0" t="s">
        <v>135</v>
      </c>
      <c r="B35" s="0" t="n">
        <f aca="false">B34/(1+B27/100)^L4</f>
        <v>12224.7777409331</v>
      </c>
    </row>
    <row r="36" customFormat="false" ht="15" hidden="false" customHeight="false" outlineLevel="0" collapsed="false">
      <c r="A36" s="0" t="s">
        <v>136</v>
      </c>
      <c r="B36" s="0" t="n">
        <f aca="false">B30+B35</f>
        <v>25911.2886600339</v>
      </c>
    </row>
    <row r="37" customFormat="false" ht="15" hidden="false" customHeight="false" outlineLevel="0" collapsed="false">
      <c r="A37" s="0" t="s">
        <v>137</v>
      </c>
      <c r="B37" s="0" t="n">
        <f aca="false">B36+Assumptions!$B$5-Assumptions!$B$4</f>
        <v>7494.28866003388</v>
      </c>
    </row>
    <row r="38" customFormat="false" ht="15" hidden="false" customHeight="false" outlineLevel="0" collapsed="false">
      <c r="A38" s="0" t="s">
        <v>138</v>
      </c>
      <c r="B38" s="0" t="n">
        <f aca="false">B37/Assumptions!$B$3*Assumptions!$B$10</f>
        <v>75.1533158848163</v>
      </c>
    </row>
    <row r="39" customFormat="false" ht="15" hidden="false" customHeight="false" outlineLevel="0" collapsed="false">
      <c r="A39" s="0" t="s">
        <v>139</v>
      </c>
      <c r="B39" s="4" t="n">
        <f aca="false">B38/Assumptions!$B$2-1</f>
        <v>-0.610099528483443</v>
      </c>
    </row>
    <row r="41" customFormat="false" ht="15" hidden="false" customHeight="false" outlineLevel="0" collapsed="false">
      <c r="A41" s="0" t="s">
        <v>140</v>
      </c>
      <c r="B41" s="0" t="n">
        <f aca="false">SUMPRODUCT(-C10:L10/(1+$B$27/100)^C4:L4)</f>
        <v>318.431956320205</v>
      </c>
    </row>
    <row r="42" customFormat="false" ht="15" hidden="false" customHeight="false" outlineLevel="0" collapsed="false">
      <c r="A42" s="0" t="s">
        <v>141</v>
      </c>
      <c r="B42" s="0" t="n">
        <f aca="false">IF(B27&gt;B28,-L10*(1+B28/100)/((B27-B28)/100),-L10*20)/(1+B27/100)^L4</f>
        <v>320.910845301966</v>
      </c>
    </row>
    <row r="43" customFormat="false" ht="15" hidden="false" customHeight="false" outlineLevel="0" collapsed="false">
      <c r="A43" s="0" t="s">
        <v>142</v>
      </c>
      <c r="B43" s="0" t="n">
        <f aca="false">(B37+B41+B42)/Assumptions!$B$3*Assumptions!$B$10</f>
        <v>81.5646957647017</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13359.9934031332</v>
      </c>
    </row>
    <row r="47" customFormat="false" ht="15" hidden="false" customHeight="false" outlineLevel="0" collapsed="false">
      <c r="A47" s="0" t="s">
        <v>144</v>
      </c>
      <c r="B47" s="0" t="n">
        <f aca="false">(SUMPRODUCT(C19:L19/(1+B45/100)^C4:L4)+B46/(1+B45/100)^L4+Assumptions!$B$5-Assumptions!$B$4)/Assumptions!$B$3*Assumptions!$B$10</f>
        <v>-54.0340705080168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-2.5</v>
      </c>
      <c r="D5" s="4" t="n">
        <f aca="false">Assumptions!D27</f>
        <v>-0.5</v>
      </c>
      <c r="E5" s="4" t="n">
        <f aca="false">Assumptions!E27</f>
        <v>0.5</v>
      </c>
      <c r="F5" s="4" t="n">
        <f aca="false">Assumptions!F27</f>
        <v>1</v>
      </c>
      <c r="G5" s="4" t="n">
        <f aca="false">Assumptions!G27</f>
        <v>1</v>
      </c>
      <c r="H5" s="4" t="n">
        <f aca="false">Assumptions!H27</f>
        <v>1</v>
      </c>
      <c r="I5" s="4" t="n">
        <f aca="false">Assumptions!I27</f>
        <v>1</v>
      </c>
      <c r="J5" s="4" t="n">
        <f aca="false">Assumptions!J27</f>
        <v>1</v>
      </c>
      <c r="K5" s="4" t="n">
        <f aca="false">Assumptions!K27</f>
        <v>1</v>
      </c>
      <c r="L5" s="4" t="n">
        <f aca="false">Assumptions!L27</f>
        <v>1</v>
      </c>
    </row>
    <row r="6" customFormat="false" ht="15" hidden="false" customHeight="false" outlineLevel="0" collapsed="false">
      <c r="A6" s="0" t="s">
        <v>38</v>
      </c>
      <c r="B6" s="3" t="n">
        <v>19654</v>
      </c>
      <c r="C6" s="0" t="n">
        <f aca="false">B6*(1+C5/100)</f>
        <v>19162.65</v>
      </c>
      <c r="D6" s="0" t="n">
        <f aca="false">C6*(1+D5/100)</f>
        <v>19066.83675</v>
      </c>
      <c r="E6" s="0" t="n">
        <f aca="false">D6*(1+E5/100)</f>
        <v>19162.17093375</v>
      </c>
      <c r="F6" s="0" t="n">
        <f aca="false">E6*(1+F5/100)</f>
        <v>19353.7926430875</v>
      </c>
      <c r="G6" s="0" t="n">
        <f aca="false">F6*(1+G5/100)</f>
        <v>19547.3305695184</v>
      </c>
      <c r="H6" s="0" t="n">
        <f aca="false">G6*(1+H5/100)</f>
        <v>19742.8038752136</v>
      </c>
      <c r="I6" s="0" t="n">
        <f aca="false">H6*(1+I5/100)</f>
        <v>19940.2319139657</v>
      </c>
      <c r="J6" s="0" t="n">
        <f aca="false">I6*(1+J5/100)</f>
        <v>20139.6342331054</v>
      </c>
      <c r="K6" s="0" t="n">
        <f aca="false">J6*(1+K5/100)</f>
        <v>20341.0305754364</v>
      </c>
      <c r="L6" s="0" t="n">
        <f aca="false">K6*(1+L5/100)</f>
        <v>20544.4408811908</v>
      </c>
    </row>
    <row r="7" customFormat="false" ht="15" hidden="false" customHeight="false" outlineLevel="0" collapsed="false">
      <c r="A7" s="0" t="s">
        <v>101</v>
      </c>
      <c r="C7" s="4" t="n">
        <f aca="false">Assumptions!C28</f>
        <v>41.4</v>
      </c>
      <c r="D7" s="4" t="n">
        <f aca="false">Assumptions!D28</f>
        <v>42.4</v>
      </c>
      <c r="E7" s="4" t="n">
        <f aca="false">Assumptions!E28</f>
        <v>43.4</v>
      </c>
      <c r="F7" s="4" t="n">
        <f aca="false">Assumptions!F28</f>
        <v>44.2</v>
      </c>
      <c r="G7" s="4" t="n">
        <f aca="false">Assumptions!G28</f>
        <v>44.8</v>
      </c>
      <c r="H7" s="4" t="n">
        <f aca="false">Assumptions!H28</f>
        <v>45</v>
      </c>
      <c r="I7" s="4" t="n">
        <f aca="false">Assumptions!I28</f>
        <v>45</v>
      </c>
      <c r="J7" s="4" t="n">
        <f aca="false">Assumptions!J28</f>
        <v>45</v>
      </c>
      <c r="K7" s="4" t="n">
        <f aca="false">Assumptions!K28</f>
        <v>45</v>
      </c>
      <c r="L7" s="4" t="n">
        <f aca="false">Assumptions!L28</f>
        <v>45</v>
      </c>
    </row>
    <row r="8" customFormat="false" ht="15" hidden="false" customHeight="false" outlineLevel="0" collapsed="false">
      <c r="A8" s="0" t="s">
        <v>44</v>
      </c>
      <c r="C8" s="0" t="n">
        <f aca="false">C6*C7/100</f>
        <v>7933.3371</v>
      </c>
      <c r="D8" s="0" t="n">
        <f aca="false">D6*D7/100</f>
        <v>8084.338782</v>
      </c>
      <c r="E8" s="0" t="n">
        <f aca="false">E6*E7/100</f>
        <v>8316.3821852475</v>
      </c>
      <c r="F8" s="0" t="n">
        <f aca="false">F6*F7/100</f>
        <v>8554.37634824467</v>
      </c>
      <c r="G8" s="0" t="n">
        <f aca="false">G6*G7/100</f>
        <v>8757.20409514423</v>
      </c>
      <c r="H8" s="0" t="n">
        <f aca="false">H6*H7/100</f>
        <v>8884.2617438461</v>
      </c>
      <c r="I8" s="0" t="n">
        <f aca="false">I6*I7/100</f>
        <v>8973.10436128456</v>
      </c>
      <c r="J8" s="0" t="n">
        <f aca="false">J6*J7/100</f>
        <v>9062.83540489741</v>
      </c>
      <c r="K8" s="0" t="n">
        <f aca="false">K6*K7/100</f>
        <v>9153.46375894638</v>
      </c>
      <c r="L8" s="0" t="n">
        <f aca="false">L6*L7/100</f>
        <v>9244.99839653585</v>
      </c>
    </row>
    <row r="9" customFormat="false" ht="15" hidden="false" customHeight="false" outlineLevel="0" collapsed="false">
      <c r="A9" s="0" t="s">
        <v>102</v>
      </c>
      <c r="C9" s="4" t="n">
        <f aca="false">Assumptions!C29</f>
        <v>0.25</v>
      </c>
      <c r="D9" s="4" t="n">
        <f aca="false">Assumptions!D29</f>
        <v>0.25</v>
      </c>
      <c r="E9" s="4" t="n">
        <f aca="false">Assumptions!E29</f>
        <v>0.25</v>
      </c>
      <c r="F9" s="4" t="n">
        <f aca="false">Assumptions!F29</f>
        <v>0.25</v>
      </c>
      <c r="G9" s="4" t="n">
        <f aca="false">Assumptions!G29</f>
        <v>0.25</v>
      </c>
      <c r="H9" s="4" t="n">
        <f aca="false">Assumptions!H29</f>
        <v>0.25</v>
      </c>
      <c r="I9" s="4" t="n">
        <f aca="false">Assumptions!I29</f>
        <v>0.25</v>
      </c>
      <c r="J9" s="4" t="n">
        <f aca="false">Assumptions!J29</f>
        <v>0.25</v>
      </c>
      <c r="K9" s="4" t="n">
        <f aca="false">Assumptions!K29</f>
        <v>0.25</v>
      </c>
      <c r="L9" s="4" t="n">
        <f aca="false">Assumptions!L29</f>
        <v>0.25</v>
      </c>
    </row>
    <row r="10" customFormat="false" ht="15" hidden="false" customHeight="false" outlineLevel="0" collapsed="false">
      <c r="A10" s="0" t="s">
        <v>117</v>
      </c>
      <c r="C10" s="0" t="n">
        <f aca="false">-C6*C9/100</f>
        <v>-47.906625</v>
      </c>
      <c r="D10" s="0" t="n">
        <f aca="false">-D6*D9/100</f>
        <v>-47.667091875</v>
      </c>
      <c r="E10" s="0" t="n">
        <f aca="false">-E6*E9/100</f>
        <v>-47.905427334375</v>
      </c>
      <c r="F10" s="0" t="n">
        <f aca="false">-F6*F9/100</f>
        <v>-48.3844816077188</v>
      </c>
      <c r="G10" s="0" t="n">
        <f aca="false">-G6*G9/100</f>
        <v>-48.8683264237959</v>
      </c>
      <c r="H10" s="0" t="n">
        <f aca="false">-H6*H9/100</f>
        <v>-49.3570096880339</v>
      </c>
      <c r="I10" s="0" t="n">
        <f aca="false">-I6*I9/100</f>
        <v>-49.8505797849142</v>
      </c>
      <c r="J10" s="0" t="n">
        <f aca="false">-J6*J9/100</f>
        <v>-50.3490855827634</v>
      </c>
      <c r="K10" s="0" t="n">
        <f aca="false">-K6*K9/100</f>
        <v>-50.852576438591</v>
      </c>
      <c r="L10" s="0" t="n">
        <f aca="false">-L6*L9/100</f>
        <v>-51.3611022029769</v>
      </c>
    </row>
    <row r="11" customFormat="false" ht="15" hidden="false" customHeight="false" outlineLevel="0" collapsed="false">
      <c r="A11" s="0" t="s">
        <v>118</v>
      </c>
      <c r="C11" s="0" t="n">
        <f aca="false">C8+C10+C24</f>
        <v>7042.273875</v>
      </c>
      <c r="D11" s="0" t="n">
        <f aca="false">D8+D10+D24</f>
        <v>7216.797709875</v>
      </c>
      <c r="E11" s="0" t="n">
        <f aca="false">E8+E10+E24</f>
        <v>7463.66557869562</v>
      </c>
      <c r="F11" s="0" t="n">
        <f aca="false">F8+F10+F24</f>
        <v>7712.48636827037</v>
      </c>
      <c r="G11" s="0" t="n">
        <f aca="false">G8+G10+G24</f>
        <v>7926.4425459397</v>
      </c>
      <c r="H11" s="0" t="n">
        <f aca="false">H8+H10+H24</f>
        <v>8045.19257914953</v>
      </c>
      <c r="I11" s="0" t="n">
        <f aca="false">I8+I10+I24</f>
        <v>8125.64450494102</v>
      </c>
      <c r="J11" s="0" t="n">
        <f aca="false">J8+J10+J24</f>
        <v>8206.90094999043</v>
      </c>
      <c r="K11" s="0" t="n">
        <f aca="false">K8+K10+K24</f>
        <v>8288.96995949034</v>
      </c>
      <c r="L11" s="0" t="n">
        <f aca="false">L8+L10+L24</f>
        <v>8371.85965908524</v>
      </c>
    </row>
    <row r="12" customFormat="false" ht="15" hidden="false" customHeight="false" outlineLevel="0" collapsed="false">
      <c r="A12" s="0" t="s">
        <v>119</v>
      </c>
      <c r="C12" s="4" t="n">
        <f aca="false">-C6*Assumptions!C31/100</f>
        <v>-4119.96975</v>
      </c>
      <c r="D12" s="4" t="n">
        <f aca="false">-D6*Assumptions!D31/100</f>
        <v>-4042.169391</v>
      </c>
      <c r="E12" s="4" t="n">
        <f aca="false">-E6*Assumptions!E31/100</f>
        <v>-3985.73155422</v>
      </c>
      <c r="F12" s="4" t="n">
        <f aca="false">-F6*Assumptions!F31/100</f>
        <v>-3948.17369918985</v>
      </c>
      <c r="G12" s="4" t="n">
        <f aca="false">-G6*Assumptions!G31/100</f>
        <v>-3909.46611390368</v>
      </c>
      <c r="H12" s="4" t="n">
        <f aca="false">-H6*Assumptions!H31/100</f>
        <v>-3889.33236341707</v>
      </c>
      <c r="I12" s="4" t="n">
        <f aca="false">-I6*Assumptions!I31/100</f>
        <v>-3888.34522322331</v>
      </c>
      <c r="J12" s="4" t="n">
        <f aca="false">-J6*Assumptions!J31/100</f>
        <v>-3886.94940698933</v>
      </c>
      <c r="K12" s="4" t="n">
        <f aca="false">-K6*Assumptions!K31/100</f>
        <v>-3905.47787048379</v>
      </c>
      <c r="L12" s="4" t="n">
        <f aca="false">-L6*Assumptions!L31/100</f>
        <v>-3944.53264918863</v>
      </c>
    </row>
    <row r="13" customFormat="false" ht="15" hidden="false" customHeight="false" outlineLevel="0" collapsed="false">
      <c r="A13" s="0" t="s">
        <v>120</v>
      </c>
      <c r="C13" s="0" t="n">
        <f aca="false">C11+C12</f>
        <v>2922.304125</v>
      </c>
      <c r="D13" s="0" t="n">
        <f aca="false">D11+D12</f>
        <v>3174.628318875</v>
      </c>
      <c r="E13" s="0" t="n">
        <f aca="false">E11+E12</f>
        <v>3477.93402447563</v>
      </c>
      <c r="F13" s="0" t="n">
        <f aca="false">F11+F12</f>
        <v>3764.31266908052</v>
      </c>
      <c r="G13" s="0" t="n">
        <f aca="false">G11+G12</f>
        <v>4016.97643203603</v>
      </c>
      <c r="H13" s="0" t="n">
        <f aca="false">H11+H12</f>
        <v>4155.86021573246</v>
      </c>
      <c r="I13" s="0" t="n">
        <f aca="false">I11+I12</f>
        <v>4237.29928171771</v>
      </c>
      <c r="J13" s="0" t="n">
        <f aca="false">J11+J12</f>
        <v>4319.9515430011</v>
      </c>
      <c r="K13" s="0" t="n">
        <f aca="false">K11+K12</f>
        <v>4383.49208900655</v>
      </c>
      <c r="L13" s="0" t="n">
        <f aca="false">L11+L12</f>
        <v>4427.32700989661</v>
      </c>
    </row>
    <row r="14" customFormat="false" ht="15" hidden="false" customHeight="false" outlineLevel="0" collapsed="false">
      <c r="A14" s="0" t="s">
        <v>106</v>
      </c>
      <c r="C14" s="4" t="n">
        <f aca="false">Assumptions!C33</f>
        <v>18</v>
      </c>
      <c r="D14" s="4" t="n">
        <f aca="false">Assumptions!D33</f>
        <v>20</v>
      </c>
      <c r="E14" s="4" t="n">
        <f aca="false">Assumptions!E33</f>
        <v>22</v>
      </c>
      <c r="F14" s="4" t="n">
        <f aca="false">Assumptions!F33</f>
        <v>24</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121</v>
      </c>
      <c r="C15" s="0" t="n">
        <f aca="false">C13-MAX(0,C13)*C14/100</f>
        <v>2396.2893825</v>
      </c>
      <c r="D15" s="0" t="n">
        <f aca="false">D13-MAX(0,D13)*D14/100</f>
        <v>2539.7026551</v>
      </c>
      <c r="E15" s="0" t="n">
        <f aca="false">E13-MAX(0,E13)*E14/100</f>
        <v>2712.78853909099</v>
      </c>
      <c r="F15" s="0" t="n">
        <f aca="false">F13-MAX(0,F13)*F14/100</f>
        <v>2860.8776285012</v>
      </c>
      <c r="G15" s="0" t="n">
        <f aca="false">G13-MAX(0,G13)*G14/100</f>
        <v>3012.73232402702</v>
      </c>
      <c r="H15" s="0" t="n">
        <f aca="false">H13-MAX(0,H13)*H14/100</f>
        <v>3116.89516179934</v>
      </c>
      <c r="I15" s="0" t="n">
        <f aca="false">I13-MAX(0,I13)*I14/100</f>
        <v>3177.97446128828</v>
      </c>
      <c r="J15" s="0" t="n">
        <f aca="false">J13-MAX(0,J13)*J14/100</f>
        <v>3239.96365725082</v>
      </c>
      <c r="K15" s="0" t="n">
        <f aca="false">K13-MAX(0,K13)*K14/100</f>
        <v>3287.61906675491</v>
      </c>
      <c r="L15" s="0" t="n">
        <f aca="false">L13-MAX(0,L13)*L14/100</f>
        <v>3320.49525742246</v>
      </c>
    </row>
    <row r="16" customFormat="false" ht="15" hidden="false" customHeight="false" outlineLevel="0" collapsed="false">
      <c r="A16" s="0" t="s">
        <v>122</v>
      </c>
      <c r="C16" s="0" t="n">
        <f aca="false">-C12</f>
        <v>4119.96975</v>
      </c>
      <c r="D16" s="0" t="n">
        <f aca="false">-D12</f>
        <v>4042.169391</v>
      </c>
      <c r="E16" s="0" t="n">
        <f aca="false">-E12</f>
        <v>3985.73155422</v>
      </c>
      <c r="F16" s="0" t="n">
        <f aca="false">-F12</f>
        <v>3948.17369918985</v>
      </c>
      <c r="G16" s="0" t="n">
        <f aca="false">-G12</f>
        <v>3909.46611390368</v>
      </c>
      <c r="H16" s="0" t="n">
        <f aca="false">-H12</f>
        <v>3889.33236341707</v>
      </c>
      <c r="I16" s="0" t="n">
        <f aca="false">-I12</f>
        <v>3888.34522322331</v>
      </c>
      <c r="J16" s="0" t="n">
        <f aca="false">-J12</f>
        <v>3886.94940698933</v>
      </c>
      <c r="K16" s="0" t="n">
        <f aca="false">-K12</f>
        <v>3905.47787048379</v>
      </c>
      <c r="L16" s="0" t="n">
        <f aca="false">-L12</f>
        <v>3944.53264918863</v>
      </c>
    </row>
    <row r="17" customFormat="false" ht="15" hidden="false" customHeight="false" outlineLevel="0" collapsed="false">
      <c r="A17" s="0" t="s">
        <v>123</v>
      </c>
      <c r="C17" s="4" t="n">
        <f aca="false">-C6*Assumptions!C32/100</f>
        <v>-4445.7348</v>
      </c>
      <c r="D17" s="4" t="n">
        <f aca="false">-D6*Assumptions!D32/100</f>
        <v>-4270.971432</v>
      </c>
      <c r="E17" s="4" t="n">
        <f aca="false">-E6*Assumptions!E32/100</f>
        <v>-4158.19109262375</v>
      </c>
      <c r="F17" s="4" t="n">
        <f aca="false">-F6*Assumptions!F32/100</f>
        <v>-4064.29645504837</v>
      </c>
      <c r="G17" s="4" t="n">
        <f aca="false">-G6*Assumptions!G32/100</f>
        <v>-4046.2974278903</v>
      </c>
      <c r="H17" s="4" t="n">
        <f aca="false">-H6*Assumptions!H32/100</f>
        <v>-4047.27479441878</v>
      </c>
      <c r="I17" s="4" t="n">
        <f aca="false">-I6*Assumptions!I32/100</f>
        <v>-4067.807310449</v>
      </c>
      <c r="J17" s="4" t="n">
        <f aca="false">-J6*Assumptions!J32/100</f>
        <v>-4088.34574932039</v>
      </c>
      <c r="K17" s="4" t="n">
        <f aca="false">-K6*Assumptions!K32/100</f>
        <v>-4108.88817623815</v>
      </c>
      <c r="L17" s="4" t="n">
        <f aca="false">-L6*Assumptions!L32/100</f>
        <v>-4149.97705800054</v>
      </c>
    </row>
    <row r="18" customFormat="false" ht="15" hidden="false" customHeight="false" outlineLevel="0" collapsed="false">
      <c r="A18" s="0" t="s">
        <v>124</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125</v>
      </c>
      <c r="C19" s="0" t="n">
        <f aca="false">C15+C16+C17+C18</f>
        <v>2070.5243325</v>
      </c>
      <c r="D19" s="0" t="n">
        <f aca="false">D15+D16+D17+D18</f>
        <v>2310.9006141</v>
      </c>
      <c r="E19" s="0" t="n">
        <f aca="false">E15+E16+E17+E18</f>
        <v>2540.32900068724</v>
      </c>
      <c r="F19" s="0" t="n">
        <f aca="false">F15+F16+F17+F18</f>
        <v>2744.75487264267</v>
      </c>
      <c r="G19" s="0" t="n">
        <f aca="false">G15+G16+G17+G18</f>
        <v>2875.90101004039</v>
      </c>
      <c r="H19" s="0" t="n">
        <f aca="false">H15+H16+H17+H18</f>
        <v>2958.95273079763</v>
      </c>
      <c r="I19" s="0" t="n">
        <f aca="false">I15+I16+I17+I18</f>
        <v>2998.51237406259</v>
      </c>
      <c r="J19" s="0" t="n">
        <f aca="false">J15+J16+J17+J18</f>
        <v>3038.56731491977</v>
      </c>
      <c r="K19" s="0" t="n">
        <f aca="false">K15+K16+K17+K18</f>
        <v>3084.20876100055</v>
      </c>
      <c r="L19" s="0" t="n">
        <f aca="false">L15+L16+L17+L18</f>
        <v>3115.05084861055</v>
      </c>
    </row>
    <row r="20" customFormat="false" ht="15" hidden="false" customHeight="false" outlineLevel="0" collapsed="false">
      <c r="A20" s="0" t="s">
        <v>126</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127</v>
      </c>
      <c r="C21" s="0" t="n">
        <f aca="false">C19*C20</f>
        <v>1935.06946962617</v>
      </c>
      <c r="D21" s="0" t="n">
        <f aca="false">D19*D20</f>
        <v>2018.43009354529</v>
      </c>
      <c r="E21" s="0" t="n">
        <f aca="false">E19*E20</f>
        <v>2073.66516986525</v>
      </c>
      <c r="F21" s="0" t="n">
        <f aca="false">F19*F20</f>
        <v>2093.96035058321</v>
      </c>
      <c r="G21" s="0" t="n">
        <f aca="false">G19*G20</f>
        <v>2050.47767372192</v>
      </c>
      <c r="H21" s="0" t="n">
        <f aca="false">H19*H20</f>
        <v>1971.67514280764</v>
      </c>
      <c r="I21" s="0" t="n">
        <f aca="false">I19*I20</f>
        <v>1867.32280698523</v>
      </c>
      <c r="J21" s="0" t="n">
        <f aca="false">J19*J20</f>
        <v>1768.47384211705</v>
      </c>
      <c r="K21" s="0" t="n">
        <f aca="false">K19*K20</f>
        <v>1677.60521428184</v>
      </c>
      <c r="L21" s="0" t="n">
        <f aca="false">L19*L20</f>
        <v>1583.53389385482</v>
      </c>
    </row>
    <row r="23" customFormat="false" ht="15" hidden="false" customHeight="false" outlineLevel="0" collapsed="false">
      <c r="A23" s="0" t="s">
        <v>103</v>
      </c>
      <c r="C23" s="4" t="n">
        <f aca="false">Assumptions!C30</f>
        <v>4.4</v>
      </c>
      <c r="D23" s="4" t="n">
        <f aca="false">Assumptions!D30</f>
        <v>4.3</v>
      </c>
      <c r="E23" s="4" t="n">
        <f aca="false">Assumptions!E30</f>
        <v>4.2</v>
      </c>
      <c r="F23" s="4" t="n">
        <f aca="false">Assumptions!F30</f>
        <v>4.1</v>
      </c>
      <c r="G23" s="4" t="n">
        <f aca="false">Assumptions!G30</f>
        <v>4</v>
      </c>
      <c r="H23" s="4" t="n">
        <f aca="false">Assumptions!H30</f>
        <v>4</v>
      </c>
      <c r="I23" s="4" t="n">
        <f aca="false">Assumptions!I30</f>
        <v>4</v>
      </c>
      <c r="J23" s="4" t="n">
        <f aca="false">Assumptions!J30</f>
        <v>4</v>
      </c>
      <c r="K23" s="4" t="n">
        <f aca="false">Assumptions!K30</f>
        <v>4</v>
      </c>
      <c r="L23" s="4" t="n">
        <f aca="false">Assumptions!L30</f>
        <v>4</v>
      </c>
    </row>
    <row r="24" customFormat="false" ht="15" hidden="false" customHeight="false" outlineLevel="0" collapsed="false">
      <c r="A24" s="0" t="s">
        <v>128</v>
      </c>
      <c r="C24" s="0" t="n">
        <f aca="false">-C6*C23/100</f>
        <v>-843.1566</v>
      </c>
      <c r="D24" s="0" t="n">
        <f aca="false">-D6*D23/100</f>
        <v>-819.87398025</v>
      </c>
      <c r="E24" s="0" t="n">
        <f aca="false">-E6*E23/100</f>
        <v>-804.8111792175</v>
      </c>
      <c r="F24" s="0" t="n">
        <f aca="false">-F6*F23/100</f>
        <v>-793.505498366587</v>
      </c>
      <c r="G24" s="0" t="n">
        <f aca="false">-G6*G23/100</f>
        <v>-781.893222780735</v>
      </c>
      <c r="H24" s="0" t="n">
        <f aca="false">-H6*H23/100</f>
        <v>-789.712155008542</v>
      </c>
      <c r="I24" s="0" t="n">
        <f aca="false">-I6*I23/100</f>
        <v>-797.609276558628</v>
      </c>
      <c r="J24" s="0" t="n">
        <f aca="false">-J6*J23/100</f>
        <v>-805.585369324214</v>
      </c>
      <c r="K24" s="0" t="n">
        <f aca="false">-K6*K23/100</f>
        <v>-813.641223017456</v>
      </c>
      <c r="L24" s="0" t="n">
        <f aca="false">-L6*L23/100</f>
        <v>-821.777635247631</v>
      </c>
    </row>
    <row r="26" customFormat="false" ht="15" hidden="false" customHeight="false" outlineLevel="0" collapsed="false">
      <c r="A26" s="2" t="s">
        <v>129</v>
      </c>
    </row>
    <row r="27" customFormat="false" ht="15" hidden="false" customHeight="false" outlineLevel="0" collapsed="false">
      <c r="A27" s="0" t="s">
        <v>107</v>
      </c>
      <c r="B27" s="4" t="n">
        <f aca="false">Assumptions!$B$34</f>
        <v>7</v>
      </c>
    </row>
    <row r="28" customFormat="false" ht="15" hidden="false" customHeight="false" outlineLevel="0" collapsed="false">
      <c r="A28" s="0" t="s">
        <v>108</v>
      </c>
      <c r="B28" s="4" t="n">
        <f aca="false">Assumptions!$B$35</f>
        <v>1</v>
      </c>
    </row>
    <row r="29" customFormat="false" ht="15" hidden="false" customHeight="false" outlineLevel="0" collapsed="false">
      <c r="A29" s="0" t="s">
        <v>109</v>
      </c>
      <c r="B29" s="4" t="n">
        <f aca="false">Assumptions!$B$36</f>
        <v>14</v>
      </c>
    </row>
    <row r="30" customFormat="false" ht="15" hidden="false" customHeight="false" outlineLevel="0" collapsed="false">
      <c r="A30" s="0" t="s">
        <v>130</v>
      </c>
      <c r="B30" s="0" t="n">
        <f aca="false">SUM(C21:L21)</f>
        <v>19040.2136573884</v>
      </c>
    </row>
    <row r="31" customFormat="false" ht="15" hidden="false" customHeight="false" outlineLevel="0" collapsed="false">
      <c r="A31" s="0" t="s">
        <v>131</v>
      </c>
      <c r="B31" s="0" t="n">
        <f aca="false">L19</f>
        <v>3115.05084861055</v>
      </c>
    </row>
    <row r="32" customFormat="false" ht="15" hidden="false" customHeight="false" outlineLevel="0" collapsed="false">
      <c r="A32" s="0" t="s">
        <v>132</v>
      </c>
      <c r="B32" s="0" t="n">
        <f aca="false">IF(B27&gt;B28,B31*(1+B28/100)/((B27-B28)/100),B31*B29)</f>
        <v>52436.6892849443</v>
      </c>
    </row>
    <row r="33" customFormat="false" ht="15" hidden="false" customHeight="false" outlineLevel="0" collapsed="false">
      <c r="A33" s="0" t="s">
        <v>133</v>
      </c>
      <c r="B33" s="0" t="n">
        <f aca="false">B31*B29</f>
        <v>43610.7118805477</v>
      </c>
    </row>
    <row r="34" customFormat="false" ht="15" hidden="false" customHeight="false" outlineLevel="0" collapsed="false">
      <c r="A34" s="0" t="s">
        <v>134</v>
      </c>
      <c r="B34" s="0" t="n">
        <f aca="false">MAX(0,MIN(B32,B33))</f>
        <v>43610.7118805477</v>
      </c>
    </row>
    <row r="35" customFormat="false" ht="15" hidden="false" customHeight="false" outlineLevel="0" collapsed="false">
      <c r="A35" s="0" t="s">
        <v>135</v>
      </c>
      <c r="B35" s="0" t="n">
        <f aca="false">B34/(1+B27/100)^L4</f>
        <v>22169.4745139675</v>
      </c>
    </row>
    <row r="36" customFormat="false" ht="15" hidden="false" customHeight="false" outlineLevel="0" collapsed="false">
      <c r="A36" s="0" t="s">
        <v>136</v>
      </c>
      <c r="B36" s="0" t="n">
        <f aca="false">B30+B35</f>
        <v>41209.688171356</v>
      </c>
    </row>
    <row r="37" customFormat="false" ht="15" hidden="false" customHeight="false" outlineLevel="0" collapsed="false">
      <c r="A37" s="0" t="s">
        <v>137</v>
      </c>
      <c r="B37" s="0" t="n">
        <f aca="false">B36+Assumptions!$B$5-Assumptions!$B$4</f>
        <v>22792.688171356</v>
      </c>
    </row>
    <row r="38" customFormat="false" ht="15" hidden="false" customHeight="false" outlineLevel="0" collapsed="false">
      <c r="A38" s="0" t="s">
        <v>138</v>
      </c>
      <c r="B38" s="0" t="n">
        <f aca="false">B37/Assumptions!$B$3*Assumptions!$B$10</f>
        <v>228.56686894661</v>
      </c>
    </row>
    <row r="39" customFormat="false" ht="15" hidden="false" customHeight="false" outlineLevel="0" collapsed="false">
      <c r="A39" s="0" t="s">
        <v>139</v>
      </c>
      <c r="B39" s="4" t="n">
        <f aca="false">B38/Assumptions!$B$2-1</f>
        <v>0.185820331759327</v>
      </c>
    </row>
    <row r="41" customFormat="false" ht="15" hidden="false" customHeight="false" outlineLevel="0" collapsed="false">
      <c r="A41" s="0" t="s">
        <v>140</v>
      </c>
      <c r="B41" s="0" t="n">
        <f aca="false">SUMPRODUCT(-C10:L10/(1+$B$27/100)^C4:L4)</f>
        <v>344.273193848381</v>
      </c>
    </row>
    <row r="42" customFormat="false" ht="15" hidden="false" customHeight="false" outlineLevel="0" collapsed="false">
      <c r="A42" s="0" t="s">
        <v>141</v>
      </c>
      <c r="B42" s="0" t="n">
        <f aca="false">IF(B27&gt;B28,-L10*(1+B28/100)/((B27-B28)/100),-L10*20)/(1+B27/100)^L4</f>
        <v>439.507895793727</v>
      </c>
    </row>
    <row r="43" customFormat="false" ht="15" hidden="false" customHeight="false" outlineLevel="0" collapsed="false">
      <c r="A43" s="0" t="s">
        <v>142</v>
      </c>
      <c r="B43" s="0" t="n">
        <f aca="false">(B37+B41+B42)/Assumptions!$B$3*Assumptions!$B$10</f>
        <v>236.426687334517</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22472.8668364047</v>
      </c>
    </row>
    <row r="47" customFormat="false" ht="15" hidden="false" customHeight="false" outlineLevel="0" collapsed="false">
      <c r="A47" s="0" t="s">
        <v>144</v>
      </c>
      <c r="B47" s="0" t="n">
        <f aca="false">(SUMPRODUCT(C19:L19/(1+B45/100)^C4:L4)+B46/(1+B45/100)^L4+Assumptions!$B$5-Assumptions!$B$4)/Assumptions!$B$3*Assumptions!$B$10</f>
        <v>4.0288639065155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-2</v>
      </c>
      <c r="D5" s="4" t="n">
        <f aca="false">Assumptions!D41</f>
        <v>0.5</v>
      </c>
      <c r="E5" s="4" t="n">
        <f aca="false">Assumptions!E41</f>
        <v>1.5</v>
      </c>
      <c r="F5" s="4" t="n">
        <f aca="false">Assumptions!F41</f>
        <v>2</v>
      </c>
      <c r="G5" s="4" t="n">
        <f aca="false">Assumptions!G41</f>
        <v>2</v>
      </c>
      <c r="H5" s="4" t="n">
        <f aca="false">Assumptions!H41</f>
        <v>2</v>
      </c>
      <c r="I5" s="4" t="n">
        <f aca="false">Assumptions!I41</f>
        <v>1.5</v>
      </c>
      <c r="J5" s="4" t="n">
        <f aca="false">Assumptions!J41</f>
        <v>1.5</v>
      </c>
      <c r="K5" s="4" t="n">
        <f aca="false">Assumptions!K41</f>
        <v>1.5</v>
      </c>
      <c r="L5" s="4" t="n">
        <f aca="false">Assumptions!L41</f>
        <v>1.5</v>
      </c>
    </row>
    <row r="6" customFormat="false" ht="15" hidden="false" customHeight="false" outlineLevel="0" collapsed="false">
      <c r="A6" s="0" t="s">
        <v>38</v>
      </c>
      <c r="B6" s="3" t="n">
        <v>19654</v>
      </c>
      <c r="C6" s="0" t="n">
        <f aca="false">B6*(1+C5/100)</f>
        <v>19260.92</v>
      </c>
      <c r="D6" s="0" t="n">
        <f aca="false">C6*(1+D5/100)</f>
        <v>19357.2246</v>
      </c>
      <c r="E6" s="0" t="n">
        <f aca="false">D6*(1+E5/100)</f>
        <v>19647.582969</v>
      </c>
      <c r="F6" s="0" t="n">
        <f aca="false">E6*(1+F5/100)</f>
        <v>20040.53462838</v>
      </c>
      <c r="G6" s="0" t="n">
        <f aca="false">F6*(1+G5/100)</f>
        <v>20441.3453209476</v>
      </c>
      <c r="H6" s="0" t="n">
        <f aca="false">G6*(1+H5/100)</f>
        <v>20850.1722273665</v>
      </c>
      <c r="I6" s="0" t="n">
        <f aca="false">H6*(1+I5/100)</f>
        <v>21162.924810777</v>
      </c>
      <c r="J6" s="0" t="n">
        <f aca="false">I6*(1+J5/100)</f>
        <v>21480.3686829387</v>
      </c>
      <c r="K6" s="0" t="n">
        <f aca="false">J6*(1+K5/100)</f>
        <v>21802.5742131828</v>
      </c>
      <c r="L6" s="0" t="n">
        <f aca="false">K6*(1+L5/100)</f>
        <v>22129.6128263805</v>
      </c>
    </row>
    <row r="7" customFormat="false" ht="15" hidden="false" customHeight="false" outlineLevel="0" collapsed="false">
      <c r="A7" s="0" t="s">
        <v>101</v>
      </c>
      <c r="C7" s="4" t="n">
        <f aca="false">Assumptions!C42</f>
        <v>41.8</v>
      </c>
      <c r="D7" s="4" t="n">
        <f aca="false">Assumptions!D42</f>
        <v>43.2</v>
      </c>
      <c r="E7" s="4" t="n">
        <f aca="false">Assumptions!E42</f>
        <v>44.5</v>
      </c>
      <c r="F7" s="4" t="n">
        <f aca="false">Assumptions!F42</f>
        <v>45.6</v>
      </c>
      <c r="G7" s="4" t="n">
        <f aca="false">Assumptions!G42</f>
        <v>46.4</v>
      </c>
      <c r="H7" s="4" t="n">
        <f aca="false">Assumptions!H42</f>
        <v>46.8</v>
      </c>
      <c r="I7" s="4" t="n">
        <f aca="false">Assumptions!I42</f>
        <v>47</v>
      </c>
      <c r="J7" s="4" t="n">
        <f aca="false">Assumptions!J42</f>
        <v>47</v>
      </c>
      <c r="K7" s="4" t="n">
        <f aca="false">Assumptions!K42</f>
        <v>47</v>
      </c>
      <c r="L7" s="4" t="n">
        <f aca="false">Assumptions!L42</f>
        <v>47</v>
      </c>
    </row>
    <row r="8" customFormat="false" ht="15" hidden="false" customHeight="false" outlineLevel="0" collapsed="false">
      <c r="A8" s="0" t="s">
        <v>44</v>
      </c>
      <c r="C8" s="0" t="n">
        <f aca="false">C6*C7/100</f>
        <v>8051.06456</v>
      </c>
      <c r="D8" s="0" t="n">
        <f aca="false">D6*D7/100</f>
        <v>8362.3210272</v>
      </c>
      <c r="E8" s="0" t="n">
        <f aca="false">E6*E7/100</f>
        <v>8743.174421205</v>
      </c>
      <c r="F8" s="0" t="n">
        <f aca="false">F6*F7/100</f>
        <v>9138.48379054128</v>
      </c>
      <c r="G8" s="0" t="n">
        <f aca="false">G6*G7/100</f>
        <v>9484.78422891968</v>
      </c>
      <c r="H8" s="0" t="n">
        <f aca="false">H6*H7/100</f>
        <v>9757.88060240754</v>
      </c>
      <c r="I8" s="0" t="n">
        <f aca="false">I6*I7/100</f>
        <v>9946.57466106521</v>
      </c>
      <c r="J8" s="0" t="n">
        <f aca="false">J6*J7/100</f>
        <v>10095.7732809812</v>
      </c>
      <c r="K8" s="0" t="n">
        <f aca="false">K6*K7/100</f>
        <v>10247.2098801959</v>
      </c>
      <c r="L8" s="0" t="n">
        <f aca="false">L6*L7/100</f>
        <v>10400.9180283988</v>
      </c>
    </row>
    <row r="9" customFormat="false" ht="15" hidden="false" customHeight="false" outlineLevel="0" collapsed="false">
      <c r="A9" s="0" t="s">
        <v>102</v>
      </c>
      <c r="C9" s="4" t="n">
        <f aca="false">Assumptions!C43</f>
        <v>0.25</v>
      </c>
      <c r="D9" s="4" t="n">
        <f aca="false">Assumptions!D43</f>
        <v>0.25</v>
      </c>
      <c r="E9" s="4" t="n">
        <f aca="false">Assumptions!E43</f>
        <v>0.25</v>
      </c>
      <c r="F9" s="4" t="n">
        <f aca="false">Assumptions!F43</f>
        <v>0.25</v>
      </c>
      <c r="G9" s="4" t="n">
        <f aca="false">Assumptions!G43</f>
        <v>0.25</v>
      </c>
      <c r="H9" s="4" t="n">
        <f aca="false">Assumptions!H43</f>
        <v>0.25</v>
      </c>
      <c r="I9" s="4" t="n">
        <f aca="false">Assumptions!I43</f>
        <v>0.25</v>
      </c>
      <c r="J9" s="4" t="n">
        <f aca="false">Assumptions!J43</f>
        <v>0.25</v>
      </c>
      <c r="K9" s="4" t="n">
        <f aca="false">Assumptions!K43</f>
        <v>0.25</v>
      </c>
      <c r="L9" s="4" t="n">
        <f aca="false">Assumptions!L43</f>
        <v>0.25</v>
      </c>
    </row>
    <row r="10" customFormat="false" ht="15" hidden="false" customHeight="false" outlineLevel="0" collapsed="false">
      <c r="A10" s="0" t="s">
        <v>117</v>
      </c>
      <c r="C10" s="0" t="n">
        <f aca="false">-C6*C9/100</f>
        <v>-48.1523</v>
      </c>
      <c r="D10" s="0" t="n">
        <f aca="false">-D6*D9/100</f>
        <v>-48.3930615</v>
      </c>
      <c r="E10" s="0" t="n">
        <f aca="false">-E6*E9/100</f>
        <v>-49.1189574225</v>
      </c>
      <c r="F10" s="0" t="n">
        <f aca="false">-F6*F9/100</f>
        <v>-50.10133657095</v>
      </c>
      <c r="G10" s="0" t="n">
        <f aca="false">-G6*G9/100</f>
        <v>-51.103363302369</v>
      </c>
      <c r="H10" s="0" t="n">
        <f aca="false">-H6*H9/100</f>
        <v>-52.1254305684164</v>
      </c>
      <c r="I10" s="0" t="n">
        <f aca="false">-I6*I9/100</f>
        <v>-52.9073120269426</v>
      </c>
      <c r="J10" s="0" t="n">
        <f aca="false">-J6*J9/100</f>
        <v>-53.7009217073467</v>
      </c>
      <c r="K10" s="0" t="n">
        <f aca="false">-K6*K9/100</f>
        <v>-54.5064355329569</v>
      </c>
      <c r="L10" s="0" t="n">
        <f aca="false">-L6*L9/100</f>
        <v>-55.3240320659513</v>
      </c>
    </row>
    <row r="11" customFormat="false" ht="15" hidden="false" customHeight="false" outlineLevel="0" collapsed="false">
      <c r="A11" s="0" t="s">
        <v>118</v>
      </c>
      <c r="C11" s="0" t="n">
        <f aca="false">C8+C10+C24</f>
        <v>7155.43178</v>
      </c>
      <c r="D11" s="0" t="n">
        <f aca="false">D8+D10+D24</f>
        <v>7500.9245325</v>
      </c>
      <c r="E11" s="0" t="n">
        <f aca="false">E8+E10+E24</f>
        <v>7908.1521450225</v>
      </c>
      <c r="F11" s="0" t="n">
        <f aca="false">F8+F10+F24</f>
        <v>8306.80160346351</v>
      </c>
      <c r="G11" s="0" t="n">
        <f aca="false">G8+G10+G24</f>
        <v>8656.90974342131</v>
      </c>
      <c r="H11" s="0" t="n">
        <f aca="false">H8+H10+H24</f>
        <v>8913.4486271992</v>
      </c>
      <c r="I11" s="0" t="n">
        <f aca="false">I8+I10+I24</f>
        <v>9089.47620622874</v>
      </c>
      <c r="J11" s="0" t="n">
        <f aca="false">J8+J10+J24</f>
        <v>9225.81834932217</v>
      </c>
      <c r="K11" s="0" t="n">
        <f aca="false">K8+K10+K24</f>
        <v>9364.205624562</v>
      </c>
      <c r="L11" s="0" t="n">
        <f aca="false">L8+L10+L24</f>
        <v>9504.66870893043</v>
      </c>
    </row>
    <row r="12" customFormat="false" ht="15" hidden="false" customHeight="false" outlineLevel="0" collapsed="false">
      <c r="A12" s="0" t="s">
        <v>119</v>
      </c>
      <c r="C12" s="4" t="n">
        <f aca="false">-C6*Assumptions!C45/100</f>
        <v>-4141.0978</v>
      </c>
      <c r="D12" s="4" t="n">
        <f aca="false">-D6*Assumptions!D45/100</f>
        <v>-4065.017166</v>
      </c>
      <c r="E12" s="4" t="n">
        <f aca="false">-E6*Assumptions!E45/100</f>
        <v>-4027.754508645</v>
      </c>
      <c r="F12" s="4" t="n">
        <f aca="false">-F6*Assumptions!F45/100</f>
        <v>-4008.106925676</v>
      </c>
      <c r="G12" s="4" t="n">
        <f aca="false">-G6*Assumptions!G45/100</f>
        <v>-3986.06233758478</v>
      </c>
      <c r="H12" s="4" t="n">
        <f aca="false">-H6*Assumptions!H45/100</f>
        <v>-4003.23306765438</v>
      </c>
      <c r="I12" s="4" t="n">
        <f aca="false">-I6*Assumptions!I45/100</f>
        <v>-4020.95571404764</v>
      </c>
      <c r="J12" s="4" t="n">
        <f aca="false">-J6*Assumptions!J45/100</f>
        <v>-4038.30931239248</v>
      </c>
      <c r="K12" s="4" t="n">
        <f aca="false">-K6*Assumptions!K45/100</f>
        <v>-4077.08137786518</v>
      </c>
      <c r="L12" s="4" t="n">
        <f aca="false">-L6*Assumptions!L45/100</f>
        <v>-4138.23759853316</v>
      </c>
    </row>
    <row r="13" customFormat="false" ht="15" hidden="false" customHeight="false" outlineLevel="0" collapsed="false">
      <c r="A13" s="0" t="s">
        <v>120</v>
      </c>
      <c r="C13" s="0" t="n">
        <f aca="false">C11+C12</f>
        <v>3014.33398</v>
      </c>
      <c r="D13" s="0" t="n">
        <f aca="false">D11+D12</f>
        <v>3435.9073665</v>
      </c>
      <c r="E13" s="0" t="n">
        <f aca="false">E11+E12</f>
        <v>3880.3976363775</v>
      </c>
      <c r="F13" s="0" t="n">
        <f aca="false">F11+F12</f>
        <v>4298.69467778751</v>
      </c>
      <c r="G13" s="0" t="n">
        <f aca="false">G11+G12</f>
        <v>4670.84740583653</v>
      </c>
      <c r="H13" s="0" t="n">
        <f aca="false">H11+H12</f>
        <v>4910.21555954482</v>
      </c>
      <c r="I13" s="0" t="n">
        <f aca="false">I11+I12</f>
        <v>5068.5204921811</v>
      </c>
      <c r="J13" s="0" t="n">
        <f aca="false">J11+J12</f>
        <v>5187.5090369297</v>
      </c>
      <c r="K13" s="0" t="n">
        <f aca="false">K11+K12</f>
        <v>5287.12424669682</v>
      </c>
      <c r="L13" s="0" t="n">
        <f aca="false">L11+L12</f>
        <v>5366.43111039728</v>
      </c>
    </row>
    <row r="14" customFormat="false" ht="15" hidden="false" customHeight="false" outlineLevel="0" collapsed="false">
      <c r="A14" s="0" t="s">
        <v>106</v>
      </c>
      <c r="C14" s="4" t="n">
        <f aca="false">Assumptions!C47</f>
        <v>18</v>
      </c>
      <c r="D14" s="4" t="n">
        <f aca="false">Assumptions!D47</f>
        <v>20</v>
      </c>
      <c r="E14" s="4" t="n">
        <f aca="false">Assumptions!E47</f>
        <v>22</v>
      </c>
      <c r="F14" s="4" t="n">
        <f aca="false">Assumptions!F47</f>
        <v>24</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121</v>
      </c>
      <c r="C15" s="0" t="n">
        <f aca="false">C13-MAX(0,C13)*C14/100</f>
        <v>2471.7538636</v>
      </c>
      <c r="D15" s="0" t="n">
        <f aca="false">D13-MAX(0,D13)*D14/100</f>
        <v>2748.7258932</v>
      </c>
      <c r="E15" s="0" t="n">
        <f aca="false">E13-MAX(0,E13)*E14/100</f>
        <v>3026.71015637445</v>
      </c>
      <c r="F15" s="0" t="n">
        <f aca="false">F13-MAX(0,F13)*F14/100</f>
        <v>3267.00795511851</v>
      </c>
      <c r="G15" s="0" t="n">
        <f aca="false">G13-MAX(0,G13)*G14/100</f>
        <v>3503.13555437739</v>
      </c>
      <c r="H15" s="0" t="n">
        <f aca="false">H13-MAX(0,H13)*H14/100</f>
        <v>3682.66166965862</v>
      </c>
      <c r="I15" s="0" t="n">
        <f aca="false">I13-MAX(0,I13)*I14/100</f>
        <v>3801.39036913583</v>
      </c>
      <c r="J15" s="0" t="n">
        <f aca="false">J13-MAX(0,J13)*J14/100</f>
        <v>3890.63177769727</v>
      </c>
      <c r="K15" s="0" t="n">
        <f aca="false">K13-MAX(0,K13)*K14/100</f>
        <v>3965.34318502262</v>
      </c>
      <c r="L15" s="0" t="n">
        <f aca="false">L13-MAX(0,L13)*L14/100</f>
        <v>4024.82333279796</v>
      </c>
    </row>
    <row r="16" customFormat="false" ht="15" hidden="false" customHeight="false" outlineLevel="0" collapsed="false">
      <c r="A16" s="0" t="s">
        <v>122</v>
      </c>
      <c r="C16" s="0" t="n">
        <f aca="false">-C12</f>
        <v>4141.0978</v>
      </c>
      <c r="D16" s="0" t="n">
        <f aca="false">-D12</f>
        <v>4065.017166</v>
      </c>
      <c r="E16" s="0" t="n">
        <f aca="false">-E12</f>
        <v>4027.754508645</v>
      </c>
      <c r="F16" s="0" t="n">
        <f aca="false">-F12</f>
        <v>4008.106925676</v>
      </c>
      <c r="G16" s="0" t="n">
        <f aca="false">-G12</f>
        <v>3986.06233758478</v>
      </c>
      <c r="H16" s="0" t="n">
        <f aca="false">-H12</f>
        <v>4003.23306765438</v>
      </c>
      <c r="I16" s="0" t="n">
        <f aca="false">-I12</f>
        <v>4020.95571404764</v>
      </c>
      <c r="J16" s="0" t="n">
        <f aca="false">-J12</f>
        <v>4038.30931239248</v>
      </c>
      <c r="K16" s="0" t="n">
        <f aca="false">-K12</f>
        <v>4077.08137786518</v>
      </c>
      <c r="L16" s="0" t="n">
        <f aca="false">-L12</f>
        <v>4138.23759853316</v>
      </c>
    </row>
    <row r="17" customFormat="false" ht="15" hidden="false" customHeight="false" outlineLevel="0" collapsed="false">
      <c r="A17" s="0" t="s">
        <v>123</v>
      </c>
      <c r="C17" s="4" t="n">
        <f aca="false">-C6*Assumptions!C46/100</f>
        <v>-4391.48976</v>
      </c>
      <c r="D17" s="4" t="n">
        <f aca="false">-D6*Assumptions!D46/100</f>
        <v>-4219.8749628</v>
      </c>
      <c r="E17" s="4" t="n">
        <f aca="false">-E6*Assumptions!E46/100</f>
        <v>-4125.99242349</v>
      </c>
      <c r="F17" s="4" t="n">
        <f aca="false">-F6*Assumptions!F46/100</f>
        <v>-4048.18799493276</v>
      </c>
      <c r="G17" s="4" t="n">
        <f aca="false">-G6*Assumptions!G46/100</f>
        <v>-4047.38637354762</v>
      </c>
      <c r="H17" s="4" t="n">
        <f aca="false">-H6*Assumptions!H46/100</f>
        <v>-4065.78358433648</v>
      </c>
      <c r="I17" s="4" t="n">
        <f aca="false">-I6*Assumptions!I46/100</f>
        <v>-4084.44448847997</v>
      </c>
      <c r="J17" s="4" t="n">
        <f aca="false">-J6*Assumptions!J46/100</f>
        <v>-4124.23078712423</v>
      </c>
      <c r="K17" s="4" t="n">
        <f aca="false">-K6*Assumptions!K46/100</f>
        <v>-4186.09424893109</v>
      </c>
      <c r="L17" s="4" t="n">
        <f aca="false">-L6*Assumptions!L46/100</f>
        <v>-4248.88566266506</v>
      </c>
    </row>
    <row r="18" customFormat="false" ht="15" hidden="false" customHeight="false" outlineLevel="0" collapsed="false">
      <c r="A18" s="0" t="s">
        <v>124</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125</v>
      </c>
      <c r="C19" s="0" t="n">
        <f aca="false">C15+C16+C17+C18</f>
        <v>2221.3619036</v>
      </c>
      <c r="D19" s="0" t="n">
        <f aca="false">D15+D16+D17+D18</f>
        <v>2593.8680964</v>
      </c>
      <c r="E19" s="0" t="n">
        <f aca="false">E15+E16+E17+E18</f>
        <v>2928.47224152945</v>
      </c>
      <c r="F19" s="0" t="n">
        <f aca="false">F15+F16+F17+F18</f>
        <v>3226.92688586175</v>
      </c>
      <c r="G19" s="0" t="n">
        <f aca="false">G15+G16+G17+G18</f>
        <v>3441.81151841455</v>
      </c>
      <c r="H19" s="0" t="n">
        <f aca="false">H15+H16+H17+H18</f>
        <v>3620.11115297652</v>
      </c>
      <c r="I19" s="0" t="n">
        <f aca="false">I15+I16+I17+I18</f>
        <v>3737.9015947035</v>
      </c>
      <c r="J19" s="0" t="n">
        <f aca="false">J15+J16+J17+J18</f>
        <v>3804.71030296552</v>
      </c>
      <c r="K19" s="0" t="n">
        <f aca="false">K15+K16+K17+K18</f>
        <v>3856.3303139567</v>
      </c>
      <c r="L19" s="0" t="n">
        <f aca="false">L15+L16+L17+L18</f>
        <v>3914.17526866605</v>
      </c>
    </row>
    <row r="20" customFormat="false" ht="15" hidden="false" customHeight="false" outlineLevel="0" collapsed="false">
      <c r="A20" s="0" t="s">
        <v>126</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127</v>
      </c>
      <c r="C21" s="0" t="n">
        <f aca="false">C19*C20</f>
        <v>2076.03916224299</v>
      </c>
      <c r="D21" s="0" t="n">
        <f aca="false">D19*D20</f>
        <v>2265.58485142807</v>
      </c>
      <c r="E21" s="0" t="n">
        <f aca="false">E19*E20</f>
        <v>2390.50567329428</v>
      </c>
      <c r="F21" s="0" t="n">
        <f aca="false">F19*F20</f>
        <v>2461.80707085136</v>
      </c>
      <c r="G21" s="0" t="n">
        <f aca="false">G19*G20</f>
        <v>2453.96404501727</v>
      </c>
      <c r="H21" s="0" t="n">
        <f aca="false">H19*H20</f>
        <v>2412.23291613733</v>
      </c>
      <c r="I21" s="0" t="n">
        <f aca="false">I19*I20</f>
        <v>2327.7772532916</v>
      </c>
      <c r="J21" s="0" t="n">
        <f aca="false">J19*J20</f>
        <v>2214.37603655834</v>
      </c>
      <c r="K21" s="0" t="n">
        <f aca="false">K19*K20</f>
        <v>2097.58818031117</v>
      </c>
      <c r="L21" s="0" t="n">
        <f aca="false">L19*L20</f>
        <v>1989.76822711761</v>
      </c>
    </row>
    <row r="23" customFormat="false" ht="15" hidden="false" customHeight="false" outlineLevel="0" collapsed="false">
      <c r="A23" s="0" t="s">
        <v>103</v>
      </c>
      <c r="C23" s="4" t="n">
        <f aca="false">Assumptions!C44</f>
        <v>4.4</v>
      </c>
      <c r="D23" s="4" t="n">
        <f aca="false">Assumptions!D44</f>
        <v>4.2</v>
      </c>
      <c r="E23" s="4" t="n">
        <f aca="false">Assumptions!E44</f>
        <v>4</v>
      </c>
      <c r="F23" s="4" t="n">
        <f aca="false">Assumptions!F44</f>
        <v>3.9</v>
      </c>
      <c r="G23" s="4" t="n">
        <f aca="false">Assumptions!G44</f>
        <v>3.8</v>
      </c>
      <c r="H23" s="4" t="n">
        <f aca="false">Assumptions!H44</f>
        <v>3.8</v>
      </c>
      <c r="I23" s="4" t="n">
        <f aca="false">Assumptions!I44</f>
        <v>3.8</v>
      </c>
      <c r="J23" s="4" t="n">
        <f aca="false">Assumptions!J44</f>
        <v>3.8</v>
      </c>
      <c r="K23" s="4" t="n">
        <f aca="false">Assumptions!K44</f>
        <v>3.8</v>
      </c>
      <c r="L23" s="4" t="n">
        <f aca="false">Assumptions!L44</f>
        <v>3.8</v>
      </c>
    </row>
    <row r="24" customFormat="false" ht="15" hidden="false" customHeight="false" outlineLevel="0" collapsed="false">
      <c r="A24" s="0" t="s">
        <v>128</v>
      </c>
      <c r="C24" s="0" t="n">
        <f aca="false">-C6*C23/100</f>
        <v>-847.48048</v>
      </c>
      <c r="D24" s="0" t="n">
        <f aca="false">-D6*D23/100</f>
        <v>-813.0034332</v>
      </c>
      <c r="E24" s="0" t="n">
        <f aca="false">-E6*E23/100</f>
        <v>-785.90331876</v>
      </c>
      <c r="F24" s="0" t="n">
        <f aca="false">-F6*F23/100</f>
        <v>-781.58085050682</v>
      </c>
      <c r="G24" s="0" t="n">
        <f aca="false">-G6*G23/100</f>
        <v>-776.771122196009</v>
      </c>
      <c r="H24" s="0" t="n">
        <f aca="false">-H6*H23/100</f>
        <v>-792.306544639929</v>
      </c>
      <c r="I24" s="0" t="n">
        <f aca="false">-I6*I23/100</f>
        <v>-804.191142809528</v>
      </c>
      <c r="J24" s="0" t="n">
        <f aca="false">-J6*J23/100</f>
        <v>-816.254009951671</v>
      </c>
      <c r="K24" s="0" t="n">
        <f aca="false">-K6*K23/100</f>
        <v>-828.497820100945</v>
      </c>
      <c r="L24" s="0" t="n">
        <f aca="false">-L6*L23/100</f>
        <v>-840.92528740246</v>
      </c>
    </row>
    <row r="26" customFormat="false" ht="15" hidden="false" customHeight="false" outlineLevel="0" collapsed="false">
      <c r="A26" s="2" t="s">
        <v>129</v>
      </c>
    </row>
    <row r="27" customFormat="false" ht="15" hidden="false" customHeight="false" outlineLevel="0" collapsed="false">
      <c r="A27" s="0" t="s">
        <v>107</v>
      </c>
      <c r="B27" s="4" t="n">
        <f aca="false">Assumptions!$B$48</f>
        <v>7</v>
      </c>
    </row>
    <row r="28" customFormat="false" ht="15" hidden="false" customHeight="false" outlineLevel="0" collapsed="false">
      <c r="A28" s="0" t="s">
        <v>108</v>
      </c>
      <c r="B28" s="4" t="n">
        <f aca="false">Assumptions!$B$49</f>
        <v>1.5</v>
      </c>
    </row>
    <row r="29" customFormat="false" ht="15" hidden="false" customHeight="false" outlineLevel="0" collapsed="false">
      <c r="A29" s="0" t="s">
        <v>109</v>
      </c>
      <c r="B29" s="4" t="n">
        <f aca="false">Assumptions!$B$50</f>
        <v>15</v>
      </c>
    </row>
    <row r="30" customFormat="false" ht="15" hidden="false" customHeight="false" outlineLevel="0" collapsed="false">
      <c r="A30" s="0" t="s">
        <v>130</v>
      </c>
      <c r="B30" s="0" t="n">
        <f aca="false">SUM(C21:L21)</f>
        <v>22689.64341625</v>
      </c>
    </row>
    <row r="31" customFormat="false" ht="15" hidden="false" customHeight="false" outlineLevel="0" collapsed="false">
      <c r="A31" s="0" t="s">
        <v>131</v>
      </c>
      <c r="B31" s="0" t="n">
        <f aca="false">L19</f>
        <v>3914.17526866605</v>
      </c>
    </row>
    <row r="32" customFormat="false" ht="15" hidden="false" customHeight="false" outlineLevel="0" collapsed="false">
      <c r="A32" s="0" t="s">
        <v>132</v>
      </c>
      <c r="B32" s="0" t="n">
        <f aca="false">IF(B27&gt;B28,B31*(1+B28/100)/((B27-B28)/100),B31*B29)</f>
        <v>72234.3254126554</v>
      </c>
    </row>
    <row r="33" customFormat="false" ht="15" hidden="false" customHeight="false" outlineLevel="0" collapsed="false">
      <c r="A33" s="0" t="s">
        <v>133</v>
      </c>
      <c r="B33" s="0" t="n">
        <f aca="false">B31*B29</f>
        <v>58712.6290299908</v>
      </c>
    </row>
    <row r="34" customFormat="false" ht="15" hidden="false" customHeight="false" outlineLevel="0" collapsed="false">
      <c r="A34" s="0" t="s">
        <v>134</v>
      </c>
      <c r="B34" s="0" t="n">
        <f aca="false">MAX(0,MIN(B32,B33))</f>
        <v>58712.6290299908</v>
      </c>
    </row>
    <row r="35" customFormat="false" ht="15" hidden="false" customHeight="false" outlineLevel="0" collapsed="false">
      <c r="A35" s="0" t="s">
        <v>135</v>
      </c>
      <c r="B35" s="0" t="n">
        <f aca="false">B34/(1+B27/100)^L4</f>
        <v>29846.5234067641</v>
      </c>
    </row>
    <row r="36" customFormat="false" ht="15" hidden="false" customHeight="false" outlineLevel="0" collapsed="false">
      <c r="A36" s="0" t="s">
        <v>136</v>
      </c>
      <c r="B36" s="0" t="n">
        <f aca="false">B30+B35</f>
        <v>52536.1668230141</v>
      </c>
    </row>
    <row r="37" customFormat="false" ht="15" hidden="false" customHeight="false" outlineLevel="0" collapsed="false">
      <c r="A37" s="0" t="s">
        <v>137</v>
      </c>
      <c r="B37" s="0" t="n">
        <f aca="false">B36+Assumptions!$B$5-Assumptions!$B$4</f>
        <v>34119.1668230141</v>
      </c>
    </row>
    <row r="38" customFormat="false" ht="15" hidden="false" customHeight="false" outlineLevel="0" collapsed="false">
      <c r="A38" s="0" t="s">
        <v>138</v>
      </c>
      <c r="B38" s="0" t="n">
        <f aca="false">B37/Assumptions!$B$3*Assumptions!$B$10</f>
        <v>342.149687354735</v>
      </c>
    </row>
    <row r="39" customFormat="false" ht="15" hidden="false" customHeight="false" outlineLevel="0" collapsed="false">
      <c r="A39" s="0" t="s">
        <v>139</v>
      </c>
      <c r="B39" s="4" t="n">
        <f aca="false">B38/Assumptions!$B$2-1</f>
        <v>0.775095654239868</v>
      </c>
    </row>
    <row r="41" customFormat="false" ht="15" hidden="false" customHeight="false" outlineLevel="0" collapsed="false">
      <c r="A41" s="0" t="s">
        <v>140</v>
      </c>
      <c r="B41" s="0" t="n">
        <f aca="false">SUMPRODUCT(-C10:L10/(1+$B$27/100)^C4:L4)</f>
        <v>358.731923433753</v>
      </c>
    </row>
    <row r="42" customFormat="false" ht="15" hidden="false" customHeight="false" outlineLevel="0" collapsed="false">
      <c r="A42" s="0" t="s">
        <v>141</v>
      </c>
      <c r="B42" s="0" t="n">
        <f aca="false">IF(B27&gt;B28,-L10*(1+B28/100)/((B27-B28)/100),-L10*20)/(1+B27/100)^L4</f>
        <v>519.014391397204</v>
      </c>
    </row>
    <row r="43" customFormat="false" ht="15" hidden="false" customHeight="false" outlineLevel="0" collapsed="false">
      <c r="A43" s="0" t="s">
        <v>142</v>
      </c>
      <c r="B43" s="0" t="n">
        <f aca="false">(B37+B41+B42)/Assumptions!$B$3*Assumptions!$B$10</f>
        <v>350.951796408394</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29428.7992421929</v>
      </c>
    </row>
    <row r="47" customFormat="false" ht="15" hidden="false" customHeight="false" outlineLevel="0" collapsed="false">
      <c r="A47" s="0" t="s">
        <v>144</v>
      </c>
      <c r="B47" s="0" t="n">
        <f aca="false">(SUMPRODUCT(C19:L19/(1+B45/100)^C4:L4)+B46/(1+B45/100)^L4+Assumptions!$B$5-Assumptions!$B$4)/Assumptions!$B$3*Assumptions!$B$10</f>
        <v>45.2247074124279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75.1533158848163</v>
      </c>
      <c r="C4" s="0" t="n">
        <f aca="false">B4/Assumptions!$B$2-1</f>
        <v>-0.610099528483443</v>
      </c>
      <c r="D4" s="4" t="n">
        <f aca="false">Assumptions!$B$24</f>
        <v>0.25</v>
      </c>
      <c r="E4" s="4" t="n">
        <f aca="false">DCF_Bear!$B$43</f>
        <v>81.5646957647017</v>
      </c>
      <c r="F4" s="4" t="n">
        <f aca="false">DCF_Bear!$B$47</f>
        <v>-54.0340705080168</v>
      </c>
    </row>
    <row r="5" customFormat="false" ht="15" hidden="false" customHeight="false" outlineLevel="0" collapsed="false">
      <c r="A5" s="0" t="s">
        <v>153</v>
      </c>
      <c r="B5" s="4" t="n">
        <f aca="false">DCF_Base!$B$38</f>
        <v>228.56686894661</v>
      </c>
      <c r="C5" s="0" t="n">
        <f aca="false">B5/Assumptions!$B$2-1</f>
        <v>0.185820331759327</v>
      </c>
      <c r="D5" s="4" t="n">
        <f aca="false">Assumptions!$B$38</f>
        <v>0.5</v>
      </c>
      <c r="E5" s="4" t="n">
        <f aca="false">DCF_Base!$B$43</f>
        <v>236.426687334517</v>
      </c>
      <c r="F5" s="4" t="n">
        <f aca="false">DCF_Base!$B$47</f>
        <v>4.0288639065155</v>
      </c>
    </row>
    <row r="6" customFormat="false" ht="15" hidden="false" customHeight="false" outlineLevel="0" collapsed="false">
      <c r="A6" s="0" t="s">
        <v>154</v>
      </c>
      <c r="B6" s="4" t="n">
        <f aca="false">DCF_Bull!$B$38</f>
        <v>342.149687354735</v>
      </c>
      <c r="C6" s="0" t="n">
        <f aca="false">B6/Assumptions!$B$2-1</f>
        <v>0.775095654239868</v>
      </c>
      <c r="D6" s="4" t="n">
        <f aca="false">Assumptions!$B$52</f>
        <v>0.25</v>
      </c>
      <c r="E6" s="4" t="n">
        <f aca="false">DCF_Bull!$B$43</f>
        <v>350.951796408394</v>
      </c>
      <c r="F6" s="4" t="n">
        <f aca="false">DCF_Bull!$B$47</f>
        <v>45.2247074124279</v>
      </c>
    </row>
    <row r="8" customFormat="false" ht="15" hidden="false" customHeight="false" outlineLevel="0" collapsed="false">
      <c r="A8" s="0" t="s">
        <v>155</v>
      </c>
      <c r="B8" s="0" t="n">
        <f aca="false">SUMPRODUCT(B4:B6,D4:D6)</f>
        <v>218.609185283193</v>
      </c>
    </row>
    <row r="9" customFormat="false" ht="15" hidden="false" customHeight="false" outlineLevel="0" collapsed="false">
      <c r="A9" s="0" t="s">
        <v>156</v>
      </c>
      <c r="B9" s="0" t="n">
        <f aca="false">SUMPRODUCT(E4:E6,D4:D6)</f>
        <v>226.342466710533</v>
      </c>
    </row>
    <row r="10" customFormat="false" ht="15" hidden="false" customHeight="false" outlineLevel="0" collapsed="false">
      <c r="A10" s="0" t="s">
        <v>157</v>
      </c>
      <c r="B10" s="0" t="n">
        <f aca="false">1-Assumptions!$B$2/B8</f>
        <v>0.118289564318599</v>
      </c>
    </row>
    <row r="11" customFormat="false" ht="15" hidden="false" customHeight="false" outlineLevel="0" collapsed="false">
      <c r="A11" s="0" t="s">
        <v>158</v>
      </c>
      <c r="B11" s="0" t="n">
        <f aca="false">IF(ABS(B9-B8)&gt;0.01*ABS(B8),(Assumptions!$B$2-B8)/(B9-B8)*100,"n/a")</f>
        <v>-334.388261000969</v>
      </c>
    </row>
    <row r="12" customFormat="false" ht="15" hidden="false" customHeight="false" outlineLevel="0" collapsed="false">
      <c r="A12" s="0" t="s">
        <v>159</v>
      </c>
      <c r="B12" s="0" t="n">
        <f aca="false">SUMPRODUCT(F4:F6,D4:D6)</f>
        <v>-0.187908820639463</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228.56686894661</v>
      </c>
      <c r="C15" s="3" t="n">
        <v>7</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155.240868016415</v>
      </c>
      <c r="C16" s="3" t="n">
        <v>9</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115.897927448833</v>
      </c>
      <c r="C17" s="3" t="n">
        <v>10</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84.477482577224</v>
      </c>
      <c r="C18" s="3" t="n">
        <v>11</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58.8162982144497</v>
      </c>
      <c r="C19" s="3" t="n">
        <v>12</v>
      </c>
    </row>
    <row r="20" customFormat="false" ht="15" hidden="false" customHeight="false" outlineLevel="0" collapsed="false">
      <c r="A20" s="0" t="s">
        <v>167</v>
      </c>
      <c r="B20" s="0" t="n">
        <f aca="false">(SUMPRODUCT(DCF_Base!$C$19:$L$19/(1+$C$20/100)^DCF_Base!$C$4:$L$4)+MAX(0,MIN(IF($C$20&gt;DCF_Base!$B$28,DCF_Base!$L$19*(1+DCF_Base!$B$28/100)/(($C$20-DCF_Base!$B$28)/100),DCF_Base!$L$19*DCF_Base!$B$29),DCF_Base!$L$19*DCF_Base!$B$29))/(1+$C$20/100)^DCF_Base!$L$4+Assumptions!$B$5-Assumptions!$B$4)/Assumptions!$B$3*Assumptions!$B$10</f>
        <v>4.0288639065155</v>
      </c>
      <c r="C20" s="3" t="n">
        <v>15</v>
      </c>
    </row>
    <row r="22" customFormat="false" ht="15" hidden="false" customHeight="false" outlineLevel="0" collapsed="false">
      <c r="A22" s="2" t="s">
        <v>168</v>
      </c>
    </row>
    <row r="23" customFormat="false" ht="15" hidden="false" customHeight="false" outlineLevel="0" collapsed="false">
      <c r="B23" s="3" t="n">
        <v>0</v>
      </c>
      <c r="C23" s="3" t="n">
        <v>0.5</v>
      </c>
      <c r="D23" s="3" t="n">
        <v>1</v>
      </c>
      <c r="E23" s="3" t="n">
        <v>1.5</v>
      </c>
      <c r="F23" s="3" t="n">
        <v>2</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295.087978709341</v>
      </c>
      <c r="C24" s="0" t="n">
        <f aca="false">(SUMPRODUCT(DCF_Base!$C$19:$L$19/(1+$A$24/100)^DCF_Base!$C$4:$L$4)+MAX(0,MIN(IF($A$24&gt;$C$23,DCF_Base!$L$19*(1+$C$23/100)/(($A$24-$C$23)/100),DCF_Base!$L$19*DCF_Base!$B$29),DCF_Base!$L$19*DCF_Base!$B$29))/(1+$A$24/100)^DCF_Base!$L$4+Assumptions!$B$5-Assumptions!$B$4)/Assumptions!$B$3*Assumptions!$B$10</f>
        <v>295.087978709341</v>
      </c>
      <c r="D24" s="0" t="n">
        <f aca="false">(SUMPRODUCT(DCF_Base!$C$19:$L$19/(1+$A$24/100)^DCF_Base!$C$4:$L$4)+MAX(0,MIN(IF($A$24&gt;$D$23,DCF_Base!$L$19*(1+$D$23/100)/(($A$24-$D$23)/100),DCF_Base!$L$19*DCF_Base!$B$29),DCF_Base!$L$19*DCF_Base!$B$29))/(1+$A$24/100)^DCF_Base!$L$4+Assumptions!$B$5-Assumptions!$B$4)/Assumptions!$B$3*Assumptions!$B$10</f>
        <v>295.087978709341</v>
      </c>
      <c r="E24" s="0" t="n">
        <f aca="false">(SUMPRODUCT(DCF_Base!$C$19:$L$19/(1+$A$24/100)^DCF_Base!$C$4:$L$4)+MAX(0,MIN(IF($A$24&gt;$E$23,DCF_Base!$L$19*(1+$E$23/100)/(($A$24-$E$23)/100),DCF_Base!$L$19*DCF_Base!$B$29),DCF_Base!$L$19*DCF_Base!$B$29))/(1+$A$24/100)^DCF_Base!$L$4+Assumptions!$B$5-Assumptions!$B$4)/Assumptions!$B$3*Assumptions!$B$10</f>
        <v>295.087978709341</v>
      </c>
      <c r="F24" s="0" t="n">
        <f aca="false">(SUMPRODUCT(DCF_Base!$C$19:$L$19/(1+$A$24/100)^DCF_Base!$C$4:$L$4)+MAX(0,MIN(IF($A$24&gt;$F$23,DCF_Base!$L$19*(1+$F$23/100)/(($A$24-$F$23)/100),DCF_Base!$L$19*DCF_Base!$B$29),DCF_Base!$L$19*DCF_Base!$B$29))/(1+$A$24/100)^DCF_Base!$L$4+Assumptions!$B$5-Assumptions!$B$4)/Assumptions!$B$3*Assumptions!$B$10</f>
        <v>295.087978709341</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260.254640588213</v>
      </c>
      <c r="C25" s="0" t="n">
        <f aca="false">(SUMPRODUCT(DCF_Base!$C$19:$L$19/(1+$A$25/100)^DCF_Base!$C$4:$L$4)+MAX(0,MIN(IF($A$25&gt;$C$23,DCF_Base!$L$19*(1+$C$23/100)/(($A$25-$C$23)/100),DCF_Base!$L$19*DCF_Base!$B$29),DCF_Base!$L$19*DCF_Base!$B$29))/(1+$A$25/100)^DCF_Base!$L$4+Assumptions!$B$5-Assumptions!$B$4)/Assumptions!$B$3*Assumptions!$B$10</f>
        <v>260.254640588213</v>
      </c>
      <c r="D25" s="0" t="n">
        <f aca="false">(SUMPRODUCT(DCF_Base!$C$19:$L$19/(1+$A$25/100)^DCF_Base!$C$4:$L$4)+MAX(0,MIN(IF($A$25&gt;$D$23,DCF_Base!$L$19*(1+$D$23/100)/(($A$25-$D$23)/100),DCF_Base!$L$19*DCF_Base!$B$29),DCF_Base!$L$19*DCF_Base!$B$29))/(1+$A$25/100)^DCF_Base!$L$4+Assumptions!$B$5-Assumptions!$B$4)/Assumptions!$B$3*Assumptions!$B$10</f>
        <v>260.254640588213</v>
      </c>
      <c r="E25" s="0" t="n">
        <f aca="false">(SUMPRODUCT(DCF_Base!$C$19:$L$19/(1+$A$25/100)^DCF_Base!$C$4:$L$4)+MAX(0,MIN(IF($A$25&gt;$E$23,DCF_Base!$L$19*(1+$E$23/100)/(($A$25-$E$23)/100),DCF_Base!$L$19*DCF_Base!$B$29),DCF_Base!$L$19*DCF_Base!$B$29))/(1+$A$25/100)^DCF_Base!$L$4+Assumptions!$B$5-Assumptions!$B$4)/Assumptions!$B$3*Assumptions!$B$10</f>
        <v>260.254640588213</v>
      </c>
      <c r="F25" s="0" t="n">
        <f aca="false">(SUMPRODUCT(DCF_Base!$C$19:$L$19/(1+$A$25/100)^DCF_Base!$C$4:$L$4)+MAX(0,MIN(IF($A$25&gt;$F$23,DCF_Base!$L$19*(1+$F$23/100)/(($A$25-$F$23)/100),DCF_Base!$L$19*DCF_Base!$B$29),DCF_Base!$L$19*DCF_Base!$B$29))/(1+$A$25/100)^DCF_Base!$L$4+Assumptions!$B$5-Assumptions!$B$4)/Assumptions!$B$3*Assumptions!$B$10</f>
        <v>260.254640588213</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228.56686894661</v>
      </c>
      <c r="C26" s="0" t="n">
        <f aca="false">(SUMPRODUCT(DCF_Base!$C$19:$L$19/(1+$A$26/100)^DCF_Base!$C$4:$L$4)+MAX(0,MIN(IF($A$26&gt;$C$23,DCF_Base!$L$19*(1+$C$23/100)/(($A$26-$C$23)/100),DCF_Base!$L$19*DCF_Base!$B$29),DCF_Base!$L$19*DCF_Base!$B$29))/(1+$A$26/100)^DCF_Base!$L$4+Assumptions!$B$5-Assumptions!$B$4)/Assumptions!$B$3*Assumptions!$B$10</f>
        <v>228.56686894661</v>
      </c>
      <c r="D26" s="0" t="n">
        <f aca="false">(SUMPRODUCT(DCF_Base!$C$19:$L$19/(1+$A$26/100)^DCF_Base!$C$4:$L$4)+MAX(0,MIN(IF($A$26&gt;$D$23,DCF_Base!$L$19*(1+$D$23/100)/(($A$26-$D$23)/100),DCF_Base!$L$19*DCF_Base!$B$29),DCF_Base!$L$19*DCF_Base!$B$29))/(1+$A$26/100)^DCF_Base!$L$4+Assumptions!$B$5-Assumptions!$B$4)/Assumptions!$B$3*Assumptions!$B$10</f>
        <v>228.56686894661</v>
      </c>
      <c r="E26" s="0" t="n">
        <f aca="false">(SUMPRODUCT(DCF_Base!$C$19:$L$19/(1+$A$26/100)^DCF_Base!$C$4:$L$4)+MAX(0,MIN(IF($A$26&gt;$E$23,DCF_Base!$L$19*(1+$E$23/100)/(($A$26-$E$23)/100),DCF_Base!$L$19*DCF_Base!$B$29),DCF_Base!$L$19*DCF_Base!$B$29))/(1+$A$26/100)^DCF_Base!$L$4+Assumptions!$B$5-Assumptions!$B$4)/Assumptions!$B$3*Assumptions!$B$10</f>
        <v>228.56686894661</v>
      </c>
      <c r="F26" s="0" t="n">
        <f aca="false">(SUMPRODUCT(DCF_Base!$C$19:$L$19/(1+$A$26/100)^DCF_Base!$C$4:$L$4)+MAX(0,MIN(IF($A$26&gt;$F$23,DCF_Base!$L$19*(1+$F$23/100)/(($A$26-$F$23)/100),DCF_Base!$L$19*DCF_Base!$B$29),DCF_Base!$L$19*DCF_Base!$B$29))/(1+$A$26/100)^DCF_Base!$L$4+Assumptions!$B$5-Assumptions!$B$4)/Assumptions!$B$3*Assumptions!$B$10</f>
        <v>228.56686894661</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178.001020383059</v>
      </c>
      <c r="C27" s="0" t="n">
        <f aca="false">(SUMPRODUCT(DCF_Base!$C$19:$L$19/(1+$A$27/100)^DCF_Base!$C$4:$L$4)+MAX(0,MIN(IF($A$27&gt;$C$23,DCF_Base!$L$19*(1+$C$23/100)/(($A$27-$C$23)/100),DCF_Base!$L$19*DCF_Base!$B$29),DCF_Base!$L$19*DCF_Base!$B$29))/(1+$A$27/100)^DCF_Base!$L$4+Assumptions!$B$5-Assumptions!$B$4)/Assumptions!$B$3*Assumptions!$B$10</f>
        <v>191.02332424704</v>
      </c>
      <c r="D27" s="0" t="n">
        <f aca="false">(SUMPRODUCT(DCF_Base!$C$19:$L$19/(1+$A$27/100)^DCF_Base!$C$4:$L$4)+MAX(0,MIN(IF($A$27&gt;$D$23,DCF_Base!$L$19*(1+$D$23/100)/(($A$27-$D$23)/100),DCF_Base!$L$19*DCF_Base!$B$29),DCF_Base!$L$19*DCF_Base!$B$29))/(1+$A$27/100)^DCF_Base!$L$4+Assumptions!$B$5-Assumptions!$B$4)/Assumptions!$B$3*Assumptions!$B$10</f>
        <v>199.70486015636</v>
      </c>
      <c r="E27" s="0" t="n">
        <f aca="false">(SUMPRODUCT(DCF_Base!$C$19:$L$19/(1+$A$27/100)^DCF_Base!$C$4:$L$4)+MAX(0,MIN(IF($A$27&gt;$E$23,DCF_Base!$L$19*(1+$E$23/100)/(($A$27-$E$23)/100),DCF_Base!$L$19*DCF_Base!$B$29),DCF_Base!$L$19*DCF_Base!$B$29))/(1+$A$27/100)^DCF_Base!$L$4+Assumptions!$B$5-Assumptions!$B$4)/Assumptions!$B$3*Assumptions!$B$10</f>
        <v>199.70486015636</v>
      </c>
      <c r="F27" s="0" t="n">
        <f aca="false">(SUMPRODUCT(DCF_Base!$C$19:$L$19/(1+$A$27/100)^DCF_Base!$C$4:$L$4)+MAX(0,MIN(IF($A$27&gt;$F$23,DCF_Base!$L$19*(1+$F$23/100)/(($A$27-$F$23)/100),DCF_Base!$L$19*DCF_Base!$B$29),DCF_Base!$L$19*DCF_Base!$B$29))/(1+$A$27/100)^DCF_Base!$L$4+Assumptions!$B$5-Assumptions!$B$4)/Assumptions!$B$3*Assumptions!$B$10</f>
        <v>199.70486015636</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135.264713320682</v>
      </c>
      <c r="C28" s="0" t="n">
        <f aca="false">(SUMPRODUCT(DCF_Base!$C$19:$L$19/(1+$A$28/100)^DCF_Base!$C$4:$L$4)+MAX(0,MIN(IF($A$28&gt;$C$23,DCF_Base!$L$19*(1+$C$23/100)/(($A$28-$C$23)/100),DCF_Base!$L$19*DCF_Base!$B$29),DCF_Base!$L$19*DCF_Base!$B$29))/(1+$A$28/100)^DCF_Base!$L$4+Assumptions!$B$5-Assumptions!$B$4)/Assumptions!$B$3*Assumptions!$B$10</f>
        <v>144.665256706909</v>
      </c>
      <c r="D28" s="0" t="n">
        <f aca="false">(SUMPRODUCT(DCF_Base!$C$19:$L$19/(1+$A$28/100)^DCF_Base!$C$4:$L$4)+MAX(0,MIN(IF($A$28&gt;$D$23,DCF_Base!$L$19*(1+$D$23/100)/(($A$28-$D$23)/100),DCF_Base!$L$19*DCF_Base!$B$29),DCF_Base!$L$19*DCF_Base!$B$29))/(1+$A$28/100)^DCF_Base!$L$4+Assumptions!$B$5-Assumptions!$B$4)/Assumptions!$B$3*Assumptions!$B$10</f>
        <v>155.240868016415</v>
      </c>
      <c r="E28" s="0" t="n">
        <f aca="false">(SUMPRODUCT(DCF_Base!$C$19:$L$19/(1+$A$28/100)^DCF_Base!$C$4:$L$4)+MAX(0,MIN(IF($A$28&gt;$E$23,DCF_Base!$L$19*(1+$E$23/100)/(($A$28-$E$23)/100),DCF_Base!$L$19*DCF_Base!$B$29),DCF_Base!$L$19*DCF_Base!$B$29))/(1+$A$28/100)^DCF_Base!$L$4+Assumptions!$B$5-Assumptions!$B$4)/Assumptions!$B$3*Assumptions!$B$10</f>
        <v>167.226560833855</v>
      </c>
      <c r="F28" s="0" t="n">
        <f aca="false">(SUMPRODUCT(DCF_Base!$C$19:$L$19/(1+$A$28/100)^DCF_Base!$C$4:$L$4)+MAX(0,MIN(IF($A$28&gt;$F$23,DCF_Base!$L$19*(1+$F$23/100)/(($A$28-$F$23)/100),DCF_Base!$L$19*DCF_Base!$B$29),DCF_Base!$L$19*DCF_Base!$B$29))/(1+$A$28/100)^DCF_Base!$L$4+Assumptions!$B$5-Assumptions!$B$4)/Assumptions!$B$3*Assumptions!$B$10</f>
        <v>173.38434796942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2026-10-09T23:03:14Z</dcterms:created>
  <dc:creator>openpyxl</dc:creator>
  <dc:description/>
  <dc:language>en-NZ</dc:language>
  <cp:lastModifiedBy/>
  <dcterms:modified xsi:type="dcterms:W3CDTF">2026-10-09T23:03:14Z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