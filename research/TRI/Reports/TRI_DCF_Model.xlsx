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<sst xmlns="http://schemas.openxmlformats.org/spreadsheetml/2006/main" count="365" uniqueCount="169">
  <si>
    <t xml:space="preserve">Ticker</t>
  </si>
  <si>
    <t xml:space="preserve">TRI</t>
  </si>
  <si>
    <t xml:space="preserve">Company</t>
  </si>
  <si>
    <t xml:space="preserve">Thomson Reuters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</si>
  <si>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</si>
  <si>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</si>
  <si>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</si>
  <si>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</si>
  <si>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chart API, NYSE/Nasdaq USD line)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</si>
  <si>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</si>
  <si>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</si>
  <si>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</si>
  <si>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</si>
  <si>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</si>
  <si>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</si>
  <si>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</si>
  <si>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</si>
  <si>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</si>
  <si>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</si>
  <si>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</si>
  <si>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</si>
  <si>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2026-10-02T09:47:49Z</t>
  </si>
  <si>
    <t xml:space="preserve">Drivers file</t>
  </si>
  <si>
    <t xml:space="preserve">TRI_Drivers.json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</si>
  <si>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</si>
  <si>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</si>
  <si>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</si>
  <si>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Thomson Reuters is valued as a mature, subscription-heavy information and workflow-software franchise on an owner-FCF basis: SBC (~1.5% of revenue) expensed, leases charged in the flows, organic growth only (acquisition spend not modelled), USD WACC 8.0%. The share price has fallen from ~$164 to ~$99 on AI-disintermediation fears; the valuation question is how much of the content moat survives agentic AI, which is carried in the 25% bear weight and a bear path with falling margins rather than in the discount rate.
key_risks_to_valuation: AI disintermediation of per-seat legal/tax research pricing (Harvey, LexisNexis Protege, foundation models, in-house tools); Terminal value is ~70%+ of EV; a 20x cap on terminal FCF is assumed in the base; Acquisition spend ($0.8-1.0B/yr) excluded: if growth depends on it, the organic paths are too high; Woodbridge ~71% control limits any takeover premium; US concentration (72% of revenue) and government-contract exposure; Derived (not printed) period-end share count, ~0.2% uncertainty</t>
  </si>
  <si>
    <t xml:space="preserve">Data sources</t>
  </si>
  <si>
    <t xml:space="preserve">price: Yahoo Finance chart API at inputs.price_as_of; 52-week range 76.28-164.30
financials: TRI_Metrics.csv (FY2015-FY2025, interims to Q2-2026); FY2025 annual report (adjusted EBITDA reconciliation, FCF reconciliation, 2026 outlook, lease note); Q2-2026 report (balance sheet at 30-Jun-2026, EPS share-count note, return of capital note 14, lease principal)
qualitative: TRI_Analysis.json (2026-10-02): segment mix, raised FY2026 guidance after Q2-26, CoCounsel adoption, Ross Intelligence appellate ruling</t>
  </si>
  <si>
    <t xml:space="preserve">Scenario narrative: bear</t>
  </si>
  <si>
    <t xml:space="preserve">Agentic AI compresses billable research hours and the per-seat model: Harvey, LexisNexis Protege and foundation-model vendors bid down legal/tax research pricing, large firms build in-house tools, and renewals reprice lower over the 1-5 year contract cycle. Growth fades to ~2.5%, adjusted EBITDA margin gives back ~3pp to ~37%, capex stays at 8.5%.</t>
  </si>
  <si>
    <t xml:space="preserve">Scenario narrative: base</t>
  </si>
  <si>
    <t xml:space="preserve">Big 3 (82% of revenue) keep compounding at ~9-10% organic near term as CoCounsel lifts price/mix on Westlaw, Practical Law and Checkpoint; Global Print declines and Reuters is flat-ish, so total organic growth fades from ~8% to 3.5% by year 10 as AI tools become table stakes rather than an upsell. Adjusted EBITDA margin expands ~270bp on operating leverage, then holds as AI compute is reinvested.</t>
  </si>
  <si>
    <t xml:space="preserve">Scenario narrative: bull</t>
  </si>
  <si>
    <t xml:space="preserve">CoCounsel converts its 1M+ user lead into a paid agentic tier priced on work product rather than seats; the Third Circuit Ross Intelligence ruling forces AI rivals to license TRI content. Big 3 organic growth stays at 10%+ for several years, total growth holds 9%+ and adjusted EBITDA margin reaches ~45% on the fixed editorial/content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</si>
  <si>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</si>
  <si>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</si>
  <si>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</si>
  <si>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</si>
  <si>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</si>
  <si>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</si>
  <si>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</si>
  <si>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</si>
  <si>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</si>
  <si>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</si>
  <si>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</si>
  <si>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</si>
  <si>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</si>
  <si>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</si>
  <si>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</si>
  <si>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</si>
  <si>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</si>
  <si>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</si>
  <si>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</si>
  <si>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</si>
  <si>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</si>
  <si>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</si>
  <si>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</si>
  <si>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</si>
  <si>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</si>
  <si>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</si>
  <si>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</si>
  <si>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ProfitForPeriodTotal</t>
  </si>
  <si>
    <t xml:space="preserve">SharesDiluted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</si>
  <si>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</si>
  <si>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</si>
  <si>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</si>
  <si>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</si>
  <si>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</si>
  <si>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</si>
  <si>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</si>
  <si>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</si>
  <si>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</si>
  <si>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</si>
  <si>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</si>
  <si>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</si>
  <si>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</si>
  <si>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</si>
  <si>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</si>
  <si>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</si>
  <si>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</si>
  <si>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</si>
  <si>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</si>
  <si>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</si>
  <si>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</si>
  <si>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</si>
  <si>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</si>
  <si>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</si>
  <si>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</si>
  <si>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</si>
  <si>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</si>
  <si>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</si>
  <si>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</si>
  <si>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</si>
  <si>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</si>
  <si>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</si>
  <si>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</si>
  <si>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</si>
  <si>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</si>
  <si>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</si>
  <si>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</si>
  <si>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</si>
  <si>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</si>
  <si>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</si>
  <si>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</si>
  <si>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</si>
  <si>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</si>
  <si>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</si>
  <si>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</si>
  <si>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</si>
  <si>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</si>
  <si>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</si>
  <si>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</si>
  <si>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TRI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</si>
  <si>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</si>
  <si>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</si>
  <si>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</si>
  <si>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</si>
  <si>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</si>
  <si>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</si>
  <si>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</si>
  <si>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</si>
  <si>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</si>
  <si>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</si>
  <si>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</si>
  <si>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</si>
  <si>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</si>
  <si>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</si>
  <si>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</si>
  <si>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</si>
  <si>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</si>
  <si>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</si>
  <si>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</si>
  <si>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</si>
  <si>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</si>
  <si>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</si>
  <si>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</si>
  <si>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</si>
  <si>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</si>
  <si>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</si>
  <si>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</si>
  <si>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</si>
  <si>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</si>
  <si>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</si>
  <si>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TRI owner-FCF component DCF: base case (millions, USD)</t>
  </si>
  <si>
    <t xml:space="preserve">TRI owner-FCF component DCF: bull case (millions, USD)</t>
  </si>
  <si>
    <t xml:space="preserve">TRI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</si>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</sst>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99.36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11257</v>
      </c>
      <c r="F2" s="0" t="n">
        <v>1526</v>
      </c>
      <c r="G2" s="0" t="n">
        <v>13.6</v>
      </c>
      <c r="H2" s="0" t="n">
        <v>3108</v>
      </c>
      <c r="I2" s="0" t="n">
        <v>1255</v>
      </c>
      <c r="J2" s="0" t="n">
        <v>11.1</v>
      </c>
      <c r="K2" s="0" t="n">
        <v>1.6</v>
      </c>
      <c r="L2" s="0" t="n">
        <v>2838</v>
      </c>
      <c r="M2" s="0" t="n">
        <v>951</v>
      </c>
      <c r="N2" s="0" t="n">
        <v>1887</v>
      </c>
      <c r="O2" s="0" t="n">
        <v>12613</v>
      </c>
      <c r="P2" s="0" t="n">
        <v>29112</v>
      </c>
      <c r="Q2" s="0" t="n">
        <v>16012</v>
      </c>
      <c r="R2" s="0" t="n">
        <v>8424</v>
      </c>
      <c r="S2" s="0" t="n">
        <v>966</v>
      </c>
      <c r="T2" s="0" t="n">
        <v>784.1</v>
      </c>
      <c r="U2" s="0" t="n">
        <v>79</v>
      </c>
      <c r="V2" s="0" t="n">
        <v>1.34</v>
      </c>
      <c r="AA2" s="0" t="s">
        <v>17</v>
      </c>
      <c r="AB2" s="0" t="s">
        <v>14</v>
      </c>
      <c r="AC2" s="0" t="n">
        <v>1311</v>
      </c>
      <c r="AD2" s="0" t="n">
        <v>784.1</v>
      </c>
    </row>
    <row r="3" customFormat="false" ht="15" hidden="false" customHeight="false" outlineLevel="0" collapsed="false">
      <c r="A3" s="0" t="s">
        <v>66</v>
      </c>
      <c r="B3" s="0" t="n">
        <v>11166</v>
      </c>
      <c r="F3" s="0" t="n">
        <v>1390</v>
      </c>
      <c r="G3" s="0" t="n">
        <v>12.4</v>
      </c>
      <c r="H3" s="0" t="n">
        <v>2942</v>
      </c>
      <c r="I3" s="0" t="n">
        <v>3098</v>
      </c>
      <c r="J3" s="0" t="n">
        <v>27.7</v>
      </c>
      <c r="K3" s="0" t="n">
        <v>4.13</v>
      </c>
      <c r="L3" s="0" t="n">
        <v>2984</v>
      </c>
      <c r="M3" s="0" t="n">
        <v>905</v>
      </c>
      <c r="N3" s="0" t="n">
        <v>2079</v>
      </c>
      <c r="O3" s="0" t="n">
        <v>12773</v>
      </c>
      <c r="P3" s="0" t="n">
        <v>27852</v>
      </c>
      <c r="Q3" s="0" t="n">
        <v>14596</v>
      </c>
      <c r="R3" s="0" t="n">
        <v>7389</v>
      </c>
      <c r="S3" s="0" t="n">
        <v>2368</v>
      </c>
      <c r="T3" s="0" t="n">
        <v>749</v>
      </c>
      <c r="U3" s="0" t="n">
        <v>106</v>
      </c>
      <c r="V3" s="0" t="n">
        <v>1.36</v>
      </c>
      <c r="AA3" s="0" t="s">
        <v>17</v>
      </c>
      <c r="AB3" s="0" t="s">
        <v>14</v>
      </c>
      <c r="AC3" s="0" t="n">
        <v>3149</v>
      </c>
      <c r="AD3" s="0" t="n">
        <v>749</v>
      </c>
    </row>
    <row r="4" customFormat="false" ht="15" hidden="false" customHeight="false" outlineLevel="0" collapsed="false">
      <c r="A4" s="0" t="s">
        <v>67</v>
      </c>
      <c r="B4" s="0" t="n">
        <v>5297</v>
      </c>
      <c r="F4" s="0" t="n">
        <v>1034</v>
      </c>
      <c r="G4" s="0" t="n">
        <v>19.5</v>
      </c>
      <c r="H4" s="0" t="n">
        <v>1639</v>
      </c>
      <c r="I4" s="0" t="n">
        <v>1395</v>
      </c>
      <c r="J4" s="0" t="n">
        <v>26.3</v>
      </c>
      <c r="K4" s="0" t="n">
        <v>1.94</v>
      </c>
      <c r="L4" s="0" t="n">
        <v>2029</v>
      </c>
      <c r="M4" s="0" t="n">
        <v>950</v>
      </c>
      <c r="N4" s="0" t="n">
        <v>1079</v>
      </c>
      <c r="O4" s="0" t="n">
        <v>13077</v>
      </c>
      <c r="P4" s="0" t="n">
        <v>26480</v>
      </c>
      <c r="Q4" s="0" t="n">
        <v>12905</v>
      </c>
      <c r="R4" s="0" t="n">
        <v>7026</v>
      </c>
      <c r="S4" s="0" t="n">
        <v>874</v>
      </c>
      <c r="T4" s="0" t="n">
        <v>720.2</v>
      </c>
      <c r="U4" s="0" t="n">
        <v>87</v>
      </c>
      <c r="V4" s="0" t="n">
        <v>1.38</v>
      </c>
      <c r="X4" s="0" t="n">
        <v>5297</v>
      </c>
      <c r="AA4" s="0" t="s">
        <v>17</v>
      </c>
      <c r="AB4" s="0" t="s">
        <v>14</v>
      </c>
      <c r="AC4" s="0" t="n">
        <v>1459</v>
      </c>
      <c r="AD4" s="0" t="n">
        <v>720.2</v>
      </c>
    </row>
    <row r="5" customFormat="false" ht="15" hidden="false" customHeight="false" outlineLevel="0" collapsed="false">
      <c r="A5" s="0" t="s">
        <v>68</v>
      </c>
      <c r="B5" s="0" t="n">
        <v>5501</v>
      </c>
      <c r="F5" s="0" t="n">
        <v>780</v>
      </c>
      <c r="G5" s="0" t="n">
        <v>14.2</v>
      </c>
      <c r="H5" s="0" t="n">
        <v>1399</v>
      </c>
      <c r="I5" s="0" t="n">
        <v>3933</v>
      </c>
      <c r="J5" s="0" t="n">
        <v>71.5</v>
      </c>
      <c r="K5" s="0" t="n">
        <v>5.88</v>
      </c>
      <c r="L5" s="0" t="n">
        <v>2062</v>
      </c>
      <c r="M5" s="0" t="n">
        <v>576</v>
      </c>
      <c r="N5" s="0" t="n">
        <v>1486</v>
      </c>
      <c r="O5" s="0" t="n">
        <v>9210</v>
      </c>
      <c r="P5" s="0" t="n">
        <v>17018</v>
      </c>
      <c r="Q5" s="0" t="n">
        <v>7808</v>
      </c>
      <c r="R5" s="0" t="n">
        <v>3216</v>
      </c>
      <c r="S5" s="0" t="n">
        <v>2706</v>
      </c>
      <c r="T5" s="0" t="n">
        <v>668.2</v>
      </c>
      <c r="U5" s="0" t="n">
        <v>48</v>
      </c>
      <c r="V5" s="0" t="n">
        <v>1.385</v>
      </c>
      <c r="X5" s="0" t="n">
        <v>5501</v>
      </c>
      <c r="AA5" s="0" t="s">
        <v>17</v>
      </c>
      <c r="AB5" s="0" t="s">
        <v>14</v>
      </c>
      <c r="AC5" s="0" t="n">
        <v>4023</v>
      </c>
      <c r="AD5" s="0" t="n">
        <v>668.2</v>
      </c>
    </row>
    <row r="6" customFormat="false" ht="15" hidden="false" customHeight="false" outlineLevel="0" collapsed="false">
      <c r="A6" s="0" t="s">
        <v>69</v>
      </c>
      <c r="B6" s="0" t="n">
        <v>5906</v>
      </c>
      <c r="F6" s="0" t="n">
        <v>1199</v>
      </c>
      <c r="G6" s="0" t="n">
        <v>20.3</v>
      </c>
      <c r="H6" s="0" t="n">
        <v>1916</v>
      </c>
      <c r="I6" s="0" t="n">
        <v>1564</v>
      </c>
      <c r="J6" s="0" t="n">
        <v>26.5</v>
      </c>
      <c r="K6" s="0" t="n">
        <v>3.11</v>
      </c>
      <c r="L6" s="0" t="n">
        <v>702</v>
      </c>
      <c r="M6" s="0" t="n">
        <v>505</v>
      </c>
      <c r="N6" s="0" t="n">
        <v>197</v>
      </c>
      <c r="O6" s="0" t="n">
        <v>9560</v>
      </c>
      <c r="P6" s="0" t="n">
        <v>17295</v>
      </c>
      <c r="Q6" s="0" t="n">
        <v>7735</v>
      </c>
      <c r="R6" s="0" t="n">
        <v>3255</v>
      </c>
      <c r="S6" s="0" t="n">
        <v>825</v>
      </c>
      <c r="T6" s="0" t="n">
        <v>502.5</v>
      </c>
      <c r="U6" s="0" t="n">
        <v>56</v>
      </c>
      <c r="V6" s="0" t="n">
        <v>1.44</v>
      </c>
      <c r="X6" s="0" t="n">
        <v>5906</v>
      </c>
      <c r="AA6" s="0" t="s">
        <v>17</v>
      </c>
      <c r="AB6" s="0" t="s">
        <v>14</v>
      </c>
      <c r="AC6" s="0" t="n">
        <v>1564</v>
      </c>
      <c r="AD6" s="0" t="n">
        <v>502.5</v>
      </c>
    </row>
    <row r="7" customFormat="false" ht="15" hidden="false" customHeight="false" outlineLevel="0" collapsed="false">
      <c r="A7" s="0" t="s">
        <v>70</v>
      </c>
      <c r="B7" s="0" t="n">
        <v>5984</v>
      </c>
      <c r="F7" s="0" t="n">
        <v>1929</v>
      </c>
      <c r="G7" s="0" t="n">
        <v>32.2</v>
      </c>
      <c r="H7" s="0" t="n">
        <v>2721</v>
      </c>
      <c r="I7" s="0" t="n">
        <v>1122</v>
      </c>
      <c r="J7" s="0" t="n">
        <v>18.8</v>
      </c>
      <c r="K7" s="0" t="n">
        <v>2.25</v>
      </c>
      <c r="L7" s="0" t="n">
        <v>1745</v>
      </c>
      <c r="M7" s="0" t="n">
        <v>504</v>
      </c>
      <c r="N7" s="0" t="n">
        <v>1241</v>
      </c>
      <c r="O7" s="0" t="n">
        <v>9980</v>
      </c>
      <c r="P7" s="0" t="n">
        <v>17881</v>
      </c>
      <c r="Q7" s="0" t="n">
        <v>7901</v>
      </c>
      <c r="R7" s="0" t="n">
        <v>3772</v>
      </c>
      <c r="S7" s="0" t="n">
        <v>1787</v>
      </c>
      <c r="T7" s="0" t="n">
        <v>498</v>
      </c>
      <c r="U7" s="0" t="n">
        <v>64</v>
      </c>
      <c r="V7" s="0" t="n">
        <v>1.52</v>
      </c>
      <c r="X7" s="0" t="n">
        <v>5984</v>
      </c>
      <c r="AA7" s="0" t="s">
        <v>17</v>
      </c>
      <c r="AB7" s="0" t="s">
        <v>14</v>
      </c>
      <c r="AC7" s="0" t="n">
        <v>1122</v>
      </c>
      <c r="AD7" s="0" t="n">
        <v>498</v>
      </c>
    </row>
    <row r="8" customFormat="false" ht="15" hidden="false" customHeight="false" outlineLevel="0" collapsed="false">
      <c r="A8" s="0" t="s">
        <v>71</v>
      </c>
      <c r="B8" s="0" t="n">
        <v>6348</v>
      </c>
      <c r="F8" s="0" t="n">
        <v>1242</v>
      </c>
      <c r="G8" s="0" t="n">
        <v>19.6</v>
      </c>
      <c r="H8" s="0" t="n">
        <v>2012</v>
      </c>
      <c r="I8" s="0" t="n">
        <v>5689</v>
      </c>
      <c r="J8" s="0" t="n">
        <v>89.6</v>
      </c>
      <c r="K8" s="0" t="n">
        <v>11.5</v>
      </c>
      <c r="L8" s="0" t="n">
        <v>1773</v>
      </c>
      <c r="M8" s="0" t="n">
        <v>487</v>
      </c>
      <c r="N8" s="0" t="n">
        <v>1286</v>
      </c>
      <c r="O8" s="0" t="n">
        <v>13834</v>
      </c>
      <c r="P8" s="0" t="n">
        <v>22149</v>
      </c>
      <c r="Q8" s="0" t="n">
        <v>8315</v>
      </c>
      <c r="R8" s="0" t="n">
        <v>3786</v>
      </c>
      <c r="S8" s="0" t="n">
        <v>778</v>
      </c>
      <c r="T8" s="0" t="n">
        <v>494.5</v>
      </c>
      <c r="U8" s="0" t="n">
        <v>76</v>
      </c>
      <c r="V8" s="0" t="n">
        <v>1.62</v>
      </c>
      <c r="X8" s="0" t="n">
        <v>6348</v>
      </c>
      <c r="AA8" s="0" t="s">
        <v>17</v>
      </c>
      <c r="AB8" s="0" t="s">
        <v>14</v>
      </c>
      <c r="AC8" s="0" t="n">
        <v>5689</v>
      </c>
      <c r="AD8" s="0" t="n">
        <v>494.5</v>
      </c>
    </row>
    <row r="9" customFormat="false" ht="15" hidden="false" customHeight="false" outlineLevel="0" collapsed="false">
      <c r="A9" s="0" t="s">
        <v>72</v>
      </c>
      <c r="B9" s="0" t="n">
        <v>6627</v>
      </c>
      <c r="F9" s="0" t="n">
        <v>1834</v>
      </c>
      <c r="G9" s="0" t="n">
        <v>27.7</v>
      </c>
      <c r="H9" s="0" t="n">
        <v>2558</v>
      </c>
      <c r="I9" s="0" t="n">
        <v>1338</v>
      </c>
      <c r="J9" s="0" t="n">
        <v>20.2</v>
      </c>
      <c r="K9" s="0" t="n">
        <v>2.75</v>
      </c>
      <c r="L9" s="0" t="n">
        <v>1915</v>
      </c>
      <c r="M9" s="0" t="n">
        <v>595</v>
      </c>
      <c r="N9" s="0" t="n">
        <v>1320</v>
      </c>
      <c r="O9" s="0" t="n">
        <v>11885</v>
      </c>
      <c r="P9" s="0" t="n">
        <v>21711</v>
      </c>
      <c r="Q9" s="0" t="n">
        <v>9826</v>
      </c>
      <c r="R9" s="0" t="n">
        <v>4761</v>
      </c>
      <c r="S9" s="0" t="n">
        <v>1069</v>
      </c>
      <c r="T9" s="0" t="n">
        <v>484.9</v>
      </c>
      <c r="U9" s="0" t="n">
        <v>85</v>
      </c>
      <c r="V9" s="0" t="n">
        <v>1.78</v>
      </c>
      <c r="X9" s="0" t="n">
        <v>6627</v>
      </c>
      <c r="AA9" s="0" t="s">
        <v>17</v>
      </c>
      <c r="AB9" s="0" t="s">
        <v>14</v>
      </c>
      <c r="AC9" s="0" t="n">
        <v>1338</v>
      </c>
      <c r="AD9" s="0" t="n">
        <v>484.9</v>
      </c>
    </row>
    <row r="10" customFormat="false" ht="15" hidden="false" customHeight="false" outlineLevel="0" collapsed="false">
      <c r="A10" s="0" t="s">
        <v>73</v>
      </c>
      <c r="B10" s="0" t="n">
        <v>6794</v>
      </c>
      <c r="F10" s="0" t="n">
        <v>2332</v>
      </c>
      <c r="G10" s="0" t="n">
        <v>34.3</v>
      </c>
      <c r="H10" s="0" t="n">
        <v>3057</v>
      </c>
      <c r="I10" s="0" t="n">
        <v>2695</v>
      </c>
      <c r="J10" s="0" t="n">
        <v>39.7</v>
      </c>
      <c r="K10" s="0" t="n">
        <v>5.8</v>
      </c>
      <c r="L10" s="0" t="n">
        <v>2341</v>
      </c>
      <c r="M10" s="0" t="n">
        <v>544</v>
      </c>
      <c r="N10" s="0" t="n">
        <v>1797</v>
      </c>
      <c r="O10" s="0" t="n">
        <v>11064</v>
      </c>
      <c r="P10" s="0" t="n">
        <v>18684</v>
      </c>
      <c r="Q10" s="0" t="n">
        <v>7620</v>
      </c>
      <c r="R10" s="0" t="n">
        <v>3277</v>
      </c>
      <c r="S10" s="0" t="n">
        <v>1298</v>
      </c>
      <c r="T10" s="0" t="n">
        <v>464</v>
      </c>
      <c r="U10" s="0" t="n">
        <v>83</v>
      </c>
      <c r="V10" s="0" t="n">
        <v>1.96</v>
      </c>
      <c r="X10" s="0" t="n">
        <v>6794</v>
      </c>
      <c r="AA10" s="0" t="s">
        <v>17</v>
      </c>
      <c r="AB10" s="0" t="s">
        <v>14</v>
      </c>
      <c r="AC10" s="0" t="n">
        <v>2695</v>
      </c>
      <c r="AD10" s="0" t="n">
        <v>464</v>
      </c>
    </row>
    <row r="11" customFormat="false" ht="15" hidden="false" customHeight="false" outlineLevel="0" collapsed="false">
      <c r="A11" s="0" t="s">
        <v>74</v>
      </c>
      <c r="B11" s="0" t="n">
        <v>7258</v>
      </c>
      <c r="F11" s="0" t="n">
        <v>2109</v>
      </c>
      <c r="G11" s="0" t="n">
        <v>29.1</v>
      </c>
      <c r="H11" s="0" t="n">
        <v>2931</v>
      </c>
      <c r="I11" s="0" t="n">
        <v>2210</v>
      </c>
      <c r="J11" s="0" t="n">
        <v>30.4</v>
      </c>
      <c r="K11" s="0" t="n">
        <v>4.89</v>
      </c>
      <c r="L11" s="0" t="n">
        <v>2457</v>
      </c>
      <c r="M11" s="0" t="n">
        <v>607</v>
      </c>
      <c r="N11" s="0" t="n">
        <v>1850</v>
      </c>
      <c r="O11" s="0" t="n">
        <v>12006</v>
      </c>
      <c r="P11" s="0" t="n">
        <v>18437</v>
      </c>
      <c r="Q11" s="0" t="n">
        <v>6431</v>
      </c>
      <c r="R11" s="0" t="n">
        <v>2820</v>
      </c>
      <c r="S11" s="0" t="n">
        <v>1968</v>
      </c>
      <c r="T11" s="0" t="n">
        <v>451.2</v>
      </c>
      <c r="U11" s="0" t="n">
        <v>87</v>
      </c>
      <c r="V11" s="0" t="n">
        <v>2.16</v>
      </c>
      <c r="X11" s="0" t="n">
        <v>7258</v>
      </c>
      <c r="AA11" s="0" t="s">
        <v>17</v>
      </c>
      <c r="AB11" s="0" t="s">
        <v>14</v>
      </c>
      <c r="AC11" s="0" t="n">
        <v>2207</v>
      </c>
      <c r="AD11" s="0" t="n">
        <v>451.2</v>
      </c>
    </row>
    <row r="12" customFormat="false" ht="15" hidden="false" customHeight="false" outlineLevel="0" collapsed="false">
      <c r="A12" s="0" t="s">
        <v>75</v>
      </c>
      <c r="B12" s="0" t="n">
        <v>7476</v>
      </c>
      <c r="F12" s="0" t="n">
        <v>2132</v>
      </c>
      <c r="G12" s="0" t="n">
        <v>28.5</v>
      </c>
      <c r="H12" s="0" t="n">
        <v>3062</v>
      </c>
      <c r="I12" s="0" t="n">
        <v>1502</v>
      </c>
      <c r="J12" s="0" t="n">
        <v>20.1</v>
      </c>
      <c r="K12" s="0" t="n">
        <v>3.33</v>
      </c>
      <c r="L12" s="0" t="n">
        <v>2651</v>
      </c>
      <c r="M12" s="0" t="n">
        <v>634</v>
      </c>
      <c r="N12" s="0" t="n">
        <v>2017</v>
      </c>
      <c r="O12" s="0" t="n">
        <v>11914</v>
      </c>
      <c r="P12" s="0" t="n">
        <v>17940</v>
      </c>
      <c r="Q12" s="0" t="n">
        <v>6026</v>
      </c>
      <c r="R12" s="0" t="n">
        <v>2123</v>
      </c>
      <c r="S12" s="0" t="n">
        <v>511</v>
      </c>
      <c r="T12" s="0" t="n">
        <v>449.5</v>
      </c>
      <c r="U12" s="0" t="n">
        <v>111</v>
      </c>
      <c r="V12" s="0" t="n">
        <v>2.38</v>
      </c>
      <c r="X12" s="0" t="n">
        <v>7476</v>
      </c>
      <c r="AA12" s="0" t="s">
        <v>17</v>
      </c>
      <c r="AB12" s="0" t="s">
        <v>14</v>
      </c>
      <c r="AC12" s="0" t="n">
        <v>1502</v>
      </c>
      <c r="AD12" s="0" t="n">
        <v>449.5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99.36</v>
      </c>
    </row>
    <row r="3" customFormat="false" ht="15" hidden="false" customHeight="false" outlineLevel="0" collapsed="false">
      <c r="A3" s="0" t="s">
        <v>79</v>
      </c>
      <c r="B3" s="3" t="n">
        <v>436.2</v>
      </c>
    </row>
    <row r="4" customFormat="false" ht="15" hidden="false" customHeight="false" outlineLevel="0" collapsed="false">
      <c r="A4" s="0" t="s">
        <v>80</v>
      </c>
      <c r="B4" s="3" t="n">
        <v>2364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7832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6.5</v>
      </c>
      <c r="D13" s="3" t="n">
        <v>5</v>
      </c>
      <c r="E13" s="3" t="n">
        <v>4</v>
      </c>
      <c r="F13" s="3" t="n">
        <v>3.5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41.5</v>
      </c>
      <c r="D14" s="3" t="n">
        <v>41</v>
      </c>
      <c r="E14" s="3" t="n">
        <v>40</v>
      </c>
      <c r="F14" s="3" t="n">
        <v>39.5</v>
      </c>
      <c r="G14" s="3" t="n">
        <v>39</v>
      </c>
      <c r="H14" s="3" t="n">
        <v>38.5</v>
      </c>
      <c r="I14" s="3" t="n">
        <v>38.5</v>
      </c>
      <c r="J14" s="3" t="n">
        <v>38.5</v>
      </c>
      <c r="K14" s="3" t="n">
        <v>38.5</v>
      </c>
      <c r="L14" s="3" t="n">
        <v>38.5</v>
      </c>
    </row>
    <row r="15" customFormat="false" ht="15" hidden="false" customHeight="false" outlineLevel="0" collapsed="false">
      <c r="A15" s="0" t="s">
        <v>102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103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104</v>
      </c>
      <c r="C17" s="3" t="n">
        <v>10.8</v>
      </c>
      <c r="D17" s="3" t="n">
        <v>10.6</v>
      </c>
      <c r="E17" s="3" t="n">
        <v>10.3</v>
      </c>
      <c r="F17" s="3" t="n">
        <v>10</v>
      </c>
      <c r="G17" s="3" t="n">
        <v>9.7</v>
      </c>
      <c r="H17" s="3" t="n">
        <v>9.4</v>
      </c>
      <c r="I17" s="3" t="n">
        <v>9.2</v>
      </c>
      <c r="J17" s="3" t="n">
        <v>9</v>
      </c>
      <c r="K17" s="3" t="n">
        <v>8.9</v>
      </c>
      <c r="L17" s="3" t="n">
        <v>8.8</v>
      </c>
    </row>
    <row r="18" customFormat="false" ht="15" hidden="false" customHeight="false" outlineLevel="0" collapsed="false">
      <c r="A18" s="0" t="s">
        <v>105</v>
      </c>
      <c r="C18" s="3" t="n">
        <v>8.5</v>
      </c>
      <c r="D18" s="3" t="n">
        <v>8.5</v>
      </c>
      <c r="E18" s="3" t="n">
        <v>8.5</v>
      </c>
      <c r="F18" s="3" t="n">
        <v>8.5</v>
      </c>
      <c r="G18" s="3" t="n">
        <v>8.5</v>
      </c>
      <c r="H18" s="3" t="n">
        <v>8.5</v>
      </c>
      <c r="I18" s="3" t="n">
        <v>8.5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106</v>
      </c>
      <c r="C19" s="3" t="n">
        <v>19</v>
      </c>
      <c r="D19" s="3" t="n">
        <v>19.5</v>
      </c>
      <c r="E19" s="3" t="n">
        <v>20</v>
      </c>
      <c r="F19" s="3" t="n">
        <v>20</v>
      </c>
      <c r="G19" s="3" t="n">
        <v>20.5</v>
      </c>
      <c r="H19" s="3" t="n">
        <v>20.5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107</v>
      </c>
      <c r="B20" s="3" t="n">
        <v>8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10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8</v>
      </c>
      <c r="D27" s="3" t="n">
        <v>7.5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101</v>
      </c>
      <c r="C28" s="3" t="n">
        <v>42</v>
      </c>
      <c r="D28" s="3" t="n">
        <v>42.5</v>
      </c>
      <c r="E28" s="3" t="n">
        <v>43</v>
      </c>
      <c r="F28" s="3" t="n">
        <v>43.3</v>
      </c>
      <c r="G28" s="3" t="n">
        <v>43.5</v>
      </c>
      <c r="H28" s="3" t="n">
        <v>43.5</v>
      </c>
      <c r="I28" s="3" t="n">
        <v>43.5</v>
      </c>
      <c r="J28" s="3" t="n">
        <v>43.5</v>
      </c>
      <c r="K28" s="3" t="n">
        <v>43.5</v>
      </c>
      <c r="L28" s="3" t="n">
        <v>43.5</v>
      </c>
    </row>
    <row r="29" customFormat="false" ht="15" hidden="false" customHeight="false" outlineLevel="0" collapsed="false">
      <c r="A29" s="0" t="s">
        <v>102</v>
      </c>
      <c r="C29" s="3" t="n">
        <v>1.5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103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104</v>
      </c>
      <c r="C31" s="3" t="n">
        <v>10.8</v>
      </c>
      <c r="D31" s="3" t="n">
        <v>10.6</v>
      </c>
      <c r="E31" s="3" t="n">
        <v>10.3</v>
      </c>
      <c r="F31" s="3" t="n">
        <v>10</v>
      </c>
      <c r="G31" s="3" t="n">
        <v>9.7</v>
      </c>
      <c r="H31" s="3" t="n">
        <v>9.4</v>
      </c>
      <c r="I31" s="3" t="n">
        <v>9.1</v>
      </c>
      <c r="J31" s="3" t="n">
        <v>8.8</v>
      </c>
      <c r="K31" s="3" t="n">
        <v>8.6</v>
      </c>
      <c r="L31" s="3" t="n">
        <v>8.5</v>
      </c>
    </row>
    <row r="32" customFormat="false" ht="15" hidden="false" customHeight="false" outlineLevel="0" collapsed="false">
      <c r="A32" s="0" t="s">
        <v>105</v>
      </c>
      <c r="C32" s="3" t="n">
        <v>8.2</v>
      </c>
      <c r="D32" s="3" t="n">
        <v>8.2</v>
      </c>
      <c r="E32" s="3" t="n">
        <v>8.2</v>
      </c>
      <c r="F32" s="3" t="n">
        <v>8.2</v>
      </c>
      <c r="G32" s="3" t="n">
        <v>8.2</v>
      </c>
      <c r="H32" s="3" t="n">
        <v>8.2</v>
      </c>
      <c r="I32" s="3" t="n">
        <v>8.2</v>
      </c>
      <c r="J32" s="3" t="n">
        <v>8.2</v>
      </c>
      <c r="K32" s="3" t="n">
        <v>8.2</v>
      </c>
      <c r="L32" s="3" t="n">
        <v>8.2</v>
      </c>
    </row>
    <row r="33" customFormat="false" ht="15" hidden="false" customHeight="false" outlineLevel="0" collapsed="false">
      <c r="A33" s="0" t="s">
        <v>106</v>
      </c>
      <c r="C33" s="3" t="n">
        <v>19</v>
      </c>
      <c r="D33" s="3" t="n">
        <v>19.5</v>
      </c>
      <c r="E33" s="3" t="n">
        <v>20</v>
      </c>
      <c r="F33" s="3" t="n">
        <v>20</v>
      </c>
      <c r="G33" s="3" t="n">
        <v>20.5</v>
      </c>
      <c r="H33" s="3" t="n">
        <v>20.5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107</v>
      </c>
      <c r="B34" s="3" t="n">
        <v>8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20</v>
      </c>
    </row>
    <row r="37" customFormat="false" ht="15" hidden="false" customHeight="false" outlineLevel="0" collapsed="false">
      <c r="A37" s="0" t="s">
        <v>110</v>
      </c>
      <c r="B37" s="3" t="n">
        <v>15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9.5</v>
      </c>
      <c r="D41" s="3" t="n">
        <v>9.5</v>
      </c>
      <c r="E41" s="3" t="n">
        <v>9</v>
      </c>
      <c r="F41" s="3" t="n">
        <v>8.5</v>
      </c>
      <c r="G41" s="3" t="n">
        <v>8</v>
      </c>
      <c r="H41" s="3" t="n">
        <v>7.5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101</v>
      </c>
      <c r="C42" s="3" t="n">
        <v>42.5</v>
      </c>
      <c r="D42" s="3" t="n">
        <v>43.3</v>
      </c>
      <c r="E42" s="3" t="n">
        <v>44</v>
      </c>
      <c r="F42" s="3" t="n">
        <v>44.8</v>
      </c>
      <c r="G42" s="3" t="n">
        <v>45.5</v>
      </c>
      <c r="H42" s="3" t="n">
        <v>46</v>
      </c>
      <c r="I42" s="3" t="n">
        <v>46.5</v>
      </c>
      <c r="J42" s="3" t="n">
        <v>46.5</v>
      </c>
      <c r="K42" s="3" t="n">
        <v>46.5</v>
      </c>
      <c r="L42" s="3" t="n">
        <v>46.5</v>
      </c>
    </row>
    <row r="43" customFormat="false" ht="15" hidden="false" customHeight="false" outlineLevel="0" collapsed="false">
      <c r="A43" s="0" t="s">
        <v>102</v>
      </c>
      <c r="C43" s="3" t="n">
        <v>1.5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103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104</v>
      </c>
      <c r="C45" s="3" t="n">
        <v>10.8</v>
      </c>
      <c r="D45" s="3" t="n">
        <v>10.6</v>
      </c>
      <c r="E45" s="3" t="n">
        <v>10.3</v>
      </c>
      <c r="F45" s="3" t="n">
        <v>10</v>
      </c>
      <c r="G45" s="3" t="n">
        <v>9.7</v>
      </c>
      <c r="H45" s="3" t="n">
        <v>9.4</v>
      </c>
      <c r="I45" s="3" t="n">
        <v>9.1</v>
      </c>
      <c r="J45" s="3" t="n">
        <v>8.8</v>
      </c>
      <c r="K45" s="3" t="n">
        <v>8.6</v>
      </c>
      <c r="L45" s="3" t="n">
        <v>8.5</v>
      </c>
    </row>
    <row r="46" customFormat="false" ht="15" hidden="false" customHeight="false" outlineLevel="0" collapsed="false">
      <c r="A46" s="0" t="s">
        <v>105</v>
      </c>
      <c r="C46" s="3" t="n">
        <v>8.2</v>
      </c>
      <c r="D46" s="3" t="n">
        <v>8.2</v>
      </c>
      <c r="E46" s="3" t="n">
        <v>8.2</v>
      </c>
      <c r="F46" s="3" t="n">
        <v>8.2</v>
      </c>
      <c r="G46" s="3" t="n">
        <v>8.2</v>
      </c>
      <c r="H46" s="3" t="n">
        <v>8.2</v>
      </c>
      <c r="I46" s="3" t="n">
        <v>8.2</v>
      </c>
      <c r="J46" s="3" t="n">
        <v>8.2</v>
      </c>
      <c r="K46" s="3" t="n">
        <v>8.2</v>
      </c>
      <c r="L46" s="3" t="n">
        <v>8.2</v>
      </c>
    </row>
    <row r="47" customFormat="false" ht="15" hidden="false" customHeight="false" outlineLevel="0" collapsed="false">
      <c r="A47" s="0" t="s">
        <v>106</v>
      </c>
      <c r="C47" s="3" t="n">
        <v>19</v>
      </c>
      <c r="D47" s="3" t="n">
        <v>19.5</v>
      </c>
      <c r="E47" s="3" t="n">
        <v>20</v>
      </c>
      <c r="F47" s="3" t="n">
        <v>20</v>
      </c>
      <c r="G47" s="3" t="n">
        <v>20.5</v>
      </c>
      <c r="H47" s="3" t="n">
        <v>20.5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107</v>
      </c>
      <c r="B48" s="3" t="n">
        <v>8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22</v>
      </c>
    </row>
    <row r="51" customFormat="false" ht="15" hidden="false" customHeight="false" outlineLevel="0" collapsed="false">
      <c r="A51" s="0" t="s">
        <v>110</v>
      </c>
      <c r="B51" s="3" t="n">
        <v>15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6.5</v>
      </c>
      <c r="D5" s="4" t="n">
        <f aca="false">Assumptions!D13</f>
        <v>5</v>
      </c>
      <c r="E5" s="4" t="n">
        <f aca="false">Assumptions!E13</f>
        <v>4</v>
      </c>
      <c r="F5" s="4" t="n">
        <f aca="false">Assumptions!F13</f>
        <v>3.5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7832</v>
      </c>
      <c r="C6" s="0" t="n">
        <f aca="false">B6*(1+C5/100)</f>
        <v>8341.08</v>
      </c>
      <c r="D6" s="0" t="n">
        <f aca="false">C6*(1+D5/100)</f>
        <v>8758.134</v>
      </c>
      <c r="E6" s="0" t="n">
        <f aca="false">D6*(1+E5/100)</f>
        <v>9108.45936</v>
      </c>
      <c r="F6" s="0" t="n">
        <f aca="false">E6*(1+F5/100)</f>
        <v>9427.2554376</v>
      </c>
      <c r="G6" s="0" t="n">
        <f aca="false">F6*(1+G5/100)</f>
        <v>9710.073100728</v>
      </c>
      <c r="H6" s="0" t="n">
        <f aca="false">G6*(1+H5/100)</f>
        <v>10001.3752937498</v>
      </c>
      <c r="I6" s="0" t="n">
        <f aca="false">H6*(1+I5/100)</f>
        <v>10251.4096760936</v>
      </c>
      <c r="J6" s="0" t="n">
        <f aca="false">I6*(1+J5/100)</f>
        <v>10507.6949179959</v>
      </c>
      <c r="K6" s="0" t="n">
        <f aca="false">J6*(1+K5/100)</f>
        <v>10770.3872909458</v>
      </c>
      <c r="L6" s="0" t="n">
        <f aca="false">K6*(1+L5/100)</f>
        <v>11039.6469732195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41.5</v>
      </c>
      <c r="D7" s="4" t="n">
        <f aca="false">Assumptions!D14</f>
        <v>41</v>
      </c>
      <c r="E7" s="4" t="n">
        <f aca="false">Assumptions!E14</f>
        <v>40</v>
      </c>
      <c r="F7" s="4" t="n">
        <f aca="false">Assumptions!F14</f>
        <v>39.5</v>
      </c>
      <c r="G7" s="4" t="n">
        <f aca="false">Assumptions!G14</f>
        <v>39</v>
      </c>
      <c r="H7" s="4" t="n">
        <f aca="false">Assumptions!H14</f>
        <v>38.5</v>
      </c>
      <c r="I7" s="4" t="n">
        <f aca="false">Assumptions!I14</f>
        <v>38.5</v>
      </c>
      <c r="J7" s="4" t="n">
        <f aca="false">Assumptions!J14</f>
        <v>38.5</v>
      </c>
      <c r="K7" s="4" t="n">
        <f aca="false">Assumptions!K14</f>
        <v>38.5</v>
      </c>
      <c r="L7" s="4" t="n">
        <f aca="false">Assumptions!L14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3461.5482</v>
      </c>
      <c r="D8" s="0" t="n">
        <f aca="false">D6*D7/100</f>
        <v>3590.83494</v>
      </c>
      <c r="E8" s="0" t="n">
        <f aca="false">E6*E7/100</f>
        <v>3643.383744</v>
      </c>
      <c r="F8" s="0" t="n">
        <f aca="false">F6*F7/100</f>
        <v>3723.765897852</v>
      </c>
      <c r="G8" s="0" t="n">
        <f aca="false">G6*G7/100</f>
        <v>3786.92850928392</v>
      </c>
      <c r="H8" s="0" t="n">
        <f aca="false">H6*H7/100</f>
        <v>3850.52948809369</v>
      </c>
      <c r="I8" s="0" t="n">
        <f aca="false">I6*I7/100</f>
        <v>3946.79272529603</v>
      </c>
      <c r="J8" s="0" t="n">
        <f aca="false">J6*J7/100</f>
        <v>4045.46254342843</v>
      </c>
      <c r="K8" s="0" t="n">
        <f aca="false">K6*K7/100</f>
        <v>4146.59910701414</v>
      </c>
      <c r="L8" s="0" t="n">
        <f aca="false">L6*L7/100</f>
        <v>4250.2640846895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-125.1162</v>
      </c>
      <c r="D10" s="0" t="n">
        <f aca="false">-D6*D9/100</f>
        <v>-131.37201</v>
      </c>
      <c r="E10" s="0" t="n">
        <f aca="false">-E6*E9/100</f>
        <v>-136.6268904</v>
      </c>
      <c r="F10" s="0" t="n">
        <f aca="false">-F6*F9/100</f>
        <v>-141.408831564</v>
      </c>
      <c r="G10" s="0" t="n">
        <f aca="false">-G6*G9/100</f>
        <v>-145.65109651092</v>
      </c>
      <c r="H10" s="0" t="n">
        <f aca="false">-H6*H9/100</f>
        <v>-150.020629406248</v>
      </c>
      <c r="I10" s="0" t="n">
        <f aca="false">-I6*I9/100</f>
        <v>-153.771145141404</v>
      </c>
      <c r="J10" s="0" t="n">
        <f aca="false">-J6*J9/100</f>
        <v>-157.615423769939</v>
      </c>
      <c r="K10" s="0" t="n">
        <f aca="false">-K6*K9/100</f>
        <v>-161.555809364187</v>
      </c>
      <c r="L10" s="0" t="n">
        <f aca="false">-L6*L9/100</f>
        <v>-165.594704598292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3253.0212</v>
      </c>
      <c r="D11" s="0" t="n">
        <f aca="false">D8+D10+D24</f>
        <v>3371.88159</v>
      </c>
      <c r="E11" s="0" t="n">
        <f aca="false">E8+E10+E24</f>
        <v>3415.67226</v>
      </c>
      <c r="F11" s="0" t="n">
        <f aca="false">F8+F10+F24</f>
        <v>3488.084511912</v>
      </c>
      <c r="G11" s="0" t="n">
        <f aca="false">G8+G10+G24</f>
        <v>3544.17668176572</v>
      </c>
      <c r="H11" s="0" t="n">
        <f aca="false">H8+H10+H24</f>
        <v>3600.49510574994</v>
      </c>
      <c r="I11" s="0" t="n">
        <f aca="false">I8+I10+I24</f>
        <v>3690.50748339369</v>
      </c>
      <c r="J11" s="0" t="n">
        <f aca="false">J8+J10+J24</f>
        <v>3782.77017047853</v>
      </c>
      <c r="K11" s="0" t="n">
        <f aca="false">K8+K10+K24</f>
        <v>3877.3394247405</v>
      </c>
      <c r="L11" s="0" t="n">
        <f aca="false">L8+L10+L24</f>
        <v>3974.27291035901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-900.83664</v>
      </c>
      <c r="D12" s="4" t="n">
        <f aca="false">-D6*Assumptions!D17/100</f>
        <v>-928.362204</v>
      </c>
      <c r="E12" s="4" t="n">
        <f aca="false">-E6*Assumptions!E17/100</f>
        <v>-938.17131408</v>
      </c>
      <c r="F12" s="4" t="n">
        <f aca="false">-F6*Assumptions!F17/100</f>
        <v>-942.72554376</v>
      </c>
      <c r="G12" s="4" t="n">
        <f aca="false">-G6*Assumptions!G17/100</f>
        <v>-941.877090770616</v>
      </c>
      <c r="H12" s="4" t="n">
        <f aca="false">-H6*Assumptions!H17/100</f>
        <v>-940.129277612485</v>
      </c>
      <c r="I12" s="4" t="n">
        <f aca="false">-I6*Assumptions!I17/100</f>
        <v>-943.12969020061</v>
      </c>
      <c r="J12" s="4" t="n">
        <f aca="false">-J6*Assumptions!J17/100</f>
        <v>-945.692542619633</v>
      </c>
      <c r="K12" s="4" t="n">
        <f aca="false">-K6*Assumptions!K17/100</f>
        <v>-958.564468894178</v>
      </c>
      <c r="L12" s="4" t="n">
        <f aca="false">-L6*Assumptions!L17/100</f>
        <v>-971.488933643313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2352.18456</v>
      </c>
      <c r="D13" s="0" t="n">
        <f aca="false">D11+D12</f>
        <v>2443.519386</v>
      </c>
      <c r="E13" s="0" t="n">
        <f aca="false">E11+E12</f>
        <v>2477.50094592</v>
      </c>
      <c r="F13" s="0" t="n">
        <f aca="false">F11+F12</f>
        <v>2545.358968152</v>
      </c>
      <c r="G13" s="0" t="n">
        <f aca="false">G11+G12</f>
        <v>2602.2995909951</v>
      </c>
      <c r="H13" s="0" t="n">
        <f aca="false">H11+H12</f>
        <v>2660.36582813746</v>
      </c>
      <c r="I13" s="0" t="n">
        <f aca="false">I11+I12</f>
        <v>2747.37779319308</v>
      </c>
      <c r="J13" s="0" t="n">
        <f aca="false">J11+J12</f>
        <v>2837.0776278589</v>
      </c>
      <c r="K13" s="0" t="n">
        <f aca="false">K11+K12</f>
        <v>2918.77495584632</v>
      </c>
      <c r="L13" s="0" t="n">
        <f aca="false">L11+L12</f>
        <v>3002.78397671569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19</v>
      </c>
      <c r="D14" s="4" t="n">
        <f aca="false">Assumptions!D19</f>
        <v>19.5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20.5</v>
      </c>
      <c r="H14" s="4" t="n">
        <f aca="false">Assumptions!H19</f>
        <v>20.5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1905.2694936</v>
      </c>
      <c r="D15" s="0" t="n">
        <f aca="false">D13-MAX(0,D13)*D14/100</f>
        <v>1967.03310573</v>
      </c>
      <c r="E15" s="0" t="n">
        <f aca="false">E13-MAX(0,E13)*E14/100</f>
        <v>1982.000756736</v>
      </c>
      <c r="F15" s="0" t="n">
        <f aca="false">F13-MAX(0,F13)*F14/100</f>
        <v>2036.2871745216</v>
      </c>
      <c r="G15" s="0" t="n">
        <f aca="false">G13-MAX(0,G13)*G14/100</f>
        <v>2068.82817484111</v>
      </c>
      <c r="H15" s="0" t="n">
        <f aca="false">H13-MAX(0,H13)*H14/100</f>
        <v>2114.99083336928</v>
      </c>
      <c r="I15" s="0" t="n">
        <f aca="false">I13-MAX(0,I13)*I14/100</f>
        <v>2170.42845662253</v>
      </c>
      <c r="J15" s="0" t="n">
        <f aca="false">J13-MAX(0,J13)*J14/100</f>
        <v>2241.29132600853</v>
      </c>
      <c r="K15" s="0" t="n">
        <f aca="false">K13-MAX(0,K13)*K14/100</f>
        <v>2305.83221511859</v>
      </c>
      <c r="L15" s="0" t="n">
        <f aca="false">L13-MAX(0,L13)*L14/100</f>
        <v>2372.1993416054</v>
      </c>
    </row>
    <row r="16" customFormat="false" ht="15" hidden="false" customHeight="false" outlineLevel="0" collapsed="false">
      <c r="A16" s="0" t="s">
        <v>122</v>
      </c>
      <c r="C16" s="0" t="n">
        <f aca="false">-C12</f>
        <v>900.83664</v>
      </c>
      <c r="D16" s="0" t="n">
        <f aca="false">-D12</f>
        <v>928.362204</v>
      </c>
      <c r="E16" s="0" t="n">
        <f aca="false">-E12</f>
        <v>938.17131408</v>
      </c>
      <c r="F16" s="0" t="n">
        <f aca="false">-F12</f>
        <v>942.72554376</v>
      </c>
      <c r="G16" s="0" t="n">
        <f aca="false">-G12</f>
        <v>941.877090770616</v>
      </c>
      <c r="H16" s="0" t="n">
        <f aca="false">-H12</f>
        <v>940.129277612485</v>
      </c>
      <c r="I16" s="0" t="n">
        <f aca="false">-I12</f>
        <v>943.12969020061</v>
      </c>
      <c r="J16" s="0" t="n">
        <f aca="false">-J12</f>
        <v>945.692542619633</v>
      </c>
      <c r="K16" s="0" t="n">
        <f aca="false">-K12</f>
        <v>958.564468894178</v>
      </c>
      <c r="L16" s="0" t="n">
        <f aca="false">-L12</f>
        <v>971.488933643313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-708.9918</v>
      </c>
      <c r="D17" s="4" t="n">
        <f aca="false">-D6*Assumptions!D18/100</f>
        <v>-744.44139</v>
      </c>
      <c r="E17" s="4" t="n">
        <f aca="false">-E6*Assumptions!E18/100</f>
        <v>-774.2190456</v>
      </c>
      <c r="F17" s="4" t="n">
        <f aca="false">-F6*Assumptions!F18/100</f>
        <v>-801.316712196</v>
      </c>
      <c r="G17" s="4" t="n">
        <f aca="false">-G6*Assumptions!G18/100</f>
        <v>-825.35621356188</v>
      </c>
      <c r="H17" s="4" t="n">
        <f aca="false">-H6*Assumptions!H18/100</f>
        <v>-850.116899968737</v>
      </c>
      <c r="I17" s="4" t="n">
        <f aca="false">-I6*Assumptions!I18/100</f>
        <v>-871.369822467955</v>
      </c>
      <c r="J17" s="4" t="n">
        <f aca="false">-J6*Assumptions!J18/100</f>
        <v>-893.154068029654</v>
      </c>
      <c r="K17" s="4" t="n">
        <f aca="false">-K6*Assumptions!K18/100</f>
        <v>-915.482919730395</v>
      </c>
      <c r="L17" s="4" t="n">
        <f aca="false">-L6*Assumptions!L18/100</f>
        <v>-938.369992723655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50.908</v>
      </c>
      <c r="D18" s="4" t="n">
        <f aca="false">(D6-C6)*Assumptions!$B$23/100</f>
        <v>41.7054</v>
      </c>
      <c r="E18" s="4" t="n">
        <f aca="false">(E6-D6)*Assumptions!$B$23/100</f>
        <v>35.0325360000001</v>
      </c>
      <c r="F18" s="4" t="n">
        <f aca="false">(F6-E6)*Assumptions!$B$23/100</f>
        <v>31.87960776</v>
      </c>
      <c r="G18" s="4" t="n">
        <f aca="false">(G6-F6)*Assumptions!$B$23/100</f>
        <v>28.2817663128</v>
      </c>
      <c r="H18" s="4" t="n">
        <f aca="false">(H6-G6)*Assumptions!$B$23/100</f>
        <v>29.130219302184</v>
      </c>
      <c r="I18" s="4" t="n">
        <f aca="false">(I6-H6)*Assumptions!$B$23/100</f>
        <v>25.0034382343745</v>
      </c>
      <c r="J18" s="4" t="n">
        <f aca="false">(J6-I6)*Assumptions!$B$23/100</f>
        <v>25.6285241902338</v>
      </c>
      <c r="K18" s="4" t="n">
        <f aca="false">(K6-J6)*Assumptions!$B$23/100</f>
        <v>26.2692372949898</v>
      </c>
      <c r="L18" s="4" t="n">
        <f aca="false">(L6-K6)*Assumptions!$B$23/100</f>
        <v>26.9259682273645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2148.0223336</v>
      </c>
      <c r="D19" s="0" t="n">
        <f aca="false">D15+D16+D17+D18</f>
        <v>2192.65931973</v>
      </c>
      <c r="E19" s="0" t="n">
        <f aca="false">E15+E16+E17+E18</f>
        <v>2180.985561216</v>
      </c>
      <c r="F19" s="0" t="n">
        <f aca="false">F15+F16+F17+F18</f>
        <v>2209.5756138456</v>
      </c>
      <c r="G19" s="0" t="n">
        <f aca="false">G15+G16+G17+G18</f>
        <v>2213.63081836264</v>
      </c>
      <c r="H19" s="0" t="n">
        <f aca="false">H15+H16+H17+H18</f>
        <v>2234.13343031521</v>
      </c>
      <c r="I19" s="0" t="n">
        <f aca="false">I15+I16+I17+I18</f>
        <v>2267.19176258956</v>
      </c>
      <c r="J19" s="0" t="n">
        <f aca="false">J15+J16+J17+J18</f>
        <v>2319.45832478874</v>
      </c>
      <c r="K19" s="0" t="n">
        <f aca="false">K15+K16+K17+K18</f>
        <v>2375.18300157736</v>
      </c>
      <c r="L19" s="0" t="n">
        <f aca="false">L15+L16+L17+L18</f>
        <v>2432.24425075242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1988.90956814815</v>
      </c>
      <c r="D21" s="0" t="n">
        <f aca="false">D19*D20</f>
        <v>1879.85195450103</v>
      </c>
      <c r="E21" s="0" t="n">
        <f aca="false">E19*E20</f>
        <v>1731.33665569273</v>
      </c>
      <c r="F21" s="0" t="n">
        <f aca="false">F19*F20</f>
        <v>1624.10403818756</v>
      </c>
      <c r="G21" s="0" t="n">
        <f aca="false">G19*G20</f>
        <v>1506.55993941369</v>
      </c>
      <c r="H21" s="0" t="n">
        <f aca="false">H19*H20</f>
        <v>1407.88303018881</v>
      </c>
      <c r="I21" s="0" t="n">
        <f aca="false">I19*I20</f>
        <v>1322.88461768844</v>
      </c>
      <c r="J21" s="0" t="n">
        <f aca="false">J19*J20</f>
        <v>1253.13116178244</v>
      </c>
      <c r="K21" s="0" t="n">
        <f aca="false">K19*K20</f>
        <v>1188.18284328727</v>
      </c>
      <c r="L21" s="0" t="n">
        <f aca="false">L19*L20</f>
        <v>1126.59969837993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-83.4108</v>
      </c>
      <c r="D24" s="0" t="n">
        <f aca="false">-D6*D23/100</f>
        <v>-87.58134</v>
      </c>
      <c r="E24" s="0" t="n">
        <f aca="false">-E6*E23/100</f>
        <v>-91.0845936</v>
      </c>
      <c r="F24" s="0" t="n">
        <f aca="false">-F6*F23/100</f>
        <v>-94.272554376</v>
      </c>
      <c r="G24" s="0" t="n">
        <f aca="false">-G6*G23/100</f>
        <v>-97.10073100728</v>
      </c>
      <c r="H24" s="0" t="n">
        <f aca="false">-H6*H23/100</f>
        <v>-100.013752937498</v>
      </c>
      <c r="I24" s="0" t="n">
        <f aca="false">-I6*I23/100</f>
        <v>-102.514096760936</v>
      </c>
      <c r="J24" s="0" t="n">
        <f aca="false">-J6*J23/100</f>
        <v>-105.076949179959</v>
      </c>
      <c r="K24" s="0" t="n">
        <f aca="false">-K6*K23/100</f>
        <v>-107.703872909458</v>
      </c>
      <c r="L24" s="0" t="n">
        <f aca="false">-L6*L23/100</f>
        <v>-110.396469732195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15029.4435072701</v>
      </c>
    </row>
    <row r="31" customFormat="false" ht="15" hidden="false" customHeight="false" outlineLevel="0" collapsed="false">
      <c r="A31" s="0" t="s">
        <v>131</v>
      </c>
      <c r="B31" s="0" t="n">
        <f aca="false">L19</f>
        <v>2432.24425075242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41348.1522627912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36483.6637612863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36483.6637612863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16898.995475699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31928.438982969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29564.438982969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67.7772558068983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-0.317861757176949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966.942544657156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1303.94061013101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72.9833153089345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19083.7625828267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31.0173754213073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8</v>
      </c>
      <c r="D5" s="4" t="n">
        <f aca="false">Assumptions!D27</f>
        <v>7.5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7832</v>
      </c>
      <c r="C6" s="0" t="n">
        <f aca="false">B6*(1+C5/100)</f>
        <v>8458.56</v>
      </c>
      <c r="D6" s="0" t="n">
        <f aca="false">C6*(1+D5/100)</f>
        <v>9092.952</v>
      </c>
      <c r="E6" s="0" t="n">
        <f aca="false">D6*(1+E5/100)</f>
        <v>9729.45864</v>
      </c>
      <c r="F6" s="0" t="n">
        <f aca="false">E6*(1+F5/100)</f>
        <v>10361.8734516</v>
      </c>
      <c r="G6" s="0" t="n">
        <f aca="false">F6*(1+G5/100)</f>
        <v>10983.585858696</v>
      </c>
      <c r="H6" s="0" t="n">
        <f aca="false">G6*(1+H5/100)</f>
        <v>11587.6830809243</v>
      </c>
      <c r="I6" s="0" t="n">
        <f aca="false">H6*(1+I5/100)</f>
        <v>12167.0672349705</v>
      </c>
      <c r="J6" s="0" t="n">
        <f aca="false">I6*(1+J5/100)</f>
        <v>12714.5852605442</v>
      </c>
      <c r="K6" s="0" t="n">
        <f aca="false">J6*(1+K5/100)</f>
        <v>13223.1686709659</v>
      </c>
      <c r="L6" s="0" t="n">
        <f aca="false">K6*(1+L5/100)</f>
        <v>13685.9795744497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42</v>
      </c>
      <c r="D7" s="4" t="n">
        <f aca="false">Assumptions!D28</f>
        <v>42.5</v>
      </c>
      <c r="E7" s="4" t="n">
        <f aca="false">Assumptions!E28</f>
        <v>43</v>
      </c>
      <c r="F7" s="4" t="n">
        <f aca="false">Assumptions!F28</f>
        <v>43.3</v>
      </c>
      <c r="G7" s="4" t="n">
        <f aca="false">Assumptions!G28</f>
        <v>43.5</v>
      </c>
      <c r="H7" s="4" t="n">
        <f aca="false">Assumptions!H28</f>
        <v>43.5</v>
      </c>
      <c r="I7" s="4" t="n">
        <f aca="false">Assumptions!I28</f>
        <v>43.5</v>
      </c>
      <c r="J7" s="4" t="n">
        <f aca="false">Assumptions!J28</f>
        <v>43.5</v>
      </c>
      <c r="K7" s="4" t="n">
        <f aca="false">Assumptions!K28</f>
        <v>43.5</v>
      </c>
      <c r="L7" s="4" t="n">
        <f aca="false">Assumptions!L28</f>
        <v>43.5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3552.5952</v>
      </c>
      <c r="D8" s="0" t="n">
        <f aca="false">D6*D7/100</f>
        <v>3864.5046</v>
      </c>
      <c r="E8" s="0" t="n">
        <f aca="false">E6*E7/100</f>
        <v>4183.6672152</v>
      </c>
      <c r="F8" s="0" t="n">
        <f aca="false">F6*F7/100</f>
        <v>4486.6912045428</v>
      </c>
      <c r="G8" s="0" t="n">
        <f aca="false">G6*G7/100</f>
        <v>4777.85984853276</v>
      </c>
      <c r="H8" s="0" t="n">
        <f aca="false">H6*H7/100</f>
        <v>5040.64214020206</v>
      </c>
      <c r="I8" s="0" t="n">
        <f aca="false">I6*I7/100</f>
        <v>5292.67424721217</v>
      </c>
      <c r="J8" s="0" t="n">
        <f aca="false">J6*J7/100</f>
        <v>5530.84458833671</v>
      </c>
      <c r="K8" s="0" t="n">
        <f aca="false">K6*K7/100</f>
        <v>5752.07837187018</v>
      </c>
      <c r="L8" s="0" t="n">
        <f aca="false">L6*L7/100</f>
        <v>5953.40111488564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-126.8784</v>
      </c>
      <c r="D10" s="0" t="n">
        <f aca="false">-D6*D9/100</f>
        <v>-136.39428</v>
      </c>
      <c r="E10" s="0" t="n">
        <f aca="false">-E6*E9/100</f>
        <v>-145.9418796</v>
      </c>
      <c r="F10" s="0" t="n">
        <f aca="false">-F6*F9/100</f>
        <v>-155.428101774</v>
      </c>
      <c r="G10" s="0" t="n">
        <f aca="false">-G6*G9/100</f>
        <v>-164.75378788044</v>
      </c>
      <c r="H10" s="0" t="n">
        <f aca="false">-H6*H9/100</f>
        <v>-173.815246213864</v>
      </c>
      <c r="I10" s="0" t="n">
        <f aca="false">-I6*I9/100</f>
        <v>-182.506008524557</v>
      </c>
      <c r="J10" s="0" t="n">
        <f aca="false">-J6*J9/100</f>
        <v>-190.718778908163</v>
      </c>
      <c r="K10" s="0" t="n">
        <f aca="false">-K6*K9/100</f>
        <v>-198.347530064489</v>
      </c>
      <c r="L10" s="0" t="n">
        <f aca="false">-L6*L9/100</f>
        <v>-205.289693616746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3341.1312</v>
      </c>
      <c r="D11" s="0" t="n">
        <f aca="false">D8+D10+D24</f>
        <v>3637.1808</v>
      </c>
      <c r="E11" s="0" t="n">
        <f aca="false">E8+E10+E24</f>
        <v>3940.4307492</v>
      </c>
      <c r="F11" s="0" t="n">
        <f aca="false">F8+F10+F24</f>
        <v>4227.6443682528</v>
      </c>
      <c r="G11" s="0" t="n">
        <f aca="false">G8+G10+G24</f>
        <v>4503.27020206536</v>
      </c>
      <c r="H11" s="0" t="n">
        <f aca="false">H8+H10+H24</f>
        <v>4750.95006317896</v>
      </c>
      <c r="I11" s="0" t="n">
        <f aca="false">I8+I10+I24</f>
        <v>4988.4975663379</v>
      </c>
      <c r="J11" s="0" t="n">
        <f aca="false">J8+J10+J24</f>
        <v>5212.97995682311</v>
      </c>
      <c r="K11" s="0" t="n">
        <f aca="false">K8+K10+K24</f>
        <v>5421.49915509603</v>
      </c>
      <c r="L11" s="0" t="n">
        <f aca="false">L8+L10+L24</f>
        <v>5611.25162552439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-913.52448</v>
      </c>
      <c r="D12" s="4" t="n">
        <f aca="false">-D6*Assumptions!D31/100</f>
        <v>-963.852912</v>
      </c>
      <c r="E12" s="4" t="n">
        <f aca="false">-E6*Assumptions!E31/100</f>
        <v>-1002.13423992</v>
      </c>
      <c r="F12" s="4" t="n">
        <f aca="false">-F6*Assumptions!F31/100</f>
        <v>-1036.18734516</v>
      </c>
      <c r="G12" s="4" t="n">
        <f aca="false">-G6*Assumptions!G31/100</f>
        <v>-1065.40782829351</v>
      </c>
      <c r="H12" s="4" t="n">
        <f aca="false">-H6*Assumptions!H31/100</f>
        <v>-1089.24220960688</v>
      </c>
      <c r="I12" s="4" t="n">
        <f aca="false">-I6*Assumptions!I31/100</f>
        <v>-1107.20311838232</v>
      </c>
      <c r="J12" s="4" t="n">
        <f aca="false">-J6*Assumptions!J31/100</f>
        <v>-1118.88350292789</v>
      </c>
      <c r="K12" s="4" t="n">
        <f aca="false">-K6*Assumptions!K31/100</f>
        <v>-1137.19250570307</v>
      </c>
      <c r="L12" s="4" t="n">
        <f aca="false">-L6*Assumptions!L31/100</f>
        <v>-1163.30826382823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2427.60672</v>
      </c>
      <c r="D13" s="0" t="n">
        <f aca="false">D11+D12</f>
        <v>2673.327888</v>
      </c>
      <c r="E13" s="0" t="n">
        <f aca="false">E11+E12</f>
        <v>2938.29650928</v>
      </c>
      <c r="F13" s="0" t="n">
        <f aca="false">F11+F12</f>
        <v>3191.4570230928</v>
      </c>
      <c r="G13" s="0" t="n">
        <f aca="false">G11+G12</f>
        <v>3437.86237377185</v>
      </c>
      <c r="H13" s="0" t="n">
        <f aca="false">H11+H12</f>
        <v>3661.70785357207</v>
      </c>
      <c r="I13" s="0" t="n">
        <f aca="false">I11+I12</f>
        <v>3881.29444795559</v>
      </c>
      <c r="J13" s="0" t="n">
        <f aca="false">J11+J12</f>
        <v>4094.09645389522</v>
      </c>
      <c r="K13" s="0" t="n">
        <f aca="false">K11+K12</f>
        <v>4284.30664939296</v>
      </c>
      <c r="L13" s="0" t="n">
        <f aca="false">L11+L12</f>
        <v>4447.94336169617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19</v>
      </c>
      <c r="D14" s="4" t="n">
        <f aca="false">Assumptions!D33</f>
        <v>19.5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20.5</v>
      </c>
      <c r="H14" s="4" t="n">
        <f aca="false">Assumptions!H33</f>
        <v>20.5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1966.3614432</v>
      </c>
      <c r="D15" s="0" t="n">
        <f aca="false">D13-MAX(0,D13)*D14/100</f>
        <v>2152.02894984</v>
      </c>
      <c r="E15" s="0" t="n">
        <f aca="false">E13-MAX(0,E13)*E14/100</f>
        <v>2350.637207424</v>
      </c>
      <c r="F15" s="0" t="n">
        <f aca="false">F13-MAX(0,F13)*F14/100</f>
        <v>2553.16561847424</v>
      </c>
      <c r="G15" s="0" t="n">
        <f aca="false">G13-MAX(0,G13)*G14/100</f>
        <v>2733.10058714862</v>
      </c>
      <c r="H15" s="0" t="n">
        <f aca="false">H13-MAX(0,H13)*H14/100</f>
        <v>2911.0577435898</v>
      </c>
      <c r="I15" s="0" t="n">
        <f aca="false">I13-MAX(0,I13)*I14/100</f>
        <v>3066.22261388492</v>
      </c>
      <c r="J15" s="0" t="n">
        <f aca="false">J13-MAX(0,J13)*J14/100</f>
        <v>3234.33619857723</v>
      </c>
      <c r="K15" s="0" t="n">
        <f aca="false">K13-MAX(0,K13)*K14/100</f>
        <v>3384.60225302044</v>
      </c>
      <c r="L15" s="0" t="n">
        <f aca="false">L13-MAX(0,L13)*L14/100</f>
        <v>3513.87525573997</v>
      </c>
    </row>
    <row r="16" customFormat="false" ht="15" hidden="false" customHeight="false" outlineLevel="0" collapsed="false">
      <c r="A16" s="0" t="s">
        <v>122</v>
      </c>
      <c r="C16" s="0" t="n">
        <f aca="false">-C12</f>
        <v>913.52448</v>
      </c>
      <c r="D16" s="0" t="n">
        <f aca="false">-D12</f>
        <v>963.852912</v>
      </c>
      <c r="E16" s="0" t="n">
        <f aca="false">-E12</f>
        <v>1002.13423992</v>
      </c>
      <c r="F16" s="0" t="n">
        <f aca="false">-F12</f>
        <v>1036.18734516</v>
      </c>
      <c r="G16" s="0" t="n">
        <f aca="false">-G12</f>
        <v>1065.40782829351</v>
      </c>
      <c r="H16" s="0" t="n">
        <f aca="false">-H12</f>
        <v>1089.24220960688</v>
      </c>
      <c r="I16" s="0" t="n">
        <f aca="false">-I12</f>
        <v>1107.20311838232</v>
      </c>
      <c r="J16" s="0" t="n">
        <f aca="false">-J12</f>
        <v>1118.88350292789</v>
      </c>
      <c r="K16" s="0" t="n">
        <f aca="false">-K12</f>
        <v>1137.19250570307</v>
      </c>
      <c r="L16" s="0" t="n">
        <f aca="false">-L12</f>
        <v>1163.30826382823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-693.60192</v>
      </c>
      <c r="D17" s="4" t="n">
        <f aca="false">-D6*Assumptions!D32/100</f>
        <v>-745.622064</v>
      </c>
      <c r="E17" s="4" t="n">
        <f aca="false">-E6*Assumptions!E32/100</f>
        <v>-797.81560848</v>
      </c>
      <c r="F17" s="4" t="n">
        <f aca="false">-F6*Assumptions!F32/100</f>
        <v>-849.6736230312</v>
      </c>
      <c r="G17" s="4" t="n">
        <f aca="false">-G6*Assumptions!G32/100</f>
        <v>-900.654040413072</v>
      </c>
      <c r="H17" s="4" t="n">
        <f aca="false">-H6*Assumptions!H32/100</f>
        <v>-950.190012635791</v>
      </c>
      <c r="I17" s="4" t="n">
        <f aca="false">-I6*Assumptions!I32/100</f>
        <v>-997.699513267581</v>
      </c>
      <c r="J17" s="4" t="n">
        <f aca="false">-J6*Assumptions!J32/100</f>
        <v>-1042.59599136462</v>
      </c>
      <c r="K17" s="4" t="n">
        <f aca="false">-K6*Assumptions!K32/100</f>
        <v>-1084.29983101921</v>
      </c>
      <c r="L17" s="4" t="n">
        <f aca="false">-L6*Assumptions!L32/100</f>
        <v>-1122.25032510488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93.9840000000002</v>
      </c>
      <c r="D18" s="4" t="n">
        <f aca="false">(D6-C6)*Assumptions!$B$37/100</f>
        <v>95.1588</v>
      </c>
      <c r="E18" s="4" t="n">
        <f aca="false">(E6-D6)*Assumptions!$B$37/100</f>
        <v>95.4759960000002</v>
      </c>
      <c r="F18" s="4" t="n">
        <f aca="false">(F6-E6)*Assumptions!$B$37/100</f>
        <v>94.86222174</v>
      </c>
      <c r="G18" s="4" t="n">
        <f aca="false">(G6-F6)*Assumptions!$B$37/100</f>
        <v>93.2568610644</v>
      </c>
      <c r="H18" s="4" t="n">
        <f aca="false">(H6-G6)*Assumptions!$B$37/100</f>
        <v>90.614583334242</v>
      </c>
      <c r="I18" s="4" t="n">
        <f aca="false">(I6-H6)*Assumptions!$B$37/100</f>
        <v>86.9076231069322</v>
      </c>
      <c r="J18" s="4" t="n">
        <f aca="false">(J6-I6)*Assumptions!$B$37/100</f>
        <v>82.1277038360508</v>
      </c>
      <c r="K18" s="4" t="n">
        <f aca="false">(K6-J6)*Assumptions!$B$37/100</f>
        <v>76.287511563265</v>
      </c>
      <c r="L18" s="4" t="n">
        <f aca="false">(L6-K6)*Assumptions!$B$37/100</f>
        <v>69.4216355225711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2280.2680032</v>
      </c>
      <c r="D19" s="0" t="n">
        <f aca="false">D15+D16+D17+D18</f>
        <v>2465.41859784</v>
      </c>
      <c r="E19" s="0" t="n">
        <f aca="false">E15+E16+E17+E18</f>
        <v>2650.431834864</v>
      </c>
      <c r="F19" s="0" t="n">
        <f aca="false">F15+F16+F17+F18</f>
        <v>2834.54156234304</v>
      </c>
      <c r="G19" s="0" t="n">
        <f aca="false">G15+G16+G17+G18</f>
        <v>2991.11123609346</v>
      </c>
      <c r="H19" s="0" t="n">
        <f aca="false">H15+H16+H17+H18</f>
        <v>3140.72452389513</v>
      </c>
      <c r="I19" s="0" t="n">
        <f aca="false">I15+I16+I17+I18</f>
        <v>3262.63384210658</v>
      </c>
      <c r="J19" s="0" t="n">
        <f aca="false">J15+J16+J17+J18</f>
        <v>3392.75141397654</v>
      </c>
      <c r="K19" s="0" t="n">
        <f aca="false">K15+K16+K17+K18</f>
        <v>3513.78243926757</v>
      </c>
      <c r="L19" s="0" t="n">
        <f aca="false">L15+L16+L17+L18</f>
        <v>3624.35482998589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2111.35926222222</v>
      </c>
      <c r="D21" s="0" t="n">
        <f aca="false">D19*D20</f>
        <v>2113.69907222222</v>
      </c>
      <c r="E21" s="0" t="n">
        <f aca="false">E19*E20</f>
        <v>2103.99824314129</v>
      </c>
      <c r="F21" s="0" t="n">
        <f aca="false">F19*F20</f>
        <v>2083.47266731443</v>
      </c>
      <c r="G21" s="0" t="n">
        <f aca="false">G19*G20</f>
        <v>2035.70004774407</v>
      </c>
      <c r="H21" s="0" t="n">
        <f aca="false">H19*H20</f>
        <v>1979.18920136561</v>
      </c>
      <c r="I21" s="0" t="n">
        <f aca="false">I19*I20</f>
        <v>1903.71551012638</v>
      </c>
      <c r="J21" s="0" t="n">
        <f aca="false">J19*J20</f>
        <v>1832.99802182161</v>
      </c>
      <c r="K21" s="0" t="n">
        <f aca="false">K19*K20</f>
        <v>1757.76603596826</v>
      </c>
      <c r="L21" s="0" t="n">
        <f aca="false">L19*L20</f>
        <v>1678.77755575774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-84.5856</v>
      </c>
      <c r="D24" s="0" t="n">
        <f aca="false">-D6*D23/100</f>
        <v>-90.92952</v>
      </c>
      <c r="E24" s="0" t="n">
        <f aca="false">-E6*E23/100</f>
        <v>-97.2945864</v>
      </c>
      <c r="F24" s="0" t="n">
        <f aca="false">-F6*F23/100</f>
        <v>-103.618734516</v>
      </c>
      <c r="G24" s="0" t="n">
        <f aca="false">-G6*G23/100</f>
        <v>-109.83585858696</v>
      </c>
      <c r="H24" s="0" t="n">
        <f aca="false">-H6*H23/100</f>
        <v>-115.876830809243</v>
      </c>
      <c r="I24" s="0" t="n">
        <f aca="false">-I6*I23/100</f>
        <v>-121.670672349705</v>
      </c>
      <c r="J24" s="0" t="n">
        <f aca="false">-J6*J23/100</f>
        <v>-127.145852605442</v>
      </c>
      <c r="K24" s="0" t="n">
        <f aca="false">-K6*K23/100</f>
        <v>-132.231686709659</v>
      </c>
      <c r="L24" s="0" t="n">
        <f aca="false">-L6*L23/100</f>
        <v>-136.859795744497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19600.6756176838</v>
      </c>
    </row>
    <row r="31" customFormat="false" ht="15" hidden="false" customHeight="false" outlineLevel="0" collapsed="false">
      <c r="A31" s="0" t="s">
        <v>131</v>
      </c>
      <c r="B31" s="0" t="n">
        <f aca="false">L19</f>
        <v>3624.35482998589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74661.7094977094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72487.0965997178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72487.0965997178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33575.5511151548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53176.2267328386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50812.2267328386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116.488369401281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0.172386970624805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1090.01744504034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1958.83029463604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123.477933224473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31109.0456240456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44.9596252091882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9.5</v>
      </c>
      <c r="D5" s="4" t="n">
        <f aca="false">Assumptions!D41</f>
        <v>9.5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7832</v>
      </c>
      <c r="C6" s="0" t="n">
        <f aca="false">B6*(1+C5/100)</f>
        <v>8576.04</v>
      </c>
      <c r="D6" s="0" t="n">
        <f aca="false">C6*(1+D5/100)</f>
        <v>9390.7638</v>
      </c>
      <c r="E6" s="0" t="n">
        <f aca="false">D6*(1+E5/100)</f>
        <v>10235.932542</v>
      </c>
      <c r="F6" s="0" t="n">
        <f aca="false">E6*(1+F5/100)</f>
        <v>11105.98680807</v>
      </c>
      <c r="G6" s="0" t="n">
        <f aca="false">F6*(1+G5/100)</f>
        <v>11994.4657527156</v>
      </c>
      <c r="H6" s="0" t="n">
        <f aca="false">G6*(1+H5/100)</f>
        <v>12894.0506841693</v>
      </c>
      <c r="I6" s="0" t="n">
        <f aca="false">H6*(1+I5/100)</f>
        <v>13796.6342320611</v>
      </c>
      <c r="J6" s="0" t="n">
        <f aca="false">I6*(1+J5/100)</f>
        <v>14624.4322859848</v>
      </c>
      <c r="K6" s="0" t="n">
        <f aca="false">J6*(1+K5/100)</f>
        <v>15355.653900284</v>
      </c>
      <c r="L6" s="0" t="n">
        <f aca="false">K6*(1+L5/100)</f>
        <v>15969.8800562954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42.5</v>
      </c>
      <c r="D7" s="4" t="n">
        <f aca="false">Assumptions!D42</f>
        <v>43.3</v>
      </c>
      <c r="E7" s="4" t="n">
        <f aca="false">Assumptions!E42</f>
        <v>44</v>
      </c>
      <c r="F7" s="4" t="n">
        <f aca="false">Assumptions!F42</f>
        <v>44.8</v>
      </c>
      <c r="G7" s="4" t="n">
        <f aca="false">Assumptions!G42</f>
        <v>45.5</v>
      </c>
      <c r="H7" s="4" t="n">
        <f aca="false">Assumptions!H42</f>
        <v>46</v>
      </c>
      <c r="I7" s="4" t="n">
        <f aca="false">Assumptions!I42</f>
        <v>46.5</v>
      </c>
      <c r="J7" s="4" t="n">
        <f aca="false">Assumptions!J42</f>
        <v>46.5</v>
      </c>
      <c r="K7" s="4" t="n">
        <f aca="false">Assumptions!K42</f>
        <v>46.5</v>
      </c>
      <c r="L7" s="4" t="n">
        <f aca="false">Assumptions!L42</f>
        <v>46.5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3644.817</v>
      </c>
      <c r="D8" s="0" t="n">
        <f aca="false">D6*D7/100</f>
        <v>4066.2007254</v>
      </c>
      <c r="E8" s="0" t="n">
        <f aca="false">E6*E7/100</f>
        <v>4503.81031848</v>
      </c>
      <c r="F8" s="0" t="n">
        <f aca="false">F6*F7/100</f>
        <v>4975.48209001536</v>
      </c>
      <c r="G8" s="0" t="n">
        <f aca="false">G6*G7/100</f>
        <v>5457.4819174856</v>
      </c>
      <c r="H8" s="0" t="n">
        <f aca="false">H6*H7/100</f>
        <v>5931.26331471786</v>
      </c>
      <c r="I8" s="0" t="n">
        <f aca="false">I6*I7/100</f>
        <v>6415.43491790842</v>
      </c>
      <c r="J8" s="0" t="n">
        <f aca="false">J6*J7/100</f>
        <v>6800.36101298292</v>
      </c>
      <c r="K8" s="0" t="n">
        <f aca="false">K6*K7/100</f>
        <v>7140.37906363207</v>
      </c>
      <c r="L8" s="0" t="n">
        <f aca="false">L6*L7/100</f>
        <v>7425.99422617736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-128.6406</v>
      </c>
      <c r="D10" s="0" t="n">
        <f aca="false">-D6*D9/100</f>
        <v>-140.861457</v>
      </c>
      <c r="E10" s="0" t="n">
        <f aca="false">-E6*E9/100</f>
        <v>-153.53898813</v>
      </c>
      <c r="F10" s="0" t="n">
        <f aca="false">-F6*F9/100</f>
        <v>-166.58980212105</v>
      </c>
      <c r="G10" s="0" t="n">
        <f aca="false">-G6*G9/100</f>
        <v>-179.916986290734</v>
      </c>
      <c r="H10" s="0" t="n">
        <f aca="false">-H6*H9/100</f>
        <v>-193.410760262539</v>
      </c>
      <c r="I10" s="0" t="n">
        <f aca="false">-I6*I9/100</f>
        <v>-206.949513480917</v>
      </c>
      <c r="J10" s="0" t="n">
        <f aca="false">-J6*J9/100</f>
        <v>-219.366484289772</v>
      </c>
      <c r="K10" s="0" t="n">
        <f aca="false">-K6*K9/100</f>
        <v>-230.33480850426</v>
      </c>
      <c r="L10" s="0" t="n">
        <f aca="false">-L6*L9/100</f>
        <v>-239.548200844431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3430.416</v>
      </c>
      <c r="D11" s="0" t="n">
        <f aca="false">D8+D10+D24</f>
        <v>3831.4316304</v>
      </c>
      <c r="E11" s="0" t="n">
        <f aca="false">E8+E10+E24</f>
        <v>4247.91200493</v>
      </c>
      <c r="F11" s="0" t="n">
        <f aca="false">F8+F10+F24</f>
        <v>4697.83241981361</v>
      </c>
      <c r="G11" s="0" t="n">
        <f aca="false">G8+G10+G24</f>
        <v>5157.62027366771</v>
      </c>
      <c r="H11" s="0" t="n">
        <f aca="false">H8+H10+H24</f>
        <v>5608.91204761363</v>
      </c>
      <c r="I11" s="0" t="n">
        <f aca="false">I8+I10+I24</f>
        <v>6070.51906210689</v>
      </c>
      <c r="J11" s="0" t="n">
        <f aca="false">J8+J10+J24</f>
        <v>6434.75020583331</v>
      </c>
      <c r="K11" s="0" t="n">
        <f aca="false">K8+K10+K24</f>
        <v>6756.48771612497</v>
      </c>
      <c r="L11" s="0" t="n">
        <f aca="false">L8+L10+L24</f>
        <v>7026.74722476997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-926.21232</v>
      </c>
      <c r="D12" s="4" t="n">
        <f aca="false">-D6*Assumptions!D45/100</f>
        <v>-995.4209628</v>
      </c>
      <c r="E12" s="4" t="n">
        <f aca="false">-E6*Assumptions!E45/100</f>
        <v>-1054.301051826</v>
      </c>
      <c r="F12" s="4" t="n">
        <f aca="false">-F6*Assumptions!F45/100</f>
        <v>-1110.598680807</v>
      </c>
      <c r="G12" s="4" t="n">
        <f aca="false">-G6*Assumptions!G45/100</f>
        <v>-1163.46317801341</v>
      </c>
      <c r="H12" s="4" t="n">
        <f aca="false">-H6*Assumptions!H45/100</f>
        <v>-1212.04076431191</v>
      </c>
      <c r="I12" s="4" t="n">
        <f aca="false">-I6*Assumptions!I45/100</f>
        <v>-1255.49371511756</v>
      </c>
      <c r="J12" s="4" t="n">
        <f aca="false">-J6*Assumptions!J45/100</f>
        <v>-1286.95004116666</v>
      </c>
      <c r="K12" s="4" t="n">
        <f aca="false">-K6*Assumptions!K45/100</f>
        <v>-1320.58623542443</v>
      </c>
      <c r="L12" s="4" t="n">
        <f aca="false">-L6*Assumptions!L45/100</f>
        <v>-1357.43980478511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2504.20368</v>
      </c>
      <c r="D13" s="0" t="n">
        <f aca="false">D11+D12</f>
        <v>2836.0106676</v>
      </c>
      <c r="E13" s="0" t="n">
        <f aca="false">E11+E12</f>
        <v>3193.610953104</v>
      </c>
      <c r="F13" s="0" t="n">
        <f aca="false">F11+F12</f>
        <v>3587.23373900661</v>
      </c>
      <c r="G13" s="0" t="n">
        <f aca="false">G11+G12</f>
        <v>3994.1570956543</v>
      </c>
      <c r="H13" s="0" t="n">
        <f aca="false">H11+H12</f>
        <v>4396.87128330172</v>
      </c>
      <c r="I13" s="0" t="n">
        <f aca="false">I11+I12</f>
        <v>4815.02534698933</v>
      </c>
      <c r="J13" s="0" t="n">
        <f aca="false">J11+J12</f>
        <v>5147.80016466664</v>
      </c>
      <c r="K13" s="0" t="n">
        <f aca="false">K11+K12</f>
        <v>5435.90148070054</v>
      </c>
      <c r="L13" s="0" t="n">
        <f aca="false">L11+L12</f>
        <v>5669.30741998486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19</v>
      </c>
      <c r="D14" s="4" t="n">
        <f aca="false">Assumptions!D47</f>
        <v>19.5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20.5</v>
      </c>
      <c r="H14" s="4" t="n">
        <f aca="false">Assumptions!H47</f>
        <v>20.5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2028.4049808</v>
      </c>
      <c r="D15" s="0" t="n">
        <f aca="false">D13-MAX(0,D13)*D14/100</f>
        <v>2282.988587418</v>
      </c>
      <c r="E15" s="0" t="n">
        <f aca="false">E13-MAX(0,E13)*E14/100</f>
        <v>2554.8887624832</v>
      </c>
      <c r="F15" s="0" t="n">
        <f aca="false">F13-MAX(0,F13)*F14/100</f>
        <v>2869.78699120529</v>
      </c>
      <c r="G15" s="0" t="n">
        <f aca="false">G13-MAX(0,G13)*G14/100</f>
        <v>3175.35489104516</v>
      </c>
      <c r="H15" s="0" t="n">
        <f aca="false">H13-MAX(0,H13)*H14/100</f>
        <v>3495.51267022487</v>
      </c>
      <c r="I15" s="0" t="n">
        <f aca="false">I13-MAX(0,I13)*I14/100</f>
        <v>3803.87002412157</v>
      </c>
      <c r="J15" s="0" t="n">
        <f aca="false">J13-MAX(0,J13)*J14/100</f>
        <v>4066.76213008665</v>
      </c>
      <c r="K15" s="0" t="n">
        <f aca="false">K13-MAX(0,K13)*K14/100</f>
        <v>4294.36216975343</v>
      </c>
      <c r="L15" s="0" t="n">
        <f aca="false">L13-MAX(0,L13)*L14/100</f>
        <v>4478.75286178804</v>
      </c>
    </row>
    <row r="16" customFormat="false" ht="15" hidden="false" customHeight="false" outlineLevel="0" collapsed="false">
      <c r="A16" s="0" t="s">
        <v>122</v>
      </c>
      <c r="C16" s="0" t="n">
        <f aca="false">-C12</f>
        <v>926.21232</v>
      </c>
      <c r="D16" s="0" t="n">
        <f aca="false">-D12</f>
        <v>995.4209628</v>
      </c>
      <c r="E16" s="0" t="n">
        <f aca="false">-E12</f>
        <v>1054.301051826</v>
      </c>
      <c r="F16" s="0" t="n">
        <f aca="false">-F12</f>
        <v>1110.598680807</v>
      </c>
      <c r="G16" s="0" t="n">
        <f aca="false">-G12</f>
        <v>1163.46317801341</v>
      </c>
      <c r="H16" s="0" t="n">
        <f aca="false">-H12</f>
        <v>1212.04076431191</v>
      </c>
      <c r="I16" s="0" t="n">
        <f aca="false">-I12</f>
        <v>1255.49371511756</v>
      </c>
      <c r="J16" s="0" t="n">
        <f aca="false">-J12</f>
        <v>1286.95004116666</v>
      </c>
      <c r="K16" s="0" t="n">
        <f aca="false">-K12</f>
        <v>1320.58623542443</v>
      </c>
      <c r="L16" s="0" t="n">
        <f aca="false">-L12</f>
        <v>1357.43980478511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-703.23528</v>
      </c>
      <c r="D17" s="4" t="n">
        <f aca="false">-D6*Assumptions!D46/100</f>
        <v>-770.0426316</v>
      </c>
      <c r="E17" s="4" t="n">
        <f aca="false">-E6*Assumptions!E46/100</f>
        <v>-839.346468444</v>
      </c>
      <c r="F17" s="4" t="n">
        <f aca="false">-F6*Assumptions!F46/100</f>
        <v>-910.69091826174</v>
      </c>
      <c r="G17" s="4" t="n">
        <f aca="false">-G6*Assumptions!G46/100</f>
        <v>-983.546191722679</v>
      </c>
      <c r="H17" s="4" t="n">
        <f aca="false">-H6*Assumptions!H46/100</f>
        <v>-1057.31215610188</v>
      </c>
      <c r="I17" s="4" t="n">
        <f aca="false">-I6*Assumptions!I46/100</f>
        <v>-1131.32400702901</v>
      </c>
      <c r="J17" s="4" t="n">
        <f aca="false">-J6*Assumptions!J46/100</f>
        <v>-1199.20344745075</v>
      </c>
      <c r="K17" s="4" t="n">
        <f aca="false">-K6*Assumptions!K46/100</f>
        <v>-1259.16361982329</v>
      </c>
      <c r="L17" s="4" t="n">
        <f aca="false">-L6*Assumptions!L46/100</f>
        <v>-1309.53016461622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111.606</v>
      </c>
      <c r="D18" s="4" t="n">
        <f aca="false">(D6-C6)*Assumptions!$B$51/100</f>
        <v>122.20857</v>
      </c>
      <c r="E18" s="4" t="n">
        <f aca="false">(E6-D6)*Assumptions!$B$51/100</f>
        <v>126.7753113</v>
      </c>
      <c r="F18" s="4" t="n">
        <f aca="false">(F6-E6)*Assumptions!$B$51/100</f>
        <v>130.5081399105</v>
      </c>
      <c r="G18" s="4" t="n">
        <f aca="false">(G6-F6)*Assumptions!$B$51/100</f>
        <v>133.27184169684</v>
      </c>
      <c r="H18" s="4" t="n">
        <f aca="false">(H6-G6)*Assumptions!$B$51/100</f>
        <v>134.937739718051</v>
      </c>
      <c r="I18" s="4" t="n">
        <f aca="false">(I6-H6)*Assumptions!$B$51/100</f>
        <v>135.387532183777</v>
      </c>
      <c r="J18" s="4" t="n">
        <f aca="false">(J6-I6)*Assumptions!$B$51/100</f>
        <v>124.16970808855</v>
      </c>
      <c r="K18" s="4" t="n">
        <f aca="false">(K6-J6)*Assumptions!$B$51/100</f>
        <v>109.683242144886</v>
      </c>
      <c r="L18" s="4" t="n">
        <f aca="false">(L6-K6)*Assumptions!$B$51/100</f>
        <v>92.1339234017043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2362.9880208</v>
      </c>
      <c r="D19" s="0" t="n">
        <f aca="false">D15+D16+D17+D18</f>
        <v>2630.575488618</v>
      </c>
      <c r="E19" s="0" t="n">
        <f aca="false">E15+E16+E17+E18</f>
        <v>2896.6186571652</v>
      </c>
      <c r="F19" s="0" t="n">
        <f aca="false">F15+F16+F17+F18</f>
        <v>3200.20289366105</v>
      </c>
      <c r="G19" s="0" t="n">
        <f aca="false">G15+G16+G17+G18</f>
        <v>3488.54371903274</v>
      </c>
      <c r="H19" s="0" t="n">
        <f aca="false">H15+H16+H17+H18</f>
        <v>3785.17901815295</v>
      </c>
      <c r="I19" s="0" t="n">
        <f aca="false">I15+I16+I17+I18</f>
        <v>4063.4272643939</v>
      </c>
      <c r="J19" s="0" t="n">
        <f aca="false">J15+J16+J17+J18</f>
        <v>4278.67843189111</v>
      </c>
      <c r="K19" s="0" t="n">
        <f aca="false">K15+K16+K17+K18</f>
        <v>4465.46802749945</v>
      </c>
      <c r="L19" s="0" t="n">
        <f aca="false">L15+L16+L17+L18</f>
        <v>4618.79642535863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2187.95187111111</v>
      </c>
      <c r="D21" s="0" t="n">
        <f aca="false">D19*D20</f>
        <v>2255.29448612654</v>
      </c>
      <c r="E21" s="0" t="n">
        <f aca="false">E19*E20</f>
        <v>2299.42927999829</v>
      </c>
      <c r="F21" s="0" t="n">
        <f aca="false">F19*F20</f>
        <v>2352.24466184646</v>
      </c>
      <c r="G21" s="0" t="n">
        <f aca="false">G19*G20</f>
        <v>2374.24423729132</v>
      </c>
      <c r="H21" s="0" t="n">
        <f aca="false">H19*H20</f>
        <v>2385.3048495552</v>
      </c>
      <c r="I21" s="0" t="n">
        <f aca="false">I19*I20</f>
        <v>2370.97078062013</v>
      </c>
      <c r="J21" s="0" t="n">
        <f aca="false">J19*J20</f>
        <v>2311.63682354047</v>
      </c>
      <c r="K21" s="0" t="n">
        <f aca="false">K19*K20</f>
        <v>2233.84576851515</v>
      </c>
      <c r="L21" s="0" t="n">
        <f aca="false">L19*L20</f>
        <v>2139.39642701494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-85.7604</v>
      </c>
      <c r="D24" s="0" t="n">
        <f aca="false">-D6*D23/100</f>
        <v>-93.907638</v>
      </c>
      <c r="E24" s="0" t="n">
        <f aca="false">-E6*E23/100</f>
        <v>-102.35932542</v>
      </c>
      <c r="F24" s="0" t="n">
        <f aca="false">-F6*F23/100</f>
        <v>-111.0598680807</v>
      </c>
      <c r="G24" s="0" t="n">
        <f aca="false">-G6*G23/100</f>
        <v>-119.944657527156</v>
      </c>
      <c r="H24" s="0" t="n">
        <f aca="false">-H6*H23/100</f>
        <v>-128.940506841693</v>
      </c>
      <c r="I24" s="0" t="n">
        <f aca="false">-I6*I23/100</f>
        <v>-137.966342320611</v>
      </c>
      <c r="J24" s="0" t="n">
        <f aca="false">-J6*J23/100</f>
        <v>-146.244322859848</v>
      </c>
      <c r="K24" s="0" t="n">
        <f aca="false">-K6*K23/100</f>
        <v>-153.55653900284</v>
      </c>
      <c r="L24" s="0" t="n">
        <f aca="false">-L6*L23/100</f>
        <v>-159.698800562954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22910.3191856196</v>
      </c>
    </row>
    <row r="31" customFormat="false" ht="15" hidden="false" customHeight="false" outlineLevel="0" collapsed="false">
      <c r="A31" s="0" t="s">
        <v>131</v>
      </c>
      <c r="B31" s="0" t="n">
        <f aca="false">L19</f>
        <v>4618.79642535863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106232.317783249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101613.52135789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101613.52135789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47066.7213943286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69977.0405799482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67613.0405799482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155.004678083329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0.560030979099529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1193.99225910578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2552.01483441147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163.592498105148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41569.1678282277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55.9322534573744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67.7772558068983</v>
      </c>
      <c r="C4" s="0" t="n">
        <f aca="false">B4/Assumptions!$B$2-1</f>
        <v>-0.317861757176949</v>
      </c>
      <c r="D4" s="4" t="n">
        <f aca="false">Assumptions!$B$24</f>
        <v>0.25</v>
      </c>
      <c r="E4" s="4" t="n">
        <f aca="false">DCF_Bear!$B$43</f>
        <v>72.9833153089345</v>
      </c>
      <c r="F4" s="4" t="n">
        <f aca="false">DCF_Bear!$B$47</f>
        <v>31.0173754213073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116.488369401281</v>
      </c>
      <c r="C5" s="0" t="n">
        <f aca="false">B5/Assumptions!$B$2-1</f>
        <v>0.172386970624805</v>
      </c>
      <c r="D5" s="4" t="n">
        <f aca="false">Assumptions!$B$38</f>
        <v>0.5</v>
      </c>
      <c r="E5" s="4" t="n">
        <f aca="false">DCF_Base!$B$43</f>
        <v>123.477933224473</v>
      </c>
      <c r="F5" s="4" t="n">
        <f aca="false">DCF_Base!$B$47</f>
        <v>44.9596252091882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155.004678083329</v>
      </c>
      <c r="C6" s="0" t="n">
        <f aca="false">B6/Assumptions!$B$2-1</f>
        <v>0.560030979099529</v>
      </c>
      <c r="D6" s="4" t="n">
        <f aca="false">Assumptions!$B$52</f>
        <v>0.25</v>
      </c>
      <c r="E6" s="4" t="n">
        <f aca="false">DCF_Bull!$B$43</f>
        <v>163.592498105148</v>
      </c>
      <c r="F6" s="4" t="n">
        <f aca="false">DCF_Bull!$B$47</f>
        <v>55.9322534573744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113.939668173197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120.882919965757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0.127959545669687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-209.983284616303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44.2172198242646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116.488369401281</v>
      </c>
      <c r="C15" s="3" t="n">
        <v>8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97.6441429750022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82.55253137583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71.2485710824792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62.4689112192567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44.9596252091882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137.046622399721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137.046622399721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137.046622399721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137.046622399721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137.046622399721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126.274153976773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126.274153976773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126.274153976773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126.274153976773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126.274153976773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104.942443983414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111.240221484069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116.488369401281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116.488369401281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116.488369401281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88.5354245706574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92.7394484495858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97.6441429750022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103.440600141403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107.588523618278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76.260036732425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79.1965342326807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82.55253137583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86.4248357717716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90.9425242337034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2026-10-02T09:47:49Z</dcterms:created>
  <dc:creator>openpyxl</dc:creator>
  <dc:description/>
  <dc:language>en-NZ</dc:language>
  <cp:lastModifiedBy/>
  <dcterms:modified xsi:type="dcterms:W3CDTF">2026-10-02T09:47:49Z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