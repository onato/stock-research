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<sst xmlns="http://schemas.openxmlformats.org/spreadsheetml/2006/main" count="363" uniqueCount="166">
  <si>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</si>
  <si>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AZN</t>
  </si>
  <si>
    <t xml:space="preserve">Company</t>
  </si>
  <si>
    <t xml:space="preserve">AstraZeneca PLC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</si>
  <si>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</si>
  <si>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</si>
  <si>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</si>
  <si>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</si>
  <si>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</si>
  <si>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</si>
  <si>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</si>
  <si>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</si>
  <si>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</si>
  <si>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</si>
  <si>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</si>
  <si>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</si>
  <si>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</si>
  <si>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</si>
  <si>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</si>
  <si>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</si>
  <si>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</si>
  <si>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2026-09-25T23:12:07Z</t>
  </si>
  <si>
    <t xml:space="preserve">Drivers file</t>
  </si>
  <si>
    <t xml:space="preserve">AZN_Drivers.json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</si>
  <si>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</si>
  <si>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</si>
  <si>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</si>
  <si>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AstraZeneca is valued as a large, diversified, patent-protected biopharmaceutical company on a standard owner-FCF DCF. Owner FCF strips SBC (a modest, declining 1.2% of revenue for this filer) from reported FCF; interest income is NOT stripped because AstraZeneca carries net debt ($23.4bn), not net cash. The forward margin is built bottom-up from EBITDA, D&amp;A, capex and cash tax components rather than carrying forward the FY2025 margin flat, because FY2025's reported figures embed one-off distortions (large non-cash intangible amortisation/impairment from serial M&amp;A depressing reported D&amp;A comparability, and an elevated capex ratio from the in-flight $50bn US manufacturing programme) that will not persist unchanged. The cash tax rate is anchored to management's own guided Core Tax Rate (18-22%) rather than the historical cash-tax/reported-PBT ratio, since reported PBT is itself depressed by the same non-cash M&amp;A charges.
key_risks_to_valuation: Farxiga US loss of exclusivity (2026) plus IRA Medicare price negotiation expanding to additional blockbusters (Calquence from 2027) -- a visible, quantifiable, and possibly still-understated headwind to the CVRM franchise; Unresolved China legal/regulatory investigation (Leon Wang indictment) on AstraZeneca's second-largest single market, with a linked US securities investor lawsuit; Binary late-stage pipeline trial-failure risk given ~24%-of-revenue R&amp;D intensity (FY2025's RESOLUTE and LATIFY misses demonstrate this is a live, recurring risk, not hypothetical); Continued heavy bolt-on M&amp;A and the $50bn US manufacturing commitment could keep capex elevated for longer than modeled, delaying the FCF margin's climb to maturity; FX exposure: USD-reporting UK-domiciled company with material non-US revenue (57% of FY2025 total) means currency swings materially affect reported (CER-adjusted) growth even though the model itself is built entirely in USD</t>
  </si>
  <si>
    <t xml:space="preserve">Data sources</t>
  </si>
  <si>
    <t xml:space="preserve">price: Yahoo Finance chart API at inputs.price_as_of; 52-week range 146.66-212.71
financials: AZN_Metrics.csv (metrics_normalized, FY2015-FY2025 annual + interims) and AZN_Annual_FY2025.txt (20-F/Annual Report) net debt reconciliation, Core-vs-Reported reconciliation, and cash flow statement
qualitative: AZN_Analysis.json (2026-09-26), including FY2026 guidance reaffirmed at Q2 2026 results (26 July 2026)</t>
  </si>
  <si>
    <t xml:space="preserve">Scenario narrative: bear</t>
  </si>
  <si>
    <t xml:space="preserve">Farxiga LOE and expanding IRA price negotiation prove deeper than guided, China legal exposure escalates, and further late-stage pipeline failures (following FY2025's RESOLUTE/LATIFY misses) leave oncology/Rare Disease growth unable to fully offset the CVRM decline.</t>
  </si>
  <si>
    <t xml:space="preserve">Scenario narrative: base</t>
  </si>
  <si>
    <t xml:space="preserve">Oncology (Enhertu, Tagrisso, Imfinzi, Datroway) and Rare Disease (Alexion) growth offset the Farxiga US LOE and China VBP headwinds broadly as management has guided through H1 2026, with the late-stage pipeline (baxdrostat, elecoglipron) launching into cardiometabolic/obesity from FY2028; margins keep climbing toward a mature ~36% as Alexion synergies complete.</t>
  </si>
  <si>
    <t xml:space="preserve">Scenario narrative: bull</t>
  </si>
  <si>
    <t xml:space="preserve">The new cardiometabolic/obesity franchise and continued oncology expansion into earlier treatment lines drive above-guidance growth; the harmonised global listing supports a re-rating toward US pharma peer multiples.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</si>
  <si>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</si>
  <si>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</si>
  <si>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</si>
  <si>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</si>
  <si>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</si>
  <si>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</si>
  <si>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</si>
  <si>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</si>
  <si>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</si>
  <si>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</si>
  <si>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</si>
  <si>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</si>
  <si>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</si>
  <si>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</si>
  <si>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</si>
  <si>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</si>
  <si>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</si>
  <si>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</si>
  <si>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</si>
  <si>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</si>
  <si>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</si>
  <si>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</si>
  <si>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</si>
  <si>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</si>
  <si>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</si>
  <si>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</si>
  <si>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</si>
  <si>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</si>
  <si>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</si>
  <si>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</si>
  <si>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</si>
  <si>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</si>
  <si>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</si>
  <si>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</si>
  <si>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</si>
  <si>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</si>
  <si>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</si>
  <si>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</si>
  <si>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</si>
  <si>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</si>
  <si>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</si>
  <si>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</si>
  <si>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</si>
  <si>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</si>
  <si>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</si>
  <si>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</si>
  <si>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</si>
  <si>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</si>
  <si>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</si>
  <si>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</si>
  <si>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</si>
  <si>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</si>
  <si>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</si>
  <si>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</si>
  <si>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</si>
  <si>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</si>
  <si>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</si>
  <si>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</si>
  <si>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</si>
  <si>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</si>
  <si>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</si>
  <si>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</si>
  <si>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</si>
  <si>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</si>
  <si>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</si>
  <si>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</si>
  <si>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</si>
  <si>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</si>
  <si>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</si>
  <si>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</si>
  <si>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</si>
  <si>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</si>
  <si>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</si>
  <si>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</si>
  <si>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</si>
  <si>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AZN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</si>
  <si>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</si>
  <si>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</si>
  <si>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</si>
  <si>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</si>
  <si>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</si>
  <si>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</si>
  <si>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</si>
  <si>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</si>
  <si>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</si>
  <si>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</si>
  <si>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</si>
  <si>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</si>
  <si>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</si>
  <si>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</si>
  <si>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</si>
  <si>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</si>
  <si>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</si>
  <si>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</si>
  <si>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</si>
  <si>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</si>
  <si>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</si>
  <si>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</si>
  <si>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</si>
  <si>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</si>
  <si>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</si>
  <si>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</si>
  <si>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</si>
  <si>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</si>
  <si>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</si>
  <si>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</si>
  <si>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AZN owner-FCF component DCF: base case (millions, USD)</t>
  </si>
  <si>
    <t xml:space="preserve">AZN owner-FCF component DCF: bull case (millions, USD)</t>
  </si>
  <si>
    <t xml:space="preserve">AZN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</si>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</sst>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166.58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24708</v>
      </c>
      <c r="C2" s="0" t="n">
        <v>4646</v>
      </c>
      <c r="D2" s="0" t="n">
        <v>20062</v>
      </c>
      <c r="E2" s="0" t="n">
        <v>81.2</v>
      </c>
      <c r="F2" s="0" t="n">
        <v>4114</v>
      </c>
      <c r="G2" s="0" t="n">
        <v>16.7</v>
      </c>
      <c r="H2" s="0" t="n">
        <v>6966</v>
      </c>
      <c r="I2" s="0" t="n">
        <v>2825</v>
      </c>
      <c r="J2" s="0" t="n">
        <v>11.4</v>
      </c>
      <c r="K2" s="0" t="n">
        <v>2.23</v>
      </c>
      <c r="L2" s="0" t="n">
        <v>3324</v>
      </c>
      <c r="M2" s="0" t="n">
        <v>1328</v>
      </c>
      <c r="N2" s="0" t="n">
        <v>1996</v>
      </c>
      <c r="O2" s="0" t="n">
        <v>18509</v>
      </c>
      <c r="P2" s="0" t="n">
        <v>60056</v>
      </c>
      <c r="Q2" s="0" t="n">
        <v>41547</v>
      </c>
      <c r="R2" s="0" t="n">
        <v>15053</v>
      </c>
      <c r="S2" s="0" t="n">
        <v>6240</v>
      </c>
      <c r="T2" s="0" t="n">
        <v>1265</v>
      </c>
      <c r="U2" s="0" t="n">
        <v>211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23002</v>
      </c>
      <c r="C3" s="0" t="n">
        <v>4126</v>
      </c>
      <c r="D3" s="0" t="n">
        <v>18876</v>
      </c>
      <c r="E3" s="0" t="n">
        <v>82.1</v>
      </c>
      <c r="F3" s="0" t="n">
        <v>4902</v>
      </c>
      <c r="G3" s="0" t="n">
        <v>21.3</v>
      </c>
      <c r="H3" s="0" t="n">
        <v>7259</v>
      </c>
      <c r="I3" s="0" t="n">
        <v>3499</v>
      </c>
      <c r="J3" s="0" t="n">
        <v>15.2</v>
      </c>
      <c r="K3" s="0" t="n">
        <v>2.76</v>
      </c>
      <c r="L3" s="0" t="n">
        <v>4145</v>
      </c>
      <c r="M3" s="0" t="n">
        <v>1446</v>
      </c>
      <c r="N3" s="0" t="n">
        <v>2699</v>
      </c>
      <c r="O3" s="0" t="n">
        <v>16669</v>
      </c>
      <c r="P3" s="0" t="n">
        <v>62526</v>
      </c>
      <c r="Q3" s="0" t="n">
        <v>45857</v>
      </c>
      <c r="R3" s="0" t="n">
        <v>16808</v>
      </c>
      <c r="S3" s="0" t="n">
        <v>5018</v>
      </c>
      <c r="T3" s="0" t="n">
        <v>1266</v>
      </c>
      <c r="U3" s="0" t="n">
        <v>241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22465</v>
      </c>
      <c r="C4" s="0" t="n">
        <v>4318</v>
      </c>
      <c r="D4" s="0" t="n">
        <v>18147</v>
      </c>
      <c r="E4" s="0" t="n">
        <v>80.8</v>
      </c>
      <c r="F4" s="0" t="n">
        <v>3677</v>
      </c>
      <c r="G4" s="0" t="n">
        <v>16.4</v>
      </c>
      <c r="H4" s="0" t="n">
        <v>6713</v>
      </c>
      <c r="I4" s="0" t="n">
        <v>3001</v>
      </c>
      <c r="J4" s="0" t="n">
        <v>13.4</v>
      </c>
      <c r="K4" s="0" t="n">
        <v>2.37</v>
      </c>
      <c r="L4" s="0" t="n">
        <v>3578</v>
      </c>
      <c r="M4" s="0" t="n">
        <v>1326</v>
      </c>
      <c r="N4" s="0" t="n">
        <v>2252</v>
      </c>
      <c r="O4" s="0" t="n">
        <v>16642</v>
      </c>
      <c r="P4" s="0" t="n">
        <v>63354</v>
      </c>
      <c r="Q4" s="0" t="n">
        <v>46712</v>
      </c>
      <c r="R4" s="0" t="n">
        <v>17807</v>
      </c>
      <c r="S4" s="0" t="n">
        <v>3324</v>
      </c>
      <c r="T4" s="0" t="n">
        <v>1267</v>
      </c>
      <c r="U4" s="0" t="n">
        <v>220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22090</v>
      </c>
      <c r="C5" s="0" t="n">
        <v>4936</v>
      </c>
      <c r="D5" s="0" t="n">
        <v>17154</v>
      </c>
      <c r="E5" s="0" t="n">
        <v>77.7</v>
      </c>
      <c r="F5" s="0" t="n">
        <v>3387</v>
      </c>
      <c r="G5" s="0" t="n">
        <v>15.3</v>
      </c>
      <c r="H5" s="0" t="n">
        <v>7140</v>
      </c>
      <c r="I5" s="0" t="n">
        <v>2155</v>
      </c>
      <c r="J5" s="0" t="n">
        <v>9.8</v>
      </c>
      <c r="K5" s="0" t="n">
        <v>1.7</v>
      </c>
      <c r="L5" s="0" t="n">
        <v>2618</v>
      </c>
      <c r="M5" s="0" t="n">
        <v>1043</v>
      </c>
      <c r="N5" s="0" t="n">
        <v>1575</v>
      </c>
      <c r="O5" s="0" t="n">
        <v>14044</v>
      </c>
      <c r="P5" s="0" t="n">
        <v>60651</v>
      </c>
      <c r="Q5" s="0" t="n">
        <v>46607</v>
      </c>
      <c r="R5" s="0" t="n">
        <v>19113</v>
      </c>
      <c r="S5" s="0" t="n">
        <v>4831</v>
      </c>
      <c r="T5" s="0" t="n">
        <v>1267</v>
      </c>
      <c r="U5" s="0" t="n">
        <v>219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24384</v>
      </c>
      <c r="C6" s="0" t="n">
        <v>4921</v>
      </c>
      <c r="D6" s="0" t="n">
        <v>19463</v>
      </c>
      <c r="E6" s="0" t="n">
        <v>79.8</v>
      </c>
      <c r="F6" s="0" t="n">
        <v>2924</v>
      </c>
      <c r="G6" s="0" t="n">
        <v>12</v>
      </c>
      <c r="H6" s="0" t="n">
        <v>6686</v>
      </c>
      <c r="I6" s="0" t="n">
        <v>1335</v>
      </c>
      <c r="J6" s="0" t="n">
        <v>5.5</v>
      </c>
      <c r="K6" s="0" t="n">
        <v>1.03</v>
      </c>
      <c r="L6" s="0" t="n">
        <v>2969</v>
      </c>
      <c r="M6" s="0" t="n">
        <v>979</v>
      </c>
      <c r="N6" s="0" t="n">
        <v>1990</v>
      </c>
      <c r="O6" s="0" t="n">
        <v>14596</v>
      </c>
      <c r="P6" s="0" t="n">
        <v>61377</v>
      </c>
      <c r="Q6" s="0" t="n">
        <v>46781</v>
      </c>
      <c r="R6" s="0" t="n">
        <v>18227</v>
      </c>
      <c r="S6" s="0" t="n">
        <v>5369</v>
      </c>
      <c r="T6" s="0" t="n">
        <v>1301</v>
      </c>
      <c r="U6" s="0" t="n">
        <v>259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26617</v>
      </c>
      <c r="C7" s="0" t="n">
        <v>5299</v>
      </c>
      <c r="D7" s="0" t="n">
        <v>21318</v>
      </c>
      <c r="E7" s="0" t="n">
        <v>80.1</v>
      </c>
      <c r="F7" s="0" t="n">
        <v>5162</v>
      </c>
      <c r="G7" s="0" t="n">
        <v>19.4</v>
      </c>
      <c r="H7" s="0" t="n">
        <v>8311</v>
      </c>
      <c r="I7" s="0" t="n">
        <v>3196</v>
      </c>
      <c r="J7" s="0" t="n">
        <v>12</v>
      </c>
      <c r="K7" s="0" t="n">
        <v>2.44</v>
      </c>
      <c r="L7" s="0" t="n">
        <v>4799</v>
      </c>
      <c r="M7" s="0" t="n">
        <v>961</v>
      </c>
      <c r="N7" s="0" t="n">
        <v>3838</v>
      </c>
      <c r="O7" s="0" t="n">
        <v>15638</v>
      </c>
      <c r="P7" s="0" t="n">
        <v>66729</v>
      </c>
      <c r="Q7" s="0" t="n">
        <v>51091</v>
      </c>
      <c r="R7" s="0" t="n">
        <v>20380</v>
      </c>
      <c r="S7" s="0" t="n">
        <v>7832</v>
      </c>
      <c r="T7" s="0" t="n">
        <v>1313</v>
      </c>
      <c r="U7" s="0" t="n">
        <v>277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37417</v>
      </c>
      <c r="C8" s="0" t="n">
        <v>12437</v>
      </c>
      <c r="D8" s="0" t="n">
        <v>24980</v>
      </c>
      <c r="E8" s="0" t="n">
        <v>66.8</v>
      </c>
      <c r="F8" s="0" t="n">
        <v>1056</v>
      </c>
      <c r="G8" s="0" t="n">
        <v>2.8</v>
      </c>
      <c r="H8" s="0" t="n">
        <v>7586</v>
      </c>
      <c r="I8" s="0" t="n">
        <v>112</v>
      </c>
      <c r="J8" s="0" t="n">
        <v>0.3</v>
      </c>
      <c r="K8" s="0" t="n">
        <v>0.08</v>
      </c>
      <c r="L8" s="0" t="n">
        <v>5963</v>
      </c>
      <c r="M8" s="0" t="n">
        <v>1091</v>
      </c>
      <c r="N8" s="0" t="n">
        <v>4872</v>
      </c>
      <c r="O8" s="0" t="n">
        <v>39287</v>
      </c>
      <c r="P8" s="0" t="n">
        <v>105363</v>
      </c>
      <c r="Q8" s="0" t="n">
        <v>66076</v>
      </c>
      <c r="R8" s="0" t="n">
        <v>30781</v>
      </c>
      <c r="S8" s="0" t="n">
        <v>6329</v>
      </c>
      <c r="T8" s="0" t="n">
        <v>1427</v>
      </c>
      <c r="U8" s="0" t="n">
        <v>615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44351</v>
      </c>
      <c r="C9" s="0" t="n">
        <v>12391</v>
      </c>
      <c r="D9" s="0" t="n">
        <v>31960</v>
      </c>
      <c r="E9" s="0" t="n">
        <v>72.1</v>
      </c>
      <c r="F9" s="0" t="n">
        <v>3757</v>
      </c>
      <c r="G9" s="0" t="n">
        <v>8.5</v>
      </c>
      <c r="H9" s="0" t="n">
        <v>9237</v>
      </c>
      <c r="I9" s="0" t="n">
        <v>3288</v>
      </c>
      <c r="J9" s="0" t="n">
        <v>7.4</v>
      </c>
      <c r="K9" s="0" t="n">
        <v>2.11</v>
      </c>
      <c r="L9" s="0" t="n">
        <v>9808</v>
      </c>
      <c r="M9" s="0" t="n">
        <v>1091</v>
      </c>
      <c r="N9" s="0" t="n">
        <v>8717</v>
      </c>
      <c r="O9" s="0" t="n">
        <v>37058</v>
      </c>
      <c r="P9" s="0" t="n">
        <v>96483</v>
      </c>
      <c r="Q9" s="0" t="n">
        <v>59425</v>
      </c>
      <c r="R9" s="0" t="n">
        <v>29232</v>
      </c>
      <c r="S9" s="0" t="n">
        <v>6166</v>
      </c>
      <c r="T9" s="0" t="n">
        <v>1560</v>
      </c>
      <c r="U9" s="0" t="n">
        <v>619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45811</v>
      </c>
      <c r="C10" s="0" t="n">
        <v>8268</v>
      </c>
      <c r="D10" s="0" t="n">
        <v>37543</v>
      </c>
      <c r="E10" s="0" t="n">
        <v>82</v>
      </c>
      <c r="F10" s="0" t="n">
        <v>8193</v>
      </c>
      <c r="G10" s="0" t="n">
        <v>17.9</v>
      </c>
      <c r="H10" s="0" t="n">
        <v>13580</v>
      </c>
      <c r="I10" s="0" t="n">
        <v>5955</v>
      </c>
      <c r="J10" s="0" t="n">
        <v>13</v>
      </c>
      <c r="K10" s="0" t="n">
        <v>3.81</v>
      </c>
      <c r="L10" s="0" t="n">
        <v>10345</v>
      </c>
      <c r="M10" s="0" t="n">
        <v>1361</v>
      </c>
      <c r="N10" s="0" t="n">
        <v>8984</v>
      </c>
      <c r="O10" s="0" t="n">
        <v>39166</v>
      </c>
      <c r="P10" s="0" t="n">
        <v>101119</v>
      </c>
      <c r="Q10" s="0" t="n">
        <v>61953</v>
      </c>
      <c r="R10" s="0" t="n">
        <v>28622</v>
      </c>
      <c r="S10" s="0" t="n">
        <v>5840</v>
      </c>
      <c r="T10" s="0" t="n">
        <v>1562</v>
      </c>
      <c r="U10" s="0" t="n">
        <v>579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54073</v>
      </c>
      <c r="C11" s="0" t="n">
        <v>10207</v>
      </c>
      <c r="D11" s="0" t="n">
        <v>43866</v>
      </c>
      <c r="E11" s="0" t="n">
        <v>81.1</v>
      </c>
      <c r="F11" s="0" t="n">
        <v>10003</v>
      </c>
      <c r="G11" s="0" t="n">
        <v>18.5</v>
      </c>
      <c r="H11" s="0" t="n">
        <v>16691</v>
      </c>
      <c r="I11" s="0" t="n">
        <v>7035</v>
      </c>
      <c r="J11" s="0" t="n">
        <v>13</v>
      </c>
      <c r="K11" s="0" t="n">
        <v>4.5</v>
      </c>
      <c r="L11" s="0" t="n">
        <v>11861</v>
      </c>
      <c r="M11" s="0" t="n">
        <v>1924</v>
      </c>
      <c r="N11" s="0" t="n">
        <v>9937</v>
      </c>
      <c r="O11" s="0" t="n">
        <v>40871</v>
      </c>
      <c r="P11" s="0" t="n">
        <v>104035</v>
      </c>
      <c r="Q11" s="0" t="n">
        <v>63164</v>
      </c>
      <c r="R11" s="0" t="n">
        <v>30295</v>
      </c>
      <c r="S11" s="0" t="n">
        <v>5488</v>
      </c>
      <c r="T11" s="0" t="n">
        <v>1563</v>
      </c>
      <c r="U11" s="0" t="n">
        <v>660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58739</v>
      </c>
      <c r="C12" s="0" t="n">
        <v>10633</v>
      </c>
      <c r="D12" s="0" t="n">
        <v>48106</v>
      </c>
      <c r="E12" s="0" t="n">
        <v>81.9</v>
      </c>
      <c r="F12" s="0" t="n">
        <v>13743</v>
      </c>
      <c r="G12" s="0" t="n">
        <v>23.4</v>
      </c>
      <c r="H12" s="0" t="n">
        <v>19476</v>
      </c>
      <c r="I12" s="0" t="n">
        <v>10225</v>
      </c>
      <c r="J12" s="0" t="n">
        <v>17.4</v>
      </c>
      <c r="K12" s="0" t="n">
        <v>6.54</v>
      </c>
      <c r="L12" s="0" t="n">
        <v>14575</v>
      </c>
      <c r="M12" s="0" t="n">
        <v>2810</v>
      </c>
      <c r="N12" s="0" t="n">
        <v>11765</v>
      </c>
      <c r="O12" s="0" t="n">
        <v>48719</v>
      </c>
      <c r="P12" s="0" t="n">
        <v>114074</v>
      </c>
      <c r="Q12" s="0" t="n">
        <v>65355</v>
      </c>
      <c r="R12" s="0" t="n">
        <v>29622</v>
      </c>
      <c r="S12" s="0" t="n">
        <v>5711</v>
      </c>
      <c r="T12" s="0" t="n">
        <v>1562</v>
      </c>
      <c r="U12" s="0" t="n">
        <v>719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166.58</v>
      </c>
    </row>
    <row r="3" customFormat="false" ht="15" hidden="false" customHeight="false" outlineLevel="0" collapsed="false">
      <c r="A3" s="0" t="s">
        <v>77</v>
      </c>
      <c r="B3" s="3" t="n">
        <v>1562</v>
      </c>
    </row>
    <row r="4" customFormat="false" ht="15" hidden="false" customHeight="false" outlineLevel="0" collapsed="false">
      <c r="A4" s="0" t="s">
        <v>78</v>
      </c>
      <c r="B4" s="3" t="n">
        <v>23374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58739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3</v>
      </c>
      <c r="D13" s="3" t="n">
        <v>2.5</v>
      </c>
      <c r="E13" s="3" t="n">
        <v>3</v>
      </c>
      <c r="F13" s="3" t="n">
        <v>3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31.5</v>
      </c>
      <c r="D14" s="3" t="n">
        <v>31</v>
      </c>
      <c r="E14" s="3" t="n">
        <v>31</v>
      </c>
      <c r="F14" s="3" t="n">
        <v>31.5</v>
      </c>
      <c r="G14" s="3" t="n">
        <v>31.5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99</v>
      </c>
      <c r="C15" s="3" t="n">
        <v>1.25</v>
      </c>
      <c r="D15" s="3" t="n">
        <v>1.25</v>
      </c>
      <c r="E15" s="3" t="n">
        <v>1.22</v>
      </c>
      <c r="F15" s="3" t="n">
        <v>1.2</v>
      </c>
      <c r="G15" s="3" t="n">
        <v>1.18</v>
      </c>
      <c r="H15" s="3" t="n">
        <v>1.15</v>
      </c>
      <c r="I15" s="3" t="n">
        <v>1.15</v>
      </c>
      <c r="J15" s="3" t="n">
        <v>1.15</v>
      </c>
      <c r="K15" s="3" t="n">
        <v>1.15</v>
      </c>
      <c r="L15" s="3" t="n">
        <v>1.15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9</v>
      </c>
      <c r="D17" s="3" t="n">
        <v>8.8</v>
      </c>
      <c r="E17" s="3" t="n">
        <v>8.5</v>
      </c>
      <c r="F17" s="3" t="n">
        <v>8.3</v>
      </c>
      <c r="G17" s="3" t="n">
        <v>8</v>
      </c>
      <c r="H17" s="3" t="n">
        <v>8</v>
      </c>
      <c r="I17" s="3" t="n">
        <v>8</v>
      </c>
      <c r="J17" s="3" t="n">
        <v>8</v>
      </c>
      <c r="K17" s="3" t="n">
        <v>8</v>
      </c>
      <c r="L17" s="3" t="n">
        <v>8</v>
      </c>
    </row>
    <row r="18" customFormat="false" ht="15" hidden="false" customHeight="false" outlineLevel="0" collapsed="false">
      <c r="A18" s="0" t="s">
        <v>102</v>
      </c>
      <c r="C18" s="3" t="n">
        <v>10</v>
      </c>
      <c r="D18" s="3" t="n">
        <v>9.8</v>
      </c>
      <c r="E18" s="3" t="n">
        <v>9.3</v>
      </c>
      <c r="F18" s="3" t="n">
        <v>8.8</v>
      </c>
      <c r="G18" s="3" t="n">
        <v>8.3</v>
      </c>
      <c r="H18" s="3" t="n">
        <v>8</v>
      </c>
      <c r="I18" s="3" t="n">
        <v>8</v>
      </c>
      <c r="J18" s="3" t="n">
        <v>7.8</v>
      </c>
      <c r="K18" s="3" t="n">
        <v>7.8</v>
      </c>
      <c r="L18" s="3" t="n">
        <v>7.8</v>
      </c>
    </row>
    <row r="19" customFormat="false" ht="15" hidden="false" customHeight="false" outlineLevel="0" collapsed="false">
      <c r="A19" s="0" t="s">
        <v>103</v>
      </c>
      <c r="C19" s="3" t="n">
        <v>21</v>
      </c>
      <c r="D19" s="3" t="n">
        <v>21.5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14</v>
      </c>
    </row>
    <row r="23" customFormat="false" ht="15" hidden="false" customHeight="false" outlineLevel="0" collapsed="false">
      <c r="A23" s="0" t="s">
        <v>107</v>
      </c>
      <c r="B23" s="3" t="n">
        <v>-12</v>
      </c>
    </row>
    <row r="24" customFormat="false" ht="15" hidden="false" customHeight="false" outlineLevel="0" collapsed="false">
      <c r="A24" s="0" t="s">
        <v>108</v>
      </c>
      <c r="B24" s="3" t="n">
        <v>0.2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6</v>
      </c>
      <c r="D27" s="3" t="n">
        <v>6.5</v>
      </c>
      <c r="E27" s="3" t="n">
        <v>7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33.5</v>
      </c>
      <c r="D28" s="3" t="n">
        <v>34</v>
      </c>
      <c r="E28" s="3" t="n">
        <v>34.5</v>
      </c>
      <c r="F28" s="3" t="n">
        <v>35</v>
      </c>
      <c r="G28" s="3" t="n">
        <v>35.5</v>
      </c>
      <c r="H28" s="3" t="n">
        <v>36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99</v>
      </c>
      <c r="C29" s="3" t="n">
        <v>1.2</v>
      </c>
      <c r="D29" s="3" t="n">
        <v>1.18</v>
      </c>
      <c r="E29" s="3" t="n">
        <v>1.15</v>
      </c>
      <c r="F29" s="3" t="n">
        <v>1.13</v>
      </c>
      <c r="G29" s="3" t="n">
        <v>1.1</v>
      </c>
      <c r="H29" s="3" t="n">
        <v>1.08</v>
      </c>
      <c r="I29" s="3" t="n">
        <v>1.05</v>
      </c>
      <c r="J29" s="3" t="n">
        <v>1.05</v>
      </c>
      <c r="K29" s="3" t="n">
        <v>1.05</v>
      </c>
      <c r="L29" s="3" t="n">
        <v>1.05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8.5</v>
      </c>
      <c r="D31" s="3" t="n">
        <v>8.3</v>
      </c>
      <c r="E31" s="3" t="n">
        <v>8</v>
      </c>
      <c r="F31" s="3" t="n">
        <v>7.8</v>
      </c>
      <c r="G31" s="3" t="n">
        <v>7.5</v>
      </c>
      <c r="H31" s="3" t="n">
        <v>7.5</v>
      </c>
      <c r="I31" s="3" t="n">
        <v>7.3</v>
      </c>
      <c r="J31" s="3" t="n">
        <v>7.3</v>
      </c>
      <c r="K31" s="3" t="n">
        <v>7.2</v>
      </c>
      <c r="L31" s="3" t="n">
        <v>7.2</v>
      </c>
    </row>
    <row r="32" customFormat="false" ht="15" hidden="false" customHeight="false" outlineLevel="0" collapsed="false">
      <c r="A32" s="0" t="s">
        <v>102</v>
      </c>
      <c r="C32" s="3" t="n">
        <v>9.5</v>
      </c>
      <c r="D32" s="3" t="n">
        <v>9</v>
      </c>
      <c r="E32" s="3" t="n">
        <v>8.5</v>
      </c>
      <c r="F32" s="3" t="n">
        <v>8</v>
      </c>
      <c r="G32" s="3" t="n">
        <v>7.5</v>
      </c>
      <c r="H32" s="3" t="n">
        <v>7.3</v>
      </c>
      <c r="I32" s="3" t="n">
        <v>7</v>
      </c>
      <c r="J32" s="3" t="n">
        <v>7</v>
      </c>
      <c r="K32" s="3" t="n">
        <v>6.8</v>
      </c>
      <c r="L32" s="3" t="n">
        <v>6.8</v>
      </c>
    </row>
    <row r="33" customFormat="false" ht="15" hidden="false" customHeight="false" outlineLevel="0" collapsed="false">
      <c r="A33" s="0" t="s">
        <v>103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20.5</v>
      </c>
      <c r="I33" s="3" t="n">
        <v>20.5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104</v>
      </c>
      <c r="B34" s="3" t="n">
        <v>7.5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18</v>
      </c>
    </row>
    <row r="37" customFormat="false" ht="15" hidden="false" customHeight="false" outlineLevel="0" collapsed="false">
      <c r="A37" s="0" t="s">
        <v>107</v>
      </c>
      <c r="B37" s="3" t="n">
        <v>-8</v>
      </c>
    </row>
    <row r="38" customFormat="false" ht="15" hidden="false" customHeight="false" outlineLevel="0" collapsed="false">
      <c r="A38" s="0" t="s">
        <v>108</v>
      </c>
      <c r="B38" s="3" t="n">
        <v>0.55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8</v>
      </c>
      <c r="D41" s="3" t="n">
        <v>9</v>
      </c>
      <c r="E41" s="3" t="n">
        <v>9.5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98</v>
      </c>
      <c r="C42" s="3" t="n">
        <v>34</v>
      </c>
      <c r="D42" s="3" t="n">
        <v>35</v>
      </c>
      <c r="E42" s="3" t="n">
        <v>36</v>
      </c>
      <c r="F42" s="3" t="n">
        <v>37</v>
      </c>
      <c r="G42" s="3" t="n">
        <v>37.5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99</v>
      </c>
      <c r="C43" s="3" t="n">
        <v>1.2</v>
      </c>
      <c r="D43" s="3" t="n">
        <v>1.15</v>
      </c>
      <c r="E43" s="3" t="n">
        <v>1.1</v>
      </c>
      <c r="F43" s="3" t="n">
        <v>1.05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8.3</v>
      </c>
      <c r="D45" s="3" t="n">
        <v>8</v>
      </c>
      <c r="E45" s="3" t="n">
        <v>7.7</v>
      </c>
      <c r="F45" s="3" t="n">
        <v>7.4</v>
      </c>
      <c r="G45" s="3" t="n">
        <v>7.2</v>
      </c>
      <c r="H45" s="3" t="n">
        <v>7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102</v>
      </c>
      <c r="C46" s="3" t="n">
        <v>9.5</v>
      </c>
      <c r="D46" s="3" t="n">
        <v>9</v>
      </c>
      <c r="E46" s="3" t="n">
        <v>8.3</v>
      </c>
      <c r="F46" s="3" t="n">
        <v>7.8</v>
      </c>
      <c r="G46" s="3" t="n">
        <v>7.3</v>
      </c>
      <c r="H46" s="3" t="n">
        <v>7</v>
      </c>
      <c r="I46" s="3" t="n">
        <v>6.8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103</v>
      </c>
      <c r="C47" s="3" t="n">
        <v>19</v>
      </c>
      <c r="D47" s="3" t="n">
        <v>19</v>
      </c>
      <c r="E47" s="3" t="n">
        <v>19</v>
      </c>
      <c r="F47" s="3" t="n">
        <v>19.5</v>
      </c>
      <c r="G47" s="3" t="n">
        <v>19.5</v>
      </c>
      <c r="H47" s="3" t="n">
        <v>20</v>
      </c>
      <c r="I47" s="3" t="n">
        <v>20</v>
      </c>
      <c r="J47" s="3" t="n">
        <v>20.5</v>
      </c>
      <c r="K47" s="3" t="n">
        <v>20.5</v>
      </c>
      <c r="L47" s="3" t="n">
        <v>21</v>
      </c>
    </row>
    <row r="48" customFormat="false" ht="15" hidden="false" customHeight="false" outlineLevel="0" collapsed="false">
      <c r="A48" s="0" t="s">
        <v>104</v>
      </c>
      <c r="B48" s="3" t="n">
        <v>7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-6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3</v>
      </c>
      <c r="D5" s="4" t="n">
        <f aca="false">Assumptions!D13</f>
        <v>2.5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58739</v>
      </c>
      <c r="C6" s="0" t="n">
        <f aca="false">B6*(1+C5/100)</f>
        <v>60501.17</v>
      </c>
      <c r="D6" s="0" t="n">
        <f aca="false">C6*(1+D5/100)</f>
        <v>62013.69925</v>
      </c>
      <c r="E6" s="0" t="n">
        <f aca="false">D6*(1+E5/100)</f>
        <v>63874.1102275</v>
      </c>
      <c r="F6" s="0" t="n">
        <f aca="false">E6*(1+F5/100)</f>
        <v>65790.333534325</v>
      </c>
      <c r="G6" s="0" t="n">
        <f aca="false">F6*(1+G5/100)</f>
        <v>67435.0918726831</v>
      </c>
      <c r="H6" s="0" t="n">
        <f aca="false">G6*(1+H5/100)</f>
        <v>69120.9691695002</v>
      </c>
      <c r="I6" s="0" t="n">
        <f aca="false">H6*(1+I5/100)</f>
        <v>70503.3885528902</v>
      </c>
      <c r="J6" s="0" t="n">
        <f aca="false">I6*(1+J5/100)</f>
        <v>71913.456323948</v>
      </c>
      <c r="K6" s="0" t="n">
        <f aca="false">J6*(1+K5/100)</f>
        <v>73351.725450427</v>
      </c>
      <c r="L6" s="0" t="n">
        <f aca="false">K6*(1+L5/100)</f>
        <v>74818.7599594355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31.5</v>
      </c>
      <c r="D7" s="4" t="n">
        <f aca="false">Assumptions!D14</f>
        <v>31</v>
      </c>
      <c r="E7" s="4" t="n">
        <f aca="false">Assumptions!E14</f>
        <v>31</v>
      </c>
      <c r="F7" s="4" t="n">
        <f aca="false">Assumptions!F14</f>
        <v>31.5</v>
      </c>
      <c r="G7" s="4" t="n">
        <f aca="false">Assumptions!G14</f>
        <v>31.5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19057.86855</v>
      </c>
      <c r="D8" s="0" t="n">
        <f aca="false">D6*D7/100</f>
        <v>19224.2467675</v>
      </c>
      <c r="E8" s="0" t="n">
        <f aca="false">E6*E7/100</f>
        <v>19800.974170525</v>
      </c>
      <c r="F8" s="0" t="n">
        <f aca="false">F6*F7/100</f>
        <v>20723.9550633124</v>
      </c>
      <c r="G8" s="0" t="n">
        <f aca="false">G6*G7/100</f>
        <v>21242.0539398952</v>
      </c>
      <c r="H8" s="0" t="n">
        <f aca="false">H6*H7/100</f>
        <v>22118.7101342401</v>
      </c>
      <c r="I8" s="0" t="n">
        <f aca="false">I6*I7/100</f>
        <v>22561.0843369249</v>
      </c>
      <c r="J8" s="0" t="n">
        <f aca="false">J6*J7/100</f>
        <v>23012.3060236634</v>
      </c>
      <c r="K8" s="0" t="n">
        <f aca="false">K6*K7/100</f>
        <v>23472.5521441366</v>
      </c>
      <c r="L8" s="0" t="n">
        <f aca="false">L6*L7/100</f>
        <v>23942.0031870194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1.25</v>
      </c>
      <c r="D9" s="4" t="n">
        <f aca="false">Assumptions!D15</f>
        <v>1.25</v>
      </c>
      <c r="E9" s="4" t="n">
        <f aca="false">Assumptions!E15</f>
        <v>1.22</v>
      </c>
      <c r="F9" s="4" t="n">
        <f aca="false">Assumptions!F15</f>
        <v>1.2</v>
      </c>
      <c r="G9" s="4" t="n">
        <f aca="false">Assumptions!G15</f>
        <v>1.18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1.15</v>
      </c>
      <c r="K9" s="4" t="n">
        <f aca="false">Assumptions!K15</f>
        <v>1.15</v>
      </c>
      <c r="L9" s="4" t="n">
        <f aca="false">Assumptions!L15</f>
        <v>1.15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-756.264625</v>
      </c>
      <c r="D10" s="0" t="n">
        <f aca="false">-D6*D9/100</f>
        <v>-775.171240625</v>
      </c>
      <c r="E10" s="0" t="n">
        <f aca="false">-E6*E9/100</f>
        <v>-779.2641447755</v>
      </c>
      <c r="F10" s="0" t="n">
        <f aca="false">-F6*F9/100</f>
        <v>-789.4840024119</v>
      </c>
      <c r="G10" s="0" t="n">
        <f aca="false">-G6*G9/100</f>
        <v>-795.734084097661</v>
      </c>
      <c r="H10" s="0" t="n">
        <f aca="false">-H6*H9/100</f>
        <v>-794.891145449252</v>
      </c>
      <c r="I10" s="0" t="n">
        <f aca="false">-I6*I9/100</f>
        <v>-810.788968358237</v>
      </c>
      <c r="J10" s="0" t="n">
        <f aca="false">-J6*J9/100</f>
        <v>-827.004747725402</v>
      </c>
      <c r="K10" s="0" t="n">
        <f aca="false">-K6*K9/100</f>
        <v>-843.54484267991</v>
      </c>
      <c r="L10" s="0" t="n">
        <f aca="false">-L6*L9/100</f>
        <v>-860.415739533508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18301.603925</v>
      </c>
      <c r="D11" s="0" t="n">
        <f aca="false">D8+D10+D24</f>
        <v>18449.075526875</v>
      </c>
      <c r="E11" s="0" t="n">
        <f aca="false">E8+E10+E24</f>
        <v>19021.7100257495</v>
      </c>
      <c r="F11" s="0" t="n">
        <f aca="false">F8+F10+F24</f>
        <v>19934.4710609005</v>
      </c>
      <c r="G11" s="0" t="n">
        <f aca="false">G8+G10+G24</f>
        <v>20446.3198557975</v>
      </c>
      <c r="H11" s="0" t="n">
        <f aca="false">H8+H10+H24</f>
        <v>21323.8189887908</v>
      </c>
      <c r="I11" s="0" t="n">
        <f aca="false">I8+I10+I24</f>
        <v>21750.2953685666</v>
      </c>
      <c r="J11" s="0" t="n">
        <f aca="false">J8+J10+J24</f>
        <v>22185.301275938</v>
      </c>
      <c r="K11" s="0" t="n">
        <f aca="false">K8+K10+K24</f>
        <v>22629.0073014567</v>
      </c>
      <c r="L11" s="0" t="n">
        <f aca="false">L8+L10+L24</f>
        <v>23081.5874474859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-5445.1053</v>
      </c>
      <c r="D12" s="4" t="n">
        <f aca="false">-D6*Assumptions!D17/100</f>
        <v>-5457.205534</v>
      </c>
      <c r="E12" s="4" t="n">
        <f aca="false">-E6*Assumptions!E17/100</f>
        <v>-5429.2993693375</v>
      </c>
      <c r="F12" s="4" t="n">
        <f aca="false">-F6*Assumptions!F17/100</f>
        <v>-5460.59768334898</v>
      </c>
      <c r="G12" s="4" t="n">
        <f aca="false">-G6*Assumptions!G17/100</f>
        <v>-5394.80734981465</v>
      </c>
      <c r="H12" s="4" t="n">
        <f aca="false">-H6*Assumptions!H17/100</f>
        <v>-5529.67753356001</v>
      </c>
      <c r="I12" s="4" t="n">
        <f aca="false">-I6*Assumptions!I17/100</f>
        <v>-5640.27108423122</v>
      </c>
      <c r="J12" s="4" t="n">
        <f aca="false">-J6*Assumptions!J17/100</f>
        <v>-5753.07650591584</v>
      </c>
      <c r="K12" s="4" t="n">
        <f aca="false">-K6*Assumptions!K17/100</f>
        <v>-5868.13803603416</v>
      </c>
      <c r="L12" s="4" t="n">
        <f aca="false">-L6*Assumptions!L17/100</f>
        <v>-5985.50079675484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12856.498625</v>
      </c>
      <c r="D13" s="0" t="n">
        <f aca="false">D11+D12</f>
        <v>12991.869992875</v>
      </c>
      <c r="E13" s="0" t="n">
        <f aca="false">E11+E12</f>
        <v>13592.410656412</v>
      </c>
      <c r="F13" s="0" t="n">
        <f aca="false">F11+F12</f>
        <v>14473.8733775515</v>
      </c>
      <c r="G13" s="0" t="n">
        <f aca="false">G11+G12</f>
        <v>15051.5125059829</v>
      </c>
      <c r="H13" s="0" t="n">
        <f aca="false">H11+H12</f>
        <v>15794.1414552308</v>
      </c>
      <c r="I13" s="0" t="n">
        <f aca="false">I11+I12</f>
        <v>16110.0242843354</v>
      </c>
      <c r="J13" s="0" t="n">
        <f aca="false">J11+J12</f>
        <v>16432.2247700221</v>
      </c>
      <c r="K13" s="0" t="n">
        <f aca="false">K11+K12</f>
        <v>16760.8692654226</v>
      </c>
      <c r="L13" s="0" t="n">
        <f aca="false">L11+L12</f>
        <v>17096.086650731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21</v>
      </c>
      <c r="D14" s="4" t="n">
        <f aca="false">Assumptions!D19</f>
        <v>21.5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10156.63391375</v>
      </c>
      <c r="D15" s="0" t="n">
        <f aca="false">D13-MAX(0,D13)*D14/100</f>
        <v>10198.6179444069</v>
      </c>
      <c r="E15" s="0" t="n">
        <f aca="false">E13-MAX(0,E13)*E14/100</f>
        <v>10602.0803120014</v>
      </c>
      <c r="F15" s="0" t="n">
        <f aca="false">F13-MAX(0,F13)*F14/100</f>
        <v>11289.6212344902</v>
      </c>
      <c r="G15" s="0" t="n">
        <f aca="false">G13-MAX(0,G13)*G14/100</f>
        <v>11740.1797546666</v>
      </c>
      <c r="H15" s="0" t="n">
        <f aca="false">H13-MAX(0,H13)*H14/100</f>
        <v>12319.43033508</v>
      </c>
      <c r="I15" s="0" t="n">
        <f aca="false">I13-MAX(0,I13)*I14/100</f>
        <v>12565.8189417816</v>
      </c>
      <c r="J15" s="0" t="n">
        <f aca="false">J13-MAX(0,J13)*J14/100</f>
        <v>12817.1353206173</v>
      </c>
      <c r="K15" s="0" t="n">
        <f aca="false">K13-MAX(0,K13)*K14/100</f>
        <v>13073.4780270296</v>
      </c>
      <c r="L15" s="0" t="n">
        <f aca="false">L13-MAX(0,L13)*L14/100</f>
        <v>13334.9475875702</v>
      </c>
    </row>
    <row r="16" customFormat="false" ht="15" hidden="false" customHeight="false" outlineLevel="0" collapsed="false">
      <c r="A16" s="0" t="s">
        <v>119</v>
      </c>
      <c r="C16" s="0" t="n">
        <f aca="false">-C12</f>
        <v>5445.1053</v>
      </c>
      <c r="D16" s="0" t="n">
        <f aca="false">-D12</f>
        <v>5457.205534</v>
      </c>
      <c r="E16" s="0" t="n">
        <f aca="false">-E12</f>
        <v>5429.2993693375</v>
      </c>
      <c r="F16" s="0" t="n">
        <f aca="false">-F12</f>
        <v>5460.59768334898</v>
      </c>
      <c r="G16" s="0" t="n">
        <f aca="false">-G12</f>
        <v>5394.80734981465</v>
      </c>
      <c r="H16" s="0" t="n">
        <f aca="false">-H12</f>
        <v>5529.67753356001</v>
      </c>
      <c r="I16" s="0" t="n">
        <f aca="false">-I12</f>
        <v>5640.27108423122</v>
      </c>
      <c r="J16" s="0" t="n">
        <f aca="false">-J12</f>
        <v>5753.07650591584</v>
      </c>
      <c r="K16" s="0" t="n">
        <f aca="false">-K12</f>
        <v>5868.13803603416</v>
      </c>
      <c r="L16" s="0" t="n">
        <f aca="false">-L12</f>
        <v>5985.50079675484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-6050.117</v>
      </c>
      <c r="D17" s="4" t="n">
        <f aca="false">-D6*Assumptions!D18/100</f>
        <v>-6077.3425265</v>
      </c>
      <c r="E17" s="4" t="n">
        <f aca="false">-E6*Assumptions!E18/100</f>
        <v>-5940.2922511575</v>
      </c>
      <c r="F17" s="4" t="n">
        <f aca="false">-F6*Assumptions!F18/100</f>
        <v>-5789.5493510206</v>
      </c>
      <c r="G17" s="4" t="n">
        <f aca="false">-G6*Assumptions!G18/100</f>
        <v>-5597.1126254327</v>
      </c>
      <c r="H17" s="4" t="n">
        <f aca="false">-H6*Assumptions!H18/100</f>
        <v>-5529.67753356001</v>
      </c>
      <c r="I17" s="4" t="n">
        <f aca="false">-I6*Assumptions!I18/100</f>
        <v>-5640.27108423122</v>
      </c>
      <c r="J17" s="4" t="n">
        <f aca="false">-J6*Assumptions!J18/100</f>
        <v>-5609.24959326794</v>
      </c>
      <c r="K17" s="4" t="n">
        <f aca="false">-K6*Assumptions!K18/100</f>
        <v>-5721.4345851333</v>
      </c>
      <c r="L17" s="4" t="n">
        <f aca="false">-L6*Assumptions!L18/100</f>
        <v>-5835.86327683597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-211.4604</v>
      </c>
      <c r="D18" s="4" t="n">
        <f aca="false">(D6-C6)*Assumptions!$B$23/100</f>
        <v>-181.503509999999</v>
      </c>
      <c r="E18" s="4" t="n">
        <f aca="false">(E6-D6)*Assumptions!$B$23/100</f>
        <v>-223.2493173</v>
      </c>
      <c r="F18" s="4" t="n">
        <f aca="false">(F6-E6)*Assumptions!$B$23/100</f>
        <v>-229.946796819</v>
      </c>
      <c r="G18" s="4" t="n">
        <f aca="false">(G6-F6)*Assumptions!$B$23/100</f>
        <v>-197.371000602975</v>
      </c>
      <c r="H18" s="4" t="n">
        <f aca="false">(H6-G6)*Assumptions!$B$23/100</f>
        <v>-202.305275618048</v>
      </c>
      <c r="I18" s="4" t="n">
        <f aca="false">(I6-H6)*Assumptions!$B$23/100</f>
        <v>-165.890326006801</v>
      </c>
      <c r="J18" s="4" t="n">
        <f aca="false">(J6-I6)*Assumptions!$B$23/100</f>
        <v>-169.208132526936</v>
      </c>
      <c r="K18" s="4" t="n">
        <f aca="false">(K6-J6)*Assumptions!$B$23/100</f>
        <v>-172.592295177475</v>
      </c>
      <c r="L18" s="4" t="n">
        <f aca="false">(L6-K6)*Assumptions!$B$23/100</f>
        <v>-176.044141081026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9340.16181375</v>
      </c>
      <c r="D19" s="0" t="n">
        <f aca="false">D15+D16+D17+D18</f>
        <v>9396.97744190687</v>
      </c>
      <c r="E19" s="0" t="n">
        <f aca="false">E15+E16+E17+E18</f>
        <v>9867.83811288136</v>
      </c>
      <c r="F19" s="0" t="n">
        <f aca="false">F15+F16+F17+F18</f>
        <v>10730.7227699995</v>
      </c>
      <c r="G19" s="0" t="n">
        <f aca="false">G15+G16+G17+G18</f>
        <v>11340.5034784456</v>
      </c>
      <c r="H19" s="0" t="n">
        <f aca="false">H15+H16+H17+H18</f>
        <v>12117.125059462</v>
      </c>
      <c r="I19" s="0" t="n">
        <f aca="false">I15+I16+I17+I18</f>
        <v>12399.9286157748</v>
      </c>
      <c r="J19" s="0" t="n">
        <f aca="false">J15+J16+J17+J18</f>
        <v>12791.7541007382</v>
      </c>
      <c r="K19" s="0" t="n">
        <f aca="false">K15+K16+K17+K18</f>
        <v>13047.589182753</v>
      </c>
      <c r="L19" s="0" t="n">
        <f aca="false">L15+L16+L17+L18</f>
        <v>13308.540966408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8608.44406797235</v>
      </c>
      <c r="D21" s="0" t="n">
        <f aca="false">D19*D20</f>
        <v>7982.31216794315</v>
      </c>
      <c r="E21" s="0" t="n">
        <f aca="false">E19*E20</f>
        <v>7725.61037257822</v>
      </c>
      <c r="F21" s="0" t="n">
        <f aca="false">F19*F20</f>
        <v>7743.01360244025</v>
      </c>
      <c r="G21" s="0" t="n">
        <f aca="false">G19*G20</f>
        <v>7541.94993612685</v>
      </c>
      <c r="H21" s="0" t="n">
        <f aca="false">H19*H20</f>
        <v>7427.13231724314</v>
      </c>
      <c r="I21" s="0" t="n">
        <f aca="false">I19*I20</f>
        <v>7005.04642275211</v>
      </c>
      <c r="J21" s="0" t="n">
        <f aca="false">J19*J20</f>
        <v>6660.27554296059</v>
      </c>
      <c r="K21" s="0" t="n">
        <f aca="false">K19*K20</f>
        <v>6261.27286066341</v>
      </c>
      <c r="L21" s="0" t="n">
        <f aca="false">L19*L20</f>
        <v>5886.1735648633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72841.2308555434</v>
      </c>
    </row>
    <row r="31" customFormat="false" ht="15" hidden="false" customHeight="false" outlineLevel="0" collapsed="false">
      <c r="A31" s="0" t="s">
        <v>128</v>
      </c>
      <c r="B31" s="0" t="n">
        <f aca="false">L19</f>
        <v>13308.540966408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208841.719780557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186319.573529712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186319.573529712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82406.4299080862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155247.66076363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131873.66076363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84.4261592596861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-0.49317949778073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5225.66041184319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5971.69721712511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91.5947620951331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104420.859890278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36.4960449837691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6</v>
      </c>
      <c r="D5" s="4" t="n">
        <f aca="false">Assumptions!D27</f>
        <v>6.5</v>
      </c>
      <c r="E5" s="4" t="n">
        <f aca="false">Assumptions!E27</f>
        <v>7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58739</v>
      </c>
      <c r="C6" s="0" t="n">
        <f aca="false">B6*(1+C5/100)</f>
        <v>62263.34</v>
      </c>
      <c r="D6" s="0" t="n">
        <f aca="false">C6*(1+D5/100)</f>
        <v>66310.4571</v>
      </c>
      <c r="E6" s="0" t="n">
        <f aca="false">D6*(1+E5/100)</f>
        <v>70952.189097</v>
      </c>
      <c r="F6" s="0" t="n">
        <f aca="false">E6*(1+F5/100)</f>
        <v>75918.84233379</v>
      </c>
      <c r="G6" s="0" t="n">
        <f aca="false">F6*(1+G5/100)</f>
        <v>80853.5670854864</v>
      </c>
      <c r="H6" s="0" t="n">
        <f aca="false">G6*(1+H5/100)</f>
        <v>85704.7811106155</v>
      </c>
      <c r="I6" s="0" t="n">
        <f aca="false">H6*(1+I5/100)</f>
        <v>90418.5440716994</v>
      </c>
      <c r="J6" s="0" t="n">
        <f aca="false">I6*(1+J5/100)</f>
        <v>94939.4712752844</v>
      </c>
      <c r="K6" s="0" t="n">
        <f aca="false">J6*(1+K5/100)</f>
        <v>98737.0501262957</v>
      </c>
      <c r="L6" s="0" t="n">
        <f aca="false">K6*(1+L5/100)</f>
        <v>101699.161630085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33.5</v>
      </c>
      <c r="D7" s="4" t="n">
        <f aca="false">Assumptions!D28</f>
        <v>34</v>
      </c>
      <c r="E7" s="4" t="n">
        <f aca="false">Assumptions!E28</f>
        <v>34.5</v>
      </c>
      <c r="F7" s="4" t="n">
        <f aca="false">Assumptions!F28</f>
        <v>35</v>
      </c>
      <c r="G7" s="4" t="n">
        <f aca="false">Assumptions!G28</f>
        <v>35.5</v>
      </c>
      <c r="H7" s="4" t="n">
        <f aca="false">Assumptions!H28</f>
        <v>36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20858.2189</v>
      </c>
      <c r="D8" s="0" t="n">
        <f aca="false">D6*D7/100</f>
        <v>22545.555414</v>
      </c>
      <c r="E8" s="0" t="n">
        <f aca="false">E6*E7/100</f>
        <v>24478.505238465</v>
      </c>
      <c r="F8" s="0" t="n">
        <f aca="false">F6*F7/100</f>
        <v>26571.5948168265</v>
      </c>
      <c r="G8" s="0" t="n">
        <f aca="false">G6*G7/100</f>
        <v>28703.0163153477</v>
      </c>
      <c r="H8" s="0" t="n">
        <f aca="false">H6*H7/100</f>
        <v>30853.7211998216</v>
      </c>
      <c r="I8" s="0" t="n">
        <f aca="false">I6*I7/100</f>
        <v>32550.6758658118</v>
      </c>
      <c r="J8" s="0" t="n">
        <f aca="false">J6*J7/100</f>
        <v>34178.2096591024</v>
      </c>
      <c r="K8" s="0" t="n">
        <f aca="false">K6*K7/100</f>
        <v>35545.3380454665</v>
      </c>
      <c r="L8" s="0" t="n">
        <f aca="false">L6*L7/100</f>
        <v>36611.6981868305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1.2</v>
      </c>
      <c r="D9" s="4" t="n">
        <f aca="false">Assumptions!D29</f>
        <v>1.18</v>
      </c>
      <c r="E9" s="4" t="n">
        <f aca="false">Assumptions!E29</f>
        <v>1.15</v>
      </c>
      <c r="F9" s="4" t="n">
        <f aca="false">Assumptions!F29</f>
        <v>1.13</v>
      </c>
      <c r="G9" s="4" t="n">
        <f aca="false">Assumptions!G29</f>
        <v>1.1</v>
      </c>
      <c r="H9" s="4" t="n">
        <f aca="false">Assumptions!H29</f>
        <v>1.08</v>
      </c>
      <c r="I9" s="4" t="n">
        <f aca="false">Assumptions!I29</f>
        <v>1.05</v>
      </c>
      <c r="J9" s="4" t="n">
        <f aca="false">Assumptions!J29</f>
        <v>1.05</v>
      </c>
      <c r="K9" s="4" t="n">
        <f aca="false">Assumptions!K29</f>
        <v>1.05</v>
      </c>
      <c r="L9" s="4" t="n">
        <f aca="false">Assumptions!L29</f>
        <v>1.05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-747.16008</v>
      </c>
      <c r="D10" s="0" t="n">
        <f aca="false">-D6*D9/100</f>
        <v>-782.46339378</v>
      </c>
      <c r="E10" s="0" t="n">
        <f aca="false">-E6*E9/100</f>
        <v>-815.9501746155</v>
      </c>
      <c r="F10" s="0" t="n">
        <f aca="false">-F6*F9/100</f>
        <v>-857.882918371827</v>
      </c>
      <c r="G10" s="0" t="n">
        <f aca="false">-G6*G9/100</f>
        <v>-889.38923794035</v>
      </c>
      <c r="H10" s="0" t="n">
        <f aca="false">-H6*H9/100</f>
        <v>-925.611635994648</v>
      </c>
      <c r="I10" s="0" t="n">
        <f aca="false">-I6*I9/100</f>
        <v>-949.394712752844</v>
      </c>
      <c r="J10" s="0" t="n">
        <f aca="false">-J6*J9/100</f>
        <v>-996.864448390486</v>
      </c>
      <c r="K10" s="0" t="n">
        <f aca="false">-K6*K9/100</f>
        <v>-1036.73902632611</v>
      </c>
      <c r="L10" s="0" t="n">
        <f aca="false">-L6*L9/100</f>
        <v>-1067.84119711589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20111.05882</v>
      </c>
      <c r="D11" s="0" t="n">
        <f aca="false">D8+D10+D24</f>
        <v>21763.09202022</v>
      </c>
      <c r="E11" s="0" t="n">
        <f aca="false">E8+E10+E24</f>
        <v>23662.5550638495</v>
      </c>
      <c r="F11" s="0" t="n">
        <f aca="false">F8+F10+F24</f>
        <v>25713.7118984547</v>
      </c>
      <c r="G11" s="0" t="n">
        <f aca="false">G8+G10+G24</f>
        <v>27813.6270774073</v>
      </c>
      <c r="H11" s="0" t="n">
        <f aca="false">H8+H10+H24</f>
        <v>29928.109563827</v>
      </c>
      <c r="I11" s="0" t="n">
        <f aca="false">I8+I10+I24</f>
        <v>31601.2811530589</v>
      </c>
      <c r="J11" s="0" t="n">
        <f aca="false">J8+J10+J24</f>
        <v>33181.3452107119</v>
      </c>
      <c r="K11" s="0" t="n">
        <f aca="false">K8+K10+K24</f>
        <v>34508.5990191404</v>
      </c>
      <c r="L11" s="0" t="n">
        <f aca="false">L8+L10+L24</f>
        <v>35543.8569897146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-5292.3839</v>
      </c>
      <c r="D12" s="4" t="n">
        <f aca="false">-D6*Assumptions!D31/100</f>
        <v>-5503.7679393</v>
      </c>
      <c r="E12" s="4" t="n">
        <f aca="false">-E6*Assumptions!E31/100</f>
        <v>-5676.17512776</v>
      </c>
      <c r="F12" s="4" t="n">
        <f aca="false">-F6*Assumptions!F31/100</f>
        <v>-5921.66970203562</v>
      </c>
      <c r="G12" s="4" t="n">
        <f aca="false">-G6*Assumptions!G31/100</f>
        <v>-6064.01753141148</v>
      </c>
      <c r="H12" s="4" t="n">
        <f aca="false">-H6*Assumptions!H31/100</f>
        <v>-6427.85858329617</v>
      </c>
      <c r="I12" s="4" t="n">
        <f aca="false">-I6*Assumptions!I31/100</f>
        <v>-6600.55371723406</v>
      </c>
      <c r="J12" s="4" t="n">
        <f aca="false">-J6*Assumptions!J31/100</f>
        <v>-6930.58140309576</v>
      </c>
      <c r="K12" s="4" t="n">
        <f aca="false">-K6*Assumptions!K31/100</f>
        <v>-7109.06760909329</v>
      </c>
      <c r="L12" s="4" t="n">
        <f aca="false">-L6*Assumptions!L31/100</f>
        <v>-7322.33963736609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14818.67492</v>
      </c>
      <c r="D13" s="0" t="n">
        <f aca="false">D11+D12</f>
        <v>16259.32408092</v>
      </c>
      <c r="E13" s="0" t="n">
        <f aca="false">E11+E12</f>
        <v>17986.3799360895</v>
      </c>
      <c r="F13" s="0" t="n">
        <f aca="false">F11+F12</f>
        <v>19792.0421964191</v>
      </c>
      <c r="G13" s="0" t="n">
        <f aca="false">G11+G12</f>
        <v>21749.6095459958</v>
      </c>
      <c r="H13" s="0" t="n">
        <f aca="false">H11+H12</f>
        <v>23500.2509805308</v>
      </c>
      <c r="I13" s="0" t="n">
        <f aca="false">I11+I12</f>
        <v>25000.7274358249</v>
      </c>
      <c r="J13" s="0" t="n">
        <f aca="false">J11+J12</f>
        <v>26250.7638076161</v>
      </c>
      <c r="K13" s="0" t="n">
        <f aca="false">K11+K12</f>
        <v>27399.5314100471</v>
      </c>
      <c r="L13" s="0" t="n">
        <f aca="false">L11+L12</f>
        <v>28221.5173523485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20.5</v>
      </c>
      <c r="I14" s="4" t="n">
        <f aca="false">Assumptions!I33</f>
        <v>20.5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11854.939936</v>
      </c>
      <c r="D15" s="0" t="n">
        <f aca="false">D13-MAX(0,D13)*D14/100</f>
        <v>13007.459264736</v>
      </c>
      <c r="E15" s="0" t="n">
        <f aca="false">E13-MAX(0,E13)*E14/100</f>
        <v>14389.1039488716</v>
      </c>
      <c r="F15" s="0" t="n">
        <f aca="false">F13-MAX(0,F13)*F14/100</f>
        <v>15833.6337571352</v>
      </c>
      <c r="G15" s="0" t="n">
        <f aca="false">G13-MAX(0,G13)*G14/100</f>
        <v>17399.6876367967</v>
      </c>
      <c r="H15" s="0" t="n">
        <f aca="false">H13-MAX(0,H13)*H14/100</f>
        <v>18682.699529522</v>
      </c>
      <c r="I15" s="0" t="n">
        <f aca="false">I13-MAX(0,I13)*I14/100</f>
        <v>19875.5783114808</v>
      </c>
      <c r="J15" s="0" t="n">
        <f aca="false">J13-MAX(0,J13)*J14/100</f>
        <v>20738.1034080167</v>
      </c>
      <c r="K15" s="0" t="n">
        <f aca="false">K13-MAX(0,K13)*K14/100</f>
        <v>21645.6298139372</v>
      </c>
      <c r="L15" s="0" t="n">
        <f aca="false">L13-MAX(0,L13)*L14/100</f>
        <v>22294.9987083553</v>
      </c>
    </row>
    <row r="16" customFormat="false" ht="15" hidden="false" customHeight="false" outlineLevel="0" collapsed="false">
      <c r="A16" s="0" t="s">
        <v>119</v>
      </c>
      <c r="C16" s="0" t="n">
        <f aca="false">-C12</f>
        <v>5292.3839</v>
      </c>
      <c r="D16" s="0" t="n">
        <f aca="false">-D12</f>
        <v>5503.7679393</v>
      </c>
      <c r="E16" s="0" t="n">
        <f aca="false">-E12</f>
        <v>5676.17512776</v>
      </c>
      <c r="F16" s="0" t="n">
        <f aca="false">-F12</f>
        <v>5921.66970203562</v>
      </c>
      <c r="G16" s="0" t="n">
        <f aca="false">-G12</f>
        <v>6064.01753141148</v>
      </c>
      <c r="H16" s="0" t="n">
        <f aca="false">-H12</f>
        <v>6427.85858329617</v>
      </c>
      <c r="I16" s="0" t="n">
        <f aca="false">-I12</f>
        <v>6600.55371723406</v>
      </c>
      <c r="J16" s="0" t="n">
        <f aca="false">-J12</f>
        <v>6930.58140309576</v>
      </c>
      <c r="K16" s="0" t="n">
        <f aca="false">-K12</f>
        <v>7109.06760909329</v>
      </c>
      <c r="L16" s="0" t="n">
        <f aca="false">-L12</f>
        <v>7322.33963736609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-5915.0173</v>
      </c>
      <c r="D17" s="4" t="n">
        <f aca="false">-D6*Assumptions!D32/100</f>
        <v>-5967.941139</v>
      </c>
      <c r="E17" s="4" t="n">
        <f aca="false">-E6*Assumptions!E32/100</f>
        <v>-6030.936073245</v>
      </c>
      <c r="F17" s="4" t="n">
        <f aca="false">-F6*Assumptions!F32/100</f>
        <v>-6073.5073867032</v>
      </c>
      <c r="G17" s="4" t="n">
        <f aca="false">-G6*Assumptions!G32/100</f>
        <v>-6064.01753141148</v>
      </c>
      <c r="H17" s="4" t="n">
        <f aca="false">-H6*Assumptions!H32/100</f>
        <v>-6256.44902107493</v>
      </c>
      <c r="I17" s="4" t="n">
        <f aca="false">-I6*Assumptions!I32/100</f>
        <v>-6329.29808501896</v>
      </c>
      <c r="J17" s="4" t="n">
        <f aca="false">-J6*Assumptions!J32/100</f>
        <v>-6645.76298926991</v>
      </c>
      <c r="K17" s="4" t="n">
        <f aca="false">-K6*Assumptions!K32/100</f>
        <v>-6714.11940858811</v>
      </c>
      <c r="L17" s="4" t="n">
        <f aca="false">-L6*Assumptions!L32/100</f>
        <v>-6915.54299084575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-281.9472</v>
      </c>
      <c r="D18" s="4" t="n">
        <f aca="false">(D6-C6)*Assumptions!$B$37/100</f>
        <v>-323.769368</v>
      </c>
      <c r="E18" s="4" t="n">
        <f aca="false">(E6-D6)*Assumptions!$B$37/100</f>
        <v>-371.338559760001</v>
      </c>
      <c r="F18" s="4" t="n">
        <f aca="false">(F6-E6)*Assumptions!$B$37/100</f>
        <v>-397.332258943201</v>
      </c>
      <c r="G18" s="4" t="n">
        <f aca="false">(G6-F6)*Assumptions!$B$37/100</f>
        <v>-394.777980135707</v>
      </c>
      <c r="H18" s="4" t="n">
        <f aca="false">(H6-G6)*Assumptions!$B$37/100</f>
        <v>-388.097122010335</v>
      </c>
      <c r="I18" s="4" t="n">
        <f aca="false">(I6-H6)*Assumptions!$B$37/100</f>
        <v>-377.101036886708</v>
      </c>
      <c r="J18" s="4" t="n">
        <f aca="false">(J6-I6)*Assumptions!$B$37/100</f>
        <v>-361.674176286798</v>
      </c>
      <c r="K18" s="4" t="n">
        <f aca="false">(K6-J6)*Assumptions!$B$37/100</f>
        <v>-303.80630808091</v>
      </c>
      <c r="L18" s="4" t="n">
        <f aca="false">(L6-K6)*Assumptions!$B$37/100</f>
        <v>-236.968920303111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10950.359336</v>
      </c>
      <c r="D19" s="0" t="n">
        <f aca="false">D15+D16+D17+D18</f>
        <v>12219.516697036</v>
      </c>
      <c r="E19" s="0" t="n">
        <f aca="false">E15+E16+E17+E18</f>
        <v>13663.0044436266</v>
      </c>
      <c r="F19" s="0" t="n">
        <f aca="false">F15+F16+F17+F18</f>
        <v>15284.4638135245</v>
      </c>
      <c r="G19" s="0" t="n">
        <f aca="false">G15+G16+G17+G18</f>
        <v>17004.909656661</v>
      </c>
      <c r="H19" s="0" t="n">
        <f aca="false">H15+H16+H17+H18</f>
        <v>18466.0119697329</v>
      </c>
      <c r="I19" s="0" t="n">
        <f aca="false">I15+I16+I17+I18</f>
        <v>19769.7329068092</v>
      </c>
      <c r="J19" s="0" t="n">
        <f aca="false">J15+J16+J17+J18</f>
        <v>20661.2476455558</v>
      </c>
      <c r="K19" s="0" t="n">
        <f aca="false">K15+K16+K17+K18</f>
        <v>21736.7717063615</v>
      </c>
      <c r="L19" s="0" t="n">
        <f aca="false">L15+L16+L17+L18</f>
        <v>22464.8264345725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10186.3807776744</v>
      </c>
      <c r="D21" s="0" t="n">
        <f aca="false">D19*D20</f>
        <v>10573.9463035466</v>
      </c>
      <c r="E21" s="0" t="n">
        <f aca="false">E19*E20</f>
        <v>10998.1798381539</v>
      </c>
      <c r="F21" s="0" t="n">
        <f aca="false">F19*F20</f>
        <v>11445.014600915</v>
      </c>
      <c r="G21" s="0" t="n">
        <f aca="false">G19*G20</f>
        <v>11844.916613681</v>
      </c>
      <c r="H21" s="0" t="n">
        <f aca="false">H19*H20</f>
        <v>11965.2651559051</v>
      </c>
      <c r="I21" s="0" t="n">
        <f aca="false">I19*I20</f>
        <v>11916.3033990214</v>
      </c>
      <c r="J21" s="0" t="n">
        <f aca="false">J19*J20</f>
        <v>11584.8076995568</v>
      </c>
      <c r="K21" s="0" t="n">
        <f aca="false">K19*K20</f>
        <v>11337.5408767618</v>
      </c>
      <c r="L21" s="0" t="n">
        <f aca="false">L19*L20</f>
        <v>10899.7973864008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112752.152651617</v>
      </c>
    </row>
    <row r="31" customFormat="false" ht="15" hidden="false" customHeight="false" outlineLevel="0" collapsed="false">
      <c r="A31" s="0" t="s">
        <v>128</v>
      </c>
      <c r="B31" s="0" t="n">
        <f aca="false">L19</f>
        <v>22464.8264345725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460528.941908737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404366.875822306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404366.875822306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196196.352955215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308948.505606832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285574.505606832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182.826187968522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0.0975278422891235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6080.63954415343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10621.2563372313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193.518822975811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184211.576763495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64.6611583270341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8</v>
      </c>
      <c r="D5" s="4" t="n">
        <f aca="false">Assumptions!D41</f>
        <v>9</v>
      </c>
      <c r="E5" s="4" t="n">
        <f aca="false">Assumptions!E41</f>
        <v>9.5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58739</v>
      </c>
      <c r="C6" s="0" t="n">
        <f aca="false">B6*(1+C5/100)</f>
        <v>63438.12</v>
      </c>
      <c r="D6" s="0" t="n">
        <f aca="false">C6*(1+D5/100)</f>
        <v>69147.5508</v>
      </c>
      <c r="E6" s="0" t="n">
        <f aca="false">D6*(1+E5/100)</f>
        <v>75716.568126</v>
      </c>
      <c r="F6" s="0" t="n">
        <f aca="false">E6*(1+F5/100)</f>
        <v>82531.05925734</v>
      </c>
      <c r="G6" s="0" t="n">
        <f aca="false">F6*(1+G5/100)</f>
        <v>89133.5439979272</v>
      </c>
      <c r="H6" s="0" t="n">
        <f aca="false">G6*(1+H5/100)</f>
        <v>95372.8920777822</v>
      </c>
      <c r="I6" s="0" t="n">
        <f aca="false">H6*(1+I5/100)</f>
        <v>101095.265602449</v>
      </c>
      <c r="J6" s="0" t="n">
        <f aca="false">I6*(1+J5/100)</f>
        <v>106150.028882572</v>
      </c>
      <c r="K6" s="0" t="n">
        <f aca="false">J6*(1+K5/100)</f>
        <v>110396.030037874</v>
      </c>
      <c r="L6" s="0" t="n">
        <f aca="false">K6*(1+L5/100)</f>
        <v>114259.8910892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34</v>
      </c>
      <c r="D7" s="4" t="n">
        <f aca="false">Assumptions!D42</f>
        <v>35</v>
      </c>
      <c r="E7" s="4" t="n">
        <f aca="false">Assumptions!E42</f>
        <v>36</v>
      </c>
      <c r="F7" s="4" t="n">
        <f aca="false">Assumptions!F42</f>
        <v>37</v>
      </c>
      <c r="G7" s="4" t="n">
        <f aca="false">Assumptions!G42</f>
        <v>37.5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21568.9608</v>
      </c>
      <c r="D8" s="0" t="n">
        <f aca="false">D6*D7/100</f>
        <v>24201.64278</v>
      </c>
      <c r="E8" s="0" t="n">
        <f aca="false">E6*E7/100</f>
        <v>27257.96452536</v>
      </c>
      <c r="F8" s="0" t="n">
        <f aca="false">F6*F7/100</f>
        <v>30536.4919252158</v>
      </c>
      <c r="G8" s="0" t="n">
        <f aca="false">G6*G7/100</f>
        <v>33425.0789992227</v>
      </c>
      <c r="H8" s="0" t="n">
        <f aca="false">H6*H7/100</f>
        <v>36241.6989895572</v>
      </c>
      <c r="I8" s="0" t="n">
        <f aca="false">I6*I7/100</f>
        <v>38416.2009289307</v>
      </c>
      <c r="J8" s="0" t="n">
        <f aca="false">J6*J7/100</f>
        <v>40337.0109753772</v>
      </c>
      <c r="K8" s="0" t="n">
        <f aca="false">K6*K7/100</f>
        <v>41950.4914143923</v>
      </c>
      <c r="L8" s="0" t="n">
        <f aca="false">L6*L7/100</f>
        <v>43418.758613896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1.2</v>
      </c>
      <c r="D9" s="4" t="n">
        <f aca="false">Assumptions!D43</f>
        <v>1.15</v>
      </c>
      <c r="E9" s="4" t="n">
        <f aca="false">Assumptions!E43</f>
        <v>1.1</v>
      </c>
      <c r="F9" s="4" t="n">
        <f aca="false">Assumptions!F43</f>
        <v>1.05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-761.25744</v>
      </c>
      <c r="D10" s="0" t="n">
        <f aca="false">-D6*D9/100</f>
        <v>-795.1968342</v>
      </c>
      <c r="E10" s="0" t="n">
        <f aca="false">-E6*E9/100</f>
        <v>-832.882249386</v>
      </c>
      <c r="F10" s="0" t="n">
        <f aca="false">-F6*F9/100</f>
        <v>-866.57612220207</v>
      </c>
      <c r="G10" s="0" t="n">
        <f aca="false">-G6*G9/100</f>
        <v>-891.335439979272</v>
      </c>
      <c r="H10" s="0" t="n">
        <f aca="false">-H6*H9/100</f>
        <v>-953.728920777822</v>
      </c>
      <c r="I10" s="0" t="n">
        <f aca="false">-I6*I9/100</f>
        <v>-1010.95265602449</v>
      </c>
      <c r="J10" s="0" t="n">
        <f aca="false">-J6*J9/100</f>
        <v>-1061.50028882572</v>
      </c>
      <c r="K10" s="0" t="n">
        <f aca="false">-K6*K9/100</f>
        <v>-1103.96030037874</v>
      </c>
      <c r="L10" s="0" t="n">
        <f aca="false">-L6*L9/100</f>
        <v>-1142.598910892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20807.70336</v>
      </c>
      <c r="D11" s="0" t="n">
        <f aca="false">D8+D10+D24</f>
        <v>23406.4459458</v>
      </c>
      <c r="E11" s="0" t="n">
        <f aca="false">E8+E10+E24</f>
        <v>26425.082275974</v>
      </c>
      <c r="F11" s="0" t="n">
        <f aca="false">F8+F10+F24</f>
        <v>29669.9158030137</v>
      </c>
      <c r="G11" s="0" t="n">
        <f aca="false">G8+G10+G24</f>
        <v>32533.7435592434</v>
      </c>
      <c r="H11" s="0" t="n">
        <f aca="false">H8+H10+H24</f>
        <v>35287.9700687794</v>
      </c>
      <c r="I11" s="0" t="n">
        <f aca="false">I8+I10+I24</f>
        <v>37405.2482729062</v>
      </c>
      <c r="J11" s="0" t="n">
        <f aca="false">J8+J10+J24</f>
        <v>39275.5106865515</v>
      </c>
      <c r="K11" s="0" t="n">
        <f aca="false">K8+K10+K24</f>
        <v>40846.5311140135</v>
      </c>
      <c r="L11" s="0" t="n">
        <f aca="false">L8+L10+L24</f>
        <v>42276.159703004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-5265.36396</v>
      </c>
      <c r="D12" s="4" t="n">
        <f aca="false">-D6*Assumptions!D45/100</f>
        <v>-5531.804064</v>
      </c>
      <c r="E12" s="4" t="n">
        <f aca="false">-E6*Assumptions!E45/100</f>
        <v>-5830.175745702</v>
      </c>
      <c r="F12" s="4" t="n">
        <f aca="false">-F6*Assumptions!F45/100</f>
        <v>-6107.29838504316</v>
      </c>
      <c r="G12" s="4" t="n">
        <f aca="false">-G6*Assumptions!G45/100</f>
        <v>-6417.61516785076</v>
      </c>
      <c r="H12" s="4" t="n">
        <f aca="false">-H6*Assumptions!H45/100</f>
        <v>-6676.10244544475</v>
      </c>
      <c r="I12" s="4" t="n">
        <f aca="false">-I6*Assumptions!I45/100</f>
        <v>-7076.66859217144</v>
      </c>
      <c r="J12" s="4" t="n">
        <f aca="false">-J6*Assumptions!J45/100</f>
        <v>-7430.50202178001</v>
      </c>
      <c r="K12" s="4" t="n">
        <f aca="false">-K6*Assumptions!K45/100</f>
        <v>-7727.72210265121</v>
      </c>
      <c r="L12" s="4" t="n">
        <f aca="false">-L6*Assumptions!L45/100</f>
        <v>-7998.192376244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15542.3394</v>
      </c>
      <c r="D13" s="0" t="n">
        <f aca="false">D11+D12</f>
        <v>17874.6418818</v>
      </c>
      <c r="E13" s="0" t="n">
        <f aca="false">E11+E12</f>
        <v>20594.906530272</v>
      </c>
      <c r="F13" s="0" t="n">
        <f aca="false">F11+F12</f>
        <v>23562.6174179706</v>
      </c>
      <c r="G13" s="0" t="n">
        <f aca="false">G11+G12</f>
        <v>26116.1283913927</v>
      </c>
      <c r="H13" s="0" t="n">
        <f aca="false">H11+H12</f>
        <v>28611.8676233346</v>
      </c>
      <c r="I13" s="0" t="n">
        <f aca="false">I11+I12</f>
        <v>30328.5796807347</v>
      </c>
      <c r="J13" s="0" t="n">
        <f aca="false">J11+J12</f>
        <v>31845.0086647715</v>
      </c>
      <c r="K13" s="0" t="n">
        <f aca="false">K11+K12</f>
        <v>33118.8090113623</v>
      </c>
      <c r="L13" s="0" t="n">
        <f aca="false">L11+L12</f>
        <v>34277.96732676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</v>
      </c>
      <c r="F14" s="4" t="n">
        <f aca="false">Assumptions!F47</f>
        <v>19.5</v>
      </c>
      <c r="G14" s="4" t="n">
        <f aca="false">Assumptions!G47</f>
        <v>19.5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20.5</v>
      </c>
      <c r="K14" s="4" t="n">
        <f aca="false">Assumptions!K47</f>
        <v>20.5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12589.294914</v>
      </c>
      <c r="D15" s="0" t="n">
        <f aca="false">D13-MAX(0,D13)*D14/100</f>
        <v>14478.459924258</v>
      </c>
      <c r="E15" s="0" t="n">
        <f aca="false">E13-MAX(0,E13)*E14/100</f>
        <v>16681.8742895203</v>
      </c>
      <c r="F15" s="0" t="n">
        <f aca="false">F13-MAX(0,F13)*F14/100</f>
        <v>18967.9070214663</v>
      </c>
      <c r="G15" s="0" t="n">
        <f aca="false">G13-MAX(0,G13)*G14/100</f>
        <v>21023.4833550711</v>
      </c>
      <c r="H15" s="0" t="n">
        <f aca="false">H13-MAX(0,H13)*H14/100</f>
        <v>22889.4940986677</v>
      </c>
      <c r="I15" s="0" t="n">
        <f aca="false">I13-MAX(0,I13)*I14/100</f>
        <v>24262.8637445878</v>
      </c>
      <c r="J15" s="0" t="n">
        <f aca="false">J13-MAX(0,J13)*J14/100</f>
        <v>25316.7818884933</v>
      </c>
      <c r="K15" s="0" t="n">
        <f aca="false">K13-MAX(0,K13)*K14/100</f>
        <v>26329.453164033</v>
      </c>
      <c r="L15" s="0" t="n">
        <f aca="false">L13-MAX(0,L13)*L14/100</f>
        <v>27079.5941881404</v>
      </c>
    </row>
    <row r="16" customFormat="false" ht="15" hidden="false" customHeight="false" outlineLevel="0" collapsed="false">
      <c r="A16" s="0" t="s">
        <v>119</v>
      </c>
      <c r="C16" s="0" t="n">
        <f aca="false">-C12</f>
        <v>5265.36396</v>
      </c>
      <c r="D16" s="0" t="n">
        <f aca="false">-D12</f>
        <v>5531.804064</v>
      </c>
      <c r="E16" s="0" t="n">
        <f aca="false">-E12</f>
        <v>5830.175745702</v>
      </c>
      <c r="F16" s="0" t="n">
        <f aca="false">-F12</f>
        <v>6107.29838504316</v>
      </c>
      <c r="G16" s="0" t="n">
        <f aca="false">-G12</f>
        <v>6417.61516785076</v>
      </c>
      <c r="H16" s="0" t="n">
        <f aca="false">-H12</f>
        <v>6676.10244544475</v>
      </c>
      <c r="I16" s="0" t="n">
        <f aca="false">-I12</f>
        <v>7076.66859217144</v>
      </c>
      <c r="J16" s="0" t="n">
        <f aca="false">-J12</f>
        <v>7430.50202178001</v>
      </c>
      <c r="K16" s="0" t="n">
        <f aca="false">-K12</f>
        <v>7727.72210265121</v>
      </c>
      <c r="L16" s="0" t="n">
        <f aca="false">-L12</f>
        <v>7998.192376244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-6026.6214</v>
      </c>
      <c r="D17" s="4" t="n">
        <f aca="false">-D6*Assumptions!D46/100</f>
        <v>-6223.279572</v>
      </c>
      <c r="E17" s="4" t="n">
        <f aca="false">-E6*Assumptions!E46/100</f>
        <v>-6284.475154458</v>
      </c>
      <c r="F17" s="4" t="n">
        <f aca="false">-F6*Assumptions!F46/100</f>
        <v>-6437.42262207252</v>
      </c>
      <c r="G17" s="4" t="n">
        <f aca="false">-G6*Assumptions!G46/100</f>
        <v>-6506.74871184869</v>
      </c>
      <c r="H17" s="4" t="n">
        <f aca="false">-H6*Assumptions!H46/100</f>
        <v>-6676.10244544475</v>
      </c>
      <c r="I17" s="4" t="n">
        <f aca="false">-I6*Assumptions!I46/100</f>
        <v>-6874.47806096654</v>
      </c>
      <c r="J17" s="4" t="n">
        <f aca="false">-J6*Assumptions!J46/100</f>
        <v>-6899.75187736715</v>
      </c>
      <c r="K17" s="4" t="n">
        <f aca="false">-K6*Assumptions!K46/100</f>
        <v>-7175.74195246184</v>
      </c>
      <c r="L17" s="4" t="n">
        <f aca="false">-L6*Assumptions!L46/100</f>
        <v>-7426.892920798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-281.9472</v>
      </c>
      <c r="D18" s="4" t="n">
        <f aca="false">(D6-C6)*Assumptions!$B$51/100</f>
        <v>-342.565848000001</v>
      </c>
      <c r="E18" s="4" t="n">
        <f aca="false">(E6-D6)*Assumptions!$B$51/100</f>
        <v>-394.14103956</v>
      </c>
      <c r="F18" s="4" t="n">
        <f aca="false">(F6-E6)*Assumptions!$B$51/100</f>
        <v>-408.8694678804</v>
      </c>
      <c r="G18" s="4" t="n">
        <f aca="false">(G6-F6)*Assumptions!$B$51/100</f>
        <v>-396.149084435233</v>
      </c>
      <c r="H18" s="4" t="n">
        <f aca="false">(H6-G6)*Assumptions!$B$51/100</f>
        <v>-374.360884791295</v>
      </c>
      <c r="I18" s="4" t="n">
        <f aca="false">(I6-H6)*Assumptions!$B$51/100</f>
        <v>-343.342411480016</v>
      </c>
      <c r="J18" s="4" t="n">
        <f aca="false">(J6-I6)*Assumptions!$B$51/100</f>
        <v>-303.285796807347</v>
      </c>
      <c r="K18" s="4" t="n">
        <f aca="false">(K6-J6)*Assumptions!$B$51/100</f>
        <v>-254.760069318172</v>
      </c>
      <c r="L18" s="4" t="n">
        <f aca="false">(L6-K6)*Assumptions!$B$51/100</f>
        <v>-231.831663079536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11546.090274</v>
      </c>
      <c r="D19" s="0" t="n">
        <f aca="false">D15+D16+D17+D18</f>
        <v>13444.418568258</v>
      </c>
      <c r="E19" s="0" t="n">
        <f aca="false">E15+E16+E17+E18</f>
        <v>15833.4338412043</v>
      </c>
      <c r="F19" s="0" t="n">
        <f aca="false">F15+F16+F17+F18</f>
        <v>18228.9133165566</v>
      </c>
      <c r="G19" s="0" t="n">
        <f aca="false">G15+G16+G17+G18</f>
        <v>20538.200726638</v>
      </c>
      <c r="H19" s="0" t="n">
        <f aca="false">H15+H16+H17+H18</f>
        <v>22515.1332138764</v>
      </c>
      <c r="I19" s="0" t="n">
        <f aca="false">I15+I16+I17+I18</f>
        <v>24121.7118643127</v>
      </c>
      <c r="J19" s="0" t="n">
        <f aca="false">J15+J16+J17+J18</f>
        <v>25544.2462360988</v>
      </c>
      <c r="K19" s="0" t="n">
        <f aca="false">K15+K16+K17+K18</f>
        <v>26626.6732449042</v>
      </c>
      <c r="L19" s="0" t="n">
        <f aca="false">L15+L16+L17+L18</f>
        <v>27419.0619805069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10790.7385738318</v>
      </c>
      <c r="D21" s="0" t="n">
        <f aca="false">D19*D20</f>
        <v>11742.875856632</v>
      </c>
      <c r="E21" s="0" t="n">
        <f aca="false">E19*E20</f>
        <v>12924.7984284669</v>
      </c>
      <c r="F21" s="0" t="n">
        <f aca="false">F19*F20</f>
        <v>13906.7506900304</v>
      </c>
      <c r="G21" s="0" t="n">
        <f aca="false">G19*G20</f>
        <v>14643.4532695543</v>
      </c>
      <c r="H21" s="0" t="n">
        <f aca="false">H19*H20</f>
        <v>15002.7839352594</v>
      </c>
      <c r="I21" s="0" t="n">
        <f aca="false">I19*I20</f>
        <v>15021.7898373152</v>
      </c>
      <c r="J21" s="0" t="n">
        <f aca="false">J19*J20</f>
        <v>14866.9838786607</v>
      </c>
      <c r="K21" s="0" t="n">
        <f aca="false">K19*K20</f>
        <v>14483.146030666</v>
      </c>
      <c r="L21" s="0" t="n">
        <f aca="false">L19*L20</f>
        <v>13938.4607487886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137321.781249205</v>
      </c>
    </row>
    <row r="31" customFormat="false" ht="15" hidden="false" customHeight="false" outlineLevel="0" collapsed="false">
      <c r="A31" s="0" t="s">
        <v>128</v>
      </c>
      <c r="B31" s="0" t="n">
        <f aca="false">L19</f>
        <v>27419.0619805069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706040.845998052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548381.239610137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548381.239610137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278769.214975772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416090.996224978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392716.996224978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251.419331770152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0.509300827050979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6446.71169293433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14956.6131993056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265.121844505261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235346.948666017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81.6578779911872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84.4261592596861</v>
      </c>
      <c r="C4" s="0" t="n">
        <f aca="false">B4/Assumptions!$B$2-1</f>
        <v>-0.49317949778073</v>
      </c>
      <c r="D4" s="4" t="n">
        <f aca="false">Assumptions!$B$24</f>
        <v>0.2</v>
      </c>
      <c r="E4" s="4" t="n">
        <f aca="false">DCF_Bear!$B$43</f>
        <v>91.5947620951331</v>
      </c>
      <c r="F4" s="4" t="n">
        <f aca="false">DCF_Bear!$B$47</f>
        <v>36.4960449837691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182.826187968522</v>
      </c>
      <c r="C5" s="0" t="n">
        <f aca="false">B5/Assumptions!$B$2-1</f>
        <v>0.0975278422891235</v>
      </c>
      <c r="D5" s="4" t="n">
        <f aca="false">Assumptions!$B$38</f>
        <v>0.55</v>
      </c>
      <c r="E5" s="4" t="n">
        <f aca="false">DCF_Base!$B$43</f>
        <v>193.518822975811</v>
      </c>
      <c r="F5" s="4" t="n">
        <f aca="false">DCF_Base!$B$47</f>
        <v>64.6611583270341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251.419331770152</v>
      </c>
      <c r="C6" s="0" t="n">
        <f aca="false">B6/Assumptions!$B$2-1</f>
        <v>0.509300827050979</v>
      </c>
      <c r="D6" s="4" t="n">
        <f aca="false">Assumptions!$B$52</f>
        <v>0.25</v>
      </c>
      <c r="E6" s="4" t="n">
        <f aca="false">DCF_Bull!$B$43</f>
        <v>265.121844505261</v>
      </c>
      <c r="F6" s="4" t="n">
        <f aca="false">DCF_Bull!$B$47</f>
        <v>81.6578779911872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180.294468177162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191.034766182038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0.07606704917694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-127.69169133796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63.2773155744194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182.826187968522</v>
      </c>
      <c r="C15" s="3" t="n">
        <v>7.5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147.707993896796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124.455300839135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106.744683947592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92.8218397299523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64.6611583270341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216.850154765867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216.850154765867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216.850154765867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216.850154765867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216.850154765867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199.016133441021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199.016133441021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199.016133441021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199.016133441021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199.016133441021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175.266576038133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182.826187968522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182.826187968522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182.826187968522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182.826187968522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145.848232354166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153.432488672096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162.28078770968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168.111694448733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168.111694448733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123.892390536883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129.187972805899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135.240066827631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142.223252237322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150.370301881962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2026-09-25T23:12:07Z</dcterms:created>
  <dc:creator>openpyxl</dc:creator>
  <dc:description/>
  <dc:language>en-NZ</dc:language>
  <cp:lastModifiedBy/>
  <dcterms:modified xsi:type="dcterms:W3CDTF">2026-09-25T23:12:07Z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