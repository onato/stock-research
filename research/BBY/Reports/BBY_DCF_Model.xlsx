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<sst xmlns="http://schemas.openxmlformats.org/spreadsheetml/2006/main" count="389" uniqueCount="174">
  <si>
    <t xml:space="preserve">Ticker</t>
  </si>
  <si>
    <t xml:space="preserve">BBY</t>
  </si>
  <si>
    <t xml:space="preserve">Company</t>
  </si>
  <si>
    <t xml:space="preserve">Best Buy Co., Inc.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</si>
  <si>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</si>
  <si>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</si>
  <si>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</si>
  <si>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</si>
  <si>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2026-09-25T20:00:02Z regular close</t>
  </si>
  <si>
    <t xml:space="preserve">Balance sheet date</t>
  </si>
  <si>
    <t xml:space="preserve">2025-11-01 (Q3 FY2026 10-Q, latest extracted balance sheet)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</si>
  <si>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</si>
  <si>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</si>
  <si>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</si>
  <si>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</si>
  <si>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</si>
  <si>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</si>
  <si>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</si>
  <si>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</si>
  <si>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</si>
  <si>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</si>
  <si>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2026-09-25T22:59:08Z</t>
  </si>
  <si>
    <t xml:space="preserve">Drivers file</t>
  </si>
  <si>
    <t xml:space="preserve">BBY_Drivers.json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</si>
  <si>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</si>
  <si>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</si>
  <si>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</si>
  <si>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Best Buy is a mature, thin-margin, buyback-and-dividend-funding consumer electronics retailer whose trailing growth metrics are distorted by the FY2021-22 pandemic demand pull-forward. The valuation anchors forward growth to FY2027 management guidance (recently raised twice on real comp-sales strength) rather than the deeply negative trailing CAGRs, and treats the emerging Best Buy Marketplace/Ads businesses as a genuine but still-early margin tailwind layered on a structurally slow, competitively pressured core hardware retail business. A 10-year horizon lets the still-recovering EBITDA margin mature before capitalizing a terminal value, and a 12x base-case terminal cap (below the 20x tech default) reflects that no buyer pays a growth multiple for a mature retailer at exit.
key_risks_to_valuation: Tariff/trade policy remains unresolved after the Supreme Court's IEEPA ruling -- a new tariff regime could pressure costs or demand in either direction; Thin ~3-4% operating margin leaves almost no cushion against cost inflation, freight, or renewed price competition from Amazon/Walmart; Marketplace/Ads margin tailwind is early-stage and unproven at scale -- if it stalls, the base case's margin-recovery path does not materialize; CEO transition (Barry to Bonfig, Nov 2026) at the pivotal moment of the marketplace/ads strategic pivot; Structural category headwinds (falling ASPs in TVs/electronics, housing-tied appliance demand) require continually finding new growth vectors just to offset legacy softness; The Q3 FY2026 balance-sheet anchor used here ($1,086M net cash) is seasonally elevated ahead of the holiday quarter; steady-state (fiscal year-end) net cash has historically been $270-425M, so the entry-price/IV net-debt adjustment is modestly generous versus a fiscal-year-end anchor</t>
  </si>
  <si>
    <t xml:space="preserve">Data sources</t>
  </si>
  <si>
    <t xml:space="preserve">price: Yahoo Finance chart API at inputs.price_as_of; 52-week range 55.10-96.53
financials: research/BBY/Reports/BBY_Metrics.csv and BBY.duckdb core_metrics/kpis (SEC XBRL-derived, no PDF extraction for this US filer)
qualitative: research/BBY/Reports/BBY_Analysis.json, analysis_date 2026-09-26</t>
  </si>
  <si>
    <t xml:space="preserve">Scenario narrative: bear</t>
  </si>
  <si>
    <t xml:space="preserve">A renewed tariff shock or consumer pullback reverses the guidance raise, margin falls back to the FY2025 trough and stays there, and the CEO transition disrupts the marketplace/ads pivot.</t>
  </si>
  <si>
    <t xml:space="preserve">Scenario narrative: base</t>
  </si>
  <si>
    <t xml:space="preserve">FY2027 guidance (raised twice already) plays out, growth decelerates gently to 1.5% terminal, and EBITDA margin continues its post-FY2025-trough recovery toward 6.3% as marketplace/ads scale.</t>
  </si>
  <si>
    <t xml:space="preserve">Scenario narrative: bull</t>
  </si>
  <si>
    <t xml:space="preserve">Marketplace and Ads scale faster and further, comps stay in the 3-4% range for years, and margin recovers toward the pandemic-peak 7.6% level; CEO transition is smooth continuity.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</si>
  <si>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</si>
  <si>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</si>
  <si>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</si>
  <si>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</si>
  <si>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</si>
  <si>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</si>
  <si>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</si>
  <si>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</si>
  <si>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</si>
  <si>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</si>
  <si>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</si>
  <si>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</si>
  <si>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</si>
  <si>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</si>
  <si>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</si>
  <si>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</si>
  <si>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</si>
  <si>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</si>
  <si>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</si>
  <si>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</si>
  <si>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</si>
  <si>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</si>
  <si>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</si>
  <si>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</si>
  <si>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</si>
  <si>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</si>
  <si>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</si>
  <si>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</si>
  <si>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</si>
  <si>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</si>
  <si>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</si>
  <si>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</si>
  <si>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</si>
  <si>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</si>
  <si>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</si>
  <si>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</si>
  <si>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</si>
  <si>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</si>
  <si>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</si>
  <si>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</si>
  <si>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</si>
  <si>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</si>
  <si>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</si>
  <si>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</si>
  <si>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</si>
  <si>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</si>
  <si>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</si>
  <si>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</si>
  <si>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</si>
  <si>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</si>
  <si>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</si>
  <si>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</si>
  <si>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</si>
  <si>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</si>
  <si>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</si>
  <si>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</si>
  <si>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</si>
  <si>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</si>
  <si>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</si>
  <si>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</si>
  <si>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</si>
  <si>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</si>
  <si>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</si>
  <si>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</si>
  <si>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</si>
  <si>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</si>
  <si>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</si>
  <si>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</si>
  <si>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</si>
  <si>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</si>
  <si>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</si>
  <si>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</si>
  <si>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</si>
  <si>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</si>
  <si>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</si>
  <si>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</si>
  <si>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</si>
  <si>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</si>
  <si>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</si>
  <si>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</si>
  <si>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</si>
  <si>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</si>
  <si>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</si>
  <si>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</si>
  <si>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BBY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</si>
  <si>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</si>
  <si>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</si>
  <si>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</si>
  <si>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</si>
  <si>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</si>
  <si>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</si>
  <si>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</si>
  <si>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</si>
  <si>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</si>
  <si>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</si>
  <si>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</si>
  <si>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</si>
  <si>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</si>
  <si>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</si>
  <si>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</si>
  <si>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</si>
  <si>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</si>
  <si>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</si>
  <si>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</si>
  <si>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</si>
  <si>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</si>
  <si>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</si>
  <si>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</si>
  <si>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</si>
  <si>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</si>
  <si>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</si>
  <si>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</si>
  <si>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</si>
  <si>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</si>
  <si>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</si>
  <si>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BBY owner-FCF component DCF: base case (millions, USD)</t>
  </si>
  <si>
    <t xml:space="preserve">BBY owner-FCF component DCF: bull case (millions, USD)</t>
  </si>
  <si>
    <t xml:space="preserve">BBY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</si>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</sst>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90.51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6236</v>
      </c>
      <c r="S2" s="0" t="n">
        <v>1205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40023</v>
      </c>
      <c r="D3" s="0" t="n">
        <v>9546</v>
      </c>
      <c r="E3" s="0" t="n">
        <v>23.8512855108313</v>
      </c>
      <c r="F3" s="0" t="n">
        <v>2161</v>
      </c>
      <c r="G3" s="0" t="n">
        <v>5.39939534767509</v>
      </c>
      <c r="I3" s="0" t="n">
        <v>1410</v>
      </c>
      <c r="J3" s="0" t="n">
        <v>3.52297428978338</v>
      </c>
      <c r="K3" s="0" t="n">
        <v>3.2</v>
      </c>
      <c r="L3" s="0" t="n">
        <v>2025</v>
      </c>
      <c r="M3" s="0" t="n">
        <v>797</v>
      </c>
      <c r="N3" s="0" t="n">
        <v>1228</v>
      </c>
      <c r="O3" s="0" t="n">
        <v>4524</v>
      </c>
      <c r="S3" s="0" t="n">
        <v>1438</v>
      </c>
      <c r="T3" s="0" t="n">
        <v>452.9</v>
      </c>
      <c r="U3" s="0" t="n">
        <v>105</v>
      </c>
      <c r="V3" s="0" t="n">
        <v>0.46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45015</v>
      </c>
      <c r="D4" s="0" t="n">
        <v>10998</v>
      </c>
      <c r="E4" s="0" t="n">
        <v>24.431856047984</v>
      </c>
      <c r="F4" s="0" t="n">
        <v>1870</v>
      </c>
      <c r="G4" s="0" t="n">
        <v>4.15417083194491</v>
      </c>
      <c r="I4" s="0" t="n">
        <v>1033</v>
      </c>
      <c r="J4" s="0" t="n">
        <v>2.29479062534711</v>
      </c>
      <c r="K4" s="0" t="n">
        <v>2.43</v>
      </c>
      <c r="L4" s="0" t="n">
        <v>1877</v>
      </c>
      <c r="M4" s="0" t="n">
        <v>1303</v>
      </c>
      <c r="N4" s="0" t="n">
        <v>574</v>
      </c>
      <c r="O4" s="0" t="n">
        <v>5156</v>
      </c>
      <c r="P4" s="0" t="n">
        <v>15826</v>
      </c>
      <c r="R4" s="0" t="n">
        <v>1180</v>
      </c>
      <c r="S4" s="0" t="n">
        <v>498</v>
      </c>
      <c r="T4" s="0" t="n">
        <v>422.9</v>
      </c>
      <c r="U4" s="0" t="n">
        <v>110</v>
      </c>
      <c r="V4" s="0" t="n">
        <v>0.54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49243</v>
      </c>
      <c r="D5" s="0" t="n">
        <v>12042</v>
      </c>
      <c r="E5" s="0" t="n">
        <v>24.4542371504579</v>
      </c>
      <c r="F5" s="0" t="n">
        <v>2368</v>
      </c>
      <c r="G5" s="0" t="n">
        <v>4.80880531243019</v>
      </c>
      <c r="I5" s="0" t="n">
        <v>1394</v>
      </c>
      <c r="J5" s="0" t="n">
        <v>2.83085920841541</v>
      </c>
      <c r="K5" s="0" t="n">
        <v>3.16</v>
      </c>
      <c r="L5" s="0" t="n">
        <v>2206</v>
      </c>
      <c r="M5" s="0" t="n">
        <v>615</v>
      </c>
      <c r="N5" s="0" t="n">
        <v>1591</v>
      </c>
      <c r="O5" s="0" t="n">
        <v>6964</v>
      </c>
      <c r="P5" s="0" t="n">
        <v>18302</v>
      </c>
      <c r="R5" s="0" t="n">
        <v>1174</v>
      </c>
      <c r="S5" s="0" t="n">
        <v>1826</v>
      </c>
      <c r="T5" s="0" t="n">
        <v>427.5</v>
      </c>
      <c r="U5" s="0" t="n">
        <v>118</v>
      </c>
      <c r="V5" s="0" t="n">
        <v>0.56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49747</v>
      </c>
      <c r="D6" s="0" t="n">
        <v>12541</v>
      </c>
      <c r="E6" s="0" t="n">
        <v>25.2095603755</v>
      </c>
      <c r="F6" s="0" t="n">
        <v>2374</v>
      </c>
      <c r="G6" s="0" t="n">
        <v>4.77214706414457</v>
      </c>
      <c r="I6" s="0" t="n">
        <v>1366</v>
      </c>
      <c r="J6" s="0" t="n">
        <v>2.74589422477737</v>
      </c>
      <c r="K6" s="0" t="n">
        <v>3.14</v>
      </c>
      <c r="L6" s="0" t="n">
        <v>1190</v>
      </c>
      <c r="M6" s="0" t="n">
        <v>744</v>
      </c>
      <c r="N6" s="0" t="n">
        <v>446</v>
      </c>
      <c r="O6" s="0" t="n">
        <v>7292</v>
      </c>
      <c r="P6" s="0" t="n">
        <v>17849</v>
      </c>
      <c r="R6" s="0" t="n">
        <v>1593</v>
      </c>
      <c r="S6" s="0" t="n">
        <v>1103</v>
      </c>
      <c r="T6" s="0" t="n">
        <v>416.5</v>
      </c>
      <c r="U6" s="0" t="n">
        <v>121</v>
      </c>
      <c r="V6" s="0" t="n">
        <v>0.58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41311</v>
      </c>
      <c r="D7" s="0" t="n">
        <v>9908</v>
      </c>
      <c r="E7" s="0" t="n">
        <v>23.9839267991576</v>
      </c>
      <c r="F7" s="0" t="n">
        <v>1898</v>
      </c>
      <c r="G7" s="0" t="n">
        <v>4.59441795163516</v>
      </c>
      <c r="I7" s="0" t="n">
        <v>-1425</v>
      </c>
      <c r="J7" s="0" t="n">
        <v>-3.44944445789257</v>
      </c>
      <c r="K7" s="0" t="n">
        <v>-3.83</v>
      </c>
      <c r="L7" s="0" t="n">
        <v>3097</v>
      </c>
      <c r="M7" s="0" t="n">
        <v>709</v>
      </c>
      <c r="N7" s="0" t="n">
        <v>2388</v>
      </c>
      <c r="O7" s="0" t="n">
        <v>4366</v>
      </c>
      <c r="P7" s="0" t="n">
        <v>16005</v>
      </c>
      <c r="R7" s="0" t="n">
        <v>1771</v>
      </c>
      <c r="S7" s="0" t="n">
        <v>1199</v>
      </c>
      <c r="T7" s="0" t="n">
        <v>382</v>
      </c>
      <c r="U7" s="0" t="n">
        <v>120</v>
      </c>
      <c r="V7" s="0" t="n">
        <v>0.62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38252</v>
      </c>
      <c r="D8" s="0" t="n">
        <v>9023</v>
      </c>
      <c r="E8" s="0" t="n">
        <v>23.5883091080205</v>
      </c>
      <c r="F8" s="0" t="n">
        <v>90</v>
      </c>
      <c r="G8" s="0" t="n">
        <v>0.235281815329917</v>
      </c>
      <c r="I8" s="0" t="n">
        <v>-441</v>
      </c>
      <c r="J8" s="0" t="n">
        <v>-1.1528808951166</v>
      </c>
      <c r="K8" s="0" t="n">
        <v>-1.3</v>
      </c>
      <c r="L8" s="0" t="n">
        <v>1454</v>
      </c>
      <c r="M8" s="0" t="n">
        <v>705</v>
      </c>
      <c r="N8" s="0" t="n">
        <v>749</v>
      </c>
      <c r="O8" s="0" t="n">
        <v>3715</v>
      </c>
      <c r="P8" s="0" t="n">
        <v>16787</v>
      </c>
      <c r="R8" s="0" t="n">
        <v>2247</v>
      </c>
      <c r="S8" s="0" t="n">
        <v>1826</v>
      </c>
      <c r="T8" s="0" t="n">
        <v>338.6</v>
      </c>
      <c r="U8" s="0" t="n">
        <v>112</v>
      </c>
      <c r="V8" s="0" t="n">
        <v>0.66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40611</v>
      </c>
      <c r="D9" s="0" t="n">
        <v>9399</v>
      </c>
      <c r="E9" s="0" t="n">
        <v>23.1439757701116</v>
      </c>
      <c r="F9" s="0" t="n">
        <v>1144</v>
      </c>
      <c r="G9" s="0" t="n">
        <v>2.81697077146586</v>
      </c>
      <c r="I9" s="0" t="n">
        <v>532</v>
      </c>
      <c r="J9" s="0" t="n">
        <v>1.30998990421314</v>
      </c>
      <c r="K9" s="0" t="n">
        <v>1.56</v>
      </c>
      <c r="L9" s="0" t="n">
        <v>1094</v>
      </c>
      <c r="M9" s="0" t="n">
        <v>547</v>
      </c>
      <c r="N9" s="0" t="n">
        <v>547</v>
      </c>
      <c r="O9" s="0" t="n">
        <v>3989</v>
      </c>
      <c r="P9" s="0" t="n">
        <v>13990</v>
      </c>
      <c r="R9" s="0" t="n">
        <v>1702</v>
      </c>
      <c r="S9" s="0" t="n">
        <v>2678</v>
      </c>
      <c r="T9" s="0" t="n">
        <v>351.468</v>
      </c>
      <c r="U9" s="0" t="n">
        <v>97</v>
      </c>
      <c r="V9" s="0" t="n">
        <v>0.68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40339</v>
      </c>
      <c r="D10" s="0" t="n">
        <v>9047</v>
      </c>
      <c r="E10" s="0" t="n">
        <v>22.427427551501</v>
      </c>
      <c r="F10" s="0" t="n">
        <v>1450</v>
      </c>
      <c r="G10" s="0" t="n">
        <v>3.59453630481668</v>
      </c>
      <c r="I10" s="0" t="n">
        <v>1235</v>
      </c>
      <c r="J10" s="0" t="n">
        <v>3.06155333548179</v>
      </c>
      <c r="K10" s="0" t="n">
        <v>3.53</v>
      </c>
      <c r="L10" s="0" t="n">
        <v>1935</v>
      </c>
      <c r="M10" s="0" t="n">
        <v>561</v>
      </c>
      <c r="N10" s="0" t="n">
        <v>1374</v>
      </c>
      <c r="T10" s="0" t="n">
        <v>353.6</v>
      </c>
      <c r="U10" s="0" t="n">
        <v>87</v>
      </c>
      <c r="V10" s="0" t="n">
        <v>0.72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39528</v>
      </c>
      <c r="D11" s="0" t="n">
        <v>9191</v>
      </c>
      <c r="E11" s="0" t="n">
        <v>23.2518720906699</v>
      </c>
      <c r="F11" s="0" t="n">
        <v>1375</v>
      </c>
      <c r="G11" s="0" t="n">
        <v>3.47854685286379</v>
      </c>
      <c r="I11" s="0" t="n">
        <v>897</v>
      </c>
      <c r="J11" s="0" t="n">
        <v>2.26927747419551</v>
      </c>
      <c r="K11" s="0" t="n">
        <v>2.59</v>
      </c>
      <c r="L11" s="0" t="n">
        <v>1343</v>
      </c>
      <c r="M11" s="0" t="n">
        <v>649</v>
      </c>
      <c r="N11" s="0" t="n">
        <v>694</v>
      </c>
      <c r="T11" s="0" t="n">
        <v>350.7</v>
      </c>
      <c r="U11" s="0" t="n">
        <v>104</v>
      </c>
      <c r="V11" s="0" t="n">
        <v>1.43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39403</v>
      </c>
      <c r="C12" s="0" t="n">
        <v>29963</v>
      </c>
      <c r="D12" s="0" t="n">
        <v>9440</v>
      </c>
      <c r="E12" s="0" t="n">
        <v>23.9575666827399</v>
      </c>
      <c r="F12" s="0" t="n">
        <v>1854</v>
      </c>
      <c r="G12" s="0" t="n">
        <v>4.70522549044489</v>
      </c>
      <c r="H12" s="0" t="n">
        <v>2508</v>
      </c>
      <c r="I12" s="0" t="n">
        <v>1228</v>
      </c>
      <c r="J12" s="0" t="n">
        <v>3.11651397101744</v>
      </c>
      <c r="K12" s="0" t="n">
        <v>3.86</v>
      </c>
      <c r="L12" s="0" t="n">
        <v>2557</v>
      </c>
      <c r="M12" s="0" t="n">
        <v>580</v>
      </c>
      <c r="N12" s="0" t="n">
        <v>1977</v>
      </c>
      <c r="T12" s="0" t="n">
        <v>322.6</v>
      </c>
      <c r="U12" s="0" t="n">
        <v>108</v>
      </c>
      <c r="V12" s="0" t="n">
        <v>1.57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42151</v>
      </c>
      <c r="C13" s="0" t="n">
        <v>32275</v>
      </c>
      <c r="D13" s="0" t="n">
        <v>9876</v>
      </c>
      <c r="E13" s="0" t="n">
        <v>23.4300491091552</v>
      </c>
      <c r="F13" s="0" t="n">
        <v>1843</v>
      </c>
      <c r="G13" s="0" t="n">
        <v>4.37237550710541</v>
      </c>
      <c r="H13" s="0" t="n">
        <v>2526</v>
      </c>
      <c r="I13" s="0" t="n">
        <v>1000</v>
      </c>
      <c r="J13" s="0" t="n">
        <v>2.37242295556452</v>
      </c>
      <c r="K13" s="0" t="n">
        <v>3.33</v>
      </c>
      <c r="L13" s="0" t="n">
        <v>2141</v>
      </c>
      <c r="M13" s="0" t="n">
        <v>688</v>
      </c>
      <c r="N13" s="0" t="n">
        <v>1453</v>
      </c>
      <c r="O13" s="0" t="n">
        <v>3612</v>
      </c>
      <c r="P13" s="0" t="n">
        <v>13049</v>
      </c>
      <c r="R13" s="0" t="n">
        <v>1355</v>
      </c>
      <c r="S13" s="0" t="n">
        <v>1101</v>
      </c>
      <c r="T13" s="0" t="n">
        <v>307.1</v>
      </c>
      <c r="U13" s="0" t="n">
        <v>129</v>
      </c>
      <c r="V13" s="0" t="n">
        <v>1.36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42879</v>
      </c>
      <c r="C14" s="0" t="n">
        <v>32918</v>
      </c>
      <c r="D14" s="0" t="n">
        <v>9961</v>
      </c>
      <c r="E14" s="0" t="n">
        <v>23.2304857855827</v>
      </c>
      <c r="F14" s="0" t="n">
        <v>1900</v>
      </c>
      <c r="G14" s="0" t="n">
        <v>4.43107348585555</v>
      </c>
      <c r="H14" s="0" t="n">
        <v>2670</v>
      </c>
      <c r="I14" s="0" t="n">
        <v>1464</v>
      </c>
      <c r="J14" s="0" t="n">
        <v>3.4142587280487</v>
      </c>
      <c r="K14" s="0" t="n">
        <v>5.3</v>
      </c>
      <c r="L14" s="0" t="n">
        <v>2408</v>
      </c>
      <c r="M14" s="0" t="n">
        <v>819</v>
      </c>
      <c r="N14" s="0" t="n">
        <v>1589</v>
      </c>
      <c r="O14" s="0" t="n">
        <v>3306</v>
      </c>
      <c r="P14" s="0" t="n">
        <v>12901</v>
      </c>
      <c r="R14" s="0" t="n">
        <v>1444</v>
      </c>
      <c r="S14" s="0" t="n">
        <v>1980</v>
      </c>
      <c r="T14" s="0" t="n">
        <v>281.4</v>
      </c>
      <c r="U14" s="0" t="n">
        <v>123</v>
      </c>
      <c r="V14" s="0" t="n">
        <v>1.8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43638</v>
      </c>
      <c r="C15" s="0" t="n">
        <v>33590</v>
      </c>
      <c r="D15" s="0" t="n">
        <v>10048</v>
      </c>
      <c r="E15" s="0" t="n">
        <v>23.0258031990467</v>
      </c>
      <c r="F15" s="0" t="n">
        <v>2009</v>
      </c>
      <c r="G15" s="0" t="n">
        <v>4.60378569136991</v>
      </c>
      <c r="H15" s="0" t="n">
        <v>2821</v>
      </c>
      <c r="I15" s="0" t="n">
        <v>1541</v>
      </c>
      <c r="J15" s="0" t="n">
        <v>3.53132590861176</v>
      </c>
      <c r="K15" s="0" t="n">
        <v>5.82</v>
      </c>
      <c r="L15" s="0" t="n">
        <v>2565</v>
      </c>
      <c r="M15" s="0" t="n">
        <v>743</v>
      </c>
      <c r="N15" s="0" t="n">
        <v>1822</v>
      </c>
      <c r="O15" s="0" t="n">
        <v>3479</v>
      </c>
      <c r="P15" s="0" t="n">
        <v>15591</v>
      </c>
      <c r="R15" s="0" t="n">
        <v>1285</v>
      </c>
      <c r="S15" s="0" t="n">
        <v>2229</v>
      </c>
      <c r="T15" s="0" t="n">
        <v>268.1</v>
      </c>
      <c r="U15" s="0" t="n">
        <v>143</v>
      </c>
      <c r="V15" s="0" t="n">
        <v>2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47262</v>
      </c>
      <c r="C16" s="0" t="n">
        <v>36689</v>
      </c>
      <c r="D16" s="0" t="n">
        <v>10573</v>
      </c>
      <c r="E16" s="0" t="n">
        <v>22.3710380432483</v>
      </c>
      <c r="F16" s="0" t="n">
        <v>2391</v>
      </c>
      <c r="G16" s="0" t="n">
        <v>5.05903262663451</v>
      </c>
      <c r="H16" s="0" t="n">
        <v>3230</v>
      </c>
      <c r="I16" s="0" t="n">
        <v>1798</v>
      </c>
      <c r="J16" s="0" t="n">
        <v>3.80432482755702</v>
      </c>
      <c r="K16" s="0" t="n">
        <v>6.93</v>
      </c>
      <c r="L16" s="0" t="n">
        <v>4927</v>
      </c>
      <c r="M16" s="0" t="n">
        <v>713</v>
      </c>
      <c r="N16" s="0" t="n">
        <v>4214</v>
      </c>
      <c r="T16" s="0" t="n">
        <v>263</v>
      </c>
      <c r="U16" s="0" t="n">
        <v>135</v>
      </c>
      <c r="V16" s="0" t="n">
        <v>2.2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51761</v>
      </c>
      <c r="C17" s="0" t="n">
        <v>40121</v>
      </c>
      <c r="D17" s="0" t="n">
        <v>11640</v>
      </c>
      <c r="E17" s="0" t="n">
        <v>22.4879735708352</v>
      </c>
      <c r="F17" s="0" t="n">
        <v>3039</v>
      </c>
      <c r="G17" s="0" t="n">
        <v>5.87121578022063</v>
      </c>
      <c r="H17" s="0" t="n">
        <v>3908</v>
      </c>
      <c r="I17" s="0" t="n">
        <v>2454</v>
      </c>
      <c r="J17" s="0" t="n">
        <v>4.74102123220185</v>
      </c>
      <c r="K17" s="0" t="n">
        <v>9.94</v>
      </c>
      <c r="L17" s="0" t="n">
        <v>3252</v>
      </c>
      <c r="M17" s="0" t="n">
        <v>737</v>
      </c>
      <c r="N17" s="0" t="n">
        <v>2515</v>
      </c>
      <c r="T17" s="0" t="n">
        <v>249.3</v>
      </c>
      <c r="U17" s="0" t="n">
        <v>141</v>
      </c>
      <c r="V17" s="0" t="n">
        <v>2.8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46298</v>
      </c>
      <c r="C18" s="0" t="n">
        <v>36386</v>
      </c>
      <c r="D18" s="0" t="n">
        <v>9912</v>
      </c>
      <c r="E18" s="0" t="n">
        <v>21.4091321439371</v>
      </c>
      <c r="F18" s="0" t="n">
        <v>1795</v>
      </c>
      <c r="G18" s="0" t="n">
        <v>3.87705732429047</v>
      </c>
      <c r="H18" s="0" t="n">
        <v>2713</v>
      </c>
      <c r="I18" s="0" t="n">
        <v>1419</v>
      </c>
      <c r="J18" s="0" t="n">
        <v>3.06492721067865</v>
      </c>
      <c r="K18" s="0" t="n">
        <v>6.31</v>
      </c>
      <c r="L18" s="0" t="n">
        <v>1824</v>
      </c>
      <c r="M18" s="0" t="n">
        <v>930</v>
      </c>
      <c r="N18" s="0" t="n">
        <v>894</v>
      </c>
      <c r="T18" s="0" t="n">
        <v>225.7</v>
      </c>
      <c r="U18" s="0" t="n">
        <v>138</v>
      </c>
      <c r="V18" s="0" t="n">
        <v>3.52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43452</v>
      </c>
      <c r="C19" s="0" t="n">
        <v>33849</v>
      </c>
      <c r="D19" s="0" t="n">
        <v>9603</v>
      </c>
      <c r="E19" s="0" t="n">
        <v>22.1002485501243</v>
      </c>
      <c r="F19" s="0" t="n">
        <v>1574</v>
      </c>
      <c r="G19" s="0" t="n">
        <v>3.62238792230507</v>
      </c>
      <c r="H19" s="0" t="n">
        <v>2497</v>
      </c>
      <c r="I19" s="0" t="n">
        <v>1241</v>
      </c>
      <c r="J19" s="0" t="n">
        <v>2.85602503912363</v>
      </c>
      <c r="K19" s="0" t="n">
        <v>5.7</v>
      </c>
      <c r="L19" s="0" t="n">
        <v>1470</v>
      </c>
      <c r="M19" s="0" t="n">
        <v>795</v>
      </c>
      <c r="N19" s="0" t="n">
        <v>675</v>
      </c>
      <c r="O19" s="0" t="n">
        <v>3053</v>
      </c>
      <c r="P19" s="0" t="n">
        <v>14967</v>
      </c>
      <c r="R19" s="0" t="n">
        <v>1178</v>
      </c>
      <c r="S19" s="0" t="n">
        <v>1447</v>
      </c>
      <c r="T19" s="0" t="n">
        <v>218.5</v>
      </c>
      <c r="U19" s="0" t="n">
        <v>145</v>
      </c>
      <c r="V19" s="0" t="n">
        <v>3.68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41528</v>
      </c>
      <c r="C20" s="0" t="n">
        <v>32143</v>
      </c>
      <c r="D20" s="0" t="n">
        <v>9385</v>
      </c>
      <c r="E20" s="0" t="n">
        <v>22.5992101714506</v>
      </c>
      <c r="F20" s="0" t="n">
        <v>1262</v>
      </c>
      <c r="G20" s="0" t="n">
        <v>3.03891350414178</v>
      </c>
      <c r="H20" s="0" t="n">
        <v>2128</v>
      </c>
      <c r="I20" s="0" t="n">
        <v>927</v>
      </c>
      <c r="J20" s="0" t="n">
        <v>2.23222885763822</v>
      </c>
      <c r="K20" s="0" t="n">
        <v>4.31</v>
      </c>
      <c r="L20" s="0" t="n">
        <v>2098</v>
      </c>
      <c r="M20" s="0" t="n">
        <v>706</v>
      </c>
      <c r="N20" s="0" t="n">
        <v>1392</v>
      </c>
      <c r="O20" s="0" t="n">
        <v>2808</v>
      </c>
      <c r="P20" s="0" t="n">
        <v>14782</v>
      </c>
      <c r="R20" s="0" t="n">
        <v>1154</v>
      </c>
      <c r="S20" s="0" t="n">
        <v>1578</v>
      </c>
      <c r="T20" s="0" t="n">
        <v>216.6</v>
      </c>
      <c r="U20" s="0" t="n">
        <v>139</v>
      </c>
      <c r="V20" s="0" t="n">
        <v>3.76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41691</v>
      </c>
      <c r="C21" s="0" t="n">
        <v>32318</v>
      </c>
      <c r="D21" s="0" t="n">
        <v>9373</v>
      </c>
      <c r="E21" s="0" t="n">
        <v>22.482070470845</v>
      </c>
      <c r="F21" s="0" t="n">
        <v>1389</v>
      </c>
      <c r="G21" s="0" t="n">
        <v>3.33165431388069</v>
      </c>
      <c r="H21" s="0" t="n">
        <v>2220</v>
      </c>
      <c r="I21" s="0" t="n">
        <v>1069</v>
      </c>
      <c r="J21" s="0" t="n">
        <v>2.56410256410256</v>
      </c>
      <c r="K21" s="0" t="n">
        <v>5.06</v>
      </c>
      <c r="L21" s="0" t="n">
        <v>1962</v>
      </c>
      <c r="M21" s="0" t="n">
        <v>704</v>
      </c>
      <c r="N21" s="0" t="n">
        <v>1258</v>
      </c>
      <c r="T21" s="0" t="n">
        <v>212.1</v>
      </c>
      <c r="U21" s="0" t="n">
        <v>139</v>
      </c>
      <c r="V21" s="0" t="n">
        <v>3.8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90.51</v>
      </c>
    </row>
    <row r="3" customFormat="false" ht="15" hidden="false" customHeight="false" outlineLevel="0" collapsed="false">
      <c r="A3" s="0" t="s">
        <v>86</v>
      </c>
      <c r="B3" s="3" t="n">
        <v>212.7</v>
      </c>
    </row>
    <row r="4" customFormat="false" ht="15" hidden="false" customHeight="false" outlineLevel="0" collapsed="false">
      <c r="A4" s="0" t="s">
        <v>87</v>
      </c>
      <c r="B4" s="3" t="n">
        <v>-1086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41691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-1</v>
      </c>
      <c r="D13" s="3" t="n">
        <v>-1.5</v>
      </c>
      <c r="E13" s="3" t="n">
        <v>-1</v>
      </c>
      <c r="F13" s="3" t="n">
        <v>-0.5</v>
      </c>
      <c r="G13" s="3" t="n">
        <v>0</v>
      </c>
      <c r="H13" s="3" t="n">
        <v>0.5</v>
      </c>
      <c r="I13" s="3" t="n">
        <v>0.5</v>
      </c>
      <c r="J13" s="3" t="n">
        <v>0.5</v>
      </c>
      <c r="K13" s="3" t="n">
        <v>0.5</v>
      </c>
      <c r="L13" s="3" t="n">
        <v>0.5</v>
      </c>
    </row>
    <row r="14" customFormat="false" ht="15" hidden="false" customHeight="false" outlineLevel="0" collapsed="false">
      <c r="A14" s="0" t="s">
        <v>107</v>
      </c>
      <c r="C14" s="3" t="n">
        <v>4.8</v>
      </c>
      <c r="D14" s="3" t="n">
        <v>4.5</v>
      </c>
      <c r="E14" s="3" t="n">
        <v>4.4</v>
      </c>
      <c r="F14" s="3" t="n">
        <v>4.4</v>
      </c>
      <c r="G14" s="3" t="n">
        <v>4.5</v>
      </c>
      <c r="H14" s="3" t="n">
        <v>4.5</v>
      </c>
      <c r="I14" s="3" t="n">
        <v>4.6</v>
      </c>
      <c r="J14" s="3" t="n">
        <v>4.6</v>
      </c>
      <c r="K14" s="3" t="n">
        <v>4.7</v>
      </c>
      <c r="L14" s="3" t="n">
        <v>4.7</v>
      </c>
    </row>
    <row r="15" customFormat="false" ht="15" hidden="false" customHeight="false" outlineLevel="0" collapsed="false">
      <c r="A15" s="0" t="s">
        <v>108</v>
      </c>
      <c r="C15" s="3" t="n">
        <v>0.34</v>
      </c>
      <c r="D15" s="3" t="n">
        <v>0.34</v>
      </c>
      <c r="E15" s="3" t="n">
        <v>0.34</v>
      </c>
      <c r="F15" s="3" t="n">
        <v>0.34</v>
      </c>
      <c r="G15" s="3" t="n">
        <v>0.34</v>
      </c>
      <c r="H15" s="3" t="n">
        <v>0.34</v>
      </c>
      <c r="I15" s="3" t="n">
        <v>0.34</v>
      </c>
      <c r="J15" s="3" t="n">
        <v>0.34</v>
      </c>
      <c r="K15" s="3" t="n">
        <v>0.34</v>
      </c>
      <c r="L15" s="3" t="n">
        <v>0.34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2.2</v>
      </c>
      <c r="D17" s="3" t="n">
        <v>2.2</v>
      </c>
      <c r="E17" s="3" t="n">
        <v>2.2</v>
      </c>
      <c r="F17" s="3" t="n">
        <v>2.1</v>
      </c>
      <c r="G17" s="3" t="n">
        <v>2.1</v>
      </c>
      <c r="H17" s="3" t="n">
        <v>2.1</v>
      </c>
      <c r="I17" s="3" t="n">
        <v>2.1</v>
      </c>
      <c r="J17" s="3" t="n">
        <v>2.1</v>
      </c>
      <c r="K17" s="3" t="n">
        <v>2.1</v>
      </c>
      <c r="L17" s="3" t="n">
        <v>2.1</v>
      </c>
    </row>
    <row r="18" customFormat="false" ht="15" hidden="false" customHeight="false" outlineLevel="0" collapsed="false">
      <c r="A18" s="0" t="s">
        <v>111</v>
      </c>
      <c r="C18" s="3" t="n">
        <v>1.8</v>
      </c>
      <c r="D18" s="3" t="n">
        <v>1.8</v>
      </c>
      <c r="E18" s="3" t="n">
        <v>1.8</v>
      </c>
      <c r="F18" s="3" t="n">
        <v>1.8</v>
      </c>
      <c r="G18" s="3" t="n">
        <v>1.8</v>
      </c>
      <c r="H18" s="3" t="n">
        <v>1.8</v>
      </c>
      <c r="I18" s="3" t="n">
        <v>1.8</v>
      </c>
      <c r="J18" s="3" t="n">
        <v>1.8</v>
      </c>
      <c r="K18" s="3" t="n">
        <v>1.8</v>
      </c>
      <c r="L18" s="3" t="n">
        <v>1.8</v>
      </c>
    </row>
    <row r="19" customFormat="false" ht="15" hidden="false" customHeight="false" outlineLevel="0" collapsed="false">
      <c r="A19" s="0" t="s">
        <v>112</v>
      </c>
      <c r="C19" s="3" t="n">
        <v>25</v>
      </c>
      <c r="D19" s="3" t="n">
        <v>25</v>
      </c>
      <c r="E19" s="3" t="n">
        <v>25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113</v>
      </c>
      <c r="B20" s="3" t="n">
        <v>10.5</v>
      </c>
    </row>
    <row r="21" customFormat="false" ht="15" hidden="false" customHeight="false" outlineLevel="0" collapsed="false">
      <c r="A21" s="0" t="s">
        <v>114</v>
      </c>
      <c r="B21" s="3" t="n">
        <v>1</v>
      </c>
    </row>
    <row r="22" customFormat="false" ht="15" hidden="false" customHeight="false" outlineLevel="0" collapsed="false">
      <c r="A22" s="0" t="s">
        <v>115</v>
      </c>
      <c r="B22" s="3" t="n">
        <v>10</v>
      </c>
    </row>
    <row r="23" customFormat="false" ht="15" hidden="false" customHeight="false" outlineLevel="0" collapsed="false">
      <c r="A23" s="0" t="s">
        <v>116</v>
      </c>
      <c r="B23" s="3" t="n">
        <v>-8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2.1</v>
      </c>
      <c r="D27" s="3" t="n">
        <v>2</v>
      </c>
      <c r="E27" s="3" t="n">
        <v>2</v>
      </c>
      <c r="F27" s="3" t="n">
        <v>1.8</v>
      </c>
      <c r="G27" s="3" t="n">
        <v>1.8</v>
      </c>
      <c r="H27" s="3" t="n">
        <v>1.6</v>
      </c>
      <c r="I27" s="3" t="n">
        <v>1.6</v>
      </c>
      <c r="J27" s="3" t="n">
        <v>1.5</v>
      </c>
      <c r="K27" s="3" t="n">
        <v>1.5</v>
      </c>
      <c r="L27" s="3" t="n">
        <v>1.5</v>
      </c>
    </row>
    <row r="28" customFormat="false" ht="15" hidden="false" customHeight="false" outlineLevel="0" collapsed="false">
      <c r="A28" s="0" t="s">
        <v>107</v>
      </c>
      <c r="C28" s="3" t="n">
        <v>5.5</v>
      </c>
      <c r="D28" s="3" t="n">
        <v>5.7</v>
      </c>
      <c r="E28" s="3" t="n">
        <v>5.8</v>
      </c>
      <c r="F28" s="3" t="n">
        <v>6</v>
      </c>
      <c r="G28" s="3" t="n">
        <v>6.1</v>
      </c>
      <c r="H28" s="3" t="n">
        <v>6.2</v>
      </c>
      <c r="I28" s="3" t="n">
        <v>6.2</v>
      </c>
      <c r="J28" s="3" t="n">
        <v>6.3</v>
      </c>
      <c r="K28" s="3" t="n">
        <v>6.3</v>
      </c>
      <c r="L28" s="3" t="n">
        <v>6.3</v>
      </c>
    </row>
    <row r="29" customFormat="false" ht="15" hidden="false" customHeight="false" outlineLevel="0" collapsed="false">
      <c r="A29" s="0" t="s">
        <v>108</v>
      </c>
      <c r="C29" s="3" t="n">
        <v>0.33</v>
      </c>
      <c r="D29" s="3" t="n">
        <v>0.33</v>
      </c>
      <c r="E29" s="3" t="n">
        <v>0.32</v>
      </c>
      <c r="F29" s="3" t="n">
        <v>0.32</v>
      </c>
      <c r="G29" s="3" t="n">
        <v>0.31</v>
      </c>
      <c r="H29" s="3" t="n">
        <v>0.31</v>
      </c>
      <c r="I29" s="3" t="n">
        <v>0.3</v>
      </c>
      <c r="J29" s="3" t="n">
        <v>0.3</v>
      </c>
      <c r="K29" s="3" t="n">
        <v>0.3</v>
      </c>
      <c r="L29" s="3" t="n">
        <v>0.3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2.1</v>
      </c>
      <c r="D31" s="3" t="n">
        <v>2.1</v>
      </c>
      <c r="E31" s="3" t="n">
        <v>2.1</v>
      </c>
      <c r="F31" s="3" t="n">
        <v>2</v>
      </c>
      <c r="G31" s="3" t="n">
        <v>2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</row>
    <row r="32" customFormat="false" ht="15" hidden="false" customHeight="false" outlineLevel="0" collapsed="false">
      <c r="A32" s="0" t="s">
        <v>111</v>
      </c>
      <c r="C32" s="3" t="n">
        <v>1.7</v>
      </c>
      <c r="D32" s="3" t="n">
        <v>1.7</v>
      </c>
      <c r="E32" s="3" t="n">
        <v>1.7</v>
      </c>
      <c r="F32" s="3" t="n">
        <v>1.7</v>
      </c>
      <c r="G32" s="3" t="n">
        <v>1.7</v>
      </c>
      <c r="H32" s="3" t="n">
        <v>1.7</v>
      </c>
      <c r="I32" s="3" t="n">
        <v>1.7</v>
      </c>
      <c r="J32" s="3" t="n">
        <v>1.7</v>
      </c>
      <c r="K32" s="3" t="n">
        <v>1.7</v>
      </c>
      <c r="L32" s="3" t="n">
        <v>1.7</v>
      </c>
    </row>
    <row r="33" customFormat="false" ht="15" hidden="false" customHeight="false" outlineLevel="0" collapsed="false">
      <c r="A33" s="0" t="s">
        <v>112</v>
      </c>
      <c r="C33" s="3" t="n">
        <v>24</v>
      </c>
      <c r="D33" s="3" t="n">
        <v>24</v>
      </c>
      <c r="E33" s="3" t="n">
        <v>24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113</v>
      </c>
      <c r="B34" s="3" t="n">
        <v>9</v>
      </c>
    </row>
    <row r="35" customFormat="false" ht="15" hidden="false" customHeight="false" outlineLevel="0" collapsed="false">
      <c r="A35" s="0" t="s">
        <v>114</v>
      </c>
      <c r="B35" s="3" t="n">
        <v>1.5</v>
      </c>
    </row>
    <row r="36" customFormat="false" ht="15" hidden="false" customHeight="false" outlineLevel="0" collapsed="false">
      <c r="A36" s="0" t="s">
        <v>115</v>
      </c>
      <c r="B36" s="3" t="n">
        <v>12</v>
      </c>
    </row>
    <row r="37" customFormat="false" ht="15" hidden="false" customHeight="false" outlineLevel="0" collapsed="false">
      <c r="A37" s="0" t="s">
        <v>116</v>
      </c>
      <c r="B37" s="3" t="n">
        <v>-5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4</v>
      </c>
      <c r="D41" s="3" t="n">
        <v>3.8</v>
      </c>
      <c r="E41" s="3" t="n">
        <v>3.5</v>
      </c>
      <c r="F41" s="3" t="n">
        <v>3.2</v>
      </c>
      <c r="G41" s="3" t="n">
        <v>3</v>
      </c>
      <c r="H41" s="3" t="n">
        <v>2.8</v>
      </c>
      <c r="I41" s="3" t="n">
        <v>2.5</v>
      </c>
      <c r="J41" s="3" t="n">
        <v>2.3</v>
      </c>
      <c r="K41" s="3" t="n">
        <v>2</v>
      </c>
      <c r="L41" s="3" t="n">
        <v>2</v>
      </c>
    </row>
    <row r="42" customFormat="false" ht="15" hidden="false" customHeight="false" outlineLevel="0" collapsed="false">
      <c r="A42" s="0" t="s">
        <v>107</v>
      </c>
      <c r="C42" s="3" t="n">
        <v>5.8</v>
      </c>
      <c r="D42" s="3" t="n">
        <v>6.1</v>
      </c>
      <c r="E42" s="3" t="n">
        <v>6.4</v>
      </c>
      <c r="F42" s="3" t="n">
        <v>6.7</v>
      </c>
      <c r="G42" s="3" t="n">
        <v>7</v>
      </c>
      <c r="H42" s="3" t="n">
        <v>7.2</v>
      </c>
      <c r="I42" s="3" t="n">
        <v>7.4</v>
      </c>
      <c r="J42" s="3" t="n">
        <v>7.5</v>
      </c>
      <c r="K42" s="3" t="n">
        <v>7.6</v>
      </c>
      <c r="L42" s="3" t="n">
        <v>7.6</v>
      </c>
    </row>
    <row r="43" customFormat="false" ht="15" hidden="false" customHeight="false" outlineLevel="0" collapsed="false">
      <c r="A43" s="0" t="s">
        <v>108</v>
      </c>
      <c r="C43" s="3" t="n">
        <v>0.33</v>
      </c>
      <c r="D43" s="3" t="n">
        <v>0.32</v>
      </c>
      <c r="E43" s="3" t="n">
        <v>0.31</v>
      </c>
      <c r="F43" s="3" t="n">
        <v>0.3</v>
      </c>
      <c r="G43" s="3" t="n">
        <v>0.29</v>
      </c>
      <c r="H43" s="3" t="n">
        <v>0.28</v>
      </c>
      <c r="I43" s="3" t="n">
        <v>0.28</v>
      </c>
      <c r="J43" s="3" t="n">
        <v>0.27</v>
      </c>
      <c r="K43" s="3" t="n">
        <v>0.27</v>
      </c>
      <c r="L43" s="3" t="n">
        <v>0.27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2</v>
      </c>
      <c r="D45" s="3" t="n">
        <v>2</v>
      </c>
      <c r="E45" s="3" t="n">
        <v>1.9</v>
      </c>
      <c r="F45" s="3" t="n">
        <v>1.9</v>
      </c>
      <c r="G45" s="3" t="n">
        <v>1.9</v>
      </c>
      <c r="H45" s="3" t="n">
        <v>1.9</v>
      </c>
      <c r="I45" s="3" t="n">
        <v>1.9</v>
      </c>
      <c r="J45" s="3" t="n">
        <v>1.9</v>
      </c>
      <c r="K45" s="3" t="n">
        <v>1.9</v>
      </c>
      <c r="L45" s="3" t="n">
        <v>1.9</v>
      </c>
    </row>
    <row r="46" customFormat="false" ht="15" hidden="false" customHeight="false" outlineLevel="0" collapsed="false">
      <c r="A46" s="0" t="s">
        <v>111</v>
      </c>
      <c r="C46" s="3" t="n">
        <v>1.7</v>
      </c>
      <c r="D46" s="3" t="n">
        <v>1.7</v>
      </c>
      <c r="E46" s="3" t="n">
        <v>1.7</v>
      </c>
      <c r="F46" s="3" t="n">
        <v>1.7</v>
      </c>
      <c r="G46" s="3" t="n">
        <v>1.7</v>
      </c>
      <c r="H46" s="3" t="n">
        <v>1.7</v>
      </c>
      <c r="I46" s="3" t="n">
        <v>1.7</v>
      </c>
      <c r="J46" s="3" t="n">
        <v>1.7</v>
      </c>
      <c r="K46" s="3" t="n">
        <v>1.7</v>
      </c>
      <c r="L46" s="3" t="n">
        <v>1.7</v>
      </c>
    </row>
    <row r="47" customFormat="false" ht="15" hidden="false" customHeight="false" outlineLevel="0" collapsed="false">
      <c r="A47" s="0" t="s">
        <v>112</v>
      </c>
      <c r="C47" s="3" t="n">
        <v>24</v>
      </c>
      <c r="D47" s="3" t="n">
        <v>24</v>
      </c>
      <c r="E47" s="3" t="n">
        <v>24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113</v>
      </c>
      <c r="B48" s="3" t="n">
        <v>8</v>
      </c>
    </row>
    <row r="49" customFormat="false" ht="15" hidden="false" customHeight="false" outlineLevel="0" collapsed="false">
      <c r="A49" s="0" t="s">
        <v>114</v>
      </c>
      <c r="B49" s="3" t="n">
        <v>2</v>
      </c>
    </row>
    <row r="50" customFormat="false" ht="15" hidden="false" customHeight="false" outlineLevel="0" collapsed="false">
      <c r="A50" s="0" t="s">
        <v>115</v>
      </c>
      <c r="B50" s="3" t="n">
        <v>14</v>
      </c>
    </row>
    <row r="51" customFormat="false" ht="15" hidden="false" customHeight="false" outlineLevel="0" collapsed="false">
      <c r="A51" s="0" t="s">
        <v>116</v>
      </c>
      <c r="B51" s="3" t="n">
        <v>-3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-1</v>
      </c>
      <c r="D5" s="4" t="n">
        <f aca="false">Assumptions!D13</f>
        <v>-1.5</v>
      </c>
      <c r="E5" s="4" t="n">
        <f aca="false">Assumptions!E13</f>
        <v>-1</v>
      </c>
      <c r="F5" s="4" t="n">
        <f aca="false">Assumptions!F13</f>
        <v>-0.5</v>
      </c>
      <c r="G5" s="4" t="n">
        <f aca="false">Assumptions!G13</f>
        <v>0</v>
      </c>
      <c r="H5" s="4" t="n">
        <f aca="false">Assumptions!H13</f>
        <v>0.5</v>
      </c>
      <c r="I5" s="4" t="n">
        <f aca="false">Assumptions!I13</f>
        <v>0.5</v>
      </c>
      <c r="J5" s="4" t="n">
        <f aca="false">Assumptions!J13</f>
        <v>0.5</v>
      </c>
      <c r="K5" s="4" t="n">
        <f aca="false">Assumptions!K13</f>
        <v>0.5</v>
      </c>
      <c r="L5" s="4" t="n">
        <f aca="false">Assumptions!L13</f>
        <v>0.5</v>
      </c>
    </row>
    <row r="6" customFormat="false" ht="15" hidden="false" customHeight="false" outlineLevel="0" collapsed="false">
      <c r="A6" s="0" t="s">
        <v>37</v>
      </c>
      <c r="B6" s="3" t="n">
        <v>41691</v>
      </c>
      <c r="C6" s="0" t="n">
        <f aca="false">B6*(1+C5/100)</f>
        <v>41274.09</v>
      </c>
      <c r="D6" s="0" t="n">
        <f aca="false">C6*(1+D5/100)</f>
        <v>40654.97865</v>
      </c>
      <c r="E6" s="0" t="n">
        <f aca="false">D6*(1+E5/100)</f>
        <v>40248.4288635</v>
      </c>
      <c r="F6" s="0" t="n">
        <f aca="false">E6*(1+F5/100)</f>
        <v>40047.1867191825</v>
      </c>
      <c r="G6" s="0" t="n">
        <f aca="false">F6*(1+G5/100)</f>
        <v>40047.1867191825</v>
      </c>
      <c r="H6" s="0" t="n">
        <f aca="false">G6*(1+H5/100)</f>
        <v>40247.4226527784</v>
      </c>
      <c r="I6" s="0" t="n">
        <f aca="false">H6*(1+I5/100)</f>
        <v>40448.6597660423</v>
      </c>
      <c r="J6" s="0" t="n">
        <f aca="false">I6*(1+J5/100)</f>
        <v>40650.9030648725</v>
      </c>
      <c r="K6" s="0" t="n">
        <f aca="false">J6*(1+K5/100)</f>
        <v>40854.1575801969</v>
      </c>
      <c r="L6" s="0" t="n">
        <f aca="false">K6*(1+L5/100)</f>
        <v>41058.4283680979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4.8</v>
      </c>
      <c r="D7" s="4" t="n">
        <f aca="false">Assumptions!D14</f>
        <v>4.5</v>
      </c>
      <c r="E7" s="4" t="n">
        <f aca="false">Assumptions!E14</f>
        <v>4.4</v>
      </c>
      <c r="F7" s="4" t="n">
        <f aca="false">Assumptions!F14</f>
        <v>4.4</v>
      </c>
      <c r="G7" s="4" t="n">
        <f aca="false">Assumptions!G14</f>
        <v>4.5</v>
      </c>
      <c r="H7" s="4" t="n">
        <f aca="false">Assumptions!H14</f>
        <v>4.5</v>
      </c>
      <c r="I7" s="4" t="n">
        <f aca="false">Assumptions!I14</f>
        <v>4.6</v>
      </c>
      <c r="J7" s="4" t="n">
        <f aca="false">Assumptions!J14</f>
        <v>4.6</v>
      </c>
      <c r="K7" s="4" t="n">
        <f aca="false">Assumptions!K14</f>
        <v>4.7</v>
      </c>
      <c r="L7" s="4" t="n">
        <f aca="false">Assumptions!L14</f>
        <v>4.7</v>
      </c>
    </row>
    <row r="8" customFormat="false" ht="15" hidden="false" customHeight="false" outlineLevel="0" collapsed="false">
      <c r="A8" s="0" t="s">
        <v>43</v>
      </c>
      <c r="C8" s="0" t="n">
        <f aca="false">C6*C7/100</f>
        <v>1981.15632</v>
      </c>
      <c r="D8" s="0" t="n">
        <f aca="false">D6*D7/100</f>
        <v>1829.47403925</v>
      </c>
      <c r="E8" s="0" t="n">
        <f aca="false">E6*E7/100</f>
        <v>1770.930869994</v>
      </c>
      <c r="F8" s="0" t="n">
        <f aca="false">F6*F7/100</f>
        <v>1762.07621564403</v>
      </c>
      <c r="G8" s="0" t="n">
        <f aca="false">G6*G7/100</f>
        <v>1802.12340236321</v>
      </c>
      <c r="H8" s="0" t="n">
        <f aca="false">H6*H7/100</f>
        <v>1811.13401937503</v>
      </c>
      <c r="I8" s="0" t="n">
        <f aca="false">I6*I7/100</f>
        <v>1860.63834923795</v>
      </c>
      <c r="J8" s="0" t="n">
        <f aca="false">J6*J7/100</f>
        <v>1869.94154098414</v>
      </c>
      <c r="K8" s="0" t="n">
        <f aca="false">K6*K7/100</f>
        <v>1920.14540626925</v>
      </c>
      <c r="L8" s="0" t="n">
        <f aca="false">L6*L7/100</f>
        <v>1929.7461333006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0.34</v>
      </c>
      <c r="D9" s="4" t="n">
        <f aca="false">Assumptions!D15</f>
        <v>0.34</v>
      </c>
      <c r="E9" s="4" t="n">
        <f aca="false">Assumptions!E15</f>
        <v>0.34</v>
      </c>
      <c r="F9" s="4" t="n">
        <f aca="false">Assumptions!F15</f>
        <v>0.34</v>
      </c>
      <c r="G9" s="4" t="n">
        <f aca="false">Assumptions!G15</f>
        <v>0.34</v>
      </c>
      <c r="H9" s="4" t="n">
        <f aca="false">Assumptions!H15</f>
        <v>0.34</v>
      </c>
      <c r="I9" s="4" t="n">
        <f aca="false">Assumptions!I15</f>
        <v>0.34</v>
      </c>
      <c r="J9" s="4" t="n">
        <f aca="false">Assumptions!J15</f>
        <v>0.34</v>
      </c>
      <c r="K9" s="4" t="n">
        <f aca="false">Assumptions!K15</f>
        <v>0.34</v>
      </c>
      <c r="L9" s="4" t="n">
        <f aca="false">Assumptions!L15</f>
        <v>0.34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-140.331906</v>
      </c>
      <c r="D10" s="0" t="n">
        <f aca="false">-D6*D9/100</f>
        <v>-138.22692741</v>
      </c>
      <c r="E10" s="0" t="n">
        <f aca="false">-E6*E9/100</f>
        <v>-136.8446581359</v>
      </c>
      <c r="F10" s="0" t="n">
        <f aca="false">-F6*F9/100</f>
        <v>-136.160434845221</v>
      </c>
      <c r="G10" s="0" t="n">
        <f aca="false">-G6*G9/100</f>
        <v>-136.160434845221</v>
      </c>
      <c r="H10" s="0" t="n">
        <f aca="false">-H6*H9/100</f>
        <v>-136.841237019447</v>
      </c>
      <c r="I10" s="0" t="n">
        <f aca="false">-I6*I9/100</f>
        <v>-137.525443204544</v>
      </c>
      <c r="J10" s="0" t="n">
        <f aca="false">-J6*J9/100</f>
        <v>-138.213070420567</v>
      </c>
      <c r="K10" s="0" t="n">
        <f aca="false">-K6*K9/100</f>
        <v>-138.904135772669</v>
      </c>
      <c r="L10" s="0" t="n">
        <f aca="false">-L6*L9/100</f>
        <v>-139.598656451533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1840.824414</v>
      </c>
      <c r="D11" s="0" t="n">
        <f aca="false">D8+D10+D24</f>
        <v>1691.24711184</v>
      </c>
      <c r="E11" s="0" t="n">
        <f aca="false">E8+E10+E24</f>
        <v>1634.0862118581</v>
      </c>
      <c r="F11" s="0" t="n">
        <f aca="false">F8+F10+F24</f>
        <v>1625.91578079881</v>
      </c>
      <c r="G11" s="0" t="n">
        <f aca="false">G8+G10+G24</f>
        <v>1665.96296751799</v>
      </c>
      <c r="H11" s="0" t="n">
        <f aca="false">H8+H10+H24</f>
        <v>1674.29278235558</v>
      </c>
      <c r="I11" s="0" t="n">
        <f aca="false">I8+I10+I24</f>
        <v>1723.1129060334</v>
      </c>
      <c r="J11" s="0" t="n">
        <f aca="false">J8+J10+J24</f>
        <v>1731.72847056357</v>
      </c>
      <c r="K11" s="0" t="n">
        <f aca="false">K8+K10+K24</f>
        <v>1781.24127049658</v>
      </c>
      <c r="L11" s="0" t="n">
        <f aca="false">L8+L10+L24</f>
        <v>1790.14747684907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-908.02998</v>
      </c>
      <c r="D12" s="4" t="n">
        <f aca="false">-D6*Assumptions!D17/100</f>
        <v>-894.4095303</v>
      </c>
      <c r="E12" s="4" t="n">
        <f aca="false">-E6*Assumptions!E17/100</f>
        <v>-885.465434997</v>
      </c>
      <c r="F12" s="4" t="n">
        <f aca="false">-F6*Assumptions!F17/100</f>
        <v>-840.990921102833</v>
      </c>
      <c r="G12" s="4" t="n">
        <f aca="false">-G6*Assumptions!G17/100</f>
        <v>-840.990921102833</v>
      </c>
      <c r="H12" s="4" t="n">
        <f aca="false">-H6*Assumptions!H17/100</f>
        <v>-845.195875708347</v>
      </c>
      <c r="I12" s="4" t="n">
        <f aca="false">-I6*Assumptions!I17/100</f>
        <v>-849.421855086888</v>
      </c>
      <c r="J12" s="4" t="n">
        <f aca="false">-J6*Assumptions!J17/100</f>
        <v>-853.668964362323</v>
      </c>
      <c r="K12" s="4" t="n">
        <f aca="false">-K6*Assumptions!K17/100</f>
        <v>-857.937309184134</v>
      </c>
      <c r="L12" s="4" t="n">
        <f aca="false">-L6*Assumptions!L17/100</f>
        <v>-862.226995730055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932.794434</v>
      </c>
      <c r="D13" s="0" t="n">
        <f aca="false">D11+D12</f>
        <v>796.83758154</v>
      </c>
      <c r="E13" s="0" t="n">
        <f aca="false">E11+E12</f>
        <v>748.6207768611</v>
      </c>
      <c r="F13" s="0" t="n">
        <f aca="false">F11+F12</f>
        <v>784.924859695977</v>
      </c>
      <c r="G13" s="0" t="n">
        <f aca="false">G11+G12</f>
        <v>824.972046415159</v>
      </c>
      <c r="H13" s="0" t="n">
        <f aca="false">H11+H12</f>
        <v>829.096906647235</v>
      </c>
      <c r="I13" s="0" t="n">
        <f aca="false">I11+I12</f>
        <v>873.691050946513</v>
      </c>
      <c r="J13" s="0" t="n">
        <f aca="false">J11+J12</f>
        <v>878.059506201246</v>
      </c>
      <c r="K13" s="0" t="n">
        <f aca="false">K11+K12</f>
        <v>923.303961312449</v>
      </c>
      <c r="L13" s="0" t="n">
        <f aca="false">L11+L12</f>
        <v>927.920481119011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25</v>
      </c>
      <c r="D14" s="4" t="n">
        <f aca="false">Assumptions!D19</f>
        <v>25</v>
      </c>
      <c r="E14" s="4" t="n">
        <f aca="false">Assumptions!E19</f>
        <v>25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699.5958255</v>
      </c>
      <c r="D15" s="0" t="n">
        <f aca="false">D13-MAX(0,D13)*D14/100</f>
        <v>597.628186155</v>
      </c>
      <c r="E15" s="0" t="n">
        <f aca="false">E13-MAX(0,E13)*E14/100</f>
        <v>561.465582645825</v>
      </c>
      <c r="F15" s="0" t="n">
        <f aca="false">F13-MAX(0,F13)*F14/100</f>
        <v>588.693644771983</v>
      </c>
      <c r="G15" s="0" t="n">
        <f aca="false">G13-MAX(0,G13)*G14/100</f>
        <v>618.72903481137</v>
      </c>
      <c r="H15" s="0" t="n">
        <f aca="false">H13-MAX(0,H13)*H14/100</f>
        <v>621.822679985426</v>
      </c>
      <c r="I15" s="0" t="n">
        <f aca="false">I13-MAX(0,I13)*I14/100</f>
        <v>655.268288209885</v>
      </c>
      <c r="J15" s="0" t="n">
        <f aca="false">J13-MAX(0,J13)*J14/100</f>
        <v>658.544629650935</v>
      </c>
      <c r="K15" s="0" t="n">
        <f aca="false">K13-MAX(0,K13)*K14/100</f>
        <v>692.477970984337</v>
      </c>
      <c r="L15" s="0" t="n">
        <f aca="false">L13-MAX(0,L13)*L14/100</f>
        <v>695.940360839259</v>
      </c>
    </row>
    <row r="16" customFormat="false" ht="15" hidden="false" customHeight="false" outlineLevel="0" collapsed="false">
      <c r="A16" s="0" t="s">
        <v>128</v>
      </c>
      <c r="C16" s="0" t="n">
        <f aca="false">-C12</f>
        <v>908.02998</v>
      </c>
      <c r="D16" s="0" t="n">
        <f aca="false">-D12</f>
        <v>894.4095303</v>
      </c>
      <c r="E16" s="0" t="n">
        <f aca="false">-E12</f>
        <v>885.465434997</v>
      </c>
      <c r="F16" s="0" t="n">
        <f aca="false">-F12</f>
        <v>840.990921102833</v>
      </c>
      <c r="G16" s="0" t="n">
        <f aca="false">-G12</f>
        <v>840.990921102833</v>
      </c>
      <c r="H16" s="0" t="n">
        <f aca="false">-H12</f>
        <v>845.195875708347</v>
      </c>
      <c r="I16" s="0" t="n">
        <f aca="false">-I12</f>
        <v>849.421855086888</v>
      </c>
      <c r="J16" s="0" t="n">
        <f aca="false">-J12</f>
        <v>853.668964362323</v>
      </c>
      <c r="K16" s="0" t="n">
        <f aca="false">-K12</f>
        <v>857.937309184134</v>
      </c>
      <c r="L16" s="0" t="n">
        <f aca="false">-L12</f>
        <v>862.226995730055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-742.93362</v>
      </c>
      <c r="D17" s="4" t="n">
        <f aca="false">-D6*Assumptions!D18/100</f>
        <v>-731.7896157</v>
      </c>
      <c r="E17" s="4" t="n">
        <f aca="false">-E6*Assumptions!E18/100</f>
        <v>-724.471719543</v>
      </c>
      <c r="F17" s="4" t="n">
        <f aca="false">-F6*Assumptions!F18/100</f>
        <v>-720.849360945285</v>
      </c>
      <c r="G17" s="4" t="n">
        <f aca="false">-G6*Assumptions!G18/100</f>
        <v>-720.849360945285</v>
      </c>
      <c r="H17" s="4" t="n">
        <f aca="false">-H6*Assumptions!H18/100</f>
        <v>-724.453607750011</v>
      </c>
      <c r="I17" s="4" t="n">
        <f aca="false">-I6*Assumptions!I18/100</f>
        <v>-728.075875788761</v>
      </c>
      <c r="J17" s="4" t="n">
        <f aca="false">-J6*Assumptions!J18/100</f>
        <v>-731.716255167705</v>
      </c>
      <c r="K17" s="4" t="n">
        <f aca="false">-K6*Assumptions!K18/100</f>
        <v>-735.374836443544</v>
      </c>
      <c r="L17" s="4" t="n">
        <f aca="false">-L6*Assumptions!L18/100</f>
        <v>-739.051710625761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33.3528000000003</v>
      </c>
      <c r="D18" s="4" t="n">
        <f aca="false">(D6-C6)*Assumptions!$B$23/100</f>
        <v>49.5289079999999</v>
      </c>
      <c r="E18" s="4" t="n">
        <f aca="false">(E6-D6)*Assumptions!$B$23/100</f>
        <v>32.52398292</v>
      </c>
      <c r="F18" s="4" t="n">
        <f aca="false">(F6-E6)*Assumptions!$B$23/100</f>
        <v>16.0993715453998</v>
      </c>
      <c r="G18" s="4" t="n">
        <f aca="false">(G6-F6)*Assumptions!$B$23/100</f>
        <v>-0</v>
      </c>
      <c r="H18" s="4" t="n">
        <f aca="false">(H6-G6)*Assumptions!$B$23/100</f>
        <v>-16.0188746876729</v>
      </c>
      <c r="I18" s="4" t="n">
        <f aca="false">(I6-H6)*Assumptions!$B$23/100</f>
        <v>-16.098969061111</v>
      </c>
      <c r="J18" s="4" t="n">
        <f aca="false">(J6-I6)*Assumptions!$B$23/100</f>
        <v>-16.1794639064168</v>
      </c>
      <c r="K18" s="4" t="n">
        <f aca="false">(K6-J6)*Assumptions!$B$23/100</f>
        <v>-16.2603612259484</v>
      </c>
      <c r="L18" s="4" t="n">
        <f aca="false">(L6-K6)*Assumptions!$B$23/100</f>
        <v>-16.3416630320787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898.0449855</v>
      </c>
      <c r="D19" s="0" t="n">
        <f aca="false">D15+D16+D17+D18</f>
        <v>809.777008755</v>
      </c>
      <c r="E19" s="0" t="n">
        <f aca="false">E15+E16+E17+E18</f>
        <v>754.983281019825</v>
      </c>
      <c r="F19" s="0" t="n">
        <f aca="false">F15+F16+F17+F18</f>
        <v>724.93457647493</v>
      </c>
      <c r="G19" s="0" t="n">
        <f aca="false">G15+G16+G17+G18</f>
        <v>738.870594968917</v>
      </c>
      <c r="H19" s="0" t="n">
        <f aca="false">H15+H16+H17+H18</f>
        <v>726.546073256089</v>
      </c>
      <c r="I19" s="0" t="n">
        <f aca="false">I15+I16+I17+I18</f>
        <v>760.515298446901</v>
      </c>
      <c r="J19" s="0" t="n">
        <f aca="false">J15+J16+J17+J18</f>
        <v>764.317874939135</v>
      </c>
      <c r="K19" s="0" t="n">
        <f aca="false">K15+K16+K17+K18</f>
        <v>798.780082498979</v>
      </c>
      <c r="L19" s="0" t="n">
        <f aca="false">L15+L16+L17+L18</f>
        <v>802.773982911474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812.710394117647</v>
      </c>
      <c r="D21" s="0" t="n">
        <f aca="false">D19*D20</f>
        <v>663.194454458344</v>
      </c>
      <c r="E21" s="0" t="n">
        <f aca="false">E19*E20</f>
        <v>559.564946052075</v>
      </c>
      <c r="F21" s="0" t="n">
        <f aca="false">F19*F20</f>
        <v>486.238902261239</v>
      </c>
      <c r="G21" s="0" t="n">
        <f aca="false">G19*G20</f>
        <v>448.494367310893</v>
      </c>
      <c r="H21" s="0" t="n">
        <f aca="false">H19*H20</f>
        <v>399.107134868413</v>
      </c>
      <c r="I21" s="0" t="n">
        <f aca="false">I19*I20</f>
        <v>378.069818280652</v>
      </c>
      <c r="J21" s="0" t="n">
        <f aca="false">J19*J20</f>
        <v>343.855355087833</v>
      </c>
      <c r="K21" s="0" t="n">
        <f aca="false">K19*K20</f>
        <v>325.212121910229</v>
      </c>
      <c r="L21" s="0" t="n">
        <f aca="false">L19*L20</f>
        <v>295.781160651385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4712.22865499871</v>
      </c>
    </row>
    <row r="31" customFormat="false" ht="15" hidden="false" customHeight="false" outlineLevel="0" collapsed="false">
      <c r="A31" s="0" t="s">
        <v>137</v>
      </c>
      <c r="B31" s="0" t="n">
        <f aca="false">L19</f>
        <v>802.773982911474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8534.75497621672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8027.73982911474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8027.73982911474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2957.81160651385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7670.04026151256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8756.04026151256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41.1661507358371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-0.545175663066654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829.308578784154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546.834903192281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47.6360307639351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5791.44087671849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30.3920265222616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2.1</v>
      </c>
      <c r="D5" s="4" t="n">
        <f aca="false">Assumptions!D27</f>
        <v>2</v>
      </c>
      <c r="E5" s="4" t="n">
        <f aca="false">Assumptions!E27</f>
        <v>2</v>
      </c>
      <c r="F5" s="4" t="n">
        <f aca="false">Assumptions!F27</f>
        <v>1.8</v>
      </c>
      <c r="G5" s="4" t="n">
        <f aca="false">Assumptions!G27</f>
        <v>1.8</v>
      </c>
      <c r="H5" s="4" t="n">
        <f aca="false">Assumptions!H27</f>
        <v>1.6</v>
      </c>
      <c r="I5" s="4" t="n">
        <f aca="false">Assumptions!I27</f>
        <v>1.6</v>
      </c>
      <c r="J5" s="4" t="n">
        <f aca="false">Assumptions!J27</f>
        <v>1.5</v>
      </c>
      <c r="K5" s="4" t="n">
        <f aca="false">Assumptions!K27</f>
        <v>1.5</v>
      </c>
      <c r="L5" s="4" t="n">
        <f aca="false">Assumptions!L27</f>
        <v>1.5</v>
      </c>
    </row>
    <row r="6" customFormat="false" ht="15" hidden="false" customHeight="false" outlineLevel="0" collapsed="false">
      <c r="A6" s="0" t="s">
        <v>37</v>
      </c>
      <c r="B6" s="3" t="n">
        <v>41691</v>
      </c>
      <c r="C6" s="0" t="n">
        <f aca="false">B6*(1+C5/100)</f>
        <v>42566.511</v>
      </c>
      <c r="D6" s="0" t="n">
        <f aca="false">C6*(1+D5/100)</f>
        <v>43417.84122</v>
      </c>
      <c r="E6" s="0" t="n">
        <f aca="false">D6*(1+E5/100)</f>
        <v>44286.1980444</v>
      </c>
      <c r="F6" s="0" t="n">
        <f aca="false">E6*(1+F5/100)</f>
        <v>45083.3496091992</v>
      </c>
      <c r="G6" s="0" t="n">
        <f aca="false">F6*(1+G5/100)</f>
        <v>45894.8499021648</v>
      </c>
      <c r="H6" s="0" t="n">
        <f aca="false">G6*(1+H5/100)</f>
        <v>46629.1675005994</v>
      </c>
      <c r="I6" s="0" t="n">
        <f aca="false">H6*(1+I5/100)</f>
        <v>47375.234180609</v>
      </c>
      <c r="J6" s="0" t="n">
        <f aca="false">I6*(1+J5/100)</f>
        <v>48085.8626933182</v>
      </c>
      <c r="K6" s="0" t="n">
        <f aca="false">J6*(1+K5/100)</f>
        <v>48807.1506337179</v>
      </c>
      <c r="L6" s="0" t="n">
        <f aca="false">K6*(1+L5/100)</f>
        <v>49539.2578932237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5.5</v>
      </c>
      <c r="D7" s="4" t="n">
        <f aca="false">Assumptions!D28</f>
        <v>5.7</v>
      </c>
      <c r="E7" s="4" t="n">
        <f aca="false">Assumptions!E28</f>
        <v>5.8</v>
      </c>
      <c r="F7" s="4" t="n">
        <f aca="false">Assumptions!F28</f>
        <v>6</v>
      </c>
      <c r="G7" s="4" t="n">
        <f aca="false">Assumptions!G28</f>
        <v>6.1</v>
      </c>
      <c r="H7" s="4" t="n">
        <f aca="false">Assumptions!H28</f>
        <v>6.2</v>
      </c>
      <c r="I7" s="4" t="n">
        <f aca="false">Assumptions!I28</f>
        <v>6.2</v>
      </c>
      <c r="J7" s="4" t="n">
        <f aca="false">Assumptions!J28</f>
        <v>6.3</v>
      </c>
      <c r="K7" s="4" t="n">
        <f aca="false">Assumptions!K28</f>
        <v>6.3</v>
      </c>
      <c r="L7" s="4" t="n">
        <f aca="false">Assumptions!L28</f>
        <v>6.3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2341.158105</v>
      </c>
      <c r="D8" s="0" t="n">
        <f aca="false">D6*D7/100</f>
        <v>2474.81694954</v>
      </c>
      <c r="E8" s="0" t="n">
        <f aca="false">E6*E7/100</f>
        <v>2568.5994865752</v>
      </c>
      <c r="F8" s="0" t="n">
        <f aca="false">F6*F7/100</f>
        <v>2705.00097655195</v>
      </c>
      <c r="G8" s="0" t="n">
        <f aca="false">G6*G7/100</f>
        <v>2799.58584403205</v>
      </c>
      <c r="H8" s="0" t="n">
        <f aca="false">H6*H7/100</f>
        <v>2891.00838503716</v>
      </c>
      <c r="I8" s="0" t="n">
        <f aca="false">I6*I7/100</f>
        <v>2937.26451919776</v>
      </c>
      <c r="J8" s="0" t="n">
        <f aca="false">J6*J7/100</f>
        <v>3029.40934967904</v>
      </c>
      <c r="K8" s="0" t="n">
        <f aca="false">K6*K7/100</f>
        <v>3074.85048992423</v>
      </c>
      <c r="L8" s="0" t="n">
        <f aca="false">L6*L7/100</f>
        <v>3120.97324727309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0.33</v>
      </c>
      <c r="D9" s="4" t="n">
        <f aca="false">Assumptions!D29</f>
        <v>0.33</v>
      </c>
      <c r="E9" s="4" t="n">
        <f aca="false">Assumptions!E29</f>
        <v>0.32</v>
      </c>
      <c r="F9" s="4" t="n">
        <f aca="false">Assumptions!F29</f>
        <v>0.32</v>
      </c>
      <c r="G9" s="4" t="n">
        <f aca="false">Assumptions!G29</f>
        <v>0.31</v>
      </c>
      <c r="H9" s="4" t="n">
        <f aca="false">Assumptions!H29</f>
        <v>0.31</v>
      </c>
      <c r="I9" s="4" t="n">
        <f aca="false">Assumptions!I29</f>
        <v>0.3</v>
      </c>
      <c r="J9" s="4" t="n">
        <f aca="false">Assumptions!J29</f>
        <v>0.3</v>
      </c>
      <c r="K9" s="4" t="n">
        <f aca="false">Assumptions!K29</f>
        <v>0.3</v>
      </c>
      <c r="L9" s="4" t="n">
        <f aca="false">Assumptions!L29</f>
        <v>0.3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-140.4694863</v>
      </c>
      <c r="D10" s="0" t="n">
        <f aca="false">-D6*D9/100</f>
        <v>-143.278876026</v>
      </c>
      <c r="E10" s="0" t="n">
        <f aca="false">-E6*E9/100</f>
        <v>-141.71583374208</v>
      </c>
      <c r="F10" s="0" t="n">
        <f aca="false">-F6*F9/100</f>
        <v>-144.266718749437</v>
      </c>
      <c r="G10" s="0" t="n">
        <f aca="false">-G6*G9/100</f>
        <v>-142.274034696711</v>
      </c>
      <c r="H10" s="0" t="n">
        <f aca="false">-H6*H9/100</f>
        <v>-144.550419251858</v>
      </c>
      <c r="I10" s="0" t="n">
        <f aca="false">-I6*I9/100</f>
        <v>-142.125702541827</v>
      </c>
      <c r="J10" s="0" t="n">
        <f aca="false">-J6*J9/100</f>
        <v>-144.257588079954</v>
      </c>
      <c r="K10" s="0" t="n">
        <f aca="false">-K6*K9/100</f>
        <v>-146.421451901154</v>
      </c>
      <c r="L10" s="0" t="n">
        <f aca="false">-L6*L9/100</f>
        <v>-148.617773679671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2200.6886187</v>
      </c>
      <c r="D11" s="0" t="n">
        <f aca="false">D8+D10+D24</f>
        <v>2331.538073514</v>
      </c>
      <c r="E11" s="0" t="n">
        <f aca="false">E8+E10+E24</f>
        <v>2426.88365283312</v>
      </c>
      <c r="F11" s="0" t="n">
        <f aca="false">F8+F10+F24</f>
        <v>2560.73425780251</v>
      </c>
      <c r="G11" s="0" t="n">
        <f aca="false">G8+G10+G24</f>
        <v>2657.31180933534</v>
      </c>
      <c r="H11" s="0" t="n">
        <f aca="false">H8+H10+H24</f>
        <v>2746.45796578531</v>
      </c>
      <c r="I11" s="0" t="n">
        <f aca="false">I8+I10+I24</f>
        <v>2795.13881665593</v>
      </c>
      <c r="J11" s="0" t="n">
        <f aca="false">J8+J10+J24</f>
        <v>2885.15176159909</v>
      </c>
      <c r="K11" s="0" t="n">
        <f aca="false">K8+K10+K24</f>
        <v>2928.42903802308</v>
      </c>
      <c r="L11" s="0" t="n">
        <f aca="false">L8+L10+L24</f>
        <v>2972.35547359342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-893.896731</v>
      </c>
      <c r="D12" s="4" t="n">
        <f aca="false">-D6*Assumptions!D31/100</f>
        <v>-911.77466562</v>
      </c>
      <c r="E12" s="4" t="n">
        <f aca="false">-E6*Assumptions!E31/100</f>
        <v>-930.0101589324</v>
      </c>
      <c r="F12" s="4" t="n">
        <f aca="false">-F6*Assumptions!F31/100</f>
        <v>-901.666992183984</v>
      </c>
      <c r="G12" s="4" t="n">
        <f aca="false">-G6*Assumptions!G31/100</f>
        <v>-917.896998043296</v>
      </c>
      <c r="H12" s="4" t="n">
        <f aca="false">-H6*Assumptions!H31/100</f>
        <v>-932.583350011989</v>
      </c>
      <c r="I12" s="4" t="n">
        <f aca="false">-I6*Assumptions!I31/100</f>
        <v>-947.50468361218</v>
      </c>
      <c r="J12" s="4" t="n">
        <f aca="false">-J6*Assumptions!J31/100</f>
        <v>-961.717253866363</v>
      </c>
      <c r="K12" s="4" t="n">
        <f aca="false">-K6*Assumptions!K31/100</f>
        <v>-976.143012674358</v>
      </c>
      <c r="L12" s="4" t="n">
        <f aca="false">-L6*Assumptions!L31/100</f>
        <v>-990.785157864474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1306.7918877</v>
      </c>
      <c r="D13" s="0" t="n">
        <f aca="false">D11+D12</f>
        <v>1419.763407894</v>
      </c>
      <c r="E13" s="0" t="n">
        <f aca="false">E11+E12</f>
        <v>1496.87349390072</v>
      </c>
      <c r="F13" s="0" t="n">
        <f aca="false">F11+F12</f>
        <v>1659.06726561853</v>
      </c>
      <c r="G13" s="0" t="n">
        <f aca="false">G11+G12</f>
        <v>1739.41481129205</v>
      </c>
      <c r="H13" s="0" t="n">
        <f aca="false">H11+H12</f>
        <v>1813.87461577332</v>
      </c>
      <c r="I13" s="0" t="n">
        <f aca="false">I11+I12</f>
        <v>1847.63413304375</v>
      </c>
      <c r="J13" s="0" t="n">
        <f aca="false">J11+J12</f>
        <v>1923.43450773273</v>
      </c>
      <c r="K13" s="0" t="n">
        <f aca="false">K11+K12</f>
        <v>1952.28602534872</v>
      </c>
      <c r="L13" s="0" t="n">
        <f aca="false">L11+L12</f>
        <v>1981.57031572895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24</v>
      </c>
      <c r="D14" s="4" t="n">
        <f aca="false">Assumptions!D33</f>
        <v>24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993.161834652</v>
      </c>
      <c r="D15" s="0" t="n">
        <f aca="false">D13-MAX(0,D13)*D14/100</f>
        <v>1079.02018999944</v>
      </c>
      <c r="E15" s="0" t="n">
        <f aca="false">E13-MAX(0,E13)*E14/100</f>
        <v>1137.62385536455</v>
      </c>
      <c r="F15" s="0" t="n">
        <f aca="false">F13-MAX(0,F13)*F14/100</f>
        <v>1260.89112187008</v>
      </c>
      <c r="G15" s="0" t="n">
        <f aca="false">G13-MAX(0,G13)*G14/100</f>
        <v>1321.95525658195</v>
      </c>
      <c r="H15" s="0" t="n">
        <f aca="false">H13-MAX(0,H13)*H14/100</f>
        <v>1378.54470798772</v>
      </c>
      <c r="I15" s="0" t="n">
        <f aca="false">I13-MAX(0,I13)*I14/100</f>
        <v>1404.20194111325</v>
      </c>
      <c r="J15" s="0" t="n">
        <f aca="false">J13-MAX(0,J13)*J14/100</f>
        <v>1461.81022587687</v>
      </c>
      <c r="K15" s="0" t="n">
        <f aca="false">K13-MAX(0,K13)*K14/100</f>
        <v>1483.73737926502</v>
      </c>
      <c r="L15" s="0" t="n">
        <f aca="false">L13-MAX(0,L13)*L14/100</f>
        <v>1505.993439954</v>
      </c>
    </row>
    <row r="16" customFormat="false" ht="15" hidden="false" customHeight="false" outlineLevel="0" collapsed="false">
      <c r="A16" s="0" t="s">
        <v>128</v>
      </c>
      <c r="C16" s="0" t="n">
        <f aca="false">-C12</f>
        <v>893.896731</v>
      </c>
      <c r="D16" s="0" t="n">
        <f aca="false">-D12</f>
        <v>911.77466562</v>
      </c>
      <c r="E16" s="0" t="n">
        <f aca="false">-E12</f>
        <v>930.0101589324</v>
      </c>
      <c r="F16" s="0" t="n">
        <f aca="false">-F12</f>
        <v>901.666992183984</v>
      </c>
      <c r="G16" s="0" t="n">
        <f aca="false">-G12</f>
        <v>917.896998043296</v>
      </c>
      <c r="H16" s="0" t="n">
        <f aca="false">-H12</f>
        <v>932.583350011989</v>
      </c>
      <c r="I16" s="0" t="n">
        <f aca="false">-I12</f>
        <v>947.50468361218</v>
      </c>
      <c r="J16" s="0" t="n">
        <f aca="false">-J12</f>
        <v>961.717253866363</v>
      </c>
      <c r="K16" s="0" t="n">
        <f aca="false">-K12</f>
        <v>976.143012674358</v>
      </c>
      <c r="L16" s="0" t="n">
        <f aca="false">-L12</f>
        <v>990.785157864474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-723.630687</v>
      </c>
      <c r="D17" s="4" t="n">
        <f aca="false">-D6*Assumptions!D32/100</f>
        <v>-738.10330074</v>
      </c>
      <c r="E17" s="4" t="n">
        <f aca="false">-E6*Assumptions!E32/100</f>
        <v>-752.8653667548</v>
      </c>
      <c r="F17" s="4" t="n">
        <f aca="false">-F6*Assumptions!F32/100</f>
        <v>-766.416943356386</v>
      </c>
      <c r="G17" s="4" t="n">
        <f aca="false">-G6*Assumptions!G32/100</f>
        <v>-780.212448336801</v>
      </c>
      <c r="H17" s="4" t="n">
        <f aca="false">-H6*Assumptions!H32/100</f>
        <v>-792.69584751019</v>
      </c>
      <c r="I17" s="4" t="n">
        <f aca="false">-I6*Assumptions!I32/100</f>
        <v>-805.378981070353</v>
      </c>
      <c r="J17" s="4" t="n">
        <f aca="false">-J6*Assumptions!J32/100</f>
        <v>-817.459665786409</v>
      </c>
      <c r="K17" s="4" t="n">
        <f aca="false">-K6*Assumptions!K32/100</f>
        <v>-829.721560773205</v>
      </c>
      <c r="L17" s="4" t="n">
        <f aca="false">-L6*Assumptions!L32/100</f>
        <v>-842.167384184803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-43.7755499999999</v>
      </c>
      <c r="D18" s="4" t="n">
        <f aca="false">(D6-C6)*Assumptions!$B$37/100</f>
        <v>-42.5665110000002</v>
      </c>
      <c r="E18" s="4" t="n">
        <f aca="false">(E6-D6)*Assumptions!$B$37/100</f>
        <v>-43.4178412199999</v>
      </c>
      <c r="F18" s="4" t="n">
        <f aca="false">(F6-E6)*Assumptions!$B$37/100</f>
        <v>-39.8575782399599</v>
      </c>
      <c r="G18" s="4" t="n">
        <f aca="false">(G6-F6)*Assumptions!$B$37/100</f>
        <v>-40.5750146482795</v>
      </c>
      <c r="H18" s="4" t="n">
        <f aca="false">(H6-G6)*Assumptions!$B$37/100</f>
        <v>-36.7158799217319</v>
      </c>
      <c r="I18" s="4" t="n">
        <f aca="false">(I6-H6)*Assumptions!$B$37/100</f>
        <v>-37.3033340004797</v>
      </c>
      <c r="J18" s="4" t="n">
        <f aca="false">(J6-I6)*Assumptions!$B$37/100</f>
        <v>-35.5314256354566</v>
      </c>
      <c r="K18" s="4" t="n">
        <f aca="false">(K6-J6)*Assumptions!$B$37/100</f>
        <v>-36.0643970199883</v>
      </c>
      <c r="L18" s="4" t="n">
        <f aca="false">(L6-K6)*Assumptions!$B$37/100</f>
        <v>-36.6053629752882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1119.652328652</v>
      </c>
      <c r="D19" s="0" t="n">
        <f aca="false">D15+D16+D17+D18</f>
        <v>1210.12504387944</v>
      </c>
      <c r="E19" s="0" t="n">
        <f aca="false">E15+E16+E17+E18</f>
        <v>1271.35080632215</v>
      </c>
      <c r="F19" s="0" t="n">
        <f aca="false">F15+F16+F17+F18</f>
        <v>1356.28359245772</v>
      </c>
      <c r="G19" s="0" t="n">
        <f aca="false">G15+G16+G17+G18</f>
        <v>1419.06479164017</v>
      </c>
      <c r="H19" s="0" t="n">
        <f aca="false">H15+H16+H17+H18</f>
        <v>1481.71633056779</v>
      </c>
      <c r="I19" s="0" t="n">
        <f aca="false">I15+I16+I17+I18</f>
        <v>1509.0243096546</v>
      </c>
      <c r="J19" s="0" t="n">
        <f aca="false">J15+J16+J17+J18</f>
        <v>1570.53638832137</v>
      </c>
      <c r="K19" s="0" t="n">
        <f aca="false">K15+K16+K17+K18</f>
        <v>1594.09443414619</v>
      </c>
      <c r="L19" s="0" t="n">
        <f aca="false">L15+L16+L17+L18</f>
        <v>1618.00585065838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1027.20397124037</v>
      </c>
      <c r="D21" s="0" t="n">
        <f aca="false">D19*D20</f>
        <v>1018.53803878414</v>
      </c>
      <c r="E21" s="0" t="n">
        <f aca="false">E19*E20</f>
        <v>981.716090004276</v>
      </c>
      <c r="F21" s="0" t="n">
        <f aca="false">F19*F20</f>
        <v>960.825490251124</v>
      </c>
      <c r="G21" s="0" t="n">
        <f aca="false">G19*G20</f>
        <v>922.294747277868</v>
      </c>
      <c r="H21" s="0" t="n">
        <f aca="false">H19*H20</f>
        <v>883.499035620936</v>
      </c>
      <c r="I21" s="0" t="n">
        <f aca="false">I19*I20</f>
        <v>825.487973682111</v>
      </c>
      <c r="J21" s="0" t="n">
        <f aca="false">J19*J20</f>
        <v>788.199254297551</v>
      </c>
      <c r="K21" s="0" t="n">
        <f aca="false">K19*K20</f>
        <v>733.965360653225</v>
      </c>
      <c r="L21" s="0" t="n">
        <f aca="false">L19*L20</f>
        <v>683.463156938553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1.5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8825.19311875015</v>
      </c>
    </row>
    <row r="31" customFormat="false" ht="15" hidden="false" customHeight="false" outlineLevel="0" collapsed="false">
      <c r="A31" s="0" t="s">
        <v>137</v>
      </c>
      <c r="B31" s="0" t="n">
        <f aca="false">L19</f>
        <v>1618.00585065838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21897.0125122434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19416.0702079006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19416.0702079006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8201.55788326263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17026.7510020128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18112.7510020128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85.1563281711932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-0.0591500588753381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920.097813885683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849.592266727423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93.476450788086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12165.0069512464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51.1186914329974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4</v>
      </c>
      <c r="D5" s="4" t="n">
        <f aca="false">Assumptions!D41</f>
        <v>3.8</v>
      </c>
      <c r="E5" s="4" t="n">
        <f aca="false">Assumptions!E41</f>
        <v>3.5</v>
      </c>
      <c r="F5" s="4" t="n">
        <f aca="false">Assumptions!F41</f>
        <v>3.2</v>
      </c>
      <c r="G5" s="4" t="n">
        <f aca="false">Assumptions!G41</f>
        <v>3</v>
      </c>
      <c r="H5" s="4" t="n">
        <f aca="false">Assumptions!H41</f>
        <v>2.8</v>
      </c>
      <c r="I5" s="4" t="n">
        <f aca="false">Assumptions!I41</f>
        <v>2.5</v>
      </c>
      <c r="J5" s="4" t="n">
        <f aca="false">Assumptions!J41</f>
        <v>2.3</v>
      </c>
      <c r="K5" s="4" t="n">
        <f aca="false">Assumptions!K41</f>
        <v>2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37</v>
      </c>
      <c r="B6" s="3" t="n">
        <v>41691</v>
      </c>
      <c r="C6" s="0" t="n">
        <f aca="false">B6*(1+C5/100)</f>
        <v>43358.64</v>
      </c>
      <c r="D6" s="0" t="n">
        <f aca="false">C6*(1+D5/100)</f>
        <v>45006.26832</v>
      </c>
      <c r="E6" s="0" t="n">
        <f aca="false">D6*(1+E5/100)</f>
        <v>46581.4877112</v>
      </c>
      <c r="F6" s="0" t="n">
        <f aca="false">E6*(1+F5/100)</f>
        <v>48072.0953179584</v>
      </c>
      <c r="G6" s="0" t="n">
        <f aca="false">F6*(1+G5/100)</f>
        <v>49514.2581774972</v>
      </c>
      <c r="H6" s="0" t="n">
        <f aca="false">G6*(1+H5/100)</f>
        <v>50900.6574064671</v>
      </c>
      <c r="I6" s="0" t="n">
        <f aca="false">H6*(1+I5/100)</f>
        <v>52173.1738416287</v>
      </c>
      <c r="J6" s="0" t="n">
        <f aca="false">I6*(1+J5/100)</f>
        <v>53373.1568399862</v>
      </c>
      <c r="K6" s="0" t="n">
        <f aca="false">J6*(1+K5/100)</f>
        <v>54440.6199767859</v>
      </c>
      <c r="L6" s="0" t="n">
        <f aca="false">K6*(1+L5/100)</f>
        <v>55529.4323763216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5.8</v>
      </c>
      <c r="D7" s="4" t="n">
        <f aca="false">Assumptions!D42</f>
        <v>6.1</v>
      </c>
      <c r="E7" s="4" t="n">
        <f aca="false">Assumptions!E42</f>
        <v>6.4</v>
      </c>
      <c r="F7" s="4" t="n">
        <f aca="false">Assumptions!F42</f>
        <v>6.7</v>
      </c>
      <c r="G7" s="4" t="n">
        <f aca="false">Assumptions!G42</f>
        <v>7</v>
      </c>
      <c r="H7" s="4" t="n">
        <f aca="false">Assumptions!H42</f>
        <v>7.2</v>
      </c>
      <c r="I7" s="4" t="n">
        <f aca="false">Assumptions!I42</f>
        <v>7.4</v>
      </c>
      <c r="J7" s="4" t="n">
        <f aca="false">Assumptions!J42</f>
        <v>7.5</v>
      </c>
      <c r="K7" s="4" t="n">
        <f aca="false">Assumptions!K42</f>
        <v>7.6</v>
      </c>
      <c r="L7" s="4" t="n">
        <f aca="false">Assumptions!L42</f>
        <v>7.6</v>
      </c>
    </row>
    <row r="8" customFormat="false" ht="15" hidden="false" customHeight="false" outlineLevel="0" collapsed="false">
      <c r="A8" s="0" t="s">
        <v>43</v>
      </c>
      <c r="C8" s="0" t="n">
        <f aca="false">C6*C7/100</f>
        <v>2514.80112</v>
      </c>
      <c r="D8" s="0" t="n">
        <f aca="false">D6*D7/100</f>
        <v>2745.38236752</v>
      </c>
      <c r="E8" s="0" t="n">
        <f aca="false">E6*E7/100</f>
        <v>2981.2152135168</v>
      </c>
      <c r="F8" s="0" t="n">
        <f aca="false">F6*F7/100</f>
        <v>3220.83038630321</v>
      </c>
      <c r="G8" s="0" t="n">
        <f aca="false">G6*G7/100</f>
        <v>3465.9980724248</v>
      </c>
      <c r="H8" s="0" t="n">
        <f aca="false">H6*H7/100</f>
        <v>3664.84733326563</v>
      </c>
      <c r="I8" s="0" t="n">
        <f aca="false">I6*I7/100</f>
        <v>3860.81486428053</v>
      </c>
      <c r="J8" s="0" t="n">
        <f aca="false">J6*J7/100</f>
        <v>4002.98676299896</v>
      </c>
      <c r="K8" s="0" t="n">
        <f aca="false">K6*K7/100</f>
        <v>4137.48711823573</v>
      </c>
      <c r="L8" s="0" t="n">
        <f aca="false">L6*L7/100</f>
        <v>4220.23686060045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0.33</v>
      </c>
      <c r="D9" s="4" t="n">
        <f aca="false">Assumptions!D43</f>
        <v>0.32</v>
      </c>
      <c r="E9" s="4" t="n">
        <f aca="false">Assumptions!E43</f>
        <v>0.31</v>
      </c>
      <c r="F9" s="4" t="n">
        <f aca="false">Assumptions!F43</f>
        <v>0.3</v>
      </c>
      <c r="G9" s="4" t="n">
        <f aca="false">Assumptions!G43</f>
        <v>0.29</v>
      </c>
      <c r="H9" s="4" t="n">
        <f aca="false">Assumptions!H43</f>
        <v>0.28</v>
      </c>
      <c r="I9" s="4" t="n">
        <f aca="false">Assumptions!I43</f>
        <v>0.28</v>
      </c>
      <c r="J9" s="4" t="n">
        <f aca="false">Assumptions!J43</f>
        <v>0.27</v>
      </c>
      <c r="K9" s="4" t="n">
        <f aca="false">Assumptions!K43</f>
        <v>0.27</v>
      </c>
      <c r="L9" s="4" t="n">
        <f aca="false">Assumptions!L43</f>
        <v>0.27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-143.083512</v>
      </c>
      <c r="D10" s="0" t="n">
        <f aca="false">-D6*D9/100</f>
        <v>-144.020058624</v>
      </c>
      <c r="E10" s="0" t="n">
        <f aca="false">-E6*E9/100</f>
        <v>-144.40261190472</v>
      </c>
      <c r="F10" s="0" t="n">
        <f aca="false">-F6*F9/100</f>
        <v>-144.216285953875</v>
      </c>
      <c r="G10" s="0" t="n">
        <f aca="false">-G6*G9/100</f>
        <v>-143.591348714742</v>
      </c>
      <c r="H10" s="0" t="n">
        <f aca="false">-H6*H9/100</f>
        <v>-142.521840738108</v>
      </c>
      <c r="I10" s="0" t="n">
        <f aca="false">-I6*I9/100</f>
        <v>-146.08488675656</v>
      </c>
      <c r="J10" s="0" t="n">
        <f aca="false">-J6*J9/100</f>
        <v>-144.107523467963</v>
      </c>
      <c r="K10" s="0" t="n">
        <f aca="false">-K6*K9/100</f>
        <v>-146.989673937322</v>
      </c>
      <c r="L10" s="0" t="n">
        <f aca="false">-L6*L9/100</f>
        <v>-149.929467416068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2371.717608</v>
      </c>
      <c r="D11" s="0" t="n">
        <f aca="false">D8+D10+D24</f>
        <v>2601.362308896</v>
      </c>
      <c r="E11" s="0" t="n">
        <f aca="false">E8+E10+E24</f>
        <v>2836.81260161208</v>
      </c>
      <c r="F11" s="0" t="n">
        <f aca="false">F8+F10+F24</f>
        <v>3076.61410034934</v>
      </c>
      <c r="G11" s="0" t="n">
        <f aca="false">G8+G10+G24</f>
        <v>3322.40672371006</v>
      </c>
      <c r="H11" s="0" t="n">
        <f aca="false">H8+H10+H24</f>
        <v>3522.32549252752</v>
      </c>
      <c r="I11" s="0" t="n">
        <f aca="false">I8+I10+I24</f>
        <v>3714.72997752397</v>
      </c>
      <c r="J11" s="0" t="n">
        <f aca="false">J8+J10+J24</f>
        <v>3858.879239531</v>
      </c>
      <c r="K11" s="0" t="n">
        <f aca="false">K8+K10+K24</f>
        <v>3990.49744429841</v>
      </c>
      <c r="L11" s="0" t="n">
        <f aca="false">L8+L10+L24</f>
        <v>4070.30739318438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-867.1728</v>
      </c>
      <c r="D12" s="4" t="n">
        <f aca="false">-D6*Assumptions!D45/100</f>
        <v>-900.1253664</v>
      </c>
      <c r="E12" s="4" t="n">
        <f aca="false">-E6*Assumptions!E45/100</f>
        <v>-885.0482665128</v>
      </c>
      <c r="F12" s="4" t="n">
        <f aca="false">-F6*Assumptions!F45/100</f>
        <v>-913.36981104121</v>
      </c>
      <c r="G12" s="4" t="n">
        <f aca="false">-G6*Assumptions!G45/100</f>
        <v>-940.770905372446</v>
      </c>
      <c r="H12" s="4" t="n">
        <f aca="false">-H6*Assumptions!H45/100</f>
        <v>-967.112490722874</v>
      </c>
      <c r="I12" s="4" t="n">
        <f aca="false">-I6*Assumptions!I45/100</f>
        <v>-991.290302990946</v>
      </c>
      <c r="J12" s="4" t="n">
        <f aca="false">-J6*Assumptions!J45/100</f>
        <v>-1014.08997995974</v>
      </c>
      <c r="K12" s="4" t="n">
        <f aca="false">-K6*Assumptions!K45/100</f>
        <v>-1034.37177955893</v>
      </c>
      <c r="L12" s="4" t="n">
        <f aca="false">-L6*Assumptions!L45/100</f>
        <v>-1055.05921515011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1504.544808</v>
      </c>
      <c r="D13" s="0" t="n">
        <f aca="false">D11+D12</f>
        <v>1701.236942496</v>
      </c>
      <c r="E13" s="0" t="n">
        <f aca="false">E11+E12</f>
        <v>1951.76433509928</v>
      </c>
      <c r="F13" s="0" t="n">
        <f aca="false">F11+F12</f>
        <v>2163.24428930813</v>
      </c>
      <c r="G13" s="0" t="n">
        <f aca="false">G11+G12</f>
        <v>2381.63581833761</v>
      </c>
      <c r="H13" s="0" t="n">
        <f aca="false">H11+H12</f>
        <v>2555.21300180465</v>
      </c>
      <c r="I13" s="0" t="n">
        <f aca="false">I11+I12</f>
        <v>2723.43967453302</v>
      </c>
      <c r="J13" s="0" t="n">
        <f aca="false">J11+J12</f>
        <v>2844.78925957126</v>
      </c>
      <c r="K13" s="0" t="n">
        <f aca="false">K11+K12</f>
        <v>2956.12566473948</v>
      </c>
      <c r="L13" s="0" t="n">
        <f aca="false">L11+L12</f>
        <v>3015.24817803427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24</v>
      </c>
      <c r="D14" s="4" t="n">
        <f aca="false">Assumptions!D47</f>
        <v>24</v>
      </c>
      <c r="E14" s="4" t="n">
        <f aca="false">Assumptions!E47</f>
        <v>24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1143.45405408</v>
      </c>
      <c r="D15" s="0" t="n">
        <f aca="false">D13-MAX(0,D13)*D14/100</f>
        <v>1292.94007629696</v>
      </c>
      <c r="E15" s="0" t="n">
        <f aca="false">E13-MAX(0,E13)*E14/100</f>
        <v>1483.34089467545</v>
      </c>
      <c r="F15" s="0" t="n">
        <f aca="false">F13-MAX(0,F13)*F14/100</f>
        <v>1644.06565987418</v>
      </c>
      <c r="G15" s="0" t="n">
        <f aca="false">G13-MAX(0,G13)*G14/100</f>
        <v>1810.04322193659</v>
      </c>
      <c r="H15" s="0" t="n">
        <f aca="false">H13-MAX(0,H13)*H14/100</f>
        <v>1941.96188137153</v>
      </c>
      <c r="I15" s="0" t="n">
        <f aca="false">I13-MAX(0,I13)*I14/100</f>
        <v>2069.8141526451</v>
      </c>
      <c r="J15" s="0" t="n">
        <f aca="false">J13-MAX(0,J13)*J14/100</f>
        <v>2162.03983727416</v>
      </c>
      <c r="K15" s="0" t="n">
        <f aca="false">K13-MAX(0,K13)*K14/100</f>
        <v>2246.655505202</v>
      </c>
      <c r="L15" s="0" t="n">
        <f aca="false">L13-MAX(0,L13)*L14/100</f>
        <v>2291.58861530604</v>
      </c>
    </row>
    <row r="16" customFormat="false" ht="15" hidden="false" customHeight="false" outlineLevel="0" collapsed="false">
      <c r="A16" s="0" t="s">
        <v>128</v>
      </c>
      <c r="C16" s="0" t="n">
        <f aca="false">-C12</f>
        <v>867.1728</v>
      </c>
      <c r="D16" s="0" t="n">
        <f aca="false">-D12</f>
        <v>900.1253664</v>
      </c>
      <c r="E16" s="0" t="n">
        <f aca="false">-E12</f>
        <v>885.0482665128</v>
      </c>
      <c r="F16" s="0" t="n">
        <f aca="false">-F12</f>
        <v>913.36981104121</v>
      </c>
      <c r="G16" s="0" t="n">
        <f aca="false">-G12</f>
        <v>940.770905372446</v>
      </c>
      <c r="H16" s="0" t="n">
        <f aca="false">-H12</f>
        <v>967.112490722874</v>
      </c>
      <c r="I16" s="0" t="n">
        <f aca="false">-I12</f>
        <v>991.290302990946</v>
      </c>
      <c r="J16" s="0" t="n">
        <f aca="false">-J12</f>
        <v>1014.08997995974</v>
      </c>
      <c r="K16" s="0" t="n">
        <f aca="false">-K12</f>
        <v>1034.37177955893</v>
      </c>
      <c r="L16" s="0" t="n">
        <f aca="false">-L12</f>
        <v>1055.05921515011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-737.09688</v>
      </c>
      <c r="D17" s="4" t="n">
        <f aca="false">-D6*Assumptions!D46/100</f>
        <v>-765.10656144</v>
      </c>
      <c r="E17" s="4" t="n">
        <f aca="false">-E6*Assumptions!E46/100</f>
        <v>-791.8852910904</v>
      </c>
      <c r="F17" s="4" t="n">
        <f aca="false">-F6*Assumptions!F46/100</f>
        <v>-817.225620405293</v>
      </c>
      <c r="G17" s="4" t="n">
        <f aca="false">-G6*Assumptions!G46/100</f>
        <v>-841.742389017452</v>
      </c>
      <c r="H17" s="4" t="n">
        <f aca="false">-H6*Assumptions!H46/100</f>
        <v>-865.31117590994</v>
      </c>
      <c r="I17" s="4" t="n">
        <f aca="false">-I6*Assumptions!I46/100</f>
        <v>-886.943955307689</v>
      </c>
      <c r="J17" s="4" t="n">
        <f aca="false">-J6*Assumptions!J46/100</f>
        <v>-907.343666279765</v>
      </c>
      <c r="K17" s="4" t="n">
        <f aca="false">-K6*Assumptions!K46/100</f>
        <v>-925.490539605361</v>
      </c>
      <c r="L17" s="4" t="n">
        <f aca="false">-L6*Assumptions!L46/100</f>
        <v>-944.000350397468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-50.0292</v>
      </c>
      <c r="D18" s="4" t="n">
        <f aca="false">(D6-C6)*Assumptions!$B$51/100</f>
        <v>-49.4288496000001</v>
      </c>
      <c r="E18" s="4" t="n">
        <f aca="false">(E6-D6)*Assumptions!$B$51/100</f>
        <v>-47.2565817359998</v>
      </c>
      <c r="F18" s="4" t="n">
        <f aca="false">(F6-E6)*Assumptions!$B$51/100</f>
        <v>-44.718228202752</v>
      </c>
      <c r="G18" s="4" t="n">
        <f aca="false">(G6-F6)*Assumptions!$B$51/100</f>
        <v>-43.2648857861626</v>
      </c>
      <c r="H18" s="4" t="n">
        <f aca="false">(H6-G6)*Assumptions!$B$51/100</f>
        <v>-41.5919768690977</v>
      </c>
      <c r="I18" s="4" t="n">
        <f aca="false">(I6-H6)*Assumptions!$B$51/100</f>
        <v>-38.1754930548501</v>
      </c>
      <c r="J18" s="4" t="n">
        <f aca="false">(J6-I6)*Assumptions!$B$51/100</f>
        <v>-35.9994899507236</v>
      </c>
      <c r="K18" s="4" t="n">
        <f aca="false">(K6-J6)*Assumptions!$B$51/100</f>
        <v>-32.0238941039918</v>
      </c>
      <c r="L18" s="4" t="n">
        <f aca="false">(L6-K6)*Assumptions!$B$51/100</f>
        <v>-32.6643719860715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1223.50077408</v>
      </c>
      <c r="D19" s="0" t="n">
        <f aca="false">D15+D16+D17+D18</f>
        <v>1378.53003165696</v>
      </c>
      <c r="E19" s="0" t="n">
        <f aca="false">E15+E16+E17+E18</f>
        <v>1529.24728836185</v>
      </c>
      <c r="F19" s="0" t="n">
        <f aca="false">F15+F16+F17+F18</f>
        <v>1695.49162230734</v>
      </c>
      <c r="G19" s="0" t="n">
        <f aca="false">G15+G16+G17+G18</f>
        <v>1865.80685250542</v>
      </c>
      <c r="H19" s="0" t="n">
        <f aca="false">H15+H16+H17+H18</f>
        <v>2002.17121931537</v>
      </c>
      <c r="I19" s="0" t="n">
        <f aca="false">I15+I16+I17+I18</f>
        <v>2135.9850072735</v>
      </c>
      <c r="J19" s="0" t="n">
        <f aca="false">J15+J16+J17+J18</f>
        <v>2232.78666100341</v>
      </c>
      <c r="K19" s="0" t="n">
        <f aca="false">K15+K16+K17+K18</f>
        <v>2323.51285105158</v>
      </c>
      <c r="L19" s="0" t="n">
        <f aca="false">L15+L16+L17+L18</f>
        <v>2369.98310807261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1132.87108711111</v>
      </c>
      <c r="D21" s="0" t="n">
        <f aca="false">D19*D20</f>
        <v>1181.86731109136</v>
      </c>
      <c r="E21" s="0" t="n">
        <f aca="false">E19*E20</f>
        <v>1213.96580199431</v>
      </c>
      <c r="F21" s="0" t="n">
        <f aca="false">F19*F20</f>
        <v>1246.23695756219</v>
      </c>
      <c r="G21" s="0" t="n">
        <f aca="false">G19*G20</f>
        <v>1269.83679272562</v>
      </c>
      <c r="H21" s="0" t="n">
        <f aca="false">H19*H20</f>
        <v>1261.70749023206</v>
      </c>
      <c r="I21" s="0" t="n">
        <f aca="false">I19*I20</f>
        <v>1246.32673616801</v>
      </c>
      <c r="J21" s="0" t="n">
        <f aca="false">J19*J20</f>
        <v>1206.3051586712</v>
      </c>
      <c r="K21" s="0" t="n">
        <f aca="false">K19*K20</f>
        <v>1162.33490385522</v>
      </c>
      <c r="L21" s="0" t="n">
        <f aca="false">L19*L20</f>
        <v>1097.76074252993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12019.212981941</v>
      </c>
    </row>
    <row r="31" customFormat="false" ht="15" hidden="false" customHeight="false" outlineLevel="0" collapsed="false">
      <c r="A31" s="0" t="s">
        <v>137</v>
      </c>
      <c r="B31" s="0" t="n">
        <f aca="false">L19</f>
        <v>2369.98310807261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40289.7128372344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33179.7635130166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33179.7635130166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15368.6503954191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27387.8633773601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28473.8633773601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133.868657157311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0.479048250550339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970.20596413519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1180.58800064517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143.980523470336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18595.2520787236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67.4005102023519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41.1661507358371</v>
      </c>
      <c r="C4" s="0" t="n">
        <f aca="false">B4/Assumptions!$B$2-1</f>
        <v>-0.545175663066654</v>
      </c>
      <c r="D4" s="4" t="n">
        <f aca="false">Assumptions!$B$24</f>
        <v>0.25</v>
      </c>
      <c r="E4" s="4" t="n">
        <f aca="false">DCF_Bear!$B$43</f>
        <v>47.6360307639351</v>
      </c>
      <c r="F4" s="4" t="n">
        <f aca="false">DCF_Bear!$B$47</f>
        <v>30.3920265222616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85.1563281711932</v>
      </c>
      <c r="C5" s="0" t="n">
        <f aca="false">B5/Assumptions!$B$2-1</f>
        <v>-0.0591500588753381</v>
      </c>
      <c r="D5" s="4" t="n">
        <f aca="false">Assumptions!$B$38</f>
        <v>0.5</v>
      </c>
      <c r="E5" s="4" t="n">
        <f aca="false">DCF_Base!$B$43</f>
        <v>93.476450788086</v>
      </c>
      <c r="F5" s="4" t="n">
        <f aca="false">DCF_Base!$B$47</f>
        <v>51.1186914329974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133.868657157311</v>
      </c>
      <c r="C6" s="0" t="n">
        <f aca="false">B6/Assumptions!$B$2-1</f>
        <v>0.479048250550339</v>
      </c>
      <c r="D6" s="4" t="n">
        <f aca="false">Assumptions!$B$52</f>
        <v>0.25</v>
      </c>
      <c r="E6" s="4" t="n">
        <f aca="false">DCF_Bull!$B$43</f>
        <v>143.980523470336</v>
      </c>
      <c r="F6" s="4" t="n">
        <f aca="false">DCF_Bull!$B$47</f>
        <v>67.4005102023519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86.3368660588837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94.6423639526108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-0.0483354809088179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50.2454397618738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50.0074798976521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85.1563281711932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79.7318767284038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71.5741039953551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64.9824759277414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51.1186914329974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0.5</v>
      </c>
      <c r="C22" s="3" t="n">
        <v>1</v>
      </c>
      <c r="D22" s="3" t="n">
        <v>1.5</v>
      </c>
      <c r="E22" s="3" t="n">
        <v>2</v>
      </c>
      <c r="F22" s="3" t="n">
        <v>2.5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97.2004301352393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97.2004301352393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97.2004301352393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97.2004301352393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97.2004301352393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90.9035216334519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90.9035216334519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90.9035216334519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90.9035216334519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90.9035216334519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84.5892800031532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85.1563281711932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85.1563281711932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85.1563281711932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85.1563281711932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75.7367008733603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77.6233116937975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79.7318767284038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79.9043956857807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79.9043956857807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68.5928918330422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70.0089676101408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71.5741039953551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73.313144423371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75.099185944036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2026-09-25T22:59:08Z</dcterms:created>
  <dc:creator>openpyxl</dc:creator>
  <dc:description/>
  <dc:language>en-NZ</dc:language>
  <cp:lastModifiedBy/>
  <dcterms:modified xsi:type="dcterms:W3CDTF">2026-09-25T22:59:08Z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