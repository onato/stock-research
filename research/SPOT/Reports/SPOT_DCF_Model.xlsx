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s" sheetId="2" r:id="rId2"/>
    <sheet name="Sensitivity" sheetId="3" r:id="rId3"/>
    <sheet name="Historical" sheetId="4" r:id="rId4"/>
    <sheet name="Sanity Check" sheetId="5" r:id="rId5"/>
  </sheets>
  <calcPr calcId="124519" fullCalcOnLoad="1"/>
</workbook>
</file>

<file path=xl/sharedStrings.xml><?xml version="1.0" encoding="utf-8"?>
<sst xmlns="http://schemas.openxmlformats.org/spreadsheetml/2006/main" count="241" uniqueCount="178">
  <si>
    <t>SPOT — Spotify Technology S.A. — DCF Valuation</t>
  </si>
  <si>
    <t>Gray cells are INPUT assumptions — edit them to see results update automatically</t>
  </si>
  <si>
    <t>Valuation date: 2026-06-30  |  All financials in EUR millions  |  Intrinsic value in USD</t>
  </si>
  <si>
    <t>A. KEY INPUTS</t>
  </si>
  <si>
    <t>Current Stock Price (USD)</t>
  </si>
  <si>
    <t>EUR/USD Exchange Rate</t>
  </si>
  <si>
    <t>Shares Outstanding (M)</t>
  </si>
  <si>
    <t>Cash + ST Investments (EUR M)</t>
  </si>
  <si>
    <t>Total Debt (EUR M, lease liabilities)</t>
  </si>
  <si>
    <t>Net Debt (EUR M)</t>
  </si>
  <si>
    <t>Base Year Revenue (EUR M, FY2025)</t>
  </si>
  <si>
    <t>Base Year FCF (EUR M, FY2025)</t>
  </si>
  <si>
    <t>WACC (Base)</t>
  </si>
  <si>
    <t>Terminal Growth Rate (Base)</t>
  </si>
  <si>
    <t>Note: Bull/Bear WACC &amp; TG hardcoded in columns E/F on projections sheet</t>
  </si>
  <si>
    <t>B. REVENUE GROWTH &amp; FCF MARGIN ASSUMPTIONS (BASE CASE)</t>
  </si>
  <si>
    <t>Year</t>
  </si>
  <si>
    <t>Year 1</t>
  </si>
  <si>
    <t>Year 2</t>
  </si>
  <si>
    <t>Year 3</t>
  </si>
  <si>
    <t>Year 4</t>
  </si>
  <si>
    <t>Year 5</t>
  </si>
  <si>
    <t>Revenue Growth Rate</t>
  </si>
  <si>
    <t>FCF Margin (%)</t>
  </si>
  <si>
    <t>Projected Revenue (EUR M)</t>
  </si>
  <si>
    <t>Projected FCF (EUR M)</t>
  </si>
  <si>
    <t>Discount Factor (WACC)</t>
  </si>
  <si>
    <t>PV of FCF (EUR M)</t>
  </si>
  <si>
    <t>C. BASE CASE VALUATION</t>
  </si>
  <si>
    <t>Sum of PV of FCF (EUR M)</t>
  </si>
  <si>
    <t>Terminal FCF = Y5 FCF × (1 + TG)</t>
  </si>
  <si>
    <t>Terminal Value (EUR M)</t>
  </si>
  <si>
    <t>PV of Terminal Value (EUR M)</t>
  </si>
  <si>
    <t>Enterprise Value (EUR M)</t>
  </si>
  <si>
    <t>Less: Net Debt (EUR M) [neg = net cash]</t>
  </si>
  <si>
    <t>Equity Value (EUR M)</t>
  </si>
  <si>
    <t>Intrinsic Value / Share (EUR)</t>
  </si>
  <si>
    <t>INTRINSIC VALUE / SHARE (USD)</t>
  </si>
  <si>
    <t>Upside / (Downside) vs. Current Price</t>
  </si>
  <si>
    <t>Terminal Value % of Enterprise Value</t>
  </si>
  <si>
    <t>Implied Terminal EV/FCF Multiple</t>
  </si>
  <si>
    <t>D. ENTRY PRICE (15% CAGR TARGET)</t>
  </si>
  <si>
    <t>Terminal Value per Share (USD)</t>
  </si>
  <si>
    <t>Entry Price for 15% CAGR (USD)</t>
  </si>
  <si>
    <t>Entry Discount from Current Price</t>
  </si>
  <si>
    <t>Note: Entry price is the price at which buying today delivers ≥15% CAGR if stock reaches terminal value in 5yr</t>
  </si>
  <si>
    <t>E. SCENARIO SUMMARY (reference — edit Scenarios sheet for bull/bear)</t>
  </si>
  <si>
    <t>Scenario</t>
  </si>
  <si>
    <t>Intrinsic Value (USD)</t>
  </si>
  <si>
    <t>Upside / Downside</t>
  </si>
  <si>
    <t>Entry Price @ 15% CAGR</t>
  </si>
  <si>
    <t>Bull Case</t>
  </si>
  <si>
    <t>Base Case (this sheet)</t>
  </si>
  <si>
    <t>Bear Case</t>
  </si>
  <si>
    <t>Probability Weighted (25/50/25)</t>
  </si>
  <si>
    <t>SPOT — All Three Scenarios (Bull / Base / Bear)</t>
  </si>
  <si>
    <t>Gray = editable inputs. Intrinsic values linked to DCF Model sheet for shared inputs (price, shares, FX, balance sheet).</t>
  </si>
  <si>
    <t>BASE CASE</t>
  </si>
  <si>
    <t>BULL CASE</t>
  </si>
  <si>
    <t>BEAR CASE</t>
  </si>
  <si>
    <t>WACC</t>
  </si>
  <si>
    <t>Terminal Growth Rate</t>
  </si>
  <si>
    <t>Revenue Growth Rates</t>
  </si>
  <si>
    <t>Y1</t>
  </si>
  <si>
    <t>Y2</t>
  </si>
  <si>
    <t>Y3</t>
  </si>
  <si>
    <t>Y4</t>
  </si>
  <si>
    <t>Y5</t>
  </si>
  <si>
    <t>FCF Margin per Year</t>
  </si>
  <si>
    <t>Revenue Projections (EUR M)</t>
  </si>
  <si>
    <t>FCF Projections (EUR M)</t>
  </si>
  <si>
    <t>Discount Factors</t>
  </si>
  <si>
    <t>Valuation</t>
  </si>
  <si>
    <t>Sum PV of FCF (EUR M)</t>
  </si>
  <si>
    <t>Terminal FCF (EUR M)</t>
  </si>
  <si>
    <t>Upside / (Downside)</t>
  </si>
  <si>
    <t>TV per Share (USD)</t>
  </si>
  <si>
    <t>Entry Price @ 15% CAGR (USD)</t>
  </si>
  <si>
    <t>SPOT — Sensitivity Analysis: Intrinsic Value (USD) by WACC &amp; Terminal Growth</t>
  </si>
  <si>
    <t>Base case revenue growth rates [15,14,12,10,8]% and FCF margins [17.5,18.5,19.5,20.5,21.5]% held constant.</t>
  </si>
  <si>
    <t>Net cash €8,270M added; shares 205.6M; EUR/USD linked to DCF Model sheet.</t>
  </si>
  <si>
    <t>WACC \ Term G</t>
  </si>
  <si>
    <t>2.0%</t>
  </si>
  <si>
    <t>2.5%</t>
  </si>
  <si>
    <t>3.0%</t>
  </si>
  <si>
    <t>3.5%</t>
  </si>
  <si>
    <t>4.0%</t>
  </si>
  <si>
    <t>8%</t>
  </si>
  <si>
    <t>9%</t>
  </si>
  <si>
    <t>10%</t>
  </si>
  <si>
    <t>11%</t>
  </si>
  <si>
    <t>12%</t>
  </si>
  <si>
    <t>Blue cell = Base case (WACC 10%, TG 3%)</t>
  </si>
  <si>
    <t>Green = IV more than 20% above current price ($462.29)</t>
  </si>
  <si>
    <t>Red = IV more than 20% below current price</t>
  </si>
  <si>
    <t>Current price: $462.29  |  EUR/USD: 1.1396</t>
  </si>
  <si>
    <t>For reference:</t>
  </si>
  <si>
    <t>Current Price (USD)</t>
  </si>
  <si>
    <t>EUR/USD Rate</t>
  </si>
  <si>
    <t>SPOT — Historical Financials (EUR Millions)</t>
  </si>
  <si>
    <t>Source: SPOT_Metrics.csv. All values in EUR millions except EPS, shares (M), margins (%).</t>
  </si>
  <si>
    <t>Period</t>
  </si>
  <si>
    <t>Revenue</t>
  </si>
  <si>
    <t>Gross Profit</t>
  </si>
  <si>
    <t>Gross Margin</t>
  </si>
  <si>
    <t>Op Income</t>
  </si>
  <si>
    <t>Op Margin</t>
  </si>
  <si>
    <t>Net Income</t>
  </si>
  <si>
    <t>EPS (Dil)</t>
  </si>
  <si>
    <t>FCF</t>
  </si>
  <si>
    <t>Equity</t>
  </si>
  <si>
    <t>Cash</t>
  </si>
  <si>
    <t>Debt</t>
  </si>
  <si>
    <t>Shares (M)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</si>
  <si>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</si>
  <si>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</si>
  <si>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</si>
  <si>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</si>
  <si>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</si>
  <si>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</si>
  <si>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</si>
  <si>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</si>
  <si>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</si>
  <si>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</si>
  <si>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Historical Growth Rates</t>
  </si>
  <si>
    <t>Metric</t>
  </si>
  <si>
    <t>3-Year CAGR</t>
  </si>
  <si>
    <t>5-Year CAGR</t>
  </si>
  <si>
    <t>Notes</t>
  </si>
  <si>
    <t>FY2022-FY2025 / FY2020-FY2025</t>
  </si>
  <si>
    <t>EPS</t>
  </si>
  <si>
    <t>N/A — loss years</t>
  </si>
  <si>
    <t>All years negative through FY2023; 1yr CAGR FY2024-25: +91%</t>
  </si>
  <si>
    <t>Equity (Book Value)</t>
  </si>
  <si>
    <t>Distorted by accumulated deficit reversal and SBC — not primary driver</t>
  </si>
  <si>
    <t>N/A — near-zero base</t>
  </si>
  <si>
    <t>FY2022 FCF €21M (trough); 5yr CAGR = inflection, not repeatable</t>
  </si>
  <si>
    <t>Selected Anchor Rate</t>
  </si>
  <si>
    <t>Revenue 5yr CAGR; aligns with management mid-teens 2030 Investor Day target</t>
  </si>
  <si>
    <t>SPOT — Sanity Check: Implied Multiples vs. History</t>
  </si>
  <si>
    <t>Excludes loss years (FY2016-FY2023) from P/E averages per methodology.</t>
  </si>
  <si>
    <t>Current Market Multiples</t>
  </si>
  <si>
    <t>$462.29</t>
  </si>
  <si>
    <t>Market Cap (USD M)</t>
  </si>
  <si>
    <t>95,047</t>
  </si>
  <si>
    <t>Net Cash (USD M)</t>
  </si>
  <si>
    <t>9,424</t>
  </si>
  <si>
    <t>Enterprise Value (USD M)</t>
  </si>
  <si>
    <t>85,622</t>
  </si>
  <si>
    <t>EV / FCF (FY2025)</t>
  </si>
  <si>
    <t>26.1×</t>
  </si>
  <si>
    <t>P / FCF (FY2025)</t>
  </si>
  <si>
    <t>29.0×</t>
  </si>
  <si>
    <t>EV / Revenue (FY2025)</t>
  </si>
  <si>
    <t>4.37×</t>
  </si>
  <si>
    <t>P/E (FY2025, includes TME MTM)</t>
  </si>
  <si>
    <t>37.7×</t>
  </si>
  <si>
    <t>Historical EV/FCF at Year-End Price</t>
  </si>
  <si>
    <t>Year-End Price</t>
  </si>
  <si>
    <t>FCF (EUR M)</t>
  </si>
  <si>
    <t>EV/FCF</t>
  </si>
  <si>
    <t>Current (2026-06-30)</t>
  </si>
  <si>
    <t>Historical P/E (profitable years only)</t>
  </si>
  <si>
    <t>EPS (USD)</t>
  </si>
  <si>
    <t>P/E</t>
  </si>
  <si>
    <t>FY2024 (at year-end)</t>
  </si>
  <si>
    <t>FY2025 (at year-end)</t>
  </si>
  <si>
    <t>FY2025 (at current)</t>
  </si>
  <si>
    <t>DCF Implied Terminal Multiple</t>
  </si>
  <si>
    <t>Terminal EV/FCF (Base, at Year 5)</t>
  </si>
  <si>
    <t>14.3×</t>
  </si>
  <si>
    <t>Current market EV/FCF</t>
  </si>
  <si>
    <t>Implied de-rating required</t>
  </si>
  <si>
    <t>-46% over 5 years</t>
  </si>
  <si>
    <t>Assessment</t>
  </si>
  <si>
    <t>Conservative — model does NOT require stock to hold current multiple</t>
  </si>
  <si>
    <t>VERDICT: PASSED</t>
  </si>
  <si>
    <t>No structural anomaly. Base case ~$473 ≈ current price $462. Implied terminal multiple 14.3× &lt; current 26× — conservative assumption.</t>
  </si>
</sst>
</file>

<file path=xl/styles.xml><?xml version="1.0" encoding="utf-8"?>
<styleSheet xmlns="http://schemas.openxmlformats.org/spreadsheetml/2006/main">
  <numFmts count="9">
    <numFmt numFmtId="164" formatCode="&quot;$&quot;#,##0.00"/>
    <numFmt numFmtId="165" formatCode="0.0000"/>
    <numFmt numFmtId="166" formatCode="#,##0.0"/>
    <numFmt numFmtId="167" formatCode="#,##0"/>
    <numFmt numFmtId="168" formatCode="0.0%"/>
    <numFmt numFmtId="169" formatCode="€#,##0.00"/>
    <numFmt numFmtId="170" formatCode="&quot;$&quot;#,##0"/>
    <numFmt numFmtId="171" formatCode="0.0"/>
    <numFmt numFmtId="172" formatCode="0.0&quot;×&quot;"/>
  </numFmts>
  <fonts count="8">
    <font>
      <sz val="11"/>
      <color theme="1"/>
      <name val="Calibri"/>
      <family val="2"/>
      <scheme val="minor"/>
    </font>
    <font>
      <b/>
      <sz val="16"/>
      <color rgb="FF2D3436"/>
      <name val="Calibri"/>
      <family val="2"/>
      <scheme val="minor"/>
    </font>
    <font>
      <i/>
      <sz val="10"/>
      <color rgb="FF636E72"/>
      <name val="Calibri"/>
      <family val="2"/>
      <scheme val="minor"/>
    </font>
    <font>
      <i/>
      <sz val="9"/>
      <color rgb="FF636E72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D4FAF0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FDE8E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164" fontId="0" fillId="2" borderId="2" xfId="0" applyNumberFormat="1" applyFill="1" applyBorder="1" applyAlignment="1">
      <alignment horizontal="right"/>
    </xf>
    <xf numFmtId="165" fontId="0" fillId="2" borderId="2" xfId="0" applyNumberFormat="1" applyFill="1" applyBorder="1" applyAlignment="1">
      <alignment horizontal="right"/>
    </xf>
    <xf numFmtId="166" fontId="0" fillId="2" borderId="2" xfId="0" applyNumberFormat="1" applyFill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8" fontId="0" fillId="2" borderId="2" xfId="0" applyNumberFormat="1" applyFill="1" applyBorder="1" applyAlignment="1">
      <alignment horizontal="right"/>
    </xf>
    <xf numFmtId="0" fontId="5" fillId="3" borderId="2" xfId="0" applyFont="1" applyFill="1" applyBorder="1" applyAlignment="1">
      <alignment horizontal="center"/>
    </xf>
    <xf numFmtId="166" fontId="0" fillId="0" borderId="2" xfId="0" applyNumberFormat="1" applyBorder="1" applyAlignment="1">
      <alignment horizontal="right"/>
    </xf>
    <xf numFmtId="169" fontId="0" fillId="0" borderId="2" xfId="0" applyNumberFormat="1" applyBorder="1" applyAlignment="1">
      <alignment horizontal="right"/>
    </xf>
    <xf numFmtId="0" fontId="4" fillId="0" borderId="0" xfId="0" applyFont="1"/>
    <xf numFmtId="164" fontId="5" fillId="4" borderId="2" xfId="0" applyNumberFormat="1" applyFont="1" applyFill="1" applyBorder="1" applyAlignment="1">
      <alignment horizontal="right"/>
    </xf>
    <xf numFmtId="168" fontId="0" fillId="0" borderId="2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5" fillId="4" borderId="2" xfId="0" applyFont="1" applyFill="1" applyBorder="1" applyAlignment="1">
      <alignment horizontal="center"/>
    </xf>
    <xf numFmtId="168" fontId="0" fillId="5" borderId="2" xfId="0" applyNumberFormat="1" applyFill="1" applyBorder="1" applyAlignment="1">
      <alignment horizontal="right"/>
    </xf>
    <xf numFmtId="0" fontId="5" fillId="6" borderId="2" xfId="0" applyFont="1" applyFill="1" applyBorder="1" applyAlignment="1">
      <alignment horizontal="center"/>
    </xf>
    <xf numFmtId="164" fontId="5" fillId="6" borderId="2" xfId="0" applyNumberFormat="1" applyFont="1" applyFill="1" applyBorder="1" applyAlignment="1">
      <alignment horizontal="right"/>
    </xf>
    <xf numFmtId="168" fontId="0" fillId="7" borderId="2" xfId="0" applyNumberFormat="1" applyFill="1" applyBorder="1" applyAlignment="1">
      <alignment horizontal="right"/>
    </xf>
    <xf numFmtId="0" fontId="5" fillId="8" borderId="2" xfId="0" applyFont="1" applyFill="1" applyBorder="1" applyAlignment="1">
      <alignment horizontal="center"/>
    </xf>
    <xf numFmtId="164" fontId="5" fillId="8" borderId="2" xfId="0" applyNumberFormat="1" applyFont="1" applyFill="1" applyBorder="1" applyAlignment="1">
      <alignment horizontal="right"/>
    </xf>
    <xf numFmtId="168" fontId="0" fillId="9" borderId="2" xfId="0" applyNumberFormat="1" applyFill="1" applyBorder="1" applyAlignment="1">
      <alignment horizontal="right"/>
    </xf>
    <xf numFmtId="167" fontId="0" fillId="7" borderId="2" xfId="0" applyNumberFormat="1" applyFill="1" applyBorder="1" applyAlignment="1">
      <alignment horizontal="right"/>
    </xf>
    <xf numFmtId="167" fontId="0" fillId="5" borderId="2" xfId="0" applyNumberFormat="1" applyFill="1" applyBorder="1" applyAlignment="1">
      <alignment horizontal="right"/>
    </xf>
    <xf numFmtId="167" fontId="0" fillId="9" borderId="2" xfId="0" applyNumberFormat="1" applyFill="1" applyBorder="1" applyAlignment="1">
      <alignment horizontal="right"/>
    </xf>
    <xf numFmtId="0" fontId="6" fillId="0" borderId="0" xfId="0" applyFont="1"/>
    <xf numFmtId="170" fontId="0" fillId="5" borderId="2" xfId="0" applyNumberFormat="1" applyFill="1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0" fontId="5" fillId="6" borderId="3" xfId="0" applyNumberFormat="1" applyFont="1" applyFill="1" applyBorder="1" applyAlignment="1">
      <alignment horizontal="center"/>
    </xf>
    <xf numFmtId="170" fontId="0" fillId="9" borderId="2" xfId="0" applyNumberFormat="1" applyFill="1" applyBorder="1" applyAlignment="1">
      <alignment horizontal="center"/>
    </xf>
    <xf numFmtId="0" fontId="0" fillId="0" borderId="2" xfId="0" applyBorder="1"/>
    <xf numFmtId="171" fontId="0" fillId="0" borderId="2" xfId="0" applyNumberFormat="1" applyBorder="1" applyAlignment="1">
      <alignment horizontal="right"/>
    </xf>
    <xf numFmtId="172" fontId="0" fillId="0" borderId="2" xfId="0" applyNumberFormat="1" applyBorder="1" applyAlignment="1">
      <alignment horizontal="right"/>
    </xf>
    <xf numFmtId="0" fontId="7" fillId="4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zoomScale="90" zoomScaleNormal="90" workbookViewId="0"/>
  </sheetViews>
  <sheetFormatPr defaultRowHeight="15"/>
  <cols>
    <col min="1" max="1" width="30.7109375" customWidth="1"/>
    <col min="2" max="2" width="16.7109375" customWidth="1"/>
    <col min="3" max="8" width="13.71093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3" t="s">
        <v>2</v>
      </c>
    </row>
    <row r="5" spans="1:2">
      <c r="A5" s="4" t="s">
        <v>3</v>
      </c>
    </row>
    <row r="6" spans="1:2">
      <c r="A6" t="s">
        <v>4</v>
      </c>
      <c r="B6" s="5">
        <v>462.29</v>
      </c>
    </row>
    <row r="7" spans="1:2">
      <c r="A7" t="s">
        <v>5</v>
      </c>
      <c r="B7" s="6">
        <v>1.1396</v>
      </c>
    </row>
    <row r="8" spans="1:2">
      <c r="A8" t="s">
        <v>6</v>
      </c>
      <c r="B8" s="7">
        <v>205.6</v>
      </c>
    </row>
    <row r="9" spans="1:2">
      <c r="A9" t="s">
        <v>7</v>
      </c>
      <c r="B9" s="7">
        <v>8746</v>
      </c>
    </row>
    <row r="10" spans="1:2">
      <c r="A10" t="s">
        <v>8</v>
      </c>
      <c r="B10" s="7">
        <v>476</v>
      </c>
    </row>
    <row r="11" spans="1:2">
      <c r="A11" t="s">
        <v>9</v>
      </c>
      <c r="B11" s="8">
        <f>B10-B9</f>
        <v>0</v>
      </c>
    </row>
    <row r="12" spans="1:2">
      <c r="A12" t="s">
        <v>10</v>
      </c>
      <c r="B12" s="7">
        <v>17186</v>
      </c>
    </row>
    <row r="13" spans="1:2">
      <c r="A13" t="s">
        <v>11</v>
      </c>
      <c r="B13" s="7">
        <v>2874</v>
      </c>
    </row>
    <row r="14" spans="1:2">
      <c r="A14" t="s">
        <v>12</v>
      </c>
      <c r="B14" s="9">
        <v>0.1</v>
      </c>
    </row>
    <row r="15" spans="1:2">
      <c r="A15" t="s">
        <v>13</v>
      </c>
      <c r="B15" s="9">
        <v>0.03</v>
      </c>
    </row>
    <row r="16" spans="1:2">
      <c r="A16" s="3" t="s">
        <v>14</v>
      </c>
    </row>
    <row r="18" spans="1:6">
      <c r="A18" s="4" t="s">
        <v>15</v>
      </c>
    </row>
    <row r="19" spans="1:6">
      <c r="A19" s="10" t="s">
        <v>16</v>
      </c>
      <c r="B19" s="10" t="s">
        <v>17</v>
      </c>
      <c r="C19" s="10" t="s">
        <v>18</v>
      </c>
      <c r="D19" s="10" t="s">
        <v>19</v>
      </c>
      <c r="E19" s="10" t="s">
        <v>20</v>
      </c>
      <c r="F19" s="10" t="s">
        <v>21</v>
      </c>
    </row>
    <row r="20" spans="1:6">
      <c r="A20" t="s">
        <v>22</v>
      </c>
      <c r="B20" s="9">
        <v>0.15</v>
      </c>
      <c r="C20" s="9">
        <v>0.14</v>
      </c>
      <c r="D20" s="9">
        <v>0.12</v>
      </c>
      <c r="E20" s="9">
        <v>0.1</v>
      </c>
      <c r="F20" s="9">
        <v>0.08</v>
      </c>
    </row>
    <row r="21" spans="1:6">
      <c r="A21" t="s">
        <v>23</v>
      </c>
      <c r="B21" s="9">
        <v>0.175</v>
      </c>
      <c r="C21" s="9">
        <v>0.185</v>
      </c>
      <c r="D21" s="9">
        <v>0.195</v>
      </c>
      <c r="E21" s="9">
        <v>0.205</v>
      </c>
      <c r="F21" s="9">
        <v>0.215</v>
      </c>
    </row>
    <row r="22" spans="1:6">
      <c r="A22" t="s">
        <v>24</v>
      </c>
      <c r="B22" s="8">
        <f>$B$12*(1+B20)</f>
        <v>0</v>
      </c>
      <c r="C22" s="8">
        <f>B22*(1+C20)</f>
        <v>0</v>
      </c>
      <c r="D22" s="8">
        <f>C22*(1+D20)</f>
        <v>0</v>
      </c>
      <c r="E22" s="8">
        <f>D22*(1+E20)</f>
        <v>0</v>
      </c>
      <c r="F22" s="8">
        <f>E22*(1+F20)</f>
        <v>0</v>
      </c>
    </row>
    <row r="23" spans="1:6">
      <c r="A23" t="s">
        <v>25</v>
      </c>
      <c r="B23" s="8">
        <f>B22*B21</f>
        <v>0</v>
      </c>
      <c r="C23" s="8">
        <f>C22*C21</f>
        <v>0</v>
      </c>
      <c r="D23" s="8">
        <f>D22*D21</f>
        <v>0</v>
      </c>
      <c r="E23" s="8">
        <f>E22*E21</f>
        <v>0</v>
      </c>
      <c r="F23" s="8">
        <f>F22*F21</f>
        <v>0</v>
      </c>
    </row>
    <row r="24" spans="1:6">
      <c r="A24" t="s">
        <v>26</v>
      </c>
      <c r="B24" s="11">
        <f>1/(1+$B$14)^1</f>
        <v>0</v>
      </c>
      <c r="C24" s="11">
        <f>1/(1+$B$14)^2</f>
        <v>0</v>
      </c>
      <c r="D24" s="11">
        <f>1/(1+$B$14)^3</f>
        <v>0</v>
      </c>
      <c r="E24" s="11">
        <f>1/(1+$B$14)^4</f>
        <v>0</v>
      </c>
      <c r="F24" s="11">
        <f>1/(1+$B$14)^5</f>
        <v>0</v>
      </c>
    </row>
    <row r="25" spans="1:6">
      <c r="A25" t="s">
        <v>27</v>
      </c>
      <c r="B25" s="8">
        <f>B23*B24</f>
        <v>0</v>
      </c>
      <c r="C25" s="8">
        <f>C23*C24</f>
        <v>0</v>
      </c>
      <c r="D25" s="8">
        <f>D23*D24</f>
        <v>0</v>
      </c>
      <c r="E25" s="8">
        <f>E23*E24</f>
        <v>0</v>
      </c>
      <c r="F25" s="8">
        <f>F23*F24</f>
        <v>0</v>
      </c>
    </row>
    <row r="27" spans="1:6">
      <c r="A27" s="4" t="s">
        <v>28</v>
      </c>
    </row>
    <row r="28" spans="1:6">
      <c r="A28" t="s">
        <v>29</v>
      </c>
      <c r="B28" s="8">
        <f>SUM(B25:F25)</f>
        <v>0</v>
      </c>
    </row>
    <row r="29" spans="1:6">
      <c r="A29" t="s">
        <v>30</v>
      </c>
      <c r="B29" s="8">
        <f>F23*(1+$B$15)</f>
        <v>0</v>
      </c>
    </row>
    <row r="30" spans="1:6">
      <c r="A30" t="s">
        <v>31</v>
      </c>
      <c r="B30" s="8">
        <f>B29/($B$14-$B$15)</f>
        <v>0</v>
      </c>
    </row>
    <row r="31" spans="1:6">
      <c r="A31" t="s">
        <v>32</v>
      </c>
      <c r="B31" s="8">
        <f>B30*F24</f>
        <v>0</v>
      </c>
    </row>
    <row r="32" spans="1:6">
      <c r="A32" t="s">
        <v>33</v>
      </c>
      <c r="B32" s="8">
        <f>B28+B31</f>
        <v>0</v>
      </c>
    </row>
    <row r="33" spans="1:2">
      <c r="A33" t="s">
        <v>34</v>
      </c>
      <c r="B33" s="8">
        <f>B11</f>
        <v>0</v>
      </c>
    </row>
    <row r="34" spans="1:2">
      <c r="A34" t="s">
        <v>35</v>
      </c>
      <c r="B34" s="8">
        <f>B32-B33</f>
        <v>0</v>
      </c>
    </row>
    <row r="35" spans="1:2">
      <c r="A35" t="s">
        <v>36</v>
      </c>
      <c r="B35" s="12">
        <f>B34/B8</f>
        <v>0</v>
      </c>
    </row>
    <row r="36" spans="1:2">
      <c r="A36" s="13" t="s">
        <v>37</v>
      </c>
      <c r="B36" s="14">
        <f>B35*B7</f>
        <v>0</v>
      </c>
    </row>
    <row r="37" spans="1:2">
      <c r="A37" t="s">
        <v>38</v>
      </c>
      <c r="B37" s="15">
        <f>(B36-B6)/B6</f>
        <v>0</v>
      </c>
    </row>
    <row r="39" spans="1:2">
      <c r="A39" t="s">
        <v>39</v>
      </c>
      <c r="B39" s="15">
        <f>B31/B32</f>
        <v>0</v>
      </c>
    </row>
    <row r="40" spans="1:2">
      <c r="A40" t="s">
        <v>40</v>
      </c>
      <c r="B40" s="11">
        <f>B30/F23</f>
        <v>0</v>
      </c>
    </row>
    <row r="42" spans="1:2">
      <c r="A42" s="4" t="s">
        <v>41</v>
      </c>
    </row>
    <row r="43" spans="1:2">
      <c r="A43" t="s">
        <v>42</v>
      </c>
      <c r="B43" s="16">
        <f>(B30/B8)*B7</f>
        <v>0</v>
      </c>
    </row>
    <row r="44" spans="1:2">
      <c r="A44" t="s">
        <v>43</v>
      </c>
      <c r="B44" s="14">
        <f>B43/(1.15^5)</f>
        <v>0</v>
      </c>
    </row>
    <row r="45" spans="1:2">
      <c r="A45" t="s">
        <v>44</v>
      </c>
      <c r="B45" s="15">
        <f>(B44-B6)/B6</f>
        <v>0</v>
      </c>
    </row>
    <row r="46" spans="1:2">
      <c r="A46" s="3" t="s">
        <v>45</v>
      </c>
    </row>
    <row r="48" spans="1:2">
      <c r="A48" s="4" t="s">
        <v>46</v>
      </c>
    </row>
    <row r="49" spans="1:4">
      <c r="A49" s="10" t="s">
        <v>47</v>
      </c>
      <c r="B49" s="10" t="s">
        <v>48</v>
      </c>
      <c r="C49" s="10" t="s">
        <v>49</v>
      </c>
      <c r="D49" s="10" t="s">
        <v>50</v>
      </c>
    </row>
    <row r="50" spans="1:4">
      <c r="A50" s="17" t="s">
        <v>51</v>
      </c>
      <c r="B50" s="14">
        <v>744</v>
      </c>
      <c r="C50" s="18">
        <v>0.609</v>
      </c>
      <c r="D50" s="14">
        <v>437.37</v>
      </c>
    </row>
    <row r="51" spans="1:4">
      <c r="A51" s="19" t="s">
        <v>52</v>
      </c>
      <c r="B51" s="20">
        <v>472.98</v>
      </c>
      <c r="C51" s="21">
        <v>0.023</v>
      </c>
      <c r="D51" s="20">
        <v>261.35</v>
      </c>
    </row>
    <row r="52" spans="1:4">
      <c r="A52" s="22" t="s">
        <v>53</v>
      </c>
      <c r="B52" s="23">
        <v>249.7</v>
      </c>
      <c r="C52" s="24">
        <v>-0.46</v>
      </c>
      <c r="D52" s="23">
        <v>119.46</v>
      </c>
    </row>
    <row r="53" spans="1:4">
      <c r="A53" s="10" t="s">
        <v>54</v>
      </c>
      <c r="B53" s="20">
        <v>484.92</v>
      </c>
      <c r="C53" s="21">
        <v>0.04895195656406151</v>
      </c>
      <c r="D5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5"/>
  <sheetViews>
    <sheetView zoomScale="90" zoomScaleNormal="90" workbookViewId="0"/>
  </sheetViews>
  <sheetFormatPr defaultRowHeight="15"/>
  <cols>
    <col min="1" max="1" width="28.7109375" customWidth="1"/>
    <col min="2" max="2" width="16.7109375" customWidth="1"/>
    <col min="3" max="3" width="2.7109375" customWidth="1"/>
    <col min="4" max="4" width="16.7109375" customWidth="1"/>
    <col min="5" max="5" width="2.7109375" customWidth="1"/>
    <col min="6" max="6" width="16.7109375" customWidth="1"/>
  </cols>
  <sheetData>
    <row r="1" spans="1:6">
      <c r="A1" s="1" t="s">
        <v>55</v>
      </c>
    </row>
    <row r="2" spans="1:6">
      <c r="A2" s="2" t="s">
        <v>56</v>
      </c>
    </row>
    <row r="3" spans="1:6">
      <c r="B3" s="19" t="s">
        <v>57</v>
      </c>
      <c r="D3" s="17" t="s">
        <v>58</v>
      </c>
      <c r="F3" s="22" t="s">
        <v>59</v>
      </c>
    </row>
    <row r="4" spans="1:6">
      <c r="A4" s="13" t="s">
        <v>60</v>
      </c>
      <c r="B4" s="9">
        <f>'DCF Model'!B14</f>
        <v>0</v>
      </c>
      <c r="D4" s="9">
        <v>0.09</v>
      </c>
      <c r="F4" s="9">
        <v>0.12</v>
      </c>
    </row>
    <row r="5" spans="1:6">
      <c r="A5" s="13" t="s">
        <v>61</v>
      </c>
      <c r="B5" s="9">
        <f>'DCF Model'!B15</f>
        <v>0</v>
      </c>
      <c r="D5" s="9">
        <v>0.035</v>
      </c>
      <c r="F5" s="9">
        <v>0.025</v>
      </c>
    </row>
    <row r="7" spans="1:6">
      <c r="A7" s="4" t="s">
        <v>62</v>
      </c>
    </row>
    <row r="8" spans="1:6">
      <c r="A8" s="13" t="s">
        <v>63</v>
      </c>
      <c r="B8" s="9">
        <v>0.15</v>
      </c>
      <c r="D8" s="9">
        <v>0.18</v>
      </c>
      <c r="F8" s="9">
        <v>0.1</v>
      </c>
    </row>
    <row r="9" spans="1:6">
      <c r="A9" s="13" t="s">
        <v>64</v>
      </c>
      <c r="B9" s="9">
        <v>0.14</v>
      </c>
      <c r="D9" s="9">
        <v>0.17</v>
      </c>
      <c r="F9" s="9">
        <v>0.08</v>
      </c>
    </row>
    <row r="10" spans="1:6">
      <c r="A10" s="13" t="s">
        <v>65</v>
      </c>
      <c r="B10" s="9">
        <v>0.12</v>
      </c>
      <c r="D10" s="9">
        <v>0.16</v>
      </c>
      <c r="F10" s="9">
        <v>0.06</v>
      </c>
    </row>
    <row r="11" spans="1:6">
      <c r="A11" s="13" t="s">
        <v>66</v>
      </c>
      <c r="B11" s="9">
        <v>0.1</v>
      </c>
      <c r="D11" s="9">
        <v>0.14</v>
      </c>
      <c r="F11" s="9">
        <v>0.05</v>
      </c>
    </row>
    <row r="12" spans="1:6">
      <c r="A12" s="13" t="s">
        <v>67</v>
      </c>
      <c r="B12" s="9">
        <v>0.08</v>
      </c>
      <c r="D12" s="9">
        <v>0.12</v>
      </c>
      <c r="F12" s="9">
        <v>0.04</v>
      </c>
    </row>
    <row r="13" spans="1:6">
      <c r="A13" s="4" t="s">
        <v>68</v>
      </c>
    </row>
    <row r="14" spans="1:6">
      <c r="A14" s="13" t="s">
        <v>63</v>
      </c>
      <c r="B14" s="9">
        <v>0.175</v>
      </c>
      <c r="D14" s="9">
        <v>0.185</v>
      </c>
      <c r="F14" s="9">
        <v>0.15</v>
      </c>
    </row>
    <row r="15" spans="1:6">
      <c r="A15" s="13" t="s">
        <v>64</v>
      </c>
      <c r="B15" s="9">
        <v>0.185</v>
      </c>
      <c r="D15" s="9">
        <v>0.205</v>
      </c>
      <c r="F15" s="9">
        <v>0.155</v>
      </c>
    </row>
    <row r="16" spans="1:6">
      <c r="A16" s="13" t="s">
        <v>65</v>
      </c>
      <c r="B16" s="9">
        <v>0.195</v>
      </c>
      <c r="D16" s="9">
        <v>0.22</v>
      </c>
      <c r="F16" s="9">
        <v>0.16</v>
      </c>
    </row>
    <row r="17" spans="1:6">
      <c r="A17" s="13" t="s">
        <v>66</v>
      </c>
      <c r="B17" s="9">
        <v>0.205</v>
      </c>
      <c r="D17" s="9">
        <v>0.23</v>
      </c>
      <c r="F17" s="9">
        <v>0.165</v>
      </c>
    </row>
    <row r="18" spans="1:6">
      <c r="A18" s="13" t="s">
        <v>67</v>
      </c>
      <c r="B18" s="9">
        <v>0.215</v>
      </c>
      <c r="D18" s="9">
        <v>0.24</v>
      </c>
      <c r="F18" s="9">
        <v>0.17</v>
      </c>
    </row>
    <row r="19" spans="1:6">
      <c r="A19" s="4" t="s">
        <v>69</v>
      </c>
    </row>
    <row r="20" spans="1:6">
      <c r="A20" s="13" t="s">
        <v>63</v>
      </c>
      <c r="B20" s="25">
        <f>'DCF Model'!$B$12*(1+B8)</f>
        <v>0</v>
      </c>
      <c r="D20" s="26">
        <f>'DCF Model'!$B$12*(1+D8)</f>
        <v>0</v>
      </c>
      <c r="F20" s="27">
        <f>'DCF Model'!$B$12*(1+F8)</f>
        <v>0</v>
      </c>
    </row>
    <row r="21" spans="1:6">
      <c r="A21" s="13" t="s">
        <v>64</v>
      </c>
      <c r="B21" s="25">
        <f>B20*(1+B9)</f>
        <v>0</v>
      </c>
      <c r="D21" s="26">
        <f>D20*(1+D9)</f>
        <v>0</v>
      </c>
      <c r="F21" s="27">
        <f>F20*(1+F9)</f>
        <v>0</v>
      </c>
    </row>
    <row r="22" spans="1:6">
      <c r="A22" s="13" t="s">
        <v>65</v>
      </c>
      <c r="B22" s="25">
        <f>B21*(1+B10)</f>
        <v>0</v>
      </c>
      <c r="D22" s="26">
        <f>D21*(1+D10)</f>
        <v>0</v>
      </c>
      <c r="F22" s="27">
        <f>F21*(1+F10)</f>
        <v>0</v>
      </c>
    </row>
    <row r="23" spans="1:6">
      <c r="A23" s="13" t="s">
        <v>66</v>
      </c>
      <c r="B23" s="25">
        <f>B22*(1+B11)</f>
        <v>0</v>
      </c>
      <c r="D23" s="26">
        <f>D22*(1+D11)</f>
        <v>0</v>
      </c>
      <c r="F23" s="27">
        <f>F22*(1+F11)</f>
        <v>0</v>
      </c>
    </row>
    <row r="24" spans="1:6">
      <c r="A24" s="13" t="s">
        <v>67</v>
      </c>
      <c r="B24" s="25">
        <f>B23*(1+B12)</f>
        <v>0</v>
      </c>
      <c r="D24" s="26">
        <f>D23*(1+D12)</f>
        <v>0</v>
      </c>
      <c r="F24" s="27">
        <f>F23*(1+F12)</f>
        <v>0</v>
      </c>
    </row>
    <row r="26" spans="1:6">
      <c r="A26" s="13" t="s">
        <v>63</v>
      </c>
      <c r="B26" s="25">
        <f>B20*B14</f>
        <v>0</v>
      </c>
      <c r="D26" s="26">
        <f>D20*D14</f>
        <v>0</v>
      </c>
      <c r="F26" s="27">
        <f>F20*F14</f>
        <v>0</v>
      </c>
    </row>
    <row r="27" spans="1:6">
      <c r="A27" s="13" t="s">
        <v>64</v>
      </c>
      <c r="B27" s="25">
        <f>B21*B15</f>
        <v>0</v>
      </c>
      <c r="D27" s="26">
        <f>D21*D15</f>
        <v>0</v>
      </c>
      <c r="F27" s="27">
        <f>F21*F15</f>
        <v>0</v>
      </c>
    </row>
    <row r="28" spans="1:6">
      <c r="A28" s="13" t="s">
        <v>65</v>
      </c>
      <c r="B28" s="25">
        <f>B22*B16</f>
        <v>0</v>
      </c>
      <c r="D28" s="26">
        <f>D22*D16</f>
        <v>0</v>
      </c>
      <c r="F28" s="27">
        <f>F22*F16</f>
        <v>0</v>
      </c>
    </row>
    <row r="29" spans="1:6">
      <c r="A29" s="13" t="s">
        <v>66</v>
      </c>
      <c r="B29" s="25">
        <f>B23*B17</f>
        <v>0</v>
      </c>
      <c r="D29" s="26">
        <f>D23*D17</f>
        <v>0</v>
      </c>
      <c r="F29" s="27">
        <f>F23*F17</f>
        <v>0</v>
      </c>
    </row>
    <row r="30" spans="1:6">
      <c r="A30" s="13" t="s">
        <v>67</v>
      </c>
      <c r="B30" s="25">
        <f>B24*B18</f>
        <v>0</v>
      </c>
      <c r="D30" s="26">
        <f>D24*D18</f>
        <v>0</v>
      </c>
      <c r="F30" s="27">
        <f>F24*F18</f>
        <v>0</v>
      </c>
    </row>
    <row r="32" spans="1:6">
      <c r="A32" s="13" t="s">
        <v>63</v>
      </c>
      <c r="B32" s="21">
        <f>1/(1+'Scenarios'!B4)^1</f>
        <v>0</v>
      </c>
      <c r="D32" s="18">
        <f>1/(1+'Scenarios'!D4)^1</f>
        <v>0</v>
      </c>
      <c r="F32" s="24">
        <f>1/(1+'Scenarios'!F4)^1</f>
        <v>0</v>
      </c>
    </row>
    <row r="33" spans="1:6">
      <c r="A33" s="13" t="s">
        <v>64</v>
      </c>
      <c r="B33" s="21">
        <f>1/(1+'Scenarios'!B4)^2</f>
        <v>0</v>
      </c>
      <c r="D33" s="18">
        <f>1/(1+'Scenarios'!D4)^2</f>
        <v>0</v>
      </c>
      <c r="F33" s="24">
        <f>1/(1+'Scenarios'!F4)^2</f>
        <v>0</v>
      </c>
    </row>
    <row r="34" spans="1:6">
      <c r="A34" s="13" t="s">
        <v>65</v>
      </c>
      <c r="B34" s="21">
        <f>1/(1+'Scenarios'!B4)^3</f>
        <v>0</v>
      </c>
      <c r="D34" s="18">
        <f>1/(1+'Scenarios'!D4)^3</f>
        <v>0</v>
      </c>
      <c r="F34" s="24">
        <f>1/(1+'Scenarios'!F4)^3</f>
        <v>0</v>
      </c>
    </row>
    <row r="35" spans="1:6">
      <c r="A35" s="13" t="s">
        <v>66</v>
      </c>
      <c r="B35" s="21">
        <f>1/(1+'Scenarios'!B4)^4</f>
        <v>0</v>
      </c>
      <c r="D35" s="18">
        <f>1/(1+'Scenarios'!D4)^4</f>
        <v>0</v>
      </c>
      <c r="F35" s="24">
        <f>1/(1+'Scenarios'!F4)^4</f>
        <v>0</v>
      </c>
    </row>
    <row r="36" spans="1:6">
      <c r="A36" s="13" t="s">
        <v>67</v>
      </c>
      <c r="B36" s="21">
        <f>1/(1+'Scenarios'!B4)^5</f>
        <v>0</v>
      </c>
      <c r="D36" s="18">
        <f>1/(1+'Scenarios'!D4)^5</f>
        <v>0</v>
      </c>
      <c r="F36" s="24">
        <f>1/(1+'Scenarios'!F4)^5</f>
        <v>0</v>
      </c>
    </row>
    <row r="38" spans="1:6">
      <c r="A38" s="13" t="s">
        <v>63</v>
      </c>
      <c r="B38" s="25">
        <f>B26*B32</f>
        <v>0</v>
      </c>
      <c r="D38" s="26">
        <f>D26*D32</f>
        <v>0</v>
      </c>
      <c r="F38" s="27">
        <f>F26*F32</f>
        <v>0</v>
      </c>
    </row>
    <row r="39" spans="1:6">
      <c r="A39" s="13" t="s">
        <v>64</v>
      </c>
      <c r="B39" s="25">
        <f>B27*B33</f>
        <v>0</v>
      </c>
      <c r="D39" s="26">
        <f>D27*D33</f>
        <v>0</v>
      </c>
      <c r="F39" s="27">
        <f>F27*F33</f>
        <v>0</v>
      </c>
    </row>
    <row r="40" spans="1:6">
      <c r="A40" s="13" t="s">
        <v>65</v>
      </c>
      <c r="B40" s="25">
        <f>B28*B34</f>
        <v>0</v>
      </c>
      <c r="D40" s="26">
        <f>D28*D34</f>
        <v>0</v>
      </c>
      <c r="F40" s="27">
        <f>F28*F34</f>
        <v>0</v>
      </c>
    </row>
    <row r="41" spans="1:6">
      <c r="A41" s="13" t="s">
        <v>66</v>
      </c>
      <c r="B41" s="25">
        <f>B29*B35</f>
        <v>0</v>
      </c>
      <c r="D41" s="26">
        <f>D29*D35</f>
        <v>0</v>
      </c>
      <c r="F41" s="27">
        <f>F29*F35</f>
        <v>0</v>
      </c>
    </row>
    <row r="42" spans="1:6">
      <c r="A42" s="13" t="s">
        <v>67</v>
      </c>
      <c r="B42" s="25">
        <f>B30*B36</f>
        <v>0</v>
      </c>
      <c r="D42" s="26">
        <f>D30*D36</f>
        <v>0</v>
      </c>
      <c r="F42" s="27">
        <f>F30*F36</f>
        <v>0</v>
      </c>
    </row>
    <row r="44" spans="1:6">
      <c r="A44" s="4" t="s">
        <v>72</v>
      </c>
      <c r="B44" s="25">
        <f>SUM(B38:B42)</f>
        <v>0</v>
      </c>
      <c r="D44" s="26">
        <f>SUM(D38:D42)</f>
        <v>0</v>
      </c>
      <c r="F44" s="27">
        <f>SUM(F38:F42)</f>
        <v>0</v>
      </c>
    </row>
    <row r="45" spans="1:6">
      <c r="A45" s="13" t="s">
        <v>73</v>
      </c>
      <c r="B45" s="25">
        <f>B30*(1+'Scenarios'!B5)</f>
        <v>0</v>
      </c>
      <c r="D45" s="26">
        <f>D30*(1+'Scenarios'!D5)</f>
        <v>0</v>
      </c>
      <c r="F45" s="27">
        <f>F30*(1+'Scenarios'!F5)</f>
        <v>0</v>
      </c>
    </row>
    <row r="46" spans="1:6">
      <c r="A46" s="13" t="s">
        <v>74</v>
      </c>
      <c r="B46" s="25">
        <f>B45/('Scenarios'!B4-'Scenarios'!B5)</f>
        <v>0</v>
      </c>
      <c r="D46" s="26">
        <f>D45/('Scenarios'!D4-'Scenarios'!D5)</f>
        <v>0</v>
      </c>
      <c r="F46" s="27">
        <f>F45/('Scenarios'!F4-'Scenarios'!F5)</f>
        <v>0</v>
      </c>
    </row>
    <row r="47" spans="1:6">
      <c r="A47" s="13" t="s">
        <v>31</v>
      </c>
      <c r="B47" s="25">
        <f>B46*B36</f>
        <v>0</v>
      </c>
      <c r="D47" s="26">
        <f>D46*D36</f>
        <v>0</v>
      </c>
      <c r="F47" s="27">
        <f>F46*F36</f>
        <v>0</v>
      </c>
    </row>
    <row r="48" spans="1:6">
      <c r="A48" s="13" t="s">
        <v>32</v>
      </c>
      <c r="B48" s="25">
        <f>B44+B47</f>
        <v>0</v>
      </c>
      <c r="D48" s="26">
        <f>D44+D47</f>
        <v>0</v>
      </c>
      <c r="F48" s="27">
        <f>F44+F47</f>
        <v>0</v>
      </c>
    </row>
    <row r="49" spans="1:6">
      <c r="A49" s="13" t="s">
        <v>33</v>
      </c>
      <c r="B49" s="25">
        <f>B48-'DCF Model'!$B$11</f>
        <v>0</v>
      </c>
      <c r="D49" s="26">
        <f>D48-'DCF Model'!$B$11</f>
        <v>0</v>
      </c>
      <c r="F49" s="27">
        <f>F48-'DCF Model'!$B$11</f>
        <v>0</v>
      </c>
    </row>
    <row r="50" spans="1:6">
      <c r="A50" s="13" t="s">
        <v>35</v>
      </c>
      <c r="B50" s="21">
        <f>B49/'DCF Model'!$B$8</f>
        <v>0</v>
      </c>
      <c r="D50" s="18">
        <f>D49/'DCF Model'!$B$8</f>
        <v>0</v>
      </c>
      <c r="F50" s="24">
        <f>F49/'DCF Model'!$B$8</f>
        <v>0</v>
      </c>
    </row>
    <row r="51" spans="1:6">
      <c r="A51" s="13" t="s">
        <v>36</v>
      </c>
      <c r="B51" s="20">
        <f>B50*'DCF Model'!$B$7</f>
        <v>0</v>
      </c>
      <c r="D51" s="14">
        <f>D50*'DCF Model'!$B$7</f>
        <v>0</v>
      </c>
      <c r="F51" s="23">
        <f>F50*'DCF Model'!$B$7</f>
        <v>0</v>
      </c>
    </row>
    <row r="52" spans="1:6">
      <c r="A52" s="28" t="s">
        <v>37</v>
      </c>
      <c r="B52" s="15">
        <f>(B51-'DCF Model'!B6)/'DCF Model'!B6</f>
        <v>0</v>
      </c>
      <c r="D52" s="15">
        <f>(D51-'DCF Model'!B6)/'DCF Model'!B6</f>
        <v>0</v>
      </c>
      <c r="F52" s="15">
        <f>(F51-'DCF Model'!B6)/'DCF Model'!B6</f>
        <v>0</v>
      </c>
    </row>
    <row r="53" spans="1:6">
      <c r="A53" s="13" t="s">
        <v>75</v>
      </c>
      <c r="B53" s="25">
        <f>(B46/'DCF Model'!$B$8)*'DCF Model'!$B$7</f>
        <v>0</v>
      </c>
      <c r="D53" s="26">
        <f>(D46/'DCF Model'!$B$8)*'DCF Model'!$B$7</f>
        <v>0</v>
      </c>
      <c r="F53" s="27">
        <f>(F46/'DCF Model'!$B$8)*'DCF Model'!$B$7</f>
        <v>0</v>
      </c>
    </row>
    <row r="54" spans="1:6">
      <c r="A54" s="13" t="s">
        <v>76</v>
      </c>
      <c r="B54" s="20">
        <f>B53/(1.15^5)</f>
        <v>0</v>
      </c>
      <c r="D54" s="14">
        <f>D53/(1.15^5)</f>
        <v>0</v>
      </c>
      <c r="F54" s="23">
        <f>F53/(1.15^5)</f>
        <v>0</v>
      </c>
    </row>
    <row r="55" spans="1:6">
      <c r="A55" s="13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zoomScale="90" zoomScaleNormal="90" workbookViewId="0"/>
  </sheetViews>
  <sheetFormatPr defaultRowHeight="15"/>
  <cols>
    <col min="1" max="1" width="16.7109375" customWidth="1"/>
    <col min="2" max="6" width="12.7109375" customWidth="1"/>
  </cols>
  <sheetData>
    <row r="1" spans="1:6">
      <c r="A1" s="1" t="s">
        <v>78</v>
      </c>
    </row>
    <row r="2" spans="1:6">
      <c r="A2" s="2" t="s">
        <v>79</v>
      </c>
    </row>
    <row r="3" spans="1:6">
      <c r="A3" s="3" t="s">
        <v>80</v>
      </c>
    </row>
    <row r="5" spans="1:6">
      <c r="A5" s="10" t="s">
        <v>81</v>
      </c>
      <c r="B5" s="10" t="s">
        <v>82</v>
      </c>
      <c r="C5" s="10" t="s">
        <v>83</v>
      </c>
      <c r="D5" s="10" t="s">
        <v>84</v>
      </c>
      <c r="E5" s="10" t="s">
        <v>85</v>
      </c>
      <c r="F5" s="10" t="s">
        <v>86</v>
      </c>
    </row>
    <row r="6" spans="1:6">
      <c r="A6" s="10" t="s">
        <v>87</v>
      </c>
      <c r="B6" s="29">
        <v>566</v>
      </c>
      <c r="C6" s="29">
        <v>606</v>
      </c>
      <c r="D6" s="29">
        <v>653</v>
      </c>
      <c r="E6" s="29">
        <v>712</v>
      </c>
      <c r="F6" s="29">
        <v>785</v>
      </c>
    </row>
    <row r="7" spans="1:6">
      <c r="A7" s="10" t="s">
        <v>88</v>
      </c>
      <c r="B7" s="30">
        <v>488</v>
      </c>
      <c r="C7" s="30">
        <v>516</v>
      </c>
      <c r="D7" s="30">
        <v>548</v>
      </c>
      <c r="E7" s="29">
        <v>586</v>
      </c>
      <c r="F7" s="29">
        <v>632</v>
      </c>
    </row>
    <row r="8" spans="1:6">
      <c r="A8" s="10" t="s">
        <v>89</v>
      </c>
      <c r="B8" s="30">
        <v>429</v>
      </c>
      <c r="C8" s="30">
        <v>450</v>
      </c>
      <c r="D8" s="31">
        <v>473</v>
      </c>
      <c r="E8" s="30">
        <v>500</v>
      </c>
      <c r="F8" s="30">
        <v>531</v>
      </c>
    </row>
    <row r="9" spans="1:6">
      <c r="A9" s="10" t="s">
        <v>90</v>
      </c>
      <c r="B9" s="30">
        <v>384</v>
      </c>
      <c r="C9" s="30">
        <v>399</v>
      </c>
      <c r="D9" s="30">
        <v>417</v>
      </c>
      <c r="E9" s="30">
        <v>436</v>
      </c>
      <c r="F9" s="30">
        <v>459</v>
      </c>
    </row>
    <row r="10" spans="1:6">
      <c r="A10" s="10" t="s">
        <v>91</v>
      </c>
      <c r="B10" s="32">
        <v>348</v>
      </c>
      <c r="C10" s="32">
        <v>360</v>
      </c>
      <c r="D10" s="30">
        <v>373</v>
      </c>
      <c r="E10" s="30">
        <v>388</v>
      </c>
      <c r="F10" s="30">
        <v>405</v>
      </c>
    </row>
    <row r="12" spans="1:6">
      <c r="A12" s="3" t="s">
        <v>92</v>
      </c>
    </row>
    <row r="13" spans="1:6">
      <c r="A13" s="3" t="s">
        <v>93</v>
      </c>
    </row>
    <row r="14" spans="1:6">
      <c r="A14" s="3" t="s">
        <v>94</v>
      </c>
    </row>
    <row r="15" spans="1:6">
      <c r="A15" s="3" t="s">
        <v>95</v>
      </c>
    </row>
    <row r="17" spans="1:2">
      <c r="A17" s="4" t="s">
        <v>96</v>
      </c>
    </row>
    <row r="18" spans="1:2">
      <c r="A18" t="s">
        <v>97</v>
      </c>
      <c r="B18" s="16">
        <v>462.29</v>
      </c>
    </row>
    <row r="19" spans="1:2">
      <c r="A19" t="s">
        <v>98</v>
      </c>
      <c r="B19" s="6">
        <v>1.1396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3"/>
  <sheetViews>
    <sheetView zoomScale="90" zoomScaleNormal="90" workbookViewId="0"/>
  </sheetViews>
  <sheetFormatPr defaultRowHeight="15"/>
  <cols>
    <col min="1" max="1" width="20.7109375" customWidth="1"/>
    <col min="2" max="11" width="12.7109375" customWidth="1"/>
  </cols>
  <sheetData>
    <row r="1" spans="1:13">
      <c r="A1" s="1" t="s">
        <v>99</v>
      </c>
    </row>
    <row r="2" spans="1:13">
      <c r="A2" s="2" t="s">
        <v>100</v>
      </c>
    </row>
    <row r="4" spans="1:13">
      <c r="A4" s="10" t="s">
        <v>101</v>
      </c>
      <c r="B4" s="10" t="s">
        <v>102</v>
      </c>
      <c r="C4" s="10" t="s">
        <v>103</v>
      </c>
      <c r="D4" s="10" t="s">
        <v>104</v>
      </c>
      <c r="E4" s="10" t="s">
        <v>105</v>
      </c>
      <c r="F4" s="10" t="s">
        <v>106</v>
      </c>
      <c r="G4" s="10" t="s">
        <v>107</v>
      </c>
      <c r="H4" s="10" t="s">
        <v>108</v>
      </c>
      <c r="I4" s="10" t="s">
        <v>109</v>
      </c>
      <c r="J4" s="10" t="s">
        <v>110</v>
      </c>
      <c r="K4" s="10" t="s">
        <v>111</v>
      </c>
      <c r="L4" s="10" t="s">
        <v>112</v>
      </c>
      <c r="M4" s="10" t="s">
        <v>113</v>
      </c>
    </row>
    <row r="5" spans="1:13">
      <c r="A5" s="33" t="s">
        <v>114</v>
      </c>
      <c r="B5" s="8">
        <v>2952</v>
      </c>
      <c r="C5" s="8">
        <v>401</v>
      </c>
      <c r="D5" s="15">
        <v>0.136</v>
      </c>
      <c r="E5" s="8">
        <v>-349</v>
      </c>
      <c r="F5" s="15">
        <v>-0.118</v>
      </c>
      <c r="G5" s="8">
        <v>-539</v>
      </c>
      <c r="H5" s="8">
        <v>-3.63</v>
      </c>
      <c r="I5" s="8">
        <v>73</v>
      </c>
      <c r="J5" s="8"/>
      <c r="K5" s="8">
        <v>755</v>
      </c>
      <c r="L5" s="8"/>
      <c r="M5" s="8">
        <v>148.4</v>
      </c>
    </row>
    <row r="6" spans="1:13">
      <c r="A6" s="33" t="s">
        <v>115</v>
      </c>
      <c r="B6" s="8">
        <v>4090</v>
      </c>
      <c r="C6" s="8">
        <v>849</v>
      </c>
      <c r="D6" s="15">
        <v>0.208</v>
      </c>
      <c r="E6" s="8">
        <v>-378</v>
      </c>
      <c r="F6" s="15">
        <v>-0.092</v>
      </c>
      <c r="G6" s="8">
        <v>-1235</v>
      </c>
      <c r="H6" s="8">
        <v>-8.140000000000001</v>
      </c>
      <c r="I6" s="8">
        <v>109</v>
      </c>
      <c r="J6" s="8">
        <v>238</v>
      </c>
      <c r="K6" s="8">
        <v>944</v>
      </c>
      <c r="L6" s="8"/>
      <c r="M6" s="8">
        <v>151.7</v>
      </c>
    </row>
    <row r="7" spans="1:13">
      <c r="A7" s="33" t="s">
        <v>116</v>
      </c>
      <c r="B7" s="8">
        <v>5259</v>
      </c>
      <c r="C7" s="8">
        <v>1353</v>
      </c>
      <c r="D7" s="15">
        <v>0.257</v>
      </c>
      <c r="E7" s="8">
        <v>-43</v>
      </c>
      <c r="F7" s="15">
        <v>-0.008</v>
      </c>
      <c r="G7" s="8">
        <v>-78</v>
      </c>
      <c r="H7" s="8">
        <v>-0.51</v>
      </c>
      <c r="I7" s="8">
        <v>209</v>
      </c>
      <c r="J7" s="8">
        <v>2094</v>
      </c>
      <c r="K7" s="8">
        <v>891</v>
      </c>
      <c r="L7" s="8"/>
      <c r="M7" s="8">
        <v>177.2</v>
      </c>
    </row>
    <row r="8" spans="1:13">
      <c r="A8" s="33" t="s">
        <v>117</v>
      </c>
      <c r="B8" s="8">
        <v>6764</v>
      </c>
      <c r="C8" s="8">
        <v>1722</v>
      </c>
      <c r="D8" s="15">
        <v>0.255</v>
      </c>
      <c r="E8" s="8">
        <v>-73</v>
      </c>
      <c r="F8" s="15">
        <v>-0.011</v>
      </c>
      <c r="G8" s="8">
        <v>-186</v>
      </c>
      <c r="H8" s="8">
        <v>-1.03</v>
      </c>
      <c r="I8" s="8">
        <v>440</v>
      </c>
      <c r="J8" s="8">
        <v>2037</v>
      </c>
      <c r="K8" s="8">
        <v>1065</v>
      </c>
      <c r="L8" s="8"/>
      <c r="M8" s="8">
        <v>181</v>
      </c>
    </row>
    <row r="9" spans="1:13">
      <c r="A9" s="33" t="s">
        <v>118</v>
      </c>
      <c r="B9" s="8">
        <v>7880</v>
      </c>
      <c r="C9" s="8">
        <v>2015</v>
      </c>
      <c r="D9" s="15">
        <v>0.256</v>
      </c>
      <c r="E9" s="8">
        <v>-293</v>
      </c>
      <c r="F9" s="15">
        <v>-0.03700000000000001</v>
      </c>
      <c r="G9" s="8">
        <v>-581</v>
      </c>
      <c r="H9" s="8">
        <v>-3.1</v>
      </c>
      <c r="I9" s="8">
        <v>183</v>
      </c>
      <c r="J9" s="8">
        <v>2805</v>
      </c>
      <c r="K9" s="8">
        <v>1151</v>
      </c>
      <c r="L9" s="8"/>
      <c r="M9" s="8">
        <v>187.6</v>
      </c>
    </row>
    <row r="10" spans="1:13">
      <c r="A10" s="33" t="s">
        <v>119</v>
      </c>
      <c r="B10" s="8">
        <v>9668</v>
      </c>
      <c r="C10" s="8">
        <v>2591</v>
      </c>
      <c r="D10" s="15">
        <v>0.268</v>
      </c>
      <c r="E10" s="8">
        <v>94</v>
      </c>
      <c r="F10" s="15">
        <v>0.01</v>
      </c>
      <c r="G10" s="8">
        <v>-34</v>
      </c>
      <c r="H10" s="8">
        <v>-1.03</v>
      </c>
      <c r="I10" s="8">
        <v>277</v>
      </c>
      <c r="J10" s="8">
        <v>2119</v>
      </c>
      <c r="K10" s="8">
        <v>2744</v>
      </c>
      <c r="L10" s="8">
        <v>1202</v>
      </c>
      <c r="M10" s="8">
        <v>193.9</v>
      </c>
    </row>
    <row r="11" spans="1:13">
      <c r="A11" s="33" t="s">
        <v>120</v>
      </c>
      <c r="B11" s="8">
        <v>11727</v>
      </c>
      <c r="C11" s="8">
        <v>2926</v>
      </c>
      <c r="D11" s="15">
        <v>0.249</v>
      </c>
      <c r="E11" s="8">
        <v>-659</v>
      </c>
      <c r="F11" s="15">
        <v>-0.05599999999999999</v>
      </c>
      <c r="G11" s="8">
        <v>-430</v>
      </c>
      <c r="H11" s="8">
        <v>-2.93</v>
      </c>
      <c r="I11" s="8">
        <v>21</v>
      </c>
      <c r="J11" s="8">
        <v>2401</v>
      </c>
      <c r="K11" s="8">
        <v>2483</v>
      </c>
      <c r="L11" s="8">
        <v>1128</v>
      </c>
      <c r="M11" s="8">
        <v>195.8</v>
      </c>
    </row>
    <row r="12" spans="1:13">
      <c r="A12" s="33" t="s">
        <v>121</v>
      </c>
      <c r="B12" s="8">
        <v>13247</v>
      </c>
      <c r="C12" s="8">
        <v>3397</v>
      </c>
      <c r="D12" s="15">
        <v>0.257</v>
      </c>
      <c r="E12" s="8">
        <v>-446</v>
      </c>
      <c r="F12" s="15">
        <v>-0.034</v>
      </c>
      <c r="G12" s="8">
        <v>-532</v>
      </c>
      <c r="H12" s="8">
        <v>-2.73</v>
      </c>
      <c r="I12" s="8">
        <v>678</v>
      </c>
      <c r="J12" s="8">
        <v>2523</v>
      </c>
      <c r="K12" s="8">
        <v>3114</v>
      </c>
      <c r="L12" s="8">
        <v>1203</v>
      </c>
      <c r="M12" s="8">
        <v>194.7</v>
      </c>
    </row>
    <row r="13" spans="1:13">
      <c r="A13" s="33" t="s">
        <v>122</v>
      </c>
      <c r="B13" s="8">
        <v>15673</v>
      </c>
      <c r="C13" s="8">
        <v>4724</v>
      </c>
      <c r="D13" s="15">
        <v>0.301</v>
      </c>
      <c r="E13" s="8">
        <v>1365</v>
      </c>
      <c r="F13" s="15">
        <v>0.08699999999999999</v>
      </c>
      <c r="G13" s="8">
        <v>1138</v>
      </c>
      <c r="H13" s="8">
        <v>5.5</v>
      </c>
      <c r="I13" s="8">
        <v>2285</v>
      </c>
      <c r="J13" s="8">
        <v>5525</v>
      </c>
      <c r="K13" s="8">
        <v>4781</v>
      </c>
      <c r="L13" s="8">
        <v>1539</v>
      </c>
      <c r="M13" s="8">
        <v>207</v>
      </c>
    </row>
    <row r="14" spans="1:13">
      <c r="A14" s="33" t="s">
        <v>123</v>
      </c>
      <c r="B14" s="8">
        <v>17186</v>
      </c>
      <c r="C14" s="8">
        <v>5496</v>
      </c>
      <c r="D14" s="15">
        <v>0.32</v>
      </c>
      <c r="E14" s="8">
        <v>2198</v>
      </c>
      <c r="F14" s="15">
        <v>0.128</v>
      </c>
      <c r="G14" s="8">
        <v>2212</v>
      </c>
      <c r="H14" s="8">
        <v>10.51</v>
      </c>
      <c r="I14" s="8">
        <v>2874</v>
      </c>
      <c r="J14" s="8">
        <v>8329</v>
      </c>
      <c r="K14" s="8">
        <v>5258</v>
      </c>
      <c r="L14" s="8">
        <v>1458</v>
      </c>
      <c r="M14" s="8">
        <v>210.5</v>
      </c>
    </row>
    <row r="16" spans="1:13">
      <c r="A16" s="4" t="s">
        <v>124</v>
      </c>
    </row>
    <row r="18" spans="1:4">
      <c r="A18" s="10" t="s">
        <v>125</v>
      </c>
      <c r="B18" s="10" t="s">
        <v>126</v>
      </c>
      <c r="C18" s="10" t="s">
        <v>127</v>
      </c>
      <c r="D18" s="10" t="s">
        <v>128</v>
      </c>
    </row>
    <row r="19" spans="1:4">
      <c r="A19" t="s">
        <v>102</v>
      </c>
      <c r="B19" s="15">
        <v>0.1359</v>
      </c>
      <c r="C19" s="15">
        <v>0.1688</v>
      </c>
      <c r="D19" s="3" t="s">
        <v>129</v>
      </c>
    </row>
    <row r="20" spans="1:4">
      <c r="A20" t="s">
        <v>130</v>
      </c>
      <c r="B20" s="3" t="s">
        <v>131</v>
      </c>
      <c r="C20" s="3" t="s">
        <v>131</v>
      </c>
      <c r="D20" s="3" t="s">
        <v>132</v>
      </c>
    </row>
    <row r="21" spans="1:4">
      <c r="A21" t="s">
        <v>133</v>
      </c>
      <c r="B21" s="15">
        <v>0.5138</v>
      </c>
      <c r="C21" s="15">
        <v>0.2432</v>
      </c>
      <c r="D21" s="3" t="s">
        <v>134</v>
      </c>
    </row>
    <row r="22" spans="1:4">
      <c r="A22" t="s">
        <v>109</v>
      </c>
      <c r="B22" s="3" t="s">
        <v>135</v>
      </c>
      <c r="C22" s="15">
        <v>0.7345999999999999</v>
      </c>
      <c r="D22" s="3" t="s">
        <v>136</v>
      </c>
    </row>
    <row r="23" spans="1:4">
      <c r="A23" t="s">
        <v>137</v>
      </c>
      <c r="B23" s="15">
        <v>0.1688</v>
      </c>
      <c r="C23" s="3"/>
      <c r="D23" s="3" t="s">
        <v>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1"/>
  <sheetViews>
    <sheetView zoomScale="90" zoomScaleNormal="90" workbookViewId="0"/>
  </sheetViews>
  <sheetFormatPr defaultRowHeight="15"/>
  <cols>
    <col min="1" max="1" width="32.7109375" customWidth="1"/>
    <col min="2" max="4" width="18.7109375" customWidth="1"/>
  </cols>
  <sheetData>
    <row r="1" spans="1:4">
      <c r="A1" s="1" t="s">
        <v>139</v>
      </c>
    </row>
    <row r="2" spans="1:4">
      <c r="A2" s="2" t="s">
        <v>140</v>
      </c>
    </row>
    <row r="4" spans="1:4">
      <c r="A4" s="4" t="s">
        <v>141</v>
      </c>
    </row>
    <row r="5" spans="1:4">
      <c r="A5" s="13" t="s">
        <v>4</v>
      </c>
      <c r="B5" s="8" t="s">
        <v>142</v>
      </c>
    </row>
    <row r="6" spans="1:4">
      <c r="A6" s="13" t="s">
        <v>143</v>
      </c>
      <c r="B6" s="8" t="s">
        <v>144</v>
      </c>
    </row>
    <row r="7" spans="1:4">
      <c r="A7" s="13" t="s">
        <v>145</v>
      </c>
      <c r="B7" s="8" t="s">
        <v>146</v>
      </c>
    </row>
    <row r="8" spans="1:4">
      <c r="A8" s="13" t="s">
        <v>147</v>
      </c>
      <c r="B8" s="8" t="s">
        <v>148</v>
      </c>
    </row>
    <row r="9" spans="1:4">
      <c r="A9" s="13" t="s">
        <v>149</v>
      </c>
      <c r="B9" s="34" t="s">
        <v>150</v>
      </c>
    </row>
    <row r="10" spans="1:4">
      <c r="A10" s="13" t="s">
        <v>151</v>
      </c>
      <c r="B10" s="34" t="s">
        <v>152</v>
      </c>
    </row>
    <row r="11" spans="1:4">
      <c r="A11" s="13" t="s">
        <v>153</v>
      </c>
      <c r="B11" s="34" t="s">
        <v>154</v>
      </c>
    </row>
    <row r="12" spans="1:4">
      <c r="A12" s="13" t="s">
        <v>155</v>
      </c>
      <c r="B12" s="34" t="s">
        <v>156</v>
      </c>
    </row>
    <row r="14" spans="1:4">
      <c r="A14" s="4" t="s">
        <v>157</v>
      </c>
    </row>
    <row r="15" spans="1:4">
      <c r="A15" s="10" t="s">
        <v>16</v>
      </c>
      <c r="B15" s="10" t="s">
        <v>158</v>
      </c>
      <c r="C15" s="10" t="s">
        <v>159</v>
      </c>
      <c r="D15" s="10" t="s">
        <v>160</v>
      </c>
    </row>
    <row r="16" spans="1:4">
      <c r="A16" s="13" t="s">
        <v>121</v>
      </c>
      <c r="B16" s="16">
        <v>187.91</v>
      </c>
      <c r="C16" s="8">
        <v>678</v>
      </c>
      <c r="D16" s="35">
        <v>44.5</v>
      </c>
    </row>
    <row r="17" spans="1:4">
      <c r="A17" s="13" t="s">
        <v>122</v>
      </c>
      <c r="B17" s="16">
        <v>447.38</v>
      </c>
      <c r="C17" s="8">
        <v>2285</v>
      </c>
      <c r="D17" s="35">
        <v>34.1</v>
      </c>
    </row>
    <row r="18" spans="1:4">
      <c r="A18" s="13" t="s">
        <v>123</v>
      </c>
      <c r="B18" s="16">
        <v>580.71</v>
      </c>
      <c r="C18" s="8">
        <v>2874</v>
      </c>
      <c r="D18" s="35">
        <v>36</v>
      </c>
    </row>
    <row r="19" spans="1:4">
      <c r="A19" s="13" t="s">
        <v>161</v>
      </c>
      <c r="B19" s="16">
        <v>462.29</v>
      </c>
      <c r="C19" s="8">
        <v>2874</v>
      </c>
      <c r="D19" s="35">
        <v>26.1</v>
      </c>
    </row>
    <row r="20" spans="1:4">
      <c r="A20" s="4" t="s">
        <v>162</v>
      </c>
    </row>
    <row r="21" spans="1:4">
      <c r="A21" s="10" t="s">
        <v>16</v>
      </c>
      <c r="B21" s="10" t="s">
        <v>158</v>
      </c>
      <c r="C21" s="10" t="s">
        <v>163</v>
      </c>
      <c r="D21" s="10" t="s">
        <v>164</v>
      </c>
    </row>
    <row r="22" spans="1:4">
      <c r="A22" s="13" t="s">
        <v>165</v>
      </c>
      <c r="B22" s="16">
        <v>447.38</v>
      </c>
      <c r="C22" s="16">
        <v>6.27</v>
      </c>
      <c r="D22" s="35">
        <v>71.40000000000001</v>
      </c>
    </row>
    <row r="23" spans="1:4">
      <c r="A23" s="13" t="s">
        <v>166</v>
      </c>
      <c r="B23" s="16">
        <v>580.71</v>
      </c>
      <c r="C23" s="16">
        <v>11.97</v>
      </c>
      <c r="D23" s="35">
        <v>48.5</v>
      </c>
    </row>
    <row r="24" spans="1:4">
      <c r="A24" s="13" t="s">
        <v>167</v>
      </c>
      <c r="B24" s="16">
        <v>462.29</v>
      </c>
      <c r="C24" s="16">
        <v>12.26</v>
      </c>
      <c r="D24" s="35">
        <v>37.7</v>
      </c>
    </row>
    <row r="25" spans="1:4">
      <c r="A25" s="4" t="s">
        <v>168</v>
      </c>
    </row>
    <row r="26" spans="1:4">
      <c r="A26" t="s">
        <v>169</v>
      </c>
      <c r="B26" t="s">
        <v>170</v>
      </c>
    </row>
    <row r="27" spans="1:4">
      <c r="A27" t="s">
        <v>171</v>
      </c>
      <c r="B27" t="s">
        <v>150</v>
      </c>
    </row>
    <row r="28" spans="1:4">
      <c r="A28" t="s">
        <v>172</v>
      </c>
      <c r="B28" t="s">
        <v>173</v>
      </c>
    </row>
    <row r="29" spans="1:4">
      <c r="A29" s="13" t="s">
        <v>174</v>
      </c>
      <c r="B29" s="3" t="s">
        <v>175</v>
      </c>
    </row>
    <row r="31" spans="1:4">
      <c r="A31" s="36" t="s">
        <v>176</v>
      </c>
      <c r="B31" s="3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Scenarios</vt:lpstr>
      <vt:lpstr>Sensitivity</vt:lpstr>
      <vt:lpstr>Historical</vt:lpstr>
      <vt:lpstr>Sanity 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2026-06-30T09:49:35Z</dcterms:created>
  <dcterms:modified xsi:type="dcterms:W3CDTF">2026-06-30T09:49:35Z</dcterms:modified>
</cp:coreProperties>
</file>