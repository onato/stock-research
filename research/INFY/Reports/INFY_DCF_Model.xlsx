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<sst xmlns="http://schemas.openxmlformats.org/spreadsheetml/2006/main" count="360" uniqueCount="165">
  <si>
    <t xml:space="preserve">Ticker</t>
  </si>
  <si>
    <t xml:space="preserve">INFY</t>
  </si>
  <si>
    <t xml:space="preserve">Company</t>
  </si>
  <si>
    <t xml:space="preserve">Infosys Limited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</si>
  <si>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</si>
  <si>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</si>
  <si>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</si>
  <si>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</si>
  <si>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regular-session close (Yahoo regularMarketTime 1790971202)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</si>
  <si>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</si>
  <si>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</si>
  <si>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</si>
  <si>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</si>
  <si>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</si>
  <si>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</si>
  <si>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</si>
  <si>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</si>
  <si>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</si>
  <si>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</si>
  <si>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</si>
  <si>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</si>
  <si>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2026-10-03T22:53:30Z</t>
  </si>
  <si>
    <t xml:space="preserve">Drivers file</t>
  </si>
  <si>
    <t xml:space="preserve">INFY_Drivers.json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</si>
  <si>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</si>
  <si>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</si>
  <si>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</si>
  <si>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debt-free, cash-generative IT-services franchise valued on owner FCF after SBC and full lease cost, with ~$4.0bn of liquid treasury added at book. The question the price is asking is not near-term earnings (FY2027 guidance is intact on margin) but terminal durability under GenAI: the bear case is a shrinking annuity, the bull an AI-implementation re-rating. Risk is charged in the bear flows and a 25% bear weight, not stacked into the discount rate.
key_risks_to_valuation: GenAI automation of application maintenance/testing deflating billable revenue faster than AI services grow; Pricing pressure as clients demand AI productivity gains be passed through; US H-1B fee reinstatement on appeal and the DOJ visa-classification investigation; US/Europe enterprise IT-budget cyclicality (~88% of revenue); INR/USD moves: rupee appreciation compresses USD margins (costs mostly INR); Terminal value is 43-57% of EV (Gordon binds in all three scenarios, just under the caps; implied exit 11.9x/14.6x/15.8x owner FCF)</t>
  </si>
  <si>
    <t xml:space="preserve">Data sources</t>
  </si>
  <si>
    <t xml:space="preserve">price: Yahoo Finance chart API at inputs.price_as_of (regular close); reported 52-week range 10.30-30.00 includes a bad 30.00 tick in Dec-2025 -- true range ~10.3-20.2.
financials: INFY_Metrics.csv / INFY.duckdb (FY2017-FY2026 20-F IFRS USD, quarterly 6-K press releases through Q1 FY2027); FY2026 20-F cash flow statement, notes 2.2 (investments), 2.8 (leases, ROU depreciation), 2.16 (other income), 2.19 (EPS share counts) and statement of changes in equity; Q1 FY2027 IFRS USD press release (30-Jun-2026 balance sheet, FY2027 guidance).
qualitative: INFY_Analysis.json (2026-10-04)</t>
  </si>
  <si>
    <t xml:space="preserve">Scenario narrative: bear</t>
  </si>
  <si>
    <t xml:space="preserve">GenAI is structural, not cyclical: 25-30% of traditional app-development, testing and maintenance work is automated away and passed through to clients, producing the 10-12% revenue headwind over 3-4 years that AI-services revenue only partly offsets. Revenue falls ~6% cumulatively FY2028-FY2030 before stabilising at 1-1.5% growth; pricing pressure from TCS, Accenture and Cognizant, H-1B costs (fee reinstated on appeal, DOJ penalty) and a US/Europe IT-budget freeze compress pre-SBC EBITDA to 21% (operating margin ~18%). Still debt-free and cash generative -- the bear is a shrinking annuity, not a solvency story.</t>
  </si>
  <si>
    <t xml:space="preserve">Scenario narrative: base</t>
  </si>
  <si>
    <t xml:space="preserve">Infosys stays a low-single-digit grower: FY2027 lands at the top half of the lowered 1.5-3.0% guidance, then large-deal bookings and AI services (Topaz, 8.2% of revenue and growing double digits sequentially) roughly offset GenAI deflation in application maintenance and testing, holding USD growth near 3.5-4% through FY2031 before fading to 3%. Project Maximus keeps operating margin inside the 20-22% band, but clients capture part of the AI productivity gain, so pre-SBC EBITDA eases from 24.2% to 23.8%. Cash conversion stays near 100% of net profit and the ~85% payout policy keeps returning it.</t>
  </si>
  <si>
    <t xml:space="preserve">Scenario narrative: bull</t>
  </si>
  <si>
    <t xml:space="preserve">Infosys repositions as the AI-implementation partner rather than a labour-arbitrage vendor: record large-deal TCV with a rising net-new mix converts to revenue, AI services scale from 8% toward a quarter of revenue at better pricing, and the industry consolidates spend onto fewer, larger partners. USD growth recovers to 6-7% by FY2029 (well below the FY2022 boom but above the FY2024-27 trough), the H-1B fee stays vacated, and operating leverage plus a mix shift toward platforms (Finacle, Topaz) lift pre-SBC EBITDA to 25%.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</si>
  <si>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</si>
  <si>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</si>
  <si>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</si>
  <si>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</si>
  <si>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</si>
  <si>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</si>
  <si>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</si>
  <si>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</si>
  <si>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</si>
  <si>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</si>
  <si>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</si>
  <si>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</si>
  <si>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</si>
  <si>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</si>
  <si>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</si>
  <si>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</si>
  <si>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</si>
  <si>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</si>
  <si>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</si>
  <si>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</si>
  <si>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</si>
  <si>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</si>
  <si>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</si>
  <si>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</si>
  <si>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</si>
  <si>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</si>
  <si>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</si>
  <si>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</si>
  <si>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</si>
  <si>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</si>
  <si>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</si>
  <si>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</si>
  <si>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</si>
  <si>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</si>
  <si>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</si>
  <si>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</si>
  <si>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</si>
  <si>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</si>
  <si>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</si>
  <si>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</si>
  <si>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</si>
  <si>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</si>
  <si>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</si>
  <si>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</si>
  <si>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</si>
  <si>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</si>
  <si>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</si>
  <si>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</si>
  <si>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</si>
  <si>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</si>
  <si>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</si>
  <si>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</si>
  <si>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</si>
  <si>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</si>
  <si>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</si>
  <si>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</si>
  <si>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</si>
  <si>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</si>
  <si>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</si>
  <si>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</si>
  <si>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</si>
  <si>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</si>
  <si>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</si>
  <si>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</si>
  <si>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</si>
  <si>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</si>
  <si>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</si>
  <si>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</si>
  <si>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</si>
  <si>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</si>
  <si>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</si>
  <si>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</si>
  <si>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</si>
  <si>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</si>
  <si>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INFY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</si>
  <si>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</si>
  <si>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</si>
  <si>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</si>
  <si>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</si>
  <si>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</si>
  <si>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</si>
  <si>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</si>
  <si>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</si>
  <si>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</si>
  <si>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</si>
  <si>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</si>
  <si>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</si>
  <si>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</si>
  <si>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</si>
  <si>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</si>
  <si>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</si>
  <si>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</si>
  <si>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</si>
  <si>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</si>
  <si>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</si>
  <si>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</si>
  <si>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</si>
  <si>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</si>
  <si>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</si>
  <si>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</si>
  <si>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</si>
  <si>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</si>
  <si>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</si>
  <si>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</si>
  <si>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</si>
  <si>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INFY owner-FCF component DCF: base case (millions, USD)</t>
  </si>
  <si>
    <t xml:space="preserve">INFY owner-FCF component DCF: bull case (millions, USD)</t>
  </si>
  <si>
    <t xml:space="preserve">INFY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</si>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</sst>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11.04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10208</v>
      </c>
      <c r="C2" s="0" t="n">
        <v>6446</v>
      </c>
      <c r="D2" s="0" t="n">
        <v>3762</v>
      </c>
      <c r="E2" s="0" t="n">
        <v>36.9</v>
      </c>
      <c r="F2" s="0" t="n">
        <v>2520</v>
      </c>
      <c r="G2" s="0" t="n">
        <v>24.7</v>
      </c>
      <c r="H2" s="0" t="n">
        <v>2774</v>
      </c>
      <c r="I2" s="0" t="n">
        <v>2140</v>
      </c>
      <c r="J2" s="0" t="n">
        <v>21</v>
      </c>
      <c r="K2" s="0" t="n">
        <v>0.47</v>
      </c>
      <c r="L2" s="0" t="n">
        <v>2099</v>
      </c>
      <c r="M2" s="0" t="n">
        <v>411</v>
      </c>
      <c r="N2" s="0" t="n">
        <v>1688</v>
      </c>
      <c r="O2" s="0" t="n">
        <v>10637</v>
      </c>
      <c r="P2" s="0" t="n">
        <v>12854</v>
      </c>
      <c r="Q2" s="0" t="n">
        <v>2217</v>
      </c>
      <c r="R2" s="0" t="n">
        <v>0</v>
      </c>
      <c r="S2" s="0" t="n">
        <v>3489</v>
      </c>
      <c r="T2" s="0" t="n">
        <v>4572.793</v>
      </c>
      <c r="U2" s="0" t="n">
        <v>17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10939</v>
      </c>
      <c r="C3" s="0" t="n">
        <v>7001</v>
      </c>
      <c r="D3" s="0" t="n">
        <v>3938</v>
      </c>
      <c r="E3" s="0" t="n">
        <v>36</v>
      </c>
      <c r="F3" s="0" t="n">
        <v>2659</v>
      </c>
      <c r="G3" s="0" t="n">
        <v>24.3</v>
      </c>
      <c r="H3" s="0" t="n">
        <v>2948</v>
      </c>
      <c r="I3" s="0" t="n">
        <v>2486</v>
      </c>
      <c r="J3" s="0" t="n">
        <v>22.7</v>
      </c>
      <c r="K3" s="0" t="n">
        <v>0.55</v>
      </c>
      <c r="L3" s="0" t="n">
        <v>2257</v>
      </c>
      <c r="M3" s="0" t="n">
        <v>310</v>
      </c>
      <c r="N3" s="0" t="n">
        <v>1947</v>
      </c>
      <c r="O3" s="0" t="n">
        <v>9960</v>
      </c>
      <c r="P3" s="0" t="n">
        <v>12255</v>
      </c>
      <c r="Q3" s="0" t="n">
        <v>2295</v>
      </c>
      <c r="R3" s="0" t="n">
        <v>0</v>
      </c>
      <c r="S3" s="0" t="n">
        <v>3041</v>
      </c>
      <c r="T3" s="0" t="n">
        <v>4515.148</v>
      </c>
      <c r="U3" s="0" t="n">
        <v>13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11799</v>
      </c>
      <c r="C4" s="0" t="n">
        <v>7687</v>
      </c>
      <c r="D4" s="0" t="n">
        <v>4112</v>
      </c>
      <c r="E4" s="0" t="n">
        <v>34.9</v>
      </c>
      <c r="F4" s="0" t="n">
        <v>2696</v>
      </c>
      <c r="G4" s="0" t="n">
        <v>22.8</v>
      </c>
      <c r="H4" s="0" t="n">
        <v>2983</v>
      </c>
      <c r="I4" s="0" t="n">
        <v>2199</v>
      </c>
      <c r="J4" s="0" t="n">
        <v>18.6</v>
      </c>
      <c r="K4" s="0" t="n">
        <v>0.51</v>
      </c>
      <c r="L4" s="0" t="n">
        <v>2262</v>
      </c>
      <c r="M4" s="0" t="n">
        <v>349</v>
      </c>
      <c r="N4" s="0" t="n">
        <v>1913</v>
      </c>
      <c r="O4" s="0" t="n">
        <v>9391</v>
      </c>
      <c r="P4" s="0" t="n">
        <v>12252</v>
      </c>
      <c r="Q4" s="0" t="n">
        <v>2852</v>
      </c>
      <c r="R4" s="0" t="n">
        <v>0</v>
      </c>
      <c r="S4" s="0" t="n">
        <v>2829</v>
      </c>
      <c r="T4" s="0" t="n">
        <v>4353.421</v>
      </c>
      <c r="U4" s="0" t="n">
        <v>29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12780</v>
      </c>
      <c r="C5" s="0" t="n">
        <v>8552</v>
      </c>
      <c r="D5" s="0" t="n">
        <v>4228</v>
      </c>
      <c r="E5" s="0" t="n">
        <v>33.1</v>
      </c>
      <c r="F5" s="0" t="n">
        <v>2724</v>
      </c>
      <c r="G5" s="0" t="n">
        <v>21.3</v>
      </c>
      <c r="H5" s="0" t="n">
        <v>3131</v>
      </c>
      <c r="I5" s="0" t="n">
        <v>2331</v>
      </c>
      <c r="J5" s="0" t="n">
        <v>18.2</v>
      </c>
      <c r="K5" s="0" t="n">
        <v>0.55</v>
      </c>
      <c r="L5" s="0" t="n">
        <v>2611</v>
      </c>
      <c r="M5" s="0" t="n">
        <v>465</v>
      </c>
      <c r="N5" s="0" t="n">
        <v>2146</v>
      </c>
      <c r="O5" s="0" t="n">
        <v>8646</v>
      </c>
      <c r="P5" s="0" t="n">
        <v>12260</v>
      </c>
      <c r="Q5" s="0" t="n">
        <v>3559</v>
      </c>
      <c r="R5" s="0" t="n">
        <v>0</v>
      </c>
      <c r="S5" s="0" t="n">
        <v>2465</v>
      </c>
      <c r="T5" s="0" t="n">
        <v>4265.144</v>
      </c>
      <c r="U5" s="0" t="n">
        <v>34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13561</v>
      </c>
      <c r="C6" s="0" t="n">
        <v>8828</v>
      </c>
      <c r="D6" s="0" t="n">
        <v>4733</v>
      </c>
      <c r="E6" s="0" t="n">
        <v>34.9</v>
      </c>
      <c r="F6" s="0" t="n">
        <v>3325</v>
      </c>
      <c r="G6" s="0" t="n">
        <v>24.5</v>
      </c>
      <c r="H6" s="0" t="n">
        <v>3766</v>
      </c>
      <c r="I6" s="0" t="n">
        <v>2613</v>
      </c>
      <c r="J6" s="0" t="n">
        <v>19.3</v>
      </c>
      <c r="K6" s="0" t="n">
        <v>0.61</v>
      </c>
      <c r="L6" s="0" t="n">
        <v>3258</v>
      </c>
      <c r="M6" s="0" t="n">
        <v>285</v>
      </c>
      <c r="N6" s="0" t="n">
        <v>2973</v>
      </c>
      <c r="O6" s="0" t="n">
        <v>10442</v>
      </c>
      <c r="P6" s="0" t="n">
        <v>14825</v>
      </c>
      <c r="Q6" s="0" t="n">
        <v>4323</v>
      </c>
      <c r="R6" s="0" t="n">
        <v>0</v>
      </c>
      <c r="S6" s="0" t="n">
        <v>3380</v>
      </c>
      <c r="T6" s="0" t="n">
        <v>4250.732</v>
      </c>
      <c r="U6" s="0" t="n">
        <v>45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16311</v>
      </c>
      <c r="C7" s="0" t="n">
        <v>10996</v>
      </c>
      <c r="D7" s="0" t="n">
        <v>5315</v>
      </c>
      <c r="E7" s="0" t="n">
        <v>32.6</v>
      </c>
      <c r="F7" s="0" t="n">
        <v>3755</v>
      </c>
      <c r="G7" s="0" t="n">
        <v>23</v>
      </c>
      <c r="H7" s="0" t="n">
        <v>4221</v>
      </c>
      <c r="I7" s="0" t="n">
        <v>2963</v>
      </c>
      <c r="J7" s="0" t="n">
        <v>18.2</v>
      </c>
      <c r="K7" s="0" t="n">
        <v>0.7</v>
      </c>
      <c r="L7" s="0" t="n">
        <v>3345</v>
      </c>
      <c r="M7" s="0" t="n">
        <v>290</v>
      </c>
      <c r="N7" s="0" t="n">
        <v>3055</v>
      </c>
      <c r="O7" s="0" t="n">
        <v>9941</v>
      </c>
      <c r="P7" s="0" t="n">
        <v>15555</v>
      </c>
      <c r="Q7" s="0" t="n">
        <v>5561</v>
      </c>
      <c r="R7" s="0" t="n">
        <v>0</v>
      </c>
      <c r="S7" s="0" t="n">
        <v>2305</v>
      </c>
      <c r="T7" s="0" t="n">
        <v>4218.525</v>
      </c>
      <c r="U7" s="0" t="n">
        <v>56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18212</v>
      </c>
      <c r="C8" s="0" t="n">
        <v>12709</v>
      </c>
      <c r="D8" s="0" t="n">
        <v>5503</v>
      </c>
      <c r="E8" s="0" t="n">
        <v>30.2</v>
      </c>
      <c r="F8" s="0" t="n">
        <v>3825</v>
      </c>
      <c r="G8" s="0" t="n">
        <v>21</v>
      </c>
      <c r="H8" s="0" t="n">
        <v>4349</v>
      </c>
      <c r="I8" s="0" t="n">
        <v>2981</v>
      </c>
      <c r="J8" s="0" t="n">
        <v>16.4</v>
      </c>
      <c r="K8" s="0" t="n">
        <v>0.71</v>
      </c>
      <c r="L8" s="0" t="n">
        <v>2853</v>
      </c>
      <c r="M8" s="0" t="n">
        <v>319</v>
      </c>
      <c r="N8" s="0" t="n">
        <v>2534</v>
      </c>
      <c r="O8" s="0" t="n">
        <v>9172</v>
      </c>
      <c r="P8" s="0" t="n">
        <v>15312</v>
      </c>
      <c r="Q8" s="0" t="n">
        <v>6088</v>
      </c>
      <c r="R8" s="0" t="n">
        <v>0</v>
      </c>
      <c r="S8" s="0" t="n">
        <v>1481</v>
      </c>
      <c r="T8" s="0" t="n">
        <v>4187.731</v>
      </c>
      <c r="U8" s="0" t="n">
        <v>64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18562</v>
      </c>
      <c r="C9" s="0" t="n">
        <v>12975</v>
      </c>
      <c r="D9" s="0" t="n">
        <v>5587</v>
      </c>
      <c r="E9" s="0" t="n">
        <v>30.1</v>
      </c>
      <c r="F9" s="0" t="n">
        <v>3834</v>
      </c>
      <c r="G9" s="0" t="n">
        <v>20.7</v>
      </c>
      <c r="H9" s="0" t="n">
        <v>4399</v>
      </c>
      <c r="I9" s="0" t="n">
        <v>3167</v>
      </c>
      <c r="J9" s="0" t="n">
        <v>17.1</v>
      </c>
      <c r="K9" s="0" t="n">
        <v>0.76</v>
      </c>
      <c r="L9" s="0" t="n">
        <v>3148</v>
      </c>
      <c r="M9" s="0" t="n">
        <v>266</v>
      </c>
      <c r="N9" s="0" t="n">
        <v>2882</v>
      </c>
      <c r="O9" s="0" t="n">
        <v>10559</v>
      </c>
      <c r="P9" s="0" t="n">
        <v>16523</v>
      </c>
      <c r="Q9" s="0" t="n">
        <v>5918</v>
      </c>
      <c r="R9" s="0" t="n">
        <v>0</v>
      </c>
      <c r="S9" s="0" t="n">
        <v>1773</v>
      </c>
      <c r="T9" s="0" t="n">
        <v>4144.68</v>
      </c>
      <c r="U9" s="0" t="n">
        <v>79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19277</v>
      </c>
      <c r="C10" s="0" t="n">
        <v>13405</v>
      </c>
      <c r="D10" s="0" t="n">
        <v>5872</v>
      </c>
      <c r="E10" s="0" t="n">
        <v>30.5</v>
      </c>
      <c r="F10" s="0" t="n">
        <v>4071</v>
      </c>
      <c r="G10" s="0" t="n">
        <v>21.1</v>
      </c>
      <c r="H10" s="0" t="n">
        <v>4640</v>
      </c>
      <c r="I10" s="0" t="n">
        <v>3158</v>
      </c>
      <c r="J10" s="0" t="n">
        <v>16.4</v>
      </c>
      <c r="K10" s="0" t="n">
        <v>0.76</v>
      </c>
      <c r="L10" s="0" t="n">
        <v>4351</v>
      </c>
      <c r="M10" s="0" t="n">
        <v>263</v>
      </c>
      <c r="N10" s="0" t="n">
        <v>4088</v>
      </c>
      <c r="O10" s="0" t="n">
        <v>11205</v>
      </c>
      <c r="P10" s="0" t="n">
        <v>17419</v>
      </c>
      <c r="Q10" s="0" t="n">
        <v>6164</v>
      </c>
      <c r="R10" s="0" t="n">
        <v>0</v>
      </c>
      <c r="S10" s="0" t="n">
        <v>2861</v>
      </c>
      <c r="T10" s="0" t="n">
        <v>4152.051</v>
      </c>
      <c r="U10" s="0" t="n">
        <v>95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20158</v>
      </c>
      <c r="C11" s="0" t="n">
        <v>14079</v>
      </c>
      <c r="D11" s="0" t="n">
        <v>6079</v>
      </c>
      <c r="E11" s="0" t="n">
        <v>30.2</v>
      </c>
      <c r="F11" s="0" t="n">
        <v>4085</v>
      </c>
      <c r="G11" s="0" t="n">
        <v>20.3</v>
      </c>
      <c r="H11" s="0" t="n">
        <v>4637</v>
      </c>
      <c r="I11" s="0" t="n">
        <v>3313</v>
      </c>
      <c r="J11" s="0" t="n">
        <v>16.4</v>
      </c>
      <c r="K11" s="0" t="n">
        <v>0.8</v>
      </c>
      <c r="L11" s="0" t="n">
        <v>4039</v>
      </c>
      <c r="M11" s="0" t="n">
        <v>306</v>
      </c>
      <c r="N11" s="0" t="n">
        <v>3733</v>
      </c>
      <c r="O11" s="0" t="n">
        <v>9786</v>
      </c>
      <c r="P11" s="0" t="n">
        <v>16446</v>
      </c>
      <c r="Q11" s="0" t="n">
        <v>6606</v>
      </c>
      <c r="R11" s="0" t="n">
        <v>0</v>
      </c>
      <c r="S11" s="0" t="n">
        <v>2341</v>
      </c>
      <c r="T11" s="0" t="n">
        <v>4120.108</v>
      </c>
      <c r="U11" s="0" t="n">
        <v>108</v>
      </c>
      <c r="AA11" s="0" t="s">
        <v>17</v>
      </c>
      <c r="AB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11.04</v>
      </c>
    </row>
    <row r="3" customFormat="false" ht="15" hidden="false" customHeight="false" outlineLevel="0" collapsed="false">
      <c r="A3" s="0" t="s">
        <v>76</v>
      </c>
      <c r="B3" s="3" t="n">
        <v>4054</v>
      </c>
    </row>
    <row r="4" customFormat="false" ht="15" hidden="false" customHeight="false" outlineLevel="0" collapsed="false">
      <c r="A4" s="0" t="s">
        <v>77</v>
      </c>
      <c r="B4" s="3" t="n">
        <v>-4048</v>
      </c>
    </row>
    <row r="5" customFormat="false" ht="15" hidden="false" customHeight="false" outlineLevel="0" collapsed="false">
      <c r="A5" s="0" t="s">
        <v>78</v>
      </c>
      <c r="B5" s="3" t="n">
        <v>-55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20158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1</v>
      </c>
      <c r="D13" s="3" t="n">
        <v>-1.5</v>
      </c>
      <c r="E13" s="3" t="n">
        <v>-3</v>
      </c>
      <c r="F13" s="3" t="n">
        <v>-2</v>
      </c>
      <c r="G13" s="3" t="n">
        <v>0</v>
      </c>
      <c r="H13" s="3" t="n">
        <v>1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97</v>
      </c>
      <c r="C14" s="3" t="n">
        <v>23.8</v>
      </c>
      <c r="D14" s="3" t="n">
        <v>23</v>
      </c>
      <c r="E14" s="3" t="n">
        <v>22</v>
      </c>
      <c r="F14" s="3" t="n">
        <v>21.5</v>
      </c>
      <c r="G14" s="3" t="n">
        <v>21</v>
      </c>
      <c r="H14" s="3" t="n">
        <v>21</v>
      </c>
      <c r="I14" s="3" t="n">
        <v>21</v>
      </c>
      <c r="J14" s="3" t="n">
        <v>21</v>
      </c>
      <c r="K14" s="3" t="n">
        <v>21</v>
      </c>
      <c r="L14" s="3" t="n">
        <v>21</v>
      </c>
    </row>
    <row r="15" customFormat="false" ht="15" hidden="false" customHeight="false" outlineLevel="0" collapsed="false">
      <c r="A15" s="0" t="s">
        <v>98</v>
      </c>
      <c r="C15" s="3" t="n">
        <v>0.55</v>
      </c>
      <c r="D15" s="3" t="n">
        <v>0.55</v>
      </c>
      <c r="E15" s="3" t="n">
        <v>0.55</v>
      </c>
      <c r="F15" s="3" t="n">
        <v>0.55</v>
      </c>
      <c r="G15" s="3" t="n">
        <v>0.55</v>
      </c>
      <c r="H15" s="3" t="n">
        <v>0.55</v>
      </c>
      <c r="I15" s="3" t="n">
        <v>0.55</v>
      </c>
      <c r="J15" s="3" t="n">
        <v>0.55</v>
      </c>
      <c r="K15" s="3" t="n">
        <v>0.55</v>
      </c>
      <c r="L15" s="3" t="n">
        <v>0.55</v>
      </c>
    </row>
    <row r="16" customFormat="false" ht="15" hidden="false" customHeight="false" outlineLevel="0" collapsed="false">
      <c r="A16" s="0" t="s">
        <v>99</v>
      </c>
      <c r="C16" s="3" t="n">
        <v>1.78</v>
      </c>
      <c r="D16" s="3" t="n">
        <v>1.78</v>
      </c>
      <c r="E16" s="3" t="n">
        <v>1.78</v>
      </c>
      <c r="F16" s="3" t="n">
        <v>1.78</v>
      </c>
      <c r="G16" s="3" t="n">
        <v>1.78</v>
      </c>
      <c r="H16" s="3" t="n">
        <v>1.78</v>
      </c>
      <c r="I16" s="3" t="n">
        <v>1.78</v>
      </c>
      <c r="J16" s="3" t="n">
        <v>1.78</v>
      </c>
      <c r="K16" s="3" t="n">
        <v>1.78</v>
      </c>
      <c r="L16" s="3" t="n">
        <v>1.78</v>
      </c>
    </row>
    <row r="17" customFormat="false" ht="15" hidden="false" customHeight="false" outlineLevel="0" collapsed="false">
      <c r="A17" s="0" t="s">
        <v>100</v>
      </c>
      <c r="C17" s="3" t="n">
        <v>1.7</v>
      </c>
      <c r="D17" s="3" t="n">
        <v>1.7</v>
      </c>
      <c r="E17" s="3" t="n">
        <v>1.7</v>
      </c>
      <c r="F17" s="3" t="n">
        <v>1.7</v>
      </c>
      <c r="G17" s="3" t="n">
        <v>1.7</v>
      </c>
      <c r="H17" s="3" t="n">
        <v>1.7</v>
      </c>
      <c r="I17" s="3" t="n">
        <v>1.7</v>
      </c>
      <c r="J17" s="3" t="n">
        <v>1.7</v>
      </c>
      <c r="K17" s="3" t="n">
        <v>1.7</v>
      </c>
      <c r="L17" s="3" t="n">
        <v>1.7</v>
      </c>
    </row>
    <row r="18" customFormat="false" ht="15" hidden="false" customHeight="false" outlineLevel="0" collapsed="false">
      <c r="A18" s="0" t="s">
        <v>101</v>
      </c>
      <c r="C18" s="3" t="n">
        <v>1.6</v>
      </c>
      <c r="D18" s="3" t="n">
        <v>1.6</v>
      </c>
      <c r="E18" s="3" t="n">
        <v>1.6</v>
      </c>
      <c r="F18" s="3" t="n">
        <v>1.6</v>
      </c>
      <c r="G18" s="3" t="n">
        <v>1.6</v>
      </c>
      <c r="H18" s="3" t="n">
        <v>1.6</v>
      </c>
      <c r="I18" s="3" t="n">
        <v>1.6</v>
      </c>
      <c r="J18" s="3" t="n">
        <v>1.6</v>
      </c>
      <c r="K18" s="3" t="n">
        <v>1.6</v>
      </c>
      <c r="L18" s="3" t="n">
        <v>1.6</v>
      </c>
    </row>
    <row r="19" customFormat="false" ht="15" hidden="false" customHeight="false" outlineLevel="0" collapsed="false">
      <c r="A19" s="0" t="s">
        <v>102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103</v>
      </c>
      <c r="B20" s="3" t="n">
        <v>9.5</v>
      </c>
    </row>
    <row r="21" customFormat="false" ht="15" hidden="false" customHeight="false" outlineLevel="0" collapsed="false">
      <c r="A21" s="0" t="s">
        <v>104</v>
      </c>
      <c r="B21" s="3" t="n">
        <v>1</v>
      </c>
    </row>
    <row r="22" customFormat="false" ht="15" hidden="false" customHeight="false" outlineLevel="0" collapsed="false">
      <c r="A22" s="0" t="s">
        <v>105</v>
      </c>
      <c r="B22" s="3" t="n">
        <v>12</v>
      </c>
    </row>
    <row r="23" customFormat="false" ht="15" hidden="false" customHeight="false" outlineLevel="0" collapsed="false">
      <c r="A23" s="0" t="s">
        <v>106</v>
      </c>
      <c r="B23" s="3" t="n">
        <v>-15</v>
      </c>
    </row>
    <row r="24" customFormat="false" ht="15" hidden="false" customHeight="false" outlineLevel="0" collapsed="false">
      <c r="A24" s="0" t="s">
        <v>107</v>
      </c>
      <c r="B24" s="3" t="n">
        <v>0.25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2.5</v>
      </c>
      <c r="D27" s="3" t="n">
        <v>3.5</v>
      </c>
      <c r="E27" s="3" t="n">
        <v>4</v>
      </c>
      <c r="F27" s="3" t="n">
        <v>4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97</v>
      </c>
      <c r="C28" s="3" t="n">
        <v>24.2</v>
      </c>
      <c r="D28" s="3" t="n">
        <v>24.2</v>
      </c>
      <c r="E28" s="3" t="n">
        <v>24</v>
      </c>
      <c r="F28" s="3" t="n">
        <v>24</v>
      </c>
      <c r="G28" s="3" t="n">
        <v>24</v>
      </c>
      <c r="H28" s="3" t="n">
        <v>23.8</v>
      </c>
      <c r="I28" s="3" t="n">
        <v>23.8</v>
      </c>
      <c r="J28" s="3" t="n">
        <v>23.8</v>
      </c>
      <c r="K28" s="3" t="n">
        <v>23.8</v>
      </c>
      <c r="L28" s="3" t="n">
        <v>23.8</v>
      </c>
    </row>
    <row r="29" customFormat="false" ht="15" hidden="false" customHeight="false" outlineLevel="0" collapsed="false">
      <c r="A29" s="0" t="s">
        <v>98</v>
      </c>
      <c r="C29" s="3" t="n">
        <v>0.55</v>
      </c>
      <c r="D29" s="3" t="n">
        <v>0.55</v>
      </c>
      <c r="E29" s="3" t="n">
        <v>0.55</v>
      </c>
      <c r="F29" s="3" t="n">
        <v>0.55</v>
      </c>
      <c r="G29" s="3" t="n">
        <v>0.55</v>
      </c>
      <c r="H29" s="3" t="n">
        <v>0.55</v>
      </c>
      <c r="I29" s="3" t="n">
        <v>0.55</v>
      </c>
      <c r="J29" s="3" t="n">
        <v>0.55</v>
      </c>
      <c r="K29" s="3" t="n">
        <v>0.55</v>
      </c>
      <c r="L29" s="3" t="n">
        <v>0.55</v>
      </c>
    </row>
    <row r="30" customFormat="false" ht="15" hidden="false" customHeight="false" outlineLevel="0" collapsed="false">
      <c r="A30" s="0" t="s">
        <v>99</v>
      </c>
      <c r="C30" s="3" t="n">
        <v>1.78</v>
      </c>
      <c r="D30" s="3" t="n">
        <v>1.78</v>
      </c>
      <c r="E30" s="3" t="n">
        <v>1.78</v>
      </c>
      <c r="F30" s="3" t="n">
        <v>1.78</v>
      </c>
      <c r="G30" s="3" t="n">
        <v>1.78</v>
      </c>
      <c r="H30" s="3" t="n">
        <v>1.78</v>
      </c>
      <c r="I30" s="3" t="n">
        <v>1.78</v>
      </c>
      <c r="J30" s="3" t="n">
        <v>1.78</v>
      </c>
      <c r="K30" s="3" t="n">
        <v>1.78</v>
      </c>
      <c r="L30" s="3" t="n">
        <v>1.78</v>
      </c>
    </row>
    <row r="31" customFormat="false" ht="15" hidden="false" customHeight="false" outlineLevel="0" collapsed="false">
      <c r="A31" s="0" t="s">
        <v>100</v>
      </c>
      <c r="C31" s="3" t="n">
        <v>1.7</v>
      </c>
      <c r="D31" s="3" t="n">
        <v>1.7</v>
      </c>
      <c r="E31" s="3" t="n">
        <v>1.7</v>
      </c>
      <c r="F31" s="3" t="n">
        <v>1.7</v>
      </c>
      <c r="G31" s="3" t="n">
        <v>1.7</v>
      </c>
      <c r="H31" s="3" t="n">
        <v>1.7</v>
      </c>
      <c r="I31" s="3" t="n">
        <v>1.7</v>
      </c>
      <c r="J31" s="3" t="n">
        <v>1.7</v>
      </c>
      <c r="K31" s="3" t="n">
        <v>1.7</v>
      </c>
      <c r="L31" s="3" t="n">
        <v>1.7</v>
      </c>
    </row>
    <row r="32" customFormat="false" ht="15" hidden="false" customHeight="false" outlineLevel="0" collapsed="false">
      <c r="A32" s="0" t="s">
        <v>101</v>
      </c>
      <c r="C32" s="3" t="n">
        <v>1.6</v>
      </c>
      <c r="D32" s="3" t="n">
        <v>1.6</v>
      </c>
      <c r="E32" s="3" t="n">
        <v>1.6</v>
      </c>
      <c r="F32" s="3" t="n">
        <v>1.6</v>
      </c>
      <c r="G32" s="3" t="n">
        <v>1.6</v>
      </c>
      <c r="H32" s="3" t="n">
        <v>1.6</v>
      </c>
      <c r="I32" s="3" t="n">
        <v>1.6</v>
      </c>
      <c r="J32" s="3" t="n">
        <v>1.6</v>
      </c>
      <c r="K32" s="3" t="n">
        <v>1.6</v>
      </c>
      <c r="L32" s="3" t="n">
        <v>1.6</v>
      </c>
    </row>
    <row r="33" customFormat="false" ht="15" hidden="false" customHeight="false" outlineLevel="0" collapsed="false">
      <c r="A33" s="0" t="s">
        <v>102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103</v>
      </c>
      <c r="B34" s="3" t="n">
        <v>9.5</v>
      </c>
    </row>
    <row r="35" customFormat="false" ht="15" hidden="false" customHeight="false" outlineLevel="0" collapsed="false">
      <c r="A35" s="0" t="s">
        <v>104</v>
      </c>
      <c r="B35" s="3" t="n">
        <v>2.5</v>
      </c>
    </row>
    <row r="36" customFormat="false" ht="15" hidden="false" customHeight="false" outlineLevel="0" collapsed="false">
      <c r="A36" s="0" t="s">
        <v>105</v>
      </c>
      <c r="B36" s="3" t="n">
        <v>15</v>
      </c>
    </row>
    <row r="37" customFormat="false" ht="15" hidden="false" customHeight="false" outlineLevel="0" collapsed="false">
      <c r="A37" s="0" t="s">
        <v>106</v>
      </c>
      <c r="B37" s="3" t="n">
        <v>-15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3</v>
      </c>
      <c r="D41" s="3" t="n">
        <v>6</v>
      </c>
      <c r="E41" s="3" t="n">
        <v>7</v>
      </c>
      <c r="F41" s="3" t="n">
        <v>7</v>
      </c>
      <c r="G41" s="3" t="n">
        <v>6.5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97</v>
      </c>
      <c r="C42" s="3" t="n">
        <v>24.4</v>
      </c>
      <c r="D42" s="3" t="n">
        <v>24.6</v>
      </c>
      <c r="E42" s="3" t="n">
        <v>24.8</v>
      </c>
      <c r="F42" s="3" t="n">
        <v>25</v>
      </c>
      <c r="G42" s="3" t="n">
        <v>25</v>
      </c>
      <c r="H42" s="3" t="n">
        <v>25</v>
      </c>
      <c r="I42" s="3" t="n">
        <v>25</v>
      </c>
      <c r="J42" s="3" t="n">
        <v>25</v>
      </c>
      <c r="K42" s="3" t="n">
        <v>25</v>
      </c>
      <c r="L42" s="3" t="n">
        <v>25</v>
      </c>
    </row>
    <row r="43" customFormat="false" ht="15" hidden="false" customHeight="false" outlineLevel="0" collapsed="false">
      <c r="A43" s="0" t="s">
        <v>98</v>
      </c>
      <c r="C43" s="3" t="n">
        <v>0.55</v>
      </c>
      <c r="D43" s="3" t="n">
        <v>0.55</v>
      </c>
      <c r="E43" s="3" t="n">
        <v>0.55</v>
      </c>
      <c r="F43" s="3" t="n">
        <v>0.55</v>
      </c>
      <c r="G43" s="3" t="n">
        <v>0.55</v>
      </c>
      <c r="H43" s="3" t="n">
        <v>0.55</v>
      </c>
      <c r="I43" s="3" t="n">
        <v>0.55</v>
      </c>
      <c r="J43" s="3" t="n">
        <v>0.55</v>
      </c>
      <c r="K43" s="3" t="n">
        <v>0.55</v>
      </c>
      <c r="L43" s="3" t="n">
        <v>0.55</v>
      </c>
    </row>
    <row r="44" customFormat="false" ht="15" hidden="false" customHeight="false" outlineLevel="0" collapsed="false">
      <c r="A44" s="0" t="s">
        <v>99</v>
      </c>
      <c r="C44" s="3" t="n">
        <v>1.78</v>
      </c>
      <c r="D44" s="3" t="n">
        <v>1.78</v>
      </c>
      <c r="E44" s="3" t="n">
        <v>1.78</v>
      </c>
      <c r="F44" s="3" t="n">
        <v>1.78</v>
      </c>
      <c r="G44" s="3" t="n">
        <v>1.78</v>
      </c>
      <c r="H44" s="3" t="n">
        <v>1.78</v>
      </c>
      <c r="I44" s="3" t="n">
        <v>1.78</v>
      </c>
      <c r="J44" s="3" t="n">
        <v>1.78</v>
      </c>
      <c r="K44" s="3" t="n">
        <v>1.78</v>
      </c>
      <c r="L44" s="3" t="n">
        <v>1.78</v>
      </c>
    </row>
    <row r="45" customFormat="false" ht="15" hidden="false" customHeight="false" outlineLevel="0" collapsed="false">
      <c r="A45" s="0" t="s">
        <v>100</v>
      </c>
      <c r="C45" s="3" t="n">
        <v>1.7</v>
      </c>
      <c r="D45" s="3" t="n">
        <v>1.7</v>
      </c>
      <c r="E45" s="3" t="n">
        <v>1.7</v>
      </c>
      <c r="F45" s="3" t="n">
        <v>1.7</v>
      </c>
      <c r="G45" s="3" t="n">
        <v>1.7</v>
      </c>
      <c r="H45" s="3" t="n">
        <v>1.7</v>
      </c>
      <c r="I45" s="3" t="n">
        <v>1.7</v>
      </c>
      <c r="J45" s="3" t="n">
        <v>1.7</v>
      </c>
      <c r="K45" s="3" t="n">
        <v>1.7</v>
      </c>
      <c r="L45" s="3" t="n">
        <v>1.7</v>
      </c>
    </row>
    <row r="46" customFormat="false" ht="15" hidden="false" customHeight="false" outlineLevel="0" collapsed="false">
      <c r="A46" s="0" t="s">
        <v>101</v>
      </c>
      <c r="C46" s="3" t="n">
        <v>1.6</v>
      </c>
      <c r="D46" s="3" t="n">
        <v>1.6</v>
      </c>
      <c r="E46" s="3" t="n">
        <v>1.6</v>
      </c>
      <c r="F46" s="3" t="n">
        <v>1.6</v>
      </c>
      <c r="G46" s="3" t="n">
        <v>1.6</v>
      </c>
      <c r="H46" s="3" t="n">
        <v>1.6</v>
      </c>
      <c r="I46" s="3" t="n">
        <v>1.6</v>
      </c>
      <c r="J46" s="3" t="n">
        <v>1.6</v>
      </c>
      <c r="K46" s="3" t="n">
        <v>1.6</v>
      </c>
      <c r="L46" s="3" t="n">
        <v>1.6</v>
      </c>
    </row>
    <row r="47" customFormat="false" ht="15" hidden="false" customHeight="false" outlineLevel="0" collapsed="false">
      <c r="A47" s="0" t="s">
        <v>102</v>
      </c>
      <c r="C47" s="3" t="n">
        <v>26</v>
      </c>
      <c r="D47" s="3" t="n">
        <v>26</v>
      </c>
      <c r="E47" s="3" t="n">
        <v>26</v>
      </c>
      <c r="F47" s="3" t="n">
        <v>26</v>
      </c>
      <c r="G47" s="3" t="n">
        <v>26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103</v>
      </c>
      <c r="B48" s="3" t="n">
        <v>9.5</v>
      </c>
    </row>
    <row r="49" customFormat="false" ht="15" hidden="false" customHeight="false" outlineLevel="0" collapsed="false">
      <c r="A49" s="0" t="s">
        <v>104</v>
      </c>
      <c r="B49" s="3" t="n">
        <v>3</v>
      </c>
    </row>
    <row r="50" customFormat="false" ht="15" hidden="false" customHeight="false" outlineLevel="0" collapsed="false">
      <c r="A50" s="0" t="s">
        <v>105</v>
      </c>
      <c r="B50" s="3" t="n">
        <v>16</v>
      </c>
    </row>
    <row r="51" customFormat="false" ht="15" hidden="false" customHeight="false" outlineLevel="0" collapsed="false">
      <c r="A51" s="0" t="s">
        <v>106</v>
      </c>
      <c r="B51" s="3" t="n">
        <v>-15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1</v>
      </c>
      <c r="D5" s="4" t="n">
        <f aca="false">Assumptions!D13</f>
        <v>-1.5</v>
      </c>
      <c r="E5" s="4" t="n">
        <f aca="false">Assumptions!E13</f>
        <v>-3</v>
      </c>
      <c r="F5" s="4" t="n">
        <f aca="false">Assumptions!F13</f>
        <v>-2</v>
      </c>
      <c r="G5" s="4" t="n">
        <f aca="false">Assumptions!G13</f>
        <v>0</v>
      </c>
      <c r="H5" s="4" t="n">
        <f aca="false">Assumptions!H13</f>
        <v>1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20158</v>
      </c>
      <c r="C6" s="0" t="n">
        <f aca="false">B6*(1+C5/100)</f>
        <v>20359.58</v>
      </c>
      <c r="D6" s="0" t="n">
        <f aca="false">C6*(1+D5/100)</f>
        <v>20054.1863</v>
      </c>
      <c r="E6" s="0" t="n">
        <f aca="false">D6*(1+E5/100)</f>
        <v>19452.560711</v>
      </c>
      <c r="F6" s="0" t="n">
        <f aca="false">E6*(1+F5/100)</f>
        <v>19063.50949678</v>
      </c>
      <c r="G6" s="0" t="n">
        <f aca="false">F6*(1+G5/100)</f>
        <v>19063.50949678</v>
      </c>
      <c r="H6" s="0" t="n">
        <f aca="false">G6*(1+H5/100)</f>
        <v>19254.1445917478</v>
      </c>
      <c r="I6" s="0" t="n">
        <f aca="false">H6*(1+I5/100)</f>
        <v>19542.956760624</v>
      </c>
      <c r="J6" s="0" t="n">
        <f aca="false">I6*(1+J5/100)</f>
        <v>19836.1011120334</v>
      </c>
      <c r="K6" s="0" t="n">
        <f aca="false">J6*(1+K5/100)</f>
        <v>20133.6426287139</v>
      </c>
      <c r="L6" s="0" t="n">
        <f aca="false">K6*(1+L5/100)</f>
        <v>20435.6472681446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23.8</v>
      </c>
      <c r="D7" s="4" t="n">
        <f aca="false">Assumptions!D14</f>
        <v>23</v>
      </c>
      <c r="E7" s="4" t="n">
        <f aca="false">Assumptions!E14</f>
        <v>22</v>
      </c>
      <c r="F7" s="4" t="n">
        <f aca="false">Assumptions!F14</f>
        <v>21.5</v>
      </c>
      <c r="G7" s="4" t="n">
        <f aca="false">Assumptions!G14</f>
        <v>21</v>
      </c>
      <c r="H7" s="4" t="n">
        <f aca="false">Assumptions!H14</f>
        <v>21</v>
      </c>
      <c r="I7" s="4" t="n">
        <f aca="false">Assumptions!I14</f>
        <v>21</v>
      </c>
      <c r="J7" s="4" t="n">
        <f aca="false">Assumptions!J14</f>
        <v>21</v>
      </c>
      <c r="K7" s="4" t="n">
        <f aca="false">Assumptions!K14</f>
        <v>21</v>
      </c>
      <c r="L7" s="4" t="n">
        <f aca="false">Assumptions!L14</f>
        <v>21</v>
      </c>
    </row>
    <row r="8" customFormat="false" ht="15" hidden="false" customHeight="false" outlineLevel="0" collapsed="false">
      <c r="A8" s="0" t="s">
        <v>43</v>
      </c>
      <c r="C8" s="0" t="n">
        <f aca="false">C6*C7/100</f>
        <v>4845.58004</v>
      </c>
      <c r="D8" s="0" t="n">
        <f aca="false">D6*D7/100</f>
        <v>4612.462849</v>
      </c>
      <c r="E8" s="0" t="n">
        <f aca="false">E6*E7/100</f>
        <v>4279.56335642</v>
      </c>
      <c r="F8" s="0" t="n">
        <f aca="false">F6*F7/100</f>
        <v>4098.6545418077</v>
      </c>
      <c r="G8" s="0" t="n">
        <f aca="false">G6*G7/100</f>
        <v>4003.3369943238</v>
      </c>
      <c r="H8" s="0" t="n">
        <f aca="false">H6*H7/100</f>
        <v>4043.37036426704</v>
      </c>
      <c r="I8" s="0" t="n">
        <f aca="false">I6*I7/100</f>
        <v>4104.02091973104</v>
      </c>
      <c r="J8" s="0" t="n">
        <f aca="false">J6*J7/100</f>
        <v>4165.58123352701</v>
      </c>
      <c r="K8" s="0" t="n">
        <f aca="false">K6*K7/100</f>
        <v>4228.06495202992</v>
      </c>
      <c r="L8" s="0" t="n">
        <f aca="false">L6*L7/100</f>
        <v>4291.48592631036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0.55</v>
      </c>
      <c r="D9" s="4" t="n">
        <f aca="false">Assumptions!D15</f>
        <v>0.55</v>
      </c>
      <c r="E9" s="4" t="n">
        <f aca="false">Assumptions!E15</f>
        <v>0.55</v>
      </c>
      <c r="F9" s="4" t="n">
        <f aca="false">Assumptions!F15</f>
        <v>0.55</v>
      </c>
      <c r="G9" s="4" t="n">
        <f aca="false">Assumptions!G15</f>
        <v>0.55</v>
      </c>
      <c r="H9" s="4" t="n">
        <f aca="false">Assumptions!H15</f>
        <v>0.55</v>
      </c>
      <c r="I9" s="4" t="n">
        <f aca="false">Assumptions!I15</f>
        <v>0.55</v>
      </c>
      <c r="J9" s="4" t="n">
        <f aca="false">Assumptions!J15</f>
        <v>0.55</v>
      </c>
      <c r="K9" s="4" t="n">
        <f aca="false">Assumptions!K15</f>
        <v>0.55</v>
      </c>
      <c r="L9" s="4" t="n">
        <f aca="false">Assumptions!L15</f>
        <v>0.55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-111.97769</v>
      </c>
      <c r="D10" s="0" t="n">
        <f aca="false">-D6*D9/100</f>
        <v>-110.29802465</v>
      </c>
      <c r="E10" s="0" t="n">
        <f aca="false">-E6*E9/100</f>
        <v>-106.9890839105</v>
      </c>
      <c r="F10" s="0" t="n">
        <f aca="false">-F6*F9/100</f>
        <v>-104.84930223229</v>
      </c>
      <c r="G10" s="0" t="n">
        <f aca="false">-G6*G9/100</f>
        <v>-104.84930223229</v>
      </c>
      <c r="H10" s="0" t="n">
        <f aca="false">-H6*H9/100</f>
        <v>-105.897795254613</v>
      </c>
      <c r="I10" s="0" t="n">
        <f aca="false">-I6*I9/100</f>
        <v>-107.486262183432</v>
      </c>
      <c r="J10" s="0" t="n">
        <f aca="false">-J6*J9/100</f>
        <v>-109.098556116184</v>
      </c>
      <c r="K10" s="0" t="n">
        <f aca="false">-K6*K9/100</f>
        <v>-110.735034457926</v>
      </c>
      <c r="L10" s="0" t="n">
        <f aca="false">-L6*L9/100</f>
        <v>-112.396059974795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4371.201826</v>
      </c>
      <c r="D11" s="0" t="n">
        <f aca="false">D8+D10+D24</f>
        <v>4145.20030821</v>
      </c>
      <c r="E11" s="0" t="n">
        <f aca="false">E8+E10+E24</f>
        <v>3826.3186918537</v>
      </c>
      <c r="F11" s="0" t="n">
        <f aca="false">F8+F10+F24</f>
        <v>3654.47477053273</v>
      </c>
      <c r="G11" s="0" t="n">
        <f aca="false">G8+G10+G24</f>
        <v>3559.15722304883</v>
      </c>
      <c r="H11" s="0" t="n">
        <f aca="false">H8+H10+H24</f>
        <v>3594.74879527932</v>
      </c>
      <c r="I11" s="0" t="n">
        <f aca="false">I8+I10+I24</f>
        <v>3648.6700272085</v>
      </c>
      <c r="J11" s="0" t="n">
        <f aca="false">J8+J10+J24</f>
        <v>3703.40007761663</v>
      </c>
      <c r="K11" s="0" t="n">
        <f aca="false">K8+K10+K24</f>
        <v>3758.95107878088</v>
      </c>
      <c r="L11" s="0" t="n">
        <f aca="false">L8+L10+L24</f>
        <v>3815.33534496259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-346.11286</v>
      </c>
      <c r="D12" s="4" t="n">
        <f aca="false">-D6*Assumptions!D17/100</f>
        <v>-340.9211671</v>
      </c>
      <c r="E12" s="4" t="n">
        <f aca="false">-E6*Assumptions!E17/100</f>
        <v>-330.693532087</v>
      </c>
      <c r="F12" s="4" t="n">
        <f aca="false">-F6*Assumptions!F17/100</f>
        <v>-324.07966144526</v>
      </c>
      <c r="G12" s="4" t="n">
        <f aca="false">-G6*Assumptions!G17/100</f>
        <v>-324.07966144526</v>
      </c>
      <c r="H12" s="4" t="n">
        <f aca="false">-H6*Assumptions!H17/100</f>
        <v>-327.320458059713</v>
      </c>
      <c r="I12" s="4" t="n">
        <f aca="false">-I6*Assumptions!I17/100</f>
        <v>-332.230264930608</v>
      </c>
      <c r="J12" s="4" t="n">
        <f aca="false">-J6*Assumptions!J17/100</f>
        <v>-337.213718904567</v>
      </c>
      <c r="K12" s="4" t="n">
        <f aca="false">-K6*Assumptions!K17/100</f>
        <v>-342.271924688136</v>
      </c>
      <c r="L12" s="4" t="n">
        <f aca="false">-L6*Assumptions!L17/100</f>
        <v>-347.406003558458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4025.088966</v>
      </c>
      <c r="D13" s="0" t="n">
        <f aca="false">D11+D12</f>
        <v>3804.27914111</v>
      </c>
      <c r="E13" s="0" t="n">
        <f aca="false">E11+E12</f>
        <v>3495.6251597667</v>
      </c>
      <c r="F13" s="0" t="n">
        <f aca="false">F11+F12</f>
        <v>3330.39510908747</v>
      </c>
      <c r="G13" s="0" t="n">
        <f aca="false">G11+G12</f>
        <v>3235.07756160357</v>
      </c>
      <c r="H13" s="0" t="n">
        <f aca="false">H11+H12</f>
        <v>3267.4283372196</v>
      </c>
      <c r="I13" s="0" t="n">
        <f aca="false">I11+I12</f>
        <v>3316.4397622779</v>
      </c>
      <c r="J13" s="0" t="n">
        <f aca="false">J11+J12</f>
        <v>3366.18635871206</v>
      </c>
      <c r="K13" s="0" t="n">
        <f aca="false">K11+K12</f>
        <v>3416.67915409275</v>
      </c>
      <c r="L13" s="0" t="n">
        <f aca="false">L11+L12</f>
        <v>3467.92934140414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2978.56583484</v>
      </c>
      <c r="D15" s="0" t="n">
        <f aca="false">D13-MAX(0,D13)*D14/100</f>
        <v>2815.1665644214</v>
      </c>
      <c r="E15" s="0" t="n">
        <f aca="false">E13-MAX(0,E13)*E14/100</f>
        <v>2586.76261822736</v>
      </c>
      <c r="F15" s="0" t="n">
        <f aca="false">F13-MAX(0,F13)*F14/100</f>
        <v>2464.49238072473</v>
      </c>
      <c r="G15" s="0" t="n">
        <f aca="false">G13-MAX(0,G13)*G14/100</f>
        <v>2393.95739558664</v>
      </c>
      <c r="H15" s="0" t="n">
        <f aca="false">H13-MAX(0,H13)*H14/100</f>
        <v>2417.89696954251</v>
      </c>
      <c r="I15" s="0" t="n">
        <f aca="false">I13-MAX(0,I13)*I14/100</f>
        <v>2454.16542408564</v>
      </c>
      <c r="J15" s="0" t="n">
        <f aca="false">J13-MAX(0,J13)*J14/100</f>
        <v>2490.97790544693</v>
      </c>
      <c r="K15" s="0" t="n">
        <f aca="false">K13-MAX(0,K13)*K14/100</f>
        <v>2528.34257402863</v>
      </c>
      <c r="L15" s="0" t="n">
        <f aca="false">L13-MAX(0,L13)*L14/100</f>
        <v>2566.26771263906</v>
      </c>
    </row>
    <row r="16" customFormat="false" ht="15" hidden="false" customHeight="false" outlineLevel="0" collapsed="false">
      <c r="A16" s="0" t="s">
        <v>118</v>
      </c>
      <c r="C16" s="0" t="n">
        <f aca="false">-C12</f>
        <v>346.11286</v>
      </c>
      <c r="D16" s="0" t="n">
        <f aca="false">-D12</f>
        <v>340.9211671</v>
      </c>
      <c r="E16" s="0" t="n">
        <f aca="false">-E12</f>
        <v>330.693532087</v>
      </c>
      <c r="F16" s="0" t="n">
        <f aca="false">-F12</f>
        <v>324.07966144526</v>
      </c>
      <c r="G16" s="0" t="n">
        <f aca="false">-G12</f>
        <v>324.07966144526</v>
      </c>
      <c r="H16" s="0" t="n">
        <f aca="false">-H12</f>
        <v>327.320458059713</v>
      </c>
      <c r="I16" s="0" t="n">
        <f aca="false">-I12</f>
        <v>332.230264930608</v>
      </c>
      <c r="J16" s="0" t="n">
        <f aca="false">-J12</f>
        <v>337.213718904567</v>
      </c>
      <c r="K16" s="0" t="n">
        <f aca="false">-K12</f>
        <v>342.271924688136</v>
      </c>
      <c r="L16" s="0" t="n">
        <f aca="false">-L12</f>
        <v>347.406003558458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-325.75328</v>
      </c>
      <c r="D17" s="4" t="n">
        <f aca="false">-D6*Assumptions!D18/100</f>
        <v>-320.8669808</v>
      </c>
      <c r="E17" s="4" t="n">
        <f aca="false">-E6*Assumptions!E18/100</f>
        <v>-311.240971376</v>
      </c>
      <c r="F17" s="4" t="n">
        <f aca="false">-F6*Assumptions!F18/100</f>
        <v>-305.01615194848</v>
      </c>
      <c r="G17" s="4" t="n">
        <f aca="false">-G6*Assumptions!G18/100</f>
        <v>-305.01615194848</v>
      </c>
      <c r="H17" s="4" t="n">
        <f aca="false">-H6*Assumptions!H18/100</f>
        <v>-308.066313467965</v>
      </c>
      <c r="I17" s="4" t="n">
        <f aca="false">-I6*Assumptions!I18/100</f>
        <v>-312.687308169984</v>
      </c>
      <c r="J17" s="4" t="n">
        <f aca="false">-J6*Assumptions!J18/100</f>
        <v>-317.377617792534</v>
      </c>
      <c r="K17" s="4" t="n">
        <f aca="false">-K6*Assumptions!K18/100</f>
        <v>-322.138282059422</v>
      </c>
      <c r="L17" s="4" t="n">
        <f aca="false">-L6*Assumptions!L18/100</f>
        <v>-326.970356290313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-30.2370000000003</v>
      </c>
      <c r="D18" s="4" t="n">
        <f aca="false">(D6-C6)*Assumptions!$B$23/100</f>
        <v>45.8090550000001</v>
      </c>
      <c r="E18" s="4" t="n">
        <f aca="false">(E6-D6)*Assumptions!$B$23/100</f>
        <v>90.2438383499999</v>
      </c>
      <c r="F18" s="4" t="n">
        <f aca="false">(F6-E6)*Assumptions!$B$23/100</f>
        <v>58.3576821329998</v>
      </c>
      <c r="G18" s="4" t="n">
        <f aca="false">(G6-F6)*Assumptions!$B$23/100</f>
        <v>-0</v>
      </c>
      <c r="H18" s="4" t="n">
        <f aca="false">(H6-G6)*Assumptions!$B$23/100</f>
        <v>-28.5952642451703</v>
      </c>
      <c r="I18" s="4" t="n">
        <f aca="false">(I6-H6)*Assumptions!$B$23/100</f>
        <v>-43.3218253314322</v>
      </c>
      <c r="J18" s="4" t="n">
        <f aca="false">(J6-I6)*Assumptions!$B$23/100</f>
        <v>-43.9716527114038</v>
      </c>
      <c r="K18" s="4" t="n">
        <f aca="false">(K6-J6)*Assumptions!$B$23/100</f>
        <v>-44.6312275020749</v>
      </c>
      <c r="L18" s="4" t="n">
        <f aca="false">(L6-K6)*Assumptions!$B$23/100</f>
        <v>-45.300695914606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2968.68841484</v>
      </c>
      <c r="D19" s="0" t="n">
        <f aca="false">D15+D16+D17+D18</f>
        <v>2881.0298057214</v>
      </c>
      <c r="E19" s="0" t="n">
        <f aca="false">E15+E16+E17+E18</f>
        <v>2696.45901728836</v>
      </c>
      <c r="F19" s="0" t="n">
        <f aca="false">F15+F16+F17+F18</f>
        <v>2541.91357235451</v>
      </c>
      <c r="G19" s="0" t="n">
        <f aca="false">G15+G16+G17+G18</f>
        <v>2413.02090508342</v>
      </c>
      <c r="H19" s="0" t="n">
        <f aca="false">H15+H16+H17+H18</f>
        <v>2408.55584988908</v>
      </c>
      <c r="I19" s="0" t="n">
        <f aca="false">I15+I16+I17+I18</f>
        <v>2430.38655551484</v>
      </c>
      <c r="J19" s="0" t="n">
        <f aca="false">J15+J16+J17+J18</f>
        <v>2466.84235384756</v>
      </c>
      <c r="K19" s="0" t="n">
        <f aca="false">K15+K16+K17+K18</f>
        <v>2503.84498915527</v>
      </c>
      <c r="L19" s="0" t="n">
        <f aca="false">L15+L16+L17+L18</f>
        <v>2541.4026639926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2711.13097245662</v>
      </c>
      <c r="D21" s="0" t="n">
        <f aca="false">D19*D20</f>
        <v>2402.81045492913</v>
      </c>
      <c r="E21" s="0" t="n">
        <f aca="false">E19*E20</f>
        <v>2053.76839556444</v>
      </c>
      <c r="F21" s="0" t="n">
        <f aca="false">F19*F20</f>
        <v>1768.08973718696</v>
      </c>
      <c r="G21" s="0" t="n">
        <f aca="false">G19*G20</f>
        <v>1532.81763581246</v>
      </c>
      <c r="H21" s="0" t="n">
        <f aca="false">H19*H20</f>
        <v>1397.24320477261</v>
      </c>
      <c r="I21" s="0" t="n">
        <f aca="false">I19*I20</f>
        <v>1287.5868121116</v>
      </c>
      <c r="J21" s="0" t="n">
        <f aca="false">J19*J20</f>
        <v>1193.51654273359</v>
      </c>
      <c r="K21" s="0" t="n">
        <f aca="false">K19*K20</f>
        <v>1106.31898710008</v>
      </c>
      <c r="L21" s="0" t="n">
        <f aca="false">L19*L20</f>
        <v>1025.49202913843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1.78</v>
      </c>
      <c r="D23" s="4" t="n">
        <f aca="false">Assumptions!D16</f>
        <v>1.78</v>
      </c>
      <c r="E23" s="4" t="n">
        <f aca="false">Assumptions!E16</f>
        <v>1.78</v>
      </c>
      <c r="F23" s="4" t="n">
        <f aca="false">Assumptions!F16</f>
        <v>1.78</v>
      </c>
      <c r="G23" s="4" t="n">
        <f aca="false">Assumptions!G16</f>
        <v>1.78</v>
      </c>
      <c r="H23" s="4" t="n">
        <f aca="false">Assumptions!H16</f>
        <v>1.78</v>
      </c>
      <c r="I23" s="4" t="n">
        <f aca="false">Assumptions!I16</f>
        <v>1.78</v>
      </c>
      <c r="J23" s="4" t="n">
        <f aca="false">Assumptions!J16</f>
        <v>1.78</v>
      </c>
      <c r="K23" s="4" t="n">
        <f aca="false">Assumptions!K16</f>
        <v>1.78</v>
      </c>
      <c r="L23" s="4" t="n">
        <f aca="false">Assumptions!L16</f>
        <v>1.78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-362.400524</v>
      </c>
      <c r="D24" s="0" t="n">
        <f aca="false">-D6*D23/100</f>
        <v>-356.96451614</v>
      </c>
      <c r="E24" s="0" t="n">
        <f aca="false">-E6*E23/100</f>
        <v>-346.2555806558</v>
      </c>
      <c r="F24" s="0" t="n">
        <f aca="false">-F6*F23/100</f>
        <v>-339.330469042684</v>
      </c>
      <c r="G24" s="0" t="n">
        <f aca="false">-G6*G23/100</f>
        <v>-339.330469042684</v>
      </c>
      <c r="H24" s="0" t="n">
        <f aca="false">-H6*H23/100</f>
        <v>-342.723773733111</v>
      </c>
      <c r="I24" s="0" t="n">
        <f aca="false">-I6*I23/100</f>
        <v>-347.864630339108</v>
      </c>
      <c r="J24" s="0" t="n">
        <f aca="false">-J6*J23/100</f>
        <v>-353.082599794194</v>
      </c>
      <c r="K24" s="0" t="n">
        <f aca="false">-K6*K23/100</f>
        <v>-358.378838791107</v>
      </c>
      <c r="L24" s="0" t="n">
        <f aca="false">-L6*L23/100</f>
        <v>-363.754521372974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16478.7747718059</v>
      </c>
    </row>
    <row r="31" customFormat="false" ht="15" hidden="false" customHeight="false" outlineLevel="0" collapsed="false">
      <c r="A31" s="0" t="s">
        <v>127</v>
      </c>
      <c r="B31" s="0" t="n">
        <f aca="false">L19</f>
        <v>2541.4026639926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30197.8434192062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30496.8319679112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30197.8434192062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12185.2582285861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28664.033000392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32657.033000392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8.0555088802151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-0.270334340560227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680.71859033785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538.905162126845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8.35635341708355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18334.4049330895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5.38042757903884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2.5</v>
      </c>
      <c r="D5" s="4" t="n">
        <f aca="false">Assumptions!D27</f>
        <v>3.5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20158</v>
      </c>
      <c r="C6" s="0" t="n">
        <f aca="false">B6*(1+C5/100)</f>
        <v>20661.95</v>
      </c>
      <c r="D6" s="0" t="n">
        <f aca="false">C6*(1+D5/100)</f>
        <v>21385.11825</v>
      </c>
      <c r="E6" s="0" t="n">
        <f aca="false">D6*(1+E5/100)</f>
        <v>22240.52298</v>
      </c>
      <c r="F6" s="0" t="n">
        <f aca="false">E6*(1+F5/100)</f>
        <v>23130.1438992</v>
      </c>
      <c r="G6" s="0" t="n">
        <f aca="false">F6*(1+G5/100)</f>
        <v>24055.349655168</v>
      </c>
      <c r="H6" s="0" t="n">
        <f aca="false">G6*(1+H5/100)</f>
        <v>24897.2868930989</v>
      </c>
      <c r="I6" s="0" t="n">
        <f aca="false">H6*(1+I5/100)</f>
        <v>25768.6919343573</v>
      </c>
      <c r="J6" s="0" t="n">
        <f aca="false">I6*(1+J5/100)</f>
        <v>26541.7526923881</v>
      </c>
      <c r="K6" s="0" t="n">
        <f aca="false">J6*(1+K5/100)</f>
        <v>27338.0052731597</v>
      </c>
      <c r="L6" s="0" t="n">
        <f aca="false">K6*(1+L5/100)</f>
        <v>28158.1454313545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24.2</v>
      </c>
      <c r="D7" s="4" t="n">
        <f aca="false">Assumptions!D28</f>
        <v>24.2</v>
      </c>
      <c r="E7" s="4" t="n">
        <f aca="false">Assumptions!E28</f>
        <v>24</v>
      </c>
      <c r="F7" s="4" t="n">
        <f aca="false">Assumptions!F28</f>
        <v>24</v>
      </c>
      <c r="G7" s="4" t="n">
        <f aca="false">Assumptions!G28</f>
        <v>24</v>
      </c>
      <c r="H7" s="4" t="n">
        <f aca="false">Assumptions!H28</f>
        <v>23.8</v>
      </c>
      <c r="I7" s="4" t="n">
        <f aca="false">Assumptions!I28</f>
        <v>23.8</v>
      </c>
      <c r="J7" s="4" t="n">
        <f aca="false">Assumptions!J28</f>
        <v>23.8</v>
      </c>
      <c r="K7" s="4" t="n">
        <f aca="false">Assumptions!K28</f>
        <v>23.8</v>
      </c>
      <c r="L7" s="4" t="n">
        <f aca="false">Assumptions!L28</f>
        <v>23.8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5000.1919</v>
      </c>
      <c r="D8" s="0" t="n">
        <f aca="false">D6*D7/100</f>
        <v>5175.1986165</v>
      </c>
      <c r="E8" s="0" t="n">
        <f aca="false">E6*E7/100</f>
        <v>5337.7255152</v>
      </c>
      <c r="F8" s="0" t="n">
        <f aca="false">F6*F7/100</f>
        <v>5551.234535808</v>
      </c>
      <c r="G8" s="0" t="n">
        <f aca="false">G6*G7/100</f>
        <v>5773.28391724032</v>
      </c>
      <c r="H8" s="0" t="n">
        <f aca="false">H6*H7/100</f>
        <v>5925.55428055753</v>
      </c>
      <c r="I8" s="0" t="n">
        <f aca="false">I6*I7/100</f>
        <v>6132.94868037705</v>
      </c>
      <c r="J8" s="0" t="n">
        <f aca="false">J6*J7/100</f>
        <v>6316.93714078836</v>
      </c>
      <c r="K8" s="0" t="n">
        <f aca="false">K6*K7/100</f>
        <v>6506.44525501201</v>
      </c>
      <c r="L8" s="0" t="n">
        <f aca="false">L6*L7/100</f>
        <v>6701.63861266237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0.55</v>
      </c>
      <c r="D9" s="4" t="n">
        <f aca="false">Assumptions!D29</f>
        <v>0.55</v>
      </c>
      <c r="E9" s="4" t="n">
        <f aca="false">Assumptions!E29</f>
        <v>0.55</v>
      </c>
      <c r="F9" s="4" t="n">
        <f aca="false">Assumptions!F29</f>
        <v>0.55</v>
      </c>
      <c r="G9" s="4" t="n">
        <f aca="false">Assumptions!G29</f>
        <v>0.55</v>
      </c>
      <c r="H9" s="4" t="n">
        <f aca="false">Assumptions!H29</f>
        <v>0.55</v>
      </c>
      <c r="I9" s="4" t="n">
        <f aca="false">Assumptions!I29</f>
        <v>0.55</v>
      </c>
      <c r="J9" s="4" t="n">
        <f aca="false">Assumptions!J29</f>
        <v>0.55</v>
      </c>
      <c r="K9" s="4" t="n">
        <f aca="false">Assumptions!K29</f>
        <v>0.55</v>
      </c>
      <c r="L9" s="4" t="n">
        <f aca="false">Assumptions!L29</f>
        <v>0.55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-113.640725</v>
      </c>
      <c r="D10" s="0" t="n">
        <f aca="false">-D6*D9/100</f>
        <v>-117.618150375</v>
      </c>
      <c r="E10" s="0" t="n">
        <f aca="false">-E6*E9/100</f>
        <v>-122.32287639</v>
      </c>
      <c r="F10" s="0" t="n">
        <f aca="false">-F6*F9/100</f>
        <v>-127.2157914456</v>
      </c>
      <c r="G10" s="0" t="n">
        <f aca="false">-G6*G9/100</f>
        <v>-132.304423103424</v>
      </c>
      <c r="H10" s="0" t="n">
        <f aca="false">-H6*H9/100</f>
        <v>-136.935077912044</v>
      </c>
      <c r="I10" s="0" t="n">
        <f aca="false">-I6*I9/100</f>
        <v>-141.727805638965</v>
      </c>
      <c r="J10" s="0" t="n">
        <f aca="false">-J6*J9/100</f>
        <v>-145.979639808134</v>
      </c>
      <c r="K10" s="0" t="n">
        <f aca="false">-K6*K9/100</f>
        <v>-150.359029002378</v>
      </c>
      <c r="L10" s="0" t="n">
        <f aca="false">-L6*L9/100</f>
        <v>-154.86979987245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4518.768465</v>
      </c>
      <c r="D11" s="0" t="n">
        <f aca="false">D8+D10+D24</f>
        <v>4676.925361275</v>
      </c>
      <c r="E11" s="0" t="n">
        <f aca="false">E8+E10+E24</f>
        <v>4819.521329766</v>
      </c>
      <c r="F11" s="0" t="n">
        <f aca="false">F8+F10+F24</f>
        <v>5012.30218295664</v>
      </c>
      <c r="G11" s="0" t="n">
        <f aca="false">G8+G10+G24</f>
        <v>5212.79427027491</v>
      </c>
      <c r="H11" s="0" t="n">
        <f aca="false">H8+H10+H24</f>
        <v>5345.44749594833</v>
      </c>
      <c r="I11" s="0" t="n">
        <f aca="false">I8+I10+I24</f>
        <v>5532.53815830652</v>
      </c>
      <c r="J11" s="0" t="n">
        <f aca="false">J8+J10+J24</f>
        <v>5698.51430305572</v>
      </c>
      <c r="K11" s="0" t="n">
        <f aca="false">K8+K10+K24</f>
        <v>5869.46973214739</v>
      </c>
      <c r="L11" s="0" t="n">
        <f aca="false">L8+L10+L24</f>
        <v>6045.55382411181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-351.25315</v>
      </c>
      <c r="D12" s="4" t="n">
        <f aca="false">-D6*Assumptions!D31/100</f>
        <v>-363.54701025</v>
      </c>
      <c r="E12" s="4" t="n">
        <f aca="false">-E6*Assumptions!E31/100</f>
        <v>-378.08889066</v>
      </c>
      <c r="F12" s="4" t="n">
        <f aca="false">-F6*Assumptions!F31/100</f>
        <v>-393.2124462864</v>
      </c>
      <c r="G12" s="4" t="n">
        <f aca="false">-G6*Assumptions!G31/100</f>
        <v>-408.940944137856</v>
      </c>
      <c r="H12" s="4" t="n">
        <f aca="false">-H6*Assumptions!H31/100</f>
        <v>-423.253877182681</v>
      </c>
      <c r="I12" s="4" t="n">
        <f aca="false">-I6*Assumptions!I31/100</f>
        <v>-438.067762884075</v>
      </c>
      <c r="J12" s="4" t="n">
        <f aca="false">-J6*Assumptions!J31/100</f>
        <v>-451.209795770597</v>
      </c>
      <c r="K12" s="4" t="n">
        <f aca="false">-K6*Assumptions!K31/100</f>
        <v>-464.746089643715</v>
      </c>
      <c r="L12" s="4" t="n">
        <f aca="false">-L6*Assumptions!L31/100</f>
        <v>-478.688472333026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4167.515315</v>
      </c>
      <c r="D13" s="0" t="n">
        <f aca="false">D11+D12</f>
        <v>4313.378351025</v>
      </c>
      <c r="E13" s="0" t="n">
        <f aca="false">E11+E12</f>
        <v>4441.432439106</v>
      </c>
      <c r="F13" s="0" t="n">
        <f aca="false">F11+F12</f>
        <v>4619.08973667024</v>
      </c>
      <c r="G13" s="0" t="n">
        <f aca="false">G11+G12</f>
        <v>4803.85332613705</v>
      </c>
      <c r="H13" s="0" t="n">
        <f aca="false">H11+H12</f>
        <v>4922.19361876565</v>
      </c>
      <c r="I13" s="0" t="n">
        <f aca="false">I11+I12</f>
        <v>5094.47039542245</v>
      </c>
      <c r="J13" s="0" t="n">
        <f aca="false">J11+J12</f>
        <v>5247.30450728512</v>
      </c>
      <c r="K13" s="0" t="n">
        <f aca="false">K11+K12</f>
        <v>5404.72364250367</v>
      </c>
      <c r="L13" s="0" t="n">
        <f aca="false">L11+L12</f>
        <v>5566.86535177878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3083.9613331</v>
      </c>
      <c r="D15" s="0" t="n">
        <f aca="false">D13-MAX(0,D13)*D14/100</f>
        <v>3191.8999797585</v>
      </c>
      <c r="E15" s="0" t="n">
        <f aca="false">E13-MAX(0,E13)*E14/100</f>
        <v>3286.66000493844</v>
      </c>
      <c r="F15" s="0" t="n">
        <f aca="false">F13-MAX(0,F13)*F14/100</f>
        <v>3418.12640513598</v>
      </c>
      <c r="G15" s="0" t="n">
        <f aca="false">G13-MAX(0,G13)*G14/100</f>
        <v>3554.85146134142</v>
      </c>
      <c r="H15" s="0" t="n">
        <f aca="false">H13-MAX(0,H13)*H14/100</f>
        <v>3642.42327788658</v>
      </c>
      <c r="I15" s="0" t="n">
        <f aca="false">I13-MAX(0,I13)*I14/100</f>
        <v>3769.90809261261</v>
      </c>
      <c r="J15" s="0" t="n">
        <f aca="false">J13-MAX(0,J13)*J14/100</f>
        <v>3883.00533539099</v>
      </c>
      <c r="K15" s="0" t="n">
        <f aca="false">K13-MAX(0,K13)*K14/100</f>
        <v>3999.49549545272</v>
      </c>
      <c r="L15" s="0" t="n">
        <f aca="false">L13-MAX(0,L13)*L14/100</f>
        <v>4119.4803603163</v>
      </c>
    </row>
    <row r="16" customFormat="false" ht="15" hidden="false" customHeight="false" outlineLevel="0" collapsed="false">
      <c r="A16" s="0" t="s">
        <v>118</v>
      </c>
      <c r="C16" s="0" t="n">
        <f aca="false">-C12</f>
        <v>351.25315</v>
      </c>
      <c r="D16" s="0" t="n">
        <f aca="false">-D12</f>
        <v>363.54701025</v>
      </c>
      <c r="E16" s="0" t="n">
        <f aca="false">-E12</f>
        <v>378.08889066</v>
      </c>
      <c r="F16" s="0" t="n">
        <f aca="false">-F12</f>
        <v>393.2124462864</v>
      </c>
      <c r="G16" s="0" t="n">
        <f aca="false">-G12</f>
        <v>408.940944137856</v>
      </c>
      <c r="H16" s="0" t="n">
        <f aca="false">-H12</f>
        <v>423.253877182681</v>
      </c>
      <c r="I16" s="0" t="n">
        <f aca="false">-I12</f>
        <v>438.067762884075</v>
      </c>
      <c r="J16" s="0" t="n">
        <f aca="false">-J12</f>
        <v>451.209795770597</v>
      </c>
      <c r="K16" s="0" t="n">
        <f aca="false">-K12</f>
        <v>464.746089643715</v>
      </c>
      <c r="L16" s="0" t="n">
        <f aca="false">-L12</f>
        <v>478.688472333026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-330.5912</v>
      </c>
      <c r="D17" s="4" t="n">
        <f aca="false">-D6*Assumptions!D32/100</f>
        <v>-342.161892</v>
      </c>
      <c r="E17" s="4" t="n">
        <f aca="false">-E6*Assumptions!E32/100</f>
        <v>-355.84836768</v>
      </c>
      <c r="F17" s="4" t="n">
        <f aca="false">-F6*Assumptions!F32/100</f>
        <v>-370.0823023872</v>
      </c>
      <c r="G17" s="4" t="n">
        <f aca="false">-G6*Assumptions!G32/100</f>
        <v>-384.885594482688</v>
      </c>
      <c r="H17" s="4" t="n">
        <f aca="false">-H6*Assumptions!H32/100</f>
        <v>-398.356590289582</v>
      </c>
      <c r="I17" s="4" t="n">
        <f aca="false">-I6*Assumptions!I32/100</f>
        <v>-412.299070949717</v>
      </c>
      <c r="J17" s="4" t="n">
        <f aca="false">-J6*Assumptions!J32/100</f>
        <v>-424.668043078209</v>
      </c>
      <c r="K17" s="4" t="n">
        <f aca="false">-K6*Assumptions!K32/100</f>
        <v>-437.408084370555</v>
      </c>
      <c r="L17" s="4" t="n">
        <f aca="false">-L6*Assumptions!L32/100</f>
        <v>-450.530326901672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-75.5924999999996</v>
      </c>
      <c r="D18" s="4" t="n">
        <f aca="false">(D6-C6)*Assumptions!$B$37/100</f>
        <v>-108.4752375</v>
      </c>
      <c r="E18" s="4" t="n">
        <f aca="false">(E6-D6)*Assumptions!$B$37/100</f>
        <v>-128.3107095</v>
      </c>
      <c r="F18" s="4" t="n">
        <f aca="false">(F6-E6)*Assumptions!$B$37/100</f>
        <v>-133.44313788</v>
      </c>
      <c r="G18" s="4" t="n">
        <f aca="false">(G6-F6)*Assumptions!$B$37/100</f>
        <v>-138.7808633952</v>
      </c>
      <c r="H18" s="4" t="n">
        <f aca="false">(H6-G6)*Assumptions!$B$37/100</f>
        <v>-126.290585689632</v>
      </c>
      <c r="I18" s="4" t="n">
        <f aca="false">(I6-H6)*Assumptions!$B$37/100</f>
        <v>-130.710756188769</v>
      </c>
      <c r="J18" s="4" t="n">
        <f aca="false">(J6-I6)*Assumptions!$B$37/100</f>
        <v>-115.959113704608</v>
      </c>
      <c r="K18" s="4" t="n">
        <f aca="false">(K6-J6)*Assumptions!$B$37/100</f>
        <v>-119.437887115746</v>
      </c>
      <c r="L18" s="4" t="n">
        <f aca="false">(L6-K6)*Assumptions!$B$37/100</f>
        <v>-123.021023729219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3029.0307831</v>
      </c>
      <c r="D19" s="0" t="n">
        <f aca="false">D15+D16+D17+D18</f>
        <v>3104.8098605085</v>
      </c>
      <c r="E19" s="0" t="n">
        <f aca="false">E15+E16+E17+E18</f>
        <v>3180.58981841844</v>
      </c>
      <c r="F19" s="0" t="n">
        <f aca="false">F15+F16+F17+F18</f>
        <v>3307.81341115518</v>
      </c>
      <c r="G19" s="0" t="n">
        <f aca="false">G15+G16+G17+G18</f>
        <v>3440.12594760139</v>
      </c>
      <c r="H19" s="0" t="n">
        <f aca="false">H15+H16+H17+H18</f>
        <v>3541.02997909005</v>
      </c>
      <c r="I19" s="0" t="n">
        <f aca="false">I15+I16+I17+I18</f>
        <v>3664.9660283582</v>
      </c>
      <c r="J19" s="0" t="n">
        <f aca="false">J15+J16+J17+J18</f>
        <v>3793.58797437877</v>
      </c>
      <c r="K19" s="0" t="n">
        <f aca="false">K15+K16+K17+K18</f>
        <v>3907.39561361013</v>
      </c>
      <c r="L19" s="0" t="n">
        <f aca="false">L15+L16+L17+L18</f>
        <v>4024.61748201844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2766.23815808219</v>
      </c>
      <c r="D21" s="0" t="n">
        <f aca="false">D19*D20</f>
        <v>2589.44547487208</v>
      </c>
      <c r="E21" s="0" t="n">
        <f aca="false">E19*E20</f>
        <v>2422.50848480939</v>
      </c>
      <c r="F21" s="0" t="n">
        <f aca="false">F19*F20</f>
        <v>2300.82997643997</v>
      </c>
      <c r="G21" s="0" t="n">
        <f aca="false">G19*G20</f>
        <v>2185.26317397038</v>
      </c>
      <c r="H21" s="0" t="n">
        <f aca="false">H19*H20</f>
        <v>2054.21023407347</v>
      </c>
      <c r="I21" s="0" t="n">
        <f aca="false">I19*I20</f>
        <v>1941.65076919273</v>
      </c>
      <c r="J21" s="0" t="n">
        <f aca="false">J19*J20</f>
        <v>1835.42738216503</v>
      </c>
      <c r="K21" s="0" t="n">
        <f aca="false">K19*K20</f>
        <v>1726.47507180821</v>
      </c>
      <c r="L21" s="0" t="n">
        <f aca="false">L19*L20</f>
        <v>1623.99025019402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1.78</v>
      </c>
      <c r="D23" s="4" t="n">
        <f aca="false">Assumptions!D30</f>
        <v>1.78</v>
      </c>
      <c r="E23" s="4" t="n">
        <f aca="false">Assumptions!E30</f>
        <v>1.78</v>
      </c>
      <c r="F23" s="4" t="n">
        <f aca="false">Assumptions!F30</f>
        <v>1.78</v>
      </c>
      <c r="G23" s="4" t="n">
        <f aca="false">Assumptions!G30</f>
        <v>1.78</v>
      </c>
      <c r="H23" s="4" t="n">
        <f aca="false">Assumptions!H30</f>
        <v>1.78</v>
      </c>
      <c r="I23" s="4" t="n">
        <f aca="false">Assumptions!I30</f>
        <v>1.78</v>
      </c>
      <c r="J23" s="4" t="n">
        <f aca="false">Assumptions!J30</f>
        <v>1.78</v>
      </c>
      <c r="K23" s="4" t="n">
        <f aca="false">Assumptions!K30</f>
        <v>1.78</v>
      </c>
      <c r="L23" s="4" t="n">
        <f aca="false">Assumptions!L30</f>
        <v>1.78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-367.78271</v>
      </c>
      <c r="D24" s="0" t="n">
        <f aca="false">-D6*D23/100</f>
        <v>-380.65510485</v>
      </c>
      <c r="E24" s="0" t="n">
        <f aca="false">-E6*E23/100</f>
        <v>-395.881309044</v>
      </c>
      <c r="F24" s="0" t="n">
        <f aca="false">-F6*F23/100</f>
        <v>-411.71656140576</v>
      </c>
      <c r="G24" s="0" t="n">
        <f aca="false">-G6*G23/100</f>
        <v>-428.18522386199</v>
      </c>
      <c r="H24" s="0" t="n">
        <f aca="false">-H6*H23/100</f>
        <v>-443.17170669716</v>
      </c>
      <c r="I24" s="0" t="n">
        <f aca="false">-I6*I23/100</f>
        <v>-458.682716431561</v>
      </c>
      <c r="J24" s="0" t="n">
        <f aca="false">-J6*J23/100</f>
        <v>-472.443197924507</v>
      </c>
      <c r="K24" s="0" t="n">
        <f aca="false">-K6*K23/100</f>
        <v>-486.616493862243</v>
      </c>
      <c r="L24" s="0" t="n">
        <f aca="false">-L6*L23/100</f>
        <v>-501.21498867811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21446.0389756075</v>
      </c>
    </row>
    <row r="31" customFormat="false" ht="15" hidden="false" customHeight="false" outlineLevel="0" collapsed="false">
      <c r="A31" s="0" t="s">
        <v>127</v>
      </c>
      <c r="B31" s="0" t="n">
        <f aca="false">L19</f>
        <v>4024.61748201844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58931.8988438414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60369.2622302765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58931.8988438414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23779.8572349839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45225.8962105913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49218.8962105913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12.1408229429184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0.0997122230904379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821.655699225967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915.063791138327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12.5692194624952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33001.8633525512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7.17302239344282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3</v>
      </c>
      <c r="D5" s="4" t="n">
        <f aca="false">Assumptions!D41</f>
        <v>6</v>
      </c>
      <c r="E5" s="4" t="n">
        <f aca="false">Assumptions!E41</f>
        <v>7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20158</v>
      </c>
      <c r="C6" s="0" t="n">
        <f aca="false">B6*(1+C5/100)</f>
        <v>20762.74</v>
      </c>
      <c r="D6" s="0" t="n">
        <f aca="false">C6*(1+D5/100)</f>
        <v>22008.5044</v>
      </c>
      <c r="E6" s="0" t="n">
        <f aca="false">D6*(1+E5/100)</f>
        <v>23549.099708</v>
      </c>
      <c r="F6" s="0" t="n">
        <f aca="false">E6*(1+F5/100)</f>
        <v>25197.53668756</v>
      </c>
      <c r="G6" s="0" t="n">
        <f aca="false">F6*(1+G5/100)</f>
        <v>26835.3765722514</v>
      </c>
      <c r="H6" s="0" t="n">
        <f aca="false">G6*(1+H5/100)</f>
        <v>28445.4991665865</v>
      </c>
      <c r="I6" s="0" t="n">
        <f aca="false">H6*(1+I5/100)</f>
        <v>29867.7741249158</v>
      </c>
      <c r="J6" s="0" t="n">
        <f aca="false">I6*(1+J5/100)</f>
        <v>31211.823960537</v>
      </c>
      <c r="K6" s="0" t="n">
        <f aca="false">J6*(1+K5/100)</f>
        <v>32460.2969189585</v>
      </c>
      <c r="L6" s="0" t="n">
        <f aca="false">K6*(1+L5/100)</f>
        <v>33596.4073111221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24.4</v>
      </c>
      <c r="D7" s="4" t="n">
        <f aca="false">Assumptions!D42</f>
        <v>24.6</v>
      </c>
      <c r="E7" s="4" t="n">
        <f aca="false">Assumptions!E42</f>
        <v>24.8</v>
      </c>
      <c r="F7" s="4" t="n">
        <f aca="false">Assumptions!F42</f>
        <v>25</v>
      </c>
      <c r="G7" s="4" t="n">
        <f aca="false">Assumptions!G42</f>
        <v>25</v>
      </c>
      <c r="H7" s="4" t="n">
        <f aca="false">Assumptions!H42</f>
        <v>25</v>
      </c>
      <c r="I7" s="4" t="n">
        <f aca="false">Assumptions!I42</f>
        <v>25</v>
      </c>
      <c r="J7" s="4" t="n">
        <f aca="false">Assumptions!J42</f>
        <v>25</v>
      </c>
      <c r="K7" s="4" t="n">
        <f aca="false">Assumptions!K42</f>
        <v>25</v>
      </c>
      <c r="L7" s="4" t="n">
        <f aca="false">Assumptions!L42</f>
        <v>25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5066.10856</v>
      </c>
      <c r="D8" s="0" t="n">
        <f aca="false">D6*D7/100</f>
        <v>5414.0920824</v>
      </c>
      <c r="E8" s="0" t="n">
        <f aca="false">E6*E7/100</f>
        <v>5840.176727584</v>
      </c>
      <c r="F8" s="0" t="n">
        <f aca="false">F6*F7/100</f>
        <v>6299.38417189</v>
      </c>
      <c r="G8" s="0" t="n">
        <f aca="false">G6*G7/100</f>
        <v>6708.84414306285</v>
      </c>
      <c r="H8" s="0" t="n">
        <f aca="false">H6*H7/100</f>
        <v>7111.37479164662</v>
      </c>
      <c r="I8" s="0" t="n">
        <f aca="false">I6*I7/100</f>
        <v>7466.94353122895</v>
      </c>
      <c r="J8" s="0" t="n">
        <f aca="false">J6*J7/100</f>
        <v>7802.95599013426</v>
      </c>
      <c r="K8" s="0" t="n">
        <f aca="false">K6*K7/100</f>
        <v>8115.07422973963</v>
      </c>
      <c r="L8" s="0" t="n">
        <f aca="false">L6*L7/100</f>
        <v>8399.10182778051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0.55</v>
      </c>
      <c r="D9" s="4" t="n">
        <f aca="false">Assumptions!D43</f>
        <v>0.55</v>
      </c>
      <c r="E9" s="4" t="n">
        <f aca="false">Assumptions!E43</f>
        <v>0.55</v>
      </c>
      <c r="F9" s="4" t="n">
        <f aca="false">Assumptions!F43</f>
        <v>0.55</v>
      </c>
      <c r="G9" s="4" t="n">
        <f aca="false">Assumptions!G43</f>
        <v>0.55</v>
      </c>
      <c r="H9" s="4" t="n">
        <f aca="false">Assumptions!H43</f>
        <v>0.55</v>
      </c>
      <c r="I9" s="4" t="n">
        <f aca="false">Assumptions!I43</f>
        <v>0.55</v>
      </c>
      <c r="J9" s="4" t="n">
        <f aca="false">Assumptions!J43</f>
        <v>0.55</v>
      </c>
      <c r="K9" s="4" t="n">
        <f aca="false">Assumptions!K43</f>
        <v>0.55</v>
      </c>
      <c r="L9" s="4" t="n">
        <f aca="false">Assumptions!L43</f>
        <v>0.55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-114.19507</v>
      </c>
      <c r="D10" s="0" t="n">
        <f aca="false">-D6*D9/100</f>
        <v>-121.0467742</v>
      </c>
      <c r="E10" s="0" t="n">
        <f aca="false">-E6*E9/100</f>
        <v>-129.520048394</v>
      </c>
      <c r="F10" s="0" t="n">
        <f aca="false">-F6*F9/100</f>
        <v>-138.58645178158</v>
      </c>
      <c r="G10" s="0" t="n">
        <f aca="false">-G6*G9/100</f>
        <v>-147.594571147383</v>
      </c>
      <c r="H10" s="0" t="n">
        <f aca="false">-H6*H9/100</f>
        <v>-156.450245416226</v>
      </c>
      <c r="I10" s="0" t="n">
        <f aca="false">-I6*I9/100</f>
        <v>-164.272757687037</v>
      </c>
      <c r="J10" s="0" t="n">
        <f aca="false">-J6*J9/100</f>
        <v>-171.665031782954</v>
      </c>
      <c r="K10" s="0" t="n">
        <f aca="false">-K6*K9/100</f>
        <v>-178.531633054272</v>
      </c>
      <c r="L10" s="0" t="n">
        <f aca="false">-L6*L9/100</f>
        <v>-184.780240211171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4582.336718</v>
      </c>
      <c r="D11" s="0" t="n">
        <f aca="false">D8+D10+D24</f>
        <v>4901.29392988</v>
      </c>
      <c r="E11" s="0" t="n">
        <f aca="false">E8+E10+E24</f>
        <v>5291.4827043876</v>
      </c>
      <c r="F11" s="0" t="n">
        <f aca="false">F8+F10+F24</f>
        <v>5712.28156706986</v>
      </c>
      <c r="G11" s="0" t="n">
        <f aca="false">G8+G10+G24</f>
        <v>6083.57986892939</v>
      </c>
      <c r="H11" s="0" t="n">
        <f aca="false">H8+H10+H24</f>
        <v>6448.59466106516</v>
      </c>
      <c r="I11" s="0" t="n">
        <f aca="false">I8+I10+I24</f>
        <v>6771.02439411842</v>
      </c>
      <c r="J11" s="0" t="n">
        <f aca="false">J8+J10+J24</f>
        <v>7075.72049185374</v>
      </c>
      <c r="K11" s="0" t="n">
        <f aca="false">K8+K10+K24</f>
        <v>7358.74931152789</v>
      </c>
      <c r="L11" s="0" t="n">
        <f aca="false">L8+L10+L24</f>
        <v>7616.30553743137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-352.96658</v>
      </c>
      <c r="D12" s="4" t="n">
        <f aca="false">-D6*Assumptions!D45/100</f>
        <v>-374.1445748</v>
      </c>
      <c r="E12" s="4" t="n">
        <f aca="false">-E6*Assumptions!E45/100</f>
        <v>-400.334695036</v>
      </c>
      <c r="F12" s="4" t="n">
        <f aca="false">-F6*Assumptions!F45/100</f>
        <v>-428.35812368852</v>
      </c>
      <c r="G12" s="4" t="n">
        <f aca="false">-G6*Assumptions!G45/100</f>
        <v>-456.201401728274</v>
      </c>
      <c r="H12" s="4" t="n">
        <f aca="false">-H6*Assumptions!H45/100</f>
        <v>-483.57348583197</v>
      </c>
      <c r="I12" s="4" t="n">
        <f aca="false">-I6*Assumptions!I45/100</f>
        <v>-507.752160123569</v>
      </c>
      <c r="J12" s="4" t="n">
        <f aca="false">-J6*Assumptions!J45/100</f>
        <v>-530.601007329129</v>
      </c>
      <c r="K12" s="4" t="n">
        <f aca="false">-K6*Assumptions!K45/100</f>
        <v>-551.825047622295</v>
      </c>
      <c r="L12" s="4" t="n">
        <f aca="false">-L6*Assumptions!L45/100</f>
        <v>-571.138924289075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4229.370138</v>
      </c>
      <c r="D13" s="0" t="n">
        <f aca="false">D11+D12</f>
        <v>4527.14935508</v>
      </c>
      <c r="E13" s="0" t="n">
        <f aca="false">E11+E12</f>
        <v>4891.1480093516</v>
      </c>
      <c r="F13" s="0" t="n">
        <f aca="false">F11+F12</f>
        <v>5283.92344338133</v>
      </c>
      <c r="G13" s="0" t="n">
        <f aca="false">G11+G12</f>
        <v>5627.37846720112</v>
      </c>
      <c r="H13" s="0" t="n">
        <f aca="false">H11+H12</f>
        <v>5965.02117523319</v>
      </c>
      <c r="I13" s="0" t="n">
        <f aca="false">I11+I12</f>
        <v>6263.27223399485</v>
      </c>
      <c r="J13" s="0" t="n">
        <f aca="false">J11+J12</f>
        <v>6545.11948452462</v>
      </c>
      <c r="K13" s="0" t="n">
        <f aca="false">K11+K12</f>
        <v>6806.9242639056</v>
      </c>
      <c r="L13" s="0" t="n">
        <f aca="false">L11+L12</f>
        <v>7045.1666131423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26</v>
      </c>
      <c r="D14" s="4" t="n">
        <f aca="false">Assumptions!D47</f>
        <v>26</v>
      </c>
      <c r="E14" s="4" t="n">
        <f aca="false">Assumptions!E47</f>
        <v>26</v>
      </c>
      <c r="F14" s="4" t="n">
        <f aca="false">Assumptions!F47</f>
        <v>26</v>
      </c>
      <c r="G14" s="4" t="n">
        <f aca="false">Assumptions!G47</f>
        <v>26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3129.73390212</v>
      </c>
      <c r="D15" s="0" t="n">
        <f aca="false">D13-MAX(0,D13)*D14/100</f>
        <v>3350.0905227592</v>
      </c>
      <c r="E15" s="0" t="n">
        <f aca="false">E13-MAX(0,E13)*E14/100</f>
        <v>3619.44952692019</v>
      </c>
      <c r="F15" s="0" t="n">
        <f aca="false">F13-MAX(0,F13)*F14/100</f>
        <v>3910.10334810219</v>
      </c>
      <c r="G15" s="0" t="n">
        <f aca="false">G13-MAX(0,G13)*G14/100</f>
        <v>4164.26006572883</v>
      </c>
      <c r="H15" s="0" t="n">
        <f aca="false">H13-MAX(0,H13)*H14/100</f>
        <v>4414.11566967256</v>
      </c>
      <c r="I15" s="0" t="n">
        <f aca="false">I13-MAX(0,I13)*I14/100</f>
        <v>4634.82145315619</v>
      </c>
      <c r="J15" s="0" t="n">
        <f aca="false">J13-MAX(0,J13)*J14/100</f>
        <v>4843.38841854822</v>
      </c>
      <c r="K15" s="0" t="n">
        <f aca="false">K13-MAX(0,K13)*K14/100</f>
        <v>5037.12395529014</v>
      </c>
      <c r="L15" s="0" t="n">
        <f aca="false">L13-MAX(0,L13)*L14/100</f>
        <v>5213.4232937253</v>
      </c>
    </row>
    <row r="16" customFormat="false" ht="15" hidden="false" customHeight="false" outlineLevel="0" collapsed="false">
      <c r="A16" s="0" t="s">
        <v>118</v>
      </c>
      <c r="C16" s="0" t="n">
        <f aca="false">-C12</f>
        <v>352.96658</v>
      </c>
      <c r="D16" s="0" t="n">
        <f aca="false">-D12</f>
        <v>374.1445748</v>
      </c>
      <c r="E16" s="0" t="n">
        <f aca="false">-E12</f>
        <v>400.334695036</v>
      </c>
      <c r="F16" s="0" t="n">
        <f aca="false">-F12</f>
        <v>428.35812368852</v>
      </c>
      <c r="G16" s="0" t="n">
        <f aca="false">-G12</f>
        <v>456.201401728274</v>
      </c>
      <c r="H16" s="0" t="n">
        <f aca="false">-H12</f>
        <v>483.57348583197</v>
      </c>
      <c r="I16" s="0" t="n">
        <f aca="false">-I12</f>
        <v>507.752160123569</v>
      </c>
      <c r="J16" s="0" t="n">
        <f aca="false">-J12</f>
        <v>530.601007329129</v>
      </c>
      <c r="K16" s="0" t="n">
        <f aca="false">-K12</f>
        <v>551.825047622295</v>
      </c>
      <c r="L16" s="0" t="n">
        <f aca="false">-L12</f>
        <v>571.138924289075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-332.20384</v>
      </c>
      <c r="D17" s="4" t="n">
        <f aca="false">-D6*Assumptions!D46/100</f>
        <v>-352.1360704</v>
      </c>
      <c r="E17" s="4" t="n">
        <f aca="false">-E6*Assumptions!E46/100</f>
        <v>-376.785595328</v>
      </c>
      <c r="F17" s="4" t="n">
        <f aca="false">-F6*Assumptions!F46/100</f>
        <v>-403.16058700096</v>
      </c>
      <c r="G17" s="4" t="n">
        <f aca="false">-G6*Assumptions!G46/100</f>
        <v>-429.366025156023</v>
      </c>
      <c r="H17" s="4" t="n">
        <f aca="false">-H6*Assumptions!H46/100</f>
        <v>-455.127986665384</v>
      </c>
      <c r="I17" s="4" t="n">
        <f aca="false">-I6*Assumptions!I46/100</f>
        <v>-477.884385998653</v>
      </c>
      <c r="J17" s="4" t="n">
        <f aca="false">-J6*Assumptions!J46/100</f>
        <v>-499.389183368592</v>
      </c>
      <c r="K17" s="4" t="n">
        <f aca="false">-K6*Assumptions!K46/100</f>
        <v>-519.364750703336</v>
      </c>
      <c r="L17" s="4" t="n">
        <f aca="false">-L6*Assumptions!L46/100</f>
        <v>-537.542516977953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-90.7110000000002</v>
      </c>
      <c r="D18" s="4" t="n">
        <f aca="false">(D6-C6)*Assumptions!$B$51/100</f>
        <v>-186.86466</v>
      </c>
      <c r="E18" s="4" t="n">
        <f aca="false">(E6-D6)*Assumptions!$B$51/100</f>
        <v>-231.0892962</v>
      </c>
      <c r="F18" s="4" t="n">
        <f aca="false">(F6-E6)*Assumptions!$B$51/100</f>
        <v>-247.265546934001</v>
      </c>
      <c r="G18" s="4" t="n">
        <f aca="false">(G6-F6)*Assumptions!$B$51/100</f>
        <v>-245.67598270371</v>
      </c>
      <c r="H18" s="4" t="n">
        <f aca="false">(H6-G6)*Assumptions!$B$51/100</f>
        <v>-241.518389150263</v>
      </c>
      <c r="I18" s="4" t="n">
        <f aca="false">(I6-H6)*Assumptions!$B$51/100</f>
        <v>-213.341243749399</v>
      </c>
      <c r="J18" s="4" t="n">
        <f aca="false">(J6-I6)*Assumptions!$B$51/100</f>
        <v>-201.607475343181</v>
      </c>
      <c r="K18" s="4" t="n">
        <f aca="false">(K6-J6)*Assumptions!$B$51/100</f>
        <v>-187.270943763223</v>
      </c>
      <c r="L18" s="4" t="n">
        <f aca="false">(L6-K6)*Assumptions!$B$51/100</f>
        <v>-170.416558824532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3059.78564212</v>
      </c>
      <c r="D19" s="0" t="n">
        <f aca="false">D15+D16+D17+D18</f>
        <v>3185.2343671592</v>
      </c>
      <c r="E19" s="0" t="n">
        <f aca="false">E15+E16+E17+E18</f>
        <v>3411.90933042819</v>
      </c>
      <c r="F19" s="0" t="n">
        <f aca="false">F15+F16+F17+F18</f>
        <v>3688.03533785575</v>
      </c>
      <c r="G19" s="0" t="n">
        <f aca="false">G15+G16+G17+G18</f>
        <v>3945.41945959737</v>
      </c>
      <c r="H19" s="0" t="n">
        <f aca="false">H15+H16+H17+H18</f>
        <v>4201.04277968888</v>
      </c>
      <c r="I19" s="0" t="n">
        <f aca="false">I15+I16+I17+I18</f>
        <v>4451.3479835317</v>
      </c>
      <c r="J19" s="0" t="n">
        <f aca="false">J15+J16+J17+J18</f>
        <v>4672.99276716557</v>
      </c>
      <c r="K19" s="0" t="n">
        <f aca="false">K15+K16+K17+K18</f>
        <v>4882.31330844588</v>
      </c>
      <c r="L19" s="0" t="n">
        <f aca="false">L15+L16+L17+L18</f>
        <v>5076.60314221189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2794.3247873242</v>
      </c>
      <c r="D21" s="0" t="n">
        <f aca="false">D19*D20</f>
        <v>2656.52039545397</v>
      </c>
      <c r="E21" s="0" t="n">
        <f aca="false">E19*E20</f>
        <v>2598.69388202739</v>
      </c>
      <c r="F21" s="0" t="n">
        <f aca="false">F19*F20</f>
        <v>2565.3025744717</v>
      </c>
      <c r="G21" s="0" t="n">
        <f aca="false">G19*G20</f>
        <v>2506.23959187766</v>
      </c>
      <c r="H21" s="0" t="n">
        <f aca="false">H19*H20</f>
        <v>2437.09460885022</v>
      </c>
      <c r="I21" s="0" t="n">
        <f aca="false">I19*I20</f>
        <v>2358.26557989697</v>
      </c>
      <c r="J21" s="0" t="n">
        <f aca="false">J19*J20</f>
        <v>2260.90417289437</v>
      </c>
      <c r="K21" s="0" t="n">
        <f aca="false">K19*K20</f>
        <v>2157.24053905085</v>
      </c>
      <c r="L21" s="0" t="n">
        <f aca="false">L19*L20</f>
        <v>2048.48138832854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1.78</v>
      </c>
      <c r="D23" s="4" t="n">
        <f aca="false">Assumptions!D44</f>
        <v>1.78</v>
      </c>
      <c r="E23" s="4" t="n">
        <f aca="false">Assumptions!E44</f>
        <v>1.78</v>
      </c>
      <c r="F23" s="4" t="n">
        <f aca="false">Assumptions!F44</f>
        <v>1.78</v>
      </c>
      <c r="G23" s="4" t="n">
        <f aca="false">Assumptions!G44</f>
        <v>1.78</v>
      </c>
      <c r="H23" s="4" t="n">
        <f aca="false">Assumptions!H44</f>
        <v>1.78</v>
      </c>
      <c r="I23" s="4" t="n">
        <f aca="false">Assumptions!I44</f>
        <v>1.78</v>
      </c>
      <c r="J23" s="4" t="n">
        <f aca="false">Assumptions!J44</f>
        <v>1.78</v>
      </c>
      <c r="K23" s="4" t="n">
        <f aca="false">Assumptions!K44</f>
        <v>1.78</v>
      </c>
      <c r="L23" s="4" t="n">
        <f aca="false">Assumptions!L44</f>
        <v>1.78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-369.576772</v>
      </c>
      <c r="D24" s="0" t="n">
        <f aca="false">-D6*D23/100</f>
        <v>-391.75137832</v>
      </c>
      <c r="E24" s="0" t="n">
        <f aca="false">-E6*E23/100</f>
        <v>-419.1739748024</v>
      </c>
      <c r="F24" s="0" t="n">
        <f aca="false">-F6*F23/100</f>
        <v>-448.516153038568</v>
      </c>
      <c r="G24" s="0" t="n">
        <f aca="false">-G6*G23/100</f>
        <v>-477.669702986075</v>
      </c>
      <c r="H24" s="0" t="n">
        <f aca="false">-H6*H23/100</f>
        <v>-506.32988516524</v>
      </c>
      <c r="I24" s="0" t="n">
        <f aca="false">-I6*I23/100</f>
        <v>-531.646379423502</v>
      </c>
      <c r="J24" s="0" t="n">
        <f aca="false">-J6*J23/100</f>
        <v>-555.570466497559</v>
      </c>
      <c r="K24" s="0" t="n">
        <f aca="false">-K6*K23/100</f>
        <v>-577.793285157462</v>
      </c>
      <c r="L24" s="0" t="n">
        <f aca="false">-L6*L23/100</f>
        <v>-598.016050137973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24383.0675201759</v>
      </c>
    </row>
    <row r="31" customFormat="false" ht="15" hidden="false" customHeight="false" outlineLevel="0" collapsed="false">
      <c r="A31" s="0" t="s">
        <v>127</v>
      </c>
      <c r="B31" s="0" t="n">
        <f aca="false">L19</f>
        <v>5076.60314221189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80444.6344073576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81225.6502753902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80444.6344073576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32460.5512304368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56843.6187506127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60836.6187506127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15.0065660460318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0.359290402720267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908.334664884426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1181.51218161477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15.5220684748673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43574.176970652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8.33908005633521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8.0555088802151</v>
      </c>
      <c r="C4" s="0" t="n">
        <f aca="false">B4/Assumptions!$B$2-1</f>
        <v>-0.270334340560227</v>
      </c>
      <c r="D4" s="4" t="n">
        <f aca="false">Assumptions!$B$24</f>
        <v>0.25</v>
      </c>
      <c r="E4" s="4" t="n">
        <f aca="false">DCF_Bear!$B$43</f>
        <v>8.35635341708355</v>
      </c>
      <c r="F4" s="4" t="n">
        <f aca="false">DCF_Bear!$B$47</f>
        <v>5.38042757903884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12.1408229429184</v>
      </c>
      <c r="C5" s="0" t="n">
        <f aca="false">B5/Assumptions!$B$2-1</f>
        <v>0.0997122230904379</v>
      </c>
      <c r="D5" s="4" t="n">
        <f aca="false">Assumptions!$B$38</f>
        <v>0.5</v>
      </c>
      <c r="E5" s="4" t="n">
        <f aca="false">DCF_Base!$B$43</f>
        <v>12.5692194624952</v>
      </c>
      <c r="F5" s="4" t="n">
        <f aca="false">DCF_Base!$B$47</f>
        <v>7.17302239344282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15.0065660460318</v>
      </c>
      <c r="C6" s="0" t="n">
        <f aca="false">B6/Assumptions!$B$2-1</f>
        <v>0.359290402720267</v>
      </c>
      <c r="D6" s="4" t="n">
        <f aca="false">Assumptions!$B$52</f>
        <v>0.25</v>
      </c>
      <c r="E6" s="4" t="n">
        <f aca="false">DCF_Bull!$B$43</f>
        <v>15.5220684748673</v>
      </c>
      <c r="F6" s="4" t="n">
        <f aca="false">DCF_Bull!$B$47</f>
        <v>8.33908005633521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11.8359302030209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12.2542152042353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0.067246949700479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-190.284184398232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7.01638810556492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12.6887635132502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12.1408229429184</v>
      </c>
      <c r="C16" s="3" t="n">
        <v>9.5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11.3867040946455</v>
      </c>
      <c r="C17" s="3" t="n">
        <v>10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10.1454542920689</v>
      </c>
      <c r="C18" s="3" t="n">
        <v>11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9.16644837747986</v>
      </c>
      <c r="C19" s="3" t="n">
        <v>12</v>
      </c>
    </row>
    <row r="20" customFormat="false" ht="15" hidden="false" customHeight="false" outlineLevel="0" collapsed="false">
      <c r="A20" s="0" t="s">
        <v>163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7.17302239344282</v>
      </c>
      <c r="C20" s="3" t="n">
        <v>15</v>
      </c>
    </row>
    <row r="22" customFormat="false" ht="15" hidden="false" customHeight="false" outlineLevel="0" collapsed="false">
      <c r="A22" s="2" t="s">
        <v>164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14.0214456364521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14.0214456364521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14.0214456364521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14.0214456364521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14.0214456364521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12.8930809463225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13.1126208591739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13.1126208591739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13.1126208591739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13.1126208591739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11.3575272015156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11.7230652141702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12.1408229429184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12.2838906582432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12.2838906582432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10.1657788637747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10.42995217024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10.7271471400133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11.0639681057565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11.4489063523201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9.21452038700403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9.41068174417197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9.62863880769189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9.87223787868475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10.1462868335517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2026-10-03T22:53:30Z</dcterms:created>
  <dc:creator>openpyxl</dc:creator>
  <dc:description/>
  <dc:language>en-NZ</dc:language>
  <cp:lastModifiedBy/>
  <dcterms:modified xsi:type="dcterms:W3CDTF">2026-10-03T22:53:30Z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