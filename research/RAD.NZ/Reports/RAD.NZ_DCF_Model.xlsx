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_Bear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Actuals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1F4E9C"/>
    </font>
    <font>
      <b val="1"/>
    </font>
    <font>
      <color rgb="001E7B34"/>
    </font>
    <font/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90" customWidth="1" min="1" max="1"/>
  </cols>
  <sheetData>
    <row r="1">
      <c r="A1" t="inlineStr">
        <is>
          <t>RAD.NZ (Radius Residential Care) DCF model - version 1.0, 2026-08-27. Fresh build; supersedes nothing (first valuation of this ticker).</t>
        </is>
      </c>
    </row>
    <row r="2">
      <c r="A2" t="inlineStr">
        <is>
          <t>Built by the dcf-analyst agent (Claude, Fable 5) on 2026-08-27 at the user's request, alongside research/RAD.NZ/Reports/RAD.NZ_DCF.json (the two must agree).</t>
        </is>
      </c>
    </row>
    <row r="3">
      <c r="A3" t="inlineStr"/>
    </row>
    <row r="4">
      <c r="A4" t="inlineStr">
        <is>
          <t>DATA VINTAGE - these figures go stale:</t>
        </is>
      </c>
    </row>
    <row r="5">
      <c r="A5" t="inlineStr">
        <is>
          <t xml:space="preserve">  Price NZ$0.465 - Yahoo Finance, 2026-08-27 16:09 NZST regular session (52w 0.34-0.49).</t>
        </is>
      </c>
    </row>
    <row r="6">
      <c r="A6" t="inlineStr">
        <is>
          <t xml:space="preserve">  Balance sheet 31-Mar-2026 (FY2026 annual report): bank borrowings 71.564, cash 2.823, lease liabilities 141.512, NCI 0.596, equity 76.317, shares 283.862m.</t>
        </is>
      </c>
    </row>
    <row r="7">
      <c r="A7" t="inlineStr">
        <is>
          <t xml:space="preserve">  FY2026 P&amp;L/CF: revenue 205.515, EBITDA 39.125, NPAT 10.053, OCF 25.121, capex 16.073, lease principal 2.830, lease interest 6.898, bank interest 4.558, cash tax 3.496.</t>
        </is>
      </c>
    </row>
    <row r="8">
      <c r="A8" t="inlineStr">
        <is>
          <t xml:space="preserve">  Refresh after the H1 FY2027 result (~Nov 2026) and any government decision on the Aug-2026 Ministerial Advisory Group ~7.1% price-uplift recommendation.</t>
        </is>
      </c>
    </row>
    <row r="9">
      <c r="A9" t="inlineStr"/>
    </row>
    <row r="10">
      <c r="A10" t="inlineStr">
        <is>
          <t>METHODOLOGY (each choice one line):</t>
        </is>
      </c>
    </row>
    <row r="11">
      <c r="A11" t="inlineStr">
        <is>
          <t xml:space="preserve">  Owner-FCF DCF, 10-year explicit horizon (margins still ramping), routed via dcf-methods SKILL: operating company (care-fee revenue; not a REIT/NAV/bank).</t>
        </is>
      </c>
    </row>
    <row r="12">
      <c r="A12" t="inlineStr">
        <is>
          <t xml:space="preserve">  Lease treatment B: full lease CASH cost (principal+interest, ~4.8% of revenue) charged inside the flows; lease liabilities EXCLUDED from net debt. Charging both would double-count ~half the enterprise.</t>
        </is>
      </c>
    </row>
    <row r="13">
      <c r="A13" t="inlineStr">
        <is>
          <t xml:space="preserve">  RAD presents bank AND lease interest inside OPERATING cash flow; owner FCF adds bank interest back (unlevered; bank debt charged once in the bridge) and keeps lease interest deducted.</t>
        </is>
      </c>
    </row>
    <row r="14">
      <c r="A14" t="inlineStr">
        <is>
          <t xml:space="preserve">  D&amp;A driver 3.7% is owned-asset only (13.206 total less 5.604 ROU depreciation) - ROU dep excluded to avoid double-charging leases in the tax build.</t>
        </is>
      </c>
    </row>
    <row r="15">
      <c r="A15" t="inlineStr">
        <is>
          <t xml:space="preserve">  Cash tax ramps 18% -&gt; 28% NZ statutory over 5 years (FY2026 cash rate ~16% reflects carryforwards/timing).</t>
        </is>
      </c>
    </row>
    <row r="16">
      <c r="A16" t="inlineStr">
        <is>
          <t xml:space="preserve">  Capex 3.0% of revenue normalized (FY2026's 7.8% was acquisition-heavy; growth beds are third-party funded - their cost is in the lease line).</t>
        </is>
      </c>
    </row>
    <row r="17">
      <c r="A17" t="inlineStr">
        <is>
          <t xml:space="preserve">  WACC 14.5% additive: 9.0 NZ base + 2.0 small-cap illiquidity + 2.0 single-payer concentration (87% government bed-day rate) + 1.5 leverage. Same WACC all scenarios; event risk lives in the weights (20/50/30).</t>
        </is>
      </c>
    </row>
    <row r="18">
      <c r="A18" t="inlineStr">
        <is>
          <t xml:space="preserve">  SBC (~0.2% of revenue) fully expensed, share count flat at 283.862m. 14:1 share split 8-Dec-2020: never span FY2020 with raw per-share data.</t>
        </is>
      </c>
    </row>
    <row r="19">
      <c r="A19" t="inlineStr">
        <is>
          <t xml:space="preserve">  Terminal value = MAX(0, MIN(Gordon, cap x FCF10)); Gordon binds in all three scenarios. Entry price = PV(FCF@15%) + TV(at WACC)/1.15^10 - net debt.</t>
        </is>
      </c>
    </row>
    <row r="20">
      <c r="A20" t="inlineStr"/>
    </row>
    <row r="21">
      <c r="A21" t="inlineStr">
        <is>
          <t>SCENARIO DRIVERS are the agent's judgment, set 2026-08-27 from the FY2026 annual report and the Aug-2026 MAG report. MAG uplift is in the BULL case only (recommendation, not enacted funding).</t>
        </is>
      </c>
    </row>
    <row r="22">
      <c r="A22" t="inlineStr"/>
    </row>
    <row r="23">
      <c r="A23" t="inlineStr">
        <is>
          <t>SANITY CHECK (Step 8c): PASSED, no fix applied. Base IV implies 13.5x adj P/E, 1.71x P/B, 5.15x EV/EBITDA vs since-listing history (avg adj P/E 9.5 ex-outliers, P/B max ex-IPO 1.36, EV/EBITDA max 9.0). Base upside -1.2%.</t>
        </is>
      </c>
    </row>
    <row r="24">
      <c r="A24" t="inlineStr"/>
    </row>
    <row r="25">
      <c r="A25" t="inlineStr">
        <is>
          <t>CELL COLOURS: blue font = hardcoded input; yellow fill = key lever (scenario drivers, headline values); black = formula; green font = cross-sheet link.</t>
        </is>
      </c>
    </row>
    <row r="26">
      <c r="A26" t="inlineStr">
        <is>
          <t>DCF tab row map: r5 growth, r7 EBITDA margin, r9 SBC%, r15 cash tax rate are the per-year drivers; lease/capex/WC/terminal params link to the Assumptions per-scenario table (rows 13-15).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9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Global assumptions (blue = hardcoded input)</t>
        </is>
      </c>
    </row>
    <row r="2">
      <c r="A2" t="inlineStr">
        <is>
          <t>Current price (NZD)</t>
        </is>
      </c>
      <c r="B2" s="2" t="n">
        <v>0.465</v>
      </c>
      <c r="C2" t="inlineStr">
        <is>
          <t>Yahoo 2026-08-27 16:09 NZST regular session; 52w 0.34-0.49</t>
        </is>
      </c>
    </row>
    <row r="3">
      <c r="A3" t="inlineStr">
        <is>
          <t>Price as of</t>
        </is>
      </c>
      <c r="B3" s="2" t="inlineStr">
        <is>
          <t>2026-08-27T04:09:24Z</t>
        </is>
      </c>
      <c r="C3" t="inlineStr">
        <is>
          <t>regularMarketTime</t>
        </is>
      </c>
    </row>
    <row r="4">
      <c r="A4" t="inlineStr">
        <is>
          <t>WACC %</t>
        </is>
      </c>
      <c r="B4" s="2" t="n">
        <v>14.5</v>
      </c>
      <c r="C4" t="inlineStr">
        <is>
          <t>9.0 NZ base (rf 4.4 + ERP 4.6) + 2.0 small-cap illiquidity + 2.0 single-payer concentration + 1.5 leverage; same for all scenarios</t>
        </is>
      </c>
    </row>
    <row r="5">
      <c r="A5" t="inlineStr">
        <is>
          <t>Owned-asset D&amp;A % of revenue</t>
        </is>
      </c>
      <c r="B5" s="2" t="n">
        <v>3.7</v>
      </c>
      <c r="C5" t="inlineStr">
        <is>
          <t>FY2026 total D&amp;A 13.206 less ROU depreciation 5.604 = 7.602 owned; ROU excluded because cash lease cost is charged instead</t>
        </is>
      </c>
    </row>
    <row r="6">
      <c r="A6" t="inlineStr">
        <is>
          <t>Net debt (NZ$m)</t>
        </is>
      </c>
      <c r="B6" s="2" t="n">
        <v>69.337</v>
      </c>
      <c r="C6" t="inlineStr">
        <is>
          <t>Bank 71.564 - cash 2.823 + NCI book 0.596; lease liabilities 141.512 EXCLUDED (lease treatment B)</t>
        </is>
      </c>
    </row>
    <row r="7">
      <c r="A7" t="inlineStr">
        <is>
          <t>Shares outstanding (m)</t>
        </is>
      </c>
      <c r="B7" s="2" t="n">
        <v>283.862</v>
      </c>
      <c r="C7" t="inlineStr">
        <is>
          <t>31-Mar-2026, held flat; SBC expensed so no dilution on top</t>
        </is>
      </c>
    </row>
    <row r="8">
      <c r="A8" t="inlineStr">
        <is>
          <t>Hurdle rate %</t>
        </is>
      </c>
      <c r="B8" s="2" t="n">
        <v>15</v>
      </c>
      <c r="C8" t="inlineStr">
        <is>
          <t>entry-price IRR</t>
        </is>
      </c>
    </row>
    <row r="9">
      <c r="A9" t="inlineStr">
        <is>
          <t>Base revenue FY2026 (NZ$m)</t>
        </is>
      </c>
      <c r="B9" s="2" t="n">
        <v>205.515</v>
      </c>
      <c r="C9" t="inlineStr">
        <is>
          <t>FY2026 annual report</t>
        </is>
      </c>
    </row>
    <row r="11">
      <c r="A11" s="1" t="inlineStr">
        <is>
          <t>Per-scenario assumptions</t>
        </is>
      </c>
    </row>
    <row r="12">
      <c r="A12" s="3" t="inlineStr">
        <is>
          <t>Scenario</t>
        </is>
      </c>
      <c r="B12" s="3" t="inlineStr">
        <is>
          <t>Lease cost % rev</t>
        </is>
      </c>
      <c r="C12" s="3" t="inlineStr">
        <is>
          <t>Capex % rev</t>
        </is>
      </c>
      <c r="D12" s="3" t="inlineStr">
        <is>
          <t>WC capture % of change</t>
        </is>
      </c>
      <c r="E12" s="3" t="inlineStr">
        <is>
          <t>Terminal growth %</t>
        </is>
      </c>
      <c r="F12" s="3" t="inlineStr">
        <is>
          <t>TV cap (x FCF10)</t>
        </is>
      </c>
      <c r="G12" s="3" t="inlineStr">
        <is>
          <t>Weight</t>
        </is>
      </c>
    </row>
    <row r="13">
      <c r="A13" s="3" t="inlineStr">
        <is>
          <t>Bear</t>
        </is>
      </c>
      <c r="B13" s="4" t="n">
        <v>5</v>
      </c>
      <c r="C13" s="4" t="n">
        <v>2.5</v>
      </c>
      <c r="D13" s="4" t="n">
        <v>5</v>
      </c>
      <c r="E13" s="4" t="n">
        <v>1</v>
      </c>
      <c r="F13" s="4" t="n">
        <v>10</v>
      </c>
      <c r="G13" s="4" t="n">
        <v>0.2</v>
      </c>
    </row>
    <row r="14">
      <c r="A14" s="3" t="inlineStr">
        <is>
          <t>Base</t>
        </is>
      </c>
      <c r="B14" s="4" t="n">
        <v>4.8</v>
      </c>
      <c r="C14" s="4" t="n">
        <v>3</v>
      </c>
      <c r="D14" s="4" t="n">
        <v>8</v>
      </c>
      <c r="E14" s="4" t="n">
        <v>2</v>
      </c>
      <c r="F14" s="4" t="n">
        <v>12</v>
      </c>
      <c r="G14" s="4" t="n">
        <v>0.5</v>
      </c>
    </row>
    <row r="15">
      <c r="A15" s="3" t="inlineStr">
        <is>
          <t>Bull</t>
        </is>
      </c>
      <c r="B15" s="4" t="n">
        <v>4.8</v>
      </c>
      <c r="C15" s="4" t="n">
        <v>3.2</v>
      </c>
      <c r="D15" s="4" t="n">
        <v>8</v>
      </c>
      <c r="E15" s="4" t="n">
        <v>2.5</v>
      </c>
      <c r="F15" s="4" t="n">
        <v>13</v>
      </c>
      <c r="G15" s="4" t="n">
        <v>0.3</v>
      </c>
    </row>
    <row r="16">
      <c r="A16" t="inlineStr">
        <is>
          <t>Weight check (must equal 1.0)</t>
        </is>
      </c>
      <c r="G16" s="3">
        <f>SUM(G13:G15)</f>
        <v/>
      </c>
    </row>
    <row r="18">
      <c r="A18" t="inlineStr">
        <is>
          <t>Bear: government freezes/under-indexes the bed-day rate while wage and AEWV labour costs rise; growth 1-3%, EBITDA margin compresses to 16% (FY2024 level); fixed lease+bank charges bite; terminal growth 1%, cap 10x.</t>
        </is>
      </c>
    </row>
    <row r="19">
      <c r="A19" t="inlineStr">
        <is>
          <t>Base: ARRC uplifts at wage pass-through (3-4%), MAG 7.1% uplift NOT enacted; occupancy 95-96%; Karori annualises (yr1 +9%); growth decelerates to 2.5%; margin drifts 19.2-&gt;20.5%; cash tax normalises to 28%.</t>
        </is>
      </c>
    </row>
    <row r="20">
      <c r="A20" t="inlineStr">
        <is>
          <t>Bull: MAG ~7.1% price uplift enacted Budget 2027 (yr2 +11%); occupancy hits 97-98% target; capital-light 20-home pipeline executes; adjacents compound; margin reaches 22%.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 Bear - unlevered owner FCF, lease treatment B (full lease cash cost in flows; lease liabilities excluded from net debt)</t>
        </is>
      </c>
    </row>
    <row r="3">
      <c r="A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 (driver)</t>
        </is>
      </c>
      <c r="C5" s="4" t="n">
        <v>5</v>
      </c>
      <c r="D5" s="4" t="n">
        <v>3</v>
      </c>
      <c r="E5" s="4" t="n">
        <v>2.5</v>
      </c>
      <c r="F5" s="4" t="n">
        <v>2</v>
      </c>
      <c r="G5" s="4" t="n">
        <v>2</v>
      </c>
      <c r="H5" s="4" t="n">
        <v>2</v>
      </c>
      <c r="I5" s="4" t="n">
        <v>1.5</v>
      </c>
      <c r="J5" s="4" t="n">
        <v>1.5</v>
      </c>
      <c r="K5" s="4" t="n">
        <v>1</v>
      </c>
      <c r="L5" s="4" t="n">
        <v>1</v>
      </c>
    </row>
    <row r="6">
      <c r="A6" t="inlineStr">
        <is>
          <t>Revenue NZ$m</t>
        </is>
      </c>
      <c r="B6" s="2" t="n">
        <v>205.515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 (driver)</t>
        </is>
      </c>
      <c r="C7" s="4" t="n">
        <v>18.5</v>
      </c>
      <c r="D7" s="4" t="n">
        <v>17.8</v>
      </c>
      <c r="E7" s="4" t="n">
        <v>17.2</v>
      </c>
      <c r="F7" s="4" t="n">
        <v>16.8</v>
      </c>
      <c r="G7" s="4" t="n">
        <v>16.5</v>
      </c>
      <c r="H7" s="4" t="n">
        <v>16.3</v>
      </c>
      <c r="I7" s="4" t="n">
        <v>16.2</v>
      </c>
      <c r="J7" s="4" t="n">
        <v>16.1</v>
      </c>
      <c r="K7" s="4" t="n">
        <v>16</v>
      </c>
      <c r="L7" s="4" t="n">
        <v>16</v>
      </c>
    </row>
    <row r="8">
      <c r="A8" t="inlineStr">
        <is>
          <t>Adjusted EBITDA (pre-lease, IFRS-16 basis)</t>
        </is>
      </c>
      <c r="B8" s="2" t="n">
        <v>39.125</v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 (driver)</t>
        </is>
      </c>
      <c r="C9" s="4" t="n">
        <v>0.2</v>
      </c>
      <c r="D9" s="4" t="n">
        <v>0.2</v>
      </c>
      <c r="E9" s="4" t="n">
        <v>0.2</v>
      </c>
      <c r="F9" s="4" t="n">
        <v>0.2</v>
      </c>
      <c r="G9" s="4" t="n">
        <v>0.2</v>
      </c>
      <c r="H9" s="4" t="n">
        <v>0.2</v>
      </c>
      <c r="I9" s="4" t="n">
        <v>0.2</v>
      </c>
      <c r="J9" s="4" t="n">
        <v>0.2</v>
      </c>
      <c r="K9" s="4" t="n">
        <v>0.2</v>
      </c>
      <c r="L9" s="4" t="n">
        <v>0.2</v>
      </c>
    </row>
    <row r="10">
      <c r="A10" t="inlineStr">
        <is>
          <t>SBC $ (negative)</t>
        </is>
      </c>
      <c r="B10" s="2" t="n">
        <v>-0.38</v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cost % of revenue (link)</t>
        </is>
      </c>
      <c r="C11" s="5">
        <f>Assumptions!$B$13</f>
        <v/>
      </c>
      <c r="D11" s="5">
        <f>Assumptions!$B$13</f>
        <v/>
      </c>
      <c r="E11" s="5">
        <f>Assumptions!$B$13</f>
        <v/>
      </c>
      <c r="F11" s="5">
        <f>Assumptions!$B$13</f>
        <v/>
      </c>
      <c r="G11" s="5">
        <f>Assumptions!$B$13</f>
        <v/>
      </c>
      <c r="H11" s="5">
        <f>Assumptions!$B$13</f>
        <v/>
      </c>
      <c r="I11" s="5">
        <f>Assumptions!$B$13</f>
        <v/>
      </c>
      <c r="J11" s="5">
        <f>Assumptions!$B$13</f>
        <v/>
      </c>
      <c r="K11" s="5">
        <f>Assumptions!$B$13</f>
        <v/>
      </c>
      <c r="L11" s="5">
        <f>Assumptions!$B$13</f>
        <v/>
      </c>
    </row>
    <row r="12">
      <c r="A12" t="inlineStr">
        <is>
          <t>Lease cash cost $ (principal + interest, negative)</t>
        </is>
      </c>
      <c r="B12" s="2" t="n">
        <v>-9.728</v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Owned-asset D&amp;A $ (negative, link)</t>
        </is>
      </c>
      <c r="B13" s="2" t="n">
        <v>-7.602</v>
      </c>
      <c r="C13">
        <f>-C6*Assumptions!$B$5/100</f>
        <v/>
      </c>
      <c r="D13">
        <f>-D6*Assumptions!$B$5/100</f>
        <v/>
      </c>
      <c r="E13">
        <f>-E6*Assumptions!$B$5/100</f>
        <v/>
      </c>
      <c r="F13">
        <f>-F6*Assumptions!$B$5/100</f>
        <v/>
      </c>
      <c r="G13">
        <f>-G6*Assumptions!$B$5/100</f>
        <v/>
      </c>
      <c r="H13">
        <f>-H6*Assumptions!$B$5/100</f>
        <v/>
      </c>
      <c r="I13">
        <f>-I6*Assumptions!$B$5/100</f>
        <v/>
      </c>
      <c r="J13">
        <f>-J6*Assumptions!$B$5/100</f>
        <v/>
      </c>
      <c r="K13">
        <f>-K6*Assumptions!$B$5/100</f>
        <v/>
      </c>
      <c r="L13">
        <f>-L6*Assumptions!$B$5/100</f>
        <v/>
      </c>
    </row>
    <row r="14">
      <c r="A14" t="inlineStr">
        <is>
          <t>EBIT (post-lease cash, post-SBC)</t>
        </is>
      </c>
      <c r="C14">
        <f>C8+C10+C12+C13</f>
        <v/>
      </c>
      <c r="D14">
        <f>D8+D10+D12+D13</f>
        <v/>
      </c>
      <c r="E14">
        <f>E8+E10+E12+E13</f>
        <v/>
      </c>
      <c r="F14">
        <f>F8+F10+F12+F13</f>
        <v/>
      </c>
      <c r="G14">
        <f>G8+G10+G12+G13</f>
        <v/>
      </c>
      <c r="H14">
        <f>H8+H10+H12+H13</f>
        <v/>
      </c>
      <c r="I14">
        <f>I8+I10+I12+I13</f>
        <v/>
      </c>
      <c r="J14">
        <f>J8+J10+J12+J13</f>
        <v/>
      </c>
      <c r="K14">
        <f>K8+K10+K12+K13</f>
        <v/>
      </c>
      <c r="L14">
        <f>L8+L10+L12+L13</f>
        <v/>
      </c>
    </row>
    <row r="15">
      <c r="A15" t="inlineStr">
        <is>
          <t>Cash tax rate % (driver)</t>
        </is>
      </c>
      <c r="C15" s="4" t="n">
        <v>18</v>
      </c>
      <c r="D15" s="4" t="n">
        <v>20</v>
      </c>
      <c r="E15" s="4" t="n">
        <v>22</v>
      </c>
      <c r="F15" s="4" t="n">
        <v>25</v>
      </c>
      <c r="G15" s="4" t="n">
        <v>28</v>
      </c>
      <c r="H15" s="4" t="n">
        <v>28</v>
      </c>
      <c r="I15" s="4" t="n">
        <v>28</v>
      </c>
      <c r="J15" s="4" t="n">
        <v>28</v>
      </c>
      <c r="K15" s="4" t="n">
        <v>28</v>
      </c>
      <c r="L15" s="4" t="n">
        <v>28</v>
      </c>
    </row>
    <row r="16">
      <c r="A16" t="inlineStr">
        <is>
          <t>Cash tax $ (negative)</t>
        </is>
      </c>
      <c r="C16">
        <f>-MAX(0,C14)*C15/100</f>
        <v/>
      </c>
      <c r="D16">
        <f>-MAX(0,D14)*D15/100</f>
        <v/>
      </c>
      <c r="E16">
        <f>-MAX(0,E14)*E15/100</f>
        <v/>
      </c>
      <c r="F16">
        <f>-MAX(0,F14)*F15/100</f>
        <v/>
      </c>
      <c r="G16">
        <f>-MAX(0,G14)*G15/100</f>
        <v/>
      </c>
      <c r="H16">
        <f>-MAX(0,H14)*H15/100</f>
        <v/>
      </c>
      <c r="I16">
        <f>-MAX(0,I14)*I15/100</f>
        <v/>
      </c>
      <c r="J16">
        <f>-MAX(0,J14)*J15/100</f>
        <v/>
      </c>
      <c r="K16">
        <f>-MAX(0,K14)*K15/100</f>
        <v/>
      </c>
      <c r="L16">
        <f>-MAX(0,L14)*L15/100</f>
        <v/>
      </c>
    </row>
    <row r="17">
      <c r="A17" t="inlineStr">
        <is>
          <t>NOPAT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Add back D&amp;A</t>
        </is>
      </c>
      <c r="C18">
        <f>-C13</f>
        <v/>
      </c>
      <c r="D18">
        <f>-D13</f>
        <v/>
      </c>
      <c r="E18">
        <f>-E13</f>
        <v/>
      </c>
      <c r="F18">
        <f>-F13</f>
        <v/>
      </c>
      <c r="G18">
        <f>-G13</f>
        <v/>
      </c>
      <c r="H18">
        <f>-H13</f>
        <v/>
      </c>
      <c r="I18">
        <f>-I13</f>
        <v/>
      </c>
      <c r="J18">
        <f>-J13</f>
        <v/>
      </c>
      <c r="K18">
        <f>-K13</f>
        <v/>
      </c>
      <c r="L18">
        <f>-L13</f>
        <v/>
      </c>
    </row>
    <row r="19">
      <c r="A19" t="inlineStr">
        <is>
          <t>Less capex (link)</t>
        </is>
      </c>
      <c r="C19">
        <f>-C6*Assumptions!$C$13/100</f>
        <v/>
      </c>
      <c r="D19">
        <f>-D6*Assumptions!$C$13/100</f>
        <v/>
      </c>
      <c r="E19">
        <f>-E6*Assumptions!$C$13/100</f>
        <v/>
      </c>
      <c r="F19">
        <f>-F6*Assumptions!$C$13/100</f>
        <v/>
      </c>
      <c r="G19">
        <f>-G6*Assumptions!$C$13/100</f>
        <v/>
      </c>
      <c r="H19">
        <f>-H6*Assumptions!$C$13/100</f>
        <v/>
      </c>
      <c r="I19">
        <f>-I6*Assumptions!$C$13/100</f>
        <v/>
      </c>
      <c r="J19">
        <f>-J6*Assumptions!$C$13/100</f>
        <v/>
      </c>
      <c r="K19">
        <f>-K6*Assumptions!$C$13/100</f>
        <v/>
      </c>
      <c r="L19">
        <f>-L6*Assumptions!$C$13/100</f>
        <v/>
      </c>
    </row>
    <row r="20">
      <c r="A20" t="inlineStr">
        <is>
          <t>Add working capital (link)</t>
        </is>
      </c>
      <c r="C20">
        <f>(C6-B6)*Assumptions!$D$13/100</f>
        <v/>
      </c>
      <c r="D20">
        <f>(D6-C6)*Assumptions!$D$13/100</f>
        <v/>
      </c>
      <c r="E20">
        <f>(E6-D6)*Assumptions!$D$13/100</f>
        <v/>
      </c>
      <c r="F20">
        <f>(F6-E6)*Assumptions!$D$13/100</f>
        <v/>
      </c>
      <c r="G20">
        <f>(G6-F6)*Assumptions!$D$13/100</f>
        <v/>
      </c>
      <c r="H20">
        <f>(H6-G6)*Assumptions!$D$13/100</f>
        <v/>
      </c>
      <c r="I20">
        <f>(I6-H6)*Assumptions!$D$13/100</f>
        <v/>
      </c>
      <c r="J20">
        <f>(J6-I6)*Assumptions!$D$13/100</f>
        <v/>
      </c>
      <c r="K20">
        <f>(K6-J6)*Assumptions!$D$13/100</f>
        <v/>
      </c>
      <c r="L20">
        <f>(L6-K6)*Assumptions!$D$13/100</f>
        <v/>
      </c>
    </row>
    <row r="21">
      <c r="A21" t="inlineStr">
        <is>
          <t>Unlevered owner FCF</t>
        </is>
      </c>
      <c r="B21" s="2" t="n">
        <v>10.335</v>
      </c>
      <c r="C21" s="3">
        <f>C17+C18+C19+C20</f>
        <v/>
      </c>
      <c r="D21" s="3">
        <f>D17+D18+D19+D20</f>
        <v/>
      </c>
      <c r="E21" s="3">
        <f>E17+E18+E19+E20</f>
        <v/>
      </c>
      <c r="F21" s="3">
        <f>F17+F18+F19+F20</f>
        <v/>
      </c>
      <c r="G21" s="3">
        <f>G17+G18+G19+G20</f>
        <v/>
      </c>
      <c r="H21" s="3">
        <f>H17+H18+H19+H20</f>
        <v/>
      </c>
      <c r="I21" s="3">
        <f>I17+I18+I19+I20</f>
        <v/>
      </c>
      <c r="J21" s="3">
        <f>J17+J18+J19+J20</f>
        <v/>
      </c>
      <c r="K21" s="3">
        <f>K17+K18+K19+K20</f>
        <v/>
      </c>
      <c r="L21" s="3">
        <f>L17+L18+L19+L20</f>
        <v/>
      </c>
    </row>
    <row r="22">
      <c r="A22" t="inlineStr">
        <is>
          <t>Discount factor</t>
        </is>
      </c>
      <c r="C22">
        <f>1/POWER(1+Assumptions!$B$4/100,C4)</f>
        <v/>
      </c>
      <c r="D22">
        <f>1/POWER(1+Assumptions!$B$4/100,D4)</f>
        <v/>
      </c>
      <c r="E22">
        <f>1/POWER(1+Assumptions!$B$4/100,E4)</f>
        <v/>
      </c>
      <c r="F22">
        <f>1/POWER(1+Assumptions!$B$4/100,F4)</f>
        <v/>
      </c>
      <c r="G22">
        <f>1/POWER(1+Assumptions!$B$4/100,G4)</f>
        <v/>
      </c>
      <c r="H22">
        <f>1/POWER(1+Assumptions!$B$4/100,H4)</f>
        <v/>
      </c>
      <c r="I22">
        <f>1/POWER(1+Assumptions!$B$4/100,I4)</f>
        <v/>
      </c>
      <c r="J22">
        <f>1/POWER(1+Assumptions!$B$4/100,J4)</f>
        <v/>
      </c>
      <c r="K22">
        <f>1/POWER(1+Assumptions!$B$4/100,K4)</f>
        <v/>
      </c>
      <c r="L22">
        <f>1/POWER(1+Assumptions!$B$4/100,L4)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(street-style)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owner FCF margin %</t>
        </is>
      </c>
      <c r="B26">
        <f>100*B21/B6</f>
        <v/>
      </c>
      <c r="C26">
        <f>100*C21/C6</f>
        <v/>
      </c>
      <c r="D26">
        <f>100*D21/D6</f>
        <v/>
      </c>
      <c r="E26">
        <f>100*E21/E6</f>
        <v/>
      </c>
      <c r="F26">
        <f>100*F21/F6</f>
        <v/>
      </c>
      <c r="G26">
        <f>100*G21/G6</f>
        <v/>
      </c>
      <c r="H26">
        <f>100*H21/H6</f>
        <v/>
      </c>
      <c r="I26">
        <f>100*I21/I6</f>
        <v/>
      </c>
      <c r="J26">
        <f>100*J21/J6</f>
        <v/>
      </c>
      <c r="K26">
        <f>100*K21/K6</f>
        <v/>
      </c>
      <c r="L26">
        <f>100*L21/L6</f>
        <v/>
      </c>
    </row>
    <row r="27">
      <c r="A27" t="inlineStr">
        <is>
          <t>Note: FY2026A owner FCF 10.335 uses reported acquisition-heavy capex 16.073; the forecast capex driver is the normalized rate.</t>
        </is>
      </c>
    </row>
    <row r="28">
      <c r="A28" t="inlineStr">
        <is>
          <t>Sum PV of FCF</t>
        </is>
      </c>
      <c r="B28" s="6">
        <f>SUM(C23:L23)</f>
        <v/>
      </c>
    </row>
    <row r="29">
      <c r="A29" t="inlineStr">
        <is>
          <t>Terminal growth % (link)</t>
        </is>
      </c>
      <c r="B29" s="5">
        <f>Assumptions!$E$13</f>
        <v/>
      </c>
    </row>
    <row r="30">
      <c r="A30" t="inlineStr">
        <is>
          <t>Terminal-year FCF x (1+g)</t>
        </is>
      </c>
      <c r="B30" s="6">
        <f>L21*(1+B29/100)</f>
        <v/>
      </c>
    </row>
    <row r="31">
      <c r="A31" t="inlineStr">
        <is>
          <t>Gordon TV</t>
        </is>
      </c>
      <c r="B31" s="6">
        <f>B30/((Assumptions!$B$4-B29)/100)</f>
        <v/>
      </c>
    </row>
    <row r="32">
      <c r="A32" t="inlineStr">
        <is>
          <t>Cap TV (cap x FCF10)</t>
        </is>
      </c>
      <c r="B32" s="5">
        <f>Assumptions!$F$13*L21</f>
        <v/>
      </c>
    </row>
    <row r="33">
      <c r="A33" t="inlineStr">
        <is>
          <t>TV used = MAX(0,MIN(Gordon,Cap))</t>
        </is>
      </c>
      <c r="B33" s="6">
        <f>MAX(0,MIN(B31,B32))</f>
        <v/>
      </c>
    </row>
    <row r="34">
      <c r="A34" t="inlineStr">
        <is>
          <t>Implied exit multiple (TV/FCF10)</t>
        </is>
      </c>
      <c r="B34" s="6">
        <f>B33/L21</f>
        <v/>
      </c>
    </row>
    <row r="35">
      <c r="A35" t="inlineStr">
        <is>
          <t>PV of TV</t>
        </is>
      </c>
      <c r="B35" s="6">
        <f>B33*L22</f>
        <v/>
      </c>
    </row>
    <row r="36">
      <c r="A36" t="inlineStr">
        <is>
          <t>Enterprise value</t>
        </is>
      </c>
      <c r="B36" s="6">
        <f>B28+B35</f>
        <v/>
      </c>
    </row>
    <row r="37">
      <c r="A37" t="inlineStr">
        <is>
          <t>Less net debt (bank - cash + NCI)</t>
        </is>
      </c>
      <c r="B37" s="5">
        <f>-Assumptions!$B$6</f>
        <v/>
      </c>
    </row>
    <row r="38">
      <c r="A38" t="inlineStr">
        <is>
          <t>Equity value</t>
        </is>
      </c>
      <c r="B38" s="6">
        <f>B36+B37</f>
        <v/>
      </c>
    </row>
    <row r="39">
      <c r="A39" t="inlineStr">
        <is>
          <t>Shares (m, link)</t>
        </is>
      </c>
      <c r="B39" s="5">
        <f>Assumptions!$B$7</f>
        <v/>
      </c>
    </row>
    <row r="40">
      <c r="A40" t="inlineStr">
        <is>
          <t>VALUE PER SHARE (NZD)</t>
        </is>
      </c>
      <c r="B40" s="7">
        <f>B38/B39</f>
        <v/>
      </c>
    </row>
    <row r="41">
      <c r="A41" t="inlineStr">
        <is>
          <t>Upside vs price</t>
        </is>
      </c>
      <c r="B41" s="6">
        <f>B40/Assumptions!$B$2-1</f>
        <v/>
      </c>
    </row>
    <row r="43">
      <c r="A43" t="inlineStr">
        <is>
          <t>Street memo: PV of explicit SBC</t>
        </is>
      </c>
      <c r="B43">
        <f>SUMPRODUCT(-C10:L10,C22:L22)</f>
        <v/>
      </c>
    </row>
    <row r="44">
      <c r="A44" t="inlineStr">
        <is>
          <t>Street memo: PV of terminal SBC</t>
        </is>
      </c>
      <c r="B44">
        <f>(-L10*(1+B29/100)/((Assumptions!$B$4-B29)/100))*L22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 Base - unlevered owner FCF, lease treatment B (full lease cash cost in flows; lease liabilities excluded from net debt)</t>
        </is>
      </c>
    </row>
    <row r="3">
      <c r="A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 (driver)</t>
        </is>
      </c>
      <c r="C5" s="4" t="n">
        <v>9</v>
      </c>
      <c r="D5" s="4" t="n">
        <v>7.5</v>
      </c>
      <c r="E5" s="4" t="n">
        <v>6.5</v>
      </c>
      <c r="F5" s="4" t="n">
        <v>5.5</v>
      </c>
      <c r="G5" s="4" t="n">
        <v>5</v>
      </c>
      <c r="H5" s="4" t="n">
        <v>4.5</v>
      </c>
      <c r="I5" s="4" t="n">
        <v>4</v>
      </c>
      <c r="J5" s="4" t="n">
        <v>3.5</v>
      </c>
      <c r="K5" s="4" t="n">
        <v>3</v>
      </c>
      <c r="L5" s="4" t="n">
        <v>2.5</v>
      </c>
    </row>
    <row r="6">
      <c r="A6" t="inlineStr">
        <is>
          <t>Revenue NZ$m</t>
        </is>
      </c>
      <c r="B6" s="2" t="n">
        <v>205.515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 (driver)</t>
        </is>
      </c>
      <c r="C7" s="4" t="n">
        <v>19.2</v>
      </c>
      <c r="D7" s="4" t="n">
        <v>19.4</v>
      </c>
      <c r="E7" s="4" t="n">
        <v>19.6</v>
      </c>
      <c r="F7" s="4" t="n">
        <v>19.8</v>
      </c>
      <c r="G7" s="4" t="n">
        <v>20</v>
      </c>
      <c r="H7" s="4" t="n">
        <v>20.1</v>
      </c>
      <c r="I7" s="4" t="n">
        <v>20.2</v>
      </c>
      <c r="J7" s="4" t="n">
        <v>20.3</v>
      </c>
      <c r="K7" s="4" t="n">
        <v>20.4</v>
      </c>
      <c r="L7" s="4" t="n">
        <v>20.5</v>
      </c>
    </row>
    <row r="8">
      <c r="A8" t="inlineStr">
        <is>
          <t>Adjusted EBITDA (pre-lease, IFRS-16 basis)</t>
        </is>
      </c>
      <c r="B8" s="2" t="n">
        <v>39.125</v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 (driver)</t>
        </is>
      </c>
      <c r="C9" s="4" t="n">
        <v>0.2</v>
      </c>
      <c r="D9" s="4" t="n">
        <v>0.2</v>
      </c>
      <c r="E9" s="4" t="n">
        <v>0.2</v>
      </c>
      <c r="F9" s="4" t="n">
        <v>0.2</v>
      </c>
      <c r="G9" s="4" t="n">
        <v>0.2</v>
      </c>
      <c r="H9" s="4" t="n">
        <v>0.2</v>
      </c>
      <c r="I9" s="4" t="n">
        <v>0.2</v>
      </c>
      <c r="J9" s="4" t="n">
        <v>0.2</v>
      </c>
      <c r="K9" s="4" t="n">
        <v>0.2</v>
      </c>
      <c r="L9" s="4" t="n">
        <v>0.2</v>
      </c>
    </row>
    <row r="10">
      <c r="A10" t="inlineStr">
        <is>
          <t>SBC $ (negative)</t>
        </is>
      </c>
      <c r="B10" s="2" t="n">
        <v>-0.38</v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cost % of revenue (link)</t>
        </is>
      </c>
      <c r="C11" s="5">
        <f>Assumptions!$B$14</f>
        <v/>
      </c>
      <c r="D11" s="5">
        <f>Assumptions!$B$14</f>
        <v/>
      </c>
      <c r="E11" s="5">
        <f>Assumptions!$B$14</f>
        <v/>
      </c>
      <c r="F11" s="5">
        <f>Assumptions!$B$14</f>
        <v/>
      </c>
      <c r="G11" s="5">
        <f>Assumptions!$B$14</f>
        <v/>
      </c>
      <c r="H11" s="5">
        <f>Assumptions!$B$14</f>
        <v/>
      </c>
      <c r="I11" s="5">
        <f>Assumptions!$B$14</f>
        <v/>
      </c>
      <c r="J11" s="5">
        <f>Assumptions!$B$14</f>
        <v/>
      </c>
      <c r="K11" s="5">
        <f>Assumptions!$B$14</f>
        <v/>
      </c>
      <c r="L11" s="5">
        <f>Assumptions!$B$14</f>
        <v/>
      </c>
    </row>
    <row r="12">
      <c r="A12" t="inlineStr">
        <is>
          <t>Lease cash cost $ (principal + interest, negative)</t>
        </is>
      </c>
      <c r="B12" s="2" t="n">
        <v>-9.728</v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Owned-asset D&amp;A $ (negative, link)</t>
        </is>
      </c>
      <c r="B13" s="2" t="n">
        <v>-7.602</v>
      </c>
      <c r="C13">
        <f>-C6*Assumptions!$B$5/100</f>
        <v/>
      </c>
      <c r="D13">
        <f>-D6*Assumptions!$B$5/100</f>
        <v/>
      </c>
      <c r="E13">
        <f>-E6*Assumptions!$B$5/100</f>
        <v/>
      </c>
      <c r="F13">
        <f>-F6*Assumptions!$B$5/100</f>
        <v/>
      </c>
      <c r="G13">
        <f>-G6*Assumptions!$B$5/100</f>
        <v/>
      </c>
      <c r="H13">
        <f>-H6*Assumptions!$B$5/100</f>
        <v/>
      </c>
      <c r="I13">
        <f>-I6*Assumptions!$B$5/100</f>
        <v/>
      </c>
      <c r="J13">
        <f>-J6*Assumptions!$B$5/100</f>
        <v/>
      </c>
      <c r="K13">
        <f>-K6*Assumptions!$B$5/100</f>
        <v/>
      </c>
      <c r="L13">
        <f>-L6*Assumptions!$B$5/100</f>
        <v/>
      </c>
    </row>
    <row r="14">
      <c r="A14" t="inlineStr">
        <is>
          <t>EBIT (post-lease cash, post-SBC)</t>
        </is>
      </c>
      <c r="C14">
        <f>C8+C10+C12+C13</f>
        <v/>
      </c>
      <c r="D14">
        <f>D8+D10+D12+D13</f>
        <v/>
      </c>
      <c r="E14">
        <f>E8+E10+E12+E13</f>
        <v/>
      </c>
      <c r="F14">
        <f>F8+F10+F12+F13</f>
        <v/>
      </c>
      <c r="G14">
        <f>G8+G10+G12+G13</f>
        <v/>
      </c>
      <c r="H14">
        <f>H8+H10+H12+H13</f>
        <v/>
      </c>
      <c r="I14">
        <f>I8+I10+I12+I13</f>
        <v/>
      </c>
      <c r="J14">
        <f>J8+J10+J12+J13</f>
        <v/>
      </c>
      <c r="K14">
        <f>K8+K10+K12+K13</f>
        <v/>
      </c>
      <c r="L14">
        <f>L8+L10+L12+L13</f>
        <v/>
      </c>
    </row>
    <row r="15">
      <c r="A15" t="inlineStr">
        <is>
          <t>Cash tax rate % (driver)</t>
        </is>
      </c>
      <c r="C15" s="4" t="n">
        <v>18</v>
      </c>
      <c r="D15" s="4" t="n">
        <v>20</v>
      </c>
      <c r="E15" s="4" t="n">
        <v>22</v>
      </c>
      <c r="F15" s="4" t="n">
        <v>25</v>
      </c>
      <c r="G15" s="4" t="n">
        <v>28</v>
      </c>
      <c r="H15" s="4" t="n">
        <v>28</v>
      </c>
      <c r="I15" s="4" t="n">
        <v>28</v>
      </c>
      <c r="J15" s="4" t="n">
        <v>28</v>
      </c>
      <c r="K15" s="4" t="n">
        <v>28</v>
      </c>
      <c r="L15" s="4" t="n">
        <v>28</v>
      </c>
    </row>
    <row r="16">
      <c r="A16" t="inlineStr">
        <is>
          <t>Cash tax $ (negative)</t>
        </is>
      </c>
      <c r="C16">
        <f>-MAX(0,C14)*C15/100</f>
        <v/>
      </c>
      <c r="D16">
        <f>-MAX(0,D14)*D15/100</f>
        <v/>
      </c>
      <c r="E16">
        <f>-MAX(0,E14)*E15/100</f>
        <v/>
      </c>
      <c r="F16">
        <f>-MAX(0,F14)*F15/100</f>
        <v/>
      </c>
      <c r="G16">
        <f>-MAX(0,G14)*G15/100</f>
        <v/>
      </c>
      <c r="H16">
        <f>-MAX(0,H14)*H15/100</f>
        <v/>
      </c>
      <c r="I16">
        <f>-MAX(0,I14)*I15/100</f>
        <v/>
      </c>
      <c r="J16">
        <f>-MAX(0,J14)*J15/100</f>
        <v/>
      </c>
      <c r="K16">
        <f>-MAX(0,K14)*K15/100</f>
        <v/>
      </c>
      <c r="L16">
        <f>-MAX(0,L14)*L15/100</f>
        <v/>
      </c>
    </row>
    <row r="17">
      <c r="A17" t="inlineStr">
        <is>
          <t>NOPAT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Add back D&amp;A</t>
        </is>
      </c>
      <c r="C18">
        <f>-C13</f>
        <v/>
      </c>
      <c r="D18">
        <f>-D13</f>
        <v/>
      </c>
      <c r="E18">
        <f>-E13</f>
        <v/>
      </c>
      <c r="F18">
        <f>-F13</f>
        <v/>
      </c>
      <c r="G18">
        <f>-G13</f>
        <v/>
      </c>
      <c r="H18">
        <f>-H13</f>
        <v/>
      </c>
      <c r="I18">
        <f>-I13</f>
        <v/>
      </c>
      <c r="J18">
        <f>-J13</f>
        <v/>
      </c>
      <c r="K18">
        <f>-K13</f>
        <v/>
      </c>
      <c r="L18">
        <f>-L13</f>
        <v/>
      </c>
    </row>
    <row r="19">
      <c r="A19" t="inlineStr">
        <is>
          <t>Less capex (link)</t>
        </is>
      </c>
      <c r="C19">
        <f>-C6*Assumptions!$C$14/100</f>
        <v/>
      </c>
      <c r="D19">
        <f>-D6*Assumptions!$C$14/100</f>
        <v/>
      </c>
      <c r="E19">
        <f>-E6*Assumptions!$C$14/100</f>
        <v/>
      </c>
      <c r="F19">
        <f>-F6*Assumptions!$C$14/100</f>
        <v/>
      </c>
      <c r="G19">
        <f>-G6*Assumptions!$C$14/100</f>
        <v/>
      </c>
      <c r="H19">
        <f>-H6*Assumptions!$C$14/100</f>
        <v/>
      </c>
      <c r="I19">
        <f>-I6*Assumptions!$C$14/100</f>
        <v/>
      </c>
      <c r="J19">
        <f>-J6*Assumptions!$C$14/100</f>
        <v/>
      </c>
      <c r="K19">
        <f>-K6*Assumptions!$C$14/100</f>
        <v/>
      </c>
      <c r="L19">
        <f>-L6*Assumptions!$C$14/100</f>
        <v/>
      </c>
    </row>
    <row r="20">
      <c r="A20" t="inlineStr">
        <is>
          <t>Add working capital (link)</t>
        </is>
      </c>
      <c r="C20">
        <f>(C6-B6)*Assumptions!$D$14/100</f>
        <v/>
      </c>
      <c r="D20">
        <f>(D6-C6)*Assumptions!$D$14/100</f>
        <v/>
      </c>
      <c r="E20">
        <f>(E6-D6)*Assumptions!$D$14/100</f>
        <v/>
      </c>
      <c r="F20">
        <f>(F6-E6)*Assumptions!$D$14/100</f>
        <v/>
      </c>
      <c r="G20">
        <f>(G6-F6)*Assumptions!$D$14/100</f>
        <v/>
      </c>
      <c r="H20">
        <f>(H6-G6)*Assumptions!$D$14/100</f>
        <v/>
      </c>
      <c r="I20">
        <f>(I6-H6)*Assumptions!$D$14/100</f>
        <v/>
      </c>
      <c r="J20">
        <f>(J6-I6)*Assumptions!$D$14/100</f>
        <v/>
      </c>
      <c r="K20">
        <f>(K6-J6)*Assumptions!$D$14/100</f>
        <v/>
      </c>
      <c r="L20">
        <f>(L6-K6)*Assumptions!$D$14/100</f>
        <v/>
      </c>
    </row>
    <row r="21">
      <c r="A21" t="inlineStr">
        <is>
          <t>Unlevered owner FCF</t>
        </is>
      </c>
      <c r="B21" s="2" t="n">
        <v>10.335</v>
      </c>
      <c r="C21" s="3">
        <f>C17+C18+C19+C20</f>
        <v/>
      </c>
      <c r="D21" s="3">
        <f>D17+D18+D19+D20</f>
        <v/>
      </c>
      <c r="E21" s="3">
        <f>E17+E18+E19+E20</f>
        <v/>
      </c>
      <c r="F21" s="3">
        <f>F17+F18+F19+F20</f>
        <v/>
      </c>
      <c r="G21" s="3">
        <f>G17+G18+G19+G20</f>
        <v/>
      </c>
      <c r="H21" s="3">
        <f>H17+H18+H19+H20</f>
        <v/>
      </c>
      <c r="I21" s="3">
        <f>I17+I18+I19+I20</f>
        <v/>
      </c>
      <c r="J21" s="3">
        <f>J17+J18+J19+J20</f>
        <v/>
      </c>
      <c r="K21" s="3">
        <f>K17+K18+K19+K20</f>
        <v/>
      </c>
      <c r="L21" s="3">
        <f>L17+L18+L19+L20</f>
        <v/>
      </c>
    </row>
    <row r="22">
      <c r="A22" t="inlineStr">
        <is>
          <t>Discount factor</t>
        </is>
      </c>
      <c r="C22">
        <f>1/POWER(1+Assumptions!$B$4/100,C4)</f>
        <v/>
      </c>
      <c r="D22">
        <f>1/POWER(1+Assumptions!$B$4/100,D4)</f>
        <v/>
      </c>
      <c r="E22">
        <f>1/POWER(1+Assumptions!$B$4/100,E4)</f>
        <v/>
      </c>
      <c r="F22">
        <f>1/POWER(1+Assumptions!$B$4/100,F4)</f>
        <v/>
      </c>
      <c r="G22">
        <f>1/POWER(1+Assumptions!$B$4/100,G4)</f>
        <v/>
      </c>
      <c r="H22">
        <f>1/POWER(1+Assumptions!$B$4/100,H4)</f>
        <v/>
      </c>
      <c r="I22">
        <f>1/POWER(1+Assumptions!$B$4/100,I4)</f>
        <v/>
      </c>
      <c r="J22">
        <f>1/POWER(1+Assumptions!$B$4/100,J4)</f>
        <v/>
      </c>
      <c r="K22">
        <f>1/POWER(1+Assumptions!$B$4/100,K4)</f>
        <v/>
      </c>
      <c r="L22">
        <f>1/POWER(1+Assumptions!$B$4/100,L4)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(street-style)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owner FCF margin %</t>
        </is>
      </c>
      <c r="B26">
        <f>100*B21/B6</f>
        <v/>
      </c>
      <c r="C26">
        <f>100*C21/C6</f>
        <v/>
      </c>
      <c r="D26">
        <f>100*D21/D6</f>
        <v/>
      </c>
      <c r="E26">
        <f>100*E21/E6</f>
        <v/>
      </c>
      <c r="F26">
        <f>100*F21/F6</f>
        <v/>
      </c>
      <c r="G26">
        <f>100*G21/G6</f>
        <v/>
      </c>
      <c r="H26">
        <f>100*H21/H6</f>
        <v/>
      </c>
      <c r="I26">
        <f>100*I21/I6</f>
        <v/>
      </c>
      <c r="J26">
        <f>100*J21/J6</f>
        <v/>
      </c>
      <c r="K26">
        <f>100*K21/K6</f>
        <v/>
      </c>
      <c r="L26">
        <f>100*L21/L6</f>
        <v/>
      </c>
    </row>
    <row r="27">
      <c r="A27" t="inlineStr">
        <is>
          <t>Note: FY2026A owner FCF 10.335 uses reported acquisition-heavy capex 16.073; the forecast capex driver is the normalized rate.</t>
        </is>
      </c>
    </row>
    <row r="28">
      <c r="A28" t="inlineStr">
        <is>
          <t>Sum PV of FCF</t>
        </is>
      </c>
      <c r="B28" s="6">
        <f>SUM(C23:L23)</f>
        <v/>
      </c>
    </row>
    <row r="29">
      <c r="A29" t="inlineStr">
        <is>
          <t>Terminal growth % (link)</t>
        </is>
      </c>
      <c r="B29" s="5">
        <f>Assumptions!$E$14</f>
        <v/>
      </c>
    </row>
    <row r="30">
      <c r="A30" t="inlineStr">
        <is>
          <t>Terminal-year FCF x (1+g)</t>
        </is>
      </c>
      <c r="B30" s="6">
        <f>L21*(1+B29/100)</f>
        <v/>
      </c>
    </row>
    <row r="31">
      <c r="A31" t="inlineStr">
        <is>
          <t>Gordon TV</t>
        </is>
      </c>
      <c r="B31" s="6">
        <f>B30/((Assumptions!$B$4-B29)/100)</f>
        <v/>
      </c>
    </row>
    <row r="32">
      <c r="A32" t="inlineStr">
        <is>
          <t>Cap TV (cap x FCF10)</t>
        </is>
      </c>
      <c r="B32" s="5">
        <f>Assumptions!$F$14*L21</f>
        <v/>
      </c>
    </row>
    <row r="33">
      <c r="A33" t="inlineStr">
        <is>
          <t>TV used = MAX(0,MIN(Gordon,Cap))</t>
        </is>
      </c>
      <c r="B33" s="6">
        <f>MAX(0,MIN(B31,B32))</f>
        <v/>
      </c>
    </row>
    <row r="34">
      <c r="A34" t="inlineStr">
        <is>
          <t>Implied exit multiple (TV/FCF10)</t>
        </is>
      </c>
      <c r="B34" s="6">
        <f>B33/L21</f>
        <v/>
      </c>
    </row>
    <row r="35">
      <c r="A35" t="inlineStr">
        <is>
          <t>PV of TV</t>
        </is>
      </c>
      <c r="B35" s="6">
        <f>B33*L22</f>
        <v/>
      </c>
    </row>
    <row r="36">
      <c r="A36" t="inlineStr">
        <is>
          <t>Enterprise value</t>
        </is>
      </c>
      <c r="B36" s="6">
        <f>B28+B35</f>
        <v/>
      </c>
    </row>
    <row r="37">
      <c r="A37" t="inlineStr">
        <is>
          <t>Less net debt (bank - cash + NCI)</t>
        </is>
      </c>
      <c r="B37" s="5">
        <f>-Assumptions!$B$6</f>
        <v/>
      </c>
    </row>
    <row r="38">
      <c r="A38" t="inlineStr">
        <is>
          <t>Equity value</t>
        </is>
      </c>
      <c r="B38" s="6">
        <f>B36+B37</f>
        <v/>
      </c>
    </row>
    <row r="39">
      <c r="A39" t="inlineStr">
        <is>
          <t>Shares (m, link)</t>
        </is>
      </c>
      <c r="B39" s="5">
        <f>Assumptions!$B$7</f>
        <v/>
      </c>
    </row>
    <row r="40">
      <c r="A40" t="inlineStr">
        <is>
          <t>VALUE PER SHARE (NZD)</t>
        </is>
      </c>
      <c r="B40" s="7">
        <f>B38/B39</f>
        <v/>
      </c>
    </row>
    <row r="41">
      <c r="A41" t="inlineStr">
        <is>
          <t>Upside vs price</t>
        </is>
      </c>
      <c r="B41" s="6">
        <f>B40/Assumptions!$B$2-1</f>
        <v/>
      </c>
    </row>
    <row r="43">
      <c r="A43" t="inlineStr">
        <is>
          <t>Street memo: PV of explicit SBC</t>
        </is>
      </c>
      <c r="B43">
        <f>SUMPRODUCT(-C10:L10,C22:L22)</f>
        <v/>
      </c>
    </row>
    <row r="44">
      <c r="A44" t="inlineStr">
        <is>
          <t>Street memo: PV of terminal SBC</t>
        </is>
      </c>
      <c r="B44">
        <f>(-L10*(1+B29/100)/((Assumptions!$B$4-B29)/100))*L22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 Bull - unlevered owner FCF, lease treatment B (full lease cash cost in flows; lease liabilities excluded from net debt)</t>
        </is>
      </c>
    </row>
    <row r="3">
      <c r="A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 (driver)</t>
        </is>
      </c>
      <c r="C5" s="4" t="n">
        <v>10</v>
      </c>
      <c r="D5" s="4" t="n">
        <v>11</v>
      </c>
      <c r="E5" s="4" t="n">
        <v>8</v>
      </c>
      <c r="F5" s="4" t="n">
        <v>7</v>
      </c>
      <c r="G5" s="4" t="n">
        <v>6</v>
      </c>
      <c r="H5" s="4" t="n">
        <v>5.5</v>
      </c>
      <c r="I5" s="4" t="n">
        <v>5</v>
      </c>
      <c r="J5" s="4" t="n">
        <v>4.5</v>
      </c>
      <c r="K5" s="4" t="n">
        <v>4</v>
      </c>
      <c r="L5" s="4" t="n">
        <v>3.5</v>
      </c>
    </row>
    <row r="6">
      <c r="A6" t="inlineStr">
        <is>
          <t>Revenue NZ$m</t>
        </is>
      </c>
      <c r="B6" s="2" t="n">
        <v>205.515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 (driver)</t>
        </is>
      </c>
      <c r="C7" s="4" t="n">
        <v>19.5</v>
      </c>
      <c r="D7" s="4" t="n">
        <v>20.3</v>
      </c>
      <c r="E7" s="4" t="n">
        <v>21</v>
      </c>
      <c r="F7" s="4" t="n">
        <v>21.3</v>
      </c>
      <c r="G7" s="4" t="n">
        <v>21.6</v>
      </c>
      <c r="H7" s="4" t="n">
        <v>21.8</v>
      </c>
      <c r="I7" s="4" t="n">
        <v>21.9</v>
      </c>
      <c r="J7" s="4" t="n">
        <v>22</v>
      </c>
      <c r="K7" s="4" t="n">
        <v>22</v>
      </c>
      <c r="L7" s="4" t="n">
        <v>22</v>
      </c>
    </row>
    <row r="8">
      <c r="A8" t="inlineStr">
        <is>
          <t>Adjusted EBITDA (pre-lease, IFRS-16 basis)</t>
        </is>
      </c>
      <c r="B8" s="2" t="n">
        <v>39.125</v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 (driver)</t>
        </is>
      </c>
      <c r="C9" s="4" t="n">
        <v>0.2</v>
      </c>
      <c r="D9" s="4" t="n">
        <v>0.2</v>
      </c>
      <c r="E9" s="4" t="n">
        <v>0.2</v>
      </c>
      <c r="F9" s="4" t="n">
        <v>0.2</v>
      </c>
      <c r="G9" s="4" t="n">
        <v>0.2</v>
      </c>
      <c r="H9" s="4" t="n">
        <v>0.2</v>
      </c>
      <c r="I9" s="4" t="n">
        <v>0.2</v>
      </c>
      <c r="J9" s="4" t="n">
        <v>0.2</v>
      </c>
      <c r="K9" s="4" t="n">
        <v>0.2</v>
      </c>
      <c r="L9" s="4" t="n">
        <v>0.2</v>
      </c>
    </row>
    <row r="10">
      <c r="A10" t="inlineStr">
        <is>
          <t>SBC $ (negative)</t>
        </is>
      </c>
      <c r="B10" s="2" t="n">
        <v>-0.38</v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cost % of revenue (link)</t>
        </is>
      </c>
      <c r="C11" s="5">
        <f>Assumptions!$B$15</f>
        <v/>
      </c>
      <c r="D11" s="5">
        <f>Assumptions!$B$15</f>
        <v/>
      </c>
      <c r="E11" s="5">
        <f>Assumptions!$B$15</f>
        <v/>
      </c>
      <c r="F11" s="5">
        <f>Assumptions!$B$15</f>
        <v/>
      </c>
      <c r="G11" s="5">
        <f>Assumptions!$B$15</f>
        <v/>
      </c>
      <c r="H11" s="5">
        <f>Assumptions!$B$15</f>
        <v/>
      </c>
      <c r="I11" s="5">
        <f>Assumptions!$B$15</f>
        <v/>
      </c>
      <c r="J11" s="5">
        <f>Assumptions!$B$15</f>
        <v/>
      </c>
      <c r="K11" s="5">
        <f>Assumptions!$B$15</f>
        <v/>
      </c>
      <c r="L11" s="5">
        <f>Assumptions!$B$15</f>
        <v/>
      </c>
    </row>
    <row r="12">
      <c r="A12" t="inlineStr">
        <is>
          <t>Lease cash cost $ (principal + interest, negative)</t>
        </is>
      </c>
      <c r="B12" s="2" t="n">
        <v>-9.728</v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Owned-asset D&amp;A $ (negative, link)</t>
        </is>
      </c>
      <c r="B13" s="2" t="n">
        <v>-7.602</v>
      </c>
      <c r="C13">
        <f>-C6*Assumptions!$B$5/100</f>
        <v/>
      </c>
      <c r="D13">
        <f>-D6*Assumptions!$B$5/100</f>
        <v/>
      </c>
      <c r="E13">
        <f>-E6*Assumptions!$B$5/100</f>
        <v/>
      </c>
      <c r="F13">
        <f>-F6*Assumptions!$B$5/100</f>
        <v/>
      </c>
      <c r="G13">
        <f>-G6*Assumptions!$B$5/100</f>
        <v/>
      </c>
      <c r="H13">
        <f>-H6*Assumptions!$B$5/100</f>
        <v/>
      </c>
      <c r="I13">
        <f>-I6*Assumptions!$B$5/100</f>
        <v/>
      </c>
      <c r="J13">
        <f>-J6*Assumptions!$B$5/100</f>
        <v/>
      </c>
      <c r="K13">
        <f>-K6*Assumptions!$B$5/100</f>
        <v/>
      </c>
      <c r="L13">
        <f>-L6*Assumptions!$B$5/100</f>
        <v/>
      </c>
    </row>
    <row r="14">
      <c r="A14" t="inlineStr">
        <is>
          <t>EBIT (post-lease cash, post-SBC)</t>
        </is>
      </c>
      <c r="C14">
        <f>C8+C10+C12+C13</f>
        <v/>
      </c>
      <c r="D14">
        <f>D8+D10+D12+D13</f>
        <v/>
      </c>
      <c r="E14">
        <f>E8+E10+E12+E13</f>
        <v/>
      </c>
      <c r="F14">
        <f>F8+F10+F12+F13</f>
        <v/>
      </c>
      <c r="G14">
        <f>G8+G10+G12+G13</f>
        <v/>
      </c>
      <c r="H14">
        <f>H8+H10+H12+H13</f>
        <v/>
      </c>
      <c r="I14">
        <f>I8+I10+I12+I13</f>
        <v/>
      </c>
      <c r="J14">
        <f>J8+J10+J12+J13</f>
        <v/>
      </c>
      <c r="K14">
        <f>K8+K10+K12+K13</f>
        <v/>
      </c>
      <c r="L14">
        <f>L8+L10+L12+L13</f>
        <v/>
      </c>
    </row>
    <row r="15">
      <c r="A15" t="inlineStr">
        <is>
          <t>Cash tax rate % (driver)</t>
        </is>
      </c>
      <c r="C15" s="4" t="n">
        <v>18</v>
      </c>
      <c r="D15" s="4" t="n">
        <v>20</v>
      </c>
      <c r="E15" s="4" t="n">
        <v>22</v>
      </c>
      <c r="F15" s="4" t="n">
        <v>25</v>
      </c>
      <c r="G15" s="4" t="n">
        <v>28</v>
      </c>
      <c r="H15" s="4" t="n">
        <v>28</v>
      </c>
      <c r="I15" s="4" t="n">
        <v>28</v>
      </c>
      <c r="J15" s="4" t="n">
        <v>28</v>
      </c>
      <c r="K15" s="4" t="n">
        <v>28</v>
      </c>
      <c r="L15" s="4" t="n">
        <v>28</v>
      </c>
    </row>
    <row r="16">
      <c r="A16" t="inlineStr">
        <is>
          <t>Cash tax $ (negative)</t>
        </is>
      </c>
      <c r="C16">
        <f>-MAX(0,C14)*C15/100</f>
        <v/>
      </c>
      <c r="D16">
        <f>-MAX(0,D14)*D15/100</f>
        <v/>
      </c>
      <c r="E16">
        <f>-MAX(0,E14)*E15/100</f>
        <v/>
      </c>
      <c r="F16">
        <f>-MAX(0,F14)*F15/100</f>
        <v/>
      </c>
      <c r="G16">
        <f>-MAX(0,G14)*G15/100</f>
        <v/>
      </c>
      <c r="H16">
        <f>-MAX(0,H14)*H15/100</f>
        <v/>
      </c>
      <c r="I16">
        <f>-MAX(0,I14)*I15/100</f>
        <v/>
      </c>
      <c r="J16">
        <f>-MAX(0,J14)*J15/100</f>
        <v/>
      </c>
      <c r="K16">
        <f>-MAX(0,K14)*K15/100</f>
        <v/>
      </c>
      <c r="L16">
        <f>-MAX(0,L14)*L15/100</f>
        <v/>
      </c>
    </row>
    <row r="17">
      <c r="A17" t="inlineStr">
        <is>
          <t>NOPAT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Add back D&amp;A</t>
        </is>
      </c>
      <c r="C18">
        <f>-C13</f>
        <v/>
      </c>
      <c r="D18">
        <f>-D13</f>
        <v/>
      </c>
      <c r="E18">
        <f>-E13</f>
        <v/>
      </c>
      <c r="F18">
        <f>-F13</f>
        <v/>
      </c>
      <c r="G18">
        <f>-G13</f>
        <v/>
      </c>
      <c r="H18">
        <f>-H13</f>
        <v/>
      </c>
      <c r="I18">
        <f>-I13</f>
        <v/>
      </c>
      <c r="J18">
        <f>-J13</f>
        <v/>
      </c>
      <c r="K18">
        <f>-K13</f>
        <v/>
      </c>
      <c r="L18">
        <f>-L13</f>
        <v/>
      </c>
    </row>
    <row r="19">
      <c r="A19" t="inlineStr">
        <is>
          <t>Less capex (link)</t>
        </is>
      </c>
      <c r="C19">
        <f>-C6*Assumptions!$C$15/100</f>
        <v/>
      </c>
      <c r="D19">
        <f>-D6*Assumptions!$C$15/100</f>
        <v/>
      </c>
      <c r="E19">
        <f>-E6*Assumptions!$C$15/100</f>
        <v/>
      </c>
      <c r="F19">
        <f>-F6*Assumptions!$C$15/100</f>
        <v/>
      </c>
      <c r="G19">
        <f>-G6*Assumptions!$C$15/100</f>
        <v/>
      </c>
      <c r="H19">
        <f>-H6*Assumptions!$C$15/100</f>
        <v/>
      </c>
      <c r="I19">
        <f>-I6*Assumptions!$C$15/100</f>
        <v/>
      </c>
      <c r="J19">
        <f>-J6*Assumptions!$C$15/100</f>
        <v/>
      </c>
      <c r="K19">
        <f>-K6*Assumptions!$C$15/100</f>
        <v/>
      </c>
      <c r="L19">
        <f>-L6*Assumptions!$C$15/100</f>
        <v/>
      </c>
    </row>
    <row r="20">
      <c r="A20" t="inlineStr">
        <is>
          <t>Add working capital (link)</t>
        </is>
      </c>
      <c r="C20">
        <f>(C6-B6)*Assumptions!$D$15/100</f>
        <v/>
      </c>
      <c r="D20">
        <f>(D6-C6)*Assumptions!$D$15/100</f>
        <v/>
      </c>
      <c r="E20">
        <f>(E6-D6)*Assumptions!$D$15/100</f>
        <v/>
      </c>
      <c r="F20">
        <f>(F6-E6)*Assumptions!$D$15/100</f>
        <v/>
      </c>
      <c r="G20">
        <f>(G6-F6)*Assumptions!$D$15/100</f>
        <v/>
      </c>
      <c r="H20">
        <f>(H6-G6)*Assumptions!$D$15/100</f>
        <v/>
      </c>
      <c r="I20">
        <f>(I6-H6)*Assumptions!$D$15/100</f>
        <v/>
      </c>
      <c r="J20">
        <f>(J6-I6)*Assumptions!$D$15/100</f>
        <v/>
      </c>
      <c r="K20">
        <f>(K6-J6)*Assumptions!$D$15/100</f>
        <v/>
      </c>
      <c r="L20">
        <f>(L6-K6)*Assumptions!$D$15/100</f>
        <v/>
      </c>
    </row>
    <row r="21">
      <c r="A21" t="inlineStr">
        <is>
          <t>Unlevered owner FCF</t>
        </is>
      </c>
      <c r="B21" s="2" t="n">
        <v>10.335</v>
      </c>
      <c r="C21" s="3">
        <f>C17+C18+C19+C20</f>
        <v/>
      </c>
      <c r="D21" s="3">
        <f>D17+D18+D19+D20</f>
        <v/>
      </c>
      <c r="E21" s="3">
        <f>E17+E18+E19+E20</f>
        <v/>
      </c>
      <c r="F21" s="3">
        <f>F17+F18+F19+F20</f>
        <v/>
      </c>
      <c r="G21" s="3">
        <f>G17+G18+G19+G20</f>
        <v/>
      </c>
      <c r="H21" s="3">
        <f>H17+H18+H19+H20</f>
        <v/>
      </c>
      <c r="I21" s="3">
        <f>I17+I18+I19+I20</f>
        <v/>
      </c>
      <c r="J21" s="3">
        <f>J17+J18+J19+J20</f>
        <v/>
      </c>
      <c r="K21" s="3">
        <f>K17+K18+K19+K20</f>
        <v/>
      </c>
      <c r="L21" s="3">
        <f>L17+L18+L19+L20</f>
        <v/>
      </c>
    </row>
    <row r="22">
      <c r="A22" t="inlineStr">
        <is>
          <t>Discount factor</t>
        </is>
      </c>
      <c r="C22">
        <f>1/POWER(1+Assumptions!$B$4/100,C4)</f>
        <v/>
      </c>
      <c r="D22">
        <f>1/POWER(1+Assumptions!$B$4/100,D4)</f>
        <v/>
      </c>
      <c r="E22">
        <f>1/POWER(1+Assumptions!$B$4/100,E4)</f>
        <v/>
      </c>
      <c r="F22">
        <f>1/POWER(1+Assumptions!$B$4/100,F4)</f>
        <v/>
      </c>
      <c r="G22">
        <f>1/POWER(1+Assumptions!$B$4/100,G4)</f>
        <v/>
      </c>
      <c r="H22">
        <f>1/POWER(1+Assumptions!$B$4/100,H4)</f>
        <v/>
      </c>
      <c r="I22">
        <f>1/POWER(1+Assumptions!$B$4/100,I4)</f>
        <v/>
      </c>
      <c r="J22">
        <f>1/POWER(1+Assumptions!$B$4/100,J4)</f>
        <v/>
      </c>
      <c r="K22">
        <f>1/POWER(1+Assumptions!$B$4/100,K4)</f>
        <v/>
      </c>
      <c r="L22">
        <f>1/POWER(1+Assumptions!$B$4/100,L4)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(street-style)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owner FCF margin %</t>
        </is>
      </c>
      <c r="B26">
        <f>100*B21/B6</f>
        <v/>
      </c>
      <c r="C26">
        <f>100*C21/C6</f>
        <v/>
      </c>
      <c r="D26">
        <f>100*D21/D6</f>
        <v/>
      </c>
      <c r="E26">
        <f>100*E21/E6</f>
        <v/>
      </c>
      <c r="F26">
        <f>100*F21/F6</f>
        <v/>
      </c>
      <c r="G26">
        <f>100*G21/G6</f>
        <v/>
      </c>
      <c r="H26">
        <f>100*H21/H6</f>
        <v/>
      </c>
      <c r="I26">
        <f>100*I21/I6</f>
        <v/>
      </c>
      <c r="J26">
        <f>100*J21/J6</f>
        <v/>
      </c>
      <c r="K26">
        <f>100*K21/K6</f>
        <v/>
      </c>
      <c r="L26">
        <f>100*L21/L6</f>
        <v/>
      </c>
    </row>
    <row r="27">
      <c r="A27" t="inlineStr">
        <is>
          <t>Note: FY2026A owner FCF 10.335 uses reported acquisition-heavy capex 16.073; the forecast capex driver is the normalized rate.</t>
        </is>
      </c>
    </row>
    <row r="28">
      <c r="A28" t="inlineStr">
        <is>
          <t>Sum PV of FCF</t>
        </is>
      </c>
      <c r="B28" s="6">
        <f>SUM(C23:L23)</f>
        <v/>
      </c>
    </row>
    <row r="29">
      <c r="A29" t="inlineStr">
        <is>
          <t>Terminal growth % (link)</t>
        </is>
      </c>
      <c r="B29" s="5">
        <f>Assumptions!$E$15</f>
        <v/>
      </c>
    </row>
    <row r="30">
      <c r="A30" t="inlineStr">
        <is>
          <t>Terminal-year FCF x (1+g)</t>
        </is>
      </c>
      <c r="B30" s="6">
        <f>L21*(1+B29/100)</f>
        <v/>
      </c>
    </row>
    <row r="31">
      <c r="A31" t="inlineStr">
        <is>
          <t>Gordon TV</t>
        </is>
      </c>
      <c r="B31" s="6">
        <f>B30/((Assumptions!$B$4-B29)/100)</f>
        <v/>
      </c>
    </row>
    <row r="32">
      <c r="A32" t="inlineStr">
        <is>
          <t>Cap TV (cap x FCF10)</t>
        </is>
      </c>
      <c r="B32" s="5">
        <f>Assumptions!$F$15*L21</f>
        <v/>
      </c>
    </row>
    <row r="33">
      <c r="A33" t="inlineStr">
        <is>
          <t>TV used = MAX(0,MIN(Gordon,Cap))</t>
        </is>
      </c>
      <c r="B33" s="6">
        <f>MAX(0,MIN(B31,B32))</f>
        <v/>
      </c>
    </row>
    <row r="34">
      <c r="A34" t="inlineStr">
        <is>
          <t>Implied exit multiple (TV/FCF10)</t>
        </is>
      </c>
      <c r="B34" s="6">
        <f>B33/L21</f>
        <v/>
      </c>
    </row>
    <row r="35">
      <c r="A35" t="inlineStr">
        <is>
          <t>PV of TV</t>
        </is>
      </c>
      <c r="B35" s="6">
        <f>B33*L22</f>
        <v/>
      </c>
    </row>
    <row r="36">
      <c r="A36" t="inlineStr">
        <is>
          <t>Enterprise value</t>
        </is>
      </c>
      <c r="B36" s="6">
        <f>B28+B35</f>
        <v/>
      </c>
    </row>
    <row r="37">
      <c r="A37" t="inlineStr">
        <is>
          <t>Less net debt (bank - cash + NCI)</t>
        </is>
      </c>
      <c r="B37" s="5">
        <f>-Assumptions!$B$6</f>
        <v/>
      </c>
    </row>
    <row r="38">
      <c r="A38" t="inlineStr">
        <is>
          <t>Equity value</t>
        </is>
      </c>
      <c r="B38" s="6">
        <f>B36+B37</f>
        <v/>
      </c>
    </row>
    <row r="39">
      <c r="A39" t="inlineStr">
        <is>
          <t>Shares (m, link)</t>
        </is>
      </c>
      <c r="B39" s="5">
        <f>Assumptions!$B$7</f>
        <v/>
      </c>
    </row>
    <row r="40">
      <c r="A40" t="inlineStr">
        <is>
          <t>VALUE PER SHARE (NZD)</t>
        </is>
      </c>
      <c r="B40" s="7">
        <f>B38/B39</f>
        <v/>
      </c>
    </row>
    <row r="41">
      <c r="A41" t="inlineStr">
        <is>
          <t>Upside vs price</t>
        </is>
      </c>
      <c r="B41" s="6">
        <f>B40/Assumptions!$B$2-1</f>
        <v/>
      </c>
    </row>
    <row r="43">
      <c r="A43" t="inlineStr">
        <is>
          <t>Street memo: PV of explicit SBC</t>
        </is>
      </c>
      <c r="B43">
        <f>SUMPRODUCT(-C10:L10,C22:L22)</f>
        <v/>
      </c>
    </row>
    <row r="44">
      <c r="A44" t="inlineStr">
        <is>
          <t>Street memo: PV of terminal SBC</t>
        </is>
      </c>
      <c r="B44">
        <f>(-L10*(1+B29/100)/((Assumptions!$B$4-B29)/100))*L22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80" customWidth="1" min="8" max="8"/>
  </cols>
  <sheetData>
    <row r="1">
      <c r="A1" s="1" t="inlineStr">
        <is>
          <t>Reported history, NZ$ millions (hardcoded from RAD.NZ_Metrics.csv / kpis / annual reports). FY ends 31 March.</t>
        </is>
      </c>
    </row>
    <row r="2">
      <c r="A2" s="3" t="inlineStr">
        <is>
          <t>Metric</t>
        </is>
      </c>
      <c r="B2" s="3" t="inlineStr">
        <is>
          <t>FY2021</t>
        </is>
      </c>
      <c r="C2" s="3" t="inlineStr">
        <is>
          <t>FY2022</t>
        </is>
      </c>
      <c r="D2" s="3" t="inlineStr">
        <is>
          <t>FY2023</t>
        </is>
      </c>
      <c r="E2" s="3" t="inlineStr">
        <is>
          <t>FY2024</t>
        </is>
      </c>
      <c r="F2" s="3" t="inlineStr">
        <is>
          <t>FY2025</t>
        </is>
      </c>
      <c r="G2" s="3" t="inlineStr">
        <is>
          <t>FY2026</t>
        </is>
      </c>
      <c r="H2" s="3" t="inlineStr">
        <is>
          <t>Source note</t>
        </is>
      </c>
    </row>
    <row r="3">
      <c r="A3" t="inlineStr">
        <is>
          <t>Revenue</t>
        </is>
      </c>
      <c r="B3" s="2" t="n">
        <v>126.042</v>
      </c>
      <c r="C3" s="2" t="n">
        <v>135.933</v>
      </c>
      <c r="D3" s="2" t="n">
        <v>149.997</v>
      </c>
      <c r="E3" s="2" t="n">
        <v>174.073</v>
      </c>
      <c r="F3" s="2" t="n">
        <v>180.651</v>
      </c>
      <c r="G3" s="2" t="n">
        <v>205.515</v>
      </c>
      <c r="H3" t="inlineStr">
        <is>
          <t>Metrics.csv</t>
        </is>
      </c>
    </row>
    <row r="4">
      <c r="A4" t="inlineStr">
        <is>
          <t>EBITDA (IFRS-16, pre-lease)</t>
        </is>
      </c>
      <c r="B4" s="2" t="n">
        <v>23.287</v>
      </c>
      <c r="C4" s="2" t="n">
        <v>23.366</v>
      </c>
      <c r="D4" s="2" t="n">
        <v>19.474</v>
      </c>
      <c r="E4" s="2" t="n">
        <v>29.178</v>
      </c>
      <c r="F4" s="2" t="n">
        <v>33.025</v>
      </c>
      <c r="G4" s="2" t="n">
        <v>39.125</v>
      </c>
      <c r="H4" t="inlineStr">
        <is>
          <t>Metrics.csv</t>
        </is>
      </c>
    </row>
    <row r="5">
      <c r="A5" t="inlineStr">
        <is>
          <t>Net income</t>
        </is>
      </c>
      <c r="B5" s="2" t="n">
        <v>1.705</v>
      </c>
      <c r="C5" s="2" t="n">
        <v>2.673</v>
      </c>
      <c r="D5" s="2" t="n">
        <v>-2.106</v>
      </c>
      <c r="E5" s="2" t="n">
        <v>-8.488</v>
      </c>
      <c r="F5" s="2" t="n">
        <v>7.399</v>
      </c>
      <c r="G5" s="2" t="n">
        <v>10.053</v>
      </c>
      <c r="H5" t="inlineStr">
        <is>
          <t>FY2023/FY2024 carry impairments</t>
        </is>
      </c>
    </row>
    <row r="6">
      <c r="A6" t="inlineStr">
        <is>
          <t>Operating cash flow</t>
        </is>
      </c>
      <c r="B6" s="2" t="n">
        <v>13.907</v>
      </c>
      <c r="C6" s="2" t="n">
        <v>9.877000000000001</v>
      </c>
      <c r="D6" s="2" t="n">
        <v>4.037</v>
      </c>
      <c r="E6" s="2" t="n">
        <v>14.1</v>
      </c>
      <c r="F6" s="2" t="n">
        <v>20.053</v>
      </c>
      <c r="G6" s="2" t="n">
        <v>25.121</v>
      </c>
      <c r="H6" t="inlineStr">
        <is>
          <t>Post bank AND lease interest (both presented in operating)</t>
        </is>
      </c>
    </row>
    <row r="7">
      <c r="A7" t="inlineStr">
        <is>
          <t>Capex</t>
        </is>
      </c>
      <c r="B7" s="2" t="n">
        <v>4.542</v>
      </c>
      <c r="C7" s="2" t="n">
        <v>38.842</v>
      </c>
      <c r="D7" s="2" t="n">
        <v>58.734</v>
      </c>
      <c r="E7" s="2" t="n">
        <v>4.133</v>
      </c>
      <c r="F7" s="2" t="n">
        <v>6.351</v>
      </c>
      <c r="G7" s="2" t="n">
        <v>16.073</v>
      </c>
      <c r="H7" t="inlineStr">
        <is>
          <t>FY2022/23 property acquisitions; FY2026 St Allisa (13.65 recycled via sale-and-leaseback)</t>
        </is>
      </c>
    </row>
    <row r="8">
      <c r="A8" t="inlineStr">
        <is>
          <t>Bank interest paid</t>
        </is>
      </c>
      <c r="B8" s="2" t="n">
        <v>0.883</v>
      </c>
      <c r="C8" s="2" t="n">
        <v>1.436</v>
      </c>
      <c r="D8" s="2" t="n">
        <v>6.506</v>
      </c>
      <c r="E8" s="2" t="n">
        <v>9.388</v>
      </c>
      <c r="F8" s="2" t="n">
        <v>6.065</v>
      </c>
      <c r="G8" s="2" t="n">
        <v>4.558</v>
      </c>
      <c r="H8" t="inlineStr">
        <is>
          <t>Statements of cash flows</t>
        </is>
      </c>
    </row>
    <row r="9">
      <c r="A9" t="inlineStr">
        <is>
          <t>Lease interest paid</t>
        </is>
      </c>
      <c r="B9" s="2" t="n">
        <v>8.823</v>
      </c>
      <c r="C9" s="2" t="n">
        <v>7.655</v>
      </c>
      <c r="D9" s="2" t="n">
        <v>5.934</v>
      </c>
      <c r="E9" s="2" t="n">
        <v>5.962</v>
      </c>
      <c r="F9" s="2" t="n">
        <v>5.934</v>
      </c>
      <c r="G9" s="2" t="n">
        <v>6.898</v>
      </c>
      <c r="H9" t="inlineStr">
        <is>
          <t>Inside operating cash flow</t>
        </is>
      </c>
    </row>
    <row r="10">
      <c r="A10" t="inlineStr">
        <is>
          <t>Lease principal paid</t>
        </is>
      </c>
      <c r="B10" s="2" t="n">
        <v>4.028</v>
      </c>
      <c r="C10" s="2" t="n">
        <v>3.868</v>
      </c>
      <c r="D10" s="2" t="n">
        <v>2.554</v>
      </c>
      <c r="E10" s="2" t="n">
        <v>2.709</v>
      </c>
      <c r="F10" s="2" t="n">
        <v>2.932</v>
      </c>
      <c r="G10" s="2" t="n">
        <v>2.83</v>
      </c>
      <c r="H10" t="inlineStr">
        <is>
          <t>Financing activities</t>
        </is>
      </c>
    </row>
    <row r="11">
      <c r="A11" t="inlineStr">
        <is>
          <t>SBC</t>
        </is>
      </c>
      <c r="B11" s="2" t="n">
        <v>1.196</v>
      </c>
      <c r="C11" s="2" t="n">
        <v>0</v>
      </c>
      <c r="D11" s="2" t="n">
        <v>0.08799999999999999</v>
      </c>
      <c r="E11" s="2" t="n">
        <v>0.055</v>
      </c>
      <c r="F11" s="2" t="n">
        <v>0.06</v>
      </c>
      <c r="G11" s="2" t="n">
        <v>0.38</v>
      </c>
      <c r="H11" t="inlineStr">
        <is>
          <t>FY2026 LTIP 380k</t>
        </is>
      </c>
    </row>
    <row r="12">
      <c r="A12" t="inlineStr">
        <is>
          <t>Cash tax paid</t>
        </is>
      </c>
      <c r="B12" s="2" t="n">
        <v>1.744</v>
      </c>
      <c r="C12" s="2" t="n">
        <v>2.154</v>
      </c>
      <c r="D12" s="2" t="n">
        <v>1.729</v>
      </c>
      <c r="E12" s="2" t="n">
        <v>-1.303</v>
      </c>
      <c r="F12" s="2" t="n">
        <v>1.141</v>
      </c>
      <c r="G12" s="2" t="n">
        <v>3.496</v>
      </c>
      <c r="H12" t="inlineStr">
        <is>
          <t>FY2024 was a net refund</t>
        </is>
      </c>
    </row>
    <row r="13">
      <c r="A13" t="inlineStr">
        <is>
          <t>Bank borrowings</t>
        </is>
      </c>
      <c r="B13" s="2" t="n">
        <v>27.212</v>
      </c>
      <c r="C13" s="2" t="n">
        <v>30</v>
      </c>
      <c r="D13" s="2" t="n">
        <v>97.687</v>
      </c>
      <c r="E13" s="2" t="n">
        <v>75.869</v>
      </c>
      <c r="F13" s="2" t="n">
        <v>70.301</v>
      </c>
      <c r="G13" s="2" t="n">
        <v>71.56399999999999</v>
      </c>
      <c r="H13" t="inlineStr">
        <is>
          <t>kpis</t>
        </is>
      </c>
    </row>
    <row r="14">
      <c r="A14" t="inlineStr">
        <is>
          <t>Lease liabilities</t>
        </is>
      </c>
      <c r="B14" s="2" t="n">
        <v>184.305</v>
      </c>
      <c r="C14" s="2" t="n">
        <v>142.543</v>
      </c>
      <c r="D14" s="2" t="n">
        <v>121.53</v>
      </c>
      <c r="E14" s="2" t="n">
        <v>121.086</v>
      </c>
      <c r="F14" s="2" t="n">
        <v>122.697</v>
      </c>
      <c r="G14" s="2" t="n">
        <v>141.512</v>
      </c>
      <c r="H14" t="inlineStr">
        <is>
          <t>kpis; EXCLUDED from net debt (treatment B)</t>
        </is>
      </c>
    </row>
    <row r="15">
      <c r="A15" t="inlineStr">
        <is>
          <t>Cash</t>
        </is>
      </c>
      <c r="B15" s="2" t="n">
        <v>2.761</v>
      </c>
      <c r="C15" s="2" t="n">
        <v>2.088</v>
      </c>
      <c r="D15" s="2" t="n">
        <v>0.515</v>
      </c>
      <c r="E15" s="2" t="n">
        <v>2.35</v>
      </c>
      <c r="F15" s="2" t="n">
        <v>2.571</v>
      </c>
      <c r="G15" s="2" t="n">
        <v>2.823</v>
      </c>
      <c r="H15" t="inlineStr">
        <is>
          <t>Metrics.csv</t>
        </is>
      </c>
    </row>
    <row r="16">
      <c r="A16" t="inlineStr">
        <is>
          <t>Shareholders equity</t>
        </is>
      </c>
      <c r="B16" s="2" t="n">
        <v>24.093</v>
      </c>
      <c r="C16" s="2" t="n">
        <v>70.08799999999999</v>
      </c>
      <c r="D16" s="2" t="n">
        <v>72.864</v>
      </c>
      <c r="E16" s="2" t="n">
        <v>64.432</v>
      </c>
      <c r="F16" s="2" t="n">
        <v>66.474</v>
      </c>
      <c r="G16" s="2" t="n">
        <v>76.31699999999999</v>
      </c>
      <c r="H16" t="inlineStr">
        <is>
          <t>FY2022 capital raise 24-&gt;70</t>
        </is>
      </c>
    </row>
    <row r="17">
      <c r="A17" t="inlineStr">
        <is>
          <t>Shares outstanding (m)</t>
        </is>
      </c>
      <c r="B17" s="2" t="n">
        <v>175</v>
      </c>
      <c r="C17" s="2" t="n">
        <v>237.594</v>
      </c>
      <c r="D17" s="2" t="n">
        <v>277.045</v>
      </c>
      <c r="E17" s="2" t="n">
        <v>284.871</v>
      </c>
      <c r="F17" s="2" t="n">
        <v>284.874</v>
      </c>
      <c r="G17" s="2" t="n">
        <v>283.862</v>
      </c>
      <c r="H17" t="inlineStr">
        <is>
          <t>14:1 split 8-Dec-2020; FY2019/20 raw counts pre-split</t>
        </is>
      </c>
    </row>
    <row r="18">
      <c r="A18" t="inlineStr">
        <is>
          <t>Dividends paid</t>
        </is>
      </c>
      <c r="B18" s="2" t="n">
        <v>0.732</v>
      </c>
      <c r="C18" s="2" t="n">
        <v>2.478</v>
      </c>
      <c r="D18" s="2" t="n">
        <v>2.892</v>
      </c>
      <c r="E18" s="2" t="n">
        <v>0</v>
      </c>
      <c r="F18" s="2" t="n">
        <v>3.846</v>
      </c>
      <c r="G18" s="2" t="n">
        <v>5.723</v>
      </c>
      <c r="H18" t="inlineStr">
        <is>
          <t>FY2026 dividend +50%</t>
        </is>
      </c>
    </row>
    <row r="20">
      <c r="A20" t="inlineStr">
        <is>
          <t>Balance-sheet snapshot 31-Mar-2026: bank 71.564, cash 2.823, leases 141.512, NCI 0.596, equity 76.317. FY2019/FY2020 rows omitted: OCR-corrupted scans, IFRS-16 adoption break, pre-split counts.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Reported FCF reconciled to unlevered owner FCF (NZ$m). Owner FCF = OCF - capex + bank interest paid - lease principal - SBC - interest income. Lease interest stays deducted (already inside OCF).</t>
        </is>
      </c>
    </row>
    <row r="2">
      <c r="B2" s="3" t="inlineStr">
        <is>
          <t>FY2021</t>
        </is>
      </c>
      <c r="C2" s="3" t="inlineStr">
        <is>
          <t>FY2022</t>
        </is>
      </c>
      <c r="D2" s="3" t="inlineStr">
        <is>
          <t>FY2023</t>
        </is>
      </c>
      <c r="E2" s="3" t="inlineStr">
        <is>
          <t>FY2024</t>
        </is>
      </c>
      <c r="F2" s="3" t="inlineStr">
        <is>
          <t>FY2025</t>
        </is>
      </c>
      <c r="G2" s="3" t="inlineStr">
        <is>
          <t>FY2026</t>
        </is>
      </c>
    </row>
    <row r="3">
      <c r="A3" s="6" t="inlineStr">
        <is>
          <t>Operating cash flow</t>
        </is>
      </c>
      <c r="B3" s="2" t="n">
        <v>13.907</v>
      </c>
      <c r="C3" s="2" t="n">
        <v>9.877000000000001</v>
      </c>
      <c r="D3" s="2" t="n">
        <v>4.037</v>
      </c>
      <c r="E3" s="2" t="n">
        <v>14.1</v>
      </c>
      <c r="F3" s="2" t="n">
        <v>20.053</v>
      </c>
      <c r="G3" s="2" t="n">
        <v>25.121</v>
      </c>
    </row>
    <row r="4">
      <c r="A4" s="6" t="inlineStr">
        <is>
          <t>Less capex (reported)</t>
        </is>
      </c>
      <c r="B4" s="2" t="n">
        <v>-4.542</v>
      </c>
      <c r="C4" s="2" t="n">
        <v>-38.842</v>
      </c>
      <c r="D4" s="2" t="n">
        <v>-58.734</v>
      </c>
      <c r="E4" s="2" t="n">
        <v>-4.133</v>
      </c>
      <c r="F4" s="2" t="n">
        <v>-6.351</v>
      </c>
      <c r="G4" s="2" t="n">
        <v>-16.073</v>
      </c>
    </row>
    <row r="5">
      <c r="A5" s="3" t="inlineStr">
        <is>
          <t>Reported FCF (company-style)</t>
        </is>
      </c>
      <c r="B5">
        <f>B3+B4</f>
        <v/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6" t="inlineStr">
        <is>
          <t>Add back bank interest paid (unlevered; bank debt in bridge)</t>
        </is>
      </c>
      <c r="B6" s="2" t="n">
        <v>0.883</v>
      </c>
      <c r="C6" s="2" t="n">
        <v>1.436</v>
      </c>
      <c r="D6" s="2" t="n">
        <v>6.506</v>
      </c>
      <c r="E6" s="2" t="n">
        <v>9.388</v>
      </c>
      <c r="F6" s="2" t="n">
        <v>6.065</v>
      </c>
      <c r="G6" s="2" t="n">
        <v>4.558</v>
      </c>
    </row>
    <row r="7">
      <c r="A7" s="6" t="inlineStr">
        <is>
          <t>Less lease principal (moved from financing into flows)</t>
        </is>
      </c>
      <c r="B7" s="2" t="n">
        <v>-4.028</v>
      </c>
      <c r="C7" s="2" t="n">
        <v>-3.868</v>
      </c>
      <c r="D7" s="2" t="n">
        <v>-2.554</v>
      </c>
      <c r="E7" s="2" t="n">
        <v>-2.709</v>
      </c>
      <c r="F7" s="2" t="n">
        <v>-2.932</v>
      </c>
      <c r="G7" s="2" t="n">
        <v>-2.83</v>
      </c>
    </row>
    <row r="8">
      <c r="A8" s="6" t="inlineStr">
        <is>
          <t>Less SBC</t>
        </is>
      </c>
      <c r="B8" s="2" t="n">
        <v>-1.196</v>
      </c>
      <c r="C8" s="2" t="n">
        <v>0</v>
      </c>
      <c r="D8" s="2" t="n">
        <v>-0.08799999999999999</v>
      </c>
      <c r="E8" s="2" t="n">
        <v>-0.055</v>
      </c>
      <c r="F8" s="2" t="n">
        <v>-0.06</v>
      </c>
      <c r="G8" s="2" t="n">
        <v>-0.38</v>
      </c>
    </row>
    <row r="9">
      <c r="A9" s="6" t="inlineStr">
        <is>
          <t>Less interest income</t>
        </is>
      </c>
      <c r="B9" s="2" t="n">
        <v>-0.07099999999999999</v>
      </c>
      <c r="C9" s="2" t="n">
        <v>-0.062</v>
      </c>
      <c r="D9" s="2" t="n">
        <v>-0.067</v>
      </c>
      <c r="E9" s="2" t="n">
        <v>-0.136</v>
      </c>
      <c r="F9" s="2" t="n">
        <v>-0.148</v>
      </c>
      <c r="G9" s="2" t="n">
        <v>-0.061</v>
      </c>
    </row>
    <row r="10">
      <c r="A10" s="3" t="inlineStr">
        <is>
          <t>OWNER FCF</t>
        </is>
      </c>
      <c r="B10" s="3">
        <f>B5+B6+B7+B8+B9</f>
        <v/>
      </c>
      <c r="C10" s="3">
        <f>C5+C6+C7+C8+C9</f>
        <v/>
      </c>
      <c r="D10" s="3">
        <f>D5+D6+D7+D8+D9</f>
        <v/>
      </c>
      <c r="E10" s="3">
        <f>E5+E6+E7+E8+E9</f>
        <v/>
      </c>
      <c r="F10" s="3">
        <f>F5+F6+F7+F8+F9</f>
        <v/>
      </c>
      <c r="G10" s="3">
        <f>G5+G6+G7+G8+G9</f>
        <v/>
      </c>
    </row>
    <row r="11">
      <c r="A11" s="6" t="inlineStr">
        <is>
          <t>Revenue</t>
        </is>
      </c>
      <c r="B11" s="2" t="n">
        <v>126.042</v>
      </c>
      <c r="C11" s="2" t="n">
        <v>135.933</v>
      </c>
      <c r="D11" s="2" t="n">
        <v>149.997</v>
      </c>
      <c r="E11" s="2" t="n">
        <v>174.073</v>
      </c>
      <c r="F11" s="2" t="n">
        <v>180.651</v>
      </c>
      <c r="G11" s="2" t="n">
        <v>205.515</v>
      </c>
    </row>
    <row r="12">
      <c r="A12" s="3" t="inlineStr">
        <is>
          <t>Reported FCF margin %</t>
        </is>
      </c>
      <c r="B12">
        <f>100*B5/B11</f>
        <v/>
      </c>
      <c r="C12">
        <f>100*C5/C11</f>
        <v/>
      </c>
      <c r="D12">
        <f>100*D5/D11</f>
        <v/>
      </c>
      <c r="E12">
        <f>100*E5/E11</f>
        <v/>
      </c>
      <c r="F12">
        <f>100*F5/F11</f>
        <v/>
      </c>
      <c r="G12">
        <f>100*G5/G11</f>
        <v/>
      </c>
    </row>
    <row r="13">
      <c r="A13" s="3" t="inlineStr">
        <is>
          <t>Owner FCF margin %</t>
        </is>
      </c>
      <c r="B13">
        <f>100*B10/B11</f>
        <v/>
      </c>
      <c r="C13">
        <f>100*C10/C11</f>
        <v/>
      </c>
      <c r="D13">
        <f>100*D10/D11</f>
        <v/>
      </c>
      <c r="E13">
        <f>100*E10/E11</f>
        <v/>
      </c>
      <c r="F13">
        <f>100*F10/F11</f>
        <v/>
      </c>
      <c r="G13">
        <f>100*G10/G11</f>
        <v/>
      </c>
    </row>
    <row r="14">
      <c r="A14" s="6" t="inlineStr">
        <is>
          <t>Memo: lease interest inside OCF</t>
        </is>
      </c>
      <c r="B14" s="2" t="n">
        <v>-8.823</v>
      </c>
      <c r="C14" s="2" t="n">
        <v>-7.655</v>
      </c>
      <c r="D14" s="2" t="n">
        <v>-5.934</v>
      </c>
      <c r="E14" s="2" t="n">
        <v>-5.962</v>
      </c>
      <c r="F14" s="2" t="n">
        <v>-5.934</v>
      </c>
      <c r="G14" s="2" t="n">
        <v>-6.898</v>
      </c>
    </row>
    <row r="15">
      <c r="A15" s="6" t="inlineStr">
        <is>
          <t>Memo: cash tax paid</t>
        </is>
      </c>
      <c r="B15" s="2" t="n">
        <v>-1.744</v>
      </c>
      <c r="C15" s="2" t="n">
        <v>-2.154</v>
      </c>
      <c r="D15" s="2" t="n">
        <v>-1.729</v>
      </c>
      <c r="E15" s="2" t="n">
        <v>1.303</v>
      </c>
      <c r="F15" s="2" t="n">
        <v>-1.141</v>
      </c>
      <c r="G15" s="2" t="n">
        <v>-3.496</v>
      </c>
    </row>
    <row r="17">
      <c r="A17" t="inlineStr">
        <is>
          <t>FY2022/FY2023 owner FCF (-31.5, -50.9) reflect property-acquisition capex years; FY2026 capex 16.073 is acquisition-heavy (St Allisa; 13.65 recycled via related-party sale-and-leaseback, proceeds not netted here). Normalized maintenance+development capex is the ~3% forecast driver.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Valuation summary - all cells formula-driven</t>
        </is>
      </c>
    </row>
    <row r="3">
      <c r="A3" s="3" t="inlineStr">
        <is>
          <t>Scenario</t>
        </is>
      </c>
      <c r="B3" s="3" t="inlineStr">
        <is>
          <t>Value/share</t>
        </is>
      </c>
      <c r="C3" s="3" t="inlineStr">
        <is>
          <t>Street/share</t>
        </is>
      </c>
      <c r="D3" s="3" t="inlineStr">
        <is>
          <t>Upside vs price</t>
        </is>
      </c>
      <c r="E3" s="3" t="inlineStr">
        <is>
          <t>Weight</t>
        </is>
      </c>
    </row>
    <row r="4">
      <c r="A4" t="inlineStr">
        <is>
          <t>Bear</t>
        </is>
      </c>
      <c r="B4" s="5">
        <f>DCF_Bear!B40</f>
        <v/>
      </c>
      <c r="C4" s="5">
        <f>DCF_Bear!B45</f>
        <v/>
      </c>
      <c r="D4">
        <f>B4/Assumptions!$B$2-1</f>
        <v/>
      </c>
      <c r="E4" s="5">
        <f>Assumptions!G13</f>
        <v/>
      </c>
    </row>
    <row r="5">
      <c r="A5" t="inlineStr">
        <is>
          <t>Base</t>
        </is>
      </c>
      <c r="B5" s="5">
        <f>DCF_Base!B40</f>
        <v/>
      </c>
      <c r="C5" s="5">
        <f>DCF_Base!B45</f>
        <v/>
      </c>
      <c r="D5">
        <f>B5/Assumptions!$B$2-1</f>
        <v/>
      </c>
      <c r="E5" s="5">
        <f>Assumptions!G14</f>
        <v/>
      </c>
    </row>
    <row r="6">
      <c r="A6" t="inlineStr">
        <is>
          <t>Bull</t>
        </is>
      </c>
      <c r="B6" s="5">
        <f>DCF_Bull!B40</f>
        <v/>
      </c>
      <c r="C6" s="5">
        <f>DCF_Bull!B45</f>
        <v/>
      </c>
      <c r="D6">
        <f>B6/Assumptions!$B$2-1</f>
        <v/>
      </c>
      <c r="E6" s="5">
        <f>Assumptions!G15</f>
        <v/>
      </c>
    </row>
    <row r="8">
      <c r="A8" t="inlineStr">
        <is>
          <t>Probability-weighted IV</t>
        </is>
      </c>
      <c r="B8" s="7">
        <f>SUMPRODUCT(B4:B6,E4:E6)</f>
        <v/>
      </c>
    </row>
    <row r="9">
      <c r="A9" t="inlineStr">
        <is>
          <t>Street weighted IV</t>
        </is>
      </c>
      <c r="B9">
        <f>SUMPRODUCT(C4:C6,E4:E6)</f>
        <v/>
      </c>
    </row>
    <row r="10">
      <c r="A10" t="inlineStr">
        <is>
          <t>Margin of safety vs price</t>
        </is>
      </c>
      <c r="B10">
        <f>1-Assumptions!B2/B8</f>
        <v/>
      </c>
    </row>
    <row r="11">
      <c r="A11" t="inlineStr">
        <is>
          <t>Band position (house-&gt;street)</t>
        </is>
      </c>
      <c r="B11">
        <f>(Assumptions!B2-B8)/(B9-B8)</f>
        <v/>
      </c>
    </row>
    <row r="12">
      <c r="A12" t="inlineStr">
        <is>
          <t>Band note: SBC ~0.2% of revenue so the house/street band is ~3% wide - near-degenerate; position outside 0-1 is not meaningful.</t>
        </is>
      </c>
    </row>
    <row r="14">
      <c r="A14" s="3" t="inlineStr">
        <is>
          <t>Entry price @15% IRR</t>
        </is>
      </c>
    </row>
    <row r="15">
      <c r="A15" t="inlineStr">
        <is>
          <t>Bear</t>
        </is>
      </c>
      <c r="B15">
        <f>(SUMPRODUCT(DCF_Bear!C21:L21,1/POWER(1+Assumptions!$B$8/100,DCF_Bear!C4:L4))+DCF_Bear!B33/POWER(1+Assumptions!$B$8/100,10)-Assumptions!$B$6)/Assumptions!$B$7</f>
        <v/>
      </c>
    </row>
    <row r="16">
      <c r="A16" t="inlineStr">
        <is>
          <t>Base</t>
        </is>
      </c>
      <c r="B16">
        <f>(SUMPRODUCT(DCF_Base!C21:L21,1/POWER(1+Assumptions!$B$8/100,DCF_Base!C4:L4))+DCF_Base!B33/POWER(1+Assumptions!$B$8/100,10)-Assumptions!$B$6)/Assumptions!$B$7</f>
        <v/>
      </c>
    </row>
    <row r="17">
      <c r="A17" t="inlineStr">
        <is>
          <t>Bull</t>
        </is>
      </c>
      <c r="B17">
        <f>(SUMPRODUCT(DCF_Bull!C21:L21,1/POWER(1+Assumptions!$B$8/100,DCF_Bull!C4:L4))+DCF_Bull!B33/POWER(1+Assumptions!$B$8/100,10)-Assumptions!$B$6)/Assumptions!$B$7</f>
        <v/>
      </c>
    </row>
    <row r="18">
      <c r="A18" t="inlineStr">
        <is>
          <t>Weighted entry price</t>
        </is>
      </c>
      <c r="B18" s="3">
        <f>SUMPRODUCT(B15:B17,E4:E6)</f>
        <v/>
      </c>
    </row>
    <row r="20">
      <c r="A20" s="3" t="inlineStr">
        <is>
          <t>Required-return table (base case; TV held at model WACC, discounted at r)</t>
        </is>
      </c>
    </row>
    <row r="21">
      <c r="A21" t="inlineStr">
        <is>
          <t>Required return %</t>
        </is>
      </c>
      <c r="B21" s="2" t="n">
        <v>9</v>
      </c>
      <c r="C21" s="2" t="n">
        <v>10</v>
      </c>
      <c r="D21" s="2" t="n">
        <v>11</v>
      </c>
      <c r="E21" s="2" t="n">
        <v>12</v>
      </c>
      <c r="F21" s="2" t="n">
        <v>14.5</v>
      </c>
      <c r="G21" s="2" t="n">
        <v>15</v>
      </c>
    </row>
    <row r="22">
      <c r="A22" t="inlineStr">
        <is>
          <t>Value per share</t>
        </is>
      </c>
      <c r="B22">
        <f>(SUMPRODUCT(DCF_Base!$C$21:$L$21,1/POWER(1+B21/100,DCF_Base!$C$4:$L$4))+DCF_Base!$B$33/POWER(1+B21/100,10)-Assumptions!$B$6)/Assumptions!$B$7</f>
        <v/>
      </c>
      <c r="C22">
        <f>(SUMPRODUCT(DCF_Base!$C$21:$L$21,1/POWER(1+C21/100,DCF_Base!$C$4:$L$4))+DCF_Base!$B$33/POWER(1+C21/100,10)-Assumptions!$B$6)/Assumptions!$B$7</f>
        <v/>
      </c>
      <c r="D22">
        <f>(SUMPRODUCT(DCF_Base!$C$21:$L$21,1/POWER(1+D21/100,DCF_Base!$C$4:$L$4))+DCF_Base!$B$33/POWER(1+D21/100,10)-Assumptions!$B$6)/Assumptions!$B$7</f>
        <v/>
      </c>
      <c r="E22">
        <f>(SUMPRODUCT(DCF_Base!$C$21:$L$21,1/POWER(1+E21/100,DCF_Base!$C$4:$L$4))+DCF_Base!$B$33/POWER(1+E21/100,10)-Assumptions!$B$6)/Assumptions!$B$7</f>
        <v/>
      </c>
      <c r="F22">
        <f>(SUMPRODUCT(DCF_Base!$C$21:$L$21,1/POWER(1+F21/100,DCF_Base!$C$4:$L$4))+DCF_Base!$B$33/POWER(1+F21/100,10)-Assumptions!$B$6)/Assumptions!$B$7</f>
        <v/>
      </c>
      <c r="G22">
        <f>(SUMPRODUCT(DCF_Base!$C$21:$L$21,1/POWER(1+G21/100,DCF_Base!$C$4:$L$4))+DCF_Base!$B$33/POWER(1+G21/100,10)-Assumptions!$B$6)/Assumptions!$B$7</f>
        <v/>
      </c>
    </row>
    <row r="25">
      <c r="A25" s="3" t="inlineStr">
        <is>
          <t>Sensitivity: value per share, base case (rows WACC %, cols terminal growth %)</t>
        </is>
      </c>
    </row>
    <row r="26">
      <c r="B26" s="2" t="n">
        <v>1</v>
      </c>
      <c r="C26" s="2" t="n">
        <v>1.5</v>
      </c>
      <c r="D26" s="2" t="n">
        <v>2</v>
      </c>
      <c r="E26" s="2" t="n">
        <v>2.5</v>
      </c>
      <c r="F26" s="2" t="n">
        <v>3</v>
      </c>
    </row>
    <row r="27">
      <c r="A27" s="2" t="n">
        <v>12.5</v>
      </c>
      <c r="B27">
        <f>IF($A27&gt;B$26,(SUMPRODUCT(DCF_Base!$C$21:$L$21,1/POWER(1+$A27/100,DCF_Base!$C$4:$L$4))+MAX(0,MIN(DCF_Base!$L$21*(1+B$26/100)/(($A27-B$26)/100),Assumptions!$F$14*DCF_Base!$L$21))/POWER(1+$A27/100,10)-Assumptions!$B$6)/Assumptions!$B$7,"n/a")</f>
        <v/>
      </c>
      <c r="C27">
        <f>IF($A27&gt;C$26,(SUMPRODUCT(DCF_Base!$C$21:$L$21,1/POWER(1+$A27/100,DCF_Base!$C$4:$L$4))+MAX(0,MIN(DCF_Base!$L$21*(1+C$26/100)/(($A27-C$26)/100),Assumptions!$F$14*DCF_Base!$L$21))/POWER(1+$A27/100,10)-Assumptions!$B$6)/Assumptions!$B$7,"n/a")</f>
        <v/>
      </c>
      <c r="D27">
        <f>IF($A27&gt;D$26,(SUMPRODUCT(DCF_Base!$C$21:$L$21,1/POWER(1+$A27/100,DCF_Base!$C$4:$L$4))+MAX(0,MIN(DCF_Base!$L$21*(1+D$26/100)/(($A27-D$26)/100),Assumptions!$F$14*DCF_Base!$L$21))/POWER(1+$A27/100,10)-Assumptions!$B$6)/Assumptions!$B$7,"n/a")</f>
        <v/>
      </c>
      <c r="E27">
        <f>IF($A27&gt;E$26,(SUMPRODUCT(DCF_Base!$C$21:$L$21,1/POWER(1+$A27/100,DCF_Base!$C$4:$L$4))+MAX(0,MIN(DCF_Base!$L$21*(1+E$26/100)/(($A27-E$26)/100),Assumptions!$F$14*DCF_Base!$L$21))/POWER(1+$A27/100,10)-Assumptions!$B$6)/Assumptions!$B$7,"n/a")</f>
        <v/>
      </c>
      <c r="F27">
        <f>IF($A27&gt;F$26,(SUMPRODUCT(DCF_Base!$C$21:$L$21,1/POWER(1+$A27/100,DCF_Base!$C$4:$L$4))+MAX(0,MIN(DCF_Base!$L$21*(1+F$26/100)/(($A27-F$26)/100),Assumptions!$F$14*DCF_Base!$L$21))/POWER(1+$A27/100,10)-Assumptions!$B$6)/Assumptions!$B$7,"n/a")</f>
        <v/>
      </c>
    </row>
    <row r="28">
      <c r="A28" s="2" t="n">
        <v>13.5</v>
      </c>
      <c r="B28">
        <f>IF($A28&gt;B$26,(SUMPRODUCT(DCF_Base!$C$21:$L$21,1/POWER(1+$A28/100,DCF_Base!$C$4:$L$4))+MAX(0,MIN(DCF_Base!$L$21*(1+B$26/100)/(($A28-B$26)/100),Assumptions!$F$14*DCF_Base!$L$21))/POWER(1+$A28/100,10)-Assumptions!$B$6)/Assumptions!$B$7,"n/a")</f>
        <v/>
      </c>
      <c r="C28">
        <f>IF($A28&gt;C$26,(SUMPRODUCT(DCF_Base!$C$21:$L$21,1/POWER(1+$A28/100,DCF_Base!$C$4:$L$4))+MAX(0,MIN(DCF_Base!$L$21*(1+C$26/100)/(($A28-C$26)/100),Assumptions!$F$14*DCF_Base!$L$21))/POWER(1+$A28/100,10)-Assumptions!$B$6)/Assumptions!$B$7,"n/a")</f>
        <v/>
      </c>
      <c r="D28">
        <f>IF($A28&gt;D$26,(SUMPRODUCT(DCF_Base!$C$21:$L$21,1/POWER(1+$A28/100,DCF_Base!$C$4:$L$4))+MAX(0,MIN(DCF_Base!$L$21*(1+D$26/100)/(($A28-D$26)/100),Assumptions!$F$14*DCF_Base!$L$21))/POWER(1+$A28/100,10)-Assumptions!$B$6)/Assumptions!$B$7,"n/a")</f>
        <v/>
      </c>
      <c r="E28">
        <f>IF($A28&gt;E$26,(SUMPRODUCT(DCF_Base!$C$21:$L$21,1/POWER(1+$A28/100,DCF_Base!$C$4:$L$4))+MAX(0,MIN(DCF_Base!$L$21*(1+E$26/100)/(($A28-E$26)/100),Assumptions!$F$14*DCF_Base!$L$21))/POWER(1+$A28/100,10)-Assumptions!$B$6)/Assumptions!$B$7,"n/a")</f>
        <v/>
      </c>
      <c r="F28">
        <f>IF($A28&gt;F$26,(SUMPRODUCT(DCF_Base!$C$21:$L$21,1/POWER(1+$A28/100,DCF_Base!$C$4:$L$4))+MAX(0,MIN(DCF_Base!$L$21*(1+F$26/100)/(($A28-F$26)/100),Assumptions!$F$14*DCF_Base!$L$21))/POWER(1+$A28/100,10)-Assumptions!$B$6)/Assumptions!$B$7,"n/a")</f>
        <v/>
      </c>
    </row>
    <row r="29">
      <c r="A29" s="2" t="n">
        <v>14.5</v>
      </c>
      <c r="B29">
        <f>IF($A29&gt;B$26,(SUMPRODUCT(DCF_Base!$C$21:$L$21,1/POWER(1+$A29/100,DCF_Base!$C$4:$L$4))+MAX(0,MIN(DCF_Base!$L$21*(1+B$26/100)/(($A29-B$26)/100),Assumptions!$F$14*DCF_Base!$L$21))/POWER(1+$A29/100,10)-Assumptions!$B$6)/Assumptions!$B$7,"n/a")</f>
        <v/>
      </c>
      <c r="C29">
        <f>IF($A29&gt;C$26,(SUMPRODUCT(DCF_Base!$C$21:$L$21,1/POWER(1+$A29/100,DCF_Base!$C$4:$L$4))+MAX(0,MIN(DCF_Base!$L$21*(1+C$26/100)/(($A29-C$26)/100),Assumptions!$F$14*DCF_Base!$L$21))/POWER(1+$A29/100,10)-Assumptions!$B$6)/Assumptions!$B$7,"n/a")</f>
        <v/>
      </c>
      <c r="D29">
        <f>IF($A29&gt;D$26,(SUMPRODUCT(DCF_Base!$C$21:$L$21,1/POWER(1+$A29/100,DCF_Base!$C$4:$L$4))+MAX(0,MIN(DCF_Base!$L$21*(1+D$26/100)/(($A29-D$26)/100),Assumptions!$F$14*DCF_Base!$L$21))/POWER(1+$A29/100,10)-Assumptions!$B$6)/Assumptions!$B$7,"n/a")</f>
        <v/>
      </c>
      <c r="E29">
        <f>IF($A29&gt;E$26,(SUMPRODUCT(DCF_Base!$C$21:$L$21,1/POWER(1+$A29/100,DCF_Base!$C$4:$L$4))+MAX(0,MIN(DCF_Base!$L$21*(1+E$26/100)/(($A29-E$26)/100),Assumptions!$F$14*DCF_Base!$L$21))/POWER(1+$A29/100,10)-Assumptions!$B$6)/Assumptions!$B$7,"n/a")</f>
        <v/>
      </c>
      <c r="F29">
        <f>IF($A29&gt;F$26,(SUMPRODUCT(DCF_Base!$C$21:$L$21,1/POWER(1+$A29/100,DCF_Base!$C$4:$L$4))+MAX(0,MIN(DCF_Base!$L$21*(1+F$26/100)/(($A29-F$26)/100),Assumptions!$F$14*DCF_Base!$L$21))/POWER(1+$A29/100,10)-Assumptions!$B$6)/Assumptions!$B$7,"n/a")</f>
        <v/>
      </c>
    </row>
    <row r="30">
      <c r="A30" s="2" t="n">
        <v>15.5</v>
      </c>
      <c r="B30">
        <f>IF($A30&gt;B$26,(SUMPRODUCT(DCF_Base!$C$21:$L$21,1/POWER(1+$A30/100,DCF_Base!$C$4:$L$4))+MAX(0,MIN(DCF_Base!$L$21*(1+B$26/100)/(($A30-B$26)/100),Assumptions!$F$14*DCF_Base!$L$21))/POWER(1+$A30/100,10)-Assumptions!$B$6)/Assumptions!$B$7,"n/a")</f>
        <v/>
      </c>
      <c r="C30">
        <f>IF($A30&gt;C$26,(SUMPRODUCT(DCF_Base!$C$21:$L$21,1/POWER(1+$A30/100,DCF_Base!$C$4:$L$4))+MAX(0,MIN(DCF_Base!$L$21*(1+C$26/100)/(($A30-C$26)/100),Assumptions!$F$14*DCF_Base!$L$21))/POWER(1+$A30/100,10)-Assumptions!$B$6)/Assumptions!$B$7,"n/a")</f>
        <v/>
      </c>
      <c r="D30">
        <f>IF($A30&gt;D$26,(SUMPRODUCT(DCF_Base!$C$21:$L$21,1/POWER(1+$A30/100,DCF_Base!$C$4:$L$4))+MAX(0,MIN(DCF_Base!$L$21*(1+D$26/100)/(($A30-D$26)/100),Assumptions!$F$14*DCF_Base!$L$21))/POWER(1+$A30/100,10)-Assumptions!$B$6)/Assumptions!$B$7,"n/a")</f>
        <v/>
      </c>
      <c r="E30">
        <f>IF($A30&gt;E$26,(SUMPRODUCT(DCF_Base!$C$21:$L$21,1/POWER(1+$A30/100,DCF_Base!$C$4:$L$4))+MAX(0,MIN(DCF_Base!$L$21*(1+E$26/100)/(($A30-E$26)/100),Assumptions!$F$14*DCF_Base!$L$21))/POWER(1+$A30/100,10)-Assumptions!$B$6)/Assumptions!$B$7,"n/a")</f>
        <v/>
      </c>
      <c r="F30">
        <f>IF($A30&gt;F$26,(SUMPRODUCT(DCF_Base!$C$21:$L$21,1/POWER(1+$A30/100,DCF_Base!$C$4:$L$4))+MAX(0,MIN(DCF_Base!$L$21*(1+F$26/100)/(($A30-F$26)/100),Assumptions!$F$14*DCF_Base!$L$21))/POWER(1+$A30/100,10)-Assumptions!$B$6)/Assumptions!$B$7,"n/a")</f>
        <v/>
      </c>
    </row>
    <row r="31">
      <c r="A31" s="2" t="n">
        <v>16.5</v>
      </c>
      <c r="B31">
        <f>IF($A31&gt;B$26,(SUMPRODUCT(DCF_Base!$C$21:$L$21,1/POWER(1+$A31/100,DCF_Base!$C$4:$L$4))+MAX(0,MIN(DCF_Base!$L$21*(1+B$26/100)/(($A31-B$26)/100),Assumptions!$F$14*DCF_Base!$L$21))/POWER(1+$A31/100,10)-Assumptions!$B$6)/Assumptions!$B$7,"n/a")</f>
        <v/>
      </c>
      <c r="C31">
        <f>IF($A31&gt;C$26,(SUMPRODUCT(DCF_Base!$C$21:$L$21,1/POWER(1+$A31/100,DCF_Base!$C$4:$L$4))+MAX(0,MIN(DCF_Base!$L$21*(1+C$26/100)/(($A31-C$26)/100),Assumptions!$F$14*DCF_Base!$L$21))/POWER(1+$A31/100,10)-Assumptions!$B$6)/Assumptions!$B$7,"n/a")</f>
        <v/>
      </c>
      <c r="D31">
        <f>IF($A31&gt;D$26,(SUMPRODUCT(DCF_Base!$C$21:$L$21,1/POWER(1+$A31/100,DCF_Base!$C$4:$L$4))+MAX(0,MIN(DCF_Base!$L$21*(1+D$26/100)/(($A31-D$26)/100),Assumptions!$F$14*DCF_Base!$L$21))/POWER(1+$A31/100,10)-Assumptions!$B$6)/Assumptions!$B$7,"n/a")</f>
        <v/>
      </c>
      <c r="E31">
        <f>IF($A31&gt;E$26,(SUMPRODUCT(DCF_Base!$C$21:$L$21,1/POWER(1+$A31/100,DCF_Base!$C$4:$L$4))+MAX(0,MIN(DCF_Base!$L$21*(1+E$26/100)/(($A31-E$26)/100),Assumptions!$F$14*DCF_Base!$L$21))/POWER(1+$A31/100,10)-Assumptions!$B$6)/Assumptions!$B$7,"n/a")</f>
        <v/>
      </c>
      <c r="F31">
        <f>IF($A31&gt;F$26,(SUMPRODUCT(DCF_Base!$C$21:$L$21,1/POWER(1+$A31/100,DCF_Base!$C$4:$L$4))+MAX(0,MIN(DCF_Base!$L$21*(1+F$26/100)/(($A31-F$26)/100),Assumptions!$F$14*DCF_Base!$L$21))/POWER(1+$A31/100,10)-Assumptions!$B$6)/Assumptions!$B$7,"n/a")</f>
        <v/>
      </c>
    </row>
    <row r="33">
      <c r="A33" t="inlineStr">
        <is>
          <t>Grid re-discounts the SAME base FCF path at the row WACC (Gordon TV recomputed at that WACC); it does not re-run the discount factors on the DCF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2026-08-27T10:19:02Z</dcterms:created>
  <dcterms:modified xsi:type="dcterms:W3CDTF">2026-08-27T10:19:02Z</dcterms:modified>
</cp:coreProperties>
</file>